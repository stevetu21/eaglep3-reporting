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Enforcements!$A$6:$AC$50</definedName>
    <definedName name="_xlnm._FilterDatabase" localSheetId="2" hidden="1">'Missing Trips'!$A$2:$J$145</definedName>
    <definedName name="_xlnm._FilterDatabase" localSheetId="0" hidden="1">'Train Runs'!$A$12:$AG$229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AM14" i="1"/>
  <c r="AN14" i="1"/>
  <c r="K15" i="1"/>
  <c r="L15" i="1"/>
  <c r="M15" i="1"/>
  <c r="P15" i="1" s="1"/>
  <c r="V15" i="1"/>
  <c r="Y15" i="1"/>
  <c r="Z15" i="1"/>
  <c r="AB15" i="1"/>
  <c r="AC15" i="1"/>
  <c r="AD15" i="1"/>
  <c r="X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I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V17" i="1"/>
  <c r="S10" i="3" s="1"/>
  <c r="Y17" i="1"/>
  <c r="Z17" i="1"/>
  <c r="AB17" i="1"/>
  <c r="AC17" i="1"/>
  <c r="AD17" i="1"/>
  <c r="X17" i="1" s="1"/>
  <c r="AE17" i="1"/>
  <c r="R10" i="3" s="1"/>
  <c r="AF17" i="1"/>
  <c r="AH17" i="1"/>
  <c r="AM17" i="1"/>
  <c r="AN17" i="1"/>
  <c r="K18" i="1"/>
  <c r="L18" i="1"/>
  <c r="M18" i="1"/>
  <c r="P17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P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T25" i="1"/>
  <c r="V25" i="1"/>
  <c r="X25" i="1"/>
  <c r="Y25" i="1"/>
  <c r="Z25" i="1"/>
  <c r="AA25" i="1" s="1"/>
  <c r="AB25" i="1"/>
  <c r="AC25" i="1"/>
  <c r="AD25" i="1"/>
  <c r="AE25" i="1"/>
  <c r="AF25" i="1"/>
  <c r="AG25" i="1"/>
  <c r="AH25" i="1"/>
  <c r="AM25" i="1"/>
  <c r="AN25" i="1"/>
  <c r="K26" i="1"/>
  <c r="L26" i="1"/>
  <c r="M26" i="1"/>
  <c r="P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V27" i="1"/>
  <c r="Y27" i="1"/>
  <c r="Z27" i="1"/>
  <c r="AB27" i="1"/>
  <c r="AC27" i="1"/>
  <c r="AD27" i="1"/>
  <c r="AE27" i="1"/>
  <c r="R11" i="3" s="1"/>
  <c r="AF27" i="1"/>
  <c r="AH27" i="1"/>
  <c r="AM27" i="1"/>
  <c r="AN27" i="1"/>
  <c r="K28" i="1"/>
  <c r="L28" i="1"/>
  <c r="M28" i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P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S9" i="3" s="1"/>
  <c r="Y36" i="1"/>
  <c r="Z36" i="1"/>
  <c r="AB36" i="1"/>
  <c r="AC36" i="1"/>
  <c r="AD36" i="1"/>
  <c r="T36" i="1" s="1"/>
  <c r="AE36" i="1"/>
  <c r="R9" i="3" s="1"/>
  <c r="AF36" i="1"/>
  <c r="AH36" i="1"/>
  <c r="AM36" i="1"/>
  <c r="AN36" i="1"/>
  <c r="K37" i="1"/>
  <c r="L37" i="1"/>
  <c r="M37" i="1"/>
  <c r="P37" i="1" s="1"/>
  <c r="V37" i="1"/>
  <c r="S12" i="3" s="1"/>
  <c r="Y37" i="1"/>
  <c r="Z37" i="1"/>
  <c r="AB37" i="1"/>
  <c r="AC37" i="1"/>
  <c r="AD37" i="1"/>
  <c r="T37" i="1" s="1"/>
  <c r="AE37" i="1"/>
  <c r="R12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V42" i="1"/>
  <c r="S13" i="3" s="1"/>
  <c r="Y42" i="1"/>
  <c r="Z42" i="1"/>
  <c r="AB42" i="1"/>
  <c r="AC42" i="1"/>
  <c r="AD42" i="1"/>
  <c r="AG42" i="1" s="1"/>
  <c r="AE42" i="1"/>
  <c r="R13" i="3" s="1"/>
  <c r="AF42" i="1"/>
  <c r="AH42" i="1"/>
  <c r="AM42" i="1"/>
  <c r="AN42" i="1"/>
  <c r="K43" i="1"/>
  <c r="L43" i="1"/>
  <c r="M43" i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P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P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P62" i="1" s="1"/>
  <c r="V62" i="1"/>
  <c r="S17" i="3" s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P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P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P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P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P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P76" i="1" s="1"/>
  <c r="V76" i="1"/>
  <c r="S14" i="3" s="1"/>
  <c r="Y76" i="1"/>
  <c r="Z76" i="1"/>
  <c r="AB76" i="1"/>
  <c r="AC76" i="1"/>
  <c r="AD76" i="1"/>
  <c r="AE76" i="1"/>
  <c r="R14" i="3" s="1"/>
  <c r="AF76" i="1"/>
  <c r="AH76" i="1"/>
  <c r="AM76" i="1"/>
  <c r="AN76" i="1"/>
  <c r="K77" i="1"/>
  <c r="L77" i="1"/>
  <c r="M77" i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P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P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P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R8" i="3" s="1"/>
  <c r="AF87" i="1"/>
  <c r="AH87" i="1"/>
  <c r="AM87" i="1"/>
  <c r="AN87" i="1"/>
  <c r="K88" i="1"/>
  <c r="L88" i="1"/>
  <c r="M88" i="1"/>
  <c r="P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P89" i="1" s="1"/>
  <c r="V89" i="1"/>
  <c r="S15" i="3" s="1"/>
  <c r="Y89" i="1"/>
  <c r="Z89" i="1"/>
  <c r="AB89" i="1"/>
  <c r="AC89" i="1"/>
  <c r="AD89" i="1"/>
  <c r="AE89" i="1"/>
  <c r="R15" i="3" s="1"/>
  <c r="AF89" i="1"/>
  <c r="AH89" i="1"/>
  <c r="AM89" i="1"/>
  <c r="AN89" i="1"/>
  <c r="K90" i="1"/>
  <c r="L90" i="1"/>
  <c r="M90" i="1"/>
  <c r="N90" i="1" s="1"/>
  <c r="V90" i="1"/>
  <c r="S7" i="3" s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P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P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P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P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P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P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P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P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P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P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P118" i="1" s="1"/>
  <c r="V118" i="1"/>
  <c r="Y118" i="1"/>
  <c r="Z118" i="1"/>
  <c r="AB118" i="1"/>
  <c r="AC118" i="1"/>
  <c r="AD118" i="1"/>
  <c r="AE118" i="1"/>
  <c r="AF118" i="1"/>
  <c r="AH118" i="1"/>
  <c r="AM118" i="1"/>
  <c r="AN118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19" i="1"/>
  <c r="AM119" i="1"/>
  <c r="AN119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20" i="1"/>
  <c r="AM120" i="1"/>
  <c r="AN120" i="1"/>
  <c r="K168" i="1"/>
  <c r="L168" i="1"/>
  <c r="M168" i="1"/>
  <c r="N168" i="1" s="1"/>
  <c r="V168" i="1"/>
  <c r="S29" i="3" s="1"/>
  <c r="Y168" i="1"/>
  <c r="Z168" i="1"/>
  <c r="AB168" i="1"/>
  <c r="AC168" i="1"/>
  <c r="AD168" i="1"/>
  <c r="T168" i="1" s="1"/>
  <c r="AE168" i="1"/>
  <c r="R29" i="3" s="1"/>
  <c r="AF168" i="1"/>
  <c r="AH121" i="1"/>
  <c r="AM121" i="1"/>
  <c r="AN12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22" i="1"/>
  <c r="AM122" i="1"/>
  <c r="AN122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23" i="1"/>
  <c r="AM123" i="1"/>
  <c r="AN123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24" i="1"/>
  <c r="AM124" i="1"/>
  <c r="AN124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25" i="1"/>
  <c r="AM125" i="1"/>
  <c r="AN125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26" i="1"/>
  <c r="AM126" i="1"/>
  <c r="AN126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27" i="1"/>
  <c r="AM127" i="1"/>
  <c r="AN12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28" i="1"/>
  <c r="AM128" i="1"/>
  <c r="AN128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29" i="1"/>
  <c r="AM129" i="1"/>
  <c r="AN129" i="1"/>
  <c r="K183" i="1"/>
  <c r="L183" i="1"/>
  <c r="M183" i="1"/>
  <c r="N183" i="1" s="1"/>
  <c r="V183" i="1"/>
  <c r="Y183" i="1"/>
  <c r="Z183" i="1"/>
  <c r="AB183" i="1"/>
  <c r="AC183" i="1"/>
  <c r="AD183" i="1"/>
  <c r="AE183" i="1"/>
  <c r="R35" i="3" s="1"/>
  <c r="AF183" i="1"/>
  <c r="AH130" i="1"/>
  <c r="AM130" i="1"/>
  <c r="AN13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31" i="1"/>
  <c r="AM131" i="1"/>
  <c r="AN131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32" i="1"/>
  <c r="AM132" i="1"/>
  <c r="AN132" i="1"/>
  <c r="K186" i="1"/>
  <c r="L186" i="1"/>
  <c r="M186" i="1"/>
  <c r="N186" i="1" s="1"/>
  <c r="V186" i="1"/>
  <c r="S32" i="3" s="1"/>
  <c r="Y186" i="1"/>
  <c r="Z186" i="1"/>
  <c r="AB186" i="1"/>
  <c r="AC186" i="1"/>
  <c r="AD186" i="1"/>
  <c r="AG186" i="1" s="1"/>
  <c r="AE186" i="1"/>
  <c r="R30" i="3" s="1"/>
  <c r="AF186" i="1"/>
  <c r="AH133" i="1"/>
  <c r="AM133" i="1"/>
  <c r="AN133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34" i="1"/>
  <c r="AM134" i="1"/>
  <c r="AN134" i="1"/>
  <c r="K188" i="1"/>
  <c r="L188" i="1"/>
  <c r="M188" i="1"/>
  <c r="N188" i="1" s="1"/>
  <c r="V188" i="1"/>
  <c r="S33" i="3" s="1"/>
  <c r="Y188" i="1"/>
  <c r="Z188" i="1"/>
  <c r="AB188" i="1"/>
  <c r="AC188" i="1"/>
  <c r="AD188" i="1"/>
  <c r="AE188" i="1"/>
  <c r="R33" i="3" s="1"/>
  <c r="AF188" i="1"/>
  <c r="AH135" i="1"/>
  <c r="AM135" i="1"/>
  <c r="AN13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36" i="1"/>
  <c r="AM136" i="1"/>
  <c r="AN136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37" i="1"/>
  <c r="AM137" i="1"/>
  <c r="AN137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38" i="1"/>
  <c r="AM138" i="1"/>
  <c r="AN13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9" i="1"/>
  <c r="AM139" i="1"/>
  <c r="AN139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40" i="1"/>
  <c r="AM140" i="1"/>
  <c r="AN140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41" i="1"/>
  <c r="AM141" i="1"/>
  <c r="AN141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42" i="1"/>
  <c r="AM142" i="1"/>
  <c r="AN14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43" i="1"/>
  <c r="AM143" i="1"/>
  <c r="AN14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44" i="1"/>
  <c r="AM144" i="1"/>
  <c r="AN144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145" i="1"/>
  <c r="AM145" i="1"/>
  <c r="AN145" i="1"/>
  <c r="K199" i="1"/>
  <c r="L199" i="1"/>
  <c r="M199" i="1"/>
  <c r="N199" i="1" s="1"/>
  <c r="V199" i="1"/>
  <c r="Y199" i="1"/>
  <c r="Z199" i="1"/>
  <c r="AI199" i="1" s="1"/>
  <c r="AB199" i="1"/>
  <c r="AC199" i="1"/>
  <c r="AD199" i="1"/>
  <c r="AG199" i="1" s="1"/>
  <c r="AE199" i="1"/>
  <c r="AF199" i="1"/>
  <c r="AH146" i="1"/>
  <c r="AM146" i="1"/>
  <c r="AN146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147" i="1"/>
  <c r="AM147" i="1"/>
  <c r="AN147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148" i="1"/>
  <c r="AM148" i="1"/>
  <c r="AN14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49" i="1"/>
  <c r="AM149" i="1"/>
  <c r="AN14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0" i="1"/>
  <c r="AM150" i="1"/>
  <c r="AN15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1" i="1"/>
  <c r="AM151" i="1"/>
  <c r="AN15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2" i="1"/>
  <c r="AM152" i="1"/>
  <c r="AN15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3" i="1"/>
  <c r="AM153" i="1"/>
  <c r="AN15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54" i="1"/>
  <c r="AM154" i="1"/>
  <c r="AN15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5" i="1"/>
  <c r="AM155" i="1"/>
  <c r="AN15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56" i="1"/>
  <c r="AM156" i="1"/>
  <c r="AN15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57" i="1"/>
  <c r="AM157" i="1"/>
  <c r="AN15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58" i="1"/>
  <c r="AM158" i="1"/>
  <c r="AN15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59" i="1"/>
  <c r="AM159" i="1"/>
  <c r="AN15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0" i="1"/>
  <c r="AM160" i="1"/>
  <c r="AN16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1" i="1"/>
  <c r="AM161" i="1"/>
  <c r="AN16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R27" i="3" s="1"/>
  <c r="AF132" i="1"/>
  <c r="AH162" i="1"/>
  <c r="AM162" i="1"/>
  <c r="AN16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3" i="1"/>
  <c r="AM163" i="1"/>
  <c r="AN16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4" i="1"/>
  <c r="AM164" i="1"/>
  <c r="AN16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5" i="1"/>
  <c r="AM165" i="1"/>
  <c r="AN16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66" i="1"/>
  <c r="AM166" i="1"/>
  <c r="AN16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67" i="1"/>
  <c r="AM167" i="1"/>
  <c r="AN16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R28" i="3" s="1"/>
  <c r="AF138" i="1"/>
  <c r="AH168" i="1"/>
  <c r="AM168" i="1"/>
  <c r="AN16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69" i="1"/>
  <c r="AM169" i="1"/>
  <c r="AN16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0" i="1"/>
  <c r="AM170" i="1"/>
  <c r="AN17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1" i="1"/>
  <c r="AM171" i="1"/>
  <c r="AN17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2" i="1"/>
  <c r="AM172" i="1"/>
  <c r="AN17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R22" i="3" s="1"/>
  <c r="AF143" i="1"/>
  <c r="AH173" i="1"/>
  <c r="AM173" i="1"/>
  <c r="AN17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4" i="1"/>
  <c r="AM174" i="1"/>
  <c r="AN17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75" i="1"/>
  <c r="AM175" i="1"/>
  <c r="AN17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76" i="1"/>
  <c r="AM176" i="1"/>
  <c r="AN176" i="1"/>
  <c r="K147" i="1"/>
  <c r="L147" i="1"/>
  <c r="M147" i="1"/>
  <c r="N147" i="1" s="1"/>
  <c r="V147" i="1"/>
  <c r="S24" i="3" s="1"/>
  <c r="Y147" i="1"/>
  <c r="Z147" i="1"/>
  <c r="AB147" i="1"/>
  <c r="AC147" i="1"/>
  <c r="AD147" i="1"/>
  <c r="T147" i="1" s="1"/>
  <c r="AE147" i="1"/>
  <c r="R24" i="3" s="1"/>
  <c r="AF147" i="1"/>
  <c r="AH177" i="1"/>
  <c r="AM177" i="1"/>
  <c r="AN17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78" i="1"/>
  <c r="AM178" i="1"/>
  <c r="AN17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79" i="1"/>
  <c r="AM179" i="1"/>
  <c r="AN17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0" i="1"/>
  <c r="AM180" i="1"/>
  <c r="AN180" i="1"/>
  <c r="K151" i="1"/>
  <c r="L151" i="1"/>
  <c r="M151" i="1"/>
  <c r="N151" i="1" s="1"/>
  <c r="V151" i="1"/>
  <c r="S25" i="3" s="1"/>
  <c r="Y151" i="1"/>
  <c r="Z151" i="1"/>
  <c r="AB151" i="1"/>
  <c r="AC151" i="1"/>
  <c r="AD151" i="1"/>
  <c r="T151" i="1" s="1"/>
  <c r="AE151" i="1"/>
  <c r="AF151" i="1"/>
  <c r="AH181" i="1"/>
  <c r="AM181" i="1"/>
  <c r="AN18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2" i="1"/>
  <c r="AM182" i="1"/>
  <c r="AN18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3" i="1"/>
  <c r="AM183" i="1"/>
  <c r="AN18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4" i="1"/>
  <c r="AM184" i="1"/>
  <c r="AN18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85" i="1"/>
  <c r="AM185" i="1"/>
  <c r="AN18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86" i="1"/>
  <c r="AM186" i="1"/>
  <c r="AN18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87" i="1"/>
  <c r="AM187" i="1"/>
  <c r="AN18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8" i="1"/>
  <c r="AM188" i="1"/>
  <c r="AN188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89" i="1"/>
  <c r="AM189" i="1"/>
  <c r="AN189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0" i="1"/>
  <c r="AM190" i="1"/>
  <c r="AN190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R21" i="3" s="1"/>
  <c r="AF160" i="1"/>
  <c r="AH191" i="1"/>
  <c r="AM191" i="1"/>
  <c r="AN19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2" i="1"/>
  <c r="AM192" i="1"/>
  <c r="AN192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3" i="1"/>
  <c r="AM193" i="1"/>
  <c r="AN193" i="1"/>
  <c r="K163" i="1"/>
  <c r="L163" i="1"/>
  <c r="M163" i="1"/>
  <c r="N163" i="1" s="1"/>
  <c r="V163" i="1"/>
  <c r="S26" i="3" s="1"/>
  <c r="Y163" i="1"/>
  <c r="Z163" i="1"/>
  <c r="AB163" i="1"/>
  <c r="AC163" i="1"/>
  <c r="AD163" i="1"/>
  <c r="AG163" i="1" s="1"/>
  <c r="AE163" i="1"/>
  <c r="AF163" i="1"/>
  <c r="AH194" i="1"/>
  <c r="AM194" i="1"/>
  <c r="AN19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5" i="1"/>
  <c r="AM195" i="1"/>
  <c r="AN19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6" i="1"/>
  <c r="AM196" i="1"/>
  <c r="AN19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197" i="1"/>
  <c r="AM197" i="1"/>
  <c r="AN197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8" i="1"/>
  <c r="AM198" i="1"/>
  <c r="AN19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9" i="1"/>
  <c r="AM199" i="1"/>
  <c r="AN199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0" i="1"/>
  <c r="AM200" i="1"/>
  <c r="AN200" i="1"/>
  <c r="K179" i="1"/>
  <c r="L179" i="1"/>
  <c r="M179" i="1"/>
  <c r="N179" i="1" s="1"/>
  <c r="V179" i="1"/>
  <c r="S34" i="3" s="1"/>
  <c r="Y179" i="1"/>
  <c r="Z179" i="1"/>
  <c r="AB179" i="1"/>
  <c r="AC179" i="1"/>
  <c r="AD179" i="1"/>
  <c r="T179" i="1" s="1"/>
  <c r="AE179" i="1"/>
  <c r="R34" i="3" s="1"/>
  <c r="AF179" i="1"/>
  <c r="AH201" i="1"/>
  <c r="AM201" i="1"/>
  <c r="AN201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2" i="1"/>
  <c r="AM202" i="1"/>
  <c r="AN202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3" i="1"/>
  <c r="AM203" i="1"/>
  <c r="AN203" i="1"/>
  <c r="M10" i="3"/>
  <c r="U10" i="3"/>
  <c r="T10" i="3" s="1"/>
  <c r="V10" i="3"/>
  <c r="W10" i="3"/>
  <c r="Y10" i="3" s="1"/>
  <c r="X10" i="3"/>
  <c r="M11" i="3"/>
  <c r="S11" i="3"/>
  <c r="U11" i="3"/>
  <c r="T11" i="3" s="1"/>
  <c r="V11" i="3"/>
  <c r="W11" i="3"/>
  <c r="X11" i="3"/>
  <c r="AC11" i="3"/>
  <c r="M35" i="3"/>
  <c r="S35" i="3"/>
  <c r="U35" i="3"/>
  <c r="AC35" i="3" s="1"/>
  <c r="V35" i="3"/>
  <c r="W35" i="3"/>
  <c r="X35" i="3"/>
  <c r="M9" i="3"/>
  <c r="U9" i="3"/>
  <c r="AC9" i="3" s="1"/>
  <c r="V9" i="3"/>
  <c r="W9" i="3"/>
  <c r="X9" i="3"/>
  <c r="AE11" i="3"/>
  <c r="M19" i="3"/>
  <c r="T19" i="3"/>
  <c r="U19" i="3"/>
  <c r="AC19" i="3" s="1"/>
  <c r="V19" i="3"/>
  <c r="W19" i="3"/>
  <c r="X19" i="3"/>
  <c r="M27" i="3"/>
  <c r="T27" i="3"/>
  <c r="U27" i="3"/>
  <c r="AE27" i="3" s="1"/>
  <c r="V27" i="3"/>
  <c r="W27" i="3"/>
  <c r="X27" i="3"/>
  <c r="AC27" i="3"/>
  <c r="M30" i="3"/>
  <c r="U30" i="3"/>
  <c r="AC30" i="3" s="1"/>
  <c r="V30" i="3"/>
  <c r="W30" i="3"/>
  <c r="X30" i="3"/>
  <c r="M31" i="3"/>
  <c r="R31" i="3"/>
  <c r="U31" i="3"/>
  <c r="AC31" i="3" s="1"/>
  <c r="V31" i="3"/>
  <c r="W31" i="3"/>
  <c r="X31" i="3"/>
  <c r="M32" i="3"/>
  <c r="R32" i="3"/>
  <c r="U32" i="3"/>
  <c r="AC32" i="3" s="1"/>
  <c r="V32" i="3"/>
  <c r="AE32" i="3" s="1"/>
  <c r="W32" i="3"/>
  <c r="X32" i="3"/>
  <c r="M20" i="3"/>
  <c r="U20" i="3"/>
  <c r="T20" i="3" s="1"/>
  <c r="V20" i="3"/>
  <c r="W20" i="3"/>
  <c r="X20" i="3"/>
  <c r="AC20" i="3"/>
  <c r="M12" i="3"/>
  <c r="U12" i="3"/>
  <c r="AC12" i="3" s="1"/>
  <c r="V12" i="3"/>
  <c r="W12" i="3"/>
  <c r="Y12" i="3" s="1"/>
  <c r="X12" i="3"/>
  <c r="M13" i="3"/>
  <c r="U13" i="3"/>
  <c r="AC13" i="3" s="1"/>
  <c r="V13" i="3"/>
  <c r="W13" i="3"/>
  <c r="Y13" i="3" s="1"/>
  <c r="X13" i="3"/>
  <c r="AE19" i="3"/>
  <c r="M28" i="3"/>
  <c r="T28" i="3"/>
  <c r="U28" i="3"/>
  <c r="AC28" i="3" s="1"/>
  <c r="V28" i="3"/>
  <c r="W28" i="3"/>
  <c r="Y28" i="3" s="1"/>
  <c r="X28" i="3"/>
  <c r="AD20" i="3"/>
  <c r="M33" i="3"/>
  <c r="U33" i="3"/>
  <c r="T33" i="3" s="1"/>
  <c r="V33" i="3"/>
  <c r="W33" i="3"/>
  <c r="X33" i="3"/>
  <c r="AC33" i="3"/>
  <c r="M22" i="3"/>
  <c r="U22" i="3"/>
  <c r="AC22" i="3" s="1"/>
  <c r="V22" i="3"/>
  <c r="W22" i="3"/>
  <c r="X22" i="3"/>
  <c r="M17" i="3"/>
  <c r="R17" i="3"/>
  <c r="U17" i="3"/>
  <c r="AC17" i="3" s="1"/>
  <c r="V17" i="3"/>
  <c r="W17" i="3"/>
  <c r="X17" i="3"/>
  <c r="M18" i="3"/>
  <c r="R18" i="3"/>
  <c r="U18" i="3"/>
  <c r="AC18" i="3" s="1"/>
  <c r="V18" i="3"/>
  <c r="W18" i="3"/>
  <c r="X18" i="3"/>
  <c r="M34" i="3"/>
  <c r="U34" i="3"/>
  <c r="T34" i="3" s="1"/>
  <c r="V34" i="3"/>
  <c r="W34" i="3"/>
  <c r="X34" i="3"/>
  <c r="AC34" i="3"/>
  <c r="M23" i="3"/>
  <c r="U23" i="3"/>
  <c r="AC23" i="3" s="1"/>
  <c r="V23" i="3"/>
  <c r="W23" i="3"/>
  <c r="X23" i="3"/>
  <c r="M24" i="3"/>
  <c r="U24" i="3"/>
  <c r="AC24" i="3" s="1"/>
  <c r="V24" i="3"/>
  <c r="W24" i="3"/>
  <c r="X24" i="3"/>
  <c r="M25" i="3"/>
  <c r="U25" i="3"/>
  <c r="AC25" i="3" s="1"/>
  <c r="V25" i="3"/>
  <c r="W25" i="3"/>
  <c r="Y25" i="3" s="1"/>
  <c r="X25" i="3"/>
  <c r="AD28" i="3"/>
  <c r="M14" i="3"/>
  <c r="U14" i="3"/>
  <c r="V14" i="3"/>
  <c r="W14" i="3"/>
  <c r="X14" i="3"/>
  <c r="AC14" i="3"/>
  <c r="M8" i="3"/>
  <c r="S8" i="3"/>
  <c r="U8" i="3"/>
  <c r="V8" i="3"/>
  <c r="W8" i="3"/>
  <c r="X8" i="3"/>
  <c r="M7" i="3"/>
  <c r="R7" i="3"/>
  <c r="U7" i="3"/>
  <c r="AC7" i="3" s="1"/>
  <c r="V7" i="3"/>
  <c r="W7" i="3"/>
  <c r="Y7" i="3" s="1"/>
  <c r="X7" i="3"/>
  <c r="M21" i="3"/>
  <c r="T21" i="3"/>
  <c r="U21" i="3"/>
  <c r="AC21" i="3" s="1"/>
  <c r="V21" i="3"/>
  <c r="W21" i="3"/>
  <c r="X21" i="3"/>
  <c r="M15" i="3"/>
  <c r="U15" i="3"/>
  <c r="V15" i="3"/>
  <c r="W15" i="3"/>
  <c r="X15" i="3"/>
  <c r="AC15" i="3"/>
  <c r="M16" i="3"/>
  <c r="S16" i="3"/>
  <c r="U16" i="3"/>
  <c r="AD16" i="3" s="1"/>
  <c r="V16" i="3"/>
  <c r="W16" i="3"/>
  <c r="X16" i="3"/>
  <c r="AC16" i="3"/>
  <c r="M26" i="3"/>
  <c r="U26" i="3"/>
  <c r="AC26" i="3" s="1"/>
  <c r="V26" i="3"/>
  <c r="W26" i="3"/>
  <c r="X26" i="3"/>
  <c r="M28" i="5"/>
  <c r="M29" i="3"/>
  <c r="U29" i="3"/>
  <c r="T29" i="3" s="1"/>
  <c r="V29" i="3"/>
  <c r="W29" i="3"/>
  <c r="X29" i="3"/>
  <c r="AC29" i="3"/>
  <c r="AA114" i="1" l="1"/>
  <c r="AI74" i="1"/>
  <c r="AA70" i="1"/>
  <c r="W70" i="1" s="1"/>
  <c r="S30" i="3"/>
  <c r="AA170" i="1"/>
  <c r="X67" i="1"/>
  <c r="P20" i="1"/>
  <c r="AA89" i="1"/>
  <c r="AA83" i="1"/>
  <c r="AA79" i="1"/>
  <c r="W79" i="1" s="1"/>
  <c r="AA23" i="1"/>
  <c r="AA15" i="1"/>
  <c r="AA38" i="1"/>
  <c r="S18" i="3"/>
  <c r="AI187" i="1"/>
  <c r="X29" i="1"/>
  <c r="AA203" i="1"/>
  <c r="P57" i="1"/>
  <c r="X54" i="1"/>
  <c r="P51" i="1"/>
  <c r="P39" i="1"/>
  <c r="S31" i="3"/>
  <c r="AG201" i="1"/>
  <c r="U201" i="1" s="1"/>
  <c r="S201" i="1" s="1"/>
  <c r="T115" i="1"/>
  <c r="AG184" i="1"/>
  <c r="X188" i="1"/>
  <c r="AA94" i="1"/>
  <c r="W94" i="1" s="1"/>
  <c r="AA88" i="1"/>
  <c r="AA82" i="1"/>
  <c r="AI78" i="1"/>
  <c r="AA69" i="1"/>
  <c r="X66" i="1"/>
  <c r="AA60" i="1"/>
  <c r="AA58" i="1"/>
  <c r="AA44" i="1"/>
  <c r="X33" i="1"/>
  <c r="AG32" i="1"/>
  <c r="AA74" i="1"/>
  <c r="W74" i="1" s="1"/>
  <c r="AA66" i="1"/>
  <c r="AA63" i="1"/>
  <c r="AA61" i="1"/>
  <c r="AA57" i="1"/>
  <c r="AA47" i="1"/>
  <c r="W47" i="1" s="1"/>
  <c r="AA43" i="1"/>
  <c r="W43" i="1" s="1"/>
  <c r="P33" i="1"/>
  <c r="AA24" i="1"/>
  <c r="AA152" i="1"/>
  <c r="W152" i="1" s="1"/>
  <c r="R25" i="3"/>
  <c r="AA196" i="1"/>
  <c r="AG193" i="1"/>
  <c r="U193" i="1" s="1"/>
  <c r="S193" i="1" s="1"/>
  <c r="X184" i="1"/>
  <c r="AA111" i="1"/>
  <c r="AA52" i="1"/>
  <c r="AA29" i="1"/>
  <c r="T29" i="1"/>
  <c r="U29" i="1" s="1"/>
  <c r="S29" i="1" s="1"/>
  <c r="AA36" i="1"/>
  <c r="P27" i="1"/>
  <c r="AI195" i="1"/>
  <c r="AA191" i="1"/>
  <c r="AA168" i="1"/>
  <c r="X110" i="1"/>
  <c r="AG109" i="1"/>
  <c r="U109" i="1" s="1"/>
  <c r="S109" i="1" s="1"/>
  <c r="AA108" i="1"/>
  <c r="AA95" i="1"/>
  <c r="X78" i="1"/>
  <c r="X75" i="1"/>
  <c r="P54" i="1"/>
  <c r="AA53" i="1"/>
  <c r="P44" i="1"/>
  <c r="P42" i="1"/>
  <c r="AA35" i="1"/>
  <c r="AG29" i="1"/>
  <c r="AG24" i="1"/>
  <c r="X174" i="1"/>
  <c r="AA16" i="1"/>
  <c r="W16" i="1" s="1"/>
  <c r="AA176" i="1"/>
  <c r="AA157" i="1"/>
  <c r="X102" i="1"/>
  <c r="T95" i="1"/>
  <c r="U95" i="1" s="1"/>
  <c r="S95" i="1" s="1"/>
  <c r="T75" i="1"/>
  <c r="T74" i="1"/>
  <c r="X49" i="1"/>
  <c r="AI32" i="1"/>
  <c r="U25" i="1"/>
  <c r="S25" i="1" s="1"/>
  <c r="AI24" i="1"/>
  <c r="X178" i="1"/>
  <c r="AA177" i="1"/>
  <c r="AA161" i="1"/>
  <c r="AA155" i="1"/>
  <c r="AA195" i="1"/>
  <c r="W195" i="1" s="1"/>
  <c r="AG189" i="1"/>
  <c r="U189" i="1" s="1"/>
  <c r="S189" i="1" s="1"/>
  <c r="T174" i="1"/>
  <c r="T107" i="1"/>
  <c r="AA103" i="1"/>
  <c r="AA101" i="1"/>
  <c r="AG91" i="1"/>
  <c r="AG83" i="1"/>
  <c r="W83" i="1" s="1"/>
  <c r="AI79" i="1"/>
  <c r="AG71" i="1"/>
  <c r="U71" i="1" s="1"/>
  <c r="X71" i="1"/>
  <c r="AA62" i="1"/>
  <c r="W62" i="1" s="1"/>
  <c r="AA59" i="1"/>
  <c r="AG55" i="1"/>
  <c r="W55" i="1" s="1"/>
  <c r="AA54" i="1"/>
  <c r="AA48" i="1"/>
  <c r="T40" i="1"/>
  <c r="U40" i="1" s="1"/>
  <c r="AA33" i="1"/>
  <c r="W33" i="1" s="1"/>
  <c r="T33" i="1"/>
  <c r="AA31" i="1"/>
  <c r="T28" i="1"/>
  <c r="U28" i="1" s="1"/>
  <c r="AA27" i="1"/>
  <c r="AA21" i="1"/>
  <c r="T21" i="1"/>
  <c r="T16" i="1"/>
  <c r="AA20" i="1"/>
  <c r="AA156" i="1"/>
  <c r="AG197" i="1"/>
  <c r="U197" i="1" s="1"/>
  <c r="S197" i="1" s="1"/>
  <c r="AA189" i="1"/>
  <c r="AA187" i="1"/>
  <c r="W187" i="1" s="1"/>
  <c r="AG174" i="1"/>
  <c r="AA172" i="1"/>
  <c r="W172" i="1" s="1"/>
  <c r="X169" i="1"/>
  <c r="AG168" i="1"/>
  <c r="U168" i="1" s="1"/>
  <c r="S168" i="1" s="1"/>
  <c r="X90" i="1"/>
  <c r="AG85" i="1"/>
  <c r="U85" i="1" s="1"/>
  <c r="AA84" i="1"/>
  <c r="AG59" i="1"/>
  <c r="U59" i="1" s="1"/>
  <c r="AA55" i="1"/>
  <c r="X48" i="1"/>
  <c r="AG36" i="1"/>
  <c r="U36" i="1" s="1"/>
  <c r="X36" i="1"/>
  <c r="AG33" i="1"/>
  <c r="AA32" i="1"/>
  <c r="W32" i="1" s="1"/>
  <c r="AA28" i="1"/>
  <c r="W28" i="1" s="1"/>
  <c r="AG21" i="1"/>
  <c r="W21" i="1" s="1"/>
  <c r="AA19" i="1"/>
  <c r="AA14" i="1"/>
  <c r="W14" i="1" s="1"/>
  <c r="X149" i="1"/>
  <c r="X145" i="1"/>
  <c r="AA127" i="1"/>
  <c r="AG129" i="1"/>
  <c r="U129" i="1" s="1"/>
  <c r="S129" i="1" s="1"/>
  <c r="AA128" i="1"/>
  <c r="W128" i="1" s="1"/>
  <c r="AI163" i="1"/>
  <c r="X161" i="1"/>
  <c r="T145" i="1"/>
  <c r="AA144" i="1"/>
  <c r="W144" i="1" s="1"/>
  <c r="AI126" i="1"/>
  <c r="AG125" i="1"/>
  <c r="U125" i="1" s="1"/>
  <c r="S125" i="1" s="1"/>
  <c r="AA119" i="1"/>
  <c r="R26" i="3"/>
  <c r="T149" i="1"/>
  <c r="U149" i="1" s="1"/>
  <c r="S149" i="1" s="1"/>
  <c r="X129" i="1"/>
  <c r="T128" i="1"/>
  <c r="U128" i="1" s="1"/>
  <c r="S128" i="1" s="1"/>
  <c r="T161" i="1"/>
  <c r="AG145" i="1"/>
  <c r="AI145" i="1" s="1"/>
  <c r="S20" i="3"/>
  <c r="R19" i="3"/>
  <c r="AA131" i="1"/>
  <c r="X164" i="1"/>
  <c r="S28" i="3"/>
  <c r="R20" i="3"/>
  <c r="S19" i="3"/>
  <c r="AA121" i="1"/>
  <c r="AG146" i="1"/>
  <c r="AI146" i="1" s="1"/>
  <c r="AG142" i="1"/>
  <c r="U142" i="1" s="1"/>
  <c r="S142" i="1" s="1"/>
  <c r="AG161" i="1"/>
  <c r="W161" i="1" s="1"/>
  <c r="AA148" i="1"/>
  <c r="W148" i="1" s="1"/>
  <c r="S23" i="3"/>
  <c r="S22" i="3"/>
  <c r="AG138" i="1"/>
  <c r="U138" i="1" s="1"/>
  <c r="S138" i="1" s="1"/>
  <c r="AA163" i="1"/>
  <c r="W163" i="1" s="1"/>
  <c r="S21" i="3"/>
  <c r="AA159" i="1"/>
  <c r="W159" i="1" s="1"/>
  <c r="X157" i="1"/>
  <c r="AA151" i="1"/>
  <c r="AG149" i="1"/>
  <c r="X148" i="1"/>
  <c r="AA146" i="1"/>
  <c r="AA142" i="1"/>
  <c r="AA140" i="1"/>
  <c r="W140" i="1" s="1"/>
  <c r="AI122" i="1"/>
  <c r="AA120" i="1"/>
  <c r="W120" i="1" s="1"/>
  <c r="AA136" i="1"/>
  <c r="AA132" i="1"/>
  <c r="W132" i="1" s="1"/>
  <c r="AI14" i="1"/>
  <c r="T14" i="1"/>
  <c r="U14" i="1" s="1"/>
  <c r="S14" i="1" s="1"/>
  <c r="Y16" i="3"/>
  <c r="R16" i="3"/>
  <c r="Y15" i="3"/>
  <c r="Y21" i="3"/>
  <c r="AD30" i="3"/>
  <c r="Y30" i="3"/>
  <c r="S27" i="3"/>
  <c r="Y19" i="3"/>
  <c r="Y35" i="3"/>
  <c r="R23" i="3"/>
  <c r="Y22" i="3"/>
  <c r="Y9" i="3"/>
  <c r="AD34" i="3"/>
  <c r="AD33" i="3"/>
  <c r="B120" i="6"/>
  <c r="T200" i="1"/>
  <c r="X200" i="1"/>
  <c r="AG200" i="1"/>
  <c r="AG191" i="1"/>
  <c r="AI191" i="1" s="1"/>
  <c r="T191" i="1"/>
  <c r="T175" i="1"/>
  <c r="U175" i="1" s="1"/>
  <c r="S175" i="1" s="1"/>
  <c r="AG175" i="1"/>
  <c r="AI175" i="1" s="1"/>
  <c r="T89" i="1"/>
  <c r="AG89" i="1"/>
  <c r="W89" i="1" s="1"/>
  <c r="X153" i="1"/>
  <c r="AG153" i="1"/>
  <c r="U153" i="1" s="1"/>
  <c r="S153" i="1" s="1"/>
  <c r="X181" i="1"/>
  <c r="AA179" i="1"/>
  <c r="AA164" i="1"/>
  <c r="X160" i="1"/>
  <c r="AA160" i="1"/>
  <c r="W160" i="1" s="1"/>
  <c r="AG156" i="1"/>
  <c r="W156" i="1" s="1"/>
  <c r="X156" i="1"/>
  <c r="AG154" i="1"/>
  <c r="AI154" i="1" s="1"/>
  <c r="X154" i="1"/>
  <c r="X152" i="1"/>
  <c r="AA150" i="1"/>
  <c r="T137" i="1"/>
  <c r="X137" i="1"/>
  <c r="AG137" i="1"/>
  <c r="AI137" i="1" s="1"/>
  <c r="AA137" i="1"/>
  <c r="X125" i="1"/>
  <c r="T196" i="1"/>
  <c r="X196" i="1"/>
  <c r="AG196" i="1"/>
  <c r="W196" i="1" s="1"/>
  <c r="T185" i="1"/>
  <c r="AG185" i="1"/>
  <c r="T166" i="1"/>
  <c r="AG166" i="1"/>
  <c r="AI166" i="1" s="1"/>
  <c r="X150" i="1"/>
  <c r="AG150" i="1"/>
  <c r="AI150" i="1" s="1"/>
  <c r="X140" i="1"/>
  <c r="T126" i="1"/>
  <c r="U126" i="1" s="1"/>
  <c r="S126" i="1" s="1"/>
  <c r="T192" i="1"/>
  <c r="X192" i="1"/>
  <c r="AG192" i="1"/>
  <c r="AI192" i="1" s="1"/>
  <c r="U115" i="1"/>
  <c r="S115" i="1" s="1"/>
  <c r="AA181" i="1"/>
  <c r="W181" i="1" s="1"/>
  <c r="AA180" i="1"/>
  <c r="AA162" i="1"/>
  <c r="AI159" i="1"/>
  <c r="AA154" i="1"/>
  <c r="W154" i="1" s="1"/>
  <c r="AA143" i="1"/>
  <c r="AG141" i="1"/>
  <c r="AI141" i="1" s="1"/>
  <c r="X141" i="1"/>
  <c r="T130" i="1"/>
  <c r="AG130" i="1"/>
  <c r="AI130" i="1" s="1"/>
  <c r="T121" i="1"/>
  <c r="X121" i="1"/>
  <c r="AG121" i="1"/>
  <c r="AI121" i="1" s="1"/>
  <c r="AG118" i="1"/>
  <c r="T118" i="1"/>
  <c r="X118" i="1"/>
  <c r="AA130" i="1"/>
  <c r="AA125" i="1"/>
  <c r="AA188" i="1"/>
  <c r="AA183" i="1"/>
  <c r="AA91" i="1"/>
  <c r="W91" i="1" s="1"/>
  <c r="T79" i="1"/>
  <c r="U79" i="1" s="1"/>
  <c r="S79" i="1" s="1"/>
  <c r="AA68" i="1"/>
  <c r="T67" i="1"/>
  <c r="AA65" i="1"/>
  <c r="X58" i="1"/>
  <c r="AA46" i="1"/>
  <c r="AG44" i="1"/>
  <c r="U44" i="1" s="1"/>
  <c r="AI43" i="1"/>
  <c r="AA34" i="1"/>
  <c r="AA30" i="1"/>
  <c r="AG26" i="1"/>
  <c r="AI26" i="1" s="1"/>
  <c r="AG22" i="1"/>
  <c r="AI22" i="1" s="1"/>
  <c r="AG20" i="1"/>
  <c r="AI20" i="1" s="1"/>
  <c r="X63" i="1"/>
  <c r="X43" i="1"/>
  <c r="U33" i="1"/>
  <c r="AA147" i="1"/>
  <c r="X133" i="1"/>
  <c r="AA133" i="1"/>
  <c r="AA126" i="1"/>
  <c r="W126" i="1" s="1"/>
  <c r="AA124" i="1"/>
  <c r="W124" i="1" s="1"/>
  <c r="AA199" i="1"/>
  <c r="W199" i="1" s="1"/>
  <c r="AA190" i="1"/>
  <c r="W190" i="1" s="1"/>
  <c r="AA184" i="1"/>
  <c r="W184" i="1" s="1"/>
  <c r="AG170" i="1"/>
  <c r="U170" i="1" s="1"/>
  <c r="S170" i="1" s="1"/>
  <c r="X170" i="1"/>
  <c r="AA167" i="1"/>
  <c r="AA118" i="1"/>
  <c r="AA117" i="1"/>
  <c r="AG113" i="1"/>
  <c r="AI113" i="1" s="1"/>
  <c r="AA105" i="1"/>
  <c r="AG103" i="1"/>
  <c r="AI103" i="1" s="1"/>
  <c r="X103" i="1"/>
  <c r="AG101" i="1"/>
  <c r="AA99" i="1"/>
  <c r="T94" i="1"/>
  <c r="U94" i="1" s="1"/>
  <c r="S94" i="1" s="1"/>
  <c r="AA93" i="1"/>
  <c r="X83" i="1"/>
  <c r="AA81" i="1"/>
  <c r="W81" i="1" s="1"/>
  <c r="AA71" i="1"/>
  <c r="AI70" i="1"/>
  <c r="AG67" i="1"/>
  <c r="AA56" i="1"/>
  <c r="AA51" i="1"/>
  <c r="W51" i="1" s="1"/>
  <c r="AA50" i="1"/>
  <c r="AI47" i="1"/>
  <c r="AG34" i="1"/>
  <c r="U34" i="1" s="1"/>
  <c r="AG30" i="1"/>
  <c r="AI30" i="1" s="1"/>
  <c r="AA26" i="1"/>
  <c r="AA22" i="1"/>
  <c r="AG18" i="1"/>
  <c r="U18" i="1" s="1"/>
  <c r="AA178" i="1"/>
  <c r="T178" i="1"/>
  <c r="AG177" i="1"/>
  <c r="U177" i="1" s="1"/>
  <c r="S177" i="1" s="1"/>
  <c r="AG165" i="1"/>
  <c r="U165" i="1" s="1"/>
  <c r="S165" i="1" s="1"/>
  <c r="X165" i="1"/>
  <c r="T160" i="1"/>
  <c r="U160" i="1" s="1"/>
  <c r="S160" i="1" s="1"/>
  <c r="AG158" i="1"/>
  <c r="U158" i="1" s="1"/>
  <c r="S158" i="1" s="1"/>
  <c r="X158" i="1"/>
  <c r="AA145" i="1"/>
  <c r="T144" i="1"/>
  <c r="U144" i="1" s="1"/>
  <c r="S144" i="1" s="1"/>
  <c r="T136" i="1"/>
  <c r="U136" i="1" s="1"/>
  <c r="S136" i="1" s="1"/>
  <c r="AA135" i="1"/>
  <c r="AA134" i="1"/>
  <c r="T133" i="1"/>
  <c r="T120" i="1"/>
  <c r="U120" i="1" s="1"/>
  <c r="S120" i="1" s="1"/>
  <c r="T188" i="1"/>
  <c r="T187" i="1"/>
  <c r="U187" i="1" s="1"/>
  <c r="S187" i="1" s="1"/>
  <c r="AA186" i="1"/>
  <c r="W186" i="1" s="1"/>
  <c r="AG106" i="1"/>
  <c r="X106" i="1"/>
  <c r="X99" i="1"/>
  <c r="AG99" i="1"/>
  <c r="AA85" i="1"/>
  <c r="AG82" i="1"/>
  <c r="X82" i="1"/>
  <c r="AI81" i="1"/>
  <c r="T181" i="1"/>
  <c r="U181" i="1" s="1"/>
  <c r="S181" i="1" s="1"/>
  <c r="T164" i="1"/>
  <c r="T159" i="1"/>
  <c r="U159" i="1" s="1"/>
  <c r="S159" i="1" s="1"/>
  <c r="T132" i="1"/>
  <c r="U132" i="1" s="1"/>
  <c r="S132" i="1" s="1"/>
  <c r="T124" i="1"/>
  <c r="U124" i="1" s="1"/>
  <c r="S124" i="1" s="1"/>
  <c r="AG111" i="1"/>
  <c r="AI111" i="1" s="1"/>
  <c r="AA100" i="1"/>
  <c r="AG97" i="1"/>
  <c r="T93" i="1"/>
  <c r="X94" i="1"/>
  <c r="AG93" i="1"/>
  <c r="AG86" i="1"/>
  <c r="T86" i="1"/>
  <c r="X86" i="1"/>
  <c r="X177" i="1"/>
  <c r="T157" i="1"/>
  <c r="AG178" i="1"/>
  <c r="AI178" i="1" s="1"/>
  <c r="AA165" i="1"/>
  <c r="AG164" i="1"/>
  <c r="AA202" i="1"/>
  <c r="AA158" i="1"/>
  <c r="AG157" i="1"/>
  <c r="T156" i="1"/>
  <c r="AA153" i="1"/>
  <c r="T152" i="1"/>
  <c r="U152" i="1" s="1"/>
  <c r="S152" i="1" s="1"/>
  <c r="AA149" i="1"/>
  <c r="T148" i="1"/>
  <c r="U148" i="1" s="1"/>
  <c r="S148" i="1" s="1"/>
  <c r="X144" i="1"/>
  <c r="AA141" i="1"/>
  <c r="T140" i="1"/>
  <c r="U140" i="1" s="1"/>
  <c r="S140" i="1" s="1"/>
  <c r="X136" i="1"/>
  <c r="AG134" i="1"/>
  <c r="AI134" i="1" s="1"/>
  <c r="AG133" i="1"/>
  <c r="AA129" i="1"/>
  <c r="X126" i="1"/>
  <c r="AA123" i="1"/>
  <c r="AA122" i="1"/>
  <c r="W122" i="1" s="1"/>
  <c r="X120" i="1"/>
  <c r="AA200" i="1"/>
  <c r="W200" i="1" s="1"/>
  <c r="T199" i="1"/>
  <c r="T195" i="1"/>
  <c r="U195" i="1" s="1"/>
  <c r="S195" i="1" s="1"/>
  <c r="AA194" i="1"/>
  <c r="W194" i="1" s="1"/>
  <c r="AA193" i="1"/>
  <c r="AA192" i="1"/>
  <c r="AG188" i="1"/>
  <c r="W188" i="1" s="1"/>
  <c r="AG183" i="1"/>
  <c r="AI183" i="1" s="1"/>
  <c r="T183" i="1"/>
  <c r="T173" i="1"/>
  <c r="U173" i="1" s="1"/>
  <c r="S173" i="1" s="1"/>
  <c r="AA171" i="1"/>
  <c r="AA116" i="1"/>
  <c r="AA115" i="1"/>
  <c r="W115" i="1" s="1"/>
  <c r="AG114" i="1"/>
  <c r="U114" i="1" s="1"/>
  <c r="X114" i="1"/>
  <c r="AA113" i="1"/>
  <c r="AG110" i="1"/>
  <c r="AI110" i="1" s="1"/>
  <c r="T110" i="1"/>
  <c r="AA109" i="1"/>
  <c r="T106" i="1"/>
  <c r="AG105" i="1"/>
  <c r="T99" i="1"/>
  <c r="AA98" i="1"/>
  <c r="T82" i="1"/>
  <c r="T80" i="1"/>
  <c r="X80" i="1"/>
  <c r="AG80" i="1"/>
  <c r="AI80" i="1" s="1"/>
  <c r="X159" i="1"/>
  <c r="AA139" i="1"/>
  <c r="AA138" i="1"/>
  <c r="X132" i="1"/>
  <c r="X124" i="1"/>
  <c r="AA198" i="1"/>
  <c r="W198" i="1" s="1"/>
  <c r="AA197" i="1"/>
  <c r="AA185" i="1"/>
  <c r="T171" i="1"/>
  <c r="X171" i="1"/>
  <c r="AG171" i="1"/>
  <c r="AI171" i="1" s="1"/>
  <c r="AA169" i="1"/>
  <c r="T117" i="1"/>
  <c r="AG117" i="1"/>
  <c r="AA106" i="1"/>
  <c r="AG98" i="1"/>
  <c r="U98" i="1" s="1"/>
  <c r="X98" i="1"/>
  <c r="AA97" i="1"/>
  <c r="T70" i="1"/>
  <c r="U70" i="1" s="1"/>
  <c r="S70" i="1" s="1"/>
  <c r="T63" i="1"/>
  <c r="X53" i="1"/>
  <c r="AG52" i="1"/>
  <c r="U52" i="1" s="1"/>
  <c r="X52" i="1"/>
  <c r="AI51" i="1"/>
  <c r="AG48" i="1"/>
  <c r="T47" i="1"/>
  <c r="U47" i="1" s="1"/>
  <c r="S47" i="1" s="1"/>
  <c r="AA42" i="1"/>
  <c r="W42" i="1" s="1"/>
  <c r="AA39" i="1"/>
  <c r="AA37" i="1"/>
  <c r="AA18" i="1"/>
  <c r="W18" i="1" s="1"/>
  <c r="AA17" i="1"/>
  <c r="T17" i="1"/>
  <c r="AA87" i="1"/>
  <c r="AA75" i="1"/>
  <c r="AG63" i="1"/>
  <c r="AI63" i="1" s="1"/>
  <c r="T62" i="1"/>
  <c r="U62" i="1" s="1"/>
  <c r="S62" i="1" s="1"/>
  <c r="T58" i="1"/>
  <c r="T54" i="1"/>
  <c r="W38" i="1"/>
  <c r="AA182" i="1"/>
  <c r="W182" i="1" s="1"/>
  <c r="AA175" i="1"/>
  <c r="W175" i="1" s="1"/>
  <c r="AA174" i="1"/>
  <c r="W174" i="1" s="1"/>
  <c r="AA173" i="1"/>
  <c r="W173" i="1" s="1"/>
  <c r="AA166" i="1"/>
  <c r="W166" i="1" s="1"/>
  <c r="AA107" i="1"/>
  <c r="W107" i="1" s="1"/>
  <c r="AA104" i="1"/>
  <c r="AA102" i="1"/>
  <c r="W102" i="1" s="1"/>
  <c r="T102" i="1"/>
  <c r="U102" i="1" s="1"/>
  <c r="AA96" i="1"/>
  <c r="AA90" i="1"/>
  <c r="W90" i="1" s="1"/>
  <c r="T90" i="1"/>
  <c r="U90" i="1" s="1"/>
  <c r="S90" i="1" s="1"/>
  <c r="AG87" i="1"/>
  <c r="AI87" i="1" s="1"/>
  <c r="AA78" i="1"/>
  <c r="W78" i="1" s="1"/>
  <c r="AA77" i="1"/>
  <c r="X76" i="1"/>
  <c r="AG75" i="1"/>
  <c r="U75" i="1" s="1"/>
  <c r="AA73" i="1"/>
  <c r="AA72" i="1"/>
  <c r="W72" i="1" s="1"/>
  <c r="X70" i="1"/>
  <c r="AA67" i="1"/>
  <c r="T66" i="1"/>
  <c r="U66" i="1" s="1"/>
  <c r="S66" i="1" s="1"/>
  <c r="AG58" i="1"/>
  <c r="AI58" i="1" s="1"/>
  <c r="AG54" i="1"/>
  <c r="T51" i="1"/>
  <c r="AA49" i="1"/>
  <c r="AG41" i="1"/>
  <c r="AI41" i="1" s="1"/>
  <c r="X41" i="1"/>
  <c r="AA40" i="1"/>
  <c r="W40" i="1" s="1"/>
  <c r="AG37" i="1"/>
  <c r="AI37" i="1" s="1"/>
  <c r="X37" i="1"/>
  <c r="AG17" i="1"/>
  <c r="AA112" i="1"/>
  <c r="AA110" i="1"/>
  <c r="W95" i="1"/>
  <c r="AA92" i="1"/>
  <c r="AA86" i="1"/>
  <c r="U83" i="1"/>
  <c r="AA80" i="1"/>
  <c r="AA64" i="1"/>
  <c r="X62" i="1"/>
  <c r="X59" i="1"/>
  <c r="X55" i="1"/>
  <c r="U32" i="1"/>
  <c r="S32" i="1" s="1"/>
  <c r="AI28" i="1"/>
  <c r="W25" i="1"/>
  <c r="U24" i="1"/>
  <c r="S24" i="1" s="1"/>
  <c r="W180" i="1"/>
  <c r="AI190" i="1"/>
  <c r="AI186" i="1"/>
  <c r="AI182" i="1"/>
  <c r="AI194" i="1"/>
  <c r="W176" i="1"/>
  <c r="W136" i="1"/>
  <c r="AI198" i="1"/>
  <c r="AI174" i="1"/>
  <c r="X180" i="1"/>
  <c r="T180" i="1"/>
  <c r="U180" i="1" s="1"/>
  <c r="S180" i="1" s="1"/>
  <c r="X176" i="1"/>
  <c r="T176" i="1"/>
  <c r="U176" i="1" s="1"/>
  <c r="S176" i="1" s="1"/>
  <c r="X163" i="1"/>
  <c r="T163" i="1"/>
  <c r="U163" i="1" s="1"/>
  <c r="S163" i="1" s="1"/>
  <c r="X128" i="1"/>
  <c r="AA201" i="1"/>
  <c r="U134" i="1"/>
  <c r="S134" i="1" s="1"/>
  <c r="AG179" i="1"/>
  <c r="AI179" i="1" s="1"/>
  <c r="AG203" i="1"/>
  <c r="AG162" i="1"/>
  <c r="AG202" i="1"/>
  <c r="AI202" i="1" s="1"/>
  <c r="AG155" i="1"/>
  <c r="AI155" i="1" s="1"/>
  <c r="AG151" i="1"/>
  <c r="AG147" i="1"/>
  <c r="X146" i="1"/>
  <c r="AG143" i="1"/>
  <c r="AI143" i="1" s="1"/>
  <c r="X142" i="1"/>
  <c r="AG139" i="1"/>
  <c r="X138" i="1"/>
  <c r="AG135" i="1"/>
  <c r="AI135" i="1" s="1"/>
  <c r="X134" i="1"/>
  <c r="AG131" i="1"/>
  <c r="AI131" i="1" s="1"/>
  <c r="X130" i="1"/>
  <c r="AG127" i="1"/>
  <c r="AI127" i="1" s="1"/>
  <c r="T122" i="1"/>
  <c r="U122" i="1" s="1"/>
  <c r="S122" i="1" s="1"/>
  <c r="X122" i="1"/>
  <c r="AG119" i="1"/>
  <c r="AI119" i="1" s="1"/>
  <c r="T119" i="1"/>
  <c r="X119" i="1"/>
  <c r="AI148" i="1"/>
  <c r="U199" i="1"/>
  <c r="S199" i="1" s="1"/>
  <c r="X179" i="1"/>
  <c r="AI200" i="1"/>
  <c r="X203" i="1"/>
  <c r="X162" i="1"/>
  <c r="X202" i="1"/>
  <c r="X155" i="1"/>
  <c r="AI184" i="1"/>
  <c r="X151" i="1"/>
  <c r="AI180" i="1"/>
  <c r="X147" i="1"/>
  <c r="AI176" i="1"/>
  <c r="X143" i="1"/>
  <c r="AI172" i="1"/>
  <c r="X139" i="1"/>
  <c r="X135" i="1"/>
  <c r="AI164" i="1"/>
  <c r="X131" i="1"/>
  <c r="AI160" i="1"/>
  <c r="X127" i="1"/>
  <c r="AI156" i="1"/>
  <c r="AG123" i="1"/>
  <c r="AI123" i="1" s="1"/>
  <c r="T123" i="1"/>
  <c r="X123" i="1"/>
  <c r="AI152" i="1"/>
  <c r="AI129" i="1"/>
  <c r="X198" i="1"/>
  <c r="T198" i="1"/>
  <c r="U198" i="1" s="1"/>
  <c r="S198" i="1" s="1"/>
  <c r="AI144" i="1"/>
  <c r="X194" i="1"/>
  <c r="T194" i="1"/>
  <c r="U194" i="1" s="1"/>
  <c r="S194" i="1" s="1"/>
  <c r="AI140" i="1"/>
  <c r="X190" i="1"/>
  <c r="T190" i="1"/>
  <c r="U190" i="1" s="1"/>
  <c r="S190" i="1" s="1"/>
  <c r="AI136" i="1"/>
  <c r="X186" i="1"/>
  <c r="T186" i="1"/>
  <c r="U186" i="1" s="1"/>
  <c r="S186" i="1" s="1"/>
  <c r="AI132" i="1"/>
  <c r="X182" i="1"/>
  <c r="T182" i="1"/>
  <c r="U182" i="1" s="1"/>
  <c r="S182" i="1" s="1"/>
  <c r="AI128" i="1"/>
  <c r="AI124" i="1"/>
  <c r="T167" i="1"/>
  <c r="X167" i="1"/>
  <c r="AG167" i="1"/>
  <c r="AI167" i="1" s="1"/>
  <c r="T116" i="1"/>
  <c r="X116" i="1"/>
  <c r="AG116" i="1"/>
  <c r="W116" i="1" s="1"/>
  <c r="T112" i="1"/>
  <c r="X112" i="1"/>
  <c r="AG112" i="1"/>
  <c r="AI86" i="1"/>
  <c r="U200" i="1"/>
  <c r="S200" i="1" s="1"/>
  <c r="X199" i="1"/>
  <c r="X195" i="1"/>
  <c r="U192" i="1"/>
  <c r="S192" i="1" s="1"/>
  <c r="X191" i="1"/>
  <c r="X187" i="1"/>
  <c r="U184" i="1"/>
  <c r="S184" i="1" s="1"/>
  <c r="X183" i="1"/>
  <c r="U174" i="1"/>
  <c r="S174" i="1" s="1"/>
  <c r="AI115" i="1"/>
  <c r="AI94" i="1"/>
  <c r="X201" i="1"/>
  <c r="X197" i="1"/>
  <c r="X193" i="1"/>
  <c r="X189" i="1"/>
  <c r="X185" i="1"/>
  <c r="X175" i="1"/>
  <c r="X173" i="1"/>
  <c r="T172" i="1"/>
  <c r="U172" i="1" s="1"/>
  <c r="S172" i="1" s="1"/>
  <c r="X172" i="1"/>
  <c r="W169" i="1"/>
  <c r="T169" i="1"/>
  <c r="U169" i="1" s="1"/>
  <c r="S169" i="1" s="1"/>
  <c r="AI102" i="1"/>
  <c r="AI90" i="1"/>
  <c r="U107" i="1"/>
  <c r="S107" i="1" s="1"/>
  <c r="U91" i="1"/>
  <c r="T77" i="1"/>
  <c r="X77" i="1"/>
  <c r="T76" i="1"/>
  <c r="AI67" i="1"/>
  <c r="AI66" i="1"/>
  <c r="T46" i="1"/>
  <c r="X46" i="1"/>
  <c r="AG46" i="1"/>
  <c r="AI40" i="1"/>
  <c r="AG39" i="1"/>
  <c r="X39" i="1"/>
  <c r="T39" i="1"/>
  <c r="X40" i="1"/>
  <c r="X166" i="1"/>
  <c r="X115" i="1"/>
  <c r="X111" i="1"/>
  <c r="AG108" i="1"/>
  <c r="X107" i="1"/>
  <c r="AG104" i="1"/>
  <c r="AG100" i="1"/>
  <c r="AG96" i="1"/>
  <c r="X95" i="1"/>
  <c r="AG92" i="1"/>
  <c r="X91" i="1"/>
  <c r="AG88" i="1"/>
  <c r="X87" i="1"/>
  <c r="AG84" i="1"/>
  <c r="T81" i="1"/>
  <c r="U81" i="1" s="1"/>
  <c r="X81" i="1"/>
  <c r="AG77" i="1"/>
  <c r="AG76" i="1"/>
  <c r="U74" i="1"/>
  <c r="S74" i="1" s="1"/>
  <c r="T72" i="1"/>
  <c r="U72" i="1" s="1"/>
  <c r="S72" i="1" s="1"/>
  <c r="X72" i="1"/>
  <c r="T69" i="1"/>
  <c r="X69" i="1"/>
  <c r="AG69" i="1"/>
  <c r="T64" i="1"/>
  <c r="X64" i="1"/>
  <c r="AG64" i="1"/>
  <c r="T56" i="1"/>
  <c r="X56" i="1"/>
  <c r="AG56" i="1"/>
  <c r="X108" i="1"/>
  <c r="AI107" i="1"/>
  <c r="X104" i="1"/>
  <c r="X100" i="1"/>
  <c r="AI99" i="1"/>
  <c r="X96" i="1"/>
  <c r="AI95" i="1"/>
  <c r="X92" i="1"/>
  <c r="AI91" i="1"/>
  <c r="X88" i="1"/>
  <c r="X84" i="1"/>
  <c r="T73" i="1"/>
  <c r="X73" i="1"/>
  <c r="AG73" i="1"/>
  <c r="AI72" i="1"/>
  <c r="AI62" i="1"/>
  <c r="T60" i="1"/>
  <c r="X60" i="1"/>
  <c r="AG60" i="1"/>
  <c r="AI42" i="1"/>
  <c r="U16" i="1"/>
  <c r="S16" i="1" s="1"/>
  <c r="X168" i="1"/>
  <c r="X117" i="1"/>
  <c r="X113" i="1"/>
  <c r="X109" i="1"/>
  <c r="X105" i="1"/>
  <c r="X101" i="1"/>
  <c r="X97" i="1"/>
  <c r="X93" i="1"/>
  <c r="X89" i="1"/>
  <c r="X85" i="1"/>
  <c r="X79" i="1"/>
  <c r="T78" i="1"/>
  <c r="U78" i="1" s="1"/>
  <c r="S78" i="1" s="1"/>
  <c r="AA76" i="1"/>
  <c r="X74" i="1"/>
  <c r="T68" i="1"/>
  <c r="X68" i="1"/>
  <c r="AG68" i="1"/>
  <c r="W66" i="1"/>
  <c r="X47" i="1"/>
  <c r="X45" i="1"/>
  <c r="AG45" i="1"/>
  <c r="AI52" i="1"/>
  <c r="X51" i="1"/>
  <c r="T50" i="1"/>
  <c r="X50" i="1"/>
  <c r="T49" i="1"/>
  <c r="AI38" i="1"/>
  <c r="AG65" i="1"/>
  <c r="AG61" i="1"/>
  <c r="AG57" i="1"/>
  <c r="AG53" i="1"/>
  <c r="AG50" i="1"/>
  <c r="AG49" i="1"/>
  <c r="X44" i="1"/>
  <c r="T43" i="1"/>
  <c r="U43" i="1" s="1"/>
  <c r="AA41" i="1"/>
  <c r="W41" i="1" s="1"/>
  <c r="T38" i="1"/>
  <c r="U38" i="1" s="1"/>
  <c r="S38" i="1" s="1"/>
  <c r="X38" i="1"/>
  <c r="T35" i="1"/>
  <c r="X35" i="1"/>
  <c r="AG35" i="1"/>
  <c r="X32" i="1"/>
  <c r="T31" i="1"/>
  <c r="X31" i="1"/>
  <c r="AG31" i="1"/>
  <c r="X28" i="1"/>
  <c r="T27" i="1"/>
  <c r="X27" i="1"/>
  <c r="AG27" i="1"/>
  <c r="X24" i="1"/>
  <c r="T23" i="1"/>
  <c r="X23" i="1"/>
  <c r="AG23" i="1"/>
  <c r="X20" i="1"/>
  <c r="T19" i="1"/>
  <c r="X19" i="1"/>
  <c r="AG19" i="1"/>
  <c r="X16" i="1"/>
  <c r="T15" i="1"/>
  <c r="AG15" i="1"/>
  <c r="X65" i="1"/>
  <c r="X61" i="1"/>
  <c r="X57" i="1"/>
  <c r="U51" i="1"/>
  <c r="S51" i="1" s="1"/>
  <c r="AA45" i="1"/>
  <c r="T42" i="1"/>
  <c r="U42" i="1" s="1"/>
  <c r="S42" i="1" s="1"/>
  <c r="X42" i="1"/>
  <c r="AI34" i="1"/>
  <c r="AI18" i="1"/>
  <c r="X34" i="1"/>
  <c r="AI33" i="1"/>
  <c r="X30" i="1"/>
  <c r="AI29" i="1"/>
  <c r="X26" i="1"/>
  <c r="AI25" i="1"/>
  <c r="X22" i="1"/>
  <c r="AI21" i="1"/>
  <c r="X18" i="1"/>
  <c r="AC8" i="3"/>
  <c r="AD24" i="3"/>
  <c r="Y8" i="3"/>
  <c r="Y24" i="3"/>
  <c r="AD25" i="3"/>
  <c r="AE25" i="3"/>
  <c r="Y17" i="3"/>
  <c r="AD17" i="3"/>
  <c r="AE17" i="3"/>
  <c r="Y31" i="3"/>
  <c r="AD12" i="3"/>
  <c r="AD9" i="3"/>
  <c r="T15" i="3"/>
  <c r="T25" i="3"/>
  <c r="AD21" i="3"/>
  <c r="AD13" i="3"/>
  <c r="AE8" i="3"/>
  <c r="Y26" i="3"/>
  <c r="AD32" i="3"/>
  <c r="AD29" i="3"/>
  <c r="T24" i="3"/>
  <c r="T17" i="3"/>
  <c r="Y33" i="3"/>
  <c r="AE20" i="3"/>
  <c r="T31" i="3"/>
  <c r="Y27" i="3"/>
  <c r="AE12" i="3"/>
  <c r="AD8" i="3"/>
  <c r="T14" i="3"/>
  <c r="T18" i="3"/>
  <c r="AE33" i="3"/>
  <c r="Y14" i="3"/>
  <c r="AE28" i="3"/>
  <c r="Y18" i="3"/>
  <c r="AE23" i="3"/>
  <c r="AE21" i="3"/>
  <c r="T13" i="3"/>
  <c r="Y32" i="3"/>
  <c r="AE15" i="3"/>
  <c r="AE13" i="3"/>
  <c r="T9" i="3"/>
  <c r="T32" i="3"/>
  <c r="AE29" i="3"/>
  <c r="Y34" i="3"/>
  <c r="AE24" i="3"/>
  <c r="Y20" i="3"/>
  <c r="AE16" i="3"/>
  <c r="Y11" i="3"/>
  <c r="AD35" i="3"/>
  <c r="AE34" i="3"/>
  <c r="T16" i="3"/>
  <c r="AD31" i="3"/>
  <c r="AE30" i="3"/>
  <c r="T8" i="3"/>
  <c r="AD27" i="3"/>
  <c r="AE26" i="3"/>
  <c r="T23" i="3"/>
  <c r="AD23" i="3"/>
  <c r="AE22" i="3"/>
  <c r="T22" i="3"/>
  <c r="AD19" i="3"/>
  <c r="AE18" i="3"/>
  <c r="T12" i="3"/>
  <c r="AD15" i="3"/>
  <c r="AE14" i="3"/>
  <c r="T30" i="3"/>
  <c r="AD11" i="3"/>
  <c r="AE10" i="3"/>
  <c r="T35" i="3"/>
  <c r="AC10" i="3"/>
  <c r="AE35" i="3"/>
  <c r="T26" i="3"/>
  <c r="AE31" i="3"/>
  <c r="T7" i="3"/>
  <c r="Y23" i="3"/>
  <c r="AD26" i="3"/>
  <c r="AD22" i="3"/>
  <c r="AD18" i="3"/>
  <c r="AD14" i="3"/>
  <c r="AD10" i="3"/>
  <c r="AE9" i="3"/>
  <c r="Y29" i="3"/>
  <c r="W183" i="1" l="1"/>
  <c r="U67" i="1"/>
  <c r="U121" i="1"/>
  <c r="S121" i="1" s="1"/>
  <c r="W23" i="1"/>
  <c r="AI59" i="1"/>
  <c r="U103" i="1"/>
  <c r="AI98" i="1"/>
  <c r="U141" i="1"/>
  <c r="S141" i="1" s="1"/>
  <c r="U21" i="1"/>
  <c r="U99" i="1"/>
  <c r="W26" i="1"/>
  <c r="W67" i="1"/>
  <c r="U113" i="1"/>
  <c r="W145" i="1"/>
  <c r="W189" i="1"/>
  <c r="W59" i="1"/>
  <c r="U41" i="1"/>
  <c r="W77" i="1"/>
  <c r="AI114" i="1"/>
  <c r="W52" i="1"/>
  <c r="W113" i="1"/>
  <c r="W34" i="1"/>
  <c r="U196" i="1"/>
  <c r="S196" i="1" s="1"/>
  <c r="W69" i="1"/>
  <c r="AI168" i="1"/>
  <c r="AI196" i="1"/>
  <c r="W71" i="1"/>
  <c r="U54" i="1"/>
  <c r="U133" i="1"/>
  <c r="S133" i="1" s="1"/>
  <c r="U86" i="1"/>
  <c r="W129" i="1"/>
  <c r="W193" i="1"/>
  <c r="U58" i="1"/>
  <c r="U110" i="1"/>
  <c r="U93" i="1"/>
  <c r="U82" i="1"/>
  <c r="U188" i="1"/>
  <c r="S188" i="1" s="1"/>
  <c r="W191" i="1"/>
  <c r="W103" i="1"/>
  <c r="W30" i="1"/>
  <c r="AI75" i="1"/>
  <c r="U87" i="1"/>
  <c r="AI142" i="1"/>
  <c r="W98" i="1"/>
  <c r="W109" i="1"/>
  <c r="W141" i="1"/>
  <c r="W85" i="1"/>
  <c r="W106" i="1"/>
  <c r="W22" i="1"/>
  <c r="AI109" i="1"/>
  <c r="W24" i="1"/>
  <c r="W35" i="1"/>
  <c r="W201" i="1"/>
  <c r="U118" i="1"/>
  <c r="W100" i="1"/>
  <c r="U183" i="1"/>
  <c r="S183" i="1" s="1"/>
  <c r="W139" i="1"/>
  <c r="W162" i="1"/>
  <c r="W92" i="1"/>
  <c r="W197" i="1"/>
  <c r="W192" i="1"/>
  <c r="W142" i="1"/>
  <c r="W111" i="1"/>
  <c r="W37" i="1"/>
  <c r="AI55" i="1"/>
  <c r="AI71" i="1"/>
  <c r="AI106" i="1"/>
  <c r="AI118" i="1"/>
  <c r="W147" i="1"/>
  <c r="U191" i="1"/>
  <c r="S191" i="1" s="1"/>
  <c r="U178" i="1"/>
  <c r="S178" i="1" s="1"/>
  <c r="W80" i="1"/>
  <c r="U63" i="1"/>
  <c r="W29" i="1"/>
  <c r="W76" i="1"/>
  <c r="W45" i="1"/>
  <c r="W118" i="1"/>
  <c r="U106" i="1"/>
  <c r="AI158" i="1"/>
  <c r="W185" i="1"/>
  <c r="U55" i="1"/>
  <c r="W101" i="1"/>
  <c r="U137" i="1"/>
  <c r="S137" i="1" s="1"/>
  <c r="AI188" i="1"/>
  <c r="AI170" i="1"/>
  <c r="W138" i="1"/>
  <c r="W64" i="1"/>
  <c r="W88" i="1"/>
  <c r="W96" i="1"/>
  <c r="W112" i="1"/>
  <c r="W86" i="1"/>
  <c r="U37" i="1"/>
  <c r="S37" i="1" s="1"/>
  <c r="W165" i="1"/>
  <c r="U111" i="1"/>
  <c r="S111" i="1" s="1"/>
  <c r="U30" i="1"/>
  <c r="S30" i="1" s="1"/>
  <c r="U130" i="1"/>
  <c r="S130" i="1" s="1"/>
  <c r="AI85" i="1"/>
  <c r="S85" i="1"/>
  <c r="S71" i="1"/>
  <c r="W19" i="1"/>
  <c r="W27" i="1"/>
  <c r="W31" i="1"/>
  <c r="W46" i="1"/>
  <c r="S87" i="1"/>
  <c r="W58" i="1"/>
  <c r="W97" i="1"/>
  <c r="AI82" i="1"/>
  <c r="S82" i="1"/>
  <c r="U20" i="1"/>
  <c r="S20" i="1" s="1"/>
  <c r="U166" i="1"/>
  <c r="S166" i="1" s="1"/>
  <c r="S33" i="1"/>
  <c r="W168" i="1"/>
  <c r="W167" i="1"/>
  <c r="AI54" i="1"/>
  <c r="S54" i="1"/>
  <c r="W114" i="1"/>
  <c r="S114" i="1"/>
  <c r="S86" i="1"/>
  <c r="S106" i="1"/>
  <c r="U22" i="1"/>
  <c r="S22" i="1" s="1"/>
  <c r="S59" i="1"/>
  <c r="AI83" i="1"/>
  <c r="S83" i="1"/>
  <c r="W53" i="1"/>
  <c r="W39" i="1"/>
  <c r="S41" i="1"/>
  <c r="S98" i="1"/>
  <c r="U80" i="1"/>
  <c r="S80" i="1" s="1"/>
  <c r="S110" i="1"/>
  <c r="AI93" i="1"/>
  <c r="S93" i="1"/>
  <c r="W99" i="1"/>
  <c r="S99" i="1"/>
  <c r="U26" i="1"/>
  <c r="S26" i="1" s="1"/>
  <c r="AI44" i="1"/>
  <c r="S44" i="1"/>
  <c r="S118" i="1"/>
  <c r="AI36" i="1"/>
  <c r="S36" i="1"/>
  <c r="W36" i="1"/>
  <c r="S91" i="1"/>
  <c r="U145" i="1"/>
  <c r="S145" i="1" s="1"/>
  <c r="U156" i="1"/>
  <c r="S156" i="1" s="1"/>
  <c r="U164" i="1"/>
  <c r="S164" i="1" s="1"/>
  <c r="U150" i="1"/>
  <c r="S150" i="1" s="1"/>
  <c r="W121" i="1"/>
  <c r="W125" i="1"/>
  <c r="AI139" i="1"/>
  <c r="AI147" i="1"/>
  <c r="W151" i="1"/>
  <c r="AI125" i="1"/>
  <c r="W146" i="1"/>
  <c r="W131" i="1"/>
  <c r="U146" i="1"/>
  <c r="S146" i="1" s="1"/>
  <c r="U161" i="1"/>
  <c r="S161" i="1" s="1"/>
  <c r="AI133" i="1"/>
  <c r="W153" i="1"/>
  <c r="W137" i="1"/>
  <c r="W150" i="1"/>
  <c r="U154" i="1"/>
  <c r="S154" i="1" s="1"/>
  <c r="W149" i="1"/>
  <c r="W130" i="1"/>
  <c r="AI138" i="1"/>
  <c r="W133" i="1"/>
  <c r="I120" i="6"/>
  <c r="G120" i="6"/>
  <c r="H120" i="6"/>
  <c r="F120" i="6"/>
  <c r="J120" i="6"/>
  <c r="B121" i="6"/>
  <c r="W110" i="1"/>
  <c r="W82" i="1"/>
  <c r="U101" i="1"/>
  <c r="S101" i="1" s="1"/>
  <c r="AI101" i="1"/>
  <c r="U157" i="1"/>
  <c r="S157" i="1" s="1"/>
  <c r="W170" i="1"/>
  <c r="W44" i="1"/>
  <c r="U171" i="1"/>
  <c r="S171" i="1" s="1"/>
  <c r="W171" i="1"/>
  <c r="W158" i="1"/>
  <c r="W20" i="1"/>
  <c r="U185" i="1"/>
  <c r="S185" i="1" s="1"/>
  <c r="U89" i="1"/>
  <c r="S89" i="1" s="1"/>
  <c r="AI89" i="1"/>
  <c r="W75" i="1"/>
  <c r="W63" i="1"/>
  <c r="U97" i="1"/>
  <c r="AI97" i="1"/>
  <c r="W134" i="1"/>
  <c r="W157" i="1"/>
  <c r="AI162" i="1"/>
  <c r="W87" i="1"/>
  <c r="U48" i="1"/>
  <c r="S48" i="1" s="1"/>
  <c r="AI48" i="1"/>
  <c r="U117" i="1"/>
  <c r="S117" i="1" s="1"/>
  <c r="AI117" i="1"/>
  <c r="U105" i="1"/>
  <c r="S105" i="1" s="1"/>
  <c r="AI105" i="1"/>
  <c r="W178" i="1"/>
  <c r="W177" i="1"/>
  <c r="W203" i="1"/>
  <c r="AI203" i="1"/>
  <c r="W48" i="1"/>
  <c r="W54" i="1"/>
  <c r="W105" i="1"/>
  <c r="W93" i="1"/>
  <c r="W164" i="1"/>
  <c r="AI151" i="1"/>
  <c r="U17" i="1"/>
  <c r="S17" i="1" s="1"/>
  <c r="AI17" i="1"/>
  <c r="W17" i="1"/>
  <c r="W117" i="1"/>
  <c r="AI112" i="1"/>
  <c r="U112" i="1"/>
  <c r="S112" i="1" s="1"/>
  <c r="AI116" i="1"/>
  <c r="U116" i="1"/>
  <c r="U123" i="1"/>
  <c r="S123" i="1" s="1"/>
  <c r="AI153" i="1"/>
  <c r="U119" i="1"/>
  <c r="S119" i="1" s="1"/>
  <c r="AI149" i="1"/>
  <c r="U127" i="1"/>
  <c r="S127" i="1" s="1"/>
  <c r="AI157" i="1"/>
  <c r="U135" i="1"/>
  <c r="S135" i="1" s="1"/>
  <c r="AI165" i="1"/>
  <c r="U143" i="1"/>
  <c r="S143" i="1" s="1"/>
  <c r="AI173" i="1"/>
  <c r="U155" i="1"/>
  <c r="S155" i="1" s="1"/>
  <c r="AI185" i="1"/>
  <c r="U179" i="1"/>
  <c r="S179" i="1" s="1"/>
  <c r="AI201" i="1"/>
  <c r="W135" i="1"/>
  <c r="W155" i="1"/>
  <c r="AI49" i="1"/>
  <c r="U49" i="1"/>
  <c r="S49" i="1" s="1"/>
  <c r="AI96" i="1"/>
  <c r="U96" i="1"/>
  <c r="S96" i="1" s="1"/>
  <c r="AI108" i="1"/>
  <c r="U108" i="1"/>
  <c r="S108" i="1" s="1"/>
  <c r="AI15" i="1"/>
  <c r="U15" i="1"/>
  <c r="S15" i="1" s="1"/>
  <c r="U50" i="1"/>
  <c r="S50" i="1" s="1"/>
  <c r="AI50" i="1"/>
  <c r="U65" i="1"/>
  <c r="S65" i="1" s="1"/>
  <c r="AI65" i="1"/>
  <c r="AI76" i="1"/>
  <c r="U76" i="1"/>
  <c r="S76" i="1" s="1"/>
  <c r="AI100" i="1"/>
  <c r="U100" i="1"/>
  <c r="W50" i="1"/>
  <c r="U202" i="1"/>
  <c r="S202" i="1" s="1"/>
  <c r="AI189" i="1"/>
  <c r="W202" i="1"/>
  <c r="AI19" i="1"/>
  <c r="U19" i="1"/>
  <c r="S19" i="1" s="1"/>
  <c r="AI23" i="1"/>
  <c r="U23" i="1"/>
  <c r="AI27" i="1"/>
  <c r="U27" i="1"/>
  <c r="S27" i="1" s="1"/>
  <c r="AI31" i="1"/>
  <c r="U31" i="1"/>
  <c r="S31" i="1" s="1"/>
  <c r="U35" i="1"/>
  <c r="AI35" i="1"/>
  <c r="U53" i="1"/>
  <c r="S53" i="1" s="1"/>
  <c r="AI53" i="1"/>
  <c r="W15" i="1"/>
  <c r="AI60" i="1"/>
  <c r="U60" i="1"/>
  <c r="S60" i="1" s="1"/>
  <c r="W60" i="1"/>
  <c r="U69" i="1"/>
  <c r="AI69" i="1"/>
  <c r="AI77" i="1"/>
  <c r="U77" i="1"/>
  <c r="AI84" i="1"/>
  <c r="U84" i="1"/>
  <c r="S84" i="1" s="1"/>
  <c r="AI92" i="1"/>
  <c r="U92" i="1"/>
  <c r="AI104" i="1"/>
  <c r="U104" i="1"/>
  <c r="S104" i="1" s="1"/>
  <c r="AI46" i="1"/>
  <c r="U46" i="1"/>
  <c r="S46" i="1" s="1"/>
  <c r="W84" i="1"/>
  <c r="W108" i="1"/>
  <c r="U131" i="1"/>
  <c r="S131" i="1" s="1"/>
  <c r="AI161" i="1"/>
  <c r="U139" i="1"/>
  <c r="S139" i="1" s="1"/>
  <c r="AI169" i="1"/>
  <c r="U147" i="1"/>
  <c r="S147" i="1" s="1"/>
  <c r="AI177" i="1"/>
  <c r="U162" i="1"/>
  <c r="S162" i="1" s="1"/>
  <c r="AI193" i="1"/>
  <c r="W119" i="1"/>
  <c r="W143" i="1"/>
  <c r="W179" i="1"/>
  <c r="U61" i="1"/>
  <c r="S61" i="1" s="1"/>
  <c r="W61" i="1"/>
  <c r="AI61" i="1"/>
  <c r="AI68" i="1"/>
  <c r="U68" i="1"/>
  <c r="S68" i="1" s="1"/>
  <c r="AI88" i="1"/>
  <c r="U88" i="1"/>
  <c r="S88" i="1" s="1"/>
  <c r="U57" i="1"/>
  <c r="S57" i="1" s="1"/>
  <c r="AI57" i="1"/>
  <c r="W57" i="1"/>
  <c r="AI45" i="1"/>
  <c r="U45" i="1"/>
  <c r="W49" i="1"/>
  <c r="W68" i="1"/>
  <c r="U73" i="1"/>
  <c r="S73" i="1" s="1"/>
  <c r="AI73" i="1"/>
  <c r="AI56" i="1"/>
  <c r="U56" i="1"/>
  <c r="S56" i="1" s="1"/>
  <c r="AI64" i="1"/>
  <c r="U64" i="1"/>
  <c r="S64" i="1" s="1"/>
  <c r="U39" i="1"/>
  <c r="S39" i="1" s="1"/>
  <c r="AI39" i="1"/>
  <c r="W56" i="1"/>
  <c r="W65" i="1"/>
  <c r="W73" i="1"/>
  <c r="W104" i="1"/>
  <c r="AI120" i="1"/>
  <c r="U167" i="1"/>
  <c r="S167" i="1" s="1"/>
  <c r="U151" i="1"/>
  <c r="S151" i="1" s="1"/>
  <c r="AI181" i="1"/>
  <c r="U203" i="1"/>
  <c r="S203" i="1" s="1"/>
  <c r="AI197" i="1"/>
  <c r="W123" i="1"/>
  <c r="W127" i="1"/>
  <c r="B3" i="6"/>
  <c r="G3" i="6" s="1"/>
  <c r="G121" i="6" l="1"/>
  <c r="I121" i="6"/>
  <c r="J121" i="6"/>
  <c r="F121" i="6"/>
  <c r="H121" i="6"/>
  <c r="B122" i="6"/>
  <c r="F3" i="6"/>
  <c r="J3" i="6"/>
  <c r="I3" i="6"/>
  <c r="G122" i="6" l="1"/>
  <c r="I122" i="6"/>
  <c r="F122" i="6"/>
  <c r="J122" i="6"/>
  <c r="H122" i="6"/>
  <c r="B123" i="6"/>
  <c r="AE7" i="3"/>
  <c r="AD7" i="3"/>
  <c r="G123" i="6" l="1"/>
  <c r="I123" i="6"/>
  <c r="J123" i="6"/>
  <c r="F123" i="6"/>
  <c r="H123" i="6"/>
  <c r="B124" i="6"/>
  <c r="B55" i="9"/>
  <c r="B56" i="9"/>
  <c r="B57" i="9"/>
  <c r="C57" i="9" s="1"/>
  <c r="B58" i="9"/>
  <c r="B59" i="9"/>
  <c r="C59" i="9" s="1"/>
  <c r="B60" i="9"/>
  <c r="B61" i="9"/>
  <c r="C61" i="9" s="1"/>
  <c r="B62" i="9"/>
  <c r="I124" i="6" l="1"/>
  <c r="G124" i="6"/>
  <c r="H124" i="6"/>
  <c r="F124" i="6"/>
  <c r="J124" i="6"/>
  <c r="B125" i="6"/>
  <c r="C62" i="9"/>
  <c r="C60" i="9"/>
  <c r="C58" i="9"/>
  <c r="C56" i="9"/>
  <c r="G125" i="6" l="1"/>
  <c r="I125" i="6"/>
  <c r="F125" i="6"/>
  <c r="J125" i="6"/>
  <c r="H125" i="6"/>
  <c r="B126" i="6"/>
  <c r="B50" i="9"/>
  <c r="B51" i="9"/>
  <c r="B52" i="9"/>
  <c r="C52" i="9" s="1"/>
  <c r="B53" i="9"/>
  <c r="B54" i="9"/>
  <c r="G126" i="6" l="1"/>
  <c r="I126" i="6"/>
  <c r="F126" i="6"/>
  <c r="J126" i="6"/>
  <c r="H126" i="6"/>
  <c r="B127" i="6"/>
  <c r="C54" i="9"/>
  <c r="C55" i="9"/>
  <c r="C53" i="9"/>
  <c r="C51" i="9"/>
  <c r="Y13" i="1"/>
  <c r="K13" i="1"/>
  <c r="M13" i="1"/>
  <c r="N13" i="1" s="1"/>
  <c r="V13" i="1"/>
  <c r="AB13" i="1"/>
  <c r="AC13" i="1"/>
  <c r="AD13" i="1"/>
  <c r="X14" i="1" s="1"/>
  <c r="AE13" i="1"/>
  <c r="AF13" i="1"/>
  <c r="AM13" i="1"/>
  <c r="AN13" i="1"/>
  <c r="G127" i="6" l="1"/>
  <c r="I127" i="6"/>
  <c r="J127" i="6"/>
  <c r="F127" i="6"/>
  <c r="H127" i="6"/>
  <c r="B128" i="6"/>
  <c r="T13" i="1"/>
  <c r="X13" i="1"/>
  <c r="AA13" i="1"/>
  <c r="AG13" i="1"/>
  <c r="I128" i="6" l="1"/>
  <c r="G128" i="6"/>
  <c r="H128" i="6"/>
  <c r="F128" i="6"/>
  <c r="J128" i="6"/>
  <c r="B129" i="6"/>
  <c r="W13" i="1"/>
  <c r="U13" i="1"/>
  <c r="S13" i="1" s="1"/>
  <c r="AI13" i="1"/>
  <c r="G129" i="6" l="1"/>
  <c r="I129" i="6"/>
  <c r="F129" i="6"/>
  <c r="J129" i="6"/>
  <c r="H129" i="6"/>
  <c r="B130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G130" i="6" l="1"/>
  <c r="I130" i="6"/>
  <c r="F130" i="6"/>
  <c r="J130" i="6"/>
  <c r="H130" i="6"/>
  <c r="B131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131" i="6" l="1"/>
  <c r="I131" i="6"/>
  <c r="J131" i="6"/>
  <c r="F131" i="6"/>
  <c r="H131" i="6"/>
  <c r="B132" i="6"/>
  <c r="M23" i="5"/>
  <c r="I132" i="6" l="1"/>
  <c r="F132" i="6"/>
  <c r="J132" i="6"/>
  <c r="G132" i="6"/>
  <c r="H132" i="6"/>
  <c r="B133" i="6"/>
  <c r="B31" i="9"/>
  <c r="B32" i="9"/>
  <c r="C33" i="9" s="1"/>
  <c r="G133" i="6" l="1"/>
  <c r="I133" i="6"/>
  <c r="F133" i="6"/>
  <c r="J133" i="6"/>
  <c r="H133" i="6"/>
  <c r="B134" i="6"/>
  <c r="C32" i="9"/>
  <c r="G134" i="6" l="1"/>
  <c r="I134" i="6"/>
  <c r="F134" i="6"/>
  <c r="J134" i="6"/>
  <c r="H134" i="6"/>
  <c r="B135" i="6"/>
  <c r="G3" i="4"/>
  <c r="G4" i="4"/>
  <c r="G5" i="4"/>
  <c r="G6" i="4"/>
  <c r="G7" i="4"/>
  <c r="G8" i="4"/>
  <c r="G9" i="4"/>
  <c r="G10" i="4"/>
  <c r="L13" i="1" s="1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G135" i="6" l="1"/>
  <c r="F135" i="6"/>
  <c r="I135" i="6"/>
  <c r="J135" i="6"/>
  <c r="H135" i="6"/>
  <c r="B136" i="6"/>
  <c r="N29" i="3"/>
  <c r="N7" i="3"/>
  <c r="N20" i="3"/>
  <c r="N26" i="3"/>
  <c r="N8" i="3"/>
  <c r="N12" i="3"/>
  <c r="N27" i="3"/>
  <c r="N19" i="3"/>
  <c r="N28" i="3"/>
  <c r="N15" i="3"/>
  <c r="N16" i="3"/>
  <c r="N14" i="3"/>
  <c r="N22" i="3"/>
  <c r="N33" i="3"/>
  <c r="N30" i="3"/>
  <c r="N31" i="3"/>
  <c r="N32" i="3"/>
  <c r="N9" i="3"/>
  <c r="N35" i="3"/>
  <c r="N23" i="3"/>
  <c r="N24" i="3"/>
  <c r="N21" i="3"/>
  <c r="N25" i="3"/>
  <c r="N34" i="3"/>
  <c r="N17" i="3"/>
  <c r="N18" i="3"/>
  <c r="N13" i="3"/>
  <c r="N11" i="3"/>
  <c r="N10" i="3"/>
  <c r="H3" i="6"/>
  <c r="I136" i="6" l="1"/>
  <c r="G136" i="6"/>
  <c r="H136" i="6"/>
  <c r="F136" i="6"/>
  <c r="J136" i="6"/>
  <c r="B137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137" i="6" l="1"/>
  <c r="I137" i="6"/>
  <c r="F137" i="6"/>
  <c r="J137" i="6"/>
  <c r="H137" i="6"/>
  <c r="B138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38" i="6" l="1"/>
  <c r="I138" i="6"/>
  <c r="J138" i="6"/>
  <c r="H138" i="6"/>
  <c r="F138" i="6"/>
  <c r="B13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G139" i="6" l="1"/>
  <c r="I139" i="6"/>
  <c r="J139" i="6"/>
  <c r="F139" i="6"/>
  <c r="H139" i="6"/>
  <c r="B140" i="6"/>
  <c r="M30" i="5"/>
  <c r="M29" i="5"/>
  <c r="M27" i="5"/>
  <c r="I140" i="6" l="1"/>
  <c r="G140" i="6"/>
  <c r="F140" i="6"/>
  <c r="J140" i="6"/>
  <c r="H140" i="6"/>
  <c r="B141" i="6"/>
  <c r="M26" i="5"/>
  <c r="G141" i="6" l="1"/>
  <c r="I141" i="6"/>
  <c r="F141" i="6"/>
  <c r="J141" i="6"/>
  <c r="H141" i="6"/>
  <c r="B142" i="6"/>
  <c r="AH13" i="1"/>
  <c r="J7" i="1"/>
  <c r="G142" i="6" l="1"/>
  <c r="I142" i="6"/>
  <c r="J142" i="6"/>
  <c r="H142" i="6"/>
  <c r="F142" i="6"/>
  <c r="B143" i="6"/>
  <c r="X6" i="1"/>
  <c r="W6" i="1"/>
  <c r="V6" i="1"/>
  <c r="S6" i="1"/>
  <c r="R2" i="1"/>
  <c r="I2" i="1"/>
  <c r="O6" i="1"/>
  <c r="N6" i="1"/>
  <c r="M6" i="1"/>
  <c r="J6" i="1"/>
  <c r="G143" i="6" l="1"/>
  <c r="I143" i="6"/>
  <c r="F143" i="6"/>
  <c r="J143" i="6"/>
  <c r="H143" i="6"/>
  <c r="B145" i="6"/>
  <c r="B144" i="6"/>
  <c r="P3" i="5"/>
  <c r="I144" i="6" l="1"/>
  <c r="G144" i="6"/>
  <c r="H144" i="6"/>
  <c r="F144" i="6"/>
  <c r="J144" i="6"/>
  <c r="G145" i="6"/>
  <c r="I145" i="6"/>
  <c r="J145" i="6"/>
  <c r="F145" i="6"/>
  <c r="H145" i="6"/>
  <c r="M18" i="5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4" i="6" l="1"/>
  <c r="I4" i="6" s="1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5" i="6" l="1"/>
  <c r="I5" i="6" s="1"/>
  <c r="F4" i="6"/>
  <c r="J4" i="6"/>
  <c r="G4" i="6"/>
  <c r="H4" i="6"/>
  <c r="G259" i="4"/>
  <c r="G260" i="4"/>
  <c r="G261" i="4"/>
  <c r="G262" i="4"/>
  <c r="G263" i="4"/>
  <c r="G264" i="4"/>
  <c r="G265" i="4"/>
  <c r="F5" i="6" l="1"/>
  <c r="J5" i="6"/>
  <c r="G5" i="6"/>
  <c r="H5" i="6"/>
  <c r="B6" i="6"/>
  <c r="I6" i="6" s="1"/>
  <c r="M14" i="5"/>
  <c r="M13" i="5"/>
  <c r="M12" i="5"/>
  <c r="M11" i="5"/>
  <c r="M10" i="5"/>
  <c r="M9" i="5"/>
  <c r="M8" i="5"/>
  <c r="M7" i="5"/>
  <c r="M6" i="5"/>
  <c r="M5" i="5"/>
  <c r="M4" i="5"/>
  <c r="M3" i="5"/>
  <c r="F6" i="6" l="1"/>
  <c r="H6" i="6"/>
  <c r="J6" i="6"/>
  <c r="G6" i="6"/>
  <c r="B7" i="6"/>
  <c r="I7" i="6" s="1"/>
  <c r="O2" i="3"/>
  <c r="O3" i="3" s="1"/>
  <c r="F7" i="6" l="1"/>
  <c r="J7" i="6"/>
  <c r="G7" i="6"/>
  <c r="H7" i="6"/>
  <c r="B8" i="6"/>
  <c r="I8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6" l="1"/>
  <c r="F8" i="6"/>
  <c r="G8" i="6"/>
  <c r="H8" i="6"/>
  <c r="B9" i="6"/>
  <c r="I9" i="6" s="1"/>
  <c r="J8" i="1"/>
  <c r="J4" i="1"/>
  <c r="S8" i="1"/>
  <c r="S4" i="1"/>
  <c r="F9" i="6" l="1"/>
  <c r="J9" i="6"/>
  <c r="H9" i="6"/>
  <c r="G9" i="6"/>
  <c r="B10" i="6"/>
  <c r="I10" i="6" s="1"/>
  <c r="S9" i="1"/>
  <c r="J9" i="1"/>
  <c r="B11" i="6" l="1"/>
  <c r="I11" i="6" s="1"/>
  <c r="F10" i="6"/>
  <c r="G10" i="6"/>
  <c r="J10" i="6"/>
  <c r="H10" i="6"/>
  <c r="S11" i="1"/>
  <c r="A11" i="1"/>
  <c r="B12" i="6" l="1"/>
  <c r="I12" i="6" s="1"/>
  <c r="G11" i="6"/>
  <c r="H11" i="6"/>
  <c r="J11" i="6"/>
  <c r="F11" i="6"/>
  <c r="B1" i="6"/>
  <c r="A5" i="3"/>
  <c r="G12" i="6" l="1"/>
  <c r="F12" i="6"/>
  <c r="J12" i="6"/>
  <c r="H12" i="6"/>
  <c r="B13" i="6"/>
  <c r="I13" i="6" s="1"/>
  <c r="F13" i="6" l="1"/>
  <c r="J13" i="6"/>
  <c r="G13" i="6"/>
  <c r="H13" i="6"/>
  <c r="B14" i="6"/>
  <c r="I14" i="6" s="1"/>
  <c r="B15" i="6" l="1"/>
  <c r="I15" i="6" s="1"/>
  <c r="J14" i="6"/>
  <c r="G14" i="6"/>
  <c r="F14" i="6"/>
  <c r="H14" i="6"/>
  <c r="F15" i="6" l="1"/>
  <c r="G15" i="6"/>
  <c r="H15" i="6"/>
  <c r="J15" i="6"/>
  <c r="B16" i="6"/>
  <c r="I16" i="6" s="1"/>
  <c r="J16" i="6" l="1"/>
  <c r="H16" i="6"/>
  <c r="F16" i="6"/>
  <c r="G16" i="6"/>
  <c r="B17" i="6"/>
  <c r="I17" i="6" s="1"/>
  <c r="B18" i="6" l="1"/>
  <c r="I18" i="6" s="1"/>
  <c r="J17" i="6"/>
  <c r="F17" i="6"/>
  <c r="H17" i="6"/>
  <c r="G17" i="6"/>
  <c r="F18" i="6" l="1"/>
  <c r="G18" i="6"/>
  <c r="H18" i="6"/>
  <c r="J18" i="6"/>
  <c r="B19" i="6"/>
  <c r="I19" i="6" s="1"/>
  <c r="G19" i="6" l="1"/>
  <c r="H19" i="6"/>
  <c r="J19" i="6"/>
  <c r="F19" i="6"/>
  <c r="B20" i="6"/>
  <c r="I20" i="6" s="1"/>
  <c r="F20" i="6" l="1"/>
  <c r="H20" i="6"/>
  <c r="J20" i="6"/>
  <c r="G20" i="6"/>
  <c r="B21" i="6"/>
  <c r="I21" i="6" s="1"/>
  <c r="F21" i="6" l="1"/>
  <c r="J21" i="6"/>
  <c r="G21" i="6"/>
  <c r="H21" i="6"/>
  <c r="B22" i="6"/>
  <c r="I22" i="6" s="1"/>
  <c r="B23" i="6" l="1"/>
  <c r="I23" i="6" s="1"/>
  <c r="F22" i="6"/>
  <c r="H22" i="6"/>
  <c r="J22" i="6"/>
  <c r="G22" i="6"/>
  <c r="F23" i="6" l="1"/>
  <c r="H23" i="6"/>
  <c r="J23" i="6"/>
  <c r="G23" i="6"/>
  <c r="B24" i="6"/>
  <c r="I24" i="6" s="1"/>
  <c r="J24" i="6" l="1"/>
  <c r="H24" i="6"/>
  <c r="F24" i="6"/>
  <c r="G24" i="6"/>
  <c r="B25" i="6"/>
  <c r="I25" i="6" s="1"/>
  <c r="B26" i="6" l="1"/>
  <c r="I26" i="6" s="1"/>
  <c r="F25" i="6"/>
  <c r="G25" i="6"/>
  <c r="H25" i="6"/>
  <c r="J25" i="6"/>
  <c r="B27" i="6" l="1"/>
  <c r="I27" i="6" s="1"/>
  <c r="H26" i="6"/>
  <c r="F26" i="6"/>
  <c r="J26" i="6"/>
  <c r="G26" i="6"/>
  <c r="B28" i="6" l="1"/>
  <c r="I28" i="6" s="1"/>
  <c r="F27" i="6"/>
  <c r="H27" i="6"/>
  <c r="J27" i="6"/>
  <c r="G27" i="6"/>
  <c r="F28" i="6" l="1"/>
  <c r="G28" i="6"/>
  <c r="J28" i="6"/>
  <c r="H28" i="6"/>
  <c r="B29" i="6"/>
  <c r="I29" i="6" s="1"/>
  <c r="F29" i="6" l="1"/>
  <c r="J29" i="6"/>
  <c r="H29" i="6"/>
  <c r="G29" i="6"/>
  <c r="B30" i="6"/>
  <c r="I30" i="6" s="1"/>
  <c r="F30" i="6" l="1"/>
  <c r="H30" i="6"/>
  <c r="G30" i="6"/>
  <c r="J30" i="6"/>
  <c r="B31" i="6"/>
  <c r="I31" i="6" s="1"/>
  <c r="B32" i="6" l="1"/>
  <c r="I32" i="6" s="1"/>
  <c r="G31" i="6"/>
  <c r="F31" i="6"/>
  <c r="H31" i="6"/>
  <c r="J31" i="6"/>
  <c r="J32" i="6" l="1"/>
  <c r="H32" i="6"/>
  <c r="F32" i="6"/>
  <c r="G32" i="6"/>
  <c r="B33" i="6"/>
  <c r="I33" i="6" s="1"/>
  <c r="H33" i="6" l="1"/>
  <c r="J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G36" i="6" l="1"/>
  <c r="F36" i="6"/>
  <c r="H36" i="6"/>
  <c r="J36" i="6"/>
  <c r="B37" i="6"/>
  <c r="I37" i="6" s="1"/>
  <c r="B38" i="6" l="1"/>
  <c r="I38" i="6" s="1"/>
  <c r="J37" i="6"/>
  <c r="G37" i="6"/>
  <c r="F37" i="6"/>
  <c r="H37" i="6"/>
  <c r="B39" i="6" l="1"/>
  <c r="I39" i="6" s="1"/>
  <c r="J38" i="6"/>
  <c r="G38" i="6"/>
  <c r="F38" i="6"/>
  <c r="H38" i="6"/>
  <c r="F39" i="6" l="1"/>
  <c r="H39" i="6"/>
  <c r="J39" i="6"/>
  <c r="G39" i="6"/>
  <c r="B40" i="6"/>
  <c r="I40" i="6" s="1"/>
  <c r="B41" i="6" l="1"/>
  <c r="I41" i="6" s="1"/>
  <c r="F40" i="6"/>
  <c r="G40" i="6"/>
  <c r="J40" i="6"/>
  <c r="H40" i="6"/>
  <c r="G41" i="6" l="1"/>
  <c r="F41" i="6"/>
  <c r="H41" i="6"/>
  <c r="J41" i="6"/>
  <c r="B42" i="6"/>
  <c r="I42" i="6" s="1"/>
  <c r="F42" i="6" l="1"/>
  <c r="J42" i="6"/>
  <c r="G42" i="6"/>
  <c r="H42" i="6"/>
  <c r="B43" i="6"/>
  <c r="I43" i="6" s="1"/>
  <c r="G43" i="6" l="1"/>
  <c r="H43" i="6"/>
  <c r="J43" i="6"/>
  <c r="F43" i="6"/>
  <c r="B44" i="6"/>
  <c r="I44" i="6" s="1"/>
  <c r="B45" i="6" l="1"/>
  <c r="I45" i="6" s="1"/>
  <c r="J44" i="6"/>
  <c r="H44" i="6"/>
  <c r="F44" i="6"/>
  <c r="G44" i="6"/>
  <c r="J45" i="6" l="1"/>
  <c r="G45" i="6"/>
  <c r="F45" i="6"/>
  <c r="H45" i="6"/>
  <c r="B46" i="6"/>
  <c r="I46" i="6" s="1"/>
  <c r="B47" i="6" l="1"/>
  <c r="I47" i="6" s="1"/>
  <c r="G46" i="6"/>
  <c r="J46" i="6"/>
  <c r="F46" i="6"/>
  <c r="H46" i="6"/>
  <c r="F47" i="6" l="1"/>
  <c r="G47" i="6"/>
  <c r="J47" i="6"/>
  <c r="H47" i="6"/>
  <c r="B48" i="6"/>
  <c r="I48" i="6" s="1"/>
  <c r="B49" i="6" l="1"/>
  <c r="I49" i="6" s="1"/>
  <c r="F48" i="6"/>
  <c r="G48" i="6"/>
  <c r="J48" i="6"/>
  <c r="H48" i="6"/>
  <c r="G49" i="6" l="1"/>
  <c r="H49" i="6"/>
  <c r="J49" i="6"/>
  <c r="F49" i="6"/>
  <c r="B50" i="6"/>
  <c r="I50" i="6" s="1"/>
  <c r="B51" i="6" l="1"/>
  <c r="I51" i="6" s="1"/>
  <c r="G50" i="6"/>
  <c r="H50" i="6"/>
  <c r="J50" i="6"/>
  <c r="F50" i="6"/>
  <c r="F51" i="6" l="1"/>
  <c r="G51" i="6"/>
  <c r="H51" i="6"/>
  <c r="J51" i="6"/>
  <c r="B52" i="6"/>
  <c r="I52" i="6" s="1"/>
  <c r="G52" i="6" l="1"/>
  <c r="F52" i="6"/>
  <c r="H52" i="6"/>
  <c r="J52" i="6"/>
  <c r="B53" i="6"/>
  <c r="I53" i="6" s="1"/>
  <c r="B54" i="6" l="1"/>
  <c r="I54" i="6" s="1"/>
  <c r="J53" i="6"/>
  <c r="G53" i="6"/>
  <c r="F53" i="6"/>
  <c r="H53" i="6"/>
  <c r="B55" i="6" l="1"/>
  <c r="I55" i="6" s="1"/>
  <c r="J54" i="6"/>
  <c r="G54" i="6"/>
  <c r="F54" i="6"/>
  <c r="H54" i="6"/>
  <c r="H55" i="6" l="1"/>
  <c r="F55" i="6"/>
  <c r="G55" i="6"/>
  <c r="J55" i="6"/>
  <c r="B56" i="6"/>
  <c r="I56" i="6" s="1"/>
  <c r="B57" i="6" l="1"/>
  <c r="I57" i="6" s="1"/>
  <c r="F56" i="6"/>
  <c r="G56" i="6"/>
  <c r="J56" i="6"/>
  <c r="H56" i="6"/>
  <c r="B58" i="6" l="1"/>
  <c r="I58" i="6" s="1"/>
  <c r="J57" i="6"/>
  <c r="F57" i="6"/>
  <c r="G57" i="6"/>
  <c r="H57" i="6"/>
  <c r="F58" i="6" l="1"/>
  <c r="J58" i="6"/>
  <c r="G58" i="6"/>
  <c r="H58" i="6"/>
  <c r="B59" i="6"/>
  <c r="I59" i="6" s="1"/>
  <c r="H59" i="6" l="1"/>
  <c r="J59" i="6"/>
  <c r="G59" i="6"/>
  <c r="F59" i="6"/>
  <c r="B60" i="6"/>
  <c r="I60" i="6" s="1"/>
  <c r="B61" i="6" l="1"/>
  <c r="I61" i="6" s="1"/>
  <c r="J60" i="6"/>
  <c r="H60" i="6"/>
  <c r="F60" i="6"/>
  <c r="G60" i="6"/>
  <c r="J61" i="6" l="1"/>
  <c r="G61" i="6"/>
  <c r="F61" i="6"/>
  <c r="H61" i="6"/>
  <c r="B62" i="6"/>
  <c r="I62" i="6" s="1"/>
  <c r="G62" i="6" l="1"/>
  <c r="H62" i="6"/>
  <c r="J62" i="6"/>
  <c r="F62" i="6"/>
  <c r="B63" i="6"/>
  <c r="I63" i="6" s="1"/>
  <c r="G63" i="6" l="1"/>
  <c r="F63" i="6"/>
  <c r="H63" i="6"/>
  <c r="J63" i="6"/>
  <c r="B64" i="6"/>
  <c r="I64" i="6" s="1"/>
  <c r="B65" i="6" l="1"/>
  <c r="I65" i="6" s="1"/>
  <c r="J64" i="6"/>
  <c r="F64" i="6"/>
  <c r="H64" i="6"/>
  <c r="G64" i="6"/>
  <c r="B66" i="6" l="1"/>
  <c r="I66" i="6" s="1"/>
  <c r="J65" i="6"/>
  <c r="F65" i="6"/>
  <c r="G65" i="6"/>
  <c r="H65" i="6"/>
  <c r="H66" i="6" l="1"/>
  <c r="G66" i="6"/>
  <c r="F66" i="6"/>
  <c r="J66" i="6"/>
  <c r="B67" i="6"/>
  <c r="I67" i="6" s="1"/>
  <c r="G67" i="6" l="1"/>
  <c r="H67" i="6"/>
  <c r="J67" i="6"/>
  <c r="F67" i="6"/>
  <c r="B68" i="6"/>
  <c r="I68" i="6" s="1"/>
  <c r="B69" i="6" l="1"/>
  <c r="I69" i="6" s="1"/>
  <c r="J68" i="6"/>
  <c r="F68" i="6"/>
  <c r="H68" i="6"/>
  <c r="G68" i="6"/>
  <c r="B70" i="6" l="1"/>
  <c r="I70" i="6" s="1"/>
  <c r="J69" i="6"/>
  <c r="F69" i="6"/>
  <c r="G69" i="6"/>
  <c r="H69" i="6"/>
  <c r="B71" i="6" l="1"/>
  <c r="I71" i="6" s="1"/>
  <c r="J70" i="6"/>
  <c r="F70" i="6"/>
  <c r="G70" i="6"/>
  <c r="H70" i="6"/>
  <c r="J71" i="6" l="1"/>
  <c r="F71" i="6"/>
  <c r="H71" i="6"/>
  <c r="G71" i="6"/>
  <c r="B72" i="6"/>
  <c r="I72" i="6" s="1"/>
  <c r="F72" i="6" l="1"/>
  <c r="J72" i="6"/>
  <c r="H72" i="6"/>
  <c r="G72" i="6"/>
  <c r="B73" i="6"/>
  <c r="I73" i="6" s="1"/>
  <c r="J73" i="6" l="1"/>
  <c r="G73" i="6"/>
  <c r="F73" i="6"/>
  <c r="H73" i="6"/>
  <c r="B74" i="6"/>
  <c r="I74" i="6" s="1"/>
  <c r="B75" i="6" l="1"/>
  <c r="I75" i="6" s="1"/>
  <c r="F74" i="6"/>
  <c r="G74" i="6"/>
  <c r="H74" i="6"/>
  <c r="J74" i="6"/>
  <c r="F75" i="6" l="1"/>
  <c r="G75" i="6"/>
  <c r="H75" i="6"/>
  <c r="J75" i="6"/>
  <c r="B76" i="6"/>
  <c r="I76" i="6" s="1"/>
  <c r="B77" i="6" l="1"/>
  <c r="I77" i="6" s="1"/>
  <c r="J76" i="6"/>
  <c r="F76" i="6"/>
  <c r="G76" i="6"/>
  <c r="H76" i="6"/>
  <c r="F77" i="6" l="1"/>
  <c r="H77" i="6"/>
  <c r="G77" i="6"/>
  <c r="J77" i="6"/>
  <c r="B78" i="6"/>
  <c r="I78" i="6" s="1"/>
  <c r="B79" i="6" l="1"/>
  <c r="I79" i="6" s="1"/>
  <c r="H78" i="6"/>
  <c r="G78" i="6"/>
  <c r="F78" i="6"/>
  <c r="J78" i="6"/>
  <c r="B80" i="6" l="1"/>
  <c r="I80" i="6" s="1"/>
  <c r="J79" i="6"/>
  <c r="H79" i="6"/>
  <c r="F79" i="6"/>
  <c r="G79" i="6"/>
  <c r="J80" i="6" l="1"/>
  <c r="H80" i="6"/>
  <c r="F80" i="6"/>
  <c r="G80" i="6"/>
  <c r="B81" i="6"/>
  <c r="I81" i="6" s="1"/>
  <c r="J81" i="6" l="1"/>
  <c r="F81" i="6"/>
  <c r="H81" i="6"/>
  <c r="G81" i="6"/>
  <c r="B82" i="6"/>
  <c r="I82" i="6" s="1"/>
  <c r="B83" i="6" l="1"/>
  <c r="I83" i="6" s="1"/>
  <c r="F82" i="6"/>
  <c r="J82" i="6"/>
  <c r="G82" i="6"/>
  <c r="H82" i="6"/>
  <c r="B84" i="6" l="1"/>
  <c r="I84" i="6" s="1"/>
  <c r="F83" i="6"/>
  <c r="G83" i="6"/>
  <c r="H83" i="6"/>
  <c r="J83" i="6"/>
  <c r="B85" i="6" l="1"/>
  <c r="I85" i="6" s="1"/>
  <c r="J84" i="6"/>
  <c r="H84" i="6"/>
  <c r="G84" i="6"/>
  <c r="F84" i="6"/>
  <c r="B86" i="6" l="1"/>
  <c r="I86" i="6" s="1"/>
  <c r="H85" i="6"/>
  <c r="J85" i="6"/>
  <c r="F85" i="6"/>
  <c r="G85" i="6"/>
  <c r="G86" i="6" l="1"/>
  <c r="H86" i="6"/>
  <c r="J86" i="6"/>
  <c r="F86" i="6"/>
  <c r="B87" i="6"/>
  <c r="I87" i="6" s="1"/>
  <c r="B88" i="6" l="1"/>
  <c r="I88" i="6" s="1"/>
  <c r="G87" i="6"/>
  <c r="J87" i="6"/>
  <c r="H87" i="6"/>
  <c r="F87" i="6"/>
  <c r="F88" i="6" l="1"/>
  <c r="H88" i="6"/>
  <c r="J88" i="6"/>
  <c r="G88" i="6"/>
  <c r="B89" i="6"/>
  <c r="I89" i="6" s="1"/>
  <c r="H89" i="6" l="1"/>
  <c r="F89" i="6"/>
  <c r="G89" i="6"/>
  <c r="J89" i="6"/>
  <c r="B90" i="6"/>
  <c r="I90" i="6" s="1"/>
  <c r="H90" i="6" l="1"/>
  <c r="G90" i="6"/>
  <c r="F90" i="6"/>
  <c r="J90" i="6"/>
  <c r="B91" i="6"/>
  <c r="I91" i="6" s="1"/>
  <c r="H91" i="6" l="1"/>
  <c r="J91" i="6"/>
  <c r="G91" i="6"/>
  <c r="F91" i="6"/>
  <c r="B92" i="6"/>
  <c r="I92" i="6" s="1"/>
  <c r="J92" i="6" l="1"/>
  <c r="G92" i="6"/>
  <c r="F92" i="6"/>
  <c r="H92" i="6"/>
  <c r="B93" i="6"/>
  <c r="I93" i="6" s="1"/>
  <c r="J93" i="6" l="1"/>
  <c r="F93" i="6"/>
  <c r="H93" i="6"/>
  <c r="G93" i="6"/>
  <c r="B94" i="6"/>
  <c r="I94" i="6" s="1"/>
  <c r="G94" i="6" l="1"/>
  <c r="H94" i="6"/>
  <c r="F94" i="6"/>
  <c r="J94" i="6"/>
  <c r="B95" i="6"/>
  <c r="I95" i="6" s="1"/>
  <c r="B96" i="6" l="1"/>
  <c r="I96" i="6" s="1"/>
  <c r="J95" i="6"/>
  <c r="G95" i="6"/>
  <c r="H95" i="6"/>
  <c r="F95" i="6"/>
  <c r="J96" i="6" l="1"/>
  <c r="F96" i="6"/>
  <c r="H96" i="6"/>
  <c r="G96" i="6"/>
  <c r="B97" i="6"/>
  <c r="I97" i="6" s="1"/>
  <c r="B98" i="6" l="1"/>
  <c r="I98" i="6" s="1"/>
  <c r="J97" i="6"/>
  <c r="G97" i="6"/>
  <c r="H97" i="6"/>
  <c r="F97" i="6"/>
  <c r="B99" i="6" l="1"/>
  <c r="I99" i="6" s="1"/>
  <c r="F98" i="6"/>
  <c r="H98" i="6"/>
  <c r="G98" i="6"/>
  <c r="J98" i="6"/>
  <c r="B100" i="6" l="1"/>
  <c r="I100" i="6" s="1"/>
  <c r="J99" i="6"/>
  <c r="F99" i="6"/>
  <c r="G99" i="6"/>
  <c r="H99" i="6"/>
  <c r="B101" i="6" l="1"/>
  <c r="I101" i="6" s="1"/>
  <c r="J100" i="6"/>
  <c r="H100" i="6"/>
  <c r="G100" i="6"/>
  <c r="F100" i="6"/>
  <c r="G101" i="6" l="1"/>
  <c r="H101" i="6"/>
  <c r="J101" i="6"/>
  <c r="F101" i="6"/>
  <c r="B102" i="6"/>
  <c r="I102" i="6" s="1"/>
  <c r="B103" i="6" l="1"/>
  <c r="I103" i="6" s="1"/>
  <c r="J102" i="6"/>
  <c r="F102" i="6"/>
  <c r="G102" i="6"/>
  <c r="H102" i="6"/>
  <c r="F103" i="6" l="1"/>
  <c r="G103" i="6"/>
  <c r="H103" i="6"/>
  <c r="J103" i="6"/>
  <c r="B104" i="6"/>
  <c r="I104" i="6" s="1"/>
  <c r="F104" i="6" l="1"/>
  <c r="H104" i="6"/>
  <c r="G104" i="6"/>
  <c r="J104" i="6"/>
  <c r="B105" i="6"/>
  <c r="I105" i="6" s="1"/>
  <c r="J105" i="6" l="1"/>
  <c r="H105" i="6"/>
  <c r="F105" i="6"/>
  <c r="G105" i="6"/>
  <c r="B106" i="6"/>
  <c r="I106" i="6" s="1"/>
  <c r="F106" i="6" l="1"/>
  <c r="H106" i="6"/>
  <c r="G106" i="6"/>
  <c r="J106" i="6"/>
  <c r="B107" i="6"/>
  <c r="I107" i="6" s="1"/>
  <c r="F107" i="6" l="1"/>
  <c r="H107" i="6"/>
  <c r="G107" i="6"/>
  <c r="J107" i="6"/>
  <c r="B108" i="6"/>
  <c r="I108" i="6" s="1"/>
  <c r="J108" i="6" l="1"/>
  <c r="F108" i="6"/>
  <c r="G108" i="6"/>
  <c r="H108" i="6"/>
  <c r="B109" i="6"/>
  <c r="I109" i="6" s="1"/>
  <c r="G109" i="6" l="1"/>
  <c r="H109" i="6"/>
  <c r="J109" i="6"/>
  <c r="F109" i="6"/>
  <c r="B110" i="6"/>
  <c r="I110" i="6" s="1"/>
  <c r="B111" i="6" l="1"/>
  <c r="I111" i="6" s="1"/>
  <c r="H110" i="6"/>
  <c r="G110" i="6"/>
  <c r="J110" i="6"/>
  <c r="F110" i="6"/>
  <c r="B112" i="6" l="1"/>
  <c r="I112" i="6" s="1"/>
  <c r="J111" i="6"/>
  <c r="G111" i="6"/>
  <c r="H111" i="6"/>
  <c r="F111" i="6"/>
  <c r="H112" i="6" l="1"/>
  <c r="F112" i="6"/>
  <c r="G112" i="6"/>
  <c r="J112" i="6"/>
  <c r="B113" i="6"/>
  <c r="I113" i="6" s="1"/>
  <c r="F113" i="6" l="1"/>
  <c r="H113" i="6"/>
  <c r="J113" i="6"/>
  <c r="G113" i="6"/>
  <c r="B114" i="6"/>
  <c r="I114" i="6" s="1"/>
  <c r="F114" i="6" l="1"/>
  <c r="G114" i="6"/>
  <c r="J114" i="6"/>
  <c r="H114" i="6"/>
  <c r="B115" i="6"/>
  <c r="I115" i="6" s="1"/>
  <c r="B116" i="6" l="1"/>
  <c r="I116" i="6" s="1"/>
  <c r="H115" i="6"/>
  <c r="J115" i="6"/>
  <c r="F115" i="6"/>
  <c r="G115" i="6"/>
  <c r="B117" i="6" l="1"/>
  <c r="I117" i="6" s="1"/>
  <c r="J116" i="6"/>
  <c r="H116" i="6"/>
  <c r="G116" i="6"/>
  <c r="F116" i="6"/>
  <c r="B119" i="6" l="1"/>
  <c r="I119" i="6" s="1"/>
  <c r="B118" i="6"/>
  <c r="I118" i="6" s="1"/>
  <c r="F117" i="6"/>
  <c r="G117" i="6"/>
  <c r="H117" i="6"/>
  <c r="J117" i="6"/>
  <c r="G118" i="6" l="1"/>
  <c r="H118" i="6"/>
  <c r="J118" i="6"/>
  <c r="F118" i="6"/>
  <c r="J119" i="6"/>
  <c r="F119" i="6"/>
  <c r="G119" i="6"/>
  <c r="H119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<sst xmlns="http://schemas.openxmlformats.org/spreadsheetml/2006/main" count="2534" uniqueCount="863">
  <si>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</si>
  <si>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</si>
  <si>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</si>
  <si>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</si>
  <si>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</si>
  <si>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</si>
  <si>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</si>
  <si>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</si>
  <si>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</si>
  <si>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</si>
  <si>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</si>
  <si>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</si>
  <si>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</si>
  <si>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</si>
  <si>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</si>
  <si>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</si>
  <si>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</si>
  <si>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</si>
  <si>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</si>
  <si>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</si>
  <si>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</si>
  <si>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</si>
  <si>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</si>
  <si>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</si>
  <si>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</si>
  <si>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</si>
  <si>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</si>
  <si>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</si>
  <si>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</si>
  <si>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</si>
  <si>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</si>
  <si>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</si>
  <si>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</si>
  <si>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</si>
  <si>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</si>
  <si>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</si>
  <si>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</si>
  <si>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</si>
  <si>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</si>
  <si>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</si>
  <si>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</si>
  <si>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</si>
  <si>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</si>
  <si>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</si>
  <si>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</si>
  <si>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</si>
  <si>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</si>
  <si>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</si>
  <si>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</si>
  <si>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</si>
  <si>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</si>
  <si>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</si>
  <si>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</si>
  <si>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</si>
  <si>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</si>
  <si>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</si>
  <si>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</si>
  <si>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</si>
  <si>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</si>
  <si>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</si>
  <si>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</si>
  <si>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</si>
  <si>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</si>
  <si>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</si>
  <si>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</si>
  <si>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</si>
  <si>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</si>
  <si>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</si>
  <si>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</si>
  <si>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</si>
  <si>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</si>
  <si>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</si>
  <si>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</si>
  <si>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</si>
  <si>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</si>
  <si>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</si>
  <si>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</si>
  <si>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</si>
  <si>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</si>
  <si>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</si>
  <si>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</si>
  <si>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</si>
  <si>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</si>
  <si>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</si>
  <si>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</si>
  <si>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</si>
  <si>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</si>
  <si>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</si>
  <si>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</si>
  <si>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</si>
  <si>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</si>
  <si>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</si>
  <si>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</si>
  <si>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</si>
  <si>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</si>
  <si>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</si>
  <si>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</si>
  <si>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</si>
  <si>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</si>
  <si>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</si>
  <si>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</si>
  <si>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</si>
  <si>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</si>
  <si>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</si>
  <si>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</si>
  <si>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</si>
  <si>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</si>
  <si>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</si>
  <si>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</si>
  <si>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</si>
  <si>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</si>
  <si>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</si>
  <si>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</si>
  <si>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</si>
  <si>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</si>
  <si>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</si>
  <si>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</si>
  <si>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</si>
  <si>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</si>
  <si>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</si>
  <si>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</si>
  <si>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</si>
  <si>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</si>
  <si>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</si>
  <si>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</si>
  <si>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</si>
  <si>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</si>
  <si>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</si>
  <si>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</si>
  <si>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</si>
  <si>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</si>
  <si>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</si>
  <si>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</si>
  <si>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</si>
  <si>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</si>
  <si>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</si>
  <si>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</si>
  <si>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</si>
  <si>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</si>
  <si>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</si>
  <si>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</si>
  <si>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</si>
  <si>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</si>
  <si>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</si>
  <si>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</si>
  <si>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</si>
  <si>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</si>
  <si>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</si>
  <si>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</si>
  <si>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</si>
  <si>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</si>
  <si>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</si>
  <si>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</si>
  <si>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</si>
  <si>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</si>
  <si>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</si>
  <si>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</si>
  <si>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</si>
  <si>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</si>
  <si>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</si>
  <si>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</si>
  <si>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</si>
  <si>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</si>
  <si>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</si>
  <si>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</si>
  <si>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</si>
  <si>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</si>
  <si>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</si>
  <si>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</si>
  <si>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</si>
  <si>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</si>
  <si>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</si>
  <si>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</si>
  <si>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</si>
  <si>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</si>
  <si>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</si>
  <si>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</si>
  <si>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</si>
  <si>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</si>
  <si>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</si>
  <si>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</si>
  <si>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</si>
  <si>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</si>
  <si>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</si>
  <si>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</si>
  <si>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</si>
  <si>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</si>
  <si>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</si>
  <si>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</si>
  <si>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</si>
  <si>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</si>
  <si>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</si>
  <si>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</si>
  <si>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</si>
  <si>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204:150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</si>
  <si>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</si>
  <si>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</si>
  <si>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</si>
  <si>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</si>
  <si>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</si>
  <si>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</si>
  <si>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</si>
  <si>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</si>
  <si>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</si>
  <si>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</si>
  <si>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</si>
  <si>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</si>
  <si>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</si>
  <si>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</si>
  <si>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</si>
  <si>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</si>
  <si>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</si>
  <si>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</si>
  <si>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</si>
  <si>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</si>
  <si>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</si>
  <si>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</si>
  <si>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</si>
  <si>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</si>
  <si>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</si>
  <si>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</si>
  <si>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</si>
  <si>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</si>
  <si>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</si>
  <si>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</si>
  <si>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</si>
  <si>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</si>
  <si>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rtdc.l.rtdc.4015:itc</t>
  </si>
  <si>
    <t>rtdc.l.rtdc.4029:itc</t>
  </si>
  <si>
    <t>STORY</t>
  </si>
  <si>
    <t>SAMANTHA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</si>
  <si>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</si>
  <si>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</si>
  <si>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</si>
  <si>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</si>
  <si>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</si>
  <si>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</si>
  <si>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</si>
  <si>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</si>
  <si>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</si>
  <si>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</si>
  <si>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</si>
  <si>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</si>
  <si>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</si>
  <si>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</si>
  <si>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</si>
  <si>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</si>
  <si>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</si>
  <si>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</si>
  <si>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</si>
  <si>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</si>
  <si>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</si>
  <si>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</si>
  <si>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</si>
  <si>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</si>
  <si>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</si>
  <si>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</si>
  <si>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</si>
  <si>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</si>
  <si>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</si>
  <si>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</si>
  <si>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</si>
  <si>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</si>
  <si>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</si>
  <si>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204:467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</si>
  <si>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</si>
  <si>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</si>
  <si>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</si>
  <si>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</si>
  <si>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</si>
  <si>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</si>
  <si>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</si>
  <si>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</si>
  <si>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</si>
  <si>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</si>
  <si>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</si>
  <si>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</si>
  <si>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</si>
  <si>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204:139</t>
  </si>
  <si>
    <t>rtdc.l.rtdc.4016:itc</t>
  </si>
  <si>
    <t>rtdc.l.rtdc.4055:itc</t>
  </si>
  <si>
    <t>rtdc.l.rtdc.4057:itc</t>
  </si>
  <si>
    <t>311-01</t>
  </si>
  <si>
    <t>313-01</t>
  </si>
  <si>
    <t>315-01</t>
  </si>
  <si>
    <t>rtdc.l.rtdc.4019:itc</t>
  </si>
  <si>
    <t>SOUTH57-02</t>
  </si>
  <si>
    <t>MACDONALD</t>
  </si>
  <si>
    <t>THOMAS</t>
  </si>
  <si>
    <t>SIMMONS</t>
  </si>
  <si>
    <t>SHYHESHA</t>
  </si>
  <si>
    <t>NORTH55-02</t>
  </si>
  <si>
    <t>311-02</t>
  </si>
  <si>
    <t>244-02</t>
  </si>
  <si>
    <t>313-02</t>
  </si>
  <si>
    <t>315-02</t>
  </si>
  <si>
    <t>204:464</t>
  </si>
  <si>
    <t>rtdc.l.rtdc.4031:itc</t>
  </si>
  <si>
    <t>SAFIEF</t>
  </si>
  <si>
    <t>AEIMEN</t>
  </si>
  <si>
    <t>rtdc.l.rtdc.4032:itc</t>
  </si>
  <si>
    <t>rtdc.l.rtdc.4039:itc</t>
  </si>
  <si>
    <t>204:161</t>
  </si>
  <si>
    <t>rtdc.l.rtdc.4020:itc</t>
  </si>
  <si>
    <t>MOSES</t>
  </si>
  <si>
    <t>BRADLEY</t>
  </si>
  <si>
    <t>rtdc.l.rtdc.4044:itc</t>
  </si>
  <si>
    <t>244-07</t>
  </si>
  <si>
    <t>rtdc.l.rtdc.4002:itc</t>
  </si>
  <si>
    <t>240-07</t>
  </si>
  <si>
    <t>242-07</t>
  </si>
  <si>
    <t>315-07</t>
  </si>
  <si>
    <t>309-07</t>
  </si>
  <si>
    <t>SYS :2017/02/07 12:00:56.685:ENFORCEMENT:Predictive Enforcement Action:  Target Number: 00006033  Target Speed:   0.0  Current Speed:  59.9</t>
  </si>
  <si>
    <t>SYS :2017/02/07 13:55:01.354:ENFORCEMENT:Predictive Enforcement Action:  Target Number: 00001004  Target Speed:   0.0  Current Speed:  15.6</t>
  </si>
  <si>
    <t>SYS :2017/02/07 13:55:01.553:ENFORCEMENT:Predictive Enforcement Action:  Target Number: 00001004  Target Speed:   0.0  Current Speed:  15.6</t>
  </si>
  <si>
    <t>SYS :2017/02/07 13:55:51.548:ENFORCEMENT:Predictive Enforcement Action:  Target Number: 00001004  Target Speed:   0.0  Current Speed:   6.7</t>
  </si>
  <si>
    <t>SYS :2017/02/07 13:55:55.355:ENFORCEMENT:Predictive Enforcement Action:  Target Number: 00001004  Target Speed:   0.0  Current Speed:   7.5</t>
  </si>
  <si>
    <t>SYS :2017/02/07 14:47:08.050:ENFORCEMENT:Predictive Enforcement Action:  Target Number: 00017021  Target Speed:  50.0  Current Speed:  55.6</t>
  </si>
  <si>
    <t>SYS :2017/02/07 14:47:11.537:ENFORCEMENT:Predictive Enforcement Action:  Target Number: 00017021  Target Speed:  47.0  Current Speed:  53.8</t>
  </si>
  <si>
    <t>SYS :2017/02/07 15:36:46.745:ENFORCEMENT:Predictive Enforcement Action:  Target Number: 00001007  Target Speed:   0.0  Current Speed:   4.6</t>
  </si>
  <si>
    <t>SYS :2017/02/07 15:36:46.852:ENFORCEMENT:Predictive Enforcement Action:  Target Number: 00001007  Target Speed:   0.0  Current Speed:   4.6</t>
  </si>
  <si>
    <t>SYS :2017/02/07 15:36:46.859:ENFORCEMENT:Predictive Enforcement Action:  Target Number: 00001007  Target Speed:   0.0  Current Speed:   4.6</t>
  </si>
  <si>
    <t>SYS :2017/02/07 16:06:13.604:ENFORCEMENT:Predictive Enforcement Action:  Target Number: 00017048  Target Speed:   0.0  Current Speed:  23.8</t>
  </si>
  <si>
    <t>SYS :2017/02/07 16:06:14.075:ENFORCEMENT:Predictive Enforcement Action:  Target Number: 00017048  Target Speed:   0.0  Current Speed:  22.8</t>
  </si>
  <si>
    <t>SYS :2017/02/07 16:06:15.192:ENFORCEMENT:Predictive Enforcement Action:  Target Number: 00017048  Target Speed:   0.0  Current Speed:  22.1</t>
  </si>
  <si>
    <t>SYS :2017/02/07 16:30:46.483:ENFORCEMENT:Predictive Enforcement Action:  Target Number: 000060CE  Target Speed:   0.0  Current Speed:  64.8</t>
  </si>
  <si>
    <t>SYS :2017/02/07 17:34:23.659:ENFORCEMENT:Predictive Enforcement Action:  Target Number: 0000100D  Target Speed:   0.0  Current Speed:   5.3</t>
  </si>
  <si>
    <t>SYS :2017/02/07 17:45:09.428:ENFORCEMENT:Predictive Enforcement Action:  Target Number: 00006127  Target Speed:   0.0  Current Speed:  73.7</t>
  </si>
  <si>
    <t>SYS :2017/02/07 17:45:10.066:ENFORCEMENT:Predictive Enforcement Action:  Target Number: 0000612A  Target Speed:   0.0  Current Speed:  73.7</t>
  </si>
  <si>
    <t>SYS :2017/02/07 18:34:46.658:ENFORCEMENT:Predictive Enforcement Action:  Target Number: 00001010  Target Speed:   0.0  Current Speed:   8.6</t>
  </si>
  <si>
    <t>SYS :2017/02/07 18:34:47.434:ENFORCEMENT:Predictive Enforcement Action:  Target Number: 00001010  Target Speed:   0.0  Current Speed:   8.6</t>
  </si>
  <si>
    <t>SYS :2017/02/07 18:55:06.290:ENFORCEMENT:Predictive Enforcement Action:  Target Number: 0001706F  Target Speed:   0.0  Current Speed:  18.4</t>
  </si>
  <si>
    <t>SYS :2017/02/07 18:55:06.899:ENFORCEMENT:Reactive Enforcement Action:  Target Number: 0001706F  Target Speed:   0.0  Current Speed:  18.1</t>
  </si>
  <si>
    <t>SYS :2017/02/07 20:05:48.057:ENFORCEMENT:Predictive Enforcement Action:  Target Number: 0000100F  Target Speed:   0.0  Current Speed:   5.6</t>
  </si>
  <si>
    <t>SYS :2017/02/07 20:05:48.181:ENFORCEMENT:Predictive Enforcement Action:  Target Number: 0000100F  Target Speed:   0.0  Current Speed:   5.6</t>
  </si>
  <si>
    <t>SYS :2017/02/07 20:34:23.331:ENFORCEMENT:Predictive Enforcement Action:  Target Number: 00001009  Target Speed:   0.0  Current Speed:   7.0</t>
  </si>
  <si>
    <t>SYS :2017/02/07 20:36:24.264:ENFORCEMENT:Predictive Enforcement Action:  Target Number: 0000100F  Target Speed:   0.0  Current Speed:   5.3</t>
  </si>
  <si>
    <t>SYS :2017/02/07 20:36:24.468:ENFORCEMENT:Predictive Enforcement Action:  Target Number: 0000100F  Target Speed:   0.0  Current Speed:   5.3</t>
  </si>
  <si>
    <t>SYS :2017/02/07 20:36:24.508:ENFORCEMENT:Predictive Enforcement Action:  Target Number: 0000100F  Target Speed:   0.0  Current Speed:   5.3</t>
  </si>
  <si>
    <t>SYS :2017/02/07 22:35:57.811:ENFORCEMENT:Predictive Enforcement Action:  Target Number: 00001004  Target Speed:   0.0  Current Speed:   4.9</t>
  </si>
  <si>
    <t>SYS :2017/02/07 22:35:57.849:ENFORCEMENT:Predictive Enforcement Action:  Target Number: 00001010  Target Speed:   0.0  Current Speed:   4.9</t>
  </si>
  <si>
    <t>SYS :2017/02/07 22:35:57.963:ENFORCEMENT:Predictive Enforcement Action:  Target Number: 00001010  Target Speed:   0.0  Current Speed:   4.9</t>
  </si>
  <si>
    <t>SYS :2017/02/07 23:09:55.846:ENFORCEMENT:Predictive Enforcement Action:  Target Number: 00001019  Target Speed:   0.0  Current Speed:   1.5</t>
  </si>
  <si>
    <t>SYS :2017/02/07 23:09:57.307:ENFORCEMENT:Predictive Enforcement Action:  Target Number: 00001019  Target Speed:   0.0  Current Speed:   1.5</t>
  </si>
  <si>
    <t>SYS :2017/02/07 23:09:58.017:ENFORCEMENT:Predictive Enforcement Action:  Target Number: 00001018  Target Speed:   0.0  Current Speed:   1.7</t>
  </si>
  <si>
    <t>SYS :2017/02/07 23:26:24.807:ENFORCEMENT:Predictive Enforcement Action:  Target Number: 00001007  Target Speed:   0.0  Current Speed:   2.3</t>
  </si>
  <si>
    <t>SYS :2017/02/07 23:26:24.850:ENFORCEMENT:Predictive Enforcement Action:  Target Number: 00001013  Target Speed:   0.0  Current Speed:   2.3</t>
  </si>
  <si>
    <t>SYS :2017/02/07 23:26:24.964:ENFORCEMENT:Predictive Enforcement Action:  Target Number: 00001012  Target Speed:   0.0  Current Speed:   2.3</t>
  </si>
  <si>
    <t>SYS :2017/02/08 00:04:18.849:ENFORCEMENT:Predictive Enforcement Action:  Target Number: 0000101D  Target Speed:   0.0  Current Speed:   7.8</t>
  </si>
  <si>
    <t>SYS :2017/02/08 00:04:19.016:ENFORCEMENT:Predictive Enforcement Action:  Target Number: 0000101C  Target Speed:   0.0  Current Speed:   7.8</t>
  </si>
  <si>
    <t>SYS :2017/02/08 00:04:19.306:ENFORCEMENT:Predictive Enforcement Action:  Target Number: 0000101D  Target Speed:   0.0  Current Speed:   7.8</t>
  </si>
  <si>
    <t>SYS :2017/02/08 00:05:21.847:ENFORCEMENT:Predictive Enforcement Action:  Target Number: 0000101D  Target Speed:   0.0  Current Speed:   0.9</t>
  </si>
  <si>
    <t>SYS :2017/02/08 00:05:22.014:ENFORCEMENT:Predictive Enforcement Action:  Target Number: 0000101C  Target Speed:   0.0  Current Speed:   0.9</t>
  </si>
  <si>
    <t>SYS :2017/02/08 00:05:22.303:ENFORCEMENT:Predictive Enforcement Action:  Target Number: 0000101D  Target Speed:   0.0  Current Speed:   0.9</t>
  </si>
  <si>
    <t>SYS :2017/02/08 00:23:05.855:ENFORCEMENT:Predictive Enforcement Action:  Target Number: 0000610A  Target Speed:   0.0  Current Speed:   6.0</t>
  </si>
  <si>
    <t>SYS :2017/02/08 00:23:05.963:ENFORCEMENT:Predictive Enforcement Action:  Target Number: 000060D3  Target Speed:   0.0  Current Speed:   6.0</t>
  </si>
  <si>
    <t>SYS :2017/02/08 00:23:06.816:ENFORCEMENT:Predictive Enforcement Action:  Target Number: 00006071  Target Speed:   0.0  Current Speed:   6.0</t>
  </si>
  <si>
    <t>SYS :2017/02/08 00:25:34.816:ENFORCEMENT:Predictive Enforcement Action:  Target Number: 0000100E  Target Speed:   0.0  Current Speed:   3.9</t>
  </si>
  <si>
    <t>SYS :2017/02/08 00:25:34.849:ENFORCEMENT:Predictive Enforcement Action:  Target Number: 0000101A  Target Speed:   0.0  Current Speed:   3.9</t>
  </si>
  <si>
    <t>SYS :2017/02/08 00:25:34.957:ENFORCEMENT:Predictive Enforcement Action:  Target Number: 00001019  Target Speed:   0.0  Current Speed:   3.9</t>
  </si>
  <si>
    <t>SYS :2017/02/08 01:15:29.705:ENFORCEMENT:Predictive Enforcement Action:  Target Number: 00006115  Target Speed:   0.0  Current Speed:  78.8</t>
  </si>
  <si>
    <t>SYS :2017/02/08 01:37:02.029:ENFORCEMENT:Predictive Enforcement Action:  Target Number: 00001014  Target Speed:   0.0  Current Speed:   7.0</t>
  </si>
  <si>
    <t>SYS :2017/02/08 02:06:00.018:ENFORCEMENT:Predictive Enforcement Action:  Target Number: 00001023  Target Speed:   0.0  Current Speed:   8.8</t>
  </si>
  <si>
    <t>SYS :2017/02/08 02:06:01.465:ENFORCEMENT:Predictive Enforcement Action:  Target Number: 00001018  Target Speed:   0.0  Current Speed:   3.1</t>
  </si>
  <si>
    <t>SYS :2017/02/08 02:06:01.888:ENFORCEMENT:Predictive Enforcement Action:  Target Number: 00001018  Target Speed:   0.0  Current Speed:   3.1</t>
  </si>
  <si>
    <t>SYS :2017/02/08 02:06:02.284:ENFORCEMENT:Predictive Enforcement Action:  Target Number: 00001018  Target Speed:   0.0  Current Speed:   3.1</t>
  </si>
  <si>
    <t>SYS :2017/02/08 02:06:41.308:ENFORCEMENT:Predictive Enforcement Action:  Target Number: 00001024  Target Speed:   0.0  Current Speed:   1.7</t>
  </si>
  <si>
    <t>SYS :2017/02/08 02:06:41.848:ENFORCEMENT:Predictive Enforcement Action:  Target Number: 00001024  Target Speed:   0.0  Current Speed:   1.4</t>
  </si>
  <si>
    <t>SYS :2017/02/08 02:06:42.018:ENFORCEMENT:Predictive Enforcement Action:  Target Number: 00001023  Target Speed:   0.0  Current Speed:   1.7</t>
  </si>
  <si>
    <t>SYS :2017/02/08 02:41:52.549:ENFORCEMENT:Predictive Enforcement Action:  Target Number: 0001010E  Target Speed:  30.0  Current Speed:  45.9</t>
  </si>
  <si>
    <t>SYS :2017/02/08 02:41:52.827:ENFORCEMENT:Predictive Enforcement Action:  Target Number: 0001010E  Target Speed:  30.0  Current Speed:  45.9</t>
  </si>
  <si>
    <t>SYS :2017/02/08 02:41:53.183:ENFORCEMENT:Predictive Enforcement Action:  Target Number: 0001010E  Target Speed:  30.0  Current Speed:  45.9</t>
  </si>
  <si>
    <t>SYS :2017/02/08 08:41:20.651:ENFORCEMENT:Predictive Enforcement Action:  Target Number: 000101A9  Target Speed:  40.0  Current Speed:  56.1</t>
  </si>
  <si>
    <t>SYS :2017/02/08 08:41:20.659:ENFORCEMENT:Predictive Enforcement Action:  Target Number: 000101A9  Target Speed:  40.0  Current Speed:  56.1</t>
  </si>
  <si>
    <t>rtdc.l.rtdc.4008:itc</t>
  </si>
  <si>
    <t>rtdc.l.rtdc.4018:itc</t>
  </si>
  <si>
    <t>rtdc.l.rtdc.4017:itc</t>
  </si>
  <si>
    <t>rtdc.l.rtdc.4010:itc</t>
  </si>
  <si>
    <t>DELGADO</t>
  </si>
  <si>
    <t>DIANAH</t>
  </si>
  <si>
    <t>300:58628</t>
  </si>
  <si>
    <t>Wi-MAX data drop</t>
  </si>
  <si>
    <t>rtdc.l.rtdc.4012:itc</t>
  </si>
  <si>
    <t>JOHN</t>
  </si>
  <si>
    <t>YORK</t>
  </si>
  <si>
    <t>EDGAR</t>
  </si>
  <si>
    <t>DAVID</t>
  </si>
  <si>
    <t>SMITH</t>
  </si>
  <si>
    <t>CRAYTON</t>
  </si>
  <si>
    <t>QUNTRELL</t>
  </si>
  <si>
    <t>309-09</t>
  </si>
  <si>
    <t>244-09</t>
  </si>
  <si>
    <t>311-09</t>
  </si>
  <si>
    <t>313-09</t>
  </si>
  <si>
    <t>204:755</t>
  </si>
  <si>
    <t>204:136</t>
  </si>
  <si>
    <t>204:156</t>
  </si>
  <si>
    <t>204:147</t>
  </si>
  <si>
    <t>300:23346</t>
  </si>
  <si>
    <t>SWANSON</t>
  </si>
  <si>
    <t>BRYCE</t>
  </si>
  <si>
    <t>MAELZER</t>
  </si>
  <si>
    <t>KURT</t>
  </si>
  <si>
    <t>DAVIS</t>
  </si>
  <si>
    <t>STEWART</t>
  </si>
  <si>
    <t>ROMERO</t>
  </si>
  <si>
    <t>CHAD</t>
  </si>
  <si>
    <t>LEVIN</t>
  </si>
  <si>
    <t>SCOTT</t>
  </si>
  <si>
    <t>204:477</t>
  </si>
  <si>
    <t>204:138</t>
  </si>
  <si>
    <t>204:176</t>
  </si>
  <si>
    <t>300:58937</t>
  </si>
  <si>
    <t>300:58619</t>
  </si>
  <si>
    <t>300:58933</t>
  </si>
  <si>
    <t>204:1014</t>
  </si>
  <si>
    <t>300:58624</t>
  </si>
  <si>
    <t>300:58935</t>
  </si>
  <si>
    <t>300:58931</t>
  </si>
  <si>
    <t>204:170</t>
  </si>
  <si>
    <t>300:23302</t>
  </si>
  <si>
    <t>241-13</t>
  </si>
  <si>
    <t>242-13</t>
  </si>
  <si>
    <t>OUN</t>
  </si>
  <si>
    <t>ZACK</t>
  </si>
  <si>
    <t>STARKS</t>
  </si>
  <si>
    <t>ANGELINA</t>
  </si>
  <si>
    <t>BONDS</t>
  </si>
  <si>
    <t>REYNALDO</t>
  </si>
  <si>
    <t>rtdc.l.rtdc.4040:itc</t>
  </si>
  <si>
    <t>ROCHA</t>
  </si>
  <si>
    <t>YAOTL</t>
  </si>
  <si>
    <t>CLARK</t>
  </si>
  <si>
    <t>KATHLEEN</t>
  </si>
  <si>
    <t>LEVERE</t>
  </si>
  <si>
    <t>CRAIG</t>
  </si>
  <si>
    <t>DAVIDSON</t>
  </si>
  <si>
    <t>YANG</t>
  </si>
  <si>
    <t>JAN</t>
  </si>
  <si>
    <t>MAGEE</t>
  </si>
  <si>
    <t>KENYA</t>
  </si>
  <si>
    <t>237-13</t>
  </si>
  <si>
    <t>236-13</t>
  </si>
  <si>
    <t>239-13</t>
  </si>
  <si>
    <t>238-13</t>
  </si>
  <si>
    <t>243-13</t>
  </si>
  <si>
    <t>240-13</t>
  </si>
  <si>
    <t>315-13</t>
  </si>
  <si>
    <t>309-13</t>
  </si>
  <si>
    <t>244-13</t>
  </si>
  <si>
    <t>311-13</t>
  </si>
  <si>
    <t>313-13</t>
  </si>
  <si>
    <t>204:757</t>
  </si>
  <si>
    <t>204:132</t>
  </si>
  <si>
    <t>204:766</t>
  </si>
  <si>
    <t>204:730</t>
  </si>
  <si>
    <t>204:172</t>
  </si>
  <si>
    <t>300:23308</t>
  </si>
  <si>
    <t>204:617</t>
  </si>
  <si>
    <t>204:647</t>
  </si>
  <si>
    <t>204:691</t>
  </si>
  <si>
    <t>300:59007</t>
  </si>
  <si>
    <t>300:58960</t>
  </si>
  <si>
    <t>204:652</t>
  </si>
  <si>
    <t>300:58926</t>
  </si>
  <si>
    <t>300:58929</t>
  </si>
  <si>
    <t>300:58621</t>
  </si>
  <si>
    <t>204:974</t>
  </si>
  <si>
    <t>204:654</t>
  </si>
  <si>
    <t>204:986</t>
  </si>
  <si>
    <t>204:934</t>
  </si>
  <si>
    <t>204:645</t>
  </si>
  <si>
    <t>start /low /b %USERPROFILE%\Documents\GitHub\eaglep3\Utilities\DownloadLogsFromS3.py --loco 4012 --day 2017-02-14</t>
  </si>
  <si>
    <t>306-14</t>
  </si>
  <si>
    <t>106-14</t>
  </si>
  <si>
    <t>130-14</t>
  </si>
  <si>
    <t>54-14</t>
  </si>
  <si>
    <t>143-14</t>
  </si>
  <si>
    <t>813-14</t>
  </si>
  <si>
    <t>58-14</t>
  </si>
  <si>
    <t>816-14</t>
  </si>
  <si>
    <t>148-14</t>
  </si>
  <si>
    <t>154-14</t>
  </si>
  <si>
    <t>819-14</t>
  </si>
  <si>
    <t>62-14</t>
  </si>
  <si>
    <t>824-14</t>
  </si>
  <si>
    <t>180-14</t>
  </si>
  <si>
    <t>904-14</t>
  </si>
  <si>
    <t>828-14</t>
  </si>
  <si>
    <t>832-14</t>
  </si>
  <si>
    <t>198-14</t>
  </si>
  <si>
    <t>213-14</t>
  </si>
  <si>
    <t>219-14</t>
  </si>
  <si>
    <t>841-14</t>
  </si>
  <si>
    <t>218-14</t>
  </si>
  <si>
    <t>844-14</t>
  </si>
  <si>
    <t>302-14</t>
  </si>
  <si>
    <t>101-14</t>
  </si>
  <si>
    <t>304-14</t>
  </si>
  <si>
    <t>103-14</t>
  </si>
  <si>
    <t>105-14</t>
  </si>
  <si>
    <t>308-14</t>
  </si>
  <si>
    <t>310-14</t>
  </si>
  <si>
    <t>BEAM</t>
  </si>
  <si>
    <t>ROSS</t>
  </si>
  <si>
    <t>107-14</t>
  </si>
  <si>
    <t>901-14</t>
  </si>
  <si>
    <t>800-14</t>
  </si>
  <si>
    <t>104-14</t>
  </si>
  <si>
    <t>801-14</t>
  </si>
  <si>
    <t>902-14</t>
  </si>
  <si>
    <t>108-14</t>
  </si>
  <si>
    <t>52-14</t>
  </si>
  <si>
    <t>802-14</t>
  </si>
  <si>
    <t>121-14</t>
  </si>
  <si>
    <t>803-14</t>
  </si>
  <si>
    <t>805-14</t>
  </si>
  <si>
    <t>804-14</t>
  </si>
  <si>
    <t>125-14</t>
  </si>
  <si>
    <t>116-14</t>
  </si>
  <si>
    <t>806-14</t>
  </si>
  <si>
    <t>807-14</t>
  </si>
  <si>
    <t>809-14</t>
  </si>
  <si>
    <t>55-14</t>
  </si>
  <si>
    <t>COOLAHAN</t>
  </si>
  <si>
    <t>131-14</t>
  </si>
  <si>
    <t>YANAI</t>
  </si>
  <si>
    <t>IAN</t>
  </si>
  <si>
    <t>808-14</t>
  </si>
  <si>
    <t>135-14</t>
  </si>
  <si>
    <t>126-14</t>
  </si>
  <si>
    <t>CUSHING</t>
  </si>
  <si>
    <t>HARRY</t>
  </si>
  <si>
    <t>810-14</t>
  </si>
  <si>
    <t>811-14</t>
  </si>
  <si>
    <t>903-14</t>
  </si>
  <si>
    <t>812-14</t>
  </si>
  <si>
    <t>139-14</t>
  </si>
  <si>
    <t>134-14</t>
  </si>
  <si>
    <t>LOZA</t>
  </si>
  <si>
    <t>FIDEL</t>
  </si>
  <si>
    <t>57-14</t>
  </si>
  <si>
    <t>59-14</t>
  </si>
  <si>
    <t>140-14</t>
  </si>
  <si>
    <t>814-14</t>
  </si>
  <si>
    <t>149-14</t>
  </si>
  <si>
    <t>815-14</t>
  </si>
  <si>
    <t>153-14</t>
  </si>
  <si>
    <t>STRICKLAND</t>
  </si>
  <si>
    <t>EVAN</t>
  </si>
  <si>
    <t>60-14</t>
  </si>
  <si>
    <t>157-14</t>
  </si>
  <si>
    <t>159-14</t>
  </si>
  <si>
    <t>152-14</t>
  </si>
  <si>
    <t>161-14</t>
  </si>
  <si>
    <t>817-14</t>
  </si>
  <si>
    <t>818-14</t>
  </si>
  <si>
    <t>156-14</t>
  </si>
  <si>
    <t>165-14</t>
  </si>
  <si>
    <t>167-14</t>
  </si>
  <si>
    <t>171-14</t>
  </si>
  <si>
    <t>820-14</t>
  </si>
  <si>
    <t>166-14</t>
  </si>
  <si>
    <t>175-14</t>
  </si>
  <si>
    <t>164-14</t>
  </si>
  <si>
    <t>821-14</t>
  </si>
  <si>
    <t>177-14</t>
  </si>
  <si>
    <t>BRANNON</t>
  </si>
  <si>
    <t>JEFFREY</t>
  </si>
  <si>
    <t>170-14</t>
  </si>
  <si>
    <t>822-14</t>
  </si>
  <si>
    <t>181-14</t>
  </si>
  <si>
    <t>174-14</t>
  </si>
  <si>
    <t>183-14</t>
  </si>
  <si>
    <t>823-14</t>
  </si>
  <si>
    <t>176-14</t>
  </si>
  <si>
    <t>189-14</t>
  </si>
  <si>
    <t>191-14</t>
  </si>
  <si>
    <t>193-14</t>
  </si>
  <si>
    <t>184-14</t>
  </si>
  <si>
    <t>825-14</t>
  </si>
  <si>
    <t>186-14</t>
  </si>
  <si>
    <t>826-14</t>
  </si>
  <si>
    <t>827-14</t>
  </si>
  <si>
    <t>199-14</t>
  </si>
  <si>
    <t>201-14</t>
  </si>
  <si>
    <t>829-14</t>
  </si>
  <si>
    <t>190-14</t>
  </si>
  <si>
    <t>831-14</t>
  </si>
  <si>
    <t>196-14</t>
  </si>
  <si>
    <t>830-14</t>
  </si>
  <si>
    <t>207-14</t>
  </si>
  <si>
    <t>833-14</t>
  </si>
  <si>
    <t>204-14</t>
  </si>
  <si>
    <t>211-14</t>
  </si>
  <si>
    <t>835-14</t>
  </si>
  <si>
    <t>834-14</t>
  </si>
  <si>
    <t>75-14</t>
  </si>
  <si>
    <t>836-14</t>
  </si>
  <si>
    <t>210-14</t>
  </si>
  <si>
    <t>837-14</t>
  </si>
  <si>
    <t>77-14</t>
  </si>
  <si>
    <t>208-14</t>
  </si>
  <si>
    <t>839-14</t>
  </si>
  <si>
    <t>838-14</t>
  </si>
  <si>
    <t>79-14</t>
  </si>
  <si>
    <t>906-14</t>
  </si>
  <si>
    <t>223-14</t>
  </si>
  <si>
    <t>216-14</t>
  </si>
  <si>
    <t>840-14</t>
  </si>
  <si>
    <t>225-14</t>
  </si>
  <si>
    <t>222-14</t>
  </si>
  <si>
    <t>843-14</t>
  </si>
  <si>
    <t>227-14</t>
  </si>
  <si>
    <t>842-14</t>
  </si>
  <si>
    <t>228-14</t>
  </si>
  <si>
    <t>224-14</t>
  </si>
  <si>
    <t>229-14</t>
  </si>
  <si>
    <t>845-14</t>
  </si>
  <si>
    <t>226-14</t>
  </si>
  <si>
    <t>231-14</t>
  </si>
  <si>
    <t>847-14</t>
  </si>
  <si>
    <t>233-14</t>
  </si>
  <si>
    <t>235-14</t>
  </si>
  <si>
    <t>230-14</t>
  </si>
  <si>
    <t>71-14</t>
  </si>
  <si>
    <t>908-14</t>
  </si>
  <si>
    <t>232-14</t>
  </si>
  <si>
    <t>237-14</t>
  </si>
  <si>
    <t>234-14</t>
  </si>
  <si>
    <t>239-14</t>
  </si>
  <si>
    <t>72-14</t>
  </si>
  <si>
    <t>241-14</t>
  </si>
  <si>
    <t>86-14</t>
  </si>
  <si>
    <t>238-14</t>
  </si>
  <si>
    <t>243-14</t>
  </si>
  <si>
    <t>84-14</t>
  </si>
  <si>
    <t>240-14</t>
  </si>
  <si>
    <t>315-14</t>
  </si>
  <si>
    <t>242-14</t>
  </si>
  <si>
    <t>309-14</t>
  </si>
  <si>
    <t>311-14</t>
  </si>
  <si>
    <t>244-14</t>
  </si>
  <si>
    <t>313-14</t>
  </si>
  <si>
    <t>fog</t>
  </si>
  <si>
    <t>Foggy</t>
  </si>
  <si>
    <t>clear-night</t>
  </si>
  <si>
    <t>Clear</t>
  </si>
  <si>
    <t>clear-day</t>
  </si>
  <si>
    <t>204:86380</t>
  </si>
  <si>
    <t>204:86351</t>
  </si>
  <si>
    <t>204:86307</t>
  </si>
  <si>
    <t>204:719</t>
  </si>
  <si>
    <t>204:64072</t>
  </si>
  <si>
    <t>204:129</t>
  </si>
  <si>
    <t>204:86352</t>
  </si>
  <si>
    <t>204:81825</t>
  </si>
  <si>
    <t>204:86378</t>
  </si>
  <si>
    <t>204:71045</t>
  </si>
  <si>
    <t>204:433</t>
  </si>
  <si>
    <t>204:86364</t>
  </si>
  <si>
    <t>204:82106</t>
  </si>
  <si>
    <t>204:86168</t>
  </si>
  <si>
    <t>204:763</t>
  </si>
  <si>
    <t>204:741</t>
  </si>
  <si>
    <t>204:1939</t>
  </si>
  <si>
    <t>204:82604</t>
  </si>
  <si>
    <t>204:770</t>
  </si>
  <si>
    <t>204:86379</t>
  </si>
  <si>
    <t>204:86201</t>
  </si>
  <si>
    <t>204:772</t>
  </si>
  <si>
    <t>204:1018</t>
  </si>
  <si>
    <t>204:36721</t>
  </si>
  <si>
    <t>204:62280</t>
  </si>
  <si>
    <t>204:61148</t>
  </si>
  <si>
    <t>204:85551</t>
  </si>
  <si>
    <t>204:64125</t>
  </si>
  <si>
    <t>204:754</t>
  </si>
  <si>
    <t>204:64098</t>
  </si>
  <si>
    <t>204:826</t>
  </si>
  <si>
    <t>204:64102</t>
  </si>
  <si>
    <t>204:112</t>
  </si>
  <si>
    <t>204:64074</t>
  </si>
  <si>
    <t>204:1473</t>
  </si>
  <si>
    <t>204:759</t>
  </si>
  <si>
    <t>204:781</t>
  </si>
  <si>
    <t>204:36733</t>
  </si>
  <si>
    <t>204:774</t>
  </si>
  <si>
    <t>204:744</t>
  </si>
  <si>
    <t>204:64076</t>
  </si>
  <si>
    <t>204:706</t>
  </si>
  <si>
    <t>204:64119</t>
  </si>
  <si>
    <t>204:748</t>
  </si>
  <si>
    <t>204:64088</t>
  </si>
  <si>
    <t>204:1694</t>
  </si>
  <si>
    <t>204:783</t>
  </si>
  <si>
    <t>204:64107</t>
  </si>
  <si>
    <t>204:876</t>
  </si>
  <si>
    <t>204:64047</t>
  </si>
  <si>
    <t>204:64111</t>
  </si>
  <si>
    <t>204:123</t>
  </si>
  <si>
    <t>204:788</t>
  </si>
  <si>
    <t>204:775</t>
  </si>
  <si>
    <t>204:67675</t>
  </si>
  <si>
    <t>204:64104</t>
  </si>
  <si>
    <t>204:63</t>
  </si>
  <si>
    <t>204:690</t>
  </si>
  <si>
    <t>204:761</t>
  </si>
  <si>
    <t>204:765</t>
  </si>
  <si>
    <t>204:64094</t>
  </si>
  <si>
    <t>204:721</t>
  </si>
  <si>
    <t>204:36724</t>
  </si>
  <si>
    <t>204:743</t>
  </si>
  <si>
    <t>204:64069</t>
  </si>
  <si>
    <t>204:64167</t>
  </si>
  <si>
    <t>204:165</t>
  </si>
  <si>
    <t>204:86361</t>
  </si>
  <si>
    <t>204:81787</t>
  </si>
  <si>
    <t>204:491</t>
  </si>
  <si>
    <t>204:86375</t>
  </si>
  <si>
    <t>204:752</t>
  </si>
  <si>
    <t>204:36705</t>
  </si>
  <si>
    <t>204:34848</t>
  </si>
  <si>
    <t>204:64071</t>
  </si>
  <si>
    <t>204:61508</t>
  </si>
  <si>
    <t>204:768</t>
  </si>
  <si>
    <t>204:64169</t>
  </si>
  <si>
    <t>204:86374</t>
  </si>
  <si>
    <t>204:64084</t>
  </si>
  <si>
    <t>204:653</t>
  </si>
  <si>
    <t>204:64172</t>
  </si>
  <si>
    <t>204:371</t>
  </si>
  <si>
    <t>204:486</t>
  </si>
  <si>
    <t>204:64082</t>
  </si>
  <si>
    <t>204:64178</t>
  </si>
  <si>
    <t>204:198</t>
  </si>
  <si>
    <t>204:86360</t>
  </si>
  <si>
    <t>204:64163</t>
  </si>
  <si>
    <t>204:367</t>
  </si>
  <si>
    <t>300:23165</t>
  </si>
  <si>
    <t>300:19496</t>
  </si>
  <si>
    <t>300:25120</t>
  </si>
  <si>
    <t>300:24580</t>
  </si>
  <si>
    <t>300:22140</t>
  </si>
  <si>
    <t>300:20059</t>
  </si>
  <si>
    <t>204:301</t>
  </si>
  <si>
    <t>204:506</t>
  </si>
  <si>
    <t>300:23304</t>
  </si>
  <si>
    <t>204:683</t>
  </si>
  <si>
    <t>204:637</t>
  </si>
  <si>
    <t>300:19070</t>
  </si>
  <si>
    <t>204:393</t>
  </si>
  <si>
    <t>204:5302</t>
  </si>
  <si>
    <t>300:21180</t>
  </si>
  <si>
    <t>204:86350</t>
  </si>
  <si>
    <t>204:128006</t>
  </si>
  <si>
    <t>204:55831</t>
  </si>
  <si>
    <t>204:128009</t>
  </si>
  <si>
    <t>204:67375</t>
  </si>
  <si>
    <t>204:1160</t>
  </si>
  <si>
    <t>204:128263</t>
  </si>
  <si>
    <t>204:56157</t>
  </si>
  <si>
    <t>204:128271</t>
  </si>
  <si>
    <t>204:67703</t>
  </si>
  <si>
    <t>204:128268</t>
  </si>
  <si>
    <t>204:67983</t>
  </si>
  <si>
    <t>204:128275</t>
  </si>
  <si>
    <t>204:68278</t>
  </si>
  <si>
    <t>204:128010</t>
  </si>
  <si>
    <t>204:67659</t>
  </si>
  <si>
    <t>204:1506</t>
  </si>
  <si>
    <t>204:1152</t>
  </si>
  <si>
    <t>300:58617</t>
  </si>
  <si>
    <t>204:1039</t>
  </si>
  <si>
    <t>204:1006</t>
  </si>
  <si>
    <t>300:58660</t>
  </si>
  <si>
    <t>204:720</t>
  </si>
  <si>
    <t>204:1037</t>
  </si>
  <si>
    <t>204:762</t>
  </si>
  <si>
    <t>300:58982</t>
  </si>
  <si>
    <t>300:58662</t>
  </si>
  <si>
    <t>204:713</t>
  </si>
  <si>
    <t>204:1049</t>
  </si>
  <si>
    <t>204:918</t>
  </si>
  <si>
    <t>204:1007</t>
  </si>
  <si>
    <t>300:58973</t>
  </si>
  <si>
    <t>300:58658</t>
  </si>
  <si>
    <t>204:708</t>
  </si>
  <si>
    <t>204:1011</t>
  </si>
  <si>
    <t>300:58944</t>
  </si>
  <si>
    <t>300:58636</t>
  </si>
  <si>
    <t>300:58638</t>
  </si>
  <si>
    <t>204:776</t>
  </si>
  <si>
    <t>204:1070</t>
  </si>
  <si>
    <t>300:58950</t>
  </si>
  <si>
    <t>204:995</t>
  </si>
  <si>
    <t>300:58965</t>
  </si>
  <si>
    <t>300:58655</t>
  </si>
  <si>
    <t>204:1002</t>
  </si>
  <si>
    <t>204:629</t>
  </si>
  <si>
    <t>204:929</t>
  </si>
  <si>
    <t>300:58608</t>
  </si>
  <si>
    <t>204:628</t>
  </si>
  <si>
    <t>204:936</t>
  </si>
  <si>
    <t>300:58948</t>
  </si>
  <si>
    <t>204:932</t>
  </si>
  <si>
    <t>300:58986</t>
  </si>
  <si>
    <t>204:943</t>
  </si>
  <si>
    <t>204:1048</t>
  </si>
  <si>
    <t>300:59005</t>
  </si>
  <si>
    <t>300:58683</t>
  </si>
  <si>
    <t>204:661</t>
  </si>
  <si>
    <t>204:930</t>
  </si>
  <si>
    <t>204:946</t>
  </si>
  <si>
    <t>300:58976</t>
  </si>
  <si>
    <t>204:939</t>
  </si>
  <si>
    <t>204:128020</t>
  </si>
  <si>
    <t>204:67952</t>
  </si>
  <si>
    <t>204:944</t>
  </si>
  <si>
    <t>300:58707</t>
  </si>
  <si>
    <t>300:58990</t>
  </si>
  <si>
    <t>204:64184</t>
  </si>
  <si>
    <t>300:30112</t>
  </si>
  <si>
    <t>300:58943</t>
  </si>
  <si>
    <t>300:21833</t>
  </si>
  <si>
    <t>204:703</t>
  </si>
  <si>
    <t>204:1219</t>
  </si>
  <si>
    <t>300:24248</t>
  </si>
  <si>
    <t>300:23023</t>
  </si>
  <si>
    <t>300:58672</t>
  </si>
  <si>
    <t>300:28797</t>
  </si>
  <si>
    <t>300:58675</t>
  </si>
  <si>
    <t>300:21221</t>
  </si>
  <si>
    <t>start /low /b %USERPROFILE%\Documents\GitHub\eaglep3\Utilities\DownloadLogsFromS3.py --loco 4029 --day 2017-02-14</t>
  </si>
  <si>
    <t>start /low /b %USERPROFILE%\Documents\GitHub\eaglep3\Utilities\DownloadLogsFromS3.py --loco 4017 --day 2017-02-14</t>
  </si>
  <si>
    <t>start /low /b %USERPROFILE%\Documents\GitHub\eaglep3\Utilities\DownloadLogsFromS3.py --loco 4040 --day 2017-02-14</t>
  </si>
  <si>
    <t>start /low /b %USERPROFILE%\Documents\GitHub\eaglep3\Utilities\DownloadLogsFromS3.py --loco 4039 --day 2017-02-14</t>
  </si>
  <si>
    <t>start /low /b %USERPROFILE%\Documents\GitHub\eaglep3\Utilities\DownloadLogsFromS3.py --loco 4008 --day 2017-02-14</t>
  </si>
  <si>
    <t>start /low /b %USERPROFILE%\Documents\GitHub\eaglep3\Utilities\DownloadLogsFromS3.py --loco 4019 --day 2017-02-14</t>
  </si>
  <si>
    <t>start /low /b %USERPROFILE%\Documents\GitHub\eaglep3\Utilities\DownloadLogsFromS3.py --loco 4044 --day 2017-02-14</t>
  </si>
  <si>
    <t>start /low /b %USERPROFILE%\Documents\GitHub\eaglep3\Utilities\DownloadLogsFromS3.py --loco 4032 --day 2017-02-14</t>
  </si>
  <si>
    <t>start /low /b %USERPROFILE%\Documents\GitHub\eaglep3\Utilities\DownloadLogsFromS3.py --loco 4019 --day 2017-02-15</t>
  </si>
  <si>
    <t>start /low /b %USERPROFILE%\Documents\GitHub\eaglep3\Utilities\DownloadLogsFromS3.py --loco 4012 --day 2017-02-15</t>
  </si>
  <si>
    <t>start /low /b %USERPROFILE%\Documents\GitHub\eaglep3\Utilities\DownloadLogsFromS3.py --loco 4027 --day 2017-02-15</t>
  </si>
  <si>
    <t>start /low /b %USERPROFILE%\Documents\GitHub\eaglep3\Utilities\DownloadLogsFromS3.py --loco 4030 --day 2017-02-15</t>
  </si>
  <si>
    <t>start /low /b %USERPROFILE%\Documents\GitHub\eaglep3\Utilities\DownloadLogsFromS3.py --loco 4029 --day 2017-02-15</t>
  </si>
  <si>
    <t>start /low /b %USERPROFILE%\Documents\GitHub\eaglep3\Utilities\DownloadLogsFromS3.py --loco 4032 --day 2017-02-15</t>
  </si>
  <si>
    <t>start /low /b %USERPROFILE%\Documents\GitHub\eaglep3\Utilities\DownloadLogsFromS3.py --loco 4003 --day 2017-02-14</t>
  </si>
  <si>
    <t>start /low /b %USERPROFILE%\Documents\GitHub\eaglep3\Utilities\DownloadLogsFromS3.py --loco 4004 --day 2017-02-14</t>
  </si>
  <si>
    <t>start /low /b %USERPROFILE%\Documents\GitHub\eaglep3\Utilities\DownloadLogsFromS3.py --loco 4003 --day 2017-02-15</t>
  </si>
  <si>
    <t>start /low /b %USERPROFILE%\Documents\GitHub\eaglep3\Utilities\DownloadLogsFromS3.py --loco 4015 --day 2017-02-14</t>
  </si>
  <si>
    <t>start /low /b %USERPROFILE%\Documents\GitHub\eaglep3\Utilities\DownloadLogsFromS3.py --loco 4015 --day 2017-02-15</t>
  </si>
  <si>
    <t>start /low /b %USERPROFILE%\Documents\GitHub\eaglep3\Utilities\DownloadLogsFromS3.py --loco 4004 --day 2017-02-15</t>
  </si>
  <si>
    <t>Onboard in-route failure</t>
  </si>
  <si>
    <t>Collision with passenger van</t>
  </si>
  <si>
    <t>Cancelled</t>
  </si>
  <si>
    <t>:.+((SYSTEM_STATE.+slice.+state.+changed )|(ment ac)|(multiple cpu faults)|(system.+state.+changed )|(\[timeout)|(PRM\|1\|D)|(kpr)|(kdp)|(\|lc)|(penalty)|(RTDC:00:00000204:00000036:00006526))</t>
  </si>
  <si>
    <t>Sand Creek 4N stuck at stop - waiting for XING arms?</t>
  </si>
  <si>
    <t>Starting at 15:24:39, 4N was receiving clear requests. However, it went to STOP around 15:29:31 and then again around 15:34:49. This seemed unusual - do logs tell anything strange?</t>
  </si>
  <si>
    <t>Form C</t>
  </si>
  <si>
    <t>DUS 4N STOP</t>
  </si>
  <si>
    <t>Operational decision based on signal-system traffic directionality 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</si>
</sst>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2"/>
  <sheetViews>
    <sheetView topLeftCell="A94" zoomScaleNormal="100" workbookViewId="0">
      <selection activeCell="R20" sqref="R20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42780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81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COUNTIFS($N$13:$N$9346,"&gt;0",$AG$13:$AG$9346,I1)</f>
        <v>41</v>
      </c>
      <c r="K5" s="40"/>
      <c r="L5" s="40"/>
      <c r="M5" s="41">
        <f>AVERAGEIFS($N$13:$N$9346,$AG$13:$AG$9346,I1)</f>
        <v>30.057317072429083</v>
      </c>
      <c r="N5" s="39">
        <f t="array" ref="N5">MIN(IF($AG$13:$AG$9346=I1,IF(ISNUMBER($N$13:$N$9346),IF($N$13:$N$9346&gt;0,$N$13:$N$9346))))</f>
        <v>16.616666663903743</v>
      </c>
      <c r="O5" s="3">
        <f t="array" ref="O5">MAX(IF($AG$13:$AG$9346=I1,IF(ISNUMBER($N$13:$N$9346),IF($N$13:$N$9346&gt;0,$N$13:$N$9346))))</f>
        <v>74.233333335723728</v>
      </c>
      <c r="P5" s="2"/>
      <c r="R5" s="74" t="s">
        <v>17</v>
      </c>
      <c r="S5" s="50">
        <f>COUNTIFS($N$13:$N$9346,"&gt;0",$AG$13:$AG$9346,R1)</f>
        <v>47</v>
      </c>
      <c r="T5" s="40"/>
      <c r="U5" s="178"/>
      <c r="V5" s="175">
        <f>AVERAGEIFS($N$13:$N$9346,$AG$13:$AG$9346,R1)</f>
        <v>14.828723403080268</v>
      </c>
      <c r="W5" s="176">
        <f t="array" ref="W5">MIN(IF($AG$13:$AG$9346=R1,IF(ISNUMBER($N$13:$N$9346),IF($N$13:$N$9346&gt;0,$N$13:$N$9346))))</f>
        <v>12.099999999627471</v>
      </c>
      <c r="X5" s="177">
        <f t="array" ref="X5">MAX(IF($AG$13:$AG$9346=R1,IF(ISNUMBER($N$13:$N$9346),IF($N$13:$N$9346&gt;0,$N$13:$N$9346))))</f>
        <v>18.699999991804361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COUNT($O$13:$O$111)</f>
        <v>0</v>
      </c>
      <c r="K6" s="40"/>
      <c r="L6" s="40"/>
      <c r="M6" s="41">
        <f>IFERROR(AVERAGE($O$13:$O$111),0)</f>
        <v>0</v>
      </c>
      <c r="N6" s="39">
        <f>MIN($O$13:$O$111)</f>
        <v>0</v>
      </c>
      <c r="O6" s="3">
        <f>MAX($O$13:$O$111)</f>
        <v>0</v>
      </c>
      <c r="P6" s="2"/>
      <c r="R6" s="75" t="s">
        <v>43</v>
      </c>
      <c r="S6" s="50">
        <f>COUNT($O$13:$O$111)</f>
        <v>0</v>
      </c>
      <c r="T6" s="40"/>
      <c r="U6" s="178"/>
      <c r="V6" s="175">
        <f>IFERROR(AVERAGE($O$13:$O$111),0)</f>
        <v>0</v>
      </c>
      <c r="W6" s="176">
        <f>MIN($O$13:$O$111)</f>
        <v>0</v>
      </c>
      <c r="X6" s="177">
        <f>MAX($O$13:$O$111)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COUNTIFS($P$13:$P$9346,"&gt;0",$AG$13:$AG$9346,I1)</f>
        <v>40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COUNTIFS($P$13:$P$9346,"&gt;0",$AG$13:$AG$9346,R1)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41</v>
      </c>
      <c r="K8" s="40"/>
      <c r="L8" s="40"/>
      <c r="M8" s="41">
        <f>M5</f>
        <v>30.057317072429083</v>
      </c>
      <c r="N8" s="39">
        <f>N5</f>
        <v>16.616666663903743</v>
      </c>
      <c r="O8" s="3">
        <f>O5</f>
        <v>74.233333335723728</v>
      </c>
      <c r="P8" s="2"/>
      <c r="R8" s="74" t="s">
        <v>16</v>
      </c>
      <c r="S8" s="50">
        <f>S5</f>
        <v>47</v>
      </c>
      <c r="T8" s="40"/>
      <c r="U8" s="178"/>
      <c r="V8" s="175">
        <f>V5</f>
        <v>14.828723403080268</v>
      </c>
      <c r="W8" s="176">
        <f>W5</f>
        <v>12.099999999627471</v>
      </c>
      <c r="X8" s="177">
        <f>X5</f>
        <v>18.699999991804361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0.50617283950617287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- 2017-02-14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AVERAGE(S13:S80)</f>
        <v>0.85686274509803884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210</v>
      </c>
      <c r="AN12" s="47" t="s">
        <v>222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498</v>
      </c>
      <c r="B13" s="7">
        <v>4038</v>
      </c>
      <c r="C13" s="21" t="s">
        <v>192</v>
      </c>
      <c r="D13" s="21" t="s">
        <v>456</v>
      </c>
      <c r="E13" s="13">
        <v>42780.152395833335</v>
      </c>
      <c r="F13" s="13">
        <v>42780.132407407407</v>
      </c>
      <c r="G13" s="7">
        <v>1</v>
      </c>
      <c r="H13" s="21" t="s">
        <v>650</v>
      </c>
      <c r="I13" s="13">
        <v>42780.151412037034</v>
      </c>
      <c r="J13" s="7">
        <v>0</v>
      </c>
      <c r="K13" s="98" t="str">
        <f t="shared" ref="K13:K44" si="0">IF(ISEVEN(B13),(B13-1)&amp;"/"&amp;B13,B13&amp;"/"&amp;(B13+1))</f>
        <v>4037/4038</v>
      </c>
      <c r="L13" s="21" t="str">
        <f>VLOOKUP(A13,'Trips&amp;Operators'!$C$1:$G$99999,5,FALSE)</f>
        <v>OUN ZACK</v>
      </c>
      <c r="M13" s="6">
        <f t="shared" ref="M13:M44" si="1">I13-F13</f>
        <v>1.9004629626579117E-2</v>
      </c>
      <c r="N13" s="7">
        <f>24*60*SUM($M13:$M13)</f>
        <v>27.366666662273929</v>
      </c>
      <c r="O13" s="7"/>
      <c r="P13" s="7"/>
      <c r="Q13" s="22"/>
      <c r="R13" s="22" t="s">
        <v>855</v>
      </c>
      <c r="S13" s="31">
        <f>SUM(U13:U13)/IF(AG13="EC",12,1)</f>
        <v>1</v>
      </c>
      <c r="T13" s="46" t="str">
        <f t="shared" ref="T13:T44" si="2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7" t="str">
        <f t="shared" ref="V13:V44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-14T02:39:27-0700',mode:absolute,to:'2017-02-14T04:38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3" s="188" t="str">
        <f t="shared" ref="W13:W44" si="4">IF(AA13&lt;IF(AG13="EC",8.55,5.65),"Y","N")</f>
        <v>N</v>
      </c>
      <c r="X13" s="188" t="e">
        <f>VALUE(LEFT(AD13,4))-VALUE(LEFT(AD12,4))</f>
        <v>#VALUE!</v>
      </c>
      <c r="Y13" s="62">
        <f t="shared" ref="Y13:Y44" si="5">RIGHT(D13,LEN(D13)-4)/10000</f>
        <v>7.2999999999999995E-2</v>
      </c>
      <c r="Z13" s="62">
        <v>11</v>
      </c>
      <c r="AA13" s="62">
        <f t="shared" ref="AA13:AA44" si="6">ABS(Z13-Y13)</f>
        <v>10.927</v>
      </c>
      <c r="AB13" s="59" t="e">
        <f>VLOOKUP(A13,Enforcements!$C$7:$K$14,8,0)</f>
        <v>#N/A</v>
      </c>
      <c r="AC13" s="55" t="e">
        <f>VLOOKUP(A13,Enforcements!$C$7:$E$14,3,0)</f>
        <v>#N/A</v>
      </c>
      <c r="AD13" s="56" t="str">
        <f t="shared" ref="AD13:AD44" si="7">IF(LEN(A13)=6,"0"&amp;A13,A13)</f>
        <v>0101-14</v>
      </c>
      <c r="AE13" s="85" t="str">
        <f t="shared" ref="AE13:AE44" si="8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s3://rtdc.mdm.uploadarchive.raw/RTDC4038/ "%USERPROFILE%\AppData\Local\Temp\OnboardLogs"\RTDC4038\2017-02-14 --exclude "*" --recursive --include "*20170214*" &amp; "%USERPROFILE%\Documents\GitHub\mrs-test-scripts\Headless Mode &amp; Sideloading\WalkAndUnGZ.bat" "%USERPROFILE%\AppData\Local\Temp\OnboardLogs"\RTDC4038\2017-02-14 &amp; aws s3 cp s3://rtdc.mdm.uploadarchive.raw/RTDC4038/ "%USERPROFILE%\AppData\Local\Temp\OnboardLogs"\RTDC4038\2017-02-15 --exclude "*" --recursive --include "*20170215*" &amp; "%USERPROFILE%\Documents\GitHub\mrs-test-scripts\Headless Mode &amp; Sideloading\WalkAndUnGZ.bat" "%USERPROFILE%\AppData\Local\Temp\OnboardLogs"\RTDC4038\2017-02-15</v>
      </c>
      <c r="AF13" s="82" t="str">
        <f t="shared" ref="AF13:AF44" si="9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/stypes="app*4038*20170214*" /stext=" 10:.+((SYSTEM_STATE.+slice.+state.+changed )|(ment ac)|(multiple cpu faults)|(system.+state.+changed )|(\[timeout)|(PRM\|1\|D)|(kpr)|(kdp)|(\|lc)|(penalty)|(RTDC:00:00000204:00000036:00006526))" /e /r /s</v>
      </c>
      <c r="AG13" s="1" t="str">
        <f t="shared" ref="AG13:AG44" si="10">IFERROR(IF(VALUE(LEFT(AD13,2))&lt;=2,"EC",IF(OR(VALUE(LEFT(AD13,2))=8,VALUE(LEFT(AD13,2))=18),"NW","Other")),"Other")</f>
        <v>EC</v>
      </c>
      <c r="AH13" s="86" t="str">
        <f t="shared" ref="AH13" si="11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4038 --swversion DE.1.0.8.0 --startMP 204:730 --initTime 2017-02-14T03:39:27 --startdatetime 2017-02-14T03:10:40 --delay 1 --endMP 204:86380 --enddatetime 2017-02-14T03:38:02 --enforcementcount 0 &gt;&gt;C:\Users\stu\Documents\GitHub\eaglep3-reporting\EC\2017-02-14-refined-times.txt</v>
      </c>
      <c r="AI13" s="108" t="str">
        <f t="shared" ref="AI13" si="12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{"issue":{"subject":"Collision with passenger van","project_id":79,"tracker_id":40,"status_id":1,"priority_id":2,"assigned_to_id":23,"start_date":"2017-02-14","description":"","custom_fields":[{"id":1,"name":"Subdivision","value":"EC"},{"id":4,"name":"Milepost","value":"11"},{"id":17,"name":"Train ID","value":"101-14"},{"id":16,"name":"Locomotive ID","value":"4038"},{"id":130,"name":"Impact","value":""},{"id":150,"name":"Time of Event (Mountain Time)","value":"03:38:02"},{"id":151,"name":"Denver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3">"start /low /b "&amp;dls3logs&amp;" --loco "&amp;B13&amp;" --day "&amp;TEXT(F13,"YYYY-MM-DD")</f>
        <v>start /low /b %USERPROFILE%\Documents\GitHub\eaglep3\Utilities\DownloadLogsFromS3.py --loco 4038 --day 2017-02-14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"%USERPROFILE%\AppData\Local\Temp\OnboardLogs"\RTDC4038\*4038*20170214* | grep -SE "(Enforcement Action)|(\[TIMEOUT)|(CHR.+\|PRM\|1\|D.+(SWITCH|SIGNAL).+UNKNOWN)" - &gt;&gt; 2017-02-14-UncaughtWiMAX.txt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500</v>
      </c>
      <c r="B14" s="7">
        <v>4029</v>
      </c>
      <c r="C14" s="21" t="s">
        <v>192</v>
      </c>
      <c r="D14" s="21" t="s">
        <v>456</v>
      </c>
      <c r="E14" s="13">
        <v>42780.152395833335</v>
      </c>
      <c r="F14" s="13">
        <v>42780.153344907405</v>
      </c>
      <c r="G14" s="7">
        <v>1</v>
      </c>
      <c r="H14" s="21" t="s">
        <v>650</v>
      </c>
      <c r="I14" s="13">
        <v>42780.194768518515</v>
      </c>
      <c r="J14" s="7">
        <v>0</v>
      </c>
      <c r="K14" s="98" t="str">
        <f t="shared" si="0"/>
        <v>4029/4030</v>
      </c>
      <c r="L14" s="21" t="str">
        <f>VLOOKUP(A14,'Trips&amp;Operators'!$C$1:$G$99999,5,FALSE)</f>
        <v>MAELZER KURT</v>
      </c>
      <c r="M14" s="6">
        <f t="shared" si="1"/>
        <v>4.1423611110076308E-2</v>
      </c>
      <c r="N14" s="7">
        <f>24*60*SUM($M14:$M14)</f>
        <v>59.649999998509884</v>
      </c>
      <c r="O14" s="7"/>
      <c r="P14" s="7"/>
      <c r="Q14" s="22"/>
      <c r="R14" s="22"/>
      <c r="S14" s="31">
        <f>SUM(U14:U14)/IF(AG14="EC",10,1)</f>
        <v>1</v>
      </c>
      <c r="T14" s="46" t="str">
        <f t="shared" si="2"/>
        <v>NorthBound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10</v>
      </c>
      <c r="V14" s="187" t="str">
        <f t="shared" si="3"/>
        <v>https://d0f6bd738d7f1b3e5a7ca70fe4ff75f0.us-east-1.aws.found.io/app/kibana#/discover/Steve-Slow-Train-Analysis-(2080s-and-2083s)?_g=(refreshInterval:(display:Off,pause:!f,section:0,value:0),time:(from:'2017-02-14T02:39:27-0700',mode:absolute,to:'2017-02-14T05:40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188" t="str">
        <f t="shared" si="4"/>
        <v>N</v>
      </c>
      <c r="X14" s="188">
        <f t="shared" ref="X14:X15" si="14">VALUE(LEFT(AD14,4))-VALUE(LEFT(AD13,4))</f>
        <v>2</v>
      </c>
      <c r="Y14" s="62">
        <f t="shared" si="5"/>
        <v>7.2999999999999995E-2</v>
      </c>
      <c r="Z14" s="62">
        <f t="shared" ref="Z14:Z45" si="15">RIGHT(H14,LEN(H14)-4)/10000</f>
        <v>8.6379999999999999</v>
      </c>
      <c r="AA14" s="62">
        <f t="shared" si="6"/>
        <v>8.5649999999999995</v>
      </c>
      <c r="AB14" s="59" t="e">
        <f>VLOOKUP(A14,Enforcements!$C$7:$K$14,8,0)</f>
        <v>#N/A</v>
      </c>
      <c r="AC14" s="55" t="e">
        <f>VLOOKUP(A14,Enforcements!$C$7:$E$14,3,0)</f>
        <v>#N/A</v>
      </c>
      <c r="AD14" s="56" t="str">
        <f t="shared" si="7"/>
        <v>0103-14</v>
      </c>
      <c r="AE14" s="85" t="str">
        <f t="shared" si="8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14" s="82" t="str">
        <f t="shared" si="9"/>
        <v>"C:\Program Files (x86)\AstroGrep\AstroGrep.exe" /spath="%USERPROFILE%\AppData\Local\Temp\OnboardLogs" /stypes="app*4029*20170214*" /stext=" 11:.+((SYSTEM_STATE.+slice.+state.+changed )|(ment ac)|(multiple cpu faults)|(system.+state.+changed )|(\[timeout)|(PRM\|1\|D)|(kpr)|(kdp)|(\|lc)|(penalty)|(RTDC:00:00000204:00000036:00006526))" /e /r /s</v>
      </c>
      <c r="AG14" s="1" t="str">
        <f t="shared" si="10"/>
        <v>EC</v>
      </c>
      <c r="AH14" s="86" t="str">
        <f t="shared" ref="AH14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103-14 --locoid 4029 --swversion DE.1.0.8.0 --startMP 204:730 --initTime 2017-02-14T03:39:27 --startdatetime 2017-02-14T03:40:49 --delay 1 --endMP 204:86380 --enddatetime 2017-02-14T04:40:28 --enforcementcount 0 &gt;&gt;C:\Users\stu\Documents\GitHub\eaglep3-reporting\EC\2017-02-14-refined-times.txt</v>
      </c>
      <c r="AI14" s="108" t="str">
        <f t="shared" ref="AI14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ID","value":"103-14"},{"id":16,"name":"Locomotive ID","value":"4029"},{"id":130,"name":"Impact","value":""},{"id":150,"name":"Time of Event (Mountain Time)","value":"04:40:28"},{"id":151,"name":"Denver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" si="18">"start /low /b "&amp;dls3logs&amp;" --loco "&amp;B14&amp;" --day "&amp;TEXT(F14,"YYYY-MM-DD")</f>
        <v>start /low /b %USERPROFILE%\Documents\GitHub\eaglep3\Utilities\DownloadLogsFromS3.py --loco 4029 --day 2017-02-14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2017-02-14-UncaughtWiMAX.txt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3" t="s">
        <v>509</v>
      </c>
      <c r="B15" s="7">
        <v>4032</v>
      </c>
      <c r="C15" s="21" t="s">
        <v>192</v>
      </c>
      <c r="D15" s="21" t="s">
        <v>651</v>
      </c>
      <c r="E15" s="13">
        <v>42780.212476851855</v>
      </c>
      <c r="F15" s="13">
        <v>42780.213391203702</v>
      </c>
      <c r="G15" s="7">
        <v>1</v>
      </c>
      <c r="H15" s="21" t="s">
        <v>652</v>
      </c>
      <c r="I15" s="13">
        <v>42780.214155092595</v>
      </c>
      <c r="J15" s="7">
        <v>0</v>
      </c>
      <c r="K15" s="98" t="str">
        <f t="shared" si="0"/>
        <v>4031/4032</v>
      </c>
      <c r="L15" s="21" t="str">
        <f>VLOOKUP(A15,'Trips&amp;Operators'!$C$1:$G$99999,5,FALSE)</f>
        <v>MAELZER KURT</v>
      </c>
      <c r="M15" s="6">
        <f t="shared" si="1"/>
        <v>7.638888928340748E-4</v>
      </c>
      <c r="N15" s="7"/>
      <c r="O15" s="7"/>
      <c r="P15" s="7">
        <f>24*60*SUM($M15:$M15)</f>
        <v>1.1000000056810677</v>
      </c>
      <c r="Q15" s="22"/>
      <c r="R15" s="22" t="s">
        <v>854</v>
      </c>
      <c r="S15" s="31">
        <f>SUM(U15:U15)/IF(AG15="EC",10,1)</f>
        <v>0</v>
      </c>
      <c r="T15" s="46" t="str">
        <f t="shared" si="2"/>
        <v>Southbound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87" t="str">
        <f t="shared" si="3"/>
        <v>https://d0f6bd738d7f1b3e5a7ca70fe4ff75f0.us-east-1.aws.found.io/app/kibana#/discover/Steve-Slow-Train-Analysis-(2080s-and-2083s)?_g=(refreshInterval:(display:Off,pause:!f,section:0,value:0),time:(from:'2017-02-14T04:05:58-0700',mode:absolute,to:'2017-02-14T06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88" t="str">
        <f t="shared" si="4"/>
        <v>Y</v>
      </c>
      <c r="X15" s="188">
        <f t="shared" si="14"/>
        <v>1</v>
      </c>
      <c r="Y15" s="62">
        <f t="shared" si="5"/>
        <v>8.6350999999999996</v>
      </c>
      <c r="Z15" s="62">
        <f t="shared" si="15"/>
        <v>8.6306999999999992</v>
      </c>
      <c r="AA15" s="62">
        <f t="shared" si="6"/>
        <v>4.4000000000004036E-3</v>
      </c>
      <c r="AB15" s="59" t="e">
        <f>VLOOKUP(A15,Enforcements!$C$7:$K$14,8,0)</f>
        <v>#N/A</v>
      </c>
      <c r="AC15" s="55" t="e">
        <f>VLOOKUP(A15,Enforcements!$C$7:$E$14,3,0)</f>
        <v>#N/A</v>
      </c>
      <c r="AD15" s="56" t="str">
        <f t="shared" si="7"/>
        <v>0104-14</v>
      </c>
      <c r="AE15" s="85" t="str">
        <f t="shared" si="8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15" s="82" t="str">
        <f t="shared" si="9"/>
        <v>"C:\Program Files (x86)\AstroGrep\AstroGrep.exe" /spath="%USERPROFILE%\AppData\Local\Temp\OnboardLogs" /stypes="app*4032*20170214*" /stext=" 12:.+((SYSTEM_STATE.+slice.+state.+changed )|(ment ac)|(multiple cpu faults)|(system.+state.+changed )|(\[timeout)|(PRM\|1\|D)|(kpr)|(kdp)|(\|lc)|(penalty)|(RTDC:00:00000204:00000036:00006526))" /e /r /s</v>
      </c>
      <c r="AG15" s="1" t="str">
        <f t="shared" si="10"/>
        <v>EC</v>
      </c>
      <c r="AH15" s="86" t="str">
        <f t="shared" ref="AH15:AH78" si="19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104-14 --locoid 4032 --swversion DE.1.0.8.0 --startMP 204:86351 --initTime 2017-02-14T05:05:58 --startdatetime 2017-02-14T05:07:17 --delay 1 --endMP 204:86307 --enddatetime 2017-02-14T05:08:23 --enforcementcount 0 &gt;&gt;C:\Users\stu\Documents\GitHub\eaglep3-reporting\EC\2017-02-14-refined-times.txt</v>
      </c>
      <c r="AI15" s="108" t="str">
        <f t="shared" ref="AI15:AI78" si="20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failure","project_id":79,"tracker_id":40,"status_id":1,"priority_id":2,"assigned_to_id":23,"start_date":"2017-02-14","description":"","custom_fields":[{"id":1,"name":"Subdivision","value":"EC"},{"id":4,"name":"Milepost","value":"8.6307"},{"id":17,"name":"Train ID","value":"104-14"},{"id":16,"name":"Locomotive ID","value":"4032"},{"id":130,"name":"Impact","value":""},{"id":150,"name":"Time of Event (Mountain Time)","value":"05:08:23"},{"id":151,"name":"Denver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ref="AM15:AM78" si="21">"start /low /b "&amp;dls3logs&amp;" --loco "&amp;B15&amp;" --day "&amp;TEXT(F15,"YYYY-MM-DD")</f>
        <v>start /low /b %USERPROFILE%\Documents\GitHub\eaglep3\Utilities\DownloadLogsFromS3.py --loco 4032 --day 2017-02-14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501</v>
      </c>
      <c r="B16" s="7">
        <v>4020</v>
      </c>
      <c r="C16" s="21" t="s">
        <v>192</v>
      </c>
      <c r="D16" s="21" t="s">
        <v>653</v>
      </c>
      <c r="E16" s="13">
        <v>42780.18041666667</v>
      </c>
      <c r="F16" s="13">
        <v>42780.181319444448</v>
      </c>
      <c r="G16" s="7">
        <v>1</v>
      </c>
      <c r="H16" s="21" t="s">
        <v>650</v>
      </c>
      <c r="I16" s="13">
        <v>42780.212650462963</v>
      </c>
      <c r="J16" s="7">
        <v>0</v>
      </c>
      <c r="K16" s="98" t="str">
        <f t="shared" si="0"/>
        <v>4019/4020</v>
      </c>
      <c r="L16" s="21" t="str">
        <f>VLOOKUP(A16,'Trips&amp;Operators'!$C$1:$G$99999,5,FALSE)</f>
        <v>STARKS ANGELINA</v>
      </c>
      <c r="M16" s="6">
        <f t="shared" si="1"/>
        <v>3.1331018515629694E-2</v>
      </c>
      <c r="N16" s="7">
        <f>24*60*SUM($M16:$M16)</f>
        <v>45.116666662506759</v>
      </c>
      <c r="O16" s="7"/>
      <c r="P16" s="7"/>
      <c r="Q16" s="22"/>
      <c r="R16" s="22"/>
      <c r="S16" s="31">
        <f>SUM(U16:U16)/IF(AG16="EC",10,1)</f>
        <v>1</v>
      </c>
      <c r="T16" s="46" t="str">
        <f t="shared" si="2"/>
        <v>NorthBound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10</v>
      </c>
      <c r="V16" s="187" t="str">
        <f t="shared" si="3"/>
        <v>https://d0f6bd738d7f1b3e5a7ca70fe4ff75f0.us-east-1.aws.found.io/app/kibana#/discover/Steve-Slow-Train-Analysis-(2080s-and-2083s)?_g=(refreshInterval:(display:Off,pause:!f,section:0,value:0),time:(from:'2017-02-14T03:19:48-0700',mode:absolute,to:'2017-02-14T06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" s="188" t="str">
        <f t="shared" si="4"/>
        <v>N</v>
      </c>
      <c r="X16" s="188">
        <f t="shared" ref="X16:X47" si="22">VALUE(LEFT(AD16,4))-VALUE(LEFT(AD15,4))</f>
        <v>1</v>
      </c>
      <c r="Y16" s="62">
        <f t="shared" si="5"/>
        <v>7.1900000000000006E-2</v>
      </c>
      <c r="Z16" s="62">
        <f t="shared" si="15"/>
        <v>8.6379999999999999</v>
      </c>
      <c r="AA16" s="62">
        <f t="shared" si="6"/>
        <v>8.5661000000000005</v>
      </c>
      <c r="AB16" s="59" t="e">
        <f>VLOOKUP(A16,Enforcements!$C$7:$K$14,8,0)</f>
        <v>#N/A</v>
      </c>
      <c r="AC16" s="55" t="e">
        <f>VLOOKUP(A16,Enforcements!$C$7:$E$14,3,0)</f>
        <v>#N/A</v>
      </c>
      <c r="AD16" s="56" t="str">
        <f t="shared" si="7"/>
        <v>0105-14</v>
      </c>
      <c r="AE16" s="85" t="str">
        <f t="shared" si="8"/>
        <v>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 &amp; 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</v>
      </c>
      <c r="AF16" s="82" t="str">
        <f t="shared" si="9"/>
        <v>"C:\Program Files (x86)\AstroGrep\AstroGrep.exe" /spath="%USERPROFILE%\AppData\Local\Temp\OnboardLogs" /stypes="app*4020*20170214*" /stext=" 12:.+((SYSTEM_STATE.+slice.+state.+changed )|(ment ac)|(multiple cpu faults)|(system.+state.+changed )|(\[timeout)|(PRM\|1\|D)|(kpr)|(kdp)|(\|lc)|(penalty)|(RTDC:00:00000204:00000036:00006526))" /e /r /s</v>
      </c>
      <c r="AG16" s="1" t="str">
        <f t="shared" si="10"/>
        <v>EC</v>
      </c>
      <c r="AH16" s="86" t="str">
        <f t="shared" si="19"/>
        <v>"%USERPROFILE%\Documents\GitHub\eaglep3\Utilities\RefineRTDCRunTimes.py" --tripid 105-14 --locoid 4020 --swversion DE.1.0.8.0 --startMP 204:719 --initTime 2017-02-14T04:19:48 --startdatetime 2017-02-14T04:21:06 --delay 1 --endMP 204:86380 --enddatetime 2017-02-14T05:06:13 --enforcementcount 0 &gt;&gt;C:\Users\stu\Documents\GitHub\eaglep3-reporting\EC\2017-02-14-refined-times.txt</v>
      </c>
      <c r="AI16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ID","value":"105-14"},{"id":16,"name":"Locomotive ID","value":"4020"},{"id":130,"name":"Impact","value":""},{"id":150,"name":"Time of Event (Mountain Time)","value":"05:06:13"},{"id":151,"name":"Denver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1"/>
        <v>start /low /b %USERPROFILE%\Documents\GitHub\eaglep3\Utilities\DownloadLogsFromS3.py --loco 4020 --day 2017-02-14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"%USERPROFILE%\AppData\Local\Temp\OnboardLogs"\RTDC4020\*4020*20170214* | grep -SE "(Enforcement Action)|(\[TIMEOUT)|(CHR.+\|PRM\|1\|D.+(SWITCH|SIGNAL).+UNKNOWN)" - &gt;&gt; 2017-02-14-UncaughtWiMAX.txt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475</v>
      </c>
      <c r="B17" s="7">
        <v>4017</v>
      </c>
      <c r="C17" s="21" t="s">
        <v>192</v>
      </c>
      <c r="D17" s="21" t="s">
        <v>654</v>
      </c>
      <c r="E17" s="13">
        <v>42780.243344907409</v>
      </c>
      <c r="F17" s="13">
        <v>42780.244247685187</v>
      </c>
      <c r="G17" s="7">
        <v>1</v>
      </c>
      <c r="H17" s="21" t="s">
        <v>655</v>
      </c>
      <c r="I17" s="13">
        <v>42780.257199074076</v>
      </c>
      <c r="J17" s="7">
        <v>0</v>
      </c>
      <c r="K17" s="98" t="str">
        <f t="shared" si="0"/>
        <v>4017/4018</v>
      </c>
      <c r="L17" s="21" t="str">
        <f>VLOOKUP(A17,'Trips&amp;Operators'!$C$1:$G$99999,5,FALSE)</f>
        <v>STARKS ANGELINA</v>
      </c>
      <c r="M17" s="6">
        <f t="shared" si="1"/>
        <v>1.2951388889632653E-2</v>
      </c>
      <c r="N17" s="7"/>
      <c r="O17" s="7"/>
      <c r="P17" s="7">
        <f>24*60*SUM($M17:$M18)</f>
        <v>45.599999993573874</v>
      </c>
      <c r="Q17" s="22"/>
      <c r="R17" s="22" t="s">
        <v>862</v>
      </c>
      <c r="S17" s="31">
        <f>SUM(U17:U17)/IF(AG17="EC",10,1)</f>
        <v>0.9</v>
      </c>
      <c r="T17" s="46" t="str">
        <f t="shared" si="2"/>
        <v>Southbound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9</v>
      </c>
      <c r="V17" s="187" t="str">
        <f t="shared" si="3"/>
        <v>https://d0f6bd738d7f1b3e5a7ca70fe4ff75f0.us-east-1.aws.found.io/app/kibana#/discover/Steve-Slow-Train-Analysis-(2080s-and-2083s)?_g=(refreshInterval:(display:Off,pause:!f,section:0,value:0),time:(from:'2017-02-14T04:50:25-0700',mode:absolute,to:'2017-02-14T07:10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" s="188" t="str">
        <f t="shared" si="4"/>
        <v>Y</v>
      </c>
      <c r="X17" s="188">
        <f t="shared" si="22"/>
        <v>1</v>
      </c>
      <c r="Y17" s="62">
        <f t="shared" si="5"/>
        <v>6.4071999999999996</v>
      </c>
      <c r="Z17" s="62">
        <f t="shared" si="15"/>
        <v>1.29E-2</v>
      </c>
      <c r="AA17" s="62">
        <f t="shared" si="6"/>
        <v>6.3942999999999994</v>
      </c>
      <c r="AB17" s="59" t="str">
        <f>VLOOKUP(A17,Enforcements!$C$7:$K$14,8,0)</f>
        <v>Signal based authority (5)</v>
      </c>
      <c r="AC17" s="55" t="str">
        <f>VLOOKUP(A17,Enforcements!$C$7:$E$14,3,0)</f>
        <v>SIGNAL</v>
      </c>
      <c r="AD17" s="56" t="str">
        <f t="shared" si="7"/>
        <v>0106-14</v>
      </c>
      <c r="AE17" s="85" t="str">
        <f t="shared" si="8"/>
        <v>aws s3 cp s3://rtdc.mdm.uploadarchive.raw/RTDC4017/ "%USERPROFILE%\AppData\Local\Temp\OnboardLogs"\RTDC4017\2017-02-14 --exclude "*" --recursive --include "*20170214*" &amp; "%USERPROFILE%\Documents\GitHub\mrs-test-scripts\Headless Mode &amp; Sideloading\WalkAndUnGZ.bat" "%USERPROFILE%\AppData\Local\Temp\OnboardLogs"\RTDC4017\2017-02-14 &amp; 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</v>
      </c>
      <c r="AF17" s="82" t="str">
        <f t="shared" si="9"/>
        <v>"C:\Program Files (x86)\AstroGrep\AstroGrep.exe" /spath="%USERPROFILE%\AppData\Local\Temp\OnboardLogs" /stypes="app*4017*20170214*" /stext=" 13:.+((SYSTEM_STATE.+slice.+state.+changed )|(ment ac)|(multiple cpu faults)|(system.+state.+changed )|(\[timeout)|(PRM\|1\|D)|(kpr)|(kdp)|(\|lc)|(penalty)|(RTDC:00:00000204:00000036:00006526))" /e /r /s</v>
      </c>
      <c r="AG17" s="1" t="str">
        <f t="shared" si="10"/>
        <v>EC</v>
      </c>
      <c r="AH17" s="86" t="str">
        <f t="shared" si="19"/>
        <v>"%USERPROFILE%\Documents\GitHub\eaglep3\Utilities\RefineRTDCRunTimes.py" --tripid 106-14 --locoid 4017 --swversion DE.1.0.8.0 --startMP 204:64072 --initTime 2017-02-14T05:50:25 --startdatetime 2017-02-14T05:51:43 --delay 1 --endMP 204:129 --enddatetime 2017-02-14T06:10:22 --enforcementcount 0 &gt;&gt;C:\Users\stu\Documents\GitHub\eaglep3-reporting\EC\2017-02-14-refined-times.txt</v>
      </c>
      <c r="AI17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lock","project_id":79,"tracker_id":40,"status_id":1,"priority_id":2,"assigned_to_id":23,"start_date":"2017-02-14","description":"","custom_fields":[{"id":1,"name":"Subdivision","value":"EC"},{"id":4,"name":"Milepost","value":"0.0129"},{"id":17,"name":"Train ID","value":"106-14"},{"id":16,"name":"Locomotive ID","value":"4017"},{"id":130,"name":"Impact","value":""},{"id":150,"name":"Time of Event (Mountain Time)","value":"06:10:22"},{"id":151,"name":"Denver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1"/>
        <v>start /low /b %USERPROFILE%\Documents\GitHub\eaglep3\Utilities\DownloadLogsFromS3.py --loco 4017 --day 2017-02-14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"%USERPROFILE%\AppData\Local\Temp\OnboardLogs"\RTDC4017\*4017*20170214* | grep -SE "(Enforcement Action)|(\[TIMEOUT)|(CHR.+\|PRM\|1\|D.+(SWITCH|SIGNAL).+UNKNOWN)" - &gt;&gt; 2017-02-14-UncaughtWiMAX.txt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475</v>
      </c>
      <c r="B18" s="7">
        <v>4017</v>
      </c>
      <c r="C18" s="21" t="s">
        <v>192</v>
      </c>
      <c r="D18" s="21" t="s">
        <v>656</v>
      </c>
      <c r="E18" s="13">
        <v>42780.215960648151</v>
      </c>
      <c r="F18" s="13">
        <v>42780.217326388891</v>
      </c>
      <c r="G18" s="7">
        <v>1</v>
      </c>
      <c r="H18" s="21" t="s">
        <v>657</v>
      </c>
      <c r="I18" s="13">
        <v>42780.236041666663</v>
      </c>
      <c r="J18" s="7">
        <v>0</v>
      </c>
      <c r="K18" s="98" t="str">
        <f t="shared" si="0"/>
        <v>4017/4018</v>
      </c>
      <c r="L18" s="21" t="str">
        <f>VLOOKUP(A18,'Trips&amp;Operators'!$C$1:$G$99999,5,FALSE)</f>
        <v>STARKS ANGELINA</v>
      </c>
      <c r="M18" s="6">
        <f t="shared" si="1"/>
        <v>1.8715277772571426E-2</v>
      </c>
      <c r="N18" s="7"/>
      <c r="O18" s="7"/>
      <c r="P18" s="7"/>
      <c r="Q18" s="22"/>
      <c r="R18" s="22"/>
      <c r="S18" s="31"/>
      <c r="T18" s="46" t="str">
        <f t="shared" si="2"/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87" t="str">
        <f t="shared" si="3"/>
        <v>https://d0f6bd738d7f1b3e5a7ca70fe4ff75f0.us-east-1.aws.found.io/app/kibana#/discover/Steve-Slow-Train-Analysis-(2080s-and-2083s)?_g=(refreshInterval:(display:Off,pause:!f,section:0,value:0),time:(from:'2017-02-14T04:10:59-0700',mode:absolute,to:'2017-02-14T06:39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88" t="str">
        <f t="shared" si="4"/>
        <v>Y</v>
      </c>
      <c r="X18" s="188">
        <f t="shared" si="22"/>
        <v>0</v>
      </c>
      <c r="Y18" s="62">
        <f t="shared" si="5"/>
        <v>8.6351999999999993</v>
      </c>
      <c r="Z18" s="62">
        <f t="shared" si="15"/>
        <v>8.1824999999999992</v>
      </c>
      <c r="AA18" s="62">
        <f t="shared" si="6"/>
        <v>0.4527000000000001</v>
      </c>
      <c r="AB18" s="59" t="str">
        <f>VLOOKUP(A18,Enforcements!$C$7:$K$14,8,0)</f>
        <v>Signal based authority (5)</v>
      </c>
      <c r="AC18" s="55" t="str">
        <f>VLOOKUP(A18,Enforcements!$C$7:$E$14,3,0)</f>
        <v>SIGNAL</v>
      </c>
      <c r="AD18" s="56" t="str">
        <f t="shared" si="7"/>
        <v>0106-14</v>
      </c>
      <c r="AE18" s="85" t="str">
        <f t="shared" si="8"/>
        <v>aws s3 cp s3://rtdc.mdm.uploadarchive.raw/RTDC4017/ "%USERPROFILE%\AppData\Local\Temp\OnboardLogs"\RTDC4017\2017-02-14 --exclude "*" --recursive --include "*20170214*" &amp; "%USERPROFILE%\Documents\GitHub\mrs-test-scripts\Headless Mode &amp; Sideloading\WalkAndUnGZ.bat" "%USERPROFILE%\AppData\Local\Temp\OnboardLogs"\RTDC4017\2017-02-14 &amp; 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</v>
      </c>
      <c r="AF18" s="82" t="str">
        <f t="shared" si="9"/>
        <v>"C:\Program Files (x86)\AstroGrep\AstroGrep.exe" /spath="%USERPROFILE%\AppData\Local\Temp\OnboardLogs" /stypes="app*4017*20170214*" /stext=" 12:.+((SYSTEM_STATE.+slice.+state.+changed )|(ment ac)|(multiple cpu faults)|(system.+state.+changed )|(\[timeout)|(PRM\|1\|D)|(kpr)|(kdp)|(\|lc)|(penalty)|(RTDC:00:00000204:00000036:00006526))" /e /r /s</v>
      </c>
      <c r="AG18" s="1" t="str">
        <f t="shared" si="10"/>
        <v>EC</v>
      </c>
      <c r="AH18" s="86" t="str">
        <f t="shared" si="19"/>
        <v>"%USERPROFILE%\Documents\GitHub\eaglep3\Utilities\RefineRTDCRunTimes.py" --tripid 106-14 --locoid 4017 --swversion DE.1.0.8.0 --startMP 204:86352 --initTime 2017-02-14T05:10:59 --startdatetime 2017-02-14T05:12:57 --delay 1 --endMP 204:81825 --enddatetime 2017-02-14T05:39:54 --enforcementcount 0 &gt;&gt;C:\Users\stu\Documents\GitHub\eaglep3-reporting\EC\2017-02-14-refined-times.txt</v>
      </c>
      <c r="AI18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{"issue":{"subject":"","project_id":79,"tracker_id":40,"status_id":1,"priority_id":2,"assigned_to_id":23,"start_date":"2017-02-14","description":"","custom_fields":[{"id":1,"name":"Subdivision","value":"EC"},{"id":4,"name":"Milepost","value":"8.1825"},{"id":17,"name":"Train ID","value":"106-14"},{"id":16,"name":"Locomotive ID","value":"4017"},{"id":130,"name":"Impact","value":""},{"id":150,"name":"Time of Event (Mountain Time)","value":"05:39:54"},{"id":151,"name":"Denver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1"/>
        <v>start /low /b %USERPROFILE%\Documents\GitHub\eaglep3\Utilities\DownloadLogsFromS3.py --loco 4017 --day 2017-02-14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"%USERPROFILE%\AppData\Local\Temp\OnboardLogs"\RTDC4017\*4017*20170214* | grep -SE "(Enforcement Action)|(\[TIMEOUT)|(CHR.+\|PRM\|1\|D.+(SWITCH|SIGNAL).+UNKNOWN)" - &gt;&gt; 2017-02-14-UncaughtWiMAX.txt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506</v>
      </c>
      <c r="B19" s="7">
        <v>4040</v>
      </c>
      <c r="C19" s="21" t="s">
        <v>192</v>
      </c>
      <c r="D19" s="21" t="s">
        <v>410</v>
      </c>
      <c r="E19" s="13">
        <v>42780.193564814814</v>
      </c>
      <c r="F19" s="13">
        <v>42780.194502314815</v>
      </c>
      <c r="G19" s="7">
        <v>1</v>
      </c>
      <c r="H19" s="21" t="s">
        <v>658</v>
      </c>
      <c r="I19" s="13">
        <v>42780.246053240742</v>
      </c>
      <c r="J19" s="7">
        <v>0</v>
      </c>
      <c r="K19" s="98" t="str">
        <f t="shared" si="0"/>
        <v>4039/4040</v>
      </c>
      <c r="L19" s="21" t="str">
        <f>VLOOKUP(A19,'Trips&amp;Operators'!$C$1:$G$99999,5,FALSE)</f>
        <v>BONDS REYNALDO</v>
      </c>
      <c r="M19" s="6">
        <f t="shared" si="1"/>
        <v>5.1550925927585922E-2</v>
      </c>
      <c r="N19" s="7">
        <f>24*60*SUM($M19:$M19)</f>
        <v>74.233333335723728</v>
      </c>
      <c r="O19" s="7"/>
      <c r="P19" s="7"/>
      <c r="Q19" s="22"/>
      <c r="R19" s="22"/>
      <c r="S19" s="31">
        <f>SUM(U19:U19)/IF(AG19="EC",10,1)</f>
        <v>1</v>
      </c>
      <c r="T19" s="46" t="str">
        <f t="shared" si="2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10</v>
      </c>
      <c r="V19" s="187" t="str">
        <f t="shared" si="3"/>
        <v>https://d0f6bd738d7f1b3e5a7ca70fe4ff75f0.us-east-1.aws.found.io/app/kibana#/discover/Steve-Slow-Train-Analysis-(2080s-and-2083s)?_g=(refreshInterval:(display:Off,pause:!f,section:0,value:0),time:(from:'2017-02-14T03:38:44-0700',mode:absolute,to:'2017-02-14T06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188" t="str">
        <f t="shared" si="4"/>
        <v>N</v>
      </c>
      <c r="X19" s="188">
        <f t="shared" si="22"/>
        <v>1</v>
      </c>
      <c r="Y19" s="62">
        <f t="shared" si="5"/>
        <v>4.7699999999999999E-2</v>
      </c>
      <c r="Z19" s="62">
        <f t="shared" si="15"/>
        <v>8.6378000000000004</v>
      </c>
      <c r="AA19" s="62">
        <f t="shared" si="6"/>
        <v>8.5900999999999996</v>
      </c>
      <c r="AB19" s="59" t="e">
        <f>VLOOKUP(A19,Enforcements!$C$7:$K$14,8,0)</f>
        <v>#N/A</v>
      </c>
      <c r="AC19" s="55" t="e">
        <f>VLOOKUP(A19,Enforcements!$C$7:$E$14,3,0)</f>
        <v>#N/A</v>
      </c>
      <c r="AD19" s="56" t="str">
        <f t="shared" si="7"/>
        <v>0107-14</v>
      </c>
      <c r="AE19" s="85" t="str">
        <f t="shared" si="8"/>
        <v>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 &amp; aws s3 cp s3://rtdc.mdm.uploadarchive.raw/RTDC4040/ "%USERPROFILE%\AppData\Local\Temp\OnboardLogs"\RTDC4040\2017-02-15 --exclude "*" --recursive --include "*20170215*" &amp; "%USERPROFILE%\Documents\GitHub\mrs-test-scripts\Headless Mode &amp; Sideloading\WalkAndUnGZ.bat" "%USERPROFILE%\AppData\Local\Temp\OnboardLogs"\RTDC4040\2017-02-15</v>
      </c>
      <c r="AF19" s="82" t="str">
        <f t="shared" si="9"/>
        <v>"C:\Program Files (x86)\AstroGrep\AstroGrep.exe" /spath="%USERPROFILE%\AppData\Local\Temp\OnboardLogs" /stypes="app*4040*20170214*" /stext=" 12:.+((SYSTEM_STATE.+slice.+state.+changed )|(ment ac)|(multiple cpu faults)|(system.+state.+changed )|(\[timeout)|(PRM\|1\|D)|(kpr)|(kdp)|(\|lc)|(penalty)|(RTDC:00:00000204:00000036:00006526))" /e /r /s</v>
      </c>
      <c r="AG19" s="1" t="str">
        <f t="shared" si="10"/>
        <v>EC</v>
      </c>
      <c r="AH19" s="86" t="str">
        <f t="shared" si="19"/>
        <v>"%USERPROFILE%\Documents\GitHub\eaglep3\Utilities\RefineRTDCRunTimes.py" --tripid 107-14 --locoid 4040 --swversion DE.1.0.8.0 --startMP 204:477 --initTime 2017-02-14T04:38:44 --startdatetime 2017-02-14T04:40:05 --delay 1 --endMP 204:86378 --enddatetime 2017-02-14T05:54:19 --enforcementcount 0 &gt;&gt;C:\Users\stu\Documents\GitHub\eaglep3-reporting\EC\2017-02-14-refined-times.txt</v>
      </c>
      <c r="AI19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{"issue":{"subject":"","project_id":79,"tracker_id":40,"status_id":1,"priority_id":2,"assigned_to_id":23,"start_date":"2017-02-14","description":"","custom_fields":[{"id":1,"name":"Subdivision","value":"EC"},{"id":4,"name":"Milepost","value":"8.6378"},{"id":17,"name":"Train ID","value":"107-14"},{"id":16,"name":"Locomotive ID","value":"4040"},{"id":130,"name":"Impact","value":""},{"id":150,"name":"Time of Event (Mountain Time)","value":"05:54:19"},{"id":151,"name":"Denver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1"/>
        <v>start /low /b %USERPROFILE%\Documents\GitHub\eaglep3\Utilities\DownloadLogsFromS3.py --loco 4040 --day 2017-02-14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"%USERPROFILE%\AppData\Local\Temp\OnboardLogs"\RTDC4040\*4040*20170214* | grep -SE "(Enforcement Action)|(\[TIMEOUT)|(CHR.+\|PRM\|1\|D.+(SWITCH|SIGNAL).+UNKNOWN)" - &gt;&gt; 2017-02-14-UncaughtWiMAX.txt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512</v>
      </c>
      <c r="B20" s="7">
        <v>4039</v>
      </c>
      <c r="C20" s="21" t="s">
        <v>192</v>
      </c>
      <c r="D20" s="21" t="s">
        <v>659</v>
      </c>
      <c r="E20" s="13">
        <v>42780.258622685185</v>
      </c>
      <c r="F20" s="13">
        <v>42780.259456018517</v>
      </c>
      <c r="G20" s="7">
        <v>1</v>
      </c>
      <c r="H20" s="21" t="s">
        <v>660</v>
      </c>
      <c r="I20" s="13">
        <v>42780.274513888886</v>
      </c>
      <c r="J20" s="7">
        <v>0</v>
      </c>
      <c r="K20" s="98" t="str">
        <f t="shared" si="0"/>
        <v>4039/4040</v>
      </c>
      <c r="L20" s="21" t="str">
        <f>VLOOKUP(A20,'Trips&amp;Operators'!$C$1:$G$99999,5,FALSE)</f>
        <v>BONDS REYNALDO</v>
      </c>
      <c r="M20" s="6">
        <f t="shared" si="1"/>
        <v>1.505787036876427E-2</v>
      </c>
      <c r="N20" s="7"/>
      <c r="O20" s="7"/>
      <c r="P20" s="7">
        <f>24*60*SUM($M20:$M21)</f>
        <v>30.616666667629033</v>
      </c>
      <c r="Q20" s="22"/>
      <c r="R20" s="22" t="s">
        <v>862</v>
      </c>
      <c r="S20" s="31">
        <f>SUM(U20:U20)/IF(AG20="EC",10,1)</f>
        <v>0.9</v>
      </c>
      <c r="T20" s="46" t="str">
        <f t="shared" si="2"/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9</v>
      </c>
      <c r="V20" s="187" t="str">
        <f t="shared" si="3"/>
        <v>https://d0f6bd738d7f1b3e5a7ca70fe4ff75f0.us-east-1.aws.found.io/app/kibana#/discover/Steve-Slow-Train-Analysis-(2080s-and-2083s)?_g=(refreshInterval:(display:Off,pause:!f,section:0,value:0),time:(from:'2017-02-14T05:12:25-0700',mode:absolute,to:'2017-02-14T07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188" t="str">
        <f t="shared" si="4"/>
        <v>Y</v>
      </c>
      <c r="X20" s="188">
        <f t="shared" si="22"/>
        <v>1</v>
      </c>
      <c r="Y20" s="62">
        <f t="shared" si="5"/>
        <v>7.1044999999999998</v>
      </c>
      <c r="Z20" s="62">
        <f t="shared" si="15"/>
        <v>4.3299999999999998E-2</v>
      </c>
      <c r="AA20" s="62">
        <f t="shared" si="6"/>
        <v>7.0611999999999995</v>
      </c>
      <c r="AB20" s="59" t="e">
        <f>VLOOKUP(A20,Enforcements!$C$7:$K$14,8,0)</f>
        <v>#N/A</v>
      </c>
      <c r="AC20" s="55" t="e">
        <f>VLOOKUP(A20,Enforcements!$C$7:$E$14,3,0)</f>
        <v>#N/A</v>
      </c>
      <c r="AD20" s="56" t="str">
        <f t="shared" si="7"/>
        <v>0108-14</v>
      </c>
      <c r="AE20" s="85" t="str">
        <f t="shared" si="8"/>
        <v>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 &amp; aws s3 cp s3://rtdc.mdm.uploadarchive.raw/RTDC4039/ "%USERPROFILE%\AppData\Local\Temp\OnboardLogs"\RTDC4039\2017-02-15 --exclude "*" --recursive --include "*20170215*" &amp; "%USERPROFILE%\Documents\GitHub\mrs-test-scripts\Headless Mode &amp; Sideloading\WalkAndUnGZ.bat" "%USERPROFILE%\AppData\Local\Temp\OnboardLogs"\RTDC4039\2017-02-15</v>
      </c>
      <c r="AF20" s="82" t="str">
        <f t="shared" si="9"/>
        <v>"C:\Program Files (x86)\AstroGrep\AstroGrep.exe" /spath="%USERPROFILE%\AppData\Local\Temp\OnboardLogs" /stypes="app*4039*20170214*" /stext=" 13:.+((SYSTEM_STATE.+slice.+state.+changed )|(ment ac)|(multiple cpu faults)|(system.+state.+changed )|(\[timeout)|(PRM\|1\|D)|(kpr)|(kdp)|(\|lc)|(penalty)|(RTDC:00:00000204:00000036:00006526))" /e /r /s</v>
      </c>
      <c r="AG20" s="1" t="str">
        <f t="shared" si="10"/>
        <v>EC</v>
      </c>
      <c r="AH20" s="86" t="str">
        <f t="shared" si="19"/>
        <v>"%USERPROFILE%\Documents\GitHub\eaglep3\Utilities\RefineRTDCRunTimes.py" --tripid 108-14 --locoid 4039 --swversion DE.1.0.8.0 --startMP 204:71045 --initTime 2017-02-14T06:12:25 --startdatetime 2017-02-14T06:13:37 --delay 1 --endMP 204:433 --enddatetime 2017-02-14T06:35:18 --enforcementcount 0 &gt;&gt;C:\Users\stu\Documents\GitHub\eaglep3-reporting\EC\2017-02-14-refined-times.txt</v>
      </c>
      <c r="AI20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lock","project_id":79,"tracker_id":40,"status_id":1,"priority_id":2,"assigned_to_id":23,"start_date":"2017-02-14","description":"","custom_fields":[{"id":1,"name":"Subdivision","value":"EC"},{"id":4,"name":"Milepost","value":"0.0433"},{"id":17,"name":"Train ID","value":"108-14"},{"id":16,"name":"Locomotive ID","value":"4039"},{"id":130,"name":"Impact","value":""},{"id":150,"name":"Time of Event (Mountain Time)","value":"06:35:18"},{"id":151,"name":"Denver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1"/>
        <v>start /low /b %USERPROFILE%\Documents\GitHub\eaglep3\Utilities\DownloadLogsFromS3.py --loco 4039 --day 2017-02-14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"%USERPROFILE%\AppData\Local\Temp\OnboardLogs"\RTDC4039\*4039*20170214* | grep -SE "(Enforcement Action)|(\[TIMEOUT)|(CHR.+\|PRM\|1\|D.+(SWITCH|SIGNAL).+UNKNOWN)" - &gt;&gt; 2017-02-14-UncaughtWiMAX.txt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512</v>
      </c>
      <c r="B21" s="7">
        <v>4039</v>
      </c>
      <c r="C21" s="21" t="s">
        <v>192</v>
      </c>
      <c r="D21" s="21" t="s">
        <v>661</v>
      </c>
      <c r="E21" s="13">
        <v>42780.247673611113</v>
      </c>
      <c r="F21" s="13">
        <v>42780.248506944445</v>
      </c>
      <c r="G21" s="7">
        <v>1</v>
      </c>
      <c r="H21" s="21" t="s">
        <v>662</v>
      </c>
      <c r="I21" s="13">
        <v>42780.254710648151</v>
      </c>
      <c r="J21" s="7">
        <v>0</v>
      </c>
      <c r="K21" s="98" t="str">
        <f t="shared" si="0"/>
        <v>4039/4040</v>
      </c>
      <c r="L21" s="21" t="str">
        <f>VLOOKUP(A21,'Trips&amp;Operators'!$C$1:$G$99999,5,FALSE)</f>
        <v>BONDS REYNALDO</v>
      </c>
      <c r="M21" s="6">
        <f t="shared" si="1"/>
        <v>6.2037037059781142E-3</v>
      </c>
      <c r="N21" s="7"/>
      <c r="O21" s="7"/>
      <c r="P21" s="7"/>
      <c r="Q21" s="22"/>
      <c r="R21" s="22"/>
      <c r="S21" s="31"/>
      <c r="T21" s="46" t="str">
        <f t="shared" si="2"/>
        <v>Southbound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187" t="str">
        <f t="shared" si="3"/>
        <v>https://d0f6bd738d7f1b3e5a7ca70fe4ff75f0.us-east-1.aws.found.io/app/kibana#/discover/Steve-Slow-Train-Analysis-(2080s-and-2083s)?_g=(refreshInterval:(display:Off,pause:!f,section:0,value:0),time:(from:'2017-02-14T04:56:39-0700',mode:absolute,to:'2017-02-14T07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" s="188" t="str">
        <f t="shared" si="4"/>
        <v>Y</v>
      </c>
      <c r="X21" s="188">
        <f t="shared" si="22"/>
        <v>0</v>
      </c>
      <c r="Y21" s="62">
        <f t="shared" si="5"/>
        <v>8.6364000000000001</v>
      </c>
      <c r="Z21" s="62">
        <f t="shared" si="15"/>
        <v>8.2105999999999995</v>
      </c>
      <c r="AA21" s="62">
        <f t="shared" si="6"/>
        <v>0.42580000000000062</v>
      </c>
      <c r="AB21" s="59" t="e">
        <f>VLOOKUP(A21,Enforcements!$C$7:$K$14,8,0)</f>
        <v>#N/A</v>
      </c>
      <c r="AC21" s="55" t="e">
        <f>VLOOKUP(A21,Enforcements!$C$7:$E$14,3,0)</f>
        <v>#N/A</v>
      </c>
      <c r="AD21" s="56" t="str">
        <f t="shared" si="7"/>
        <v>0108-14</v>
      </c>
      <c r="AE21" s="85" t="str">
        <f t="shared" si="8"/>
        <v>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 &amp; aws s3 cp s3://rtdc.mdm.uploadarchive.raw/RTDC4039/ "%USERPROFILE%\AppData\Local\Temp\OnboardLogs"\RTDC4039\2017-02-15 --exclude "*" --recursive --include "*20170215*" &amp; "%USERPROFILE%\Documents\GitHub\mrs-test-scripts\Headless Mode &amp; Sideloading\WalkAndUnGZ.bat" "%USERPROFILE%\AppData\Local\Temp\OnboardLogs"\RTDC4039\2017-02-15</v>
      </c>
      <c r="AF21" s="82" t="str">
        <f t="shared" si="9"/>
        <v>"C:\Program Files (x86)\AstroGrep\AstroGrep.exe" /spath="%USERPROFILE%\AppData\Local\Temp\OnboardLogs" /stypes="app*4039*20170214*" /stext=" 13:.+((SYSTEM_STATE.+slice.+state.+changed )|(ment ac)|(multiple cpu faults)|(system.+state.+changed )|(\[timeout)|(PRM\|1\|D)|(kpr)|(kdp)|(\|lc)|(penalty)|(RTDC:00:00000204:00000036:00006526))" /e /r /s</v>
      </c>
      <c r="AG21" s="1" t="str">
        <f t="shared" si="10"/>
        <v>EC</v>
      </c>
      <c r="AH21" s="86" t="str">
        <f t="shared" si="19"/>
        <v>"%USERPROFILE%\Documents\GitHub\eaglep3\Utilities\RefineRTDCRunTimes.py" --tripid 108-14 --locoid 4039 --swversion DE.1.0.8.0 --startMP 204:86364 --initTime 2017-02-14T05:56:39 --startdatetime 2017-02-14T05:57:51 --delay 1 --endMP 204:82106 --enddatetime 2017-02-14T06:06:47 --enforcementcount 0 &gt;&gt;C:\Users\stu\Documents\GitHub\eaglep3-reporting\EC\2017-02-14-refined-times.txt</v>
      </c>
      <c r="AI21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{"issue":{"subject":"","project_id":79,"tracker_id":40,"status_id":1,"priority_id":2,"assigned_to_id":23,"start_date":"2017-02-14","description":"","custom_fields":[{"id":1,"name":"Subdivision","value":"EC"},{"id":4,"name":"Milepost","value":"8.2106"},{"id":17,"name":"Train ID","value":"108-14"},{"id":16,"name":"Locomotive ID","value":"4039"},{"id":130,"name":"Impact","value":""},{"id":150,"name":"Time of Event (Mountain Time)","value":"06:06:47"},{"id":151,"name":"Denver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1"/>
        <v>start /low /b %USERPROFILE%\Documents\GitHub\eaglep3\Utilities\DownloadLogsFromS3.py --loco 4039 --day 2017-02-14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"%USERPROFILE%\AppData\Local\Temp\OnboardLogs"\RTDC4039\*4039*20170214* | grep -SE "(Enforcement Action)|(\[TIMEOUT)|(CHR.+\|PRM\|1\|D.+(SWITCH|SIGNAL).+UNKNOWN)" - &gt;&gt; 2017-02-14-UncaughtWiMAX.txt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520</v>
      </c>
      <c r="B22" s="7">
        <v>4017</v>
      </c>
      <c r="C22" s="21" t="s">
        <v>192</v>
      </c>
      <c r="D22" s="21" t="s">
        <v>656</v>
      </c>
      <c r="E22" s="13">
        <v>42780.279189814813</v>
      </c>
      <c r="F22" s="13">
        <v>42780.280613425923</v>
      </c>
      <c r="G22" s="7">
        <v>2</v>
      </c>
      <c r="H22" s="21" t="s">
        <v>656</v>
      </c>
      <c r="I22" s="13">
        <v>42780.2809837963</v>
      </c>
      <c r="J22" s="7">
        <v>0</v>
      </c>
      <c r="K22" s="98" t="str">
        <f t="shared" si="0"/>
        <v>4017/4018</v>
      </c>
      <c r="L22" s="21" t="str">
        <f>VLOOKUP(A22,'Trips&amp;Operators'!$C$1:$G$99999,5,FALSE)</f>
        <v>STARKS ANGELINA</v>
      </c>
      <c r="M22" s="6">
        <f t="shared" si="1"/>
        <v>3.7037037691334262E-4</v>
      </c>
      <c r="N22" s="7"/>
      <c r="O22" s="7"/>
      <c r="P22" s="7">
        <f>24*60*SUM($M22:$M22)</f>
        <v>0.53333334275521338</v>
      </c>
      <c r="Q22" s="22"/>
      <c r="R22" s="22" t="s">
        <v>854</v>
      </c>
      <c r="S22" s="31">
        <f>SUM(U22:U22)/IF(AG22="EC",10,1)</f>
        <v>0</v>
      </c>
      <c r="T22" s="46" t="str">
        <f t="shared" si="2"/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187" t="str">
        <f t="shared" si="3"/>
        <v>https://d0f6bd738d7f1b3e5a7ca70fe4ff75f0.us-east-1.aws.found.io/app/kibana#/discover/Steve-Slow-Train-Analysis-(2080s-and-2083s)?_g=(refreshInterval:(display:Off,pause:!f,section:0,value:0),time:(from:'2017-02-14T05:42:02-0700',mode:absolute,to:'2017-02-14T07:44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88" t="str">
        <f t="shared" si="4"/>
        <v>Y</v>
      </c>
      <c r="X22" s="188">
        <f t="shared" si="22"/>
        <v>8</v>
      </c>
      <c r="Y22" s="62">
        <f t="shared" si="5"/>
        <v>8.6351999999999993</v>
      </c>
      <c r="Z22" s="62">
        <f t="shared" si="15"/>
        <v>8.6351999999999993</v>
      </c>
      <c r="AA22" s="62">
        <f t="shared" si="6"/>
        <v>0</v>
      </c>
      <c r="AB22" s="59" t="e">
        <f>VLOOKUP(A22,Enforcements!$C$7:$K$14,8,0)</f>
        <v>#N/A</v>
      </c>
      <c r="AC22" s="55" t="e">
        <f>VLOOKUP(A22,Enforcements!$C$7:$E$14,3,0)</f>
        <v>#N/A</v>
      </c>
      <c r="AD22" s="56" t="str">
        <f t="shared" si="7"/>
        <v>0116-14</v>
      </c>
      <c r="AE22" s="85" t="str">
        <f t="shared" si="8"/>
        <v>aws s3 cp s3://rtdc.mdm.uploadarchive.raw/RTDC4017/ "%USERPROFILE%\AppData\Local\Temp\OnboardLogs"\RTDC4017\2017-02-14 --exclude "*" --recursive --include "*20170214*" &amp; "%USERPROFILE%\Documents\GitHub\mrs-test-scripts\Headless Mode &amp; Sideloading\WalkAndUnGZ.bat" "%USERPROFILE%\AppData\Local\Temp\OnboardLogs"\RTDC4017\2017-02-14 &amp; 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</v>
      </c>
      <c r="AF22" s="82" t="str">
        <f t="shared" si="9"/>
        <v>"C:\Program Files (x86)\AstroGrep\AstroGrep.exe" /spath="%USERPROFILE%\AppData\Local\Temp\OnboardLogs" /stypes="app*4017*20170214*" /stext=" 13:.+((SYSTEM_STATE.+slice.+state.+changed )|(ment ac)|(multiple cpu faults)|(system.+state.+changed )|(\[timeout)|(PRM\|1\|D)|(kpr)|(kdp)|(\|lc)|(penalty)|(RTDC:00:00000204:00000036:00006526))" /e /r /s</v>
      </c>
      <c r="AG22" s="1" t="str">
        <f t="shared" si="10"/>
        <v>EC</v>
      </c>
      <c r="AH22" s="86" t="str">
        <f t="shared" si="19"/>
        <v>"%USERPROFILE%\Documents\GitHub\eaglep3\Utilities\RefineRTDCRunTimes.py" --tripid 116-14 --locoid 4017 --swversion DE.1.0.8.0 --startMP 204:86352 --initTime 2017-02-14T06:42:02 --startdatetime 2017-02-14T06:44:05 --delay 2 --endMP 204:86352 --enddatetime 2017-02-14T06:44:37 --enforcementcount 0 &gt;&gt;C:\Users\stu\Documents\GitHub\eaglep3-reporting\EC\2017-02-14-refined-times.txt</v>
      </c>
      <c r="AI22" s="108" t="str">
        <f t="shared" si="20"/>
        <v>echo {"issue":{"subject":"Onboard in-route failure","project_id":79,"tracker_id":40,"status_id":1,"priority_id":2,"assigned_to_id":23,"start_date":"2017-02-14","description":"","custom_fields":[{"id":1,"name":"Subdivision","value":"EC"},{"id":4,"name":"Milepost","value":"8.6352"},{"id":17,"name":"Train ID","value":"116-14"},{"id":16,"name":"Locomotive ID","value":"4017"},{"id":130,"name":"Impact","value":""},{"id":150,"name":"Time of Event (Mountain Time)","value":"06:44:37"},{"id":151,"name":"Denver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1"/>
        <v>start /low /b %USERPROFILE%\Documents\GitHub\eaglep3\Utilities\DownloadLogsFromS3.py --loco 4017 --day 2017-02-14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"%USERPROFILE%\AppData\Local\Temp\OnboardLogs"\RTDC4017\*4017*20170214* | grep -SE "(Enforcement Action)|(\[TIMEOUT)|(CHR.+\|PRM\|1\|D.+(SWITCH|SIGNAL).+UNKNOWN)" - &gt;&gt; 2017-02-14-UncaughtWiMAX.txt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520</v>
      </c>
      <c r="B23" s="7">
        <v>4017</v>
      </c>
      <c r="C23" s="21" t="s">
        <v>192</v>
      </c>
      <c r="D23" s="21" t="s">
        <v>656</v>
      </c>
      <c r="E23" s="13">
        <v>42780.281099537038</v>
      </c>
      <c r="F23" s="13">
        <v>42780.282175925924</v>
      </c>
      <c r="G23" s="7">
        <v>1</v>
      </c>
      <c r="H23" s="21" t="s">
        <v>663</v>
      </c>
      <c r="I23" s="13">
        <v>42780.282465277778</v>
      </c>
      <c r="J23" s="7">
        <v>0</v>
      </c>
      <c r="K23" s="98" t="str">
        <f t="shared" si="0"/>
        <v>4017/4018</v>
      </c>
      <c r="L23" s="21" t="str">
        <f>VLOOKUP(A23,'Trips&amp;Operators'!$C$1:$G$99999,5,FALSE)</f>
        <v>STARKS ANGELINA</v>
      </c>
      <c r="M23" s="6">
        <f t="shared" si="1"/>
        <v>2.8935185400769114E-4</v>
      </c>
      <c r="N23" s="7"/>
      <c r="O23" s="7"/>
      <c r="P23" s="7"/>
      <c r="Q23" s="22"/>
      <c r="R23" s="22"/>
      <c r="S23" s="31"/>
      <c r="T23" s="46" t="str">
        <f t="shared" si="2"/>
        <v>Southbound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87" t="str">
        <f t="shared" si="3"/>
        <v>https://d0f6bd738d7f1b3e5a7ca70fe4ff75f0.us-east-1.aws.found.io/app/kibana#/discover/Steve-Slow-Train-Analysis-(2080s-and-2083s)?_g=(refreshInterval:(display:Off,pause:!f,section:0,value:0),time:(from:'2017-02-14T05:44:47-0700',mode:absolute,to:'2017-02-14T07:46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" s="188" t="str">
        <f t="shared" si="4"/>
        <v>Y</v>
      </c>
      <c r="X23" s="188">
        <f t="shared" si="22"/>
        <v>0</v>
      </c>
      <c r="Y23" s="62">
        <f t="shared" si="5"/>
        <v>8.6351999999999993</v>
      </c>
      <c r="Z23" s="62">
        <f t="shared" si="15"/>
        <v>8.6167999999999996</v>
      </c>
      <c r="AA23" s="62">
        <f t="shared" si="6"/>
        <v>1.839999999999975E-2</v>
      </c>
      <c r="AB23" s="59" t="e">
        <f>VLOOKUP(A23,Enforcements!$C$7:$K$14,8,0)</f>
        <v>#N/A</v>
      </c>
      <c r="AC23" s="55" t="e">
        <f>VLOOKUP(A23,Enforcements!$C$7:$E$14,3,0)</f>
        <v>#N/A</v>
      </c>
      <c r="AD23" s="56" t="str">
        <f t="shared" si="7"/>
        <v>0116-14</v>
      </c>
      <c r="AE23" s="85" t="str">
        <f t="shared" si="8"/>
        <v>aws s3 cp s3://rtdc.mdm.uploadarchive.raw/RTDC4017/ "%USERPROFILE%\AppData\Local\Temp\OnboardLogs"\RTDC4017\2017-02-14 --exclude "*" --recursive --include "*20170214*" &amp; "%USERPROFILE%\Documents\GitHub\mrs-test-scripts\Headless Mode &amp; Sideloading\WalkAndUnGZ.bat" "%USERPROFILE%\AppData\Local\Temp\OnboardLogs"\RTDC4017\2017-02-14 &amp; 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</v>
      </c>
      <c r="AF23" s="82" t="str">
        <f t="shared" si="9"/>
        <v>"C:\Program Files (x86)\AstroGrep\AstroGrep.exe" /spath="%USERPROFILE%\AppData\Local\Temp\OnboardLogs" /stypes="app*4017*20170214*" /stext=" 13:.+((SYSTEM_STATE.+slice.+state.+changed )|(ment ac)|(multiple cpu faults)|(system.+state.+changed )|(\[timeout)|(PRM\|1\|D)|(kpr)|(kdp)|(\|lc)|(penalty)|(RTDC:00:00000204:00000036:00006526))" /e /r /s</v>
      </c>
      <c r="AG23" s="1" t="str">
        <f t="shared" si="10"/>
        <v>EC</v>
      </c>
      <c r="AH23" s="86" t="str">
        <f t="shared" si="19"/>
        <v>"%USERPROFILE%\Documents\GitHub\eaglep3\Utilities\RefineRTDCRunTimes.py" --tripid 116-14 --locoid 4017 --swversion DE.1.0.8.0 --startMP 204:86352 --initTime 2017-02-14T06:44:47 --startdatetime 2017-02-14T06:46:20 --delay 1 --endMP 204:86168 --enddatetime 2017-02-14T06:46:45 --enforcementcount 0 &gt;&gt;C:\Users\stu\Documents\GitHub\eaglep3-reporting\EC\2017-02-14-refined-times.txt</v>
      </c>
      <c r="AI23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{"issue":{"subject":"","project_id":79,"tracker_id":40,"status_id":1,"priority_id":2,"assigned_to_id":23,"start_date":"2017-02-14","description":"","custom_fields":[{"id":1,"name":"Subdivision","value":"EC"},{"id":4,"name":"Milepost","value":"8.6168"},{"id":17,"name":"Train ID","value":"116-14"},{"id":16,"name":"Locomotive ID","value":"4017"},{"id":130,"name":"Impact","value":""},{"id":150,"name":"Time of Event (Mountain Time)","value":"06:46:45"},{"id":151,"name":"Denver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1"/>
        <v>start /low /b %USERPROFILE%\Documents\GitHub\eaglep3\Utilities\DownloadLogsFromS3.py --loco 4017 --day 2017-02-14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"%USERPROFILE%\AppData\Local\Temp\OnboardLogs"\RTDC4017\*4017*20170214* | grep -SE "(Enforcement Action)|(\[TIMEOUT)|(CHR.+\|PRM\|1\|D.+(SWITCH|SIGNAL).+UNKNOWN)" - &gt;&gt; 2017-02-14-UncaughtWiMAX.txt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515</v>
      </c>
      <c r="B24" s="7">
        <v>4020</v>
      </c>
      <c r="C24" s="21" t="s">
        <v>192</v>
      </c>
      <c r="D24" s="21" t="s">
        <v>664</v>
      </c>
      <c r="E24" s="13">
        <v>42780.26090277778</v>
      </c>
      <c r="F24" s="13">
        <v>42780.26190972222</v>
      </c>
      <c r="G24" s="7">
        <v>1</v>
      </c>
      <c r="H24" s="21" t="s">
        <v>650</v>
      </c>
      <c r="I24" s="13">
        <v>42780.275972222225</v>
      </c>
      <c r="J24" s="7">
        <v>0</v>
      </c>
      <c r="K24" s="98" t="str">
        <f t="shared" si="0"/>
        <v>4019/4020</v>
      </c>
      <c r="L24" s="21" t="str">
        <f>VLOOKUP(A24,'Trips&amp;Operators'!$C$1:$G$99999,5,FALSE)</f>
        <v>STARKS ANGELINA</v>
      </c>
      <c r="M24" s="6">
        <f t="shared" si="1"/>
        <v>1.4062500005820766E-2</v>
      </c>
      <c r="N24" s="7">
        <f>24*60*SUM($M24:$M24)</f>
        <v>20.250000008381903</v>
      </c>
      <c r="O24" s="7"/>
      <c r="P24" s="7"/>
      <c r="Q24" s="22"/>
      <c r="R24" s="22"/>
      <c r="S24" s="31">
        <f>SUM(U24:U24)/IF(AG24="EC",10,1)</f>
        <v>1</v>
      </c>
      <c r="T24" s="46" t="str">
        <f t="shared" si="2"/>
        <v>NorthBound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10</v>
      </c>
      <c r="V24" s="187" t="str">
        <f t="shared" si="3"/>
        <v>https://d0f6bd738d7f1b3e5a7ca70fe4ff75f0.us-east-1.aws.found.io/app/kibana#/discover/Steve-Slow-Train-Analysis-(2080s-and-2083s)?_g=(refreshInterval:(display:Off,pause:!f,section:0,value:0),time:(from:'2017-02-14T05:15:42-0700',mode:absolute,to:'2017-02-14T07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" s="188" t="str">
        <f t="shared" si="4"/>
        <v>N</v>
      </c>
      <c r="X24" s="188">
        <f t="shared" si="22"/>
        <v>5</v>
      </c>
      <c r="Y24" s="62">
        <f t="shared" si="5"/>
        <v>7.6300000000000007E-2</v>
      </c>
      <c r="Z24" s="62">
        <f t="shared" si="15"/>
        <v>8.6379999999999999</v>
      </c>
      <c r="AA24" s="62">
        <f t="shared" si="6"/>
        <v>8.5617000000000001</v>
      </c>
      <c r="AB24" s="59" t="e">
        <f>VLOOKUP(A24,Enforcements!$C$7:$K$14,8,0)</f>
        <v>#N/A</v>
      </c>
      <c r="AC24" s="55" t="e">
        <f>VLOOKUP(A24,Enforcements!$C$7:$E$14,3,0)</f>
        <v>#N/A</v>
      </c>
      <c r="AD24" s="56" t="str">
        <f t="shared" si="7"/>
        <v>0121-14</v>
      </c>
      <c r="AE24" s="85" t="str">
        <f t="shared" si="8"/>
        <v>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 &amp; 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</v>
      </c>
      <c r="AF24" s="82" t="str">
        <f t="shared" si="9"/>
        <v>"C:\Program Files (x86)\AstroGrep\AstroGrep.exe" /spath="%USERPROFILE%\AppData\Local\Temp\OnboardLogs" /stypes="app*4020*20170214*" /stext=" 13:.+((SYSTEM_STATE.+slice.+state.+changed )|(ment ac)|(multiple cpu faults)|(system.+state.+changed )|(\[timeout)|(PRM\|1\|D)|(kpr)|(kdp)|(\|lc)|(penalty)|(RTDC:00:00000204:00000036:00006526))" /e /r /s</v>
      </c>
      <c r="AG24" s="1" t="str">
        <f t="shared" si="10"/>
        <v>EC</v>
      </c>
      <c r="AH24" s="86" t="str">
        <f t="shared" si="19"/>
        <v>"%USERPROFILE%\Documents\GitHub\eaglep3\Utilities\RefineRTDCRunTimes.py" --tripid 121-14 --locoid 4020 --swversion DE.1.0.8.0 --startMP 204:763 --initTime 2017-02-14T06:15:42 --startdatetime 2017-02-14T06:17:09 --delay 1 --endMP 204:86380 --enddatetime 2017-02-14T06:37:24 --enforcementcount 0 &gt;&gt;C:\Users\stu\Documents\GitHub\eaglep3-reporting\EC\2017-02-14-refined-times.txt</v>
      </c>
      <c r="AI24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ID","value":"121-14"},{"id":16,"name":"Locomotive ID","value":"4020"},{"id":130,"name":"Impact","value":""},{"id":150,"name":"Time of Event (Mountain Time)","value":"06:37:24"},{"id":151,"name":"Denver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1"/>
        <v>start /low /b %USERPROFILE%\Documents\GitHub\eaglep3\Utilities\DownloadLogsFromS3.py --loco 4020 --day 2017-02-14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"%USERPROFILE%\AppData\Local\Temp\OnboardLogs"\RTDC4020\*4020*20170214* | grep -SE "(Enforcement Action)|(\[TIMEOUT)|(CHR.+\|PRM\|1\|D.+(SWITCH|SIGNAL).+UNKNOWN)" - &gt;&gt; 2017-02-14-UncaughtWiMAX.txt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519</v>
      </c>
      <c r="B25" s="7">
        <v>4040</v>
      </c>
      <c r="C25" s="21" t="s">
        <v>192</v>
      </c>
      <c r="D25" s="21" t="s">
        <v>665</v>
      </c>
      <c r="E25" s="13">
        <v>42780.278124999997</v>
      </c>
      <c r="F25" s="13">
        <v>42780.279050925928</v>
      </c>
      <c r="G25" s="7">
        <v>1</v>
      </c>
      <c r="H25" s="21" t="s">
        <v>650</v>
      </c>
      <c r="I25" s="13">
        <v>42780.30232638889</v>
      </c>
      <c r="J25" s="7">
        <v>0</v>
      </c>
      <c r="K25" s="98" t="str">
        <f t="shared" si="0"/>
        <v>4039/4040</v>
      </c>
      <c r="L25" s="21" t="str">
        <f>VLOOKUP(A25,'Trips&amp;Operators'!$C$1:$G$99999,5,FALSE)</f>
        <v>BONDS REYNALDO</v>
      </c>
      <c r="M25" s="6">
        <f t="shared" si="1"/>
        <v>2.3275462961464655E-2</v>
      </c>
      <c r="N25" s="7">
        <f>24*60*SUM($M25:$M25)</f>
        <v>33.516666664509103</v>
      </c>
      <c r="O25" s="7"/>
      <c r="P25" s="7"/>
      <c r="Q25" s="22"/>
      <c r="R25" s="22"/>
      <c r="S25" s="31">
        <f t="shared" ref="S25:S88" si="23">SUM(U25:U25)/IF(AG25="EC",10,1)</f>
        <v>1</v>
      </c>
      <c r="T25" s="46" t="str">
        <f t="shared" si="2"/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10</v>
      </c>
      <c r="V25" s="187" t="str">
        <f t="shared" si="3"/>
        <v>https://d0f6bd738d7f1b3e5a7ca70fe4ff75f0.us-east-1.aws.found.io/app/kibana#/discover/Steve-Slow-Train-Analysis-(2080s-and-2083s)?_g=(refreshInterval:(display:Off,pause:!f,section:0,value:0),time:(from:'2017-02-14T05:40:30-0700',mode:absolute,to:'2017-02-14T08:15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88" t="str">
        <f t="shared" si="4"/>
        <v>N</v>
      </c>
      <c r="X25" s="188">
        <f t="shared" si="22"/>
        <v>4</v>
      </c>
      <c r="Y25" s="62">
        <f t="shared" si="5"/>
        <v>7.4099999999999999E-2</v>
      </c>
      <c r="Z25" s="62">
        <f t="shared" si="15"/>
        <v>8.6379999999999999</v>
      </c>
      <c r="AA25" s="62">
        <f t="shared" si="6"/>
        <v>8.5639000000000003</v>
      </c>
      <c r="AB25" s="59" t="e">
        <f>VLOOKUP(A25,Enforcements!$C$7:$K$14,8,0)</f>
        <v>#N/A</v>
      </c>
      <c r="AC25" s="55" t="e">
        <f>VLOOKUP(A25,Enforcements!$C$7:$E$14,3,0)</f>
        <v>#N/A</v>
      </c>
      <c r="AD25" s="56" t="str">
        <f t="shared" si="7"/>
        <v>0125-14</v>
      </c>
      <c r="AE25" s="85" t="str">
        <f t="shared" si="8"/>
        <v>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 &amp; aws s3 cp s3://rtdc.mdm.uploadarchive.raw/RTDC4040/ "%USERPROFILE%\AppData\Local\Temp\OnboardLogs"\RTDC4040\2017-02-15 --exclude "*" --recursive --include "*20170215*" &amp; "%USERPROFILE%\Documents\GitHub\mrs-test-scripts\Headless Mode &amp; Sideloading\WalkAndUnGZ.bat" "%USERPROFILE%\AppData\Local\Temp\OnboardLogs"\RTDC4040\2017-02-15</v>
      </c>
      <c r="AF25" s="82" t="str">
        <f t="shared" si="9"/>
        <v>"C:\Program Files (x86)\AstroGrep\AstroGrep.exe" /spath="%USERPROFILE%\AppData\Local\Temp\OnboardLogs" /stypes="app*4040*20170214*" /stext=" 14:.+((SYSTEM_STATE.+slice.+state.+changed )|(ment ac)|(multiple cpu faults)|(system.+state.+changed )|(\[timeout)|(PRM\|1\|D)|(kpr)|(kdp)|(\|lc)|(penalty)|(RTDC:00:00000204:00000036:00006526))" /e /r /s</v>
      </c>
      <c r="AG25" s="1" t="str">
        <f t="shared" si="10"/>
        <v>EC</v>
      </c>
      <c r="AH25" s="86" t="str">
        <f t="shared" si="19"/>
        <v>"%USERPROFILE%\Documents\GitHub\eaglep3\Utilities\RefineRTDCRunTimes.py" --tripid 125-14 --locoid 4040 --swversion DE.1.0.8.0 --startMP 204:741 --initTime 2017-02-14T06:40:30 --startdatetime 2017-02-14T06:41:50 --delay 1 --endMP 204:86380 --enddatetime 2017-02-14T07:15:21 --enforcementcount 0 &gt;&gt;C:\Users\stu\Documents\GitHub\eaglep3-reporting\EC\2017-02-14-refined-times.txt</v>
      </c>
      <c r="AI25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ID","value":"125-14"},{"id":16,"name":"Locomotive ID","value":"4040"},{"id":130,"name":"Impact","value":""},{"id":150,"name":"Time of Event (Mountain Time)","value":"07:15:21"},{"id":151,"name":"Denver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1"/>
        <v>start /low /b %USERPROFILE%\Documents\GitHub\eaglep3\Utilities\DownloadLogsFromS3.py --loco 4040 --day 2017-02-14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"%USERPROFILE%\AppData\Local\Temp\OnboardLogs"\RTDC4040\*4040*20170214* | grep -SE "(Enforcement Action)|(\[TIMEOUT)|(CHR.+\|PRM\|1\|D.+(SWITCH|SIGNAL).+UNKNOWN)" - &gt;&gt; 2017-02-14-UncaughtWiMAX.txt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531</v>
      </c>
      <c r="B26" s="7">
        <v>4017</v>
      </c>
      <c r="C26" s="21" t="s">
        <v>192</v>
      </c>
      <c r="D26" s="21" t="s">
        <v>651</v>
      </c>
      <c r="E26" s="13">
        <v>42780.328356481485</v>
      </c>
      <c r="F26" s="13">
        <v>42780.329375000001</v>
      </c>
      <c r="G26" s="7">
        <v>1</v>
      </c>
      <c r="H26" s="21" t="s">
        <v>651</v>
      </c>
      <c r="I26" s="13">
        <v>42780.333564814813</v>
      </c>
      <c r="J26" s="7">
        <v>0</v>
      </c>
      <c r="K26" s="98" t="str">
        <f t="shared" si="0"/>
        <v>4017/4018</v>
      </c>
      <c r="L26" s="21" t="str">
        <f>VLOOKUP(A26,'Trips&amp;Operators'!$C$1:$G$99999,5,FALSE)</f>
        <v>CUSHING HARRY</v>
      </c>
      <c r="M26" s="6">
        <f t="shared" si="1"/>
        <v>4.1898148119798861E-3</v>
      </c>
      <c r="N26" s="7"/>
      <c r="O26" s="7"/>
      <c r="P26" s="7">
        <f>24*60*SUM($M26:$M26)</f>
        <v>6.033333329251036</v>
      </c>
      <c r="Q26" s="22"/>
      <c r="R26" s="22" t="s">
        <v>862</v>
      </c>
      <c r="S26" s="31">
        <f t="shared" si="23"/>
        <v>0</v>
      </c>
      <c r="T26" s="46" t="str">
        <f t="shared" si="2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187" t="str">
        <f t="shared" si="3"/>
        <v>https://d0f6bd738d7f1b3e5a7ca70fe4ff75f0.us-east-1.aws.found.io/app/kibana#/discover/Steve-Slow-Train-Analysis-(2080s-and-2083s)?_g=(refreshInterval:(display:Off,pause:!f,section:0,value:0),time:(from:'2017-02-14T06:52:50-0700',mode:absolute,to:'2017-02-14T09:00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88" t="str">
        <f t="shared" si="4"/>
        <v>Y</v>
      </c>
      <c r="X26" s="188">
        <f t="shared" si="22"/>
        <v>1</v>
      </c>
      <c r="Y26" s="62">
        <f t="shared" si="5"/>
        <v>8.6350999999999996</v>
      </c>
      <c r="Z26" s="62">
        <f t="shared" si="15"/>
        <v>8.6350999999999996</v>
      </c>
      <c r="AA26" s="62">
        <f t="shared" si="6"/>
        <v>0</v>
      </c>
      <c r="AB26" s="59" t="e">
        <f>VLOOKUP(A26,Enforcements!$C$7:$K$14,8,0)</f>
        <v>#N/A</v>
      </c>
      <c r="AC26" s="55" t="e">
        <f>VLOOKUP(A26,Enforcements!$C$7:$E$14,3,0)</f>
        <v>#N/A</v>
      </c>
      <c r="AD26" s="56" t="str">
        <f t="shared" si="7"/>
        <v>0126-14</v>
      </c>
      <c r="AE26" s="85" t="str">
        <f t="shared" si="8"/>
        <v>aws s3 cp s3://rtdc.mdm.uploadarchive.raw/RTDC4017/ "%USERPROFILE%\AppData\Local\Temp\OnboardLogs"\RTDC4017\2017-02-14 --exclude "*" --recursive --include "*20170214*" &amp; "%USERPROFILE%\Documents\GitHub\mrs-test-scripts\Headless Mode &amp; Sideloading\WalkAndUnGZ.bat" "%USERPROFILE%\AppData\Local\Temp\OnboardLogs"\RTDC4017\2017-02-14 &amp; 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</v>
      </c>
      <c r="AF26" s="82" t="str">
        <f t="shared" si="9"/>
        <v>"C:\Program Files (x86)\AstroGrep\AstroGrep.exe" /spath="%USERPROFILE%\AppData\Local\Temp\OnboardLogs" /stypes="app*4017*20170214*" /stext=" 15:.+((SYSTEM_STATE.+slice.+state.+changed )|(ment ac)|(multiple cpu faults)|(system.+state.+changed )|(\[timeout)|(PRM\|1\|D)|(kpr)|(kdp)|(\|lc)|(penalty)|(RTDC:00:00000204:00000036:00006526))" /e /r /s</v>
      </c>
      <c r="AG26" s="1" t="str">
        <f t="shared" si="10"/>
        <v>EC</v>
      </c>
      <c r="AH26" s="86" t="str">
        <f t="shared" si="19"/>
        <v>"%USERPROFILE%\Documents\GitHub\eaglep3\Utilities\RefineRTDCRunTimes.py" --tripid 126-14 --locoid 4017 --swversion DE.1.0.8.0 --startMP 204:86351 --initTime 2017-02-14T07:52:50 --startdatetime 2017-02-14T07:54:18 --delay 1 --endMP 204:86351 --enddatetime 2017-02-14T08:00:20 --enforcementcount 0 &gt;&gt;C:\Users\stu\Documents\GitHub\eaglep3-reporting\EC\2017-02-14-refined-times.txt</v>
      </c>
      <c r="AI26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lock","project_id":79,"tracker_id":40,"status_id":1,"priority_id":2,"assigned_to_id":23,"start_date":"2017-02-14","description":"","custom_fields":[{"id":1,"name":"Subdivision","value":"EC"},{"id":4,"name":"Milepost","value":"8.6351"},{"id":17,"name":"Train ID","value":"126-14"},{"id":16,"name":"Locomotive ID","value":"4017"},{"id":130,"name":"Impact","value":""},{"id":150,"name":"Time of Event (Mountain Time)","value":"08:00:20"},{"id":151,"name":"Denver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1"/>
        <v>start /low /b %USERPROFILE%\Documents\GitHub\eaglep3\Utilities\DownloadLogsFromS3.py --loco 4017 --day 2017-02-14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"%USERPROFILE%\AppData\Local\Temp\OnboardLogs"\RTDC4017\*4017*20170214* | grep -SE "(Enforcement Action)|(\[TIMEOUT)|(CHR.+\|PRM\|1\|D.+(SWITCH|SIGNAL).+UNKNOWN)" - &gt;&gt; 2017-02-14-UncaughtWiMAX.txt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476</v>
      </c>
      <c r="B27" s="7">
        <v>4008</v>
      </c>
      <c r="C27" s="21" t="s">
        <v>192</v>
      </c>
      <c r="D27" s="21" t="s">
        <v>654</v>
      </c>
      <c r="E27" s="13">
        <v>42780.361562500002</v>
      </c>
      <c r="F27" s="13">
        <v>42780.362233796295</v>
      </c>
      <c r="G27" s="7">
        <v>0</v>
      </c>
      <c r="H27" s="21" t="s">
        <v>666</v>
      </c>
      <c r="I27" s="13">
        <v>42780.375381944446</v>
      </c>
      <c r="J27" s="7">
        <v>0</v>
      </c>
      <c r="K27" s="98" t="str">
        <f t="shared" si="0"/>
        <v>4007/4008</v>
      </c>
      <c r="L27" s="21" t="str">
        <f>VLOOKUP(A27,'Trips&amp;Operators'!$C$1:$G$99999,5,FALSE)</f>
        <v>COOLAHAN JOHN</v>
      </c>
      <c r="M27" s="6">
        <f t="shared" si="1"/>
        <v>1.3148148151230998E-2</v>
      </c>
      <c r="N27" s="7"/>
      <c r="O27" s="7"/>
      <c r="P27" s="7">
        <f>24*60*SUM($M27:$M28)</f>
        <v>22.516666670562699</v>
      </c>
      <c r="Q27" s="22"/>
      <c r="R27" s="22" t="s">
        <v>862</v>
      </c>
      <c r="S27" s="31">
        <f>SUM(U27:U27)/IF(AG27="EC",10,1)</f>
        <v>0.9</v>
      </c>
      <c r="T27" s="46" t="str">
        <f t="shared" si="2"/>
        <v>Southbound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9</v>
      </c>
      <c r="V27" s="187" t="str">
        <f t="shared" si="3"/>
        <v>https://d0f6bd738d7f1b3e5a7ca70fe4ff75f0.us-east-1.aws.found.io/app/kibana#/discover/Steve-Slow-Train-Analysis-(2080s-and-2083s)?_g=(refreshInterval:(display:Off,pause:!f,section:0,value:0),time:(from:'2017-02-14T07:40:39-0700',mode:absolute,to:'2017-02-14T10:00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7" s="188" t="str">
        <f t="shared" si="4"/>
        <v>Y</v>
      </c>
      <c r="X27" s="188">
        <f t="shared" si="22"/>
        <v>4</v>
      </c>
      <c r="Y27" s="62">
        <f t="shared" si="5"/>
        <v>6.4071999999999996</v>
      </c>
      <c r="Z27" s="62">
        <f t="shared" si="15"/>
        <v>0.19389999999999999</v>
      </c>
      <c r="AA27" s="62">
        <f t="shared" si="6"/>
        <v>6.2132999999999994</v>
      </c>
      <c r="AB27" s="59" t="str">
        <f>VLOOKUP(A27,Enforcements!$C$7:$K$14,8,0)</f>
        <v>Signal based authority (5)</v>
      </c>
      <c r="AC27" s="55" t="str">
        <f>VLOOKUP(A27,Enforcements!$C$7:$E$14,3,0)</f>
        <v>SIGNAL</v>
      </c>
      <c r="AD27" s="56" t="str">
        <f t="shared" si="7"/>
        <v>0130-14</v>
      </c>
      <c r="AE27" s="85" t="str">
        <f t="shared" si="8"/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AF27" s="82" t="str">
        <f t="shared" si="9"/>
        <v>"C:\Program Files (x86)\AstroGrep\AstroGrep.exe" /spath="%USERPROFILE%\AppData\Local\Temp\OnboardLogs" /stypes="app*4008*20170214*" /stext=" 16:.+((SYSTEM_STATE.+slice.+state.+changed )|(ment ac)|(multiple cpu faults)|(system.+state.+changed )|(\[timeout)|(PRM\|1\|D)|(kpr)|(kdp)|(\|lc)|(penalty)|(RTDC:00:00000204:00000036:00006526))" /e /r /s</v>
      </c>
      <c r="AG27" s="1" t="str">
        <f t="shared" si="10"/>
        <v>EC</v>
      </c>
      <c r="AH27" s="86" t="str">
        <f t="shared" si="19"/>
        <v>"%USERPROFILE%\Documents\GitHub\eaglep3\Utilities\RefineRTDCRunTimes.py" --tripid 130-14 --locoid 4008 --swversion DE.1.0.8.0 --startMP 204:64072 --initTime 2017-02-14T08:40:39 --startdatetime 2017-02-14T08:41:37 --delay 0 --endMP 204:1939 --enddatetime 2017-02-14T09:00:33 --enforcementcount 0 &gt;&gt;C:\Users\stu\Documents\GitHub\eaglep3-reporting\EC\2017-02-14-refined-times.txt</v>
      </c>
      <c r="AI27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lock","project_id":79,"tracker_id":40,"status_id":1,"priority_id":2,"assigned_to_id":23,"start_date":"2017-02-14","description":"","custom_fields":[{"id":1,"name":"Subdivision","value":"EC"},{"id":4,"name":"Milepost","value":"0.1939"},{"id":17,"name":"Train ID","value":"130-14"},{"id":16,"name":"Locomotive ID","value":"4008"},{"id":130,"name":"Impact","value":""},{"id":150,"name":"Time of Event (Mountain Time)","value":"09:00:33"},{"id":151,"name":"Denver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1"/>
        <v>start /low /b %USERPROFILE%\Documents\GitHub\eaglep3\Utilities\DownloadLogsFromS3.py --loco 4008 --day 2017-02-14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2017-02-14-UncaughtWiMAX.txt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476</v>
      </c>
      <c r="B28" s="7">
        <v>4008</v>
      </c>
      <c r="C28" s="21" t="s">
        <v>192</v>
      </c>
      <c r="D28" s="21" t="s">
        <v>656</v>
      </c>
      <c r="E28" s="13">
        <v>42780.352696759262</v>
      </c>
      <c r="F28" s="13">
        <v>42780.353587962964</v>
      </c>
      <c r="G28" s="7">
        <v>1</v>
      </c>
      <c r="H28" s="21" t="s">
        <v>667</v>
      </c>
      <c r="I28" s="13">
        <v>42780.356076388889</v>
      </c>
      <c r="J28" s="7">
        <v>0</v>
      </c>
      <c r="K28" s="98" t="str">
        <f t="shared" si="0"/>
        <v>4007/4008</v>
      </c>
      <c r="L28" s="21" t="str">
        <f>VLOOKUP(A28,'Trips&amp;Operators'!$C$1:$G$99999,5,FALSE)</f>
        <v>COOLAHAN JOHN</v>
      </c>
      <c r="M28" s="6">
        <f t="shared" si="1"/>
        <v>2.488425925548654E-3</v>
      </c>
      <c r="N28" s="7"/>
      <c r="O28" s="7"/>
      <c r="P28" s="7"/>
      <c r="Q28" s="22"/>
      <c r="R28" s="22"/>
      <c r="S28" s="31"/>
      <c r="T28" s="46" t="str">
        <f t="shared" si="2"/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187" t="str">
        <f t="shared" si="3"/>
        <v>https://d0f6bd738d7f1b3e5a7ca70fe4ff75f0.us-east-1.aws.found.io/app/kibana#/discover/Steve-Slow-Train-Analysis-(2080s-and-2083s)?_g=(refreshInterval:(display:Off,pause:!f,section:0,value:0),time:(from:'2017-02-14T07:27:53-0700',mode:absolute,to:'2017-02-14T09:32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8" s="188" t="str">
        <f t="shared" si="4"/>
        <v>Y</v>
      </c>
      <c r="X28" s="188">
        <f t="shared" si="22"/>
        <v>0</v>
      </c>
      <c r="Y28" s="62">
        <f t="shared" si="5"/>
        <v>8.6351999999999993</v>
      </c>
      <c r="Z28" s="62">
        <f t="shared" si="15"/>
        <v>8.2604000000000006</v>
      </c>
      <c r="AA28" s="62">
        <f t="shared" si="6"/>
        <v>0.37479999999999869</v>
      </c>
      <c r="AB28" s="59" t="str">
        <f>VLOOKUP(A28,Enforcements!$C$7:$K$14,8,0)</f>
        <v>Signal based authority (5)</v>
      </c>
      <c r="AC28" s="55" t="str">
        <f>VLOOKUP(A28,Enforcements!$C$7:$E$14,3,0)</f>
        <v>SIGNAL</v>
      </c>
      <c r="AD28" s="56" t="str">
        <f t="shared" si="7"/>
        <v>0130-14</v>
      </c>
      <c r="AE28" s="85" t="str">
        <f t="shared" si="8"/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AF28" s="82" t="str">
        <f t="shared" si="9"/>
        <v>"C:\Program Files (x86)\AstroGrep\AstroGrep.exe" /spath="%USERPROFILE%\AppData\Local\Temp\OnboardLogs" /stypes="app*4008*20170214*" /stext=" 15:.+((SYSTEM_STATE.+slice.+state.+changed )|(ment ac)|(multiple cpu faults)|(system.+state.+changed )|(\[timeout)|(PRM\|1\|D)|(kpr)|(kdp)|(\|lc)|(penalty)|(RTDC:00:00000204:00000036:00006526))" /e /r /s</v>
      </c>
      <c r="AG28" s="1" t="str">
        <f t="shared" si="10"/>
        <v>EC</v>
      </c>
      <c r="AH28" s="86" t="str">
        <f t="shared" si="19"/>
        <v>"%USERPROFILE%\Documents\GitHub\eaglep3\Utilities\RefineRTDCRunTimes.py" --tripid 130-14 --locoid 4008 --swversion DE.1.0.8.0 --startMP 204:86352 --initTime 2017-02-14T08:27:53 --startdatetime 2017-02-14T08:29:10 --delay 1 --endMP 204:82604 --enddatetime 2017-02-14T08:32:45 --enforcementcount 0 &gt;&gt;C:\Users\stu\Documents\GitHub\eaglep3-reporting\EC\2017-02-14-refined-times.txt</v>
      </c>
      <c r="AI28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{"issue":{"subject":"","project_id":79,"tracker_id":40,"status_id":1,"priority_id":2,"assigned_to_id":23,"start_date":"2017-02-14","description":"","custom_fields":[{"id":1,"name":"Subdivision","value":"EC"},{"id":4,"name":"Milepost","value":"8.2604"},{"id":17,"name":"Train ID","value":"130-14"},{"id":16,"name":"Locomotive ID","value":"4008"},{"id":130,"name":"Impact","value":""},{"id":150,"name":"Time of Event (Mountain Time)","value":"08:32:45"},{"id":151,"name":"Denver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1"/>
        <v>start /low /b %USERPROFILE%\Documents\GitHub\eaglep3\Utilities\DownloadLogsFromS3.py --loco 4008 --day 2017-02-14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2017-02-14-UncaughtWiMAX.txt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526</v>
      </c>
      <c r="B29" s="7">
        <v>4020</v>
      </c>
      <c r="C29" s="21" t="s">
        <v>192</v>
      </c>
      <c r="D29" s="21" t="s">
        <v>668</v>
      </c>
      <c r="E29" s="13">
        <v>42780.312210648146</v>
      </c>
      <c r="F29" s="13">
        <v>42780.313159722224</v>
      </c>
      <c r="G29" s="7">
        <v>1</v>
      </c>
      <c r="H29" s="21" t="s">
        <v>669</v>
      </c>
      <c r="I29" s="13">
        <v>42780.326365740744</v>
      </c>
      <c r="J29" s="7">
        <v>0</v>
      </c>
      <c r="K29" s="98" t="str">
        <f t="shared" si="0"/>
        <v>4019/4020</v>
      </c>
      <c r="L29" s="21" t="str">
        <f>VLOOKUP(A29,'Trips&amp;Operators'!$C$1:$G$99999,5,FALSE)</f>
        <v>YANAI IAN</v>
      </c>
      <c r="M29" s="6">
        <f t="shared" si="1"/>
        <v>1.3206018520577345E-2</v>
      </c>
      <c r="N29" s="7">
        <f>24*60*SUM($M29:$M29)</f>
        <v>19.016666669631377</v>
      </c>
      <c r="O29" s="7"/>
      <c r="P29" s="7"/>
      <c r="Q29" s="22"/>
      <c r="R29" s="22"/>
      <c r="S29" s="31">
        <f t="shared" si="23"/>
        <v>1</v>
      </c>
      <c r="T29" s="46" t="str">
        <f t="shared" si="2"/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10</v>
      </c>
      <c r="V29" s="187" t="str">
        <f t="shared" si="3"/>
        <v>https://d0f6bd738d7f1b3e5a7ca70fe4ff75f0.us-east-1.aws.found.io/app/kibana#/discover/Steve-Slow-Train-Analysis-(2080s-and-2083s)?_g=(refreshInterval:(display:Off,pause:!f,section:0,value:0),time:(from:'2017-02-14T06:29:35-0700',mode:absolute,to:'2017-02-14T08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188" t="str">
        <f t="shared" si="4"/>
        <v>N</v>
      </c>
      <c r="X29" s="188">
        <f t="shared" si="22"/>
        <v>1</v>
      </c>
      <c r="Y29" s="62">
        <f t="shared" si="5"/>
        <v>7.6999999999999999E-2</v>
      </c>
      <c r="Z29" s="62">
        <f t="shared" si="15"/>
        <v>8.6379000000000001</v>
      </c>
      <c r="AA29" s="62">
        <f t="shared" si="6"/>
        <v>8.5609000000000002</v>
      </c>
      <c r="AB29" s="59" t="e">
        <f>VLOOKUP(A29,Enforcements!$C$7:$K$14,8,0)</f>
        <v>#N/A</v>
      </c>
      <c r="AC29" s="55" t="e">
        <f>VLOOKUP(A29,Enforcements!$C$7:$E$14,3,0)</f>
        <v>#N/A</v>
      </c>
      <c r="AD29" s="56" t="str">
        <f t="shared" si="7"/>
        <v>0131-14</v>
      </c>
      <c r="AE29" s="85" t="str">
        <f t="shared" si="8"/>
        <v>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 &amp; 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</v>
      </c>
      <c r="AF29" s="82" t="str">
        <f t="shared" si="9"/>
        <v>"C:\Program Files (x86)\AstroGrep\AstroGrep.exe" /spath="%USERPROFILE%\AppData\Local\Temp\OnboardLogs" /stypes="app*4020*20170214*" /stext=" 14:.+((SYSTEM_STATE.+slice.+state.+changed )|(ment ac)|(multiple cpu faults)|(system.+state.+changed )|(\[timeout)|(PRM\|1\|D)|(kpr)|(kdp)|(\|lc)|(penalty)|(RTDC:00:00000204:00000036:00006526))" /e /r /s</v>
      </c>
      <c r="AG29" s="1" t="str">
        <f t="shared" si="10"/>
        <v>EC</v>
      </c>
      <c r="AH29" s="86" t="str">
        <f t="shared" si="19"/>
        <v>"%USERPROFILE%\Documents\GitHub\eaglep3\Utilities\RefineRTDCRunTimes.py" --tripid 131-14 --locoid 4020 --swversion DE.1.0.8.0 --startMP 204:770 --initTime 2017-02-14T07:29:35 --startdatetime 2017-02-14T07:30:57 --delay 1 --endMP 204:86379 --enddatetime 2017-02-14T07:49:58 --enforcementcount 0 &gt;&gt;C:\Users\stu\Documents\GitHub\eaglep3-reporting\EC\2017-02-14-refined-times.txt</v>
      </c>
      <c r="AI29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ID","value":"131-14"},{"id":16,"name":"Locomotive ID","value":"4020"},{"id":130,"name":"Impact","value":""},{"id":150,"name":"Time of Event (Mountain Time)","value":"07:49:58"},{"id":151,"name":"Denver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1"/>
        <v>start /low /b %USERPROFILE%\Documents\GitHub\eaglep3\Utilities\DownloadLogsFromS3.py --loco 4020 --day 2017-02-14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"%USERPROFILE%\AppData\Local\Temp\OnboardLogs"\RTDC4020\*4020*20170214* | grep -SE "(Enforcement Action)|(\[TIMEOUT)|(CHR.+\|PRM\|1\|D.+(SWITCH|SIGNAL).+UNKNOWN)" - &gt;&gt; 2017-02-14-UncaughtWiMAX.txt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539</v>
      </c>
      <c r="B30" s="7">
        <v>4019</v>
      </c>
      <c r="C30" s="21" t="s">
        <v>192</v>
      </c>
      <c r="D30" s="21" t="s">
        <v>651</v>
      </c>
      <c r="E30" s="13">
        <v>42780.374282407407</v>
      </c>
      <c r="F30" s="13">
        <v>42780.377418981479</v>
      </c>
      <c r="G30" s="7">
        <v>4</v>
      </c>
      <c r="H30" s="21" t="s">
        <v>670</v>
      </c>
      <c r="I30" s="13">
        <v>42780.378182870372</v>
      </c>
      <c r="J30" s="7">
        <v>0</v>
      </c>
      <c r="K30" s="98" t="str">
        <f t="shared" si="0"/>
        <v>4019/4020</v>
      </c>
      <c r="L30" s="21" t="str">
        <f>VLOOKUP(A30,'Trips&amp;Operators'!$C$1:$G$99999,5,FALSE)</f>
        <v>LOZA FIDEL</v>
      </c>
      <c r="M30" s="6">
        <f t="shared" si="1"/>
        <v>7.638888928340748E-4</v>
      </c>
      <c r="N30" s="7"/>
      <c r="O30" s="7"/>
      <c r="P30" s="7">
        <f>24*60*SUM($M30:$M30)</f>
        <v>1.1000000056810677</v>
      </c>
      <c r="Q30" s="22"/>
      <c r="R30" s="22" t="s">
        <v>854</v>
      </c>
      <c r="S30" s="31">
        <f t="shared" si="23"/>
        <v>0</v>
      </c>
      <c r="T30" s="46" t="str">
        <f t="shared" si="2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187" t="str">
        <f t="shared" si="3"/>
        <v>https://d0f6bd738d7f1b3e5a7ca70fe4ff75f0.us-east-1.aws.found.io/app/kibana#/discover/Steve-Slow-Train-Analysis-(2080s-and-2083s)?_g=(refreshInterval:(display:Off,pause:!f,section:0,value:0),time:(from:'2017-02-14T07:58:58-0700',mode:absolute,to:'2017-02-14T10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188" t="str">
        <f t="shared" si="4"/>
        <v>Y</v>
      </c>
      <c r="X30" s="188">
        <f t="shared" si="22"/>
        <v>3</v>
      </c>
      <c r="Y30" s="62">
        <f t="shared" si="5"/>
        <v>8.6350999999999996</v>
      </c>
      <c r="Z30" s="62">
        <f t="shared" si="15"/>
        <v>8.6201000000000008</v>
      </c>
      <c r="AA30" s="62">
        <f t="shared" si="6"/>
        <v>1.4999999999998792E-2</v>
      </c>
      <c r="AB30" s="59" t="e">
        <f>VLOOKUP(A30,Enforcements!$C$7:$K$14,8,0)</f>
        <v>#N/A</v>
      </c>
      <c r="AC30" s="55" t="e">
        <f>VLOOKUP(A30,Enforcements!$C$7:$E$14,3,0)</f>
        <v>#N/A</v>
      </c>
      <c r="AD30" s="56" t="str">
        <f t="shared" si="7"/>
        <v>0134-14</v>
      </c>
      <c r="AE30" s="85" t="str">
        <f t="shared" si="8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30" s="82" t="str">
        <f t="shared" si="9"/>
        <v>"C:\Program Files (x86)\AstroGrep\AstroGrep.exe" /spath="%USERPROFILE%\AppData\Local\Temp\OnboardLogs" /stypes="app*4019*20170214*" /stext=" 16:.+((SYSTEM_STATE.+slice.+state.+changed )|(ment ac)|(multiple cpu faults)|(system.+state.+changed )|(\[timeout)|(PRM\|1\|D)|(kpr)|(kdp)|(\|lc)|(penalty)|(RTDC:00:00000204:00000036:00006526))" /e /r /s</v>
      </c>
      <c r="AG30" s="1" t="str">
        <f t="shared" si="10"/>
        <v>EC</v>
      </c>
      <c r="AH30" s="86" t="str">
        <f t="shared" si="19"/>
        <v>"%USERPROFILE%\Documents\GitHub\eaglep3\Utilities\RefineRTDCRunTimes.py" --tripid 134-14 --locoid 4019 --swversion DE.1.0.8.0 --startMP 204:86351 --initTime 2017-02-14T08:58:58 --startdatetime 2017-02-14T09:03:29 --delay 4 --endMP 204:86201 --enddatetime 2017-02-14T09:04:35 --enforcementcount 0 &gt;&gt;C:\Users\stu\Documents\GitHub\eaglep3-reporting\EC\2017-02-14-refined-times.txt</v>
      </c>
      <c r="AI30" s="108" t="str">
        <f t="shared" si="20"/>
        <v>echo {"issue":{"subject":"Onboard in-route failure","project_id":79,"tracker_id":40,"status_id":1,"priority_id":2,"assigned_to_id":23,"start_date":"2017-02-14","description":"","custom_fields":[{"id":1,"name":"Subdivision","value":"EC"},{"id":4,"name":"Milepost","value":"8.6201"},{"id":17,"name":"Train ID","value":"134-14"},{"id":16,"name":"Locomotive ID","value":"4019"},{"id":130,"name":"Impact","value":""},{"id":150,"name":"Time of Event (Mountain Time)","value":"09:04:35"},{"id":151,"name":"Denver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1"/>
        <v>start /low /b %USERPROFILE%\Documents\GitHub\eaglep3\Utilities\DownloadLogsFromS3.py --loco 4019 --day 2017-02-14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2017-02-14-UncaughtWiMAX.txt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530</v>
      </c>
      <c r="B31" s="7">
        <v>4040</v>
      </c>
      <c r="C31" s="21" t="s">
        <v>192</v>
      </c>
      <c r="D31" s="21" t="s">
        <v>671</v>
      </c>
      <c r="E31" s="13">
        <v>42780.325023148151</v>
      </c>
      <c r="F31" s="13">
        <v>42780.325914351852</v>
      </c>
      <c r="G31" s="7">
        <v>1</v>
      </c>
      <c r="H31" s="21" t="s">
        <v>650</v>
      </c>
      <c r="I31" s="13">
        <v>42780.348229166666</v>
      </c>
      <c r="J31" s="7">
        <v>0</v>
      </c>
      <c r="K31" s="98" t="str">
        <f t="shared" si="0"/>
        <v>4039/4040</v>
      </c>
      <c r="L31" s="21" t="str">
        <f>VLOOKUP(A31,'Trips&amp;Operators'!$C$1:$G$99999,5,FALSE)</f>
        <v>BONDS REYNALDO</v>
      </c>
      <c r="M31" s="6">
        <f t="shared" si="1"/>
        <v>2.2314814814308193E-2</v>
      </c>
      <c r="N31" s="7">
        <f>24*60*SUM($M31:$M31)</f>
        <v>32.133333332603797</v>
      </c>
      <c r="O31" s="7"/>
      <c r="P31" s="7"/>
      <c r="Q31" s="22"/>
      <c r="R31" s="22"/>
      <c r="S31" s="31">
        <f t="shared" si="23"/>
        <v>1</v>
      </c>
      <c r="T31" s="46" t="str">
        <f t="shared" si="2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10</v>
      </c>
      <c r="V31" s="187" t="str">
        <f t="shared" si="3"/>
        <v>https://d0f6bd738d7f1b3e5a7ca70fe4ff75f0.us-east-1.aws.found.io/app/kibana#/discover/Steve-Slow-Train-Analysis-(2080s-and-2083s)?_g=(refreshInterval:(display:Off,pause:!f,section:0,value:0),time:(from:'2017-02-14T06:48:02-0700',mode:absolute,to:'2017-02-14T09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88" t="str">
        <f t="shared" si="4"/>
        <v>N</v>
      </c>
      <c r="X31" s="188">
        <f t="shared" si="22"/>
        <v>1</v>
      </c>
      <c r="Y31" s="62">
        <f t="shared" si="5"/>
        <v>7.7200000000000005E-2</v>
      </c>
      <c r="Z31" s="62">
        <f t="shared" si="15"/>
        <v>8.6379999999999999</v>
      </c>
      <c r="AA31" s="62">
        <f t="shared" si="6"/>
        <v>8.5608000000000004</v>
      </c>
      <c r="AB31" s="59" t="e">
        <f>VLOOKUP(A31,Enforcements!$C$7:$K$14,8,0)</f>
        <v>#N/A</v>
      </c>
      <c r="AC31" s="55" t="e">
        <f>VLOOKUP(A31,Enforcements!$C$7:$E$14,3,0)</f>
        <v>#N/A</v>
      </c>
      <c r="AD31" s="56" t="str">
        <f t="shared" si="7"/>
        <v>0135-14</v>
      </c>
      <c r="AE31" s="85" t="str">
        <f t="shared" si="8"/>
        <v>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 &amp; aws s3 cp s3://rtdc.mdm.uploadarchive.raw/RTDC4040/ "%USERPROFILE%\AppData\Local\Temp\OnboardLogs"\RTDC4040\2017-02-15 --exclude "*" --recursive --include "*20170215*" &amp; "%USERPROFILE%\Documents\GitHub\mrs-test-scripts\Headless Mode &amp; Sideloading\WalkAndUnGZ.bat" "%USERPROFILE%\AppData\Local\Temp\OnboardLogs"\RTDC4040\2017-02-15</v>
      </c>
      <c r="AF31" s="82" t="str">
        <f t="shared" si="9"/>
        <v>"C:\Program Files (x86)\AstroGrep\AstroGrep.exe" /spath="%USERPROFILE%\AppData\Local\Temp\OnboardLogs" /stypes="app*4040*20170214*" /stext=" 15:.+((SYSTEM_STATE.+slice.+state.+changed )|(ment ac)|(multiple cpu faults)|(system.+state.+changed )|(\[timeout)|(PRM\|1\|D)|(kpr)|(kdp)|(\|lc)|(penalty)|(RTDC:00:00000204:00000036:00006526))" /e /r /s</v>
      </c>
      <c r="AG31" s="1" t="str">
        <f t="shared" si="10"/>
        <v>EC</v>
      </c>
      <c r="AH31" s="86" t="str">
        <f t="shared" si="19"/>
        <v>"%USERPROFILE%\Documents\GitHub\eaglep3\Utilities\RefineRTDCRunTimes.py" --tripid 135-14 --locoid 4040 --swversion DE.1.0.8.0 --startMP 204:772 --initTime 2017-02-14T07:48:02 --startdatetime 2017-02-14T07:49:19 --delay 1 --endMP 204:86380 --enddatetime 2017-02-14T08:21:27 --enforcementcount 0 &gt;&gt;C:\Users\stu\Documents\GitHub\eaglep3-reporting\EC\2017-02-14-refined-times.txt</v>
      </c>
      <c r="AI31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ID","value":"135-14"},{"id":16,"name":"Locomotive ID","value":"4040"},{"id":130,"name":"Impact","value":""},{"id":150,"name":"Time of Event (Mountain Time)","value":"08:21:27"},{"id":151,"name":"Denver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1"/>
        <v>start /low /b %USERPROFILE%\Documents\GitHub\eaglep3\Utilities\DownloadLogsFromS3.py --loco 4040 --day 2017-02-14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"%USERPROFILE%\AppData\Local\Temp\OnboardLogs"\RTDC4040\*4040*20170214* | grep -SE "(Enforcement Action)|(\[TIMEOUT)|(CHR.+\|PRM\|1\|D.+(SWITCH|SIGNAL).+UNKNOWN)" - &gt;&gt; 2017-02-14-UncaughtWiMAX.txt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538</v>
      </c>
      <c r="B32" s="7">
        <v>4044</v>
      </c>
      <c r="C32" s="21" t="s">
        <v>192</v>
      </c>
      <c r="D32" s="21" t="s">
        <v>672</v>
      </c>
      <c r="E32" s="13">
        <v>42780.359780092593</v>
      </c>
      <c r="F32" s="13">
        <v>42780.360833333332</v>
      </c>
      <c r="G32" s="7">
        <v>1</v>
      </c>
      <c r="H32" s="21" t="s">
        <v>650</v>
      </c>
      <c r="I32" s="13">
        <v>42780.373564814814</v>
      </c>
      <c r="J32" s="7">
        <v>0</v>
      </c>
      <c r="K32" s="98" t="str">
        <f t="shared" si="0"/>
        <v>4043/4044</v>
      </c>
      <c r="L32" s="21" t="str">
        <f>VLOOKUP(A32,'Trips&amp;Operators'!$C$1:$G$99999,5,FALSE)</f>
        <v>YANAI IAN</v>
      </c>
      <c r="M32" s="6">
        <f t="shared" si="1"/>
        <v>1.2731481481750961E-2</v>
      </c>
      <c r="N32" s="7">
        <f>24*60*SUM($M32:$M32)</f>
        <v>18.333333333721384</v>
      </c>
      <c r="O32" s="7"/>
      <c r="P32" s="7"/>
      <c r="Q32" s="22"/>
      <c r="R32" s="22"/>
      <c r="S32" s="31">
        <f t="shared" si="23"/>
        <v>1</v>
      </c>
      <c r="T32" s="46" t="str">
        <f t="shared" si="2"/>
        <v>NorthBound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10</v>
      </c>
      <c r="V32" s="187" t="str">
        <f t="shared" si="3"/>
        <v>https://d0f6bd738d7f1b3e5a7ca70fe4ff75f0.us-east-1.aws.found.io/app/kibana#/discover/Steve-Slow-Train-Analysis-(2080s-and-2083s)?_g=(refreshInterval:(display:Off,pause:!f,section:0,value:0),time:(from:'2017-02-14T07:38:05-0700',mode:absolute,to:'2017-02-14T09:57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2" s="188" t="str">
        <f t="shared" si="4"/>
        <v>Y</v>
      </c>
      <c r="X32" s="188">
        <f t="shared" si="22"/>
        <v>4</v>
      </c>
      <c r="Y32" s="62">
        <f t="shared" si="5"/>
        <v>0.1018</v>
      </c>
      <c r="Z32" s="62">
        <f t="shared" si="15"/>
        <v>8.6379999999999999</v>
      </c>
      <c r="AA32" s="62">
        <f t="shared" si="6"/>
        <v>8.5361999999999991</v>
      </c>
      <c r="AB32" s="59" t="e">
        <f>VLOOKUP(A32,Enforcements!$C$7:$K$14,8,0)</f>
        <v>#N/A</v>
      </c>
      <c r="AC32" s="55" t="e">
        <f>VLOOKUP(A32,Enforcements!$C$7:$E$14,3,0)</f>
        <v>#N/A</v>
      </c>
      <c r="AD32" s="56" t="str">
        <f t="shared" si="7"/>
        <v>0139-14</v>
      </c>
      <c r="AE32" s="85" t="str">
        <f t="shared" si="8"/>
        <v>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 &amp; 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</v>
      </c>
      <c r="AF32" s="82" t="str">
        <f t="shared" si="9"/>
        <v>"C:\Program Files (x86)\AstroGrep\AstroGrep.exe" /spath="%USERPROFILE%\AppData\Local\Temp\OnboardLogs" /stypes="app*4044*20170214*" /stext=" 15:.+((SYSTEM_STATE.+slice.+state.+changed )|(ment ac)|(multiple cpu faults)|(system.+state.+changed )|(\[timeout)|(PRM\|1\|D)|(kpr)|(kdp)|(\|lc)|(penalty)|(RTDC:00:00000204:00000036:00006526))" /e /r /s</v>
      </c>
      <c r="AG32" s="1" t="str">
        <f t="shared" si="10"/>
        <v>EC</v>
      </c>
      <c r="AH32" s="86" t="str">
        <f t="shared" si="19"/>
        <v>"%USERPROFILE%\Documents\GitHub\eaglep3\Utilities\RefineRTDCRunTimes.py" --tripid 139-14 --locoid 4044 --swversion DE.1.0.8.0 --startMP 204:1018 --initTime 2017-02-14T08:38:05 --startdatetime 2017-02-14T08:39:36 --delay 1 --endMP 204:86380 --enddatetime 2017-02-14T08:57:56 --enforcementcount 0 &gt;&gt;C:\Users\stu\Documents\GitHub\eaglep3-reporting\EC\2017-02-14-refined-times.txt</v>
      </c>
      <c r="AI32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ID","value":"139-14"},{"id":16,"name":"Locomotive ID","value":"4044"},{"id":130,"name":"Impact","value":""},{"id":150,"name":"Time of Event (Mountain Time)","value":"08:57:56"},{"id":151,"name":"Denver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1"/>
        <v>start /low /b %USERPROFILE%\Documents\GitHub\eaglep3\Utilities\DownloadLogsFromS3.py --loco 4044 --day 2017-02-14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2017-02-14-UncaughtWiMAX.txt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544</v>
      </c>
      <c r="B33" s="7">
        <v>4032</v>
      </c>
      <c r="C33" s="21" t="s">
        <v>192</v>
      </c>
      <c r="D33" s="21" t="s">
        <v>673</v>
      </c>
      <c r="E33" s="13">
        <v>42780.41615740741</v>
      </c>
      <c r="F33" s="13">
        <v>42780.416944444441</v>
      </c>
      <c r="G33" s="7">
        <v>1</v>
      </c>
      <c r="H33" s="21" t="s">
        <v>397</v>
      </c>
      <c r="I33" s="13">
        <v>42780.42491898148</v>
      </c>
      <c r="J33" s="7">
        <v>0</v>
      </c>
      <c r="K33" s="98" t="str">
        <f t="shared" si="0"/>
        <v>4031/4032</v>
      </c>
      <c r="L33" s="21" t="str">
        <f>VLOOKUP(A33,'Trips&amp;Operators'!$C$1:$G$99999,5,FALSE)</f>
        <v>STARKS ANGELINA</v>
      </c>
      <c r="M33" s="6">
        <f t="shared" si="1"/>
        <v>7.9745370385353453E-3</v>
      </c>
      <c r="N33" s="7"/>
      <c r="O33" s="7"/>
      <c r="P33" s="7">
        <f>24*60*SUM($M33:$M34)</f>
        <v>12.20000000204891</v>
      </c>
      <c r="Q33" s="22"/>
      <c r="R33" s="22" t="s">
        <v>862</v>
      </c>
      <c r="S33" s="31">
        <f t="shared" si="23"/>
        <v>0.3</v>
      </c>
      <c r="T33" s="46" t="str">
        <f t="shared" si="2"/>
        <v>Southbound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3</v>
      </c>
      <c r="V33" s="187" t="str">
        <f t="shared" si="3"/>
        <v>https://d0f6bd738d7f1b3e5a7ca70fe4ff75f0.us-east-1.aws.found.io/app/kibana#/discover/Steve-Slow-Train-Analysis-(2080s-and-2083s)?_g=(refreshInterval:(display:Off,pause:!f,section:0,value:0),time:(from:'2017-02-14T08:59:16-0700',mode:absolute,to:'2017-02-14T11:11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188" t="str">
        <f t="shared" si="4"/>
        <v>Y</v>
      </c>
      <c r="X33" s="188">
        <f t="shared" si="22"/>
        <v>1</v>
      </c>
      <c r="Y33" s="62">
        <f t="shared" si="5"/>
        <v>3.6720999999999999</v>
      </c>
      <c r="Z33" s="62">
        <f t="shared" si="15"/>
        <v>1.5599999999999999E-2</v>
      </c>
      <c r="AA33" s="62">
        <f t="shared" si="6"/>
        <v>3.6564999999999999</v>
      </c>
      <c r="AB33" s="59" t="e">
        <f>VLOOKUP(A33,Enforcements!$C$7:$K$14,8,0)</f>
        <v>#N/A</v>
      </c>
      <c r="AC33" s="55" t="e">
        <f>VLOOKUP(A33,Enforcements!$C$7:$E$14,3,0)</f>
        <v>#N/A</v>
      </c>
      <c r="AD33" s="56" t="str">
        <f t="shared" si="7"/>
        <v>0140-14</v>
      </c>
      <c r="AE33" s="85" t="str">
        <f t="shared" si="8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33" s="82" t="str">
        <f t="shared" si="9"/>
        <v>"C:\Program Files (x86)\AstroGrep\AstroGrep.exe" /spath="%USERPROFILE%\AppData\Local\Temp\OnboardLogs" /stypes="app*4032*20170214*" /stext=" 17:.+((SYSTEM_STATE.+slice.+state.+changed )|(ment ac)|(multiple cpu faults)|(system.+state.+changed )|(\[timeout)|(PRM\|1\|D)|(kpr)|(kdp)|(\|lc)|(penalty)|(RTDC:00:00000204:00000036:00006526))" /e /r /s</v>
      </c>
      <c r="AG33" s="1" t="str">
        <f t="shared" si="10"/>
        <v>EC</v>
      </c>
      <c r="AH33" s="86" t="str">
        <f t="shared" si="19"/>
        <v>"%USERPROFILE%\Documents\GitHub\eaglep3\Utilities\RefineRTDCRunTimes.py" --tripid 140-14 --locoid 4032 --swversion DE.1.0.8.0 --startMP 204:36721 --initTime 2017-02-14T09:59:16 --startdatetime 2017-02-14T10:00:24 --delay 1 --endMP 204:156 --enddatetime 2017-02-14T10:11:53 --enforcementcount 0 &gt;&gt;C:\Users\stu\Documents\GitHub\eaglep3-reporting\EC\2017-02-14-refined-times.txt</v>
      </c>
      <c r="AI33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lock","project_id":79,"tracker_id":40,"status_id":1,"priority_id":2,"assigned_to_id":23,"start_date":"2017-02-14","description":"","custom_fields":[{"id":1,"name":"Subdivision","value":"EC"},{"id":4,"name":"Milepost","value":"0.0156"},{"id":17,"name":"Train ID","value":"140-14"},{"id":16,"name":"Locomotive ID","value":"4032"},{"id":130,"name":"Impact","value":""},{"id":150,"name":"Time of Event (Mountain Time)","value":"10:11:53"},{"id":151,"name":"Denver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1"/>
        <v>start /low /b %USERPROFILE%\Documents\GitHub\eaglep3\Utilities\DownloadLogsFromS3.py --loco 4032 --day 2017-02-14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544</v>
      </c>
      <c r="B34" s="7">
        <v>4032</v>
      </c>
      <c r="C34" s="21" t="s">
        <v>192</v>
      </c>
      <c r="D34" s="21" t="s">
        <v>674</v>
      </c>
      <c r="E34" s="13">
        <v>42780.411111111112</v>
      </c>
      <c r="F34" s="13">
        <v>42780.411793981482</v>
      </c>
      <c r="G34" s="7">
        <v>0</v>
      </c>
      <c r="H34" s="21" t="s">
        <v>675</v>
      </c>
      <c r="I34" s="13">
        <v>42780.412291666667</v>
      </c>
      <c r="J34" s="7">
        <v>0</v>
      </c>
      <c r="K34" s="98" t="str">
        <f t="shared" si="0"/>
        <v>4031/4032</v>
      </c>
      <c r="L34" s="21" t="str">
        <f>VLOOKUP(A34,'Trips&amp;Operators'!$C$1:$G$99999,5,FALSE)</f>
        <v>STARKS ANGELINA</v>
      </c>
      <c r="M34" s="6">
        <f t="shared" si="1"/>
        <v>4.9768518510973081E-4</v>
      </c>
      <c r="N34" s="7"/>
      <c r="O34" s="7"/>
      <c r="P34" s="7"/>
      <c r="Q34" s="22"/>
      <c r="R34" s="22"/>
      <c r="S34" s="31"/>
      <c r="T34" s="46" t="str">
        <f t="shared" si="2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187" t="str">
        <f t="shared" si="3"/>
        <v>https://d0f6bd738d7f1b3e5a7ca70fe4ff75f0.us-east-1.aws.found.io/app/kibana#/discover/Steve-Slow-Train-Analysis-(2080s-and-2083s)?_g=(refreshInterval:(display:Off,pause:!f,section:0,value:0),time:(from:'2017-02-14T08:52:00-0700',mode:absolute,to:'2017-02-14T10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4" s="188" t="str">
        <f t="shared" si="4"/>
        <v>Y</v>
      </c>
      <c r="X34" s="188">
        <f t="shared" si="22"/>
        <v>0</v>
      </c>
      <c r="Y34" s="62">
        <f t="shared" si="5"/>
        <v>6.2279999999999998</v>
      </c>
      <c r="Z34" s="62">
        <f t="shared" si="15"/>
        <v>6.1147999999999998</v>
      </c>
      <c r="AA34" s="62">
        <f t="shared" si="6"/>
        <v>0.11319999999999997</v>
      </c>
      <c r="AB34" s="59" t="e">
        <f>VLOOKUP(A34,Enforcements!$C$7:$K$14,8,0)</f>
        <v>#N/A</v>
      </c>
      <c r="AC34" s="55" t="e">
        <f>VLOOKUP(A34,Enforcements!$C$7:$E$14,3,0)</f>
        <v>#N/A</v>
      </c>
      <c r="AD34" s="56" t="str">
        <f t="shared" si="7"/>
        <v>0140-14</v>
      </c>
      <c r="AE34" s="85" t="str">
        <f t="shared" si="8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34" s="82" t="str">
        <f t="shared" si="9"/>
        <v>"C:\Program Files (x86)\AstroGrep\AstroGrep.exe" /spath="%USERPROFILE%\AppData\Local\Temp\OnboardLogs" /stypes="app*4032*20170214*" /stext=" 16:.+((SYSTEM_STATE.+slice.+state.+changed )|(ment ac)|(multiple cpu faults)|(system.+state.+changed )|(\[timeout)|(PRM\|1\|D)|(kpr)|(kdp)|(\|lc)|(penalty)|(RTDC:00:00000204:00000036:00006526))" /e /r /s</v>
      </c>
      <c r="AG34" s="1" t="str">
        <f t="shared" si="10"/>
        <v>EC</v>
      </c>
      <c r="AH34" s="86" t="str">
        <f t="shared" si="19"/>
        <v>"%USERPROFILE%\Documents\GitHub\eaglep3\Utilities\RefineRTDCRunTimes.py" --tripid 140-14 --locoid 4032 --swversion DE.1.0.8.0 --startMP 204:62280 --initTime 2017-02-14T09:52:00 --startdatetime 2017-02-14T09:52:59 --delay 0 --endMP 204:61148 --enddatetime 2017-02-14T09:53:42 --enforcementcount 0 &gt;&gt;C:\Users\stu\Documents\GitHub\eaglep3-reporting\EC\2017-02-14-refined-times.txt</v>
      </c>
      <c r="AI34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{"issue":{"subject":"","project_id":79,"tracker_id":40,"status_id":1,"priority_id":2,"assigned_to_id":23,"start_date":"2017-02-14","description":"","custom_fields":[{"id":1,"name":"Subdivision","value":"EC"},{"id":4,"name":"Milepost","value":"6.1148"},{"id":17,"name":"Train ID","value":"140-14"},{"id":16,"name":"Locomotive ID","value":"4032"},{"id":130,"name":"Impact","value":""},{"id":150,"name":"Time of Event (Mountain Time)","value":"09:53:42"},{"id":151,"name":"Denver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1"/>
        <v>start /low /b %USERPROFILE%\Documents\GitHub\eaglep3\Utilities\DownloadLogsFromS3.py --loco 4032 --day 2017-02-14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544</v>
      </c>
      <c r="B35" s="7">
        <v>4032</v>
      </c>
      <c r="C35" s="21" t="s">
        <v>192</v>
      </c>
      <c r="D35" s="21" t="s">
        <v>656</v>
      </c>
      <c r="E35" s="13">
        <v>42780.397673611114</v>
      </c>
      <c r="F35" s="13">
        <v>42780.399004629631</v>
      </c>
      <c r="G35" s="7">
        <v>1</v>
      </c>
      <c r="H35" s="21" t="s">
        <v>676</v>
      </c>
      <c r="I35" s="13">
        <v>42780.403553240743</v>
      </c>
      <c r="J35" s="7">
        <v>0</v>
      </c>
      <c r="K35" s="98" t="str">
        <f t="shared" si="0"/>
        <v>4031/4032</v>
      </c>
      <c r="L35" s="21" t="str">
        <f>VLOOKUP(A35,'Trips&amp;Operators'!$C$1:$G$99999,5,FALSE)</f>
        <v>STARKS ANGELINA</v>
      </c>
      <c r="M35" s="6">
        <f t="shared" si="1"/>
        <v>4.5486111121135764E-3</v>
      </c>
      <c r="N35" s="7"/>
      <c r="O35" s="7"/>
      <c r="P35" s="7"/>
      <c r="Q35" s="22"/>
      <c r="R35" s="22"/>
      <c r="S35" s="31"/>
      <c r="T35" s="46" t="str">
        <f t="shared" si="2"/>
        <v>Southbound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187" t="str">
        <f t="shared" si="3"/>
        <v>https://d0f6bd738d7f1b3e5a7ca70fe4ff75f0.us-east-1.aws.found.io/app/kibana#/discover/Steve-Slow-Train-Analysis-(2080s-and-2083s)?_g=(refreshInterval:(display:Off,pause:!f,section:0,value:0),time:(from:'2017-02-14T08:32:39-0700',mode:absolute,to:'2017-02-14T10:41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188" t="str">
        <f t="shared" si="4"/>
        <v>Y</v>
      </c>
      <c r="X35" s="188">
        <f t="shared" si="22"/>
        <v>0</v>
      </c>
      <c r="Y35" s="62">
        <f t="shared" si="5"/>
        <v>8.6351999999999993</v>
      </c>
      <c r="Z35" s="62">
        <f t="shared" si="15"/>
        <v>8.5550999999999995</v>
      </c>
      <c r="AA35" s="62">
        <f t="shared" si="6"/>
        <v>8.0099999999999838E-2</v>
      </c>
      <c r="AB35" s="59" t="e">
        <f>VLOOKUP(A35,Enforcements!$C$7:$K$14,8,0)</f>
        <v>#N/A</v>
      </c>
      <c r="AC35" s="55" t="e">
        <f>VLOOKUP(A35,Enforcements!$C$7:$E$14,3,0)</f>
        <v>#N/A</v>
      </c>
      <c r="AD35" s="56" t="str">
        <f t="shared" si="7"/>
        <v>0140-14</v>
      </c>
      <c r="AE35" s="85" t="str">
        <f t="shared" si="8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35" s="82" t="str">
        <f t="shared" si="9"/>
        <v>"C:\Program Files (x86)\AstroGrep\AstroGrep.exe" /spath="%USERPROFILE%\AppData\Local\Temp\OnboardLogs" /stypes="app*4032*20170214*" /stext=" 16:.+((SYSTEM_STATE.+slice.+state.+changed )|(ment ac)|(multiple cpu faults)|(system.+state.+changed )|(\[timeout)|(PRM\|1\|D)|(kpr)|(kdp)|(\|lc)|(penalty)|(RTDC:00:00000204:00000036:00006526))" /e /r /s</v>
      </c>
      <c r="AG35" s="1" t="str">
        <f t="shared" si="10"/>
        <v>EC</v>
      </c>
      <c r="AH35" s="86" t="str">
        <f t="shared" si="19"/>
        <v>"%USERPROFILE%\Documents\GitHub\eaglep3\Utilities\RefineRTDCRunTimes.py" --tripid 140-14 --locoid 4032 --swversion DE.1.0.8.0 --startMP 204:86352 --initTime 2017-02-14T09:32:39 --startdatetime 2017-02-14T09:34:34 --delay 1 --endMP 204:85551 --enddatetime 2017-02-14T09:41:07 --enforcementcount 0 &gt;&gt;C:\Users\stu\Documents\GitHub\eaglep3-reporting\EC\2017-02-14-refined-times.txt</v>
      </c>
      <c r="AI35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{"issue":{"subject":"","project_id":79,"tracker_id":40,"status_id":1,"priority_id":2,"assigned_to_id":23,"start_date":"2017-02-14","description":"","custom_fields":[{"id":1,"name":"Subdivision","value":"EC"},{"id":4,"name":"Milepost","value":"8.5551"},{"id":17,"name":"Train ID","value":"140-14"},{"id":16,"name":"Locomotive ID","value":"4032"},{"id":130,"name":"Impact","value":""},{"id":150,"name":"Time of Event (Mountain Time)","value":"09:41:07"},{"id":151,"name":"Denver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1"/>
        <v>start /low /b %USERPROFILE%\Documents\GitHub\eaglep3\Utilities\DownloadLogsFromS3.py --loco 4032 --day 2017-02-14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478</v>
      </c>
      <c r="B36" s="7">
        <v>4029</v>
      </c>
      <c r="C36" s="21" t="s">
        <v>192</v>
      </c>
      <c r="D36" s="21" t="s">
        <v>455</v>
      </c>
      <c r="E36" s="13">
        <v>42780.376631944448</v>
      </c>
      <c r="F36" s="13">
        <v>42780.37809027778</v>
      </c>
      <c r="G36" s="7">
        <v>2</v>
      </c>
      <c r="H36" s="21" t="s">
        <v>650</v>
      </c>
      <c r="I36" s="13">
        <v>42780.39603009259</v>
      </c>
      <c r="J36" s="7">
        <v>0</v>
      </c>
      <c r="K36" s="98" t="str">
        <f t="shared" si="0"/>
        <v>4029/4030</v>
      </c>
      <c r="L36" s="21" t="str">
        <f>VLOOKUP(A36,'Trips&amp;Operators'!$C$1:$G$99999,5,FALSE)</f>
        <v>MAELZER KURT</v>
      </c>
      <c r="M36" s="6">
        <f t="shared" si="1"/>
        <v>1.7939814810233656E-2</v>
      </c>
      <c r="N36" s="7">
        <f>24*60*SUM($M36:$M36)</f>
        <v>25.833333326736465</v>
      </c>
      <c r="O36" s="7"/>
      <c r="P36" s="7"/>
      <c r="Q36" s="22"/>
      <c r="R36" s="22"/>
      <c r="S36" s="31">
        <f t="shared" si="23"/>
        <v>1</v>
      </c>
      <c r="T36" s="46" t="str">
        <f t="shared" si="2"/>
        <v>NorthBound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10</v>
      </c>
      <c r="V36" s="187" t="str">
        <f t="shared" si="3"/>
        <v>https://d0f6bd738d7f1b3e5a7ca70fe4ff75f0.us-east-1.aws.found.io/app/kibana#/discover/Steve-Slow-Train-Analysis-(2080s-and-2083s)?_g=(refreshInterval:(display:Off,pause:!f,section:0,value:0),time:(from:'2017-02-14T08:02:21-0700',mode:absolute,to:'2017-02-14T10:30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6" s="188" t="str">
        <f t="shared" si="4"/>
        <v>N</v>
      </c>
      <c r="X36" s="188">
        <f t="shared" si="22"/>
        <v>3</v>
      </c>
      <c r="Y36" s="62">
        <f t="shared" si="5"/>
        <v>7.6600000000000001E-2</v>
      </c>
      <c r="Z36" s="62">
        <f t="shared" si="15"/>
        <v>8.6379999999999999</v>
      </c>
      <c r="AA36" s="62">
        <f t="shared" si="6"/>
        <v>8.561399999999999</v>
      </c>
      <c r="AB36" s="59" t="str">
        <f>VLOOKUP(A36,Enforcements!$C$7:$K$14,8,0)</f>
        <v>Signal based authority (5)</v>
      </c>
      <c r="AC36" s="55" t="str">
        <f>VLOOKUP(A36,Enforcements!$C$7:$E$14,3,0)</f>
        <v>SIGNAL</v>
      </c>
      <c r="AD36" s="56" t="str">
        <f t="shared" si="7"/>
        <v>0143-14</v>
      </c>
      <c r="AE36" s="85" t="str">
        <f t="shared" si="8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36" s="82" t="str">
        <f t="shared" si="9"/>
        <v>"C:\Program Files (x86)\AstroGrep\AstroGrep.exe" /spath="%USERPROFILE%\AppData\Local\Temp\OnboardLogs" /stypes="app*4029*20170214*" /stext=" 16:.+((SYSTEM_STATE.+slice.+state.+changed )|(ment ac)|(multiple cpu faults)|(system.+state.+changed )|(\[timeout)|(PRM\|1\|D)|(kpr)|(kdp)|(\|lc)|(penalty)|(RTDC:00:00000204:00000036:00006526))" /e /r /s</v>
      </c>
      <c r="AG36" s="1" t="str">
        <f t="shared" si="10"/>
        <v>EC</v>
      </c>
      <c r="AH36" s="86" t="str">
        <f t="shared" si="19"/>
        <v>"%USERPROFILE%\Documents\GitHub\eaglep3\Utilities\RefineRTDCRunTimes.py" --tripid 143-14 --locoid 4029 --swversion DE.1.0.8.0 --startMP 204:766 --initTime 2017-02-14T09:02:21 --startdatetime 2017-02-14T09:04:27 --delay 2 --endMP 204:86380 --enddatetime 2017-02-14T09:30:17 --enforcementcount 0 &gt;&gt;C:\Users\stu\Documents\GitHub\eaglep3-reporting\EC\2017-02-14-refined-times.txt</v>
      </c>
      <c r="AI36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ID","value":"143-14"},{"id":16,"name":"Locomotive ID","value":"4029"},{"id":130,"name":"Impact","value":""},{"id":150,"name":"Time of Event (Mountain Time)","value":"09:30:17"},{"id":151,"name":"Denver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1"/>
        <v>start /low /b %USERPROFILE%\Documents\GitHub\eaglep3\Utilities\DownloadLogsFromS3.py --loco 4029 --day 2017-02-14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2017-02-14-UncaughtWiMAX.txt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482</v>
      </c>
      <c r="B37" s="7">
        <v>4032</v>
      </c>
      <c r="C37" s="21" t="s">
        <v>192</v>
      </c>
      <c r="D37" s="21" t="s">
        <v>677</v>
      </c>
      <c r="E37" s="13">
        <v>42780.453506944446</v>
      </c>
      <c r="F37" s="13">
        <v>42780.454618055555</v>
      </c>
      <c r="G37" s="7">
        <v>1</v>
      </c>
      <c r="H37" s="21" t="s">
        <v>412</v>
      </c>
      <c r="I37" s="13">
        <v>42780.466539351852</v>
      </c>
      <c r="J37" s="7">
        <v>0</v>
      </c>
      <c r="K37" s="98" t="str">
        <f t="shared" si="0"/>
        <v>4031/4032</v>
      </c>
      <c r="L37" s="21" t="str">
        <f>VLOOKUP(A37,'Trips&amp;Operators'!$C$1:$G$99999,5,FALSE)</f>
        <v>CUSHING HARRY</v>
      </c>
      <c r="M37" s="6">
        <f t="shared" si="1"/>
        <v>1.1921296296350192E-2</v>
      </c>
      <c r="N37" s="7"/>
      <c r="O37" s="7"/>
      <c r="P37" s="7">
        <f>24*60*SUM($M37:$M37)</f>
        <v>17.166666666744277</v>
      </c>
      <c r="Q37" s="22"/>
      <c r="R37" s="22" t="s">
        <v>862</v>
      </c>
      <c r="S37" s="31">
        <f t="shared" si="23"/>
        <v>0.9</v>
      </c>
      <c r="T37" s="46" t="str">
        <f t="shared" si="2"/>
        <v>Southbound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9</v>
      </c>
      <c r="V37" s="187" t="str">
        <f t="shared" si="3"/>
        <v>https://d0f6bd738d7f1b3e5a7ca70fe4ff75f0.us-east-1.aws.found.io/app/kibana#/discover/Steve-Slow-Train-Analysis-(2080s-and-2083s)?_g=(refreshInterval:(display:Off,pause:!f,section:0,value:0),time:(from:'2017-02-14T09:53:03-0700',mode:absolute,to:'2017-02-14T12:11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188" t="str">
        <f t="shared" si="4"/>
        <v>Y</v>
      </c>
      <c r="X37" s="188">
        <f t="shared" si="22"/>
        <v>5</v>
      </c>
      <c r="Y37" s="62">
        <f t="shared" si="5"/>
        <v>6.4124999999999996</v>
      </c>
      <c r="Z37" s="62">
        <f t="shared" si="15"/>
        <v>1.7600000000000001E-2</v>
      </c>
      <c r="AA37" s="62">
        <f t="shared" si="6"/>
        <v>6.3948999999999998</v>
      </c>
      <c r="AB37" s="59" t="str">
        <f>VLOOKUP(A37,Enforcements!$C$7:$K$14,8,0)</f>
        <v>Form based authority (4)</v>
      </c>
      <c r="AC37" s="55" t="str">
        <f>VLOOKUP(A37,Enforcements!$C$7:$E$14,3,0)</f>
        <v>TRACK WARRANT AUTHORITY</v>
      </c>
      <c r="AD37" s="56" t="str">
        <f t="shared" si="7"/>
        <v>0148-14</v>
      </c>
      <c r="AE37" s="85" t="str">
        <f t="shared" si="8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37" s="82" t="str">
        <f t="shared" si="9"/>
        <v>"C:\Program Files (x86)\AstroGrep\AstroGrep.exe" /spath="%USERPROFILE%\AppData\Local\Temp\OnboardLogs" /stypes="app*4032*20170214*" /stext=" 18:.+((SYSTEM_STATE.+slice.+state.+changed )|(ment ac)|(multiple cpu faults)|(system.+state.+changed )|(\[timeout)|(PRM\|1\|D)|(kpr)|(kdp)|(\|lc)|(penalty)|(RTDC:00:00000204:00000036:00006526))" /e /r /s</v>
      </c>
      <c r="AG37" s="1" t="str">
        <f t="shared" si="10"/>
        <v>EC</v>
      </c>
      <c r="AH37" s="86" t="str">
        <f t="shared" si="19"/>
        <v>"%USERPROFILE%\Documents\GitHub\eaglep3\Utilities\RefineRTDCRunTimes.py" --tripid 148-14 --locoid 4032 --swversion DE.1.0.8.0 --startMP 204:64125 --initTime 2017-02-14T10:53:03 --startdatetime 2017-02-14T10:54:39 --delay 1 --endMP 204:176 --enddatetime 2017-02-14T11:11:49 --enforcementcount 0 &gt;&gt;C:\Users\stu\Documents\GitHub\eaglep3-reporting\EC\2017-02-14-refined-times.txt</v>
      </c>
      <c r="AI37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lock","project_id":79,"tracker_id":40,"status_id":1,"priority_id":2,"assigned_to_id":23,"start_date":"2017-02-14","description":"","custom_fields":[{"id":1,"name":"Subdivision","value":"EC"},{"id":4,"name":"Milepost","value":"0.0176"},{"id":17,"name":"Train ID","value":"148-14"},{"id":16,"name":"Locomotive ID","value":"4032"},{"id":130,"name":"Impact","value":""},{"id":150,"name":"Time of Event (Mountain Time)","value":"11:11:49"},{"id":151,"name":"Denver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1"/>
        <v>start /low /b %USERPROFILE%\Documents\GitHub\eaglep3\Utilities\DownloadLogsFromS3.py --loco 4032 --day 2017-02-14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546</v>
      </c>
      <c r="B38" s="7">
        <v>4044</v>
      </c>
      <c r="C38" s="21" t="s">
        <v>192</v>
      </c>
      <c r="D38" s="21" t="s">
        <v>678</v>
      </c>
      <c r="E38" s="13">
        <v>42780.407222222224</v>
      </c>
      <c r="F38" s="13">
        <v>42780.408449074072</v>
      </c>
      <c r="G38" s="7">
        <v>1</v>
      </c>
      <c r="H38" s="21" t="s">
        <v>669</v>
      </c>
      <c r="I38" s="13">
        <v>42780.420567129629</v>
      </c>
      <c r="J38" s="7">
        <v>0</v>
      </c>
      <c r="K38" s="98" t="str">
        <f t="shared" si="0"/>
        <v>4043/4044</v>
      </c>
      <c r="L38" s="21" t="str">
        <f>VLOOKUP(A38,'Trips&amp;Operators'!$C$1:$G$99999,5,FALSE)</f>
        <v>ROCHA YAOTL</v>
      </c>
      <c r="M38" s="6">
        <f t="shared" si="1"/>
        <v>1.2118055557948537E-2</v>
      </c>
      <c r="N38" s="7">
        <f>24*60*SUM($M38:$M38)</f>
        <v>17.450000003445894</v>
      </c>
      <c r="O38" s="7"/>
      <c r="P38" s="7"/>
      <c r="Q38" s="22"/>
      <c r="R38" s="22"/>
      <c r="S38" s="31">
        <f t="shared" si="23"/>
        <v>1</v>
      </c>
      <c r="T38" s="46" t="str">
        <f t="shared" si="2"/>
        <v>NorthBound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10</v>
      </c>
      <c r="V38" s="187" t="str">
        <f t="shared" si="3"/>
        <v>https://d0f6bd738d7f1b3e5a7ca70fe4ff75f0.us-east-1.aws.found.io/app/kibana#/discover/Steve-Slow-Train-Analysis-(2080s-and-2083s)?_g=(refreshInterval:(display:Off,pause:!f,section:0,value:0),time:(from:'2017-02-14T08:46:24-0700',mode:absolute,to:'2017-02-14T11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8" s="188" t="str">
        <f t="shared" si="4"/>
        <v>N</v>
      </c>
      <c r="X38" s="188">
        <f t="shared" si="22"/>
        <v>1</v>
      </c>
      <c r="Y38" s="62">
        <f t="shared" si="5"/>
        <v>7.5399999999999995E-2</v>
      </c>
      <c r="Z38" s="62">
        <f t="shared" si="15"/>
        <v>8.6379000000000001</v>
      </c>
      <c r="AA38" s="62">
        <f t="shared" si="6"/>
        <v>8.5625</v>
      </c>
      <c r="AB38" s="59" t="e">
        <f>VLOOKUP(A38,Enforcements!$C$7:$K$14,8,0)</f>
        <v>#N/A</v>
      </c>
      <c r="AC38" s="55" t="e">
        <f>VLOOKUP(A38,Enforcements!$C$7:$E$14,3,0)</f>
        <v>#N/A</v>
      </c>
      <c r="AD38" s="56" t="str">
        <f t="shared" si="7"/>
        <v>0149-14</v>
      </c>
      <c r="AE38" s="85" t="str">
        <f t="shared" si="8"/>
        <v>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 &amp; 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</v>
      </c>
      <c r="AF38" s="82" t="str">
        <f t="shared" si="9"/>
        <v>"C:\Program Files (x86)\AstroGrep\AstroGrep.exe" /spath="%USERPROFILE%\AppData\Local\Temp\OnboardLogs" /stypes="app*4044*20170214*" /stext=" 17:.+((SYSTEM_STATE.+slice.+state.+changed )|(ment ac)|(multiple cpu faults)|(system.+state.+changed )|(\[timeout)|(PRM\|1\|D)|(kpr)|(kdp)|(\|lc)|(penalty)|(RTDC:00:00000204:00000036:00006526))" /e /r /s</v>
      </c>
      <c r="AG38" s="1" t="str">
        <f t="shared" si="10"/>
        <v>EC</v>
      </c>
      <c r="AH38" s="86" t="str">
        <f t="shared" si="19"/>
        <v>"%USERPROFILE%\Documents\GitHub\eaglep3\Utilities\RefineRTDCRunTimes.py" --tripid 149-14 --locoid 4044 --swversion DE.1.0.8.0 --startMP 204:754 --initTime 2017-02-14T09:46:24 --startdatetime 2017-02-14T09:48:10 --delay 1 --endMP 204:86379 --enddatetime 2017-02-14T10:05:37 --enforcementcount 0 &gt;&gt;C:\Users\stu\Documents\GitHub\eaglep3-reporting\EC\2017-02-14-refined-times.txt</v>
      </c>
      <c r="AI38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ID","value":"149-14"},{"id":16,"name":"Locomotive ID","value":"4044"},{"id":130,"name":"Impact","value":""},{"id":150,"name":"Time of Event (Mountain Time)","value":"10:05:37"},{"id":151,"name":"Denver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1"/>
        <v>start /low /b %USERPROFILE%\Documents\GitHub\eaglep3\Utilities\DownloadLogsFromS3.py --loco 4044 --day 2017-02-14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2017-02-14-UncaughtWiMAX.txt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554</v>
      </c>
      <c r="B39" s="7">
        <v>4008</v>
      </c>
      <c r="C39" s="21" t="s">
        <v>192</v>
      </c>
      <c r="D39" s="21" t="s">
        <v>679</v>
      </c>
      <c r="E39" s="13">
        <v>42780.476678240739</v>
      </c>
      <c r="F39" s="13">
        <v>42780.477280092593</v>
      </c>
      <c r="G39" s="7">
        <v>0</v>
      </c>
      <c r="H39" s="21" t="s">
        <v>655</v>
      </c>
      <c r="I39" s="13">
        <v>42780.488981481481</v>
      </c>
      <c r="J39" s="7">
        <v>0</v>
      </c>
      <c r="K39" s="98" t="str">
        <f t="shared" si="0"/>
        <v>4007/4008</v>
      </c>
      <c r="L39" s="21" t="str">
        <f>VLOOKUP(A39,'Trips&amp;Operators'!$C$1:$G$99999,5,FALSE)</f>
        <v>MOSES BRADLEY</v>
      </c>
      <c r="M39" s="6">
        <f t="shared" si="1"/>
        <v>1.17013888884685E-2</v>
      </c>
      <c r="N39" s="7"/>
      <c r="O39" s="7"/>
      <c r="P39" s="7">
        <f>24*60*SUM($M39:$M40)</f>
        <v>18.849999995436519</v>
      </c>
      <c r="Q39" s="22"/>
      <c r="R39" s="22" t="s">
        <v>862</v>
      </c>
      <c r="S39" s="31">
        <f>SUM(U39:U39)/IF(AG39="EC",10,1)</f>
        <v>0.9</v>
      </c>
      <c r="T39" s="46" t="str">
        <f t="shared" si="2"/>
        <v>Southbound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9</v>
      </c>
      <c r="V39" s="187" t="str">
        <f t="shared" si="3"/>
        <v>https://d0f6bd738d7f1b3e5a7ca70fe4ff75f0.us-east-1.aws.found.io/app/kibana#/discover/Steve-Slow-Train-Analysis-(2080s-and-2083s)?_g=(refreshInterval:(display:Off,pause:!f,section:0,value:0),time:(from:'2017-02-14T10:26:25-0700',mode:absolute,to:'2017-02-14T12:44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9" s="188" t="str">
        <f t="shared" si="4"/>
        <v>Y</v>
      </c>
      <c r="X39" s="188">
        <f t="shared" si="22"/>
        <v>3</v>
      </c>
      <c r="Y39" s="62">
        <f t="shared" si="5"/>
        <v>6.4097999999999997</v>
      </c>
      <c r="Z39" s="62">
        <f t="shared" si="15"/>
        <v>1.29E-2</v>
      </c>
      <c r="AA39" s="62">
        <f t="shared" si="6"/>
        <v>6.3968999999999996</v>
      </c>
      <c r="AB39" s="59" t="e">
        <f>VLOOKUP(A39,Enforcements!$C$7:$K$14,8,0)</f>
        <v>#N/A</v>
      </c>
      <c r="AC39" s="55" t="e">
        <f>VLOOKUP(A39,Enforcements!$C$7:$E$14,3,0)</f>
        <v>#N/A</v>
      </c>
      <c r="AD39" s="56" t="str">
        <f t="shared" si="7"/>
        <v>0152-14</v>
      </c>
      <c r="AE39" s="85" t="str">
        <f t="shared" si="8"/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AF39" s="82" t="str">
        <f t="shared" si="9"/>
        <v>"C:\Program Files (x86)\AstroGrep\AstroGrep.exe" /spath="%USERPROFILE%\AppData\Local\Temp\OnboardLogs" /stypes="app*4008*20170214*" /stext=" 18:.+((SYSTEM_STATE.+slice.+state.+changed )|(ment ac)|(multiple cpu faults)|(system.+state.+changed )|(\[timeout)|(PRM\|1\|D)|(kpr)|(kdp)|(\|lc)|(penalty)|(RTDC:00:00000204:00000036:00006526))" /e /r /s</v>
      </c>
      <c r="AG39" s="1" t="str">
        <f t="shared" si="10"/>
        <v>EC</v>
      </c>
      <c r="AH39" s="86" t="str">
        <f t="shared" si="19"/>
        <v>"%USERPROFILE%\Documents\GitHub\eaglep3\Utilities\RefineRTDCRunTimes.py" --tripid 152-14 --locoid 4008 --swversion DE.1.0.8.0 --startMP 204:64098 --initTime 2017-02-14T11:26:25 --startdatetime 2017-02-14T11:27:17 --delay 0 --endMP 204:129 --enddatetime 2017-02-14T11:44:08 --enforcementcount 0 &gt;&gt;C:\Users\stu\Documents\GitHub\eaglep3-reporting\EC\2017-02-14-refined-times.txt</v>
      </c>
      <c r="AI39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lock","project_id":79,"tracker_id":40,"status_id":1,"priority_id":2,"assigned_to_id":23,"start_date":"2017-02-14","description":"","custom_fields":[{"id":1,"name":"Subdivision","value":"EC"},{"id":4,"name":"Milepost","value":"0.0129"},{"id":17,"name":"Train ID","value":"152-14"},{"id":16,"name":"Locomotive ID","value":"4008"},{"id":130,"name":"Impact","value":""},{"id":150,"name":"Time of Event (Mountain Time)","value":"11:44:08"},{"id":151,"name":"Denver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1"/>
        <v>start /low /b %USERPROFILE%\Documents\GitHub\eaglep3\Utilities\DownloadLogsFromS3.py --loco 4008 --day 2017-02-14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2017-02-14-UncaughtWiMAX.txt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554</v>
      </c>
      <c r="B40" s="7">
        <v>4008</v>
      </c>
      <c r="C40" s="21" t="s">
        <v>192</v>
      </c>
      <c r="D40" s="21" t="s">
        <v>656</v>
      </c>
      <c r="E40" s="13">
        <v>42780.46329861111</v>
      </c>
      <c r="F40" s="13">
        <v>42780.466053240743</v>
      </c>
      <c r="G40" s="7">
        <v>3</v>
      </c>
      <c r="H40" s="21" t="s">
        <v>651</v>
      </c>
      <c r="I40" s="13">
        <v>42780.467442129629</v>
      </c>
      <c r="J40" s="7">
        <v>0</v>
      </c>
      <c r="K40" s="98" t="str">
        <f t="shared" si="0"/>
        <v>4007/4008</v>
      </c>
      <c r="L40" s="21" t="str">
        <f>VLOOKUP(A40,'Trips&amp;Operators'!$C$1:$G$99999,5,FALSE)</f>
        <v>MOSES BRADLEY</v>
      </c>
      <c r="M40" s="6">
        <f t="shared" si="1"/>
        <v>1.3888888861401938E-3</v>
      </c>
      <c r="N40" s="7"/>
      <c r="O40" s="7"/>
      <c r="P40" s="7"/>
      <c r="Q40" s="22"/>
      <c r="R40" s="22"/>
      <c r="S40" s="31"/>
      <c r="T40" s="46" t="str">
        <f t="shared" si="2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187" t="str">
        <f t="shared" si="3"/>
        <v>https://d0f6bd738d7f1b3e5a7ca70fe4ff75f0.us-east-1.aws.found.io/app/kibana#/discover/Steve-Slow-Train-Analysis-(2080s-and-2083s)?_g=(refreshInterval:(display:Off,pause:!f,section:0,value:0),time:(from:'2017-02-14T10:07:09-0700',mode:absolute,to:'2017-02-14T12:13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0" s="188" t="str">
        <f t="shared" si="4"/>
        <v>Y</v>
      </c>
      <c r="X40" s="188">
        <f t="shared" si="22"/>
        <v>0</v>
      </c>
      <c r="Y40" s="62">
        <f t="shared" si="5"/>
        <v>8.6351999999999993</v>
      </c>
      <c r="Z40" s="62">
        <f t="shared" si="15"/>
        <v>8.6350999999999996</v>
      </c>
      <c r="AA40" s="62">
        <f t="shared" si="6"/>
        <v>9.9999999999766942E-5</v>
      </c>
      <c r="AB40" s="59" t="e">
        <f>VLOOKUP(A40,Enforcements!$C$7:$K$14,8,0)</f>
        <v>#N/A</v>
      </c>
      <c r="AC40" s="55" t="e">
        <f>VLOOKUP(A40,Enforcements!$C$7:$E$14,3,0)</f>
        <v>#N/A</v>
      </c>
      <c r="AD40" s="56" t="str">
        <f t="shared" si="7"/>
        <v>0152-14</v>
      </c>
      <c r="AE40" s="85" t="str">
        <f t="shared" si="8"/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AF40" s="82" t="str">
        <f t="shared" si="9"/>
        <v>"C:\Program Files (x86)\AstroGrep\AstroGrep.exe" /spath="%USERPROFILE%\AppData\Local\Temp\OnboardLogs" /stypes="app*4008*20170214*" /stext=" 18:.+((SYSTEM_STATE.+slice.+state.+changed )|(ment ac)|(multiple cpu faults)|(system.+state.+changed )|(\[timeout)|(PRM\|1\|D)|(kpr)|(kdp)|(\|lc)|(penalty)|(RTDC:00:00000204:00000036:00006526))" /e /r /s</v>
      </c>
      <c r="AG40" s="1" t="str">
        <f t="shared" si="10"/>
        <v>EC</v>
      </c>
      <c r="AH40" s="86" t="str">
        <f t="shared" si="19"/>
        <v>"%USERPROFILE%\Documents\GitHub\eaglep3\Utilities\RefineRTDCRunTimes.py" --tripid 152-14 --locoid 4008 --swversion DE.1.0.8.0 --startMP 204:86352 --initTime 2017-02-14T11:07:09 --startdatetime 2017-02-14T11:11:07 --delay 3 --endMP 204:86351 --enddatetime 2017-02-14T11:13:07 --enforcementcount 0 &gt;&gt;C:\Users\stu\Documents\GitHub\eaglep3-reporting\EC\2017-02-14-refined-times.txt</v>
      </c>
      <c r="AI40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ID","value":"152-14"},{"id":16,"name":"Locomotive ID","value":"4008"},{"id":130,"name":"Impact","value":""},{"id":150,"name":"Time of Event (Mountain Time)","value":"11:13:07"},{"id":151,"name":"Denver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1"/>
        <v>start /low /b %USERPROFILE%\Documents\GitHub\eaglep3\Utilities\DownloadLogsFromS3.py --loco 4008 --day 2017-02-14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2017-02-14-UncaughtWiMAX.txt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548</v>
      </c>
      <c r="B41" s="7">
        <v>4029</v>
      </c>
      <c r="C41" s="21" t="s">
        <v>192</v>
      </c>
      <c r="D41" s="21" t="s">
        <v>680</v>
      </c>
      <c r="E41" s="13">
        <v>42780.427488425928</v>
      </c>
      <c r="F41" s="13">
        <v>42780.428749999999</v>
      </c>
      <c r="G41" s="7">
        <v>1</v>
      </c>
      <c r="H41" s="21" t="s">
        <v>650</v>
      </c>
      <c r="I41" s="13">
        <v>42780.440289351849</v>
      </c>
      <c r="J41" s="7">
        <v>0</v>
      </c>
      <c r="K41" s="98" t="str">
        <f t="shared" si="0"/>
        <v>4029/4030</v>
      </c>
      <c r="L41" s="21" t="str">
        <f>VLOOKUP(A41,'Trips&amp;Operators'!$C$1:$G$99999,5,FALSE)</f>
        <v>COOLAHAN JOHN</v>
      </c>
      <c r="M41" s="6">
        <f t="shared" si="1"/>
        <v>1.1539351849933155E-2</v>
      </c>
      <c r="N41" s="7">
        <f>24*60*SUM($M41:$M41)</f>
        <v>16.616666663903743</v>
      </c>
      <c r="O41" s="7"/>
      <c r="P41" s="7"/>
      <c r="Q41" s="22"/>
      <c r="R41" s="22"/>
      <c r="S41" s="31">
        <f t="shared" si="23"/>
        <v>1</v>
      </c>
      <c r="T41" s="46" t="str">
        <f t="shared" si="2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10</v>
      </c>
      <c r="V41" s="187" t="str">
        <f t="shared" si="3"/>
        <v>https://d0f6bd738d7f1b3e5a7ca70fe4ff75f0.us-east-1.aws.found.io/app/kibana#/discover/Steve-Slow-Train-Analysis-(2080s-and-2083s)?_g=(refreshInterval:(display:Off,pause:!f,section:0,value:0),time:(from:'2017-02-14T09:15:35-0700',mode:absolute,to:'2017-02-14T11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1" s="188" t="str">
        <f t="shared" si="4"/>
        <v>N</v>
      </c>
      <c r="X41" s="188">
        <f t="shared" si="22"/>
        <v>1</v>
      </c>
      <c r="Y41" s="62">
        <f t="shared" si="5"/>
        <v>8.2600000000000007E-2</v>
      </c>
      <c r="Z41" s="62">
        <f t="shared" si="15"/>
        <v>8.6379999999999999</v>
      </c>
      <c r="AA41" s="62">
        <f t="shared" si="6"/>
        <v>8.5554000000000006</v>
      </c>
      <c r="AB41" s="59" t="e">
        <f>VLOOKUP(A41,Enforcements!$C$7:$K$14,8,0)</f>
        <v>#N/A</v>
      </c>
      <c r="AC41" s="55" t="e">
        <f>VLOOKUP(A41,Enforcements!$C$7:$E$14,3,0)</f>
        <v>#N/A</v>
      </c>
      <c r="AD41" s="56" t="str">
        <f t="shared" si="7"/>
        <v>0153-14</v>
      </c>
      <c r="AE41" s="85" t="str">
        <f t="shared" si="8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41" s="82" t="str">
        <f t="shared" si="9"/>
        <v>"C:\Program Files (x86)\AstroGrep\AstroGrep.exe" /spath="%USERPROFILE%\AppData\Local\Temp\OnboardLogs" /stypes="app*4029*20170214*" /stext=" 17:.+((SYSTEM_STATE.+slice.+state.+changed )|(ment ac)|(multiple cpu faults)|(system.+state.+changed )|(\[timeout)|(PRM\|1\|D)|(kpr)|(kdp)|(\|lc)|(penalty)|(RTDC:00:00000204:00000036:00006526))" /e /r /s</v>
      </c>
      <c r="AG41" s="1" t="str">
        <f t="shared" si="10"/>
        <v>EC</v>
      </c>
      <c r="AH41" s="86" t="str">
        <f t="shared" si="19"/>
        <v>"%USERPROFILE%\Documents\GitHub\eaglep3\Utilities\RefineRTDCRunTimes.py" --tripid 153-14 --locoid 4029 --swversion DE.1.0.8.0 --startMP 204:826 --initTime 2017-02-14T10:15:35 --startdatetime 2017-02-14T10:17:24 --delay 1 --endMP 204:86380 --enddatetime 2017-02-14T10:34:01 --enforcementcount 0 &gt;&gt;C:\Users\stu\Documents\GitHub\eaglep3-reporting\EC\2017-02-14-refined-times.txt</v>
      </c>
      <c r="AI41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ID","value":"153-14"},{"id":16,"name":"Locomotive ID","value":"4029"},{"id":130,"name":"Impact","value":""},{"id":150,"name":"Time of Event (Mountain Time)","value":"10:34:01"},{"id":151,"name":"Denver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1"/>
        <v>start /low /b %USERPROFILE%\Documents\GitHub\eaglep3\Utilities\DownloadLogsFromS3.py --loco 4029 --day 2017-02-14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2017-02-14-UncaughtWiMAX.txt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483</v>
      </c>
      <c r="B42" s="7">
        <v>4019</v>
      </c>
      <c r="C42" s="21" t="s">
        <v>192</v>
      </c>
      <c r="D42" s="21" t="s">
        <v>681</v>
      </c>
      <c r="E42" s="13">
        <v>42780.489074074074</v>
      </c>
      <c r="F42" s="13">
        <v>42780.490069444444</v>
      </c>
      <c r="G42" s="7">
        <v>1</v>
      </c>
      <c r="H42" s="21" t="s">
        <v>682</v>
      </c>
      <c r="I42" s="13">
        <v>42780.502986111111</v>
      </c>
      <c r="J42" s="7">
        <v>0</v>
      </c>
      <c r="K42" s="98" t="str">
        <f t="shared" si="0"/>
        <v>4019/4020</v>
      </c>
      <c r="L42" s="21" t="str">
        <f>VLOOKUP(A42,'Trips&amp;Operators'!$C$1:$G$99999,5,FALSE)</f>
        <v>STEWART MICHAEL</v>
      </c>
      <c r="M42" s="6">
        <f t="shared" si="1"/>
        <v>1.2916666666569654E-2</v>
      </c>
      <c r="N42" s="7"/>
      <c r="O42" s="7"/>
      <c r="P42" s="7">
        <f>24*60*SUM($M42:$M43)</f>
        <v>22.883333328645676</v>
      </c>
      <c r="Q42" s="22"/>
      <c r="R42" s="22" t="s">
        <v>862</v>
      </c>
      <c r="S42" s="31">
        <f>SUM(U42:U42)/IF(AG42="EC",10,1)</f>
        <v>0.9</v>
      </c>
      <c r="T42" s="46" t="str">
        <f t="shared" si="2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9</v>
      </c>
      <c r="V42" s="187" t="str">
        <f t="shared" si="3"/>
        <v>https://d0f6bd738d7f1b3e5a7ca70fe4ff75f0.us-east-1.aws.found.io/app/kibana#/discover/Steve-Slow-Train-Analysis-(2080s-and-2083s)?_g=(refreshInterval:(display:Off,pause:!f,section:0,value:0),time:(from:'2017-02-14T10:44:16-0700',mode:absolute,to:'2017-02-14T13:04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188" t="str">
        <f t="shared" si="4"/>
        <v>Y</v>
      </c>
      <c r="X42" s="188">
        <f t="shared" si="22"/>
        <v>1</v>
      </c>
      <c r="Y42" s="62">
        <f t="shared" si="5"/>
        <v>6.4101999999999997</v>
      </c>
      <c r="Z42" s="62">
        <f t="shared" si="15"/>
        <v>1.12E-2</v>
      </c>
      <c r="AA42" s="62">
        <f t="shared" si="6"/>
        <v>6.399</v>
      </c>
      <c r="AB42" s="59" t="str">
        <f>VLOOKUP(A42,Enforcements!$C$7:$K$14,8,0)</f>
        <v>Form based authority (4)</v>
      </c>
      <c r="AC42" s="55" t="str">
        <f>VLOOKUP(A42,Enforcements!$C$7:$E$14,3,0)</f>
        <v>TRACK WARRANT AUTHORITY</v>
      </c>
      <c r="AD42" s="56" t="str">
        <f t="shared" si="7"/>
        <v>0154-14</v>
      </c>
      <c r="AE42" s="85" t="str">
        <f t="shared" si="8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42" s="82" t="str">
        <f t="shared" si="9"/>
        <v>"C:\Program Files (x86)\AstroGrep\AstroGrep.exe" /spath="%USERPROFILE%\AppData\Local\Temp\OnboardLogs" /stypes="app*4019*20170214*" /stext=" 19:.+((SYSTEM_STATE.+slice.+state.+changed )|(ment ac)|(multiple cpu faults)|(system.+state.+changed )|(\[timeout)|(PRM\|1\|D)|(kpr)|(kdp)|(\|lc)|(penalty)|(RTDC:00:00000204:00000036:00006526))" /e /r /s</v>
      </c>
      <c r="AG42" s="1" t="str">
        <f t="shared" si="10"/>
        <v>EC</v>
      </c>
      <c r="AH42" s="86" t="str">
        <f t="shared" si="19"/>
        <v>"%USERPROFILE%\Documents\GitHub\eaglep3\Utilities\RefineRTDCRunTimes.py" --tripid 154-14 --locoid 4019 --swversion DE.1.0.8.0 --startMP 204:64102 --initTime 2017-02-14T11:44:16 --startdatetime 2017-02-14T11:45:42 --delay 1 --endMP 204:112 --enddatetime 2017-02-14T12:04:18 --enforcementcount 0 &gt;&gt;C:\Users\stu\Documents\GitHub\eaglep3-reporting\EC\2017-02-14-refined-times.txt</v>
      </c>
      <c r="AI42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lock","project_id":79,"tracker_id":40,"status_id":1,"priority_id":2,"assigned_to_id":23,"start_date":"2017-02-14","description":"","custom_fields":[{"id":1,"name":"Subdivision","value":"EC"},{"id":4,"name":"Milepost","value":"0.0112"},{"id":17,"name":"Train ID","value":"154-14"},{"id":16,"name":"Locomotive ID","value":"4019"},{"id":130,"name":"Impact","value":""},{"id":150,"name":"Time of Event (Mountain Time)","value":"12:04:18"},{"id":151,"name":"Denver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1"/>
        <v>start /low /b %USERPROFILE%\Documents\GitHub\eaglep3\Utilities\DownloadLogsFromS3.py --loco 4019 --day 2017-02-14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2017-02-14-UncaughtWiMAX.txt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483</v>
      </c>
      <c r="B43" s="7">
        <v>4019</v>
      </c>
      <c r="C43" s="21" t="s">
        <v>192</v>
      </c>
      <c r="D43" s="21" t="s">
        <v>651</v>
      </c>
      <c r="E43" s="13">
        <v>42780.476678240739</v>
      </c>
      <c r="F43" s="13">
        <v>42780.478217592594</v>
      </c>
      <c r="G43" s="7">
        <v>2</v>
      </c>
      <c r="H43" s="21" t="s">
        <v>651</v>
      </c>
      <c r="I43" s="13">
        <v>42780.481192129628</v>
      </c>
      <c r="J43" s="7">
        <v>0</v>
      </c>
      <c r="K43" s="98" t="str">
        <f t="shared" si="0"/>
        <v>4019/4020</v>
      </c>
      <c r="L43" s="21" t="str">
        <f>VLOOKUP(A43,'Trips&amp;Operators'!$C$1:$G$99999,5,FALSE)</f>
        <v>STEWART MICHAEL</v>
      </c>
      <c r="M43" s="6">
        <f t="shared" si="1"/>
        <v>2.9745370338787325E-3</v>
      </c>
      <c r="N43" s="7"/>
      <c r="O43" s="7"/>
      <c r="P43" s="7"/>
      <c r="Q43" s="22"/>
      <c r="R43" s="22"/>
      <c r="S43" s="31"/>
      <c r="T43" s="46" t="str">
        <f t="shared" si="2"/>
        <v>Southbound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87" t="str">
        <f t="shared" si="3"/>
        <v>https://d0f6bd738d7f1b3e5a7ca70fe4ff75f0.us-east-1.aws.found.io/app/kibana#/discover/Steve-Slow-Train-Analysis-(2080s-and-2083s)?_g=(refreshInterval:(display:Off,pause:!f,section:0,value:0),time:(from:'2017-02-14T10:26:25-0700',mode:absolute,to:'2017-02-14T12:32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3" s="188" t="str">
        <f t="shared" si="4"/>
        <v>Y</v>
      </c>
      <c r="X43" s="188">
        <f t="shared" si="22"/>
        <v>0</v>
      </c>
      <c r="Y43" s="62">
        <f t="shared" si="5"/>
        <v>8.6350999999999996</v>
      </c>
      <c r="Z43" s="62">
        <f t="shared" si="15"/>
        <v>8.6350999999999996</v>
      </c>
      <c r="AA43" s="62">
        <f t="shared" si="6"/>
        <v>0</v>
      </c>
      <c r="AB43" s="59" t="str">
        <f>VLOOKUP(A43,Enforcements!$C$7:$K$14,8,0)</f>
        <v>Form based authority (4)</v>
      </c>
      <c r="AC43" s="55" t="str">
        <f>VLOOKUP(A43,Enforcements!$C$7:$E$14,3,0)</f>
        <v>TRACK WARRANT AUTHORITY</v>
      </c>
      <c r="AD43" s="56" t="str">
        <f t="shared" si="7"/>
        <v>0154-14</v>
      </c>
      <c r="AE43" s="85" t="str">
        <f t="shared" si="8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43" s="82" t="str">
        <f t="shared" si="9"/>
        <v>"C:\Program Files (x86)\AstroGrep\AstroGrep.exe" /spath="%USERPROFILE%\AppData\Local\Temp\OnboardLogs" /stypes="app*4019*20170214*" /stext=" 18:.+((SYSTEM_STATE.+slice.+state.+changed )|(ment ac)|(multiple cpu faults)|(system.+state.+changed )|(\[timeout)|(PRM\|1\|D)|(kpr)|(kdp)|(\|lc)|(penalty)|(RTDC:00:00000204:00000036:00006526))" /e /r /s</v>
      </c>
      <c r="AG43" s="1" t="str">
        <f t="shared" si="10"/>
        <v>EC</v>
      </c>
      <c r="AH43" s="86" t="str">
        <f t="shared" si="19"/>
        <v>"%USERPROFILE%\Documents\GitHub\eaglep3\Utilities\RefineRTDCRunTimes.py" --tripid 154-14 --locoid 4019 --swversion DE.1.0.8.0 --startMP 204:86351 --initTime 2017-02-14T11:26:25 --startdatetime 2017-02-14T11:28:38 --delay 2 --endMP 204:86351 --enddatetime 2017-02-14T11:32:55 --enforcementcount 0 &gt;&gt;C:\Users\stu\Documents\GitHub\eaglep3-reporting\EC\2017-02-14-refined-times.txt</v>
      </c>
      <c r="AI43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ID","value":"154-14"},{"id":16,"name":"Locomotive ID","value":"4019"},{"id":130,"name":"Impact","value":""},{"id":150,"name":"Time of Event (Mountain Time)","value":"11:32:55"},{"id":151,"name":"Denver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1"/>
        <v>start /low /b %USERPROFILE%\Documents\GitHub\eaglep3\Utilities\DownloadLogsFromS3.py --loco 4019 --day 2017-02-14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2017-02-14-UncaughtWiMAX.txt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558</v>
      </c>
      <c r="B44" s="7">
        <v>4032</v>
      </c>
      <c r="C44" s="21" t="s">
        <v>192</v>
      </c>
      <c r="D44" s="21" t="s">
        <v>683</v>
      </c>
      <c r="E44" s="13">
        <v>42780.500428240739</v>
      </c>
      <c r="F44" s="13">
        <v>42780.501203703701</v>
      </c>
      <c r="G44" s="7">
        <v>1</v>
      </c>
      <c r="H44" s="21" t="s">
        <v>208</v>
      </c>
      <c r="I44" s="13">
        <v>42780.513958333337</v>
      </c>
      <c r="J44" s="7">
        <v>0</v>
      </c>
      <c r="K44" s="98" t="str">
        <f t="shared" si="0"/>
        <v>4031/4032</v>
      </c>
      <c r="L44" s="21" t="str">
        <f>VLOOKUP(A44,'Trips&amp;Operators'!$C$1:$G$99999,5,FALSE)</f>
        <v>LEVERE CRAIG</v>
      </c>
      <c r="M44" s="6">
        <f t="shared" si="1"/>
        <v>1.2754629635310266E-2</v>
      </c>
      <c r="N44" s="7"/>
      <c r="O44" s="7"/>
      <c r="P44" s="7">
        <f>24*60*SUM($M44:$M45)</f>
        <v>21.366666674148291</v>
      </c>
      <c r="Q44" s="22"/>
      <c r="R44" s="22" t="s">
        <v>862</v>
      </c>
      <c r="S44" s="31">
        <f>SUM(U44:U44)/IF(AG44="EC",10,1)</f>
        <v>0.9</v>
      </c>
      <c r="T44" s="46" t="str">
        <f t="shared" si="2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9</v>
      </c>
      <c r="V44" s="187" t="str">
        <f t="shared" si="3"/>
        <v>https://d0f6bd738d7f1b3e5a7ca70fe4ff75f0.us-east-1.aws.found.io/app/kibana#/discover/Steve-Slow-Train-Analysis-(2080s-and-2083s)?_g=(refreshInterval:(display:Off,pause:!f,section:0,value:0),time:(from:'2017-02-14T11:00:37-0700',mode:absolute,to:'2017-02-14T13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4" s="188" t="str">
        <f t="shared" si="4"/>
        <v>Y</v>
      </c>
      <c r="X44" s="188">
        <f t="shared" si="22"/>
        <v>2</v>
      </c>
      <c r="Y44" s="62">
        <f t="shared" si="5"/>
        <v>6.4074</v>
      </c>
      <c r="Z44" s="62">
        <f t="shared" si="15"/>
        <v>1.5800000000000002E-2</v>
      </c>
      <c r="AA44" s="62">
        <f t="shared" si="6"/>
        <v>6.3916000000000004</v>
      </c>
      <c r="AB44" s="59" t="e">
        <f>VLOOKUP(A44,Enforcements!$C$7:$K$14,8,0)</f>
        <v>#N/A</v>
      </c>
      <c r="AC44" s="55" t="e">
        <f>VLOOKUP(A44,Enforcements!$C$7:$E$14,3,0)</f>
        <v>#N/A</v>
      </c>
      <c r="AD44" s="56" t="str">
        <f t="shared" si="7"/>
        <v>0156-14</v>
      </c>
      <c r="AE44" s="85" t="str">
        <f t="shared" si="8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44" s="82" t="str">
        <f t="shared" si="9"/>
        <v>"C:\Program Files (x86)\AstroGrep\AstroGrep.exe" /spath="%USERPROFILE%\AppData\Local\Temp\OnboardLogs" /stypes="app*4032*20170214*" /stext=" 19:.+((SYSTEM_STATE.+slice.+state.+changed )|(ment ac)|(multiple cpu faults)|(system.+state.+changed )|(\[timeout)|(PRM\|1\|D)|(kpr)|(kdp)|(\|lc)|(penalty)|(RTDC:00:00000204:00000036:00006526))" /e /r /s</v>
      </c>
      <c r="AG44" s="1" t="str">
        <f t="shared" si="10"/>
        <v>EC</v>
      </c>
      <c r="AH44" s="86" t="str">
        <f t="shared" si="19"/>
        <v>"%USERPROFILE%\Documents\GitHub\eaglep3\Utilities\RefineRTDCRunTimes.py" --tripid 156-14 --locoid 4032 --swversion DE.1.0.8.0 --startMP 204:64074 --initTime 2017-02-14T12:00:37 --startdatetime 2017-02-14T12:01:44 --delay 1 --endMP 204:158 --enddatetime 2017-02-14T12:20:06 --enforcementcount 0 &gt;&gt;C:\Users\stu\Documents\GitHub\eaglep3-reporting\EC\2017-02-14-refined-times.txt</v>
      </c>
      <c r="AI44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lock","project_id":79,"tracker_id":40,"status_id":1,"priority_id":2,"assigned_to_id":23,"start_date":"2017-02-14","description":"","custom_fields":[{"id":1,"name":"Subdivision","value":"EC"},{"id":4,"name":"Milepost","value":"0.0158"},{"id":17,"name":"Train ID","value":"156-14"},{"id":16,"name":"Locomotive ID","value":"4032"},{"id":130,"name":"Impact","value":""},{"id":150,"name":"Time of Event (Mountain Time)","value":"12:20:06"},{"id":151,"name":"Denver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1"/>
        <v>start /low /b %USERPROFILE%\Documents\GitHub\eaglep3\Utilities\DownloadLogsFromS3.py --loco 4032 --day 2017-02-14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558</v>
      </c>
      <c r="B45" s="7">
        <v>4032</v>
      </c>
      <c r="C45" s="21" t="s">
        <v>192</v>
      </c>
      <c r="D45" s="21" t="s">
        <v>656</v>
      </c>
      <c r="E45" s="13">
        <v>42780.488680555558</v>
      </c>
      <c r="F45" s="13">
        <v>42780.489849537036</v>
      </c>
      <c r="G45" s="7">
        <v>1</v>
      </c>
      <c r="H45" s="21" t="s">
        <v>651</v>
      </c>
      <c r="I45" s="13">
        <v>42780.491932870369</v>
      </c>
      <c r="J45" s="7">
        <v>0</v>
      </c>
      <c r="K45" s="98" t="str">
        <f t="shared" ref="K45:K76" si="24">IF(ISEVEN(B45),(B45-1)&amp;"/"&amp;B45,B45&amp;"/"&amp;(B45+1))</f>
        <v>4031/4032</v>
      </c>
      <c r="L45" s="21" t="str">
        <f>VLOOKUP(A45,'Trips&amp;Operators'!$C$1:$G$99999,5,FALSE)</f>
        <v>LEVERE CRAIG</v>
      </c>
      <c r="M45" s="6">
        <f t="shared" ref="M45:M76" si="25">I45-F45</f>
        <v>2.0833333328482695E-3</v>
      </c>
      <c r="N45" s="7"/>
      <c r="O45" s="7"/>
      <c r="P45" s="7"/>
      <c r="Q45" s="22"/>
      <c r="R45" s="22"/>
      <c r="S45" s="31"/>
      <c r="T45" s="46" t="str">
        <f t="shared" ref="T45:T76" si="26">IF(ISEVEN(LEFT(AD45,4)),"Southbound","NorthBound")</f>
        <v>Southbound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0</v>
      </c>
      <c r="V45" s="187" t="str">
        <f t="shared" ref="V45:V76" si="27"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-02-14T10:43:42-0700',mode:absolute,to:'2017-02-14T12:48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188" t="str">
        <f t="shared" ref="W45:W76" si="28">IF(AA45&lt;IF(AG45="EC",8.55,5.65),"Y","N")</f>
        <v>Y</v>
      </c>
      <c r="X45" s="188">
        <f t="shared" si="22"/>
        <v>0</v>
      </c>
      <c r="Y45" s="62">
        <f t="shared" ref="Y45:Y76" si="29">RIGHT(D45,LEN(D45)-4)/10000</f>
        <v>8.6351999999999993</v>
      </c>
      <c r="Z45" s="62">
        <f t="shared" si="15"/>
        <v>8.6350999999999996</v>
      </c>
      <c r="AA45" s="62">
        <f t="shared" ref="AA45:AA76" si="30">ABS(Z45-Y45)</f>
        <v>9.9999999999766942E-5</v>
      </c>
      <c r="AB45" s="59" t="e">
        <f>VLOOKUP(A45,Enforcements!$C$7:$K$14,8,0)</f>
        <v>#N/A</v>
      </c>
      <c r="AC45" s="55" t="e">
        <f>VLOOKUP(A45,Enforcements!$C$7:$E$14,3,0)</f>
        <v>#N/A</v>
      </c>
      <c r="AD45" s="56" t="str">
        <f t="shared" ref="AD45:AD76" si="31">IF(LEN(A45)=6,"0"&amp;A45,A45)</f>
        <v>0156-14</v>
      </c>
      <c r="AE45" s="85" t="str">
        <f t="shared" ref="AE45:AE76" si="32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45" s="82" t="str">
        <f t="shared" ref="AF45:AF76" si="33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/stypes="app*4032*20170214*" /stext=" 18:.+((SYSTEM_STATE.+slice.+state.+changed )|(ment ac)|(multiple cpu faults)|(system.+state.+changed )|(\[timeout)|(PRM\|1\|D)|(kpr)|(kdp)|(\|lc)|(penalty)|(RTDC:00:00000204:00000036:00006526))" /e /r /s</v>
      </c>
      <c r="AG45" s="1" t="str">
        <f t="shared" ref="AG45:AG76" si="34">IFERROR(IF(VALUE(LEFT(AD45,2))&lt;=2,"EC",IF(OR(VALUE(LEFT(AD45,2))=8,VALUE(LEFT(AD45,2))=18),"NW","Other")),"Other")</f>
        <v>EC</v>
      </c>
      <c r="AH45" s="86" t="str">
        <f t="shared" si="19"/>
        <v>"%USERPROFILE%\Documents\GitHub\eaglep3\Utilities\RefineRTDCRunTimes.py" --tripid 156-14 --locoid 4032 --swversion DE.1.0.8.0 --startMP 204:86352 --initTime 2017-02-14T11:43:42 --startdatetime 2017-02-14T11:45:23 --delay 1 --endMP 204:86351 --enddatetime 2017-02-14T11:48:23 --enforcementcount 0 &gt;&gt;C:\Users\stu\Documents\GitHub\eaglep3-reporting\EC\2017-02-14-refined-times.txt</v>
      </c>
      <c r="AI45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ID","value":"156-14"},{"id":16,"name":"Locomotive ID","value":"4032"},{"id":130,"name":"Impact","value":""},{"id":150,"name":"Time of Event (Mountain Time)","value":"11:48:23"},{"id":151,"name":"Denver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1"/>
        <v>start /low /b %USERPROFILE%\Documents\GitHub\eaglep3\Utilities\DownloadLogsFromS3.py --loco 4032 --day 2017-02-14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552</v>
      </c>
      <c r="B46" s="7">
        <v>4040</v>
      </c>
      <c r="C46" s="21" t="s">
        <v>192</v>
      </c>
      <c r="D46" s="21" t="s">
        <v>684</v>
      </c>
      <c r="E46" s="13">
        <v>42780.442060185182</v>
      </c>
      <c r="F46" s="13">
        <v>42780.44425925926</v>
      </c>
      <c r="G46" s="7">
        <v>3</v>
      </c>
      <c r="H46" s="21" t="s">
        <v>650</v>
      </c>
      <c r="I46" s="13">
        <v>42780.462372685186</v>
      </c>
      <c r="J46" s="7">
        <v>0</v>
      </c>
      <c r="K46" s="98" t="str">
        <f t="shared" si="24"/>
        <v>4039/4040</v>
      </c>
      <c r="L46" s="21" t="str">
        <f>VLOOKUP(A46,'Trips&amp;Operators'!$C$1:$G$99999,5,FALSE)</f>
        <v>YANAI IAN</v>
      </c>
      <c r="M46" s="6">
        <f t="shared" si="25"/>
        <v>1.8113425925548654E-2</v>
      </c>
      <c r="N46" s="7">
        <f>24*60*SUM($M46:$M46)</f>
        <v>26.083333332790062</v>
      </c>
      <c r="O46" s="7"/>
      <c r="P46" s="7"/>
      <c r="Q46" s="22"/>
      <c r="R46" s="22"/>
      <c r="S46" s="31">
        <f t="shared" si="23"/>
        <v>1</v>
      </c>
      <c r="T46" s="46" t="str">
        <f t="shared" si="26"/>
        <v>NorthBound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10</v>
      </c>
      <c r="V46" s="187" t="str">
        <f t="shared" si="27"/>
        <v>https://d0f6bd738d7f1b3e5a7ca70fe4ff75f0.us-east-1.aws.found.io/app/kibana#/discover/Steve-Slow-Train-Analysis-(2080s-and-2083s)?_g=(refreshInterval:(display:Off,pause:!f,section:0,value:0),time:(from:'2017-02-14T09:36:34-0700',mode:absolute,to:'2017-02-14T12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6" s="188" t="str">
        <f t="shared" si="28"/>
        <v>Y</v>
      </c>
      <c r="X46" s="188">
        <f t="shared" si="22"/>
        <v>1</v>
      </c>
      <c r="Y46" s="62">
        <f t="shared" si="29"/>
        <v>0.14729999999999999</v>
      </c>
      <c r="Z46" s="62">
        <f t="shared" ref="Z46:Z77" si="35">RIGHT(H46,LEN(H46)-4)/10000</f>
        <v>8.6379999999999999</v>
      </c>
      <c r="AA46" s="62">
        <f t="shared" si="30"/>
        <v>8.4907000000000004</v>
      </c>
      <c r="AB46" s="59" t="e">
        <f>VLOOKUP(A46,Enforcements!$C$7:$K$14,8,0)</f>
        <v>#N/A</v>
      </c>
      <c r="AC46" s="55" t="e">
        <f>VLOOKUP(A46,Enforcements!$C$7:$E$14,3,0)</f>
        <v>#N/A</v>
      </c>
      <c r="AD46" s="56" t="str">
        <f t="shared" si="31"/>
        <v>0157-14</v>
      </c>
      <c r="AE46" s="85" t="str">
        <f t="shared" si="32"/>
        <v>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 &amp; aws s3 cp s3://rtdc.mdm.uploadarchive.raw/RTDC4040/ "%USERPROFILE%\AppData\Local\Temp\OnboardLogs"\RTDC4040\2017-02-15 --exclude "*" --recursive --include "*20170215*" &amp; "%USERPROFILE%\Documents\GitHub\mrs-test-scripts\Headless Mode &amp; Sideloading\WalkAndUnGZ.bat" "%USERPROFILE%\AppData\Local\Temp\OnboardLogs"\RTDC4040\2017-02-15</v>
      </c>
      <c r="AF46" s="82" t="str">
        <f t="shared" si="33"/>
        <v>"C:\Program Files (x86)\AstroGrep\AstroGrep.exe" /spath="%USERPROFILE%\AppData\Local\Temp\OnboardLogs" /stypes="app*4040*20170214*" /stext=" 18:.+((SYSTEM_STATE.+slice.+state.+changed )|(ment ac)|(multiple cpu faults)|(system.+state.+changed )|(\[timeout)|(PRM\|1\|D)|(kpr)|(kdp)|(\|lc)|(penalty)|(RTDC:00:00000204:00000036:00006526))" /e /r /s</v>
      </c>
      <c r="AG46" s="1" t="str">
        <f t="shared" si="34"/>
        <v>EC</v>
      </c>
      <c r="AH46" s="86" t="str">
        <f t="shared" si="19"/>
        <v>"%USERPROFILE%\Documents\GitHub\eaglep3\Utilities\RefineRTDCRunTimes.py" --tripid 157-14 --locoid 4040 --swversion DE.1.0.8.0 --startMP 204:1473 --initTime 2017-02-14T10:36:34 --startdatetime 2017-02-14T10:39:44 --delay 3 --endMP 204:86380 --enddatetime 2017-02-14T11:05:49 --enforcementcount 0 &gt;&gt;C:\Users\stu\Documents\GitHub\eaglep3-reporting\EC\2017-02-14-refined-times.txt</v>
      </c>
      <c r="AI46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ID","value":"157-14"},{"id":16,"name":"Locomotive ID","value":"4040"},{"id":130,"name":"Impact","value":""},{"id":150,"name":"Time of Event (Mountain Time)","value":"11:05:49"},{"id":151,"name":"Denver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1"/>
        <v>start /low /b %USERPROFILE%\Documents\GitHub\eaglep3\Utilities\DownloadLogsFromS3.py --loco 4040 --day 2017-02-14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"%USERPROFILE%\AppData\Local\Temp\OnboardLogs"\RTDC4040\*4040*20170214* | grep -SE "(Enforcement Action)|(\[TIMEOUT)|(CHR.+\|PRM\|1\|D.+(SWITCH|SIGNAL).+UNKNOWN)" - &gt;&gt; 2017-02-14-UncaughtWiMAX.txt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553</v>
      </c>
      <c r="B47" s="7">
        <v>4044</v>
      </c>
      <c r="C47" s="21" t="s">
        <v>192</v>
      </c>
      <c r="D47" s="21" t="s">
        <v>685</v>
      </c>
      <c r="E47" s="13">
        <v>42780.454432870371</v>
      </c>
      <c r="F47" s="13">
        <v>42780.455729166664</v>
      </c>
      <c r="G47" s="7">
        <v>1</v>
      </c>
      <c r="H47" s="21" t="s">
        <v>669</v>
      </c>
      <c r="I47" s="13">
        <v>42780.474386574075</v>
      </c>
      <c r="J47" s="7">
        <v>0</v>
      </c>
      <c r="K47" s="98" t="str">
        <f t="shared" si="24"/>
        <v>4043/4044</v>
      </c>
      <c r="L47" s="21" t="str">
        <f>VLOOKUP(A47,'Trips&amp;Operators'!$C$1:$G$99999,5,FALSE)</f>
        <v>DAVIS MICHAEL</v>
      </c>
      <c r="M47" s="6">
        <f t="shared" si="25"/>
        <v>1.8657407410501037E-2</v>
      </c>
      <c r="N47" s="7">
        <f>24*60*SUM($M47:$M47)</f>
        <v>26.866666671121493</v>
      </c>
      <c r="O47" s="7"/>
      <c r="P47" s="7"/>
      <c r="Q47" s="22"/>
      <c r="R47" s="22"/>
      <c r="S47" s="31">
        <f t="shared" si="23"/>
        <v>1</v>
      </c>
      <c r="T47" s="46" t="str">
        <f t="shared" si="26"/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10</v>
      </c>
      <c r="V47" s="187" t="str">
        <f t="shared" si="27"/>
        <v>https://d0f6bd738d7f1b3e5a7ca70fe4ff75f0.us-east-1.aws.found.io/app/kibana#/discover/Steve-Slow-Train-Analysis-(2080s-and-2083s)?_g=(refreshInterval:(display:Off,pause:!f,section:0,value:0),time:(from:'2017-02-14T09:54:23-0700',mode:absolute,to:'2017-02-14T12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188" t="str">
        <f t="shared" si="28"/>
        <v>N</v>
      </c>
      <c r="X47" s="188">
        <f t="shared" si="22"/>
        <v>2</v>
      </c>
      <c r="Y47" s="62">
        <f t="shared" si="29"/>
        <v>7.5899999999999995E-2</v>
      </c>
      <c r="Z47" s="62">
        <f t="shared" si="35"/>
        <v>8.6379000000000001</v>
      </c>
      <c r="AA47" s="62">
        <f t="shared" si="30"/>
        <v>8.5619999999999994</v>
      </c>
      <c r="AB47" s="59" t="e">
        <f>VLOOKUP(A47,Enforcements!$C$7:$K$14,8,0)</f>
        <v>#N/A</v>
      </c>
      <c r="AC47" s="55" t="e">
        <f>VLOOKUP(A47,Enforcements!$C$7:$E$14,3,0)</f>
        <v>#N/A</v>
      </c>
      <c r="AD47" s="56" t="str">
        <f t="shared" si="31"/>
        <v>0159-14</v>
      </c>
      <c r="AE47" s="85" t="str">
        <f t="shared" si="32"/>
        <v>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 &amp; 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</v>
      </c>
      <c r="AF47" s="82" t="str">
        <f t="shared" si="33"/>
        <v>"C:\Program Files (x86)\AstroGrep\AstroGrep.exe" /spath="%USERPROFILE%\AppData\Local\Temp\OnboardLogs" /stypes="app*4044*20170214*" /stext=" 18:.+((SYSTEM_STATE.+slice.+state.+changed )|(ment ac)|(multiple cpu faults)|(system.+state.+changed )|(\[timeout)|(PRM\|1\|D)|(kpr)|(kdp)|(\|lc)|(penalty)|(RTDC:00:00000204:00000036:00006526))" /e /r /s</v>
      </c>
      <c r="AG47" s="1" t="str">
        <f t="shared" si="34"/>
        <v>EC</v>
      </c>
      <c r="AH47" s="86" t="str">
        <f t="shared" si="19"/>
        <v>"%USERPROFILE%\Documents\GitHub\eaglep3\Utilities\RefineRTDCRunTimes.py" --tripid 159-14 --locoid 4044 --swversion DE.1.0.8.0 --startMP 204:759 --initTime 2017-02-14T10:54:23 --startdatetime 2017-02-14T10:56:15 --delay 1 --endMP 204:86379 --enddatetime 2017-02-14T11:23:07 --enforcementcount 0 &gt;&gt;C:\Users\stu\Documents\GitHub\eaglep3-reporting\EC\2017-02-14-refined-times.txt</v>
      </c>
      <c r="AI47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ID","value":"159-14"},{"id":16,"name":"Locomotive ID","value":"4044"},{"id":130,"name":"Impact","value":""},{"id":150,"name":"Time of Event (Mountain Time)","value":"11:23:07"},{"id":151,"name":"Denver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1"/>
        <v>start /low /b %USERPROFILE%\Documents\GitHub\eaglep3\Utilities\DownloadLogsFromS3.py --loco 4044 --day 2017-02-14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2017-02-14-UncaughtWiMAX.txt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555</v>
      </c>
      <c r="B48" s="7">
        <v>4029</v>
      </c>
      <c r="C48" s="21" t="s">
        <v>192</v>
      </c>
      <c r="D48" s="21" t="s">
        <v>686</v>
      </c>
      <c r="E48" s="13">
        <v>42780.470300925925</v>
      </c>
      <c r="F48" s="13">
        <v>42780.471284722225</v>
      </c>
      <c r="G48" s="7">
        <v>1</v>
      </c>
      <c r="H48" s="21" t="s">
        <v>650</v>
      </c>
      <c r="I48" s="13">
        <v>42780.487546296295</v>
      </c>
      <c r="J48" s="7">
        <v>0</v>
      </c>
      <c r="K48" s="98" t="str">
        <f t="shared" si="24"/>
        <v>4029/4030</v>
      </c>
      <c r="L48" s="21" t="str">
        <f>VLOOKUP(A48,'Trips&amp;Operators'!$C$1:$G$99999,5,FALSE)</f>
        <v>CLARK KATHLEEN</v>
      </c>
      <c r="M48" s="6">
        <f t="shared" si="25"/>
        <v>1.6261574070085771E-2</v>
      </c>
      <c r="N48" s="7">
        <f>24*60*SUM($M48:$M48)</f>
        <v>23.416666660923511</v>
      </c>
      <c r="O48" s="7"/>
      <c r="P48" s="7"/>
      <c r="Q48" s="22"/>
      <c r="R48" s="22"/>
      <c r="S48" s="31">
        <f t="shared" si="23"/>
        <v>1</v>
      </c>
      <c r="T48" s="46" t="str">
        <f t="shared" si="26"/>
        <v>NorthBound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10</v>
      </c>
      <c r="V48" s="187" t="str">
        <f t="shared" si="27"/>
        <v>https://d0f6bd738d7f1b3e5a7ca70fe4ff75f0.us-east-1.aws.found.io/app/kibana#/discover/Steve-Slow-Train-Analysis-(2080s-and-2083s)?_g=(refreshInterval:(display:Off,pause:!f,section:0,value:0),time:(from:'2017-02-14T10:17:14-0700',mode:absolute,to:'2017-02-14T12:42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188" t="str">
        <f t="shared" si="28"/>
        <v>N</v>
      </c>
      <c r="X48" s="188">
        <f t="shared" ref="X48:X79" si="36">VALUE(LEFT(AD48,4))-VALUE(LEFT(AD47,4))</f>
        <v>2</v>
      </c>
      <c r="Y48" s="62">
        <f t="shared" si="29"/>
        <v>7.8100000000000003E-2</v>
      </c>
      <c r="Z48" s="62">
        <f t="shared" si="35"/>
        <v>8.6379999999999999</v>
      </c>
      <c r="AA48" s="62">
        <f t="shared" si="30"/>
        <v>8.5599000000000007</v>
      </c>
      <c r="AB48" s="59" t="e">
        <f>VLOOKUP(A48,Enforcements!$C$7:$K$14,8,0)</f>
        <v>#N/A</v>
      </c>
      <c r="AC48" s="55" t="e">
        <f>VLOOKUP(A48,Enforcements!$C$7:$E$14,3,0)</f>
        <v>#N/A</v>
      </c>
      <c r="AD48" s="56" t="str">
        <f t="shared" si="31"/>
        <v>0161-14</v>
      </c>
      <c r="AE48" s="85" t="str">
        <f t="shared" si="32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48" s="82" t="str">
        <f t="shared" si="33"/>
        <v>"C:\Program Files (x86)\AstroGrep\AstroGrep.exe" /spath="%USERPROFILE%\AppData\Local\Temp\OnboardLogs" /stypes="app*4029*20170214*" /stext=" 18:.+((SYSTEM_STATE.+slice.+state.+changed )|(ment ac)|(multiple cpu faults)|(system.+state.+changed )|(\[timeout)|(PRM\|1\|D)|(kpr)|(kdp)|(\|lc)|(penalty)|(RTDC:00:00000204:00000036:00006526))" /e /r /s</v>
      </c>
      <c r="AG48" s="1" t="str">
        <f t="shared" si="34"/>
        <v>EC</v>
      </c>
      <c r="AH48" s="86" t="str">
        <f t="shared" si="19"/>
        <v>"%USERPROFILE%\Documents\GitHub\eaglep3\Utilities\RefineRTDCRunTimes.py" --tripid 161-14 --locoid 4029 --swversion DE.1.0.8.0 --startMP 204:781 --initTime 2017-02-14T11:17:14 --startdatetime 2017-02-14T11:18:39 --delay 1 --endMP 204:86380 --enddatetime 2017-02-14T11:42:04 --enforcementcount 0 &gt;&gt;C:\Users\stu\Documents\GitHub\eaglep3-reporting\EC\2017-02-14-refined-times.txt</v>
      </c>
      <c r="AI48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ID","value":"161-14"},{"id":16,"name":"Locomotive ID","value":"4029"},{"id":130,"name":"Impact","value":""},{"id":150,"name":"Time of Event (Mountain Time)","value":"11:42:04"},{"id":151,"name":"Denver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1"/>
        <v>start /low /b %USERPROFILE%\Documents\GitHub\eaglep3\Utilities\DownloadLogsFromS3.py --loco 4029 --day 2017-02-14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2017-02-14-UncaughtWiMAX.txt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565</v>
      </c>
      <c r="B49" s="7">
        <v>4019</v>
      </c>
      <c r="C49" s="21" t="s">
        <v>192</v>
      </c>
      <c r="D49" s="21" t="s">
        <v>687</v>
      </c>
      <c r="E49" s="13">
        <v>42780.542638888888</v>
      </c>
      <c r="F49" s="13">
        <v>42780.543310185189</v>
      </c>
      <c r="G49" s="7">
        <v>0</v>
      </c>
      <c r="H49" s="21" t="s">
        <v>398</v>
      </c>
      <c r="I49" s="13">
        <v>42780.552175925928</v>
      </c>
      <c r="J49" s="7">
        <v>0</v>
      </c>
      <c r="K49" s="98" t="str">
        <f t="shared" si="24"/>
        <v>4019/4020</v>
      </c>
      <c r="L49" s="21" t="str">
        <f>VLOOKUP(A49,'Trips&amp;Operators'!$C$1:$G$99999,5,FALSE)</f>
        <v>STEWART MICHAEL</v>
      </c>
      <c r="M49" s="6">
        <f t="shared" si="25"/>
        <v>8.8657407395658083E-3</v>
      </c>
      <c r="N49" s="7"/>
      <c r="O49" s="7"/>
      <c r="P49" s="7">
        <f>24*60*SUM($M49:$M49)</f>
        <v>12.766666664974764</v>
      </c>
      <c r="Q49" s="22"/>
      <c r="R49" s="22" t="s">
        <v>862</v>
      </c>
      <c r="S49" s="31">
        <f t="shared" si="23"/>
        <v>0.3</v>
      </c>
      <c r="T49" s="46" t="str">
        <f t="shared" si="26"/>
        <v>Southbound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3</v>
      </c>
      <c r="V49" s="187" t="str">
        <f t="shared" si="27"/>
        <v>https://d0f6bd738d7f1b3e5a7ca70fe4ff75f0.us-east-1.aws.found.io/app/kibana#/discover/Steve-Slow-Train-Analysis-(2080s-and-2083s)?_g=(refreshInterval:(display:Off,pause:!f,section:0,value:0),time:(from:'2017-02-14T12:01:24-0700',mode:absolute,to:'2017-02-14T14:15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9" s="188" t="str">
        <f t="shared" si="28"/>
        <v>Y</v>
      </c>
      <c r="X49" s="188">
        <f t="shared" si="36"/>
        <v>3</v>
      </c>
      <c r="Y49" s="62">
        <f t="shared" si="29"/>
        <v>3.6732999999999998</v>
      </c>
      <c r="Z49" s="62">
        <f t="shared" si="35"/>
        <v>1.47E-2</v>
      </c>
      <c r="AA49" s="62">
        <f t="shared" si="30"/>
        <v>3.6585999999999999</v>
      </c>
      <c r="AB49" s="59" t="e">
        <f>VLOOKUP(A49,Enforcements!$C$7:$K$14,8,0)</f>
        <v>#N/A</v>
      </c>
      <c r="AC49" s="55" t="e">
        <f>VLOOKUP(A49,Enforcements!$C$7:$E$14,3,0)</f>
        <v>#N/A</v>
      </c>
      <c r="AD49" s="56" t="str">
        <f t="shared" si="31"/>
        <v>0164-14</v>
      </c>
      <c r="AE49" s="85" t="str">
        <f t="shared" si="32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49" s="82" t="str">
        <f t="shared" si="33"/>
        <v>"C:\Program Files (x86)\AstroGrep\AstroGrep.exe" /spath="%USERPROFILE%\AppData\Local\Temp\OnboardLogs" /stypes="app*4019*20170214*" /stext=" 20:.+((SYSTEM_STATE.+slice.+state.+changed )|(ment ac)|(multiple cpu faults)|(system.+state.+changed )|(\[timeout)|(PRM\|1\|D)|(kpr)|(kdp)|(\|lc)|(penalty)|(RTDC:00:00000204:00000036:00006526))" /e /r /s</v>
      </c>
      <c r="AG49" s="1" t="str">
        <f t="shared" si="34"/>
        <v>EC</v>
      </c>
      <c r="AH49" s="86" t="str">
        <f t="shared" si="19"/>
        <v>"%USERPROFILE%\Documents\GitHub\eaglep3\Utilities\RefineRTDCRunTimes.py" --tripid 164-14 --locoid 4019 --swversion DE.1.0.8.0 --startMP 204:36733 --initTime 2017-02-14T13:01:24 --startdatetime 2017-02-14T13:02:22 --delay 0 --endMP 204:147 --enddatetime 2017-02-14T13:15:08 --enforcementcount 0 &gt;&gt;C:\Users\stu\Documents\GitHub\eaglep3-reporting\EC\2017-02-14-refined-times.txt</v>
      </c>
      <c r="AI49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lock","project_id":79,"tracker_id":40,"status_id":1,"priority_id":2,"assigned_to_id":23,"start_date":"2017-02-14","description":"","custom_fields":[{"id":1,"name":"Subdivision","value":"EC"},{"id":4,"name":"Milepost","value":"0.0147"},{"id":17,"name":"Train ID","value":"164-14"},{"id":16,"name":"Locomotive ID","value":"4019"},{"id":130,"name":"Impact","value":""},{"id":150,"name":"Time of Event (Mountain Time)","value":"13:15:08"},{"id":151,"name":"Denver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1"/>
        <v>start /low /b %USERPROFILE%\Documents\GitHub\eaglep3\Utilities\DownloadLogsFromS3.py --loco 4019 --day 2017-02-14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2017-02-14-UncaughtWiMAX.txt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559</v>
      </c>
      <c r="B50" s="7">
        <v>4040</v>
      </c>
      <c r="C50" s="21" t="s">
        <v>192</v>
      </c>
      <c r="D50" s="21" t="s">
        <v>688</v>
      </c>
      <c r="E50" s="13">
        <v>42780.491875</v>
      </c>
      <c r="F50" s="13">
        <v>42780.494016203702</v>
      </c>
      <c r="G50" s="7">
        <v>3</v>
      </c>
      <c r="H50" s="21" t="s">
        <v>669</v>
      </c>
      <c r="I50" s="13">
        <v>42780.5155787037</v>
      </c>
      <c r="J50" s="7">
        <v>0</v>
      </c>
      <c r="K50" s="98" t="str">
        <f t="shared" si="24"/>
        <v>4039/4040</v>
      </c>
      <c r="L50" s="21" t="str">
        <f>VLOOKUP(A50,'Trips&amp;Operators'!$C$1:$G$99999,5,FALSE)</f>
        <v>CRAYTON QUNTRELL</v>
      </c>
      <c r="M50" s="6">
        <f t="shared" si="25"/>
        <v>2.156249999825377E-2</v>
      </c>
      <c r="N50" s="7">
        <f>24*60*SUM($M50:$M50)</f>
        <v>31.049999997485429</v>
      </c>
      <c r="O50" s="7"/>
      <c r="P50" s="7"/>
      <c r="Q50" s="22"/>
      <c r="R50" s="22"/>
      <c r="S50" s="31">
        <f t="shared" si="23"/>
        <v>1</v>
      </c>
      <c r="T50" s="46" t="str">
        <f t="shared" si="26"/>
        <v>NorthBound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10</v>
      </c>
      <c r="V50" s="187" t="str">
        <f t="shared" si="27"/>
        <v>https://d0f6bd738d7f1b3e5a7ca70fe4ff75f0.us-east-1.aws.found.io/app/kibana#/discover/Steve-Slow-Train-Analysis-(2080s-and-2083s)?_g=(refreshInterval:(display:Off,pause:!f,section:0,value:0),time:(from:'2017-02-14T10:48:18-0700',mode:absolute,to:'2017-02-14T13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0" s="188" t="str">
        <f t="shared" si="28"/>
        <v>N</v>
      </c>
      <c r="X50" s="188">
        <f t="shared" si="36"/>
        <v>1</v>
      </c>
      <c r="Y50" s="62">
        <f t="shared" si="29"/>
        <v>7.7399999999999997E-2</v>
      </c>
      <c r="Z50" s="62">
        <f t="shared" si="35"/>
        <v>8.6379000000000001</v>
      </c>
      <c r="AA50" s="62">
        <f t="shared" si="30"/>
        <v>8.5604999999999993</v>
      </c>
      <c r="AB50" s="59" t="e">
        <f>VLOOKUP(A50,Enforcements!$C$7:$K$14,8,0)</f>
        <v>#N/A</v>
      </c>
      <c r="AC50" s="55" t="e">
        <f>VLOOKUP(A50,Enforcements!$C$7:$E$14,3,0)</f>
        <v>#N/A</v>
      </c>
      <c r="AD50" s="56" t="str">
        <f t="shared" si="31"/>
        <v>0165-14</v>
      </c>
      <c r="AE50" s="85" t="str">
        <f t="shared" si="32"/>
        <v>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 &amp; aws s3 cp s3://rtdc.mdm.uploadarchive.raw/RTDC4040/ "%USERPROFILE%\AppData\Local\Temp\OnboardLogs"\RTDC4040\2017-02-15 --exclude "*" --recursive --include "*20170215*" &amp; "%USERPROFILE%\Documents\GitHub\mrs-test-scripts\Headless Mode &amp; Sideloading\WalkAndUnGZ.bat" "%USERPROFILE%\AppData\Local\Temp\OnboardLogs"\RTDC4040\2017-02-15</v>
      </c>
      <c r="AF50" s="82" t="str">
        <f t="shared" si="33"/>
        <v>"C:\Program Files (x86)\AstroGrep\AstroGrep.exe" /spath="%USERPROFILE%\AppData\Local\Temp\OnboardLogs" /stypes="app*4040*20170214*" /stext=" 19:.+((SYSTEM_STATE.+slice.+state.+changed )|(ment ac)|(multiple cpu faults)|(system.+state.+changed )|(\[timeout)|(PRM\|1\|D)|(kpr)|(kdp)|(\|lc)|(penalty)|(RTDC:00:00000204:00000036:00006526))" /e /r /s</v>
      </c>
      <c r="AG50" s="1" t="str">
        <f t="shared" si="34"/>
        <v>EC</v>
      </c>
      <c r="AH50" s="86" t="str">
        <f t="shared" si="19"/>
        <v>"%USERPROFILE%\Documents\GitHub\eaglep3\Utilities\RefineRTDCRunTimes.py" --tripid 165-14 --locoid 4040 --swversion DE.1.0.8.0 --startMP 204:774 --initTime 2017-02-14T11:48:18 --startdatetime 2017-02-14T11:51:23 --delay 3 --endMP 204:86379 --enddatetime 2017-02-14T12:22:26 --enforcementcount 0 &gt;&gt;C:\Users\stu\Documents\GitHub\eaglep3-reporting\EC\2017-02-14-refined-times.txt</v>
      </c>
      <c r="AI50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ID","value":"165-14"},{"id":16,"name":"Locomotive ID","value":"4040"},{"id":130,"name":"Impact","value":""},{"id":150,"name":"Time of Event (Mountain Time)","value":"12:22:26"},{"id":151,"name":"Denver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1"/>
        <v>start /low /b %USERPROFILE%\Documents\GitHub\eaglep3\Utilities\DownloadLogsFromS3.py --loco 4040 --day 2017-02-14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"%USERPROFILE%\AppData\Local\Temp\OnboardLogs"\RTDC4040\*4040*20170214* | grep -SE "(Enforcement Action)|(\[TIMEOUT)|(CHR.+\|PRM\|1\|D.+(SWITCH|SIGNAL).+UNKNOWN)" - &gt;&gt; 2017-02-14-UncaughtWiMAX.txt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563</v>
      </c>
      <c r="B51" s="7">
        <v>4032</v>
      </c>
      <c r="C51" s="21" t="s">
        <v>192</v>
      </c>
      <c r="D51" s="21" t="s">
        <v>654</v>
      </c>
      <c r="E51" s="13">
        <v>42780.550752314812</v>
      </c>
      <c r="F51" s="13">
        <v>42780.551412037035</v>
      </c>
      <c r="G51" s="7">
        <v>0</v>
      </c>
      <c r="H51" s="21" t="s">
        <v>397</v>
      </c>
      <c r="I51" s="13">
        <v>42780.563645833332</v>
      </c>
      <c r="J51" s="7">
        <v>0</v>
      </c>
      <c r="K51" s="98" t="str">
        <f t="shared" si="24"/>
        <v>4031/4032</v>
      </c>
      <c r="L51" s="21" t="str">
        <f>VLOOKUP(A51,'Trips&amp;Operators'!$C$1:$G$99999,5,FALSE)</f>
        <v>LEVERE CRAIG</v>
      </c>
      <c r="M51" s="6">
        <f t="shared" si="25"/>
        <v>1.2233796296641231E-2</v>
      </c>
      <c r="N51" s="7"/>
      <c r="O51" s="7"/>
      <c r="P51" s="7">
        <f>24*60*SUM($M51:$M52)</f>
        <v>19.633333333767951</v>
      </c>
      <c r="Q51" s="22"/>
      <c r="R51" s="22" t="s">
        <v>862</v>
      </c>
      <c r="S51" s="31">
        <f>SUM(U51:U51)/IF(AG51="EC",10,1)</f>
        <v>0.9</v>
      </c>
      <c r="T51" s="46" t="str">
        <f t="shared" si="26"/>
        <v>Southbound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9</v>
      </c>
      <c r="V51" s="187" t="str">
        <f t="shared" si="27"/>
        <v>https://d0f6bd738d7f1b3e5a7ca70fe4ff75f0.us-east-1.aws.found.io/app/kibana#/discover/Steve-Slow-Train-Analysis-(2080s-and-2083s)?_g=(refreshInterval:(display:Off,pause:!f,section:0,value:0),time:(from:'2017-02-14T12:13:05-0700',mode:absolute,to:'2017-02-14T14:31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188" t="str">
        <f t="shared" si="28"/>
        <v>Y</v>
      </c>
      <c r="X51" s="188">
        <f t="shared" si="36"/>
        <v>1</v>
      </c>
      <c r="Y51" s="62">
        <f t="shared" si="29"/>
        <v>6.4071999999999996</v>
      </c>
      <c r="Z51" s="62">
        <f t="shared" si="35"/>
        <v>1.5599999999999999E-2</v>
      </c>
      <c r="AA51" s="62">
        <f t="shared" si="30"/>
        <v>6.3915999999999995</v>
      </c>
      <c r="AB51" s="59" t="e">
        <f>VLOOKUP(A51,Enforcements!$C$7:$K$14,8,0)</f>
        <v>#N/A</v>
      </c>
      <c r="AC51" s="55" t="e">
        <f>VLOOKUP(A51,Enforcements!$C$7:$E$14,3,0)</f>
        <v>#N/A</v>
      </c>
      <c r="AD51" s="56" t="str">
        <f t="shared" si="31"/>
        <v>0166-14</v>
      </c>
      <c r="AE51" s="85" t="str">
        <f t="shared" si="32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51" s="82" t="str">
        <f t="shared" si="33"/>
        <v>"C:\Program Files (x86)\AstroGrep\AstroGrep.exe" /spath="%USERPROFILE%\AppData\Local\Temp\OnboardLogs" /stypes="app*4032*20170214*" /stext=" 20:.+((SYSTEM_STATE.+slice.+state.+changed )|(ment ac)|(multiple cpu faults)|(system.+state.+changed )|(\[timeout)|(PRM\|1\|D)|(kpr)|(kdp)|(\|lc)|(penalty)|(RTDC:00:00000204:00000036:00006526))" /e /r /s</v>
      </c>
      <c r="AG51" s="1" t="str">
        <f t="shared" si="34"/>
        <v>EC</v>
      </c>
      <c r="AH51" s="86" t="str">
        <f t="shared" si="19"/>
        <v>"%USERPROFILE%\Documents\GitHub\eaglep3\Utilities\RefineRTDCRunTimes.py" --tripid 166-14 --locoid 4032 --swversion DE.1.0.8.0 --startMP 204:64072 --initTime 2017-02-14T13:13:05 --startdatetime 2017-02-14T13:14:02 --delay 0 --endMP 204:156 --enddatetime 2017-02-14T13:31:39 --enforcementcount 0 &gt;&gt;C:\Users\stu\Documents\GitHub\eaglep3-reporting\EC\2017-02-14-refined-times.txt</v>
      </c>
      <c r="AI51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lock","project_id":79,"tracker_id":40,"status_id":1,"priority_id":2,"assigned_to_id":23,"start_date":"2017-02-14","description":"","custom_fields":[{"id":1,"name":"Subdivision","value":"EC"},{"id":4,"name":"Milepost","value":"0.0156"},{"id":17,"name":"Train ID","value":"166-14"},{"id":16,"name":"Locomotive ID","value":"4032"},{"id":130,"name":"Impact","value":""},{"id":150,"name":"Time of Event (Mountain Time)","value":"13:31:39"},{"id":151,"name":"Denver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1"/>
        <v>start /low /b %USERPROFILE%\Documents\GitHub\eaglep3\Utilities\DownloadLogsFromS3.py --loco 4032 --day 2017-02-14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563</v>
      </c>
      <c r="B52" s="7">
        <v>4032</v>
      </c>
      <c r="C52" s="21" t="s">
        <v>192</v>
      </c>
      <c r="D52" s="21" t="s">
        <v>651</v>
      </c>
      <c r="E52" s="13">
        <v>42780.539398148147</v>
      </c>
      <c r="F52" s="13">
        <v>42780.540335648147</v>
      </c>
      <c r="G52" s="7">
        <v>1</v>
      </c>
      <c r="H52" s="21" t="s">
        <v>651</v>
      </c>
      <c r="I52" s="13">
        <v>42780.54173611111</v>
      </c>
      <c r="J52" s="7">
        <v>0</v>
      </c>
      <c r="K52" s="98" t="str">
        <f t="shared" si="24"/>
        <v>4031/4032</v>
      </c>
      <c r="L52" s="21" t="str">
        <f>VLOOKUP(A52,'Trips&amp;Operators'!$C$1:$G$99999,5,FALSE)</f>
        <v>LEVERE CRAIG</v>
      </c>
      <c r="M52" s="6">
        <f t="shared" si="25"/>
        <v>1.4004629629198462E-3</v>
      </c>
      <c r="N52" s="7"/>
      <c r="O52" s="7"/>
      <c r="P52" s="7"/>
      <c r="Q52" s="22"/>
      <c r="R52" s="22"/>
      <c r="S52" s="31"/>
      <c r="T52" s="46" t="str">
        <f t="shared" si="26"/>
        <v>Southbound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0</v>
      </c>
      <c r="V52" s="187" t="str">
        <f t="shared" si="27"/>
        <v>https://d0f6bd738d7f1b3e5a7ca70fe4ff75f0.us-east-1.aws.found.io/app/kibana#/discover/Steve-Slow-Train-Analysis-(2080s-and-2083s)?_g=(refreshInterval:(display:Off,pause:!f,section:0,value:0),time:(from:'2017-02-14T11:56:44-0700',mode:absolute,to:'2017-02-14T14:00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2" s="188" t="str">
        <f t="shared" si="28"/>
        <v>Y</v>
      </c>
      <c r="X52" s="188">
        <f t="shared" si="36"/>
        <v>0</v>
      </c>
      <c r="Y52" s="62">
        <f t="shared" si="29"/>
        <v>8.6350999999999996</v>
      </c>
      <c r="Z52" s="62">
        <f t="shared" si="35"/>
        <v>8.6350999999999996</v>
      </c>
      <c r="AA52" s="62">
        <f t="shared" si="30"/>
        <v>0</v>
      </c>
      <c r="AB52" s="59" t="e">
        <f>VLOOKUP(A52,Enforcements!$C$7:$K$14,8,0)</f>
        <v>#N/A</v>
      </c>
      <c r="AC52" s="55" t="e">
        <f>VLOOKUP(A52,Enforcements!$C$7:$E$14,3,0)</f>
        <v>#N/A</v>
      </c>
      <c r="AD52" s="56" t="str">
        <f t="shared" si="31"/>
        <v>0166-14</v>
      </c>
      <c r="AE52" s="85" t="str">
        <f t="shared" si="32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52" s="82" t="str">
        <f t="shared" si="33"/>
        <v>"C:\Program Files (x86)\AstroGrep\AstroGrep.exe" /spath="%USERPROFILE%\AppData\Local\Temp\OnboardLogs" /stypes="app*4032*20170214*" /stext=" 20:.+((SYSTEM_STATE.+slice.+state.+changed )|(ment ac)|(multiple cpu faults)|(system.+state.+changed )|(\[timeout)|(PRM\|1\|D)|(kpr)|(kdp)|(\|lc)|(penalty)|(RTDC:00:00000204:00000036:00006526))" /e /r /s</v>
      </c>
      <c r="AG52" s="1" t="str">
        <f t="shared" si="34"/>
        <v>EC</v>
      </c>
      <c r="AH52" s="86" t="str">
        <f t="shared" si="19"/>
        <v>"%USERPROFILE%\Documents\GitHub\eaglep3\Utilities\RefineRTDCRunTimes.py" --tripid 166-14 --locoid 4032 --swversion DE.1.0.8.0 --startMP 204:86351 --initTime 2017-02-14T12:56:44 --startdatetime 2017-02-14T12:58:05 --delay 1 --endMP 204:86351 --enddatetime 2017-02-14T13:00:06 --enforcementcount 0 &gt;&gt;C:\Users\stu\Documents\GitHub\eaglep3-reporting\EC\2017-02-14-refined-times.txt</v>
      </c>
      <c r="AI52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ID","value":"166-14"},{"id":16,"name":"Locomotive ID","value":"4032"},{"id":130,"name":"Impact","value":""},{"id":150,"name":"Time of Event (Mountain Time)","value":"13:00:06"},{"id":151,"name":"Denver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1"/>
        <v>start /low /b %USERPROFILE%\Documents\GitHub\eaglep3\Utilities\DownloadLogsFromS3.py --loco 4032 --day 2017-02-14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560</v>
      </c>
      <c r="B53" s="7">
        <v>4044</v>
      </c>
      <c r="C53" s="21" t="s">
        <v>192</v>
      </c>
      <c r="D53" s="21" t="s">
        <v>689</v>
      </c>
      <c r="E53" s="13">
        <v>42780.504930555559</v>
      </c>
      <c r="F53" s="13">
        <v>42780.505902777775</v>
      </c>
      <c r="G53" s="7">
        <v>1</v>
      </c>
      <c r="H53" s="21" t="s">
        <v>669</v>
      </c>
      <c r="I53" s="13">
        <v>42780.523078703707</v>
      </c>
      <c r="J53" s="7">
        <v>0</v>
      </c>
      <c r="K53" s="98" t="str">
        <f t="shared" si="24"/>
        <v>4043/4044</v>
      </c>
      <c r="L53" s="21" t="str">
        <f>VLOOKUP(A53,'Trips&amp;Operators'!$C$1:$G$99999,5,FALSE)</f>
        <v>DAVIS MICHAEL</v>
      </c>
      <c r="M53" s="6">
        <f t="shared" si="25"/>
        <v>1.7175925931951497E-2</v>
      </c>
      <c r="N53" s="7">
        <f>24*60*SUM($M53:$M53)</f>
        <v>24.733333342010155</v>
      </c>
      <c r="O53" s="7"/>
      <c r="P53" s="7"/>
      <c r="Q53" s="22"/>
      <c r="R53" s="22"/>
      <c r="S53" s="31">
        <f t="shared" si="23"/>
        <v>1</v>
      </c>
      <c r="T53" s="46" t="str">
        <f t="shared" si="26"/>
        <v>NorthBound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10</v>
      </c>
      <c r="V53" s="187" t="str">
        <f t="shared" si="27"/>
        <v>https://d0f6bd738d7f1b3e5a7ca70fe4ff75f0.us-east-1.aws.found.io/app/kibana#/discover/Steve-Slow-Train-Analysis-(2080s-and-2083s)?_g=(refreshInterval:(display:Off,pause:!f,section:0,value:0),time:(from:'2017-02-14T11:07:06-0700',mode:absolute,to:'2017-02-14T13:33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188" t="str">
        <f t="shared" si="28"/>
        <v>N</v>
      </c>
      <c r="X53" s="188">
        <f t="shared" si="36"/>
        <v>1</v>
      </c>
      <c r="Y53" s="62">
        <f t="shared" si="29"/>
        <v>7.4399999999999994E-2</v>
      </c>
      <c r="Z53" s="62">
        <f t="shared" si="35"/>
        <v>8.6379000000000001</v>
      </c>
      <c r="AA53" s="62">
        <f t="shared" si="30"/>
        <v>8.5634999999999994</v>
      </c>
      <c r="AB53" s="59" t="e">
        <f>VLOOKUP(A53,Enforcements!$C$7:$K$14,8,0)</f>
        <v>#N/A</v>
      </c>
      <c r="AC53" s="55" t="e">
        <f>VLOOKUP(A53,Enforcements!$C$7:$E$14,3,0)</f>
        <v>#N/A</v>
      </c>
      <c r="AD53" s="56" t="str">
        <f t="shared" si="31"/>
        <v>0167-14</v>
      </c>
      <c r="AE53" s="85" t="str">
        <f t="shared" si="32"/>
        <v>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 &amp; 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</v>
      </c>
      <c r="AF53" s="82" t="str">
        <f t="shared" si="33"/>
        <v>"C:\Program Files (x86)\AstroGrep\AstroGrep.exe" /spath="%USERPROFILE%\AppData\Local\Temp\OnboardLogs" /stypes="app*4044*20170214*" /stext=" 19:.+((SYSTEM_STATE.+slice.+state.+changed )|(ment ac)|(multiple cpu faults)|(system.+state.+changed )|(\[timeout)|(PRM\|1\|D)|(kpr)|(kdp)|(\|lc)|(penalty)|(RTDC:00:00000204:00000036:00006526))" /e /r /s</v>
      </c>
      <c r="AG53" s="1" t="str">
        <f t="shared" si="34"/>
        <v>EC</v>
      </c>
      <c r="AH53" s="86" t="str">
        <f t="shared" si="19"/>
        <v>"%USERPROFILE%\Documents\GitHub\eaglep3\Utilities\RefineRTDCRunTimes.py" --tripid 167-14 --locoid 4044 --swversion DE.1.0.8.0 --startMP 204:744 --initTime 2017-02-14T12:07:06 --startdatetime 2017-02-14T12:08:30 --delay 1 --endMP 204:86379 --enddatetime 2017-02-14T12:33:14 --enforcementcount 0 &gt;&gt;C:\Users\stu\Documents\GitHub\eaglep3-reporting\EC\2017-02-14-refined-times.txt</v>
      </c>
      <c r="AI53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ID","value":"167-14"},{"id":16,"name":"Locomotive ID","value":"4044"},{"id":130,"name":"Impact","value":""},{"id":150,"name":"Time of Event (Mountain Time)","value":"12:33:14"},{"id":151,"name":"Denver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1"/>
        <v>start /low /b %USERPROFILE%\Documents\GitHub\eaglep3\Utilities\DownloadLogsFromS3.py --loco 4044 --day 2017-02-14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2017-02-14-UncaughtWiMAX.txt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570</v>
      </c>
      <c r="B54" s="7">
        <v>4008</v>
      </c>
      <c r="C54" s="21" t="s">
        <v>192</v>
      </c>
      <c r="D54" s="21" t="s">
        <v>690</v>
      </c>
      <c r="E54" s="13">
        <v>42780.5700462963</v>
      </c>
      <c r="F54" s="13">
        <v>42780.570659722223</v>
      </c>
      <c r="G54" s="7">
        <v>0</v>
      </c>
      <c r="H54" s="21" t="s">
        <v>457</v>
      </c>
      <c r="I54" s="13">
        <v>42780.581805555557</v>
      </c>
      <c r="J54" s="7">
        <v>0</v>
      </c>
      <c r="K54" s="98" t="str">
        <f t="shared" si="24"/>
        <v>4007/4008</v>
      </c>
      <c r="L54" s="21" t="str">
        <f>VLOOKUP(A54,'Trips&amp;Operators'!$C$1:$G$99999,5,FALSE)</f>
        <v>ROMERO CHAD</v>
      </c>
      <c r="M54" s="6">
        <f t="shared" si="25"/>
        <v>1.1145833334012423E-2</v>
      </c>
      <c r="N54" s="7"/>
      <c r="O54" s="7"/>
      <c r="P54" s="7">
        <f>24*60*SUM($M54:$M55)</f>
        <v>19.050000000279397</v>
      </c>
      <c r="Q54" s="22"/>
      <c r="R54" s="22" t="s">
        <v>862</v>
      </c>
      <c r="S54" s="31">
        <f>SUM(U54:U54)/IF(AG54="EC",10,1)</f>
        <v>0.9</v>
      </c>
      <c r="T54" s="46" t="str">
        <f t="shared" si="26"/>
        <v>Southbound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9</v>
      </c>
      <c r="V54" s="187" t="str">
        <f t="shared" si="27"/>
        <v>https://d0f6bd738d7f1b3e5a7ca70fe4ff75f0.us-east-1.aws.found.io/app/kibana#/discover/Steve-Slow-Train-Analysis-(2080s-and-2083s)?_g=(refreshInterval:(display:Off,pause:!f,section:0,value:0),time:(from:'2017-02-14T12:40:52-0700',mode:absolute,to:'2017-02-14T14:57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4" s="188" t="str">
        <f t="shared" si="28"/>
        <v>Y</v>
      </c>
      <c r="X54" s="188">
        <f t="shared" si="36"/>
        <v>3</v>
      </c>
      <c r="Y54" s="62">
        <f t="shared" si="29"/>
        <v>6.4076000000000004</v>
      </c>
      <c r="Z54" s="62">
        <f t="shared" si="35"/>
        <v>1.72E-2</v>
      </c>
      <c r="AA54" s="62">
        <f t="shared" si="30"/>
        <v>6.3904000000000005</v>
      </c>
      <c r="AB54" s="59" t="e">
        <f>VLOOKUP(A54,Enforcements!$C$7:$K$14,8,0)</f>
        <v>#N/A</v>
      </c>
      <c r="AC54" s="55" t="e">
        <f>VLOOKUP(A54,Enforcements!$C$7:$E$14,3,0)</f>
        <v>#N/A</v>
      </c>
      <c r="AD54" s="56" t="str">
        <f t="shared" si="31"/>
        <v>0170-14</v>
      </c>
      <c r="AE54" s="85" t="str">
        <f t="shared" si="32"/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AF54" s="82" t="str">
        <f t="shared" si="33"/>
        <v>"C:\Program Files (x86)\AstroGrep\AstroGrep.exe" /spath="%USERPROFILE%\AppData\Local\Temp\OnboardLogs" /stypes="app*4008*20170214*" /stext=" 20:.+((SYSTEM_STATE.+slice.+state.+changed )|(ment ac)|(multiple cpu faults)|(system.+state.+changed )|(\[timeout)|(PRM\|1\|D)|(kpr)|(kdp)|(\|lc)|(penalty)|(RTDC:00:00000204:00000036:00006526))" /e /r /s</v>
      </c>
      <c r="AG54" s="1" t="str">
        <f t="shared" si="34"/>
        <v>EC</v>
      </c>
      <c r="AH54" s="86" t="str">
        <f t="shared" si="19"/>
        <v>"%USERPROFILE%\Documents\GitHub\eaglep3\Utilities\RefineRTDCRunTimes.py" --tripid 170-14 --locoid 4008 --swversion DE.1.0.8.0 --startMP 204:64076 --initTime 2017-02-14T13:40:52 --startdatetime 2017-02-14T13:41:45 --delay 0 --endMP 204:172 --enddatetime 2017-02-14T13:57:48 --enforcementcount 0 &gt;&gt;C:\Users\stu\Documents\GitHub\eaglep3-reporting\EC\2017-02-14-refined-times.txt</v>
      </c>
      <c r="AI54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lock","project_id":79,"tracker_id":40,"status_id":1,"priority_id":2,"assigned_to_id":23,"start_date":"2017-02-14","description":"","custom_fields":[{"id":1,"name":"Subdivision","value":"EC"},{"id":4,"name":"Milepost","value":"0.0172"},{"id":17,"name":"Train ID","value":"170-14"},{"id":16,"name":"Locomotive ID","value":"4008"},{"id":130,"name":"Impact","value":""},{"id":150,"name":"Time of Event (Mountain Time)","value":"13:57:48"},{"id":151,"name":"Denver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1"/>
        <v>start /low /b %USERPROFILE%\Documents\GitHub\eaglep3\Utilities\DownloadLogsFromS3.py --loco 4008 --day 2017-02-14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2017-02-14-UncaughtWiMAX.txt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570</v>
      </c>
      <c r="B55" s="7">
        <v>4008</v>
      </c>
      <c r="C55" s="21" t="s">
        <v>192</v>
      </c>
      <c r="D55" s="21" t="s">
        <v>651</v>
      </c>
      <c r="E55" s="13">
        <v>42780.558518518519</v>
      </c>
      <c r="F55" s="13">
        <v>42780.559675925928</v>
      </c>
      <c r="G55" s="7">
        <v>1</v>
      </c>
      <c r="H55" s="21" t="s">
        <v>651</v>
      </c>
      <c r="I55" s="13">
        <v>42780.561759259261</v>
      </c>
      <c r="J55" s="7">
        <v>0</v>
      </c>
      <c r="K55" s="98" t="str">
        <f t="shared" si="24"/>
        <v>4007/4008</v>
      </c>
      <c r="L55" s="21" t="str">
        <f>VLOOKUP(A55,'Trips&amp;Operators'!$C$1:$G$99999,5,FALSE)</f>
        <v>ROMERO CHAD</v>
      </c>
      <c r="M55" s="6">
        <f t="shared" si="25"/>
        <v>2.0833333328482695E-3</v>
      </c>
      <c r="N55" s="7"/>
      <c r="O55" s="7"/>
      <c r="P55" s="7"/>
      <c r="Q55" s="22"/>
      <c r="R55" s="22"/>
      <c r="S55" s="31"/>
      <c r="T55" s="46" t="str">
        <f t="shared" si="26"/>
        <v>Southbound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0</v>
      </c>
      <c r="V55" s="187" t="str">
        <f t="shared" si="27"/>
        <v>https://d0f6bd738d7f1b3e5a7ca70fe4ff75f0.us-east-1.aws.found.io/app/kibana#/discover/Steve-Slow-Train-Analysis-(2080s-and-2083s)?_g=(refreshInterval:(display:Off,pause:!f,section:0,value:0),time:(from:'2017-02-14T12:24:16-0700',mode:absolute,to:'2017-02-14T14:28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5" s="188" t="str">
        <f t="shared" si="28"/>
        <v>Y</v>
      </c>
      <c r="X55" s="188">
        <f t="shared" si="36"/>
        <v>0</v>
      </c>
      <c r="Y55" s="62">
        <f t="shared" si="29"/>
        <v>8.6350999999999996</v>
      </c>
      <c r="Z55" s="62">
        <f t="shared" si="35"/>
        <v>8.6350999999999996</v>
      </c>
      <c r="AA55" s="62">
        <f t="shared" si="30"/>
        <v>0</v>
      </c>
      <c r="AB55" s="59" t="e">
        <f>VLOOKUP(A55,Enforcements!$C$7:$K$14,8,0)</f>
        <v>#N/A</v>
      </c>
      <c r="AC55" s="55" t="e">
        <f>VLOOKUP(A55,Enforcements!$C$7:$E$14,3,0)</f>
        <v>#N/A</v>
      </c>
      <c r="AD55" s="56" t="str">
        <f t="shared" si="31"/>
        <v>0170-14</v>
      </c>
      <c r="AE55" s="85" t="str">
        <f t="shared" si="32"/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AF55" s="82" t="str">
        <f t="shared" si="33"/>
        <v>"C:\Program Files (x86)\AstroGrep\AstroGrep.exe" /spath="%USERPROFILE%\AppData\Local\Temp\OnboardLogs" /stypes="app*4008*20170214*" /stext=" 20:.+((SYSTEM_STATE.+slice.+state.+changed )|(ment ac)|(multiple cpu faults)|(system.+state.+changed )|(\[timeout)|(PRM\|1\|D)|(kpr)|(kdp)|(\|lc)|(penalty)|(RTDC:00:00000204:00000036:00006526))" /e /r /s</v>
      </c>
      <c r="AG55" s="1" t="str">
        <f t="shared" si="34"/>
        <v>EC</v>
      </c>
      <c r="AH55" s="86" t="str">
        <f t="shared" si="19"/>
        <v>"%USERPROFILE%\Documents\GitHub\eaglep3\Utilities\RefineRTDCRunTimes.py" --tripid 170-14 --locoid 4008 --swversion DE.1.0.8.0 --startMP 204:86351 --initTime 2017-02-14T13:24:16 --startdatetime 2017-02-14T13:25:56 --delay 1 --endMP 204:86351 --enddatetime 2017-02-14T13:28:56 --enforcementcount 0 &gt;&gt;C:\Users\stu\Documents\GitHub\eaglep3-reporting\EC\2017-02-14-refined-times.txt</v>
      </c>
      <c r="AI55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ID","value":"170-14"},{"id":16,"name":"Locomotive ID","value":"4008"},{"id":130,"name":"Impact","value":""},{"id":150,"name":"Time of Event (Mountain Time)","value":"13:28:56"},{"id":151,"name":"Denver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1"/>
        <v>start /low /b %USERPROFILE%\Documents\GitHub\eaglep3\Utilities\DownloadLogsFromS3.py --loco 4008 --day 2017-02-14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2017-02-14-UncaughtWiMAX.txt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561</v>
      </c>
      <c r="B56" s="7">
        <v>4029</v>
      </c>
      <c r="C56" s="21" t="s">
        <v>192</v>
      </c>
      <c r="D56" s="21" t="s">
        <v>691</v>
      </c>
      <c r="E56" s="13">
        <v>42780.517627314817</v>
      </c>
      <c r="F56" s="13">
        <v>42780.518518518518</v>
      </c>
      <c r="G56" s="7">
        <v>1</v>
      </c>
      <c r="H56" s="21" t="s">
        <v>669</v>
      </c>
      <c r="I56" s="13">
        <v>42780.53733796296</v>
      </c>
      <c r="J56" s="7">
        <v>0</v>
      </c>
      <c r="K56" s="98" t="str">
        <f t="shared" si="24"/>
        <v>4029/4030</v>
      </c>
      <c r="L56" s="21" t="str">
        <f>VLOOKUP(A56,'Trips&amp;Operators'!$C$1:$G$99999,5,FALSE)</f>
        <v>CLARK KATHLEEN</v>
      </c>
      <c r="M56" s="6">
        <f t="shared" si="25"/>
        <v>1.8819444441760425E-2</v>
      </c>
      <c r="N56" s="7">
        <f>24*60*SUM($M56:$M56)</f>
        <v>27.099999996135011</v>
      </c>
      <c r="O56" s="7"/>
      <c r="P56" s="7"/>
      <c r="Q56" s="22"/>
      <c r="R56" s="22"/>
      <c r="S56" s="31">
        <f t="shared" si="23"/>
        <v>1</v>
      </c>
      <c r="T56" s="46" t="str">
        <f t="shared" si="26"/>
        <v>NorthBound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10</v>
      </c>
      <c r="V56" s="187" t="str">
        <f t="shared" si="27"/>
        <v>https://d0f6bd738d7f1b3e5a7ca70fe4ff75f0.us-east-1.aws.found.io/app/kibana#/discover/Steve-Slow-Train-Analysis-(2080s-and-2083s)?_g=(refreshInterval:(display:Off,pause:!f,section:0,value:0),time:(from:'2017-02-14T11:25:23-0700',mode:absolute,to:'2017-02-14T13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188" t="str">
        <f t="shared" si="28"/>
        <v>N</v>
      </c>
      <c r="X56" s="188">
        <f t="shared" si="36"/>
        <v>1</v>
      </c>
      <c r="Y56" s="62">
        <f t="shared" si="29"/>
        <v>7.0599999999999996E-2</v>
      </c>
      <c r="Z56" s="62">
        <f t="shared" si="35"/>
        <v>8.6379000000000001</v>
      </c>
      <c r="AA56" s="62">
        <f t="shared" si="30"/>
        <v>8.5672999999999995</v>
      </c>
      <c r="AB56" s="59" t="e">
        <f>VLOOKUP(A56,Enforcements!$C$7:$K$14,8,0)</f>
        <v>#N/A</v>
      </c>
      <c r="AC56" s="55" t="e">
        <f>VLOOKUP(A56,Enforcements!$C$7:$E$14,3,0)</f>
        <v>#N/A</v>
      </c>
      <c r="AD56" s="56" t="str">
        <f t="shared" si="31"/>
        <v>0171-14</v>
      </c>
      <c r="AE56" s="85" t="str">
        <f t="shared" si="32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56" s="82" t="str">
        <f t="shared" si="33"/>
        <v>"C:\Program Files (x86)\AstroGrep\AstroGrep.exe" /spath="%USERPROFILE%\AppData\Local\Temp\OnboardLogs" /stypes="app*4029*20170214*" /stext=" 19:.+((SYSTEM_STATE.+slice.+state.+changed )|(ment ac)|(multiple cpu faults)|(system.+state.+changed )|(\[timeout)|(PRM\|1\|D)|(kpr)|(kdp)|(\|lc)|(penalty)|(RTDC:00:00000204:00000036:00006526))" /e /r /s</v>
      </c>
      <c r="AG56" s="1" t="str">
        <f t="shared" si="34"/>
        <v>EC</v>
      </c>
      <c r="AH56" s="86" t="str">
        <f t="shared" si="19"/>
        <v>"%USERPROFILE%\Documents\GitHub\eaglep3\Utilities\RefineRTDCRunTimes.py" --tripid 171-14 --locoid 4029 --swversion DE.1.0.8.0 --startMP 204:706 --initTime 2017-02-14T12:25:23 --startdatetime 2017-02-14T12:26:40 --delay 1 --endMP 204:86379 --enddatetime 2017-02-14T12:53:46 --enforcementcount 0 &gt;&gt;C:\Users\stu\Documents\GitHub\eaglep3-reporting\EC\2017-02-14-refined-times.txt</v>
      </c>
      <c r="AI56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ID","value":"171-14"},{"id":16,"name":"Locomotive ID","value":"4029"},{"id":130,"name":"Impact","value":""},{"id":150,"name":"Time of Event (Mountain Time)","value":"12:53:46"},{"id":151,"name":"Denver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1"/>
        <v>start /low /b %USERPROFILE%\Documents\GitHub\eaglep3\Utilities\DownloadLogsFromS3.py --loco 4029 --day 2017-02-14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2017-02-14-UncaughtWiMAX.txt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573</v>
      </c>
      <c r="B57" s="7">
        <v>4019</v>
      </c>
      <c r="C57" s="21" t="s">
        <v>192</v>
      </c>
      <c r="D57" s="21" t="s">
        <v>692</v>
      </c>
      <c r="E57" s="13">
        <v>42780.590208333335</v>
      </c>
      <c r="F57" s="13">
        <v>42780.590810185182</v>
      </c>
      <c r="G57" s="7">
        <v>0</v>
      </c>
      <c r="H57" s="21" t="s">
        <v>207</v>
      </c>
      <c r="I57" s="13">
        <v>42780.602881944447</v>
      </c>
      <c r="J57" s="7">
        <v>0</v>
      </c>
      <c r="K57" s="98" t="str">
        <f t="shared" si="24"/>
        <v>4019/4020</v>
      </c>
      <c r="L57" s="21" t="str">
        <f>VLOOKUP(A57,'Trips&amp;Operators'!$C$1:$G$99999,5,FALSE)</f>
        <v>SWANSON BRYCE</v>
      </c>
      <c r="M57" s="6">
        <f t="shared" si="25"/>
        <v>1.2071759265381843E-2</v>
      </c>
      <c r="N57" s="7"/>
      <c r="O57" s="7"/>
      <c r="P57" s="7">
        <f>24*60*SUM($M57:$M58)</f>
        <v>22.383333337493241</v>
      </c>
      <c r="Q57" s="22"/>
      <c r="R57" s="22" t="s">
        <v>862</v>
      </c>
      <c r="S57" s="31">
        <f>SUM(U57:U57)/IF(AG57="EC",10,1)</f>
        <v>0.9</v>
      </c>
      <c r="T57" s="46" t="str">
        <f t="shared" si="26"/>
        <v>Southbound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9</v>
      </c>
      <c r="V57" s="187" t="str">
        <f t="shared" si="27"/>
        <v>https://d0f6bd738d7f1b3e5a7ca70fe4ff75f0.us-east-1.aws.found.io/app/kibana#/discover/Steve-Slow-Train-Analysis-(2080s-and-2083s)?_g=(refreshInterval:(display:Off,pause:!f,section:0,value:0),time:(from:'2017-02-14T13:09:54-0700',mode:absolute,to:'2017-02-14T15:28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7" s="188" t="str">
        <f t="shared" si="28"/>
        <v>Y</v>
      </c>
      <c r="X57" s="188">
        <f t="shared" si="36"/>
        <v>3</v>
      </c>
      <c r="Y57" s="62">
        <f t="shared" si="29"/>
        <v>6.4119000000000002</v>
      </c>
      <c r="Z57" s="62">
        <f t="shared" si="35"/>
        <v>1.52E-2</v>
      </c>
      <c r="AA57" s="62">
        <f t="shared" si="30"/>
        <v>6.3967000000000001</v>
      </c>
      <c r="AB57" s="59" t="e">
        <f>VLOOKUP(A57,Enforcements!$C$7:$K$14,8,0)</f>
        <v>#N/A</v>
      </c>
      <c r="AC57" s="55" t="e">
        <f>VLOOKUP(A57,Enforcements!$C$7:$E$14,3,0)</f>
        <v>#N/A</v>
      </c>
      <c r="AD57" s="56" t="str">
        <f t="shared" si="31"/>
        <v>0174-14</v>
      </c>
      <c r="AE57" s="85" t="str">
        <f t="shared" si="32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57" s="82" t="str">
        <f t="shared" si="33"/>
        <v>"C:\Program Files (x86)\AstroGrep\AstroGrep.exe" /spath="%USERPROFILE%\AppData\Local\Temp\OnboardLogs" /stypes="app*4019*20170214*" /stext=" 21:.+((SYSTEM_STATE.+slice.+state.+changed )|(ment ac)|(multiple cpu faults)|(system.+state.+changed )|(\[timeout)|(PRM\|1\|D)|(kpr)|(kdp)|(\|lc)|(penalty)|(RTDC:00:00000204:00000036:00006526))" /e /r /s</v>
      </c>
      <c r="AG57" s="1" t="str">
        <f t="shared" si="34"/>
        <v>EC</v>
      </c>
      <c r="AH57" s="86" t="str">
        <f t="shared" si="19"/>
        <v>"%USERPROFILE%\Documents\GitHub\eaglep3\Utilities\RefineRTDCRunTimes.py" --tripid 174-14 --locoid 4019 --swversion DE.1.0.8.0 --startMP 204:64119 --initTime 2017-02-14T14:09:54 --startdatetime 2017-02-14T14:10:46 --delay 0 --endMP 204:152 --enddatetime 2017-02-14T14:28:09 --enforcementcount 0 &gt;&gt;C:\Users\stu\Documents\GitHub\eaglep3-reporting\EC\2017-02-14-refined-times.txt</v>
      </c>
      <c r="AI57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lock","project_id":79,"tracker_id":40,"status_id":1,"priority_id":2,"assigned_to_id":23,"start_date":"2017-02-14","description":"","custom_fields":[{"id":1,"name":"Subdivision","value":"EC"},{"id":4,"name":"Milepost","value":"0.0152"},{"id":17,"name":"Train ID","value":"174-14"},{"id":16,"name":"Locomotive ID","value":"4019"},{"id":130,"name":"Impact","value":""},{"id":150,"name":"Time of Event (Mountain Time)","value":"14:28:09"},{"id":151,"name":"Denver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1"/>
        <v>start /low /b %USERPROFILE%\Documents\GitHub\eaglep3\Utilities\DownloadLogsFromS3.py --loco 4019 --day 2017-02-14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2017-02-14-UncaughtWiMAX.txt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573</v>
      </c>
      <c r="B58" s="7">
        <v>4019</v>
      </c>
      <c r="C58" s="21" t="s">
        <v>192</v>
      </c>
      <c r="D58" s="21" t="s">
        <v>651</v>
      </c>
      <c r="E58" s="13">
        <v>42780.574756944443</v>
      </c>
      <c r="F58" s="13">
        <v>42780.575486111113</v>
      </c>
      <c r="G58" s="7">
        <v>1</v>
      </c>
      <c r="H58" s="21" t="s">
        <v>651</v>
      </c>
      <c r="I58" s="13">
        <v>42780.578958333332</v>
      </c>
      <c r="J58" s="7">
        <v>0</v>
      </c>
      <c r="K58" s="98" t="str">
        <f t="shared" si="24"/>
        <v>4019/4020</v>
      </c>
      <c r="L58" s="21" t="str">
        <f>VLOOKUP(A58,'Trips&amp;Operators'!$C$1:$G$99999,5,FALSE)</f>
        <v>SWANSON BRYCE</v>
      </c>
      <c r="M58" s="6">
        <f t="shared" si="25"/>
        <v>3.4722222189884633E-3</v>
      </c>
      <c r="N58" s="7"/>
      <c r="O58" s="7"/>
      <c r="P58" s="7"/>
      <c r="Q58" s="22"/>
      <c r="R58" s="22"/>
      <c r="S58" s="31"/>
      <c r="T58" s="46" t="str">
        <f t="shared" si="26"/>
        <v>Southbound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0</v>
      </c>
      <c r="V58" s="187" t="str">
        <f t="shared" si="27"/>
        <v>https://d0f6bd738d7f1b3e5a7ca70fe4ff75f0.us-east-1.aws.found.io/app/kibana#/discover/Steve-Slow-Train-Analysis-(2080s-and-2083s)?_g=(refreshInterval:(display:Off,pause:!f,section:0,value:0),time:(from:'2017-02-14T12:47:39-0700',mode:absolute,to:'2017-02-14T14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188" t="str">
        <f t="shared" si="28"/>
        <v>Y</v>
      </c>
      <c r="X58" s="188">
        <f t="shared" si="36"/>
        <v>0</v>
      </c>
      <c r="Y58" s="62">
        <f t="shared" si="29"/>
        <v>8.6350999999999996</v>
      </c>
      <c r="Z58" s="62">
        <f t="shared" si="35"/>
        <v>8.6350999999999996</v>
      </c>
      <c r="AA58" s="62">
        <f t="shared" si="30"/>
        <v>0</v>
      </c>
      <c r="AB58" s="59" t="e">
        <f>VLOOKUP(A58,Enforcements!$C$7:$K$14,8,0)</f>
        <v>#N/A</v>
      </c>
      <c r="AC58" s="55" t="e">
        <f>VLOOKUP(A58,Enforcements!$C$7:$E$14,3,0)</f>
        <v>#N/A</v>
      </c>
      <c r="AD58" s="56" t="str">
        <f t="shared" si="31"/>
        <v>0174-14</v>
      </c>
      <c r="AE58" s="85" t="str">
        <f t="shared" si="32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58" s="82" t="str">
        <f t="shared" si="33"/>
        <v>"C:\Program Files (x86)\AstroGrep\AstroGrep.exe" /spath="%USERPROFILE%\AppData\Local\Temp\OnboardLogs" /stypes="app*4019*20170214*" /stext=" 20:.+((SYSTEM_STATE.+slice.+state.+changed )|(ment ac)|(multiple cpu faults)|(system.+state.+changed )|(\[timeout)|(PRM\|1\|D)|(kpr)|(kdp)|(\|lc)|(penalty)|(RTDC:00:00000204:00000036:00006526))" /e /r /s</v>
      </c>
      <c r="AG58" s="1" t="str">
        <f t="shared" si="34"/>
        <v>EC</v>
      </c>
      <c r="AH58" s="86" t="str">
        <f t="shared" si="19"/>
        <v>"%USERPROFILE%\Documents\GitHub\eaglep3\Utilities\RefineRTDCRunTimes.py" --tripid 174-14 --locoid 4019 --swversion DE.1.0.8.0 --startMP 204:86351 --initTime 2017-02-14T13:47:39 --startdatetime 2017-02-14T13:48:42 --delay 1 --endMP 204:86351 --enddatetime 2017-02-14T13:53:42 --enforcementcount 0 &gt;&gt;C:\Users\stu\Documents\GitHub\eaglep3-reporting\EC\2017-02-14-refined-times.txt</v>
      </c>
      <c r="AI58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ID","value":"174-14"},{"id":16,"name":"Locomotive ID","value":"4019"},{"id":130,"name":"Impact","value":""},{"id":150,"name":"Time of Event (Mountain Time)","value":"13:53:42"},{"id":151,"name":"Denver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1"/>
        <v>start /low /b %USERPROFILE%\Documents\GitHub\eaglep3\Utilities\DownloadLogsFromS3.py --loco 4019 --day 2017-02-14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2017-02-14-UncaughtWiMAX.txt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564</v>
      </c>
      <c r="B59" s="7">
        <v>4040</v>
      </c>
      <c r="C59" s="21" t="s">
        <v>192</v>
      </c>
      <c r="D59" s="21" t="s">
        <v>693</v>
      </c>
      <c r="E59" s="13">
        <v>42780.540416666663</v>
      </c>
      <c r="F59" s="13">
        <v>42780.541331018518</v>
      </c>
      <c r="G59" s="7">
        <v>1</v>
      </c>
      <c r="H59" s="21" t="s">
        <v>669</v>
      </c>
      <c r="I59" s="13">
        <v>42780.557002314818</v>
      </c>
      <c r="J59" s="7">
        <v>0</v>
      </c>
      <c r="K59" s="98" t="str">
        <f t="shared" si="24"/>
        <v>4039/4040</v>
      </c>
      <c r="L59" s="21" t="str">
        <f>VLOOKUP(A59,'Trips&amp;Operators'!$C$1:$G$99999,5,FALSE)</f>
        <v>CRAYTON QUNTRELL</v>
      </c>
      <c r="M59" s="6">
        <f t="shared" si="25"/>
        <v>1.5671296299842652E-2</v>
      </c>
      <c r="N59" s="7">
        <f>24*60*SUM($M59:$M59)</f>
        <v>22.566666671773419</v>
      </c>
      <c r="O59" s="7"/>
      <c r="P59" s="7"/>
      <c r="Q59" s="22"/>
      <c r="R59" s="22"/>
      <c r="S59" s="31">
        <f t="shared" si="23"/>
        <v>1</v>
      </c>
      <c r="T59" s="46" t="str">
        <f t="shared" si="26"/>
        <v>NorthBound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10</v>
      </c>
      <c r="V59" s="187" t="str">
        <f t="shared" si="27"/>
        <v>https://d0f6bd738d7f1b3e5a7ca70fe4ff75f0.us-east-1.aws.found.io/app/kibana#/discover/Steve-Slow-Train-Analysis-(2080s-and-2083s)?_g=(refreshInterval:(display:Off,pause:!f,section:0,value:0),time:(from:'2017-02-14T11:58:12-0700',mode:absolute,to:'2017-02-14T14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188" t="str">
        <f t="shared" si="28"/>
        <v>N</v>
      </c>
      <c r="X59" s="188">
        <f t="shared" si="36"/>
        <v>1</v>
      </c>
      <c r="Y59" s="62">
        <f t="shared" si="29"/>
        <v>7.4800000000000005E-2</v>
      </c>
      <c r="Z59" s="62">
        <f t="shared" si="35"/>
        <v>8.6379000000000001</v>
      </c>
      <c r="AA59" s="62">
        <f t="shared" si="30"/>
        <v>8.5631000000000004</v>
      </c>
      <c r="AB59" s="59" t="e">
        <f>VLOOKUP(A59,Enforcements!$C$7:$K$14,8,0)</f>
        <v>#N/A</v>
      </c>
      <c r="AC59" s="55" t="e">
        <f>VLOOKUP(A59,Enforcements!$C$7:$E$14,3,0)</f>
        <v>#N/A</v>
      </c>
      <c r="AD59" s="56" t="str">
        <f t="shared" si="31"/>
        <v>0175-14</v>
      </c>
      <c r="AE59" s="85" t="str">
        <f t="shared" si="32"/>
        <v>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 &amp; aws s3 cp s3://rtdc.mdm.uploadarchive.raw/RTDC4040/ "%USERPROFILE%\AppData\Local\Temp\OnboardLogs"\RTDC4040\2017-02-15 --exclude "*" --recursive --include "*20170215*" &amp; "%USERPROFILE%\Documents\GitHub\mrs-test-scripts\Headless Mode &amp; Sideloading\WalkAndUnGZ.bat" "%USERPROFILE%\AppData\Local\Temp\OnboardLogs"\RTDC4040\2017-02-15</v>
      </c>
      <c r="AF59" s="82" t="str">
        <f t="shared" si="33"/>
        <v>"C:\Program Files (x86)\AstroGrep\AstroGrep.exe" /spath="%USERPROFILE%\AppData\Local\Temp\OnboardLogs" /stypes="app*4040*20170214*" /stext=" 20:.+((SYSTEM_STATE.+slice.+state.+changed )|(ment ac)|(multiple cpu faults)|(system.+state.+changed )|(\[timeout)|(PRM\|1\|D)|(kpr)|(kdp)|(\|lc)|(penalty)|(RTDC:00:00000204:00000036:00006526))" /e /r /s</v>
      </c>
      <c r="AG59" s="1" t="str">
        <f t="shared" si="34"/>
        <v>EC</v>
      </c>
      <c r="AH59" s="86" t="str">
        <f t="shared" si="19"/>
        <v>"%USERPROFILE%\Documents\GitHub\eaglep3\Utilities\RefineRTDCRunTimes.py" --tripid 175-14 --locoid 4040 --swversion DE.1.0.8.0 --startMP 204:748 --initTime 2017-02-14T12:58:12 --startdatetime 2017-02-14T12:59:31 --delay 1 --endMP 204:86379 --enddatetime 2017-02-14T13:22:05 --enforcementcount 0 &gt;&gt;C:\Users\stu\Documents\GitHub\eaglep3-reporting\EC\2017-02-14-refined-times.txt</v>
      </c>
      <c r="AI59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ID","value":"175-14"},{"id":16,"name":"Locomotive ID","value":"4040"},{"id":130,"name":"Impact","value":""},{"id":150,"name":"Time of Event (Mountain Time)","value":"13:22:05"},{"id":151,"name":"Denver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1"/>
        <v>start /low /b %USERPROFILE%\Documents\GitHub\eaglep3\Utilities\DownloadLogsFromS3.py --loco 4040 --day 2017-02-14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"%USERPROFILE%\AppData\Local\Temp\OnboardLogs"\RTDC4040\*4040*20170214* | grep -SE "(Enforcement Action)|(\[TIMEOUT)|(CHR.+\|PRM\|1\|D.+(SWITCH|SIGNAL).+UNKNOWN)" - &gt;&gt; 2017-02-14-UncaughtWiMAX.txt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576</v>
      </c>
      <c r="B60" s="7">
        <v>4032</v>
      </c>
      <c r="C60" s="21" t="s">
        <v>192</v>
      </c>
      <c r="D60" s="21" t="s">
        <v>694</v>
      </c>
      <c r="E60" s="13">
        <v>42780.601631944446</v>
      </c>
      <c r="F60" s="13">
        <v>42780.602511574078</v>
      </c>
      <c r="G60" s="7">
        <v>1</v>
      </c>
      <c r="H60" s="21" t="s">
        <v>695</v>
      </c>
      <c r="I60" s="13">
        <v>42780.613819444443</v>
      </c>
      <c r="J60" s="7">
        <v>0</v>
      </c>
      <c r="K60" s="98" t="str">
        <f t="shared" si="24"/>
        <v>4031/4032</v>
      </c>
      <c r="L60" s="21" t="str">
        <f>VLOOKUP(A60,'Trips&amp;Operators'!$C$1:$G$99999,5,FALSE)</f>
        <v>STEWART MICHAEL</v>
      </c>
      <c r="M60" s="6">
        <f t="shared" si="25"/>
        <v>1.130787036527181E-2</v>
      </c>
      <c r="N60" s="7"/>
      <c r="O60" s="7"/>
      <c r="P60" s="7">
        <f>24*60*SUM($M60:$M60)</f>
        <v>16.283333325991407</v>
      </c>
      <c r="Q60" s="22"/>
      <c r="R60" s="22" t="s">
        <v>862</v>
      </c>
      <c r="S60" s="31">
        <f t="shared" si="23"/>
        <v>0.9</v>
      </c>
      <c r="T60" s="46" t="str">
        <f t="shared" si="26"/>
        <v>Southbound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9</v>
      </c>
      <c r="V60" s="187" t="str">
        <f t="shared" si="27"/>
        <v>https://d0f6bd738d7f1b3e5a7ca70fe4ff75f0.us-east-1.aws.found.io/app/kibana#/discover/Steve-Slow-Train-Analysis-(2080s-and-2083s)?_g=(refreshInterval:(display:Off,pause:!f,section:0,value:0),time:(from:'2017-02-14T13:26:21-0700',mode:absolute,to:'2017-02-14T15:43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0" s="188" t="str">
        <f t="shared" si="28"/>
        <v>Y</v>
      </c>
      <c r="X60" s="188">
        <f t="shared" si="36"/>
        <v>1</v>
      </c>
      <c r="Y60" s="62">
        <f t="shared" si="29"/>
        <v>6.4088000000000003</v>
      </c>
      <c r="Z60" s="62">
        <f t="shared" si="35"/>
        <v>0.1694</v>
      </c>
      <c r="AA60" s="62">
        <f t="shared" si="30"/>
        <v>6.2393999999999998</v>
      </c>
      <c r="AB60" s="59" t="e">
        <f>VLOOKUP(A60,Enforcements!$C$7:$K$14,8,0)</f>
        <v>#N/A</v>
      </c>
      <c r="AC60" s="55" t="e">
        <f>VLOOKUP(A60,Enforcements!$C$7:$E$14,3,0)</f>
        <v>#N/A</v>
      </c>
      <c r="AD60" s="56" t="str">
        <f t="shared" si="31"/>
        <v>0176-14</v>
      </c>
      <c r="AE60" s="85" t="str">
        <f t="shared" si="32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60" s="82" t="str">
        <f t="shared" si="33"/>
        <v>"C:\Program Files (x86)\AstroGrep\AstroGrep.exe" /spath="%USERPROFILE%\AppData\Local\Temp\OnboardLogs" /stypes="app*4032*20170214*" /stext=" 21:.+((SYSTEM_STATE.+slice.+state.+changed )|(ment ac)|(multiple cpu faults)|(system.+state.+changed )|(\[timeout)|(PRM\|1\|D)|(kpr)|(kdp)|(\|lc)|(penalty)|(RTDC:00:00000204:00000036:00006526))" /e /r /s</v>
      </c>
      <c r="AG60" s="1" t="str">
        <f t="shared" si="34"/>
        <v>EC</v>
      </c>
      <c r="AH60" s="86" t="str">
        <f t="shared" si="19"/>
        <v>"%USERPROFILE%\Documents\GitHub\eaglep3\Utilities\RefineRTDCRunTimes.py" --tripid 176-14 --locoid 4032 --swversion DE.1.0.8.0 --startMP 204:64088 --initTime 2017-02-14T14:26:21 --startdatetime 2017-02-14T14:27:37 --delay 1 --endMP 204:1694 --enddatetime 2017-02-14T14:43:54 --enforcementcount 0 &gt;&gt;C:\Users\stu\Documents\GitHub\eaglep3-reporting\EC\2017-02-14-refined-times.txt</v>
      </c>
      <c r="AI60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lock","project_id":79,"tracker_id":40,"status_id":1,"priority_id":2,"assigned_to_id":23,"start_date":"2017-02-14","description":"","custom_fields":[{"id":1,"name":"Subdivision","value":"EC"},{"id":4,"name":"Milepost","value":"0.1694"},{"id":17,"name":"Train ID","value":"176-14"},{"id":16,"name":"Locomotive ID","value":"4032"},{"id":130,"name":"Impact","value":""},{"id":150,"name":"Time of Event (Mountain Time)","value":"14:43:54"},{"id":151,"name":"Denver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1"/>
        <v>start /low /b %USERPROFILE%\Documents\GitHub\eaglep3\Utilities\DownloadLogsFromS3.py --loco 4032 --day 2017-02-14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567</v>
      </c>
      <c r="B61" s="7">
        <v>4044</v>
      </c>
      <c r="C61" s="21" t="s">
        <v>192</v>
      </c>
      <c r="D61" s="21" t="s">
        <v>696</v>
      </c>
      <c r="E61" s="13">
        <v>42780.554571759261</v>
      </c>
      <c r="F61" s="13">
        <v>42780.555949074071</v>
      </c>
      <c r="G61" s="7">
        <v>1</v>
      </c>
      <c r="H61" s="21" t="s">
        <v>669</v>
      </c>
      <c r="I61" s="13">
        <v>42780.57136574074</v>
      </c>
      <c r="J61" s="7">
        <v>0</v>
      </c>
      <c r="K61" s="98" t="str">
        <f t="shared" si="24"/>
        <v>4043/4044</v>
      </c>
      <c r="L61" s="21" t="str">
        <f>VLOOKUP(A61,'Trips&amp;Operators'!$C$1:$G$99999,5,FALSE)</f>
        <v>BRANNON JEFFREY</v>
      </c>
      <c r="M61" s="6">
        <f t="shared" si="25"/>
        <v>1.541666666889796E-2</v>
      </c>
      <c r="N61" s="7">
        <f>24*60*SUM($M61:$M61)</f>
        <v>22.200000003213063</v>
      </c>
      <c r="O61" s="7"/>
      <c r="P61" s="7"/>
      <c r="Q61" s="22"/>
      <c r="R61" s="22"/>
      <c r="S61" s="31">
        <f t="shared" si="23"/>
        <v>1</v>
      </c>
      <c r="T61" s="46" t="str">
        <f t="shared" si="26"/>
        <v>NorthBound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10</v>
      </c>
      <c r="V61" s="187" t="str">
        <f t="shared" si="27"/>
        <v>https://d0f6bd738d7f1b3e5a7ca70fe4ff75f0.us-east-1.aws.found.io/app/kibana#/discover/Steve-Slow-Train-Analysis-(2080s-and-2083s)?_g=(refreshInterval:(display:Off,pause:!f,section:0,value:0),time:(from:'2017-02-14T12:18:35-0700',mode:absolute,to:'2017-02-14T14:42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188" t="str">
        <f t="shared" si="28"/>
        <v>N</v>
      </c>
      <c r="X61" s="188">
        <f t="shared" si="36"/>
        <v>1</v>
      </c>
      <c r="Y61" s="62">
        <f t="shared" si="29"/>
        <v>7.8299999999999995E-2</v>
      </c>
      <c r="Z61" s="62">
        <f t="shared" si="35"/>
        <v>8.6379000000000001</v>
      </c>
      <c r="AA61" s="62">
        <f t="shared" si="30"/>
        <v>8.5595999999999997</v>
      </c>
      <c r="AB61" s="59" t="e">
        <f>VLOOKUP(A61,Enforcements!$C$7:$K$14,8,0)</f>
        <v>#N/A</v>
      </c>
      <c r="AC61" s="55" t="e">
        <f>VLOOKUP(A61,Enforcements!$C$7:$E$14,3,0)</f>
        <v>#N/A</v>
      </c>
      <c r="AD61" s="56" t="str">
        <f t="shared" si="31"/>
        <v>0177-14</v>
      </c>
      <c r="AE61" s="85" t="str">
        <f t="shared" si="32"/>
        <v>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 &amp; 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</v>
      </c>
      <c r="AF61" s="82" t="str">
        <f t="shared" si="33"/>
        <v>"C:\Program Files (x86)\AstroGrep\AstroGrep.exe" /spath="%USERPROFILE%\AppData\Local\Temp\OnboardLogs" /stypes="app*4044*20170214*" /stext=" 20:.+((SYSTEM_STATE.+slice.+state.+changed )|(ment ac)|(multiple cpu faults)|(system.+state.+changed )|(\[timeout)|(PRM\|1\|D)|(kpr)|(kdp)|(\|lc)|(penalty)|(RTDC:00:00000204:00000036:00006526))" /e /r /s</v>
      </c>
      <c r="AG61" s="1" t="str">
        <f t="shared" si="34"/>
        <v>EC</v>
      </c>
      <c r="AH61" s="86" t="str">
        <f t="shared" si="19"/>
        <v>"%USERPROFILE%\Documents\GitHub\eaglep3\Utilities\RefineRTDCRunTimes.py" --tripid 177-14 --locoid 4044 --swversion DE.1.0.8.0 --startMP 204:783 --initTime 2017-02-14T13:18:35 --startdatetime 2017-02-14T13:20:34 --delay 1 --endMP 204:86379 --enddatetime 2017-02-14T13:42:46 --enforcementcount 0 &gt;&gt;C:\Users\stu\Documents\GitHub\eaglep3-reporting\EC\2017-02-14-refined-times.txt</v>
      </c>
      <c r="AI61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ID","value":"177-14"},{"id":16,"name":"Locomotive ID","value":"4044"},{"id":130,"name":"Impact","value":""},{"id":150,"name":"Time of Event (Mountain Time)","value":"13:42:46"},{"id":151,"name":"Denver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1"/>
        <v>start /low /b %USERPROFILE%\Documents\GitHub\eaglep3\Utilities\DownloadLogsFromS3.py --loco 4044 --day 2017-02-14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2017-02-14-UncaughtWiMAX.txt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487</v>
      </c>
      <c r="B62" s="7">
        <v>4008</v>
      </c>
      <c r="C62" s="21" t="s">
        <v>192</v>
      </c>
      <c r="D62" s="21" t="s">
        <v>697</v>
      </c>
      <c r="E62" s="13">
        <v>42780.622997685183</v>
      </c>
      <c r="F62" s="13">
        <v>42780.623657407406</v>
      </c>
      <c r="G62" s="7">
        <v>0</v>
      </c>
      <c r="H62" s="21" t="s">
        <v>698</v>
      </c>
      <c r="I62" s="13">
        <v>42780.636689814812</v>
      </c>
      <c r="J62" s="7">
        <v>0</v>
      </c>
      <c r="K62" s="98" t="str">
        <f t="shared" si="24"/>
        <v>4007/4008</v>
      </c>
      <c r="L62" s="21" t="str">
        <f>VLOOKUP(A62,'Trips&amp;Operators'!$C$1:$G$99999,5,FALSE)</f>
        <v>LEVERE CRAIG</v>
      </c>
      <c r="M62" s="6">
        <f t="shared" si="25"/>
        <v>1.3032407405262347E-2</v>
      </c>
      <c r="N62" s="7"/>
      <c r="O62" s="7"/>
      <c r="P62" s="7">
        <f>24*60*SUM($M62:$M62)</f>
        <v>18.76666666357778</v>
      </c>
      <c r="Q62" s="22"/>
      <c r="R62" s="22" t="s">
        <v>862</v>
      </c>
      <c r="S62" s="31">
        <f t="shared" ref="S62" si="37">SUM(U62:U62)/IF(AG62="EC",10,1)</f>
        <v>0.9</v>
      </c>
      <c r="T62" s="46" t="str">
        <f t="shared" si="26"/>
        <v>Southbound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9</v>
      </c>
      <c r="V62" s="187" t="str">
        <f t="shared" si="27"/>
        <v>https://d0f6bd738d7f1b3e5a7ca70fe4ff75f0.us-east-1.aws.found.io/app/kibana#/discover/Steve-Slow-Train-Analysis-(2080s-and-2083s)?_g=(refreshInterval:(display:Off,pause:!f,section:0,value:0),time:(from:'2017-02-14T13:57:07-0700',mode:absolute,to:'2017-02-14T16:16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2" s="188" t="str">
        <f t="shared" si="28"/>
        <v>Y</v>
      </c>
      <c r="X62" s="188">
        <f t="shared" si="36"/>
        <v>3</v>
      </c>
      <c r="Y62" s="62">
        <f t="shared" si="29"/>
        <v>6.4107000000000003</v>
      </c>
      <c r="Z62" s="62">
        <f t="shared" si="35"/>
        <v>8.7599999999999997E-2</v>
      </c>
      <c r="AA62" s="62">
        <f t="shared" si="30"/>
        <v>6.3231000000000002</v>
      </c>
      <c r="AB62" s="59" t="e">
        <f>VLOOKUP(A62,Enforcements!$C$7:$K$14,8,0)</f>
        <v>#N/A</v>
      </c>
      <c r="AC62" s="55" t="e">
        <f>VLOOKUP(A62,Enforcements!$C$7:$E$14,3,0)</f>
        <v>#N/A</v>
      </c>
      <c r="AD62" s="56" t="str">
        <f t="shared" si="31"/>
        <v>0180-14</v>
      </c>
      <c r="AE62" s="85" t="str">
        <f t="shared" si="32"/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AF62" s="82" t="str">
        <f t="shared" si="33"/>
        <v>"C:\Program Files (x86)\AstroGrep\AstroGrep.exe" /spath="%USERPROFILE%\AppData\Local\Temp\OnboardLogs" /stypes="app*4008*20170214*" /stext=" 22:.+((SYSTEM_STATE.+slice.+state.+changed )|(ment ac)|(multiple cpu faults)|(system.+state.+changed )|(\[timeout)|(PRM\|1\|D)|(kpr)|(kdp)|(\|lc)|(penalty)|(RTDC:00:00000204:00000036:00006526))" /e /r /s</v>
      </c>
      <c r="AG62" s="1" t="str">
        <f t="shared" si="34"/>
        <v>EC</v>
      </c>
      <c r="AH62" s="86" t="str">
        <f t="shared" si="19"/>
        <v>"%USERPROFILE%\Documents\GitHub\eaglep3\Utilities\RefineRTDCRunTimes.py" --tripid 180-14 --locoid 4008 --swversion DE.1.0.8.0 --startMP 204:64107 --initTime 2017-02-14T14:57:07 --startdatetime 2017-02-14T14:58:04 --delay 0 --endMP 204:876 --enddatetime 2017-02-14T15:16:50 --enforcementcount 0 &gt;&gt;C:\Users\stu\Documents\GitHub\eaglep3-reporting\EC\2017-02-14-refined-times.txt</v>
      </c>
      <c r="AI62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lock","project_id":79,"tracker_id":40,"status_id":1,"priority_id":2,"assigned_to_id":23,"start_date":"2017-02-14","description":"","custom_fields":[{"id":1,"name":"Subdivision","value":"EC"},{"id":4,"name":"Milepost","value":"0.0876"},{"id":17,"name":"Train ID","value":"180-14"},{"id":16,"name":"Locomotive ID","value":"4008"},{"id":130,"name":"Impact","value":""},{"id":150,"name":"Time of Event (Mountain Time)","value":"15:16:50"},{"id":151,"name":"Denver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1"/>
        <v>start /low /b %USERPROFILE%\Documents\GitHub\eaglep3\Utilities\DownloadLogsFromS3.py --loco 4008 --day 2017-02-14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2017-02-14-UncaughtWiMAX.txt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487</v>
      </c>
      <c r="B63" s="7">
        <v>4008</v>
      </c>
      <c r="C63" s="21" t="s">
        <v>192</v>
      </c>
      <c r="D63" s="21" t="s">
        <v>656</v>
      </c>
      <c r="E63" s="13">
        <v>42780.607094907406</v>
      </c>
      <c r="F63" s="13">
        <v>42780.608171296299</v>
      </c>
      <c r="G63" s="7">
        <v>1</v>
      </c>
      <c r="H63" s="21" t="s">
        <v>656</v>
      </c>
      <c r="I63" s="13">
        <v>42780.610358796293</v>
      </c>
      <c r="J63" s="7">
        <v>0</v>
      </c>
      <c r="K63" s="98" t="str">
        <f t="shared" si="24"/>
        <v>4007/4008</v>
      </c>
      <c r="L63" s="21" t="str">
        <f>VLOOKUP(A63,'Trips&amp;Operators'!$C$1:$G$99999,5,FALSE)</f>
        <v>LEVERE CRAIG</v>
      </c>
      <c r="M63" s="6">
        <f t="shared" si="25"/>
        <v>2.1874999947613105E-3</v>
      </c>
      <c r="N63" s="7"/>
      <c r="O63" s="7"/>
      <c r="P63" s="7"/>
      <c r="Q63" s="22"/>
      <c r="R63" s="22"/>
      <c r="S63" s="31"/>
      <c r="T63" s="46" t="str">
        <f t="shared" si="26"/>
        <v>Southbound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187" t="str">
        <f t="shared" si="27"/>
        <v>https://d0f6bd738d7f1b3e5a7ca70fe4ff75f0.us-east-1.aws.found.io/app/kibana#/discover/Steve-Slow-Train-Analysis-(2080s-and-2083s)?_g=(refreshInterval:(display:Off,pause:!f,section:0,value:0),time:(from:'2017-02-14T13:34:13-0700',mode:absolute,to:'2017-02-14T15:38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188" t="str">
        <f t="shared" si="28"/>
        <v>Y</v>
      </c>
      <c r="X63" s="188">
        <f t="shared" si="36"/>
        <v>0</v>
      </c>
      <c r="Y63" s="62">
        <f t="shared" si="29"/>
        <v>8.6351999999999993</v>
      </c>
      <c r="Z63" s="62">
        <f t="shared" si="35"/>
        <v>8.6351999999999993</v>
      </c>
      <c r="AA63" s="62">
        <f t="shared" si="30"/>
        <v>0</v>
      </c>
      <c r="AB63" s="59" t="e">
        <f>VLOOKUP(A63,Enforcements!$C$7:$K$14,8,0)</f>
        <v>#N/A</v>
      </c>
      <c r="AC63" s="55" t="e">
        <f>VLOOKUP(A63,Enforcements!$C$7:$E$14,3,0)</f>
        <v>#N/A</v>
      </c>
      <c r="AD63" s="56" t="str">
        <f t="shared" si="31"/>
        <v>0180-14</v>
      </c>
      <c r="AE63" s="85" t="str">
        <f t="shared" si="32"/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AF63" s="82" t="str">
        <f t="shared" si="33"/>
        <v>"C:\Program Files (x86)\AstroGrep\AstroGrep.exe" /spath="%USERPROFILE%\AppData\Local\Temp\OnboardLogs" /stypes="app*4008*20170214*" /stext=" 21:.+((SYSTEM_STATE.+slice.+state.+changed )|(ment ac)|(multiple cpu faults)|(system.+state.+changed )|(\[timeout)|(PRM\|1\|D)|(kpr)|(kdp)|(\|lc)|(penalty)|(RTDC:00:00000204:00000036:00006526))" /e /r /s</v>
      </c>
      <c r="AG63" s="1" t="str">
        <f t="shared" si="34"/>
        <v>EC</v>
      </c>
      <c r="AH63" s="86" t="str">
        <f t="shared" si="19"/>
        <v>"%USERPROFILE%\Documents\GitHub\eaglep3\Utilities\RefineRTDCRunTimes.py" --tripid 180-14 --locoid 4008 --swversion DE.1.0.8.0 --startMP 204:86352 --initTime 2017-02-14T14:34:13 --startdatetime 2017-02-14T14:35:46 --delay 1 --endMP 204:86352 --enddatetime 2017-02-14T14:38:55 --enforcementcount 0 &gt;&gt;C:\Users\stu\Documents\GitHub\eaglep3-reporting\EC\2017-02-14-refined-times.txt</v>
      </c>
      <c r="AI63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{"issue":{"subject":"","project_id":79,"tracker_id":40,"status_id":1,"priority_id":2,"assigned_to_id":23,"start_date":"2017-02-14","description":"","custom_fields":[{"id":1,"name":"Subdivision","value":"EC"},{"id":4,"name":"Milepost","value":"8.6352"},{"id":17,"name":"Train ID","value":"180-14"},{"id":16,"name":"Locomotive ID","value":"4008"},{"id":130,"name":"Impact","value":""},{"id":150,"name":"Time of Event (Mountain Time)","value":"14:38:55"},{"id":151,"name":"Denver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1"/>
        <v>start /low /b %USERPROFILE%\Documents\GitHub\eaglep3\Utilities\DownloadLogsFromS3.py --loco 4008 --day 2017-02-14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2017-02-14-UncaughtWiMAX.txt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572</v>
      </c>
      <c r="B64" s="7">
        <v>4029</v>
      </c>
      <c r="C64" s="21" t="s">
        <v>192</v>
      </c>
      <c r="D64" s="21" t="s">
        <v>686</v>
      </c>
      <c r="E64" s="13">
        <v>42780.566979166666</v>
      </c>
      <c r="F64" s="13">
        <v>42780.568414351852</v>
      </c>
      <c r="G64" s="7">
        <v>2</v>
      </c>
      <c r="H64" s="21" t="s">
        <v>669</v>
      </c>
      <c r="I64" s="13">
        <v>42780.588900462964</v>
      </c>
      <c r="J64" s="7">
        <v>0</v>
      </c>
      <c r="K64" s="98" t="str">
        <f t="shared" si="24"/>
        <v>4029/4030</v>
      </c>
      <c r="L64" s="21" t="str">
        <f>VLOOKUP(A64,'Trips&amp;Operators'!$C$1:$G$99999,5,FALSE)</f>
        <v>DAVIS MICHAEL</v>
      </c>
      <c r="M64" s="6">
        <f t="shared" si="25"/>
        <v>2.0486111112404615E-2</v>
      </c>
      <c r="N64" s="7">
        <f>24*60*SUM($M64:$M64)</f>
        <v>29.500000001862645</v>
      </c>
      <c r="O64" s="7"/>
      <c r="P64" s="7"/>
      <c r="Q64" s="22"/>
      <c r="R64" s="22"/>
      <c r="S64" s="31">
        <f t="shared" si="23"/>
        <v>1</v>
      </c>
      <c r="T64" s="46" t="str">
        <f t="shared" si="26"/>
        <v>NorthBound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10</v>
      </c>
      <c r="V64" s="187" t="str">
        <f t="shared" si="27"/>
        <v>https://d0f6bd738d7f1b3e5a7ca70fe4ff75f0.us-east-1.aws.found.io/app/kibana#/discover/Steve-Slow-Train-Analysis-(2080s-and-2083s)?_g=(refreshInterval:(display:Off,pause:!f,section:0,value:0),time:(from:'2017-02-14T12:36:27-0700',mode:absolute,to:'2017-02-14T15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4" s="188" t="str">
        <f t="shared" si="28"/>
        <v>N</v>
      </c>
      <c r="X64" s="188">
        <f t="shared" si="36"/>
        <v>1</v>
      </c>
      <c r="Y64" s="62">
        <f t="shared" si="29"/>
        <v>7.8100000000000003E-2</v>
      </c>
      <c r="Z64" s="62">
        <f t="shared" si="35"/>
        <v>8.6379000000000001</v>
      </c>
      <c r="AA64" s="62">
        <f t="shared" si="30"/>
        <v>8.559800000000001</v>
      </c>
      <c r="AB64" s="59" t="e">
        <f>VLOOKUP(A64,Enforcements!$C$7:$K$14,8,0)</f>
        <v>#N/A</v>
      </c>
      <c r="AC64" s="55" t="e">
        <f>VLOOKUP(A64,Enforcements!$C$7:$E$14,3,0)</f>
        <v>#N/A</v>
      </c>
      <c r="AD64" s="56" t="str">
        <f t="shared" si="31"/>
        <v>0181-14</v>
      </c>
      <c r="AE64" s="85" t="str">
        <f t="shared" si="32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64" s="82" t="str">
        <f t="shared" si="33"/>
        <v>"C:\Program Files (x86)\AstroGrep\AstroGrep.exe" /spath="%USERPROFILE%\AppData\Local\Temp\OnboardLogs" /stypes="app*4029*20170214*" /stext=" 21:.+((SYSTEM_STATE.+slice.+state.+changed )|(ment ac)|(multiple cpu faults)|(system.+state.+changed )|(\[timeout)|(PRM\|1\|D)|(kpr)|(kdp)|(\|lc)|(penalty)|(RTDC:00:00000204:00000036:00006526))" /e /r /s</v>
      </c>
      <c r="AG64" s="1" t="str">
        <f t="shared" si="34"/>
        <v>EC</v>
      </c>
      <c r="AH64" s="86" t="str">
        <f t="shared" si="19"/>
        <v>"%USERPROFILE%\Documents\GitHub\eaglep3\Utilities\RefineRTDCRunTimes.py" --tripid 181-14 --locoid 4029 --swversion DE.1.0.8.0 --startMP 204:781 --initTime 2017-02-14T13:36:27 --startdatetime 2017-02-14T13:38:31 --delay 2 --endMP 204:86379 --enddatetime 2017-02-14T14:08:01 --enforcementcount 0 &gt;&gt;C:\Users\stu\Documents\GitHub\eaglep3-reporting\EC\2017-02-14-refined-times.txt</v>
      </c>
      <c r="AI64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ID","value":"181-14"},{"id":16,"name":"Locomotive ID","value":"4029"},{"id":130,"name":"Impact","value":""},{"id":150,"name":"Time of Event (Mountain Time)","value":"14:08:01"},{"id":151,"name":"Denver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1"/>
        <v>start /low /b %USERPROFILE%\Documents\GitHub\eaglep3\Utilities\DownloadLogsFromS3.py --loco 4029 --day 2017-02-14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2017-02-14-UncaughtWiMAX.txt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574</v>
      </c>
      <c r="B65" s="7">
        <v>4040</v>
      </c>
      <c r="C65" s="21" t="s">
        <v>192</v>
      </c>
      <c r="D65" s="21" t="s">
        <v>395</v>
      </c>
      <c r="E65" s="13">
        <v>42780.583935185183</v>
      </c>
      <c r="F65" s="13">
        <v>42780.584976851853</v>
      </c>
      <c r="G65" s="7">
        <v>1</v>
      </c>
      <c r="H65" s="21" t="s">
        <v>650</v>
      </c>
      <c r="I65" s="13">
        <v>42780.605671296296</v>
      </c>
      <c r="J65" s="7">
        <v>0</v>
      </c>
      <c r="K65" s="98" t="str">
        <f t="shared" si="24"/>
        <v>4039/4040</v>
      </c>
      <c r="L65" s="21" t="str">
        <f>VLOOKUP(A65,'Trips&amp;Operators'!$C$1:$G$99999,5,FALSE)</f>
        <v>CLARK KATHLEEN</v>
      </c>
      <c r="M65" s="6">
        <f t="shared" si="25"/>
        <v>2.0694444443506654E-2</v>
      </c>
      <c r="N65" s="7">
        <f>24*60*SUM($M65:$M65)</f>
        <v>29.799999998649582</v>
      </c>
      <c r="O65" s="7"/>
      <c r="P65" s="7"/>
      <c r="Q65" s="22"/>
      <c r="R65" s="22"/>
      <c r="S65" s="31">
        <f t="shared" si="23"/>
        <v>1</v>
      </c>
      <c r="T65" s="46" t="str">
        <f t="shared" si="26"/>
        <v>NorthBound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10</v>
      </c>
      <c r="V65" s="187" t="str">
        <f t="shared" si="27"/>
        <v>https://d0f6bd738d7f1b3e5a7ca70fe4ff75f0.us-east-1.aws.found.io/app/kibana#/discover/Steve-Slow-Train-Analysis-(2080s-and-2083s)?_g=(refreshInterval:(display:Off,pause:!f,section:0,value:0),time:(from:'2017-02-14T13:00:52-0700',mode:absolute,to:'2017-02-14T15:32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5" s="188" t="str">
        <f t="shared" si="28"/>
        <v>N</v>
      </c>
      <c r="X65" s="188">
        <f t="shared" si="36"/>
        <v>2</v>
      </c>
      <c r="Y65" s="62">
        <f t="shared" si="29"/>
        <v>7.5499999999999998E-2</v>
      </c>
      <c r="Z65" s="62">
        <f t="shared" si="35"/>
        <v>8.6379999999999999</v>
      </c>
      <c r="AA65" s="62">
        <f t="shared" si="30"/>
        <v>8.5625</v>
      </c>
      <c r="AB65" s="59" t="e">
        <f>VLOOKUP(A65,Enforcements!$C$7:$K$14,8,0)</f>
        <v>#N/A</v>
      </c>
      <c r="AC65" s="55" t="e">
        <f>VLOOKUP(A65,Enforcements!$C$7:$E$14,3,0)</f>
        <v>#N/A</v>
      </c>
      <c r="AD65" s="56" t="str">
        <f t="shared" si="31"/>
        <v>0183-14</v>
      </c>
      <c r="AE65" s="85" t="str">
        <f t="shared" si="32"/>
        <v>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 &amp; aws s3 cp s3://rtdc.mdm.uploadarchive.raw/RTDC4040/ "%USERPROFILE%\AppData\Local\Temp\OnboardLogs"\RTDC4040\2017-02-15 --exclude "*" --recursive --include "*20170215*" &amp; "%USERPROFILE%\Documents\GitHub\mrs-test-scripts\Headless Mode &amp; Sideloading\WalkAndUnGZ.bat" "%USERPROFILE%\AppData\Local\Temp\OnboardLogs"\RTDC4040\2017-02-15</v>
      </c>
      <c r="AF65" s="82" t="str">
        <f t="shared" si="33"/>
        <v>"C:\Program Files (x86)\AstroGrep\AstroGrep.exe" /spath="%USERPROFILE%\AppData\Local\Temp\OnboardLogs" /stypes="app*4040*20170214*" /stext=" 21:.+((SYSTEM_STATE.+slice.+state.+changed )|(ment ac)|(multiple cpu faults)|(system.+state.+changed )|(\[timeout)|(PRM\|1\|D)|(kpr)|(kdp)|(\|lc)|(penalty)|(RTDC:00:00000204:00000036:00006526))" /e /r /s</v>
      </c>
      <c r="AG65" s="1" t="str">
        <f t="shared" si="34"/>
        <v>EC</v>
      </c>
      <c r="AH65" s="86" t="str">
        <f t="shared" si="19"/>
        <v>"%USERPROFILE%\Documents\GitHub\eaglep3\Utilities\RefineRTDCRunTimes.py" --tripid 183-14 --locoid 4040 --swversion DE.1.0.8.0 --startMP 204:755 --initTime 2017-02-14T14:00:52 --startdatetime 2017-02-14T14:02:22 --delay 1 --endMP 204:86380 --enddatetime 2017-02-14T14:32:10 --enforcementcount 0 &gt;&gt;C:\Users\stu\Documents\GitHub\eaglep3-reporting\EC\2017-02-14-refined-times.txt</v>
      </c>
      <c r="AI65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ID","value":"183-14"},{"id":16,"name":"Locomotive ID","value":"4040"},{"id":130,"name":"Impact","value":""},{"id":150,"name":"Time of Event (Mountain Time)","value":"14:32:10"},{"id":151,"name":"Denver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1"/>
        <v>start /low /b %USERPROFILE%\Documents\GitHub\eaglep3\Utilities\DownloadLogsFromS3.py --loco 4040 --day 2017-02-14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"%USERPROFILE%\AppData\Local\Temp\OnboardLogs"\RTDC4040\*4040*20170214* | grep -SE "(Enforcement Action)|(\[TIMEOUT)|(CHR.+\|PRM\|1\|D.+(SWITCH|SIGNAL).+UNKNOWN)" - &gt;&gt; 2017-02-14-UncaughtWiMAX.txt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580</v>
      </c>
      <c r="B66" s="7">
        <v>4019</v>
      </c>
      <c r="C66" s="21" t="s">
        <v>192</v>
      </c>
      <c r="D66" s="21" t="s">
        <v>699</v>
      </c>
      <c r="E66" s="13">
        <v>42780.643229166664</v>
      </c>
      <c r="F66" s="13">
        <v>42780.643796296295</v>
      </c>
      <c r="G66" s="7">
        <v>0</v>
      </c>
      <c r="H66" s="21" t="s">
        <v>454</v>
      </c>
      <c r="I66" s="13">
        <v>42780.654583333337</v>
      </c>
      <c r="J66" s="7">
        <v>0</v>
      </c>
      <c r="K66" s="98" t="str">
        <f t="shared" si="24"/>
        <v>4019/4020</v>
      </c>
      <c r="L66" s="21" t="str">
        <f>VLOOKUP(A66,'Trips&amp;Operators'!$C$1:$G$99999,5,FALSE)</f>
        <v>ROMERO CHAD</v>
      </c>
      <c r="M66" s="6">
        <f t="shared" si="25"/>
        <v>1.078703704115469E-2</v>
      </c>
      <c r="N66" s="7"/>
      <c r="O66" s="7"/>
      <c r="P66" s="7">
        <f>24*60*SUM($M66:$M66)</f>
        <v>15.533333339262754</v>
      </c>
      <c r="Q66" s="22"/>
      <c r="R66" s="22" t="s">
        <v>862</v>
      </c>
      <c r="S66" s="31">
        <f t="shared" si="23"/>
        <v>0.9</v>
      </c>
      <c r="T66" s="46" t="str">
        <f t="shared" si="26"/>
        <v>Southbound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9</v>
      </c>
      <c r="V66" s="187" t="str">
        <f t="shared" si="27"/>
        <v>https://d0f6bd738d7f1b3e5a7ca70fe4ff75f0.us-east-1.aws.found.io/app/kibana#/discover/Steve-Slow-Train-Analysis-(2080s-and-2083s)?_g=(refreshInterval:(display:Off,pause:!f,section:0,value:0),time:(from:'2017-02-14T14:26:15-0700',mode:absolute,to:'2017-02-14T16:42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6" s="188" t="str">
        <f t="shared" si="28"/>
        <v>Y</v>
      </c>
      <c r="X66" s="188">
        <f t="shared" si="36"/>
        <v>1</v>
      </c>
      <c r="Y66" s="62">
        <f t="shared" si="29"/>
        <v>6.4047000000000001</v>
      </c>
      <c r="Z66" s="62">
        <f t="shared" si="35"/>
        <v>1.32E-2</v>
      </c>
      <c r="AA66" s="62">
        <f t="shared" si="30"/>
        <v>6.3914999999999997</v>
      </c>
      <c r="AB66" s="59" t="e">
        <f>VLOOKUP(A66,Enforcements!$C$7:$K$14,8,0)</f>
        <v>#N/A</v>
      </c>
      <c r="AC66" s="55" t="e">
        <f>VLOOKUP(A66,Enforcements!$C$7:$E$14,3,0)</f>
        <v>#N/A</v>
      </c>
      <c r="AD66" s="56" t="str">
        <f t="shared" si="31"/>
        <v>0184-14</v>
      </c>
      <c r="AE66" s="85" t="str">
        <f t="shared" si="32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66" s="82" t="str">
        <f t="shared" si="33"/>
        <v>"C:\Program Files (x86)\AstroGrep\AstroGrep.exe" /spath="%USERPROFILE%\AppData\Local\Temp\OnboardLogs" /stypes="app*4019*20170214*" /stext=" 22:.+((SYSTEM_STATE.+slice.+state.+changed )|(ment ac)|(multiple cpu faults)|(system.+state.+changed )|(\[timeout)|(PRM\|1\|D)|(kpr)|(kdp)|(\|lc)|(penalty)|(RTDC:00:00000204:00000036:00006526))" /e /r /s</v>
      </c>
      <c r="AG66" s="1" t="str">
        <f t="shared" si="34"/>
        <v>EC</v>
      </c>
      <c r="AH66" s="86" t="str">
        <f t="shared" si="19"/>
        <v>"%USERPROFILE%\Documents\GitHub\eaglep3\Utilities\RefineRTDCRunTimes.py" --tripid 184-14 --locoid 4019 --swversion DE.1.0.8.0 --startMP 204:64047 --initTime 2017-02-14T15:26:15 --startdatetime 2017-02-14T15:27:04 --delay 0 --endMP 204:132 --enddatetime 2017-02-14T15:42:36 --enforcementcount 0 &gt;&gt;C:\Users\stu\Documents\GitHub\eaglep3-reporting\EC\2017-02-14-refined-times.txt</v>
      </c>
      <c r="AI66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lock","project_id":79,"tracker_id":40,"status_id":1,"priority_id":2,"assigned_to_id":23,"start_date":"2017-02-14","description":"","custom_fields":[{"id":1,"name":"Subdivision","value":"EC"},{"id":4,"name":"Milepost","value":"0.0132"},{"id":17,"name":"Train ID","value":"184-14"},{"id":16,"name":"Locomotive ID","value":"4019"},{"id":130,"name":"Impact","value":""},{"id":150,"name":"Time of Event (Mountain Time)","value":"15:42:36"},{"id":151,"name":"Denver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1"/>
        <v>start /low /b %USERPROFILE%\Documents\GitHub\eaglep3\Utilities\DownloadLogsFromS3.py --loco 4019 --day 2017-02-14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2017-02-14-UncaughtWiMAX.txt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580</v>
      </c>
      <c r="B67" s="7">
        <v>4019</v>
      </c>
      <c r="C67" s="21" t="s">
        <v>192</v>
      </c>
      <c r="D67" s="21" t="s">
        <v>651</v>
      </c>
      <c r="E67" s="13">
        <v>42780.634027777778</v>
      </c>
      <c r="F67" s="13">
        <v>42780.635555555556</v>
      </c>
      <c r="G67" s="7">
        <v>2</v>
      </c>
      <c r="H67" s="21" t="s">
        <v>651</v>
      </c>
      <c r="I67" s="13">
        <v>42780.635879629626</v>
      </c>
      <c r="J67" s="7">
        <v>0</v>
      </c>
      <c r="K67" s="98" t="str">
        <f t="shared" si="24"/>
        <v>4019/4020</v>
      </c>
      <c r="L67" s="21" t="str">
        <f>VLOOKUP(A67,'Trips&amp;Operators'!$C$1:$G$99999,5,FALSE)</f>
        <v>ROMERO CHAD</v>
      </c>
      <c r="M67" s="6">
        <f t="shared" si="25"/>
        <v>3.2407406979473308E-4</v>
      </c>
      <c r="N67" s="7"/>
      <c r="O67" s="7"/>
      <c r="P67" s="7"/>
      <c r="Q67" s="22"/>
      <c r="R67" s="22"/>
      <c r="S67" s="31"/>
      <c r="T67" s="46" t="str">
        <f t="shared" si="26"/>
        <v>Southbound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187" t="str">
        <f t="shared" si="27"/>
        <v>https://d0f6bd738d7f1b3e5a7ca70fe4ff75f0.us-east-1.aws.found.io/app/kibana#/discover/Steve-Slow-Train-Analysis-(2080s-and-2083s)?_g=(refreshInterval:(display:Off,pause:!f,section:0,value:0),time:(from:'2017-02-14T14:13:00-0700',mode:absolute,to:'2017-02-14T16:15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7" s="188" t="str">
        <f t="shared" si="28"/>
        <v>Y</v>
      </c>
      <c r="X67" s="188">
        <f t="shared" si="36"/>
        <v>0</v>
      </c>
      <c r="Y67" s="62">
        <f t="shared" si="29"/>
        <v>8.6350999999999996</v>
      </c>
      <c r="Z67" s="62">
        <f t="shared" si="35"/>
        <v>8.6350999999999996</v>
      </c>
      <c r="AA67" s="62">
        <f t="shared" si="30"/>
        <v>0</v>
      </c>
      <c r="AB67" s="59" t="e">
        <f>VLOOKUP(A67,Enforcements!$C$7:$K$14,8,0)</f>
        <v>#N/A</v>
      </c>
      <c r="AC67" s="55" t="e">
        <f>VLOOKUP(A67,Enforcements!$C$7:$E$14,3,0)</f>
        <v>#N/A</v>
      </c>
      <c r="AD67" s="56" t="str">
        <f t="shared" si="31"/>
        <v>0184-14</v>
      </c>
      <c r="AE67" s="85" t="str">
        <f t="shared" si="32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67" s="82" t="str">
        <f t="shared" si="33"/>
        <v>"C:\Program Files (x86)\AstroGrep\AstroGrep.exe" /spath="%USERPROFILE%\AppData\Local\Temp\OnboardLogs" /stypes="app*4019*20170214*" /stext=" 22:.+((SYSTEM_STATE.+slice.+state.+changed )|(ment ac)|(multiple cpu faults)|(system.+state.+changed )|(\[timeout)|(PRM\|1\|D)|(kpr)|(kdp)|(\|lc)|(penalty)|(RTDC:00:00000204:00000036:00006526))" /e /r /s</v>
      </c>
      <c r="AG67" s="1" t="str">
        <f t="shared" si="34"/>
        <v>EC</v>
      </c>
      <c r="AH67" s="86" t="str">
        <f t="shared" si="19"/>
        <v>"%USERPROFILE%\Documents\GitHub\eaglep3\Utilities\RefineRTDCRunTimes.py" --tripid 184-14 --locoid 4019 --swversion DE.1.0.8.0 --startMP 204:86351 --initTime 2017-02-14T15:13:00 --startdatetime 2017-02-14T15:15:12 --delay 2 --endMP 204:86351 --enddatetime 2017-02-14T15:15:40 --enforcementcount 0 &gt;&gt;C:\Users\stu\Documents\GitHub\eaglep3-reporting\EC\2017-02-14-refined-times.txt</v>
      </c>
      <c r="AI67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ID","value":"184-14"},{"id":16,"name":"Locomotive ID","value":"4019"},{"id":130,"name":"Impact","value":""},{"id":150,"name":"Time of Event (Mountain Time)","value":"15:15:40"},{"id":151,"name":"Denver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1"/>
        <v>start /low /b %USERPROFILE%\Documents\GitHub\eaglep3\Utilities\DownloadLogsFromS3.py --loco 4019 --day 2017-02-14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2017-02-14-UncaughtWiMAX.txt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582</v>
      </c>
      <c r="B68" s="7">
        <v>4012</v>
      </c>
      <c r="C68" s="21" t="s">
        <v>192</v>
      </c>
      <c r="D68" s="21" t="s">
        <v>700</v>
      </c>
      <c r="E68" s="13">
        <v>42780.656319444446</v>
      </c>
      <c r="F68" s="13">
        <v>42780.656886574077</v>
      </c>
      <c r="G68" s="7">
        <v>0</v>
      </c>
      <c r="H68" s="21" t="s">
        <v>701</v>
      </c>
      <c r="I68" s="13">
        <v>42780.668842592589</v>
      </c>
      <c r="J68" s="7">
        <v>0</v>
      </c>
      <c r="K68" s="98" t="str">
        <f t="shared" si="24"/>
        <v>4011/4012</v>
      </c>
      <c r="L68" s="21" t="str">
        <f>VLOOKUP(A68,'Trips&amp;Operators'!$C$1:$G$99999,5,FALSE)</f>
        <v>SWANSON BRYCE</v>
      </c>
      <c r="M68" s="6">
        <f t="shared" si="25"/>
        <v>1.1956018512137234E-2</v>
      </c>
      <c r="N68" s="7"/>
      <c r="O68" s="7"/>
      <c r="P68" s="7">
        <f>24*60*SUM($M68:$M68)</f>
        <v>17.216666657477617</v>
      </c>
      <c r="Q68" s="22"/>
      <c r="R68" s="22" t="s">
        <v>862</v>
      </c>
      <c r="S68" s="31">
        <f t="shared" ref="S68" si="38">SUM(U68:U68)/IF(AG68="EC",10,1)</f>
        <v>0.9</v>
      </c>
      <c r="T68" s="46" t="str">
        <f t="shared" si="26"/>
        <v>Southbound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9</v>
      </c>
      <c r="V68" s="187" t="str">
        <f t="shared" si="27"/>
        <v>https://d0f6bd738d7f1b3e5a7ca70fe4ff75f0.us-east-1.aws.found.io/app/kibana#/discover/Steve-Slow-Train-Analysis-(2080s-and-2083s)?_g=(refreshInterval:(display:Off,pause:!f,section:0,value:0),time:(from:'2017-02-14T14:45:06-0700',mode:absolute,to:'2017-02-14T17:03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8" s="188" t="str">
        <f t="shared" si="28"/>
        <v>Y</v>
      </c>
      <c r="X68" s="188">
        <f t="shared" si="36"/>
        <v>2</v>
      </c>
      <c r="Y68" s="62">
        <f t="shared" si="29"/>
        <v>6.4111000000000002</v>
      </c>
      <c r="Z68" s="62">
        <f t="shared" si="35"/>
        <v>1.23E-2</v>
      </c>
      <c r="AA68" s="62">
        <f t="shared" si="30"/>
        <v>6.3988000000000005</v>
      </c>
      <c r="AB68" s="59" t="e">
        <f>VLOOKUP(A68,Enforcements!$C$7:$K$14,8,0)</f>
        <v>#N/A</v>
      </c>
      <c r="AC68" s="55" t="e">
        <f>VLOOKUP(A68,Enforcements!$C$7:$E$14,3,0)</f>
        <v>#N/A</v>
      </c>
      <c r="AD68" s="56" t="str">
        <f t="shared" si="31"/>
        <v>0186-14</v>
      </c>
      <c r="AE68" s="85" t="str">
        <f t="shared" si="32"/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68" s="82" t="str">
        <f t="shared" si="33"/>
        <v>"C:\Program Files (x86)\AstroGrep\AstroGrep.exe" /spath="%USERPROFILE%\AppData\Local\Temp\OnboardLogs" /stypes="app*4012*20170214*" /stext=" 23:.+((SYSTEM_STATE.+slice.+state.+changed )|(ment ac)|(multiple cpu faults)|(system.+state.+changed )|(\[timeout)|(PRM\|1\|D)|(kpr)|(kdp)|(\|lc)|(penalty)|(RTDC:00:00000204:00000036:00006526))" /e /r /s</v>
      </c>
      <c r="AG68" s="1" t="str">
        <f t="shared" si="34"/>
        <v>EC</v>
      </c>
      <c r="AH68" s="86" t="str">
        <f t="shared" si="19"/>
        <v>"%USERPROFILE%\Documents\GitHub\eaglep3\Utilities\RefineRTDCRunTimes.py" --tripid 186-14 --locoid 4012 --swversion DE.1.0.8.0 --startMP 204:64111 --initTime 2017-02-14T15:45:06 --startdatetime 2017-02-14T15:45:55 --delay 0 --endMP 204:123 --enddatetime 2017-02-14T16:03:08 --enforcementcount 0 &gt;&gt;C:\Users\stu\Documents\GitHub\eaglep3-reporting\EC\2017-02-14-refined-times.txt</v>
      </c>
      <c r="AI68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lock","project_id":79,"tracker_id":40,"status_id":1,"priority_id":2,"assigned_to_id":23,"start_date":"2017-02-14","description":"","custom_fields":[{"id":1,"name":"Subdivision","value":"EC"},{"id":4,"name":"Milepost","value":"0.0123"},{"id":17,"name":"Train ID","value":"186-14"},{"id":16,"name":"Locomotive ID","value":"4012"},{"id":130,"name":"Impact","value":""},{"id":150,"name":"Time of Event (Mountain Time)","value":"16:03:08"},{"id":151,"name":"Denver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1"/>
        <v>start /low /b %USERPROFILE%\Documents\GitHub\eaglep3\Utilities\DownloadLogsFromS3.py --loco 4012 --day 2017-02-14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"%USERPROFILE%\AppData\Local\Temp\OnboardLogs"\RTDC4012\*4012*20170214* | grep -SE "(Enforcement Action)|(\[TIMEOUT)|(CHR.+\|PRM\|1\|D.+(SWITCH|SIGNAL).+UNKNOWN)" - &gt;&gt; 2017-02-14-UncaughtWiMAX.txt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582</v>
      </c>
      <c r="B69" s="7">
        <v>4012</v>
      </c>
      <c r="C69" s="21" t="s">
        <v>192</v>
      </c>
      <c r="D69" s="21" t="s">
        <v>651</v>
      </c>
      <c r="E69" s="13">
        <v>42780.640370370369</v>
      </c>
      <c r="F69" s="13">
        <v>42780.641655092593</v>
      </c>
      <c r="G69" s="7">
        <v>1</v>
      </c>
      <c r="H69" s="21" t="s">
        <v>656</v>
      </c>
      <c r="I69" s="13">
        <v>42780.64234953704</v>
      </c>
      <c r="J69" s="7">
        <v>0</v>
      </c>
      <c r="K69" s="98" t="str">
        <f t="shared" si="24"/>
        <v>4011/4012</v>
      </c>
      <c r="L69" s="21" t="str">
        <f>VLOOKUP(A69,'Trips&amp;Operators'!$C$1:$G$99999,5,FALSE)</f>
        <v>SWANSON BRYCE</v>
      </c>
      <c r="M69" s="6">
        <f t="shared" si="25"/>
        <v>6.944444467080757E-4</v>
      </c>
      <c r="N69" s="7"/>
      <c r="O69" s="7"/>
      <c r="P69" s="7"/>
      <c r="Q69" s="22"/>
      <c r="R69" s="22"/>
      <c r="S69" s="31"/>
      <c r="T69" s="46" t="str">
        <f t="shared" si="26"/>
        <v>Southbound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187" t="str">
        <f t="shared" si="27"/>
        <v>https://d0f6bd738d7f1b3e5a7ca70fe4ff75f0.us-east-1.aws.found.io/app/kibana#/discover/Steve-Slow-Train-Analysis-(2080s-and-2083s)?_g=(refreshInterval:(display:Off,pause:!f,section:0,value:0),time:(from:'2017-02-14T14:22:08-0700',mode:absolute,to:'2017-02-14T16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188" t="str">
        <f t="shared" si="28"/>
        <v>Y</v>
      </c>
      <c r="X69" s="188">
        <f t="shared" si="36"/>
        <v>0</v>
      </c>
      <c r="Y69" s="62">
        <f t="shared" si="29"/>
        <v>8.6350999999999996</v>
      </c>
      <c r="Z69" s="62">
        <f t="shared" si="35"/>
        <v>8.6351999999999993</v>
      </c>
      <c r="AA69" s="62">
        <f t="shared" si="30"/>
        <v>9.9999999999766942E-5</v>
      </c>
      <c r="AB69" s="59" t="e">
        <f>VLOOKUP(A69,Enforcements!$C$7:$K$14,8,0)</f>
        <v>#N/A</v>
      </c>
      <c r="AC69" s="55" t="e">
        <f>VLOOKUP(A69,Enforcements!$C$7:$E$14,3,0)</f>
        <v>#N/A</v>
      </c>
      <c r="AD69" s="56" t="str">
        <f t="shared" si="31"/>
        <v>0186-14</v>
      </c>
      <c r="AE69" s="85" t="str">
        <f t="shared" si="32"/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69" s="82" t="str">
        <f t="shared" si="33"/>
        <v>"C:\Program Files (x86)\AstroGrep\AstroGrep.exe" /spath="%USERPROFILE%\AppData\Local\Temp\OnboardLogs" /stypes="app*4012*20170214*" /stext=" 22:.+((SYSTEM_STATE.+slice.+state.+changed )|(ment ac)|(multiple cpu faults)|(system.+state.+changed )|(\[timeout)|(PRM\|1\|D)|(kpr)|(kdp)|(\|lc)|(penalty)|(RTDC:00:00000204:00000036:00006526))" /e /r /s</v>
      </c>
      <c r="AG69" s="1" t="str">
        <f t="shared" si="34"/>
        <v>EC</v>
      </c>
      <c r="AH69" s="86" t="str">
        <f t="shared" si="19"/>
        <v>"%USERPROFILE%\Documents\GitHub\eaglep3\Utilities\RefineRTDCRunTimes.py" --tripid 186-14 --locoid 4012 --swversion DE.1.0.8.0 --startMP 204:86351 --initTime 2017-02-14T15:22:08 --startdatetime 2017-02-14T15:23:59 --delay 1 --endMP 204:86352 --enddatetime 2017-02-14T15:24:59 --enforcementcount 0 &gt;&gt;C:\Users\stu\Documents\GitHub\eaglep3-reporting\EC\2017-02-14-refined-times.txt</v>
      </c>
      <c r="AI69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{"issue":{"subject":"","project_id":79,"tracker_id":40,"status_id":1,"priority_id":2,"assigned_to_id":23,"start_date":"2017-02-14","description":"","custom_fields":[{"id":1,"name":"Subdivision","value":"EC"},{"id":4,"name":"Milepost","value":"8.6352"},{"id":17,"name":"Train ID","value":"186-14"},{"id":16,"name":"Locomotive ID","value":"4012"},{"id":130,"name":"Impact","value":""},{"id":150,"name":"Time of Event (Mountain Time)","value":"15:24:59"},{"id":151,"name":"Denver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1"/>
        <v>start /low /b %USERPROFILE%\Documents\GitHub\eaglep3\Utilities\DownloadLogsFromS3.py --loco 4012 --day 2017-02-14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"%USERPROFILE%\AppData\Local\Temp\OnboardLogs"\RTDC4012\*4012*20170214* | grep -SE "(Enforcement Action)|(\[TIMEOUT)|(CHR.+\|PRM\|1\|D.+(SWITCH|SIGNAL).+UNKNOWN)" - &gt;&gt; 2017-02-14-UncaughtWiMAX.txt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577</v>
      </c>
      <c r="B70" s="7">
        <v>4044</v>
      </c>
      <c r="C70" s="21" t="s">
        <v>192</v>
      </c>
      <c r="D70" s="21" t="s">
        <v>702</v>
      </c>
      <c r="E70" s="13">
        <v>42780.603576388887</v>
      </c>
      <c r="F70" s="13">
        <v>42780.60496527778</v>
      </c>
      <c r="G70" s="7">
        <v>2</v>
      </c>
      <c r="H70" s="21" t="s">
        <v>669</v>
      </c>
      <c r="I70" s="13">
        <v>42780.632407407407</v>
      </c>
      <c r="J70" s="7">
        <v>0</v>
      </c>
      <c r="K70" s="98" t="str">
        <f t="shared" si="24"/>
        <v>4043/4044</v>
      </c>
      <c r="L70" s="21" t="str">
        <f>VLOOKUP(A70,'Trips&amp;Operators'!$C$1:$G$99999,5,FALSE)</f>
        <v>CRAYTON QUNTRELL</v>
      </c>
      <c r="M70" s="6">
        <f t="shared" si="25"/>
        <v>2.7442129627161194E-2</v>
      </c>
      <c r="N70" s="7">
        <f>24*60*SUM($M70:$M70)</f>
        <v>39.516666663112119</v>
      </c>
      <c r="O70" s="7"/>
      <c r="P70" s="7"/>
      <c r="Q70" s="22"/>
      <c r="R70" s="22"/>
      <c r="S70" s="31">
        <f t="shared" si="23"/>
        <v>1</v>
      </c>
      <c r="T70" s="46" t="str">
        <f t="shared" si="26"/>
        <v>NorthBound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10</v>
      </c>
      <c r="V70" s="187" t="str">
        <f t="shared" si="27"/>
        <v>https://d0f6bd738d7f1b3e5a7ca70fe4ff75f0.us-east-1.aws.found.io/app/kibana#/discover/Steve-Slow-Train-Analysis-(2080s-and-2083s)?_g=(refreshInterval:(display:Off,pause:!f,section:0,value:0),time:(from:'2017-02-14T13:29:09-0700',mode:absolute,to:'2017-02-14T16:10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188" t="str">
        <f t="shared" si="28"/>
        <v>N</v>
      </c>
      <c r="X70" s="188">
        <f t="shared" si="36"/>
        <v>3</v>
      </c>
      <c r="Y70" s="62">
        <f t="shared" si="29"/>
        <v>7.8799999999999995E-2</v>
      </c>
      <c r="Z70" s="62">
        <f t="shared" si="35"/>
        <v>8.6379000000000001</v>
      </c>
      <c r="AA70" s="62">
        <f t="shared" si="30"/>
        <v>8.5591000000000008</v>
      </c>
      <c r="AB70" s="59" t="e">
        <f>VLOOKUP(A70,Enforcements!$C$7:$K$14,8,0)</f>
        <v>#N/A</v>
      </c>
      <c r="AC70" s="55" t="e">
        <f>VLOOKUP(A70,Enforcements!$C$7:$E$14,3,0)</f>
        <v>#N/A</v>
      </c>
      <c r="AD70" s="56" t="str">
        <f t="shared" si="31"/>
        <v>0189-14</v>
      </c>
      <c r="AE70" s="85" t="str">
        <f t="shared" si="32"/>
        <v>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 &amp; 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</v>
      </c>
      <c r="AF70" s="82" t="str">
        <f t="shared" si="33"/>
        <v>"C:\Program Files (x86)\AstroGrep\AstroGrep.exe" /spath="%USERPROFILE%\AppData\Local\Temp\OnboardLogs" /stypes="app*4044*20170214*" /stext=" 22:.+((SYSTEM_STATE.+slice.+state.+changed )|(ment ac)|(multiple cpu faults)|(system.+state.+changed )|(\[timeout)|(PRM\|1\|D)|(kpr)|(kdp)|(\|lc)|(penalty)|(RTDC:00:00000204:00000036:00006526))" /e /r /s</v>
      </c>
      <c r="AG70" s="1" t="str">
        <f t="shared" si="34"/>
        <v>EC</v>
      </c>
      <c r="AH70" s="86" t="str">
        <f t="shared" si="19"/>
        <v>"%USERPROFILE%\Documents\GitHub\eaglep3\Utilities\RefineRTDCRunTimes.py" --tripid 189-14 --locoid 4044 --swversion DE.1.0.8.0 --startMP 204:788 --initTime 2017-02-14T14:29:09 --startdatetime 2017-02-14T14:31:09 --delay 2 --endMP 204:86379 --enddatetime 2017-02-14T15:10:40 --enforcementcount 0 &gt;&gt;C:\Users\stu\Documents\GitHub\eaglep3-reporting\EC\2017-02-14-refined-times.txt</v>
      </c>
      <c r="AI70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ID","value":"189-14"},{"id":16,"name":"Locomotive ID","value":"4044"},{"id":130,"name":"Impact","value":""},{"id":150,"name":"Time of Event (Mountain Time)","value":"15:10:40"},{"id":151,"name":"Denver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1"/>
        <v>start /low /b %USERPROFILE%\Documents\GitHub\eaglep3\Utilities\DownloadLogsFromS3.py --loco 4044 --day 2017-02-14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2017-02-14-UncaughtWiMAX.txt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588</v>
      </c>
      <c r="B71" s="7">
        <v>4032</v>
      </c>
      <c r="C71" s="21" t="s">
        <v>192</v>
      </c>
      <c r="D71" s="21" t="s">
        <v>683</v>
      </c>
      <c r="E71" s="13">
        <v>42780.674791666665</v>
      </c>
      <c r="F71" s="13">
        <v>42780.67560185185</v>
      </c>
      <c r="G71" s="7">
        <v>1</v>
      </c>
      <c r="H71" s="21" t="s">
        <v>396</v>
      </c>
      <c r="I71" s="13">
        <v>42780.687314814815</v>
      </c>
      <c r="J71" s="7">
        <v>0</v>
      </c>
      <c r="K71" s="98" t="str">
        <f t="shared" si="24"/>
        <v>4031/4032</v>
      </c>
      <c r="L71" s="21" t="str">
        <f>VLOOKUP(A71,'Trips&amp;Operators'!$C$1:$G$99999,5,FALSE)</f>
        <v>STEWART MICHAEL</v>
      </c>
      <c r="M71" s="6">
        <f t="shared" si="25"/>
        <v>1.1712962965248153E-2</v>
      </c>
      <c r="N71" s="7"/>
      <c r="O71" s="7"/>
      <c r="P71" s="7">
        <f>24*60*SUM($M71:$M71)</f>
        <v>16.86666666995734</v>
      </c>
      <c r="Q71" s="22"/>
      <c r="R71" s="22" t="s">
        <v>862</v>
      </c>
      <c r="S71" s="31">
        <f t="shared" si="23"/>
        <v>0.9</v>
      </c>
      <c r="T71" s="46" t="str">
        <f t="shared" si="26"/>
        <v>Southbound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9</v>
      </c>
      <c r="V71" s="187" t="str">
        <f t="shared" si="27"/>
        <v>https://d0f6bd738d7f1b3e5a7ca70fe4ff75f0.us-east-1.aws.found.io/app/kibana#/discover/Steve-Slow-Train-Analysis-(2080s-and-2083s)?_g=(refreshInterval:(display:Off,pause:!f,section:0,value:0),time:(from:'2017-02-14T15:11:42-0700',mode:absolute,to:'2017-02-14T17:29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1" s="188" t="str">
        <f t="shared" si="28"/>
        <v>Y</v>
      </c>
      <c r="X71" s="188">
        <f t="shared" si="36"/>
        <v>1</v>
      </c>
      <c r="Y71" s="62">
        <f t="shared" si="29"/>
        <v>6.4074</v>
      </c>
      <c r="Z71" s="62">
        <f t="shared" si="35"/>
        <v>1.3599999999999999E-2</v>
      </c>
      <c r="AA71" s="62">
        <f t="shared" si="30"/>
        <v>6.3937999999999997</v>
      </c>
      <c r="AB71" s="59" t="e">
        <f>VLOOKUP(A71,Enforcements!$C$7:$K$14,8,0)</f>
        <v>#N/A</v>
      </c>
      <c r="AC71" s="55" t="e">
        <f>VLOOKUP(A71,Enforcements!$C$7:$E$14,3,0)</f>
        <v>#N/A</v>
      </c>
      <c r="AD71" s="56" t="str">
        <f t="shared" si="31"/>
        <v>0190-14</v>
      </c>
      <c r="AE71" s="85" t="str">
        <f t="shared" si="32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71" s="82" t="str">
        <f t="shared" si="33"/>
        <v>"C:\Program Files (x86)\AstroGrep\AstroGrep.exe" /spath="%USERPROFILE%\AppData\Local\Temp\OnboardLogs" /stypes="app*4032*20170214*" /stext=" 23:.+((SYSTEM_STATE.+slice.+state.+changed )|(ment ac)|(multiple cpu faults)|(system.+state.+changed )|(\[timeout)|(PRM\|1\|D)|(kpr)|(kdp)|(\|lc)|(penalty)|(RTDC:00:00000204:00000036:00006526))" /e /r /s</v>
      </c>
      <c r="AG71" s="1" t="str">
        <f t="shared" si="34"/>
        <v>EC</v>
      </c>
      <c r="AH71" s="86" t="str">
        <f t="shared" si="19"/>
        <v>"%USERPROFILE%\Documents\GitHub\eaglep3\Utilities\RefineRTDCRunTimes.py" --tripid 190-14 --locoid 4032 --swversion DE.1.0.8.0 --startMP 204:64074 --initTime 2017-02-14T16:11:42 --startdatetime 2017-02-14T16:12:52 --delay 1 --endMP 204:136 --enddatetime 2017-02-14T16:29:44 --enforcementcount 0 &gt;&gt;C:\Users\stu\Documents\GitHub\eaglep3-reporting\EC\2017-02-14-refined-times.txt</v>
      </c>
      <c r="AI71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lock","project_id":79,"tracker_id":40,"status_id":1,"priority_id":2,"assigned_to_id":23,"start_date":"2017-02-14","description":"","custom_fields":[{"id":1,"name":"Subdivision","value":"EC"},{"id":4,"name":"Milepost","value":"0.0136"},{"id":17,"name":"Train ID","value":"190-14"},{"id":16,"name":"Locomotive ID","value":"4032"},{"id":130,"name":"Impact","value":""},{"id":150,"name":"Time of Event (Mountain Time)","value":"16:29:44"},{"id":151,"name":"Denver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1"/>
        <v>start /low /b %USERPROFILE%\Documents\GitHub\eaglep3\Utilities\DownloadLogsFromS3.py --loco 4032 --day 2017-02-14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578</v>
      </c>
      <c r="B72" s="7">
        <v>4027</v>
      </c>
      <c r="C72" s="21" t="s">
        <v>192</v>
      </c>
      <c r="D72" s="21" t="s">
        <v>703</v>
      </c>
      <c r="E72" s="13">
        <v>42780.61378472222</v>
      </c>
      <c r="F72" s="13">
        <v>42780.617314814815</v>
      </c>
      <c r="G72" s="7">
        <v>5</v>
      </c>
      <c r="H72" s="21" t="s">
        <v>669</v>
      </c>
      <c r="I72" s="13">
        <v>42780.638194444444</v>
      </c>
      <c r="J72" s="7">
        <v>0</v>
      </c>
      <c r="K72" s="98" t="str">
        <f t="shared" si="24"/>
        <v>4027/4028</v>
      </c>
      <c r="L72" s="21" t="str">
        <f>VLOOKUP(A72,'Trips&amp;Operators'!$C$1:$G$99999,5,FALSE)</f>
        <v>BRANNON JEFFREY</v>
      </c>
      <c r="M72" s="6">
        <f t="shared" si="25"/>
        <v>2.0879629628325347E-2</v>
      </c>
      <c r="N72" s="7">
        <f>24*60*SUM($M72:$M72)</f>
        <v>30.066666664788499</v>
      </c>
      <c r="O72" s="7"/>
      <c r="P72" s="7"/>
      <c r="Q72" s="22"/>
      <c r="R72" s="22"/>
      <c r="S72" s="31">
        <f t="shared" si="23"/>
        <v>1</v>
      </c>
      <c r="T72" s="46" t="str">
        <f t="shared" si="26"/>
        <v>NorthBound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10</v>
      </c>
      <c r="V72" s="187" t="str">
        <f t="shared" si="27"/>
        <v>https://d0f6bd738d7f1b3e5a7ca70fe4ff75f0.us-east-1.aws.found.io/app/kibana#/discover/Steve-Slow-Train-Analysis-(2080s-and-2083s)?_g=(refreshInterval:(display:Off,pause:!f,section:0,value:0),time:(from:'2017-02-14T13:43:51-0700',mode:absolute,to:'2017-02-14T16:19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188" t="str">
        <f t="shared" si="28"/>
        <v>N</v>
      </c>
      <c r="X72" s="188">
        <f t="shared" si="36"/>
        <v>1</v>
      </c>
      <c r="Y72" s="62">
        <f t="shared" si="29"/>
        <v>7.7499999999999999E-2</v>
      </c>
      <c r="Z72" s="62">
        <f t="shared" si="35"/>
        <v>8.6379000000000001</v>
      </c>
      <c r="AA72" s="62">
        <f t="shared" si="30"/>
        <v>8.5603999999999996</v>
      </c>
      <c r="AB72" s="59" t="e">
        <f>VLOOKUP(A72,Enforcements!$C$7:$K$14,8,0)</f>
        <v>#N/A</v>
      </c>
      <c r="AC72" s="55" t="e">
        <f>VLOOKUP(A72,Enforcements!$C$7:$E$14,3,0)</f>
        <v>#N/A</v>
      </c>
      <c r="AD72" s="56" t="str">
        <f t="shared" si="31"/>
        <v>0191-14</v>
      </c>
      <c r="AE72" s="85" t="str">
        <f t="shared" si="32"/>
        <v>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 &amp; 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</v>
      </c>
      <c r="AF72" s="82" t="str">
        <f t="shared" si="33"/>
        <v>"C:\Program Files (x86)\AstroGrep\AstroGrep.exe" /spath="%USERPROFILE%\AppData\Local\Temp\OnboardLogs" /stypes="app*4027*20170214*" /stext=" 22:.+((SYSTEM_STATE.+slice.+state.+changed )|(ment ac)|(multiple cpu faults)|(system.+state.+changed )|(\[timeout)|(PRM\|1\|D)|(kpr)|(kdp)|(\|lc)|(penalty)|(RTDC:00:00000204:00000036:00006526))" /e /r /s</v>
      </c>
      <c r="AG72" s="1" t="str">
        <f t="shared" si="34"/>
        <v>EC</v>
      </c>
      <c r="AH72" s="86" t="str">
        <f t="shared" si="19"/>
        <v>"%USERPROFILE%\Documents\GitHub\eaglep3\Utilities\RefineRTDCRunTimes.py" --tripid 191-14 --locoid 4027 --swversion DE.1.0.8.0 --startMP 204:775 --initTime 2017-02-14T14:43:51 --startdatetime 2017-02-14T14:48:56 --delay 5 --endMP 204:86379 --enddatetime 2017-02-14T15:19:00 --enforcementcount 0 &gt;&gt;C:\Users\stu\Documents\GitHub\eaglep3-reporting\EC\2017-02-14-refined-times.txt</v>
      </c>
      <c r="AI72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ID","value":"191-14"},{"id":16,"name":"Locomotive ID","value":"4027"},{"id":130,"name":"Impact","value":""},{"id":150,"name":"Time of Event (Mountain Time)","value":"15:19:00"},{"id":151,"name":"Denver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1"/>
        <v>start /low /b %USERPROFILE%\Documents\GitHub\eaglep3\Utilities\DownloadLogsFromS3.py --loco 4027 --day 2017-02-14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"%USERPROFILE%\AppData\Local\Temp\OnboardLogs"\RTDC4027\*4027*20170214* | grep -SE "(Enforcement Action)|(\[TIMEOUT)|(CHR.+\|PRM\|1\|D.+(SWITCH|SIGNAL).+UNKNOWN)" - &gt;&gt; 2017-02-14-UncaughtWiMAX.txt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579</v>
      </c>
      <c r="B73" s="7">
        <v>4029</v>
      </c>
      <c r="C73" s="21" t="s">
        <v>192</v>
      </c>
      <c r="D73" s="21" t="s">
        <v>668</v>
      </c>
      <c r="E73" s="13">
        <v>42780.633912037039</v>
      </c>
      <c r="F73" s="13">
        <v>42780.635162037041</v>
      </c>
      <c r="G73" s="7">
        <v>1</v>
      </c>
      <c r="H73" s="21" t="s">
        <v>704</v>
      </c>
      <c r="I73" s="13">
        <v>42780.651747685188</v>
      </c>
      <c r="J73" s="7">
        <v>0</v>
      </c>
      <c r="K73" s="98" t="str">
        <f t="shared" si="24"/>
        <v>4029/4030</v>
      </c>
      <c r="L73" s="21" t="str">
        <f>VLOOKUP(A73,'Trips&amp;Operators'!$C$1:$G$99999,5,FALSE)</f>
        <v>DAVIS MICHAEL</v>
      </c>
      <c r="M73" s="6">
        <f t="shared" si="25"/>
        <v>1.6585648147156462E-2</v>
      </c>
      <c r="N73" s="7"/>
      <c r="O73" s="7"/>
      <c r="P73" s="7">
        <f>24*60*SUM($M73:$M73)</f>
        <v>23.883333331905305</v>
      </c>
      <c r="Q73" s="22"/>
      <c r="R73" s="22" t="s">
        <v>858</v>
      </c>
      <c r="S73" s="31">
        <f t="shared" si="23"/>
        <v>0.9</v>
      </c>
      <c r="T73" s="46" t="str">
        <f t="shared" si="26"/>
        <v>NorthBound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9</v>
      </c>
      <c r="V73" s="187" t="str">
        <f t="shared" si="27"/>
        <v>https://d0f6bd738d7f1b3e5a7ca70fe4ff75f0.us-east-1.aws.found.io/app/kibana#/discover/Steve-Slow-Train-Analysis-(2080s-and-2083s)?_g=(refreshInterval:(display:Off,pause:!f,section:0,value:0),time:(from:'2017-02-14T14:12:50-0700',mode:absolute,to:'2017-02-14T16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3" s="188" t="str">
        <f t="shared" si="28"/>
        <v>Y</v>
      </c>
      <c r="X73" s="188">
        <f t="shared" si="36"/>
        <v>2</v>
      </c>
      <c r="Y73" s="62">
        <f t="shared" si="29"/>
        <v>7.6999999999999999E-2</v>
      </c>
      <c r="Z73" s="62">
        <f t="shared" si="35"/>
        <v>6.7675000000000001</v>
      </c>
      <c r="AA73" s="62">
        <f t="shared" si="30"/>
        <v>6.6905000000000001</v>
      </c>
      <c r="AB73" s="59" t="e">
        <f>VLOOKUP(A73,Enforcements!$C$7:$K$14,8,0)</f>
        <v>#N/A</v>
      </c>
      <c r="AC73" s="55" t="e">
        <f>VLOOKUP(A73,Enforcements!$C$7:$E$14,3,0)</f>
        <v>#N/A</v>
      </c>
      <c r="AD73" s="56" t="str">
        <f t="shared" si="31"/>
        <v>0193-14</v>
      </c>
      <c r="AE73" s="85" t="str">
        <f t="shared" si="32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73" s="82" t="str">
        <f t="shared" si="33"/>
        <v>"C:\Program Files (x86)\AstroGrep\AstroGrep.exe" /spath="%USERPROFILE%\AppData\Local\Temp\OnboardLogs" /stypes="app*4029*20170214*" /stext=" 22:.+((SYSTEM_STATE.+slice.+state.+changed )|(ment ac)|(multiple cpu faults)|(system.+state.+changed )|(\[timeout)|(PRM\|1\|D)|(kpr)|(kdp)|(\|lc)|(penalty)|(RTDC:00:00000204:00000036:00006526))" /e /r /s</v>
      </c>
      <c r="AG73" s="1" t="str">
        <f t="shared" si="34"/>
        <v>EC</v>
      </c>
      <c r="AH73" s="86" t="str">
        <f t="shared" si="19"/>
        <v>"%USERPROFILE%\Documents\GitHub\eaglep3\Utilities\RefineRTDCRunTimes.py" --tripid 193-14 --locoid 4029 --swversion DE.1.0.8.0 --startMP 204:770 --initTime 2017-02-14T15:12:50 --startdatetime 2017-02-14T15:14:38 --delay 1 --endMP 204:67675 --enddatetime 2017-02-14T15:38:31 --enforcementcount 0 &gt;&gt;C:\Users\stu\Documents\GitHub\eaglep3-reporting\EC\2017-02-14-refined-times.txt</v>
      </c>
      <c r="AI73" s="108" t="str">
        <f t="shared" si="20"/>
        <v>echo {"issue":{"subject":"Sand Creek 4N stuck at stop - waiting for XING arms?","project_id":79,"tracker_id":40,"status_id":1,"priority_id":2,"assigned_to_id":23,"start_date":"2017-02-14","description":"Starting at 15:24:39, 4N was receiving clear requests. However, it went to STOP around 15:29:31 and then again around 15:34:49. This seemed unusual - do logs tell anything strange?","custom_fields":[{"id":1,"name":"Subdivision","value":"EC"},{"id":4,"name":"Milepost","value":"6.7675"},{"id":17,"name":"Train ID","value":"193-14"},{"id":16,"name":"Locomotive ID","value":"4029"},{"id":130,"name":"Impact","value":"Unexpected Cut-Out or Disengaged"},{"id":150,"name":"Time of Event (Mountain Time)","value":"15:38:31"},{"id":151,"name":"Denver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73" s="48" t="s">
        <v>859</v>
      </c>
      <c r="AK73" s="48" t="s">
        <v>130</v>
      </c>
      <c r="AL73" s="48" t="s">
        <v>129</v>
      </c>
      <c r="AM73" s="154" t="str">
        <f t="shared" si="21"/>
        <v>start /low /b %USERPROFILE%\Documents\GitHub\eaglep3\Utilities\DownloadLogsFromS3.py --loco 4029 --day 2017-02-14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2017-02-14-UncaughtWiMAX.txt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590</v>
      </c>
      <c r="B74" s="7">
        <v>4019</v>
      </c>
      <c r="C74" s="21" t="s">
        <v>192</v>
      </c>
      <c r="D74" s="21" t="s">
        <v>705</v>
      </c>
      <c r="E74" s="13">
        <v>42780.706412037034</v>
      </c>
      <c r="F74" s="13">
        <v>42780.707083333335</v>
      </c>
      <c r="G74" s="7">
        <v>0</v>
      </c>
      <c r="H74" s="21" t="s">
        <v>204</v>
      </c>
      <c r="I74" s="13">
        <v>42780.720879629633</v>
      </c>
      <c r="J74" s="7">
        <v>0</v>
      </c>
      <c r="K74" s="98" t="str">
        <f t="shared" si="24"/>
        <v>4019/4020</v>
      </c>
      <c r="L74" s="21" t="str">
        <f>VLOOKUP(A74,'Trips&amp;Operators'!$C$1:$G$99999,5,FALSE)</f>
        <v>LEVERE CRAIG</v>
      </c>
      <c r="M74" s="6">
        <f t="shared" si="25"/>
        <v>1.3796296298096422E-2</v>
      </c>
      <c r="N74" s="7"/>
      <c r="O74" s="7"/>
      <c r="P74" s="7">
        <f>24*60*SUM($M74:$M74)</f>
        <v>19.866666669258848</v>
      </c>
      <c r="Q74" s="22"/>
      <c r="R74" s="22" t="s">
        <v>862</v>
      </c>
      <c r="S74" s="31">
        <f t="shared" ref="S74" si="39">SUM(U74:U74)/IF(AG74="EC",10,1)</f>
        <v>0.9</v>
      </c>
      <c r="T74" s="46" t="str">
        <f t="shared" si="26"/>
        <v>Southbound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9</v>
      </c>
      <c r="V74" s="187" t="str">
        <f t="shared" si="27"/>
        <v>https://d0f6bd738d7f1b3e5a7ca70fe4ff75f0.us-east-1.aws.found.io/app/kibana#/discover/Steve-Slow-Train-Analysis-(2080s-and-2083s)?_g=(refreshInterval:(display:Off,pause:!f,section:0,value:0),time:(from:'2017-02-14T15:57:14-0700',mode:absolute,to:'2017-02-14T18:18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188" t="str">
        <f t="shared" si="28"/>
        <v>Y</v>
      </c>
      <c r="X74" s="188">
        <f t="shared" si="36"/>
        <v>3</v>
      </c>
      <c r="Y74" s="62">
        <f t="shared" si="29"/>
        <v>6.4104000000000001</v>
      </c>
      <c r="Z74" s="62">
        <f t="shared" si="35"/>
        <v>1.6E-2</v>
      </c>
      <c r="AA74" s="62">
        <f t="shared" si="30"/>
        <v>6.3944000000000001</v>
      </c>
      <c r="AB74" s="59" t="e">
        <f>VLOOKUP(A74,Enforcements!$C$7:$K$14,8,0)</f>
        <v>#N/A</v>
      </c>
      <c r="AC74" s="55" t="e">
        <f>VLOOKUP(A74,Enforcements!$C$7:$E$14,3,0)</f>
        <v>#N/A</v>
      </c>
      <c r="AD74" s="56" t="str">
        <f t="shared" si="31"/>
        <v>0196-14</v>
      </c>
      <c r="AE74" s="85" t="str">
        <f t="shared" si="32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74" s="82" t="str">
        <f t="shared" si="33"/>
        <v>"C:\Program Files (x86)\AstroGrep\AstroGrep.exe" /spath="%USERPROFILE%\AppData\Local\Temp\OnboardLogs" /stypes="app*4019*20170215*" /stext=" 00:.+((SYSTEM_STATE.+slice.+state.+changed )|(ment ac)|(multiple cpu faults)|(system.+state.+changed )|(\[timeout)|(PRM\|1\|D)|(kpr)|(kdp)|(\|lc)|(penalty)|(RTDC:00:00000204:00000036:00006526))" /e /r /s</v>
      </c>
      <c r="AG74" s="1" t="str">
        <f t="shared" si="34"/>
        <v>EC</v>
      </c>
      <c r="AH74" s="86" t="str">
        <f t="shared" si="19"/>
        <v>"%USERPROFILE%\Documents\GitHub\eaglep3\Utilities\RefineRTDCRunTimes.py" --tripid 196-14 --locoid 4019 --swversion DE.1.0.8.0 --startMP 204:64104 --initTime 2017-02-14T16:57:14 --startdatetime 2017-02-14T16:58:12 --delay 0 --endMP 204:160 --enddatetime 2017-02-14T17:18:04 --enforcementcount 0 &gt;&gt;C:\Users\stu\Documents\GitHub\eaglep3-reporting\EC\2017-02-14-refined-times.txt</v>
      </c>
      <c r="AI74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lock","project_id":79,"tracker_id":40,"status_id":1,"priority_id":2,"assigned_to_id":23,"start_date":"2017-02-14","description":"","custom_fields":[{"id":1,"name":"Subdivision","value":"EC"},{"id":4,"name":"Milepost","value":"0.016"},{"id":17,"name":"Train ID","value":"196-14"},{"id":16,"name":"Locomotive ID","value":"4019"},{"id":130,"name":"Impact","value":""},{"id":150,"name":"Time of Event (Mountain Time)","value":"17:18:04"},{"id":151,"name":"Denver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1"/>
        <v>start /low /b %USERPROFILE%\Documents\GitHub\eaglep3\Utilities\DownloadLogsFromS3.py --loco 4019 --day 2017-02-14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2017-02-14-UncaughtWiMAX.txt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590</v>
      </c>
      <c r="B75" s="7">
        <v>4019</v>
      </c>
      <c r="C75" s="21" t="s">
        <v>192</v>
      </c>
      <c r="D75" s="21" t="s">
        <v>651</v>
      </c>
      <c r="E75" s="13">
        <v>42780.686493055553</v>
      </c>
      <c r="F75" s="13">
        <v>42780.688784722224</v>
      </c>
      <c r="G75" s="7">
        <v>3</v>
      </c>
      <c r="H75" s="21" t="s">
        <v>651</v>
      </c>
      <c r="I75" s="13">
        <v>42780.690497685187</v>
      </c>
      <c r="J75" s="7">
        <v>0</v>
      </c>
      <c r="K75" s="98" t="str">
        <f t="shared" si="24"/>
        <v>4019/4020</v>
      </c>
      <c r="L75" s="21" t="str">
        <f>VLOOKUP(A75,'Trips&amp;Operators'!$C$1:$G$99999,5,FALSE)</f>
        <v>LEVERE CRAIG</v>
      </c>
      <c r="M75" s="6">
        <f t="shared" si="25"/>
        <v>1.7129629632108845E-3</v>
      </c>
      <c r="N75" s="7"/>
      <c r="O75" s="7"/>
      <c r="P75" s="7"/>
      <c r="Q75" s="22"/>
      <c r="R75" s="22"/>
      <c r="S75" s="31"/>
      <c r="T75" s="46" t="str">
        <f t="shared" si="26"/>
        <v>Southbound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187" t="str">
        <f t="shared" si="27"/>
        <v>https://d0f6bd738d7f1b3e5a7ca70fe4ff75f0.us-east-1.aws.found.io/app/kibana#/discover/Steve-Slow-Train-Analysis-(2080s-and-2083s)?_g=(refreshInterval:(display:Off,pause:!f,section:0,value:0),time:(from:'2017-02-14T15:28:33-0700',mode:absolute,to:'2017-02-14T17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5" s="188" t="str">
        <f t="shared" si="28"/>
        <v>Y</v>
      </c>
      <c r="X75" s="188">
        <f t="shared" si="36"/>
        <v>0</v>
      </c>
      <c r="Y75" s="62">
        <f t="shared" si="29"/>
        <v>8.6350999999999996</v>
      </c>
      <c r="Z75" s="62">
        <f t="shared" si="35"/>
        <v>8.6350999999999996</v>
      </c>
      <c r="AA75" s="62">
        <f t="shared" si="30"/>
        <v>0</v>
      </c>
      <c r="AB75" s="59" t="e">
        <f>VLOOKUP(A75,Enforcements!$C$7:$K$14,8,0)</f>
        <v>#N/A</v>
      </c>
      <c r="AC75" s="55" t="e">
        <f>VLOOKUP(A75,Enforcements!$C$7:$E$14,3,0)</f>
        <v>#N/A</v>
      </c>
      <c r="AD75" s="56" t="str">
        <f t="shared" si="31"/>
        <v>0196-14</v>
      </c>
      <c r="AE75" s="85" t="str">
        <f t="shared" si="32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75" s="82" t="str">
        <f t="shared" si="33"/>
        <v>"C:\Program Files (x86)\AstroGrep\AstroGrep.exe" /spath="%USERPROFILE%\AppData\Local\Temp\OnboardLogs" /stypes="app*4019*20170214*" /stext=" 23:.+((SYSTEM_STATE.+slice.+state.+changed )|(ment ac)|(multiple cpu faults)|(system.+state.+changed )|(\[timeout)|(PRM\|1\|D)|(kpr)|(kdp)|(\|lc)|(penalty)|(RTDC:00:00000204:00000036:00006526))" /e /r /s</v>
      </c>
      <c r="AG75" s="1" t="str">
        <f t="shared" si="34"/>
        <v>EC</v>
      </c>
      <c r="AH75" s="86" t="str">
        <f t="shared" si="19"/>
        <v>"%USERPROFILE%\Documents\GitHub\eaglep3\Utilities\RefineRTDCRunTimes.py" --tripid 196-14 --locoid 4019 --swversion DE.1.0.8.0 --startMP 204:86351 --initTime 2017-02-14T16:28:33 --startdatetime 2017-02-14T16:31:51 --delay 3 --endMP 204:86351 --enddatetime 2017-02-14T16:34:19 --enforcementcount 0 &gt;&gt;C:\Users\stu\Documents\GitHub\eaglep3-reporting\EC\2017-02-14-refined-times.txt</v>
      </c>
      <c r="AI75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ID","value":"196-14"},{"id":16,"name":"Locomotive ID","value":"4019"},{"id":130,"name":"Impact","value":""},{"id":150,"name":"Time of Event (Mountain Time)","value":"16:34:19"},{"id":151,"name":"Denver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1"/>
        <v>start /low /b %USERPROFILE%\Documents\GitHub\eaglep3\Utilities\DownloadLogsFromS3.py --loco 4019 --day 2017-02-14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2017-02-14-UncaughtWiMAX.txt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491</v>
      </c>
      <c r="B76" s="7">
        <v>4012</v>
      </c>
      <c r="C76" s="21" t="s">
        <v>192</v>
      </c>
      <c r="D76" s="21" t="s">
        <v>705</v>
      </c>
      <c r="E76" s="13">
        <v>42780.716446759259</v>
      </c>
      <c r="F76" s="13">
        <v>42780.717048611114</v>
      </c>
      <c r="G76" s="7">
        <v>0</v>
      </c>
      <c r="H76" s="21" t="s">
        <v>706</v>
      </c>
      <c r="I76" s="13">
        <v>42780.727986111109</v>
      </c>
      <c r="J76" s="7">
        <v>0</v>
      </c>
      <c r="K76" s="98" t="str">
        <f t="shared" si="24"/>
        <v>4011/4012</v>
      </c>
      <c r="L76" s="21" t="str">
        <f>VLOOKUP(A76,'Trips&amp;Operators'!$C$1:$G$99999,5,FALSE)</f>
        <v>ROMERO CHAD</v>
      </c>
      <c r="M76" s="6">
        <f t="shared" si="25"/>
        <v>1.0937499995634425E-2</v>
      </c>
      <c r="N76" s="7"/>
      <c r="O76" s="7"/>
      <c r="P76" s="7">
        <f>24*60*SUM($M76:$M76)</f>
        <v>15.749999993713573</v>
      </c>
      <c r="Q76" s="22"/>
      <c r="R76" s="22" t="s">
        <v>862</v>
      </c>
      <c r="S76" s="31">
        <f t="shared" ref="S76" si="40">SUM(U76:U76)/IF(AG76="EC",10,1)</f>
        <v>0.9</v>
      </c>
      <c r="T76" s="46" t="str">
        <f t="shared" si="26"/>
        <v>Southbound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9</v>
      </c>
      <c r="V76" s="187" t="str">
        <f t="shared" si="27"/>
        <v>https://d0f6bd738d7f1b3e5a7ca70fe4ff75f0.us-east-1.aws.found.io/app/kibana#/discover/Steve-Slow-Train-Analysis-(2080s-and-2083s)?_g=(refreshInterval:(display:Off,pause:!f,section:0,value:0),time:(from:'2017-02-14T16:11:41-0700',mode:absolute,to:'2017-02-14T18:28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6" s="188" t="str">
        <f t="shared" si="28"/>
        <v>Y</v>
      </c>
      <c r="X76" s="188">
        <f t="shared" si="36"/>
        <v>2</v>
      </c>
      <c r="Y76" s="62">
        <f t="shared" si="29"/>
        <v>6.4104000000000001</v>
      </c>
      <c r="Z76" s="62">
        <f t="shared" si="35"/>
        <v>6.3E-3</v>
      </c>
      <c r="AA76" s="62">
        <f t="shared" si="30"/>
        <v>6.4040999999999997</v>
      </c>
      <c r="AB76" s="59" t="str">
        <f>VLOOKUP(A76,Enforcements!$C$7:$K$14,8,0)</f>
        <v>Form based authority (4)</v>
      </c>
      <c r="AC76" s="55" t="str">
        <f>VLOOKUP(A76,Enforcements!$C$7:$E$14,3,0)</f>
        <v>TRACK WARRANT AUTHORITY</v>
      </c>
      <c r="AD76" s="56" t="str">
        <f t="shared" si="31"/>
        <v>0198-14</v>
      </c>
      <c r="AE76" s="85" t="str">
        <f t="shared" si="32"/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76" s="82" t="str">
        <f t="shared" si="33"/>
        <v>"C:\Program Files (x86)\AstroGrep\AstroGrep.exe" /spath="%USERPROFILE%\AppData\Local\Temp\OnboardLogs" /stypes="app*4012*20170215*" /stext=" 00:.+((SYSTEM_STATE.+slice.+state.+changed )|(ment ac)|(multiple cpu faults)|(system.+state.+changed )|(\[timeout)|(PRM\|1\|D)|(kpr)|(kdp)|(\|lc)|(penalty)|(RTDC:00:00000204:00000036:00006526))" /e /r /s</v>
      </c>
      <c r="AG76" s="1" t="str">
        <f t="shared" si="34"/>
        <v>EC</v>
      </c>
      <c r="AH76" s="86" t="str">
        <f t="shared" si="19"/>
        <v>"%USERPROFILE%\Documents\GitHub\eaglep3\Utilities\RefineRTDCRunTimes.py" --tripid 198-14 --locoid 4012 --swversion DE.1.0.8.0 --startMP 204:64104 --initTime 2017-02-14T17:11:41 --startdatetime 2017-02-14T17:12:33 --delay 0 --endMP 204:63 --enddatetime 2017-02-14T17:28:18 --enforcementcount 0 &gt;&gt;C:\Users\stu\Documents\GitHub\eaglep3-reporting\EC\2017-02-14-refined-times.txt</v>
      </c>
      <c r="AI76" s="108" t="str">
        <f t="shared" si="20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lock","project_id":79,"tracker_id":40,"status_id":1,"priority_id":2,"assigned_to_id":23,"start_date":"2017-02-14","description":"","custom_fields":[{"id":1,"name":"Subdivision","value":"EC"},{"id":4,"name":"Milepost","value":"0.0063"},{"id":17,"name":"Train ID","value":"198-14"},{"id":16,"name":"Locomotive ID","value":"4012"},{"id":130,"name":"Impact","value":""},{"id":150,"name":"Time of Event (Mountain Time)","value":"17:28:18"},{"id":151,"name":"Denver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1"/>
        <v>start /low /b %USERPROFILE%\Documents\GitHub\eaglep3\Utilities\DownloadLogsFromS3.py --loco 4012 --day 2017-02-14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2017-02-14-UncaughtWiMAX.txt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x14ac:dyDescent="0.25">
      <c r="A77" s="33" t="s">
        <v>491</v>
      </c>
      <c r="B77" s="7">
        <v>4012</v>
      </c>
      <c r="C77" s="21" t="s">
        <v>192</v>
      </c>
      <c r="D77" s="21" t="s">
        <v>651</v>
      </c>
      <c r="E77" s="13">
        <v>42780.700243055559</v>
      </c>
      <c r="F77" s="13">
        <v>42780.701435185183</v>
      </c>
      <c r="G77" s="7">
        <v>1</v>
      </c>
      <c r="H77" s="21" t="s">
        <v>651</v>
      </c>
      <c r="I77" s="13">
        <v>42780.702824074076</v>
      </c>
      <c r="J77" s="7">
        <v>0</v>
      </c>
      <c r="K77" s="98" t="str">
        <f t="shared" ref="K77:K108" si="41">IF(ISEVEN(B77),(B77-1)&amp;"/"&amp;B77,B77&amp;"/"&amp;(B77+1))</f>
        <v>4011/4012</v>
      </c>
      <c r="L77" s="21" t="str">
        <f>VLOOKUP(A77,'Trips&amp;Operators'!$C$1:$G$99999,5,FALSE)</f>
        <v>ROMERO CHAD</v>
      </c>
      <c r="M77" s="6">
        <f t="shared" ref="M77:M108" si="42">I77-F77</f>
        <v>1.3888888934161514E-3</v>
      </c>
      <c r="N77" s="7"/>
      <c r="O77" s="7"/>
      <c r="P77" s="7"/>
      <c r="Q77" s="22"/>
      <c r="R77" s="22"/>
      <c r="S77" s="31"/>
      <c r="T77" s="46" t="str">
        <f t="shared" ref="T77:T108" si="43">IF(ISEVEN(LEFT(AD77,4)),"Southbound","NorthBound")</f>
        <v>Southbound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187" t="str">
        <f t="shared" ref="V77:V108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-14T15:48:21-0700',mode:absolute,to:'2017-02-14T17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7" s="188" t="str">
        <f t="shared" ref="W77:W108" si="45">IF(AA77&lt;IF(AG77="EC",8.55,5.65),"Y","N")</f>
        <v>Y</v>
      </c>
      <c r="X77" s="188">
        <f t="shared" si="36"/>
        <v>0</v>
      </c>
      <c r="Y77" s="62">
        <f t="shared" ref="Y77:Y108" si="46">RIGHT(D77,LEN(D77)-4)/10000</f>
        <v>8.6350999999999996</v>
      </c>
      <c r="Z77" s="62">
        <f t="shared" si="35"/>
        <v>8.6350999999999996</v>
      </c>
      <c r="AA77" s="62">
        <f t="shared" ref="AA77:AA108" si="47">ABS(Z77-Y77)</f>
        <v>0</v>
      </c>
      <c r="AB77" s="59" t="str">
        <f>VLOOKUP(A77,Enforcements!$C$7:$K$14,8,0)</f>
        <v>Form based authority (4)</v>
      </c>
      <c r="AC77" s="55" t="str">
        <f>VLOOKUP(A77,Enforcements!$C$7:$E$14,3,0)</f>
        <v>TRACK WARRANT AUTHORITY</v>
      </c>
      <c r="AD77" s="56" t="str">
        <f t="shared" ref="AD77:AD108" si="48">IF(LEN(A77)=6,"0"&amp;A77,A77)</f>
        <v>0198-14</v>
      </c>
      <c r="AE77" s="85" t="str">
        <f t="shared" ref="AE77:AE108" si="4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77" s="82" t="str">
        <f t="shared" ref="AF77:AF108" si="50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/stypes="app*4012*20170214*" /stext=" 23:.+((SYSTEM_STATE.+slice.+state.+changed )|(ment ac)|(multiple cpu faults)|(system.+state.+changed )|(\[timeout)|(PRM\|1\|D)|(kpr)|(kdp)|(\|lc)|(penalty)|(RTDC:00:00000204:00000036:00006526))" /e /r /s</v>
      </c>
      <c r="AG77" s="1" t="str">
        <f t="shared" ref="AG77:AG108" si="51">IFERROR(IF(VALUE(LEFT(AD77,2))&lt;=2,"EC",IF(OR(VALUE(LEFT(AD77,2))=8,VALUE(LEFT(AD77,2))=18),"NW","Other")),"Other")</f>
        <v>EC</v>
      </c>
      <c r="AH77" s="86" t="str">
        <f t="shared" si="19"/>
        <v>"%USERPROFILE%\Documents\GitHub\eaglep3\Utilities\RefineRTDCRunTimes.py" --tripid 198-14 --locoid 4012 --swversion DE.1.0.8.0 --startMP 204:86351 --initTime 2017-02-14T16:48:21 --startdatetime 2017-02-14T16:50:04 --delay 1 --endMP 204:86351 --enddatetime 2017-02-14T16:52:04 --enforcementcount 0 &gt;&gt;C:\Users\stu\Documents\GitHub\eaglep3-reporting\EC\2017-02-14-refined-times.txt</v>
      </c>
      <c r="AI77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ID","value":"198-14"},{"id":16,"name":"Locomotive ID","value":"4012"},{"id":130,"name":"Impact","value":""},{"id":150,"name":"Time of Event (Mountain Time)","value":"16:52:04"},{"id":151,"name":"Denver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1"/>
        <v>start /low /b %USERPROFILE%\Documents\GitHub\eaglep3\Utilities\DownloadLogsFromS3.py --loco 4012 --day 2017-02-14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"%USERPROFILE%\AppData\Local\Temp\OnboardLogs"\RTDC4012\*4012*20170214* | grep -SE "(Enforcement Action)|(\[TIMEOUT)|(CHR.+\|PRM\|1\|D.+(SWITCH|SIGNAL).+UNKNOWN)" - &gt;&gt; 2017-02-14-UncaughtWiMAX.txt</v>
      </c>
    </row>
    <row r="78" spans="1:91" x14ac:dyDescent="0.25">
      <c r="A78" s="33" t="s">
        <v>585</v>
      </c>
      <c r="B78" s="7">
        <v>4044</v>
      </c>
      <c r="C78" s="21" t="s">
        <v>192</v>
      </c>
      <c r="D78" s="21" t="s">
        <v>707</v>
      </c>
      <c r="E78" s="13">
        <v>42780.656805555554</v>
      </c>
      <c r="F78" s="13">
        <v>42780.660196759258</v>
      </c>
      <c r="G78" s="7">
        <v>4</v>
      </c>
      <c r="H78" s="21" t="s">
        <v>650</v>
      </c>
      <c r="I78" s="13">
        <v>42780.680937500001</v>
      </c>
      <c r="J78" s="7">
        <v>0</v>
      </c>
      <c r="K78" s="98" t="str">
        <f t="shared" si="41"/>
        <v>4043/4044</v>
      </c>
      <c r="L78" s="21" t="str">
        <f>VLOOKUP(A78,'Trips&amp;Operators'!$C$1:$G$99999,5,FALSE)</f>
        <v>CLARK KATHLEEN</v>
      </c>
      <c r="M78" s="6">
        <f t="shared" si="42"/>
        <v>2.0740740743349306E-2</v>
      </c>
      <c r="N78" s="7">
        <f>24*60*SUM($M78:$M78)</f>
        <v>29.866666670423001</v>
      </c>
      <c r="O78" s="7"/>
      <c r="P78" s="7"/>
      <c r="Q78" s="22"/>
      <c r="R78" s="22"/>
      <c r="S78" s="31">
        <f t="shared" si="23"/>
        <v>1</v>
      </c>
      <c r="T78" s="46" t="str">
        <f t="shared" si="43"/>
        <v>NorthBound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10</v>
      </c>
      <c r="V78" s="187" t="str">
        <f t="shared" si="44"/>
        <v>https://d0f6bd738d7f1b3e5a7ca70fe4ff75f0.us-east-1.aws.found.io/app/kibana#/discover/Steve-Slow-Train-Analysis-(2080s-and-2083s)?_g=(refreshInterval:(display:Off,pause:!f,section:0,value:0),time:(from:'2017-02-14T14:45:48-0700',mode:absolute,to:'2017-02-14T17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8" s="188" t="str">
        <f t="shared" si="45"/>
        <v>N</v>
      </c>
      <c r="X78" s="188">
        <f t="shared" si="36"/>
        <v>1</v>
      </c>
      <c r="Y78" s="62">
        <f t="shared" si="46"/>
        <v>6.9000000000000006E-2</v>
      </c>
      <c r="Z78" s="62">
        <f t="shared" ref="Z78:Z109" si="52">RIGHT(H78,LEN(H78)-4)/10000</f>
        <v>8.6379999999999999</v>
      </c>
      <c r="AA78" s="62">
        <f t="shared" si="47"/>
        <v>8.5689999999999991</v>
      </c>
      <c r="AB78" s="59" t="e">
        <f>VLOOKUP(A78,Enforcements!$C$7:$K$14,8,0)</f>
        <v>#N/A</v>
      </c>
      <c r="AC78" s="55" t="e">
        <f>VLOOKUP(A78,Enforcements!$C$7:$E$14,3,0)</f>
        <v>#N/A</v>
      </c>
      <c r="AD78" s="56" t="str">
        <f t="shared" si="48"/>
        <v>0199-14</v>
      </c>
      <c r="AE78" s="85" t="str">
        <f t="shared" si="49"/>
        <v>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 &amp; 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</v>
      </c>
      <c r="AF78" s="82" t="str">
        <f t="shared" si="50"/>
        <v>"C:\Program Files (x86)\AstroGrep\AstroGrep.exe" /spath="%USERPROFILE%\AppData\Local\Temp\OnboardLogs" /stypes="app*4044*20170214*" /stext=" 23:.+((SYSTEM_STATE.+slice.+state.+changed )|(ment ac)|(multiple cpu faults)|(system.+state.+changed )|(\[timeout)|(PRM\|1\|D)|(kpr)|(kdp)|(\|lc)|(penalty)|(RTDC:00:00000204:00000036:00006526))" /e /r /s</v>
      </c>
      <c r="AG78" s="1" t="str">
        <f t="shared" si="51"/>
        <v>EC</v>
      </c>
      <c r="AH78" s="86" t="str">
        <f t="shared" si="19"/>
        <v>"%USERPROFILE%\Documents\GitHub\eaglep3\Utilities\RefineRTDCRunTimes.py" --tripid 199-14 --locoid 4044 --swversion DE.1.0.8.0 --startMP 204:690 --initTime 2017-02-14T15:45:48 --startdatetime 2017-02-14T15:50:41 --delay 4 --endMP 204:86380 --enddatetime 2017-02-14T16:20:33 --enforcementcount 0 &gt;&gt;C:\Users\stu\Documents\GitHub\eaglep3-reporting\EC\2017-02-14-refined-times.txt</v>
      </c>
      <c r="AI78" s="108" t="str">
        <f t="shared" si="20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ID","value":"199-14"},{"id":16,"name":"Locomotive ID","value":"4044"},{"id":130,"name":"Impact","value":""},{"id":150,"name":"Time of Event (Mountain Time)","value":"16:20:33"},{"id":151,"name":"Denver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21"/>
        <v>start /low /b %USERPROFILE%\Documents\GitHub\eaglep3\Utilities\DownloadLogsFromS3.py --loco 4044 --day 2017-02-14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"%USERPROFILE%\AppData\Local\Temp\OnboardLogs"\RTDC4044\*4044*20170214* | grep -SE "(Enforcement Action)|(\[TIMEOUT)|(CHR.+\|PRM\|1\|D.+(SWITCH|SIGNAL).+UNKNOWN)" - &gt;&gt; 2017-02-14-UncaughtWiMAX.txt</v>
      </c>
    </row>
    <row r="79" spans="1:91" s="20" customFormat="1" x14ac:dyDescent="0.25">
      <c r="A79" s="33" t="s">
        <v>586</v>
      </c>
      <c r="B79" s="7">
        <v>4027</v>
      </c>
      <c r="C79" s="21" t="s">
        <v>192</v>
      </c>
      <c r="D79" s="21" t="s">
        <v>708</v>
      </c>
      <c r="E79" s="13">
        <v>42780.66978009259</v>
      </c>
      <c r="F79" s="13">
        <v>42780.670775462961</v>
      </c>
      <c r="G79" s="7">
        <v>1</v>
      </c>
      <c r="H79" s="21" t="s">
        <v>669</v>
      </c>
      <c r="I79" s="13">
        <v>42780.69809027778</v>
      </c>
      <c r="J79" s="7">
        <v>0</v>
      </c>
      <c r="K79" s="98" t="str">
        <f t="shared" si="41"/>
        <v>4027/4028</v>
      </c>
      <c r="L79" s="21" t="str">
        <f>VLOOKUP(A79,'Trips&amp;Operators'!$C$1:$G$99999,5,FALSE)</f>
        <v>CRAYTON QUNTRELL</v>
      </c>
      <c r="M79" s="6">
        <f t="shared" si="42"/>
        <v>2.7314814818964805E-2</v>
      </c>
      <c r="N79" s="7">
        <f>24*60*SUM($M79:$M79)</f>
        <v>39.33333333930932</v>
      </c>
      <c r="O79" s="7"/>
      <c r="P79" s="7"/>
      <c r="Q79" s="22"/>
      <c r="R79" s="22"/>
      <c r="S79" s="31">
        <f t="shared" si="23"/>
        <v>1</v>
      </c>
      <c r="T79" s="46" t="str">
        <f t="shared" si="43"/>
        <v>NorthBound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10</v>
      </c>
      <c r="V79" s="187" t="str">
        <f t="shared" si="44"/>
        <v>https://d0f6bd738d7f1b3e5a7ca70fe4ff75f0.us-east-1.aws.found.io/app/kibana#/discover/Steve-Slow-Train-Analysis-(2080s-and-2083s)?_g=(refreshInterval:(display:Off,pause:!f,section:0,value:0),time:(from:'2017-02-14T15:04:29-0700',mode:absolute,to:'2017-02-14T17:45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188" t="str">
        <f t="shared" si="45"/>
        <v>N</v>
      </c>
      <c r="X79" s="188">
        <f t="shared" si="36"/>
        <v>2</v>
      </c>
      <c r="Y79" s="62">
        <f t="shared" si="46"/>
        <v>7.6100000000000001E-2</v>
      </c>
      <c r="Z79" s="62">
        <f t="shared" si="52"/>
        <v>8.6379000000000001</v>
      </c>
      <c r="AA79" s="62">
        <f t="shared" si="47"/>
        <v>8.5617999999999999</v>
      </c>
      <c r="AB79" s="59" t="e">
        <f>VLOOKUP(A79,Enforcements!$C$7:$K$14,8,0)</f>
        <v>#N/A</v>
      </c>
      <c r="AC79" s="55" t="e">
        <f>VLOOKUP(A79,Enforcements!$C$7:$E$14,3,0)</f>
        <v>#N/A</v>
      </c>
      <c r="AD79" s="56" t="str">
        <f t="shared" si="48"/>
        <v>0201-14</v>
      </c>
      <c r="AE79" s="85" t="str">
        <f t="shared" si="49"/>
        <v>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 &amp; 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</v>
      </c>
      <c r="AF79" s="82" t="str">
        <f t="shared" si="50"/>
        <v>"C:\Program Files (x86)\AstroGrep\AstroGrep.exe" /spath="%USERPROFILE%\AppData\Local\Temp\OnboardLogs" /stypes="app*4027*20170214*" /stext=" 23:.+((SYSTEM_STATE.+slice.+state.+changed )|(ment ac)|(multiple cpu faults)|(system.+state.+changed )|(\[timeout)|(PRM\|1\|D)|(kpr)|(kdp)|(\|lc)|(penalty)|(RTDC:00:00000204:00000036:00006526))" /e /r /s</v>
      </c>
      <c r="AG79" s="1" t="str">
        <f t="shared" si="51"/>
        <v>EC</v>
      </c>
      <c r="AH79" s="86" t="str">
        <f t="shared" ref="AH79:AH142" si="53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201-14 --locoid 4027 --swversion DE.1.0.8.0 --startMP 204:761 --initTime 2017-02-14T16:04:29 --startdatetime 2017-02-14T16:05:55 --delay 1 --endMP 204:86379 --enddatetime 2017-02-14T16:45:15 --enforcementcount 0 &gt;&gt;C:\Users\stu\Documents\GitHub\eaglep3-reporting\EC\2017-02-14-refined-times.txt</v>
      </c>
      <c r="AI79" s="108" t="str">
        <f t="shared" ref="AI79:AI142" si="54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ID","value":"201-14"},{"id":16,"name":"Locomotive ID","value":"4027"},{"id":130,"name":"Impact","value":""},{"id":150,"name":"Time of Event (Mountain Time)","value":"16:45:15"},{"id":151,"name":"Denver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ref="AM79:AM142" si="55">"start /low /b "&amp;dls3logs&amp;" --loco "&amp;B79&amp;" --day "&amp;TEXT(F79,"YYYY-MM-DD")</f>
        <v>start /low /b %USERPROFILE%\Documents\GitHub\eaglep3\Utilities\DownloadLogsFromS3.py --loco 4027 --day 2017-02-14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"%USERPROFILE%\AppData\Local\Temp\OnboardLogs"\RTDC4027\*4027*20170214* | grep -SE "(Enforcement Action)|(\[TIMEOUT)|(CHR.+\|PRM\|1\|D.+(SWITCH|SIGNAL).+UNKNOWN)" - &gt;&gt; 2017-02-14-UncaughtWiMAX.txt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594</v>
      </c>
      <c r="B80" s="7">
        <v>4032</v>
      </c>
      <c r="C80" s="21" t="s">
        <v>192</v>
      </c>
      <c r="D80" s="21" t="s">
        <v>700</v>
      </c>
      <c r="E80" s="13">
        <v>42780.746979166666</v>
      </c>
      <c r="F80" s="13">
        <v>42780.747546296298</v>
      </c>
      <c r="G80" s="7">
        <v>0</v>
      </c>
      <c r="H80" s="21" t="s">
        <v>411</v>
      </c>
      <c r="I80" s="13">
        <v>42780.759953703702</v>
      </c>
      <c r="J80" s="7">
        <v>0</v>
      </c>
      <c r="K80" s="98" t="str">
        <f t="shared" si="41"/>
        <v>4031/4032</v>
      </c>
      <c r="L80" s="21" t="str">
        <f>VLOOKUP(A80,'Trips&amp;Operators'!$C$1:$G$99999,5,FALSE)</f>
        <v>SWANSON BRYCE</v>
      </c>
      <c r="M80" s="6">
        <f t="shared" si="42"/>
        <v>1.2407407404680271E-2</v>
      </c>
      <c r="N80" s="7"/>
      <c r="O80" s="7"/>
      <c r="P80" s="7">
        <f>24*60*SUM($M80:$M80)</f>
        <v>17.86666666273959</v>
      </c>
      <c r="Q80" s="22"/>
      <c r="R80" s="22" t="s">
        <v>862</v>
      </c>
      <c r="S80" s="31">
        <f t="shared" si="23"/>
        <v>0.9</v>
      </c>
      <c r="T80" s="46" t="str">
        <f t="shared" si="43"/>
        <v>Southbound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9</v>
      </c>
      <c r="V80" s="187" t="str">
        <f t="shared" si="44"/>
        <v>https://d0f6bd738d7f1b3e5a7ca70fe4ff75f0.us-east-1.aws.found.io/app/kibana#/discover/Steve-Slow-Train-Analysis-(2080s-and-2083s)?_g=(refreshInterval:(display:Off,pause:!f,section:0,value:0),time:(from:'2017-02-14T16:55:39-0700',mode:absolute,to:'2017-02-14T19:14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0" s="188" t="str">
        <f t="shared" si="45"/>
        <v>Y</v>
      </c>
      <c r="X80" s="188">
        <f t="shared" ref="X80:X111" si="56">VALUE(LEFT(AD80,4))-VALUE(LEFT(AD79,4))</f>
        <v>3</v>
      </c>
      <c r="Y80" s="62">
        <f t="shared" si="46"/>
        <v>6.4111000000000002</v>
      </c>
      <c r="Z80" s="62">
        <f t="shared" si="52"/>
        <v>1.38E-2</v>
      </c>
      <c r="AA80" s="62">
        <f t="shared" si="47"/>
        <v>6.3973000000000004</v>
      </c>
      <c r="AB80" s="59" t="e">
        <f>VLOOKUP(A80,Enforcements!$C$7:$K$14,8,0)</f>
        <v>#N/A</v>
      </c>
      <c r="AC80" s="55" t="e">
        <f>VLOOKUP(A80,Enforcements!$C$7:$E$14,3,0)</f>
        <v>#N/A</v>
      </c>
      <c r="AD80" s="56" t="str">
        <f t="shared" si="48"/>
        <v>0204-14</v>
      </c>
      <c r="AE80" s="85" t="str">
        <f t="shared" si="49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80" s="82" t="str">
        <f t="shared" si="50"/>
        <v>"C:\Program Files (x86)\AstroGrep\AstroGrep.exe" /spath="%USERPROFILE%\AppData\Local\Temp\OnboardLogs" /stypes="app*4032*20170215*" /stext=" 01:.+((SYSTEM_STATE.+slice.+state.+changed )|(ment ac)|(multiple cpu faults)|(system.+state.+changed )|(\[timeout)|(PRM\|1\|D)|(kpr)|(kdp)|(\|lc)|(penalty)|(RTDC:00:00000204:00000036:00006526))" /e /r /s</v>
      </c>
      <c r="AG80" s="1" t="str">
        <f t="shared" si="51"/>
        <v>EC</v>
      </c>
      <c r="AH80" s="86" t="str">
        <f t="shared" si="53"/>
        <v>"%USERPROFILE%\Documents\GitHub\eaglep3\Utilities\RefineRTDCRunTimes.py" --tripid 204-14 --locoid 4032 --swversion DE.1.0.8.0 --startMP 204:64111 --initTime 2017-02-14T17:55:39 --startdatetime 2017-02-14T17:56:28 --delay 0 --endMP 204:138 --enddatetime 2017-02-14T18:14:20 --enforcementcount 0 &gt;&gt;C:\Users\stu\Documents\GitHub\eaglep3-reporting\EC\2017-02-14-refined-times.txt</v>
      </c>
      <c r="AI80" s="108" t="str">
        <f t="shared" si="54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lock","project_id":79,"tracker_id":40,"status_id":1,"priority_id":2,"assigned_to_id":23,"start_date":"2017-02-14","description":"","custom_fields":[{"id":1,"name":"Subdivision","value":"EC"},{"id":4,"name":"Milepost","value":"0.0138"},{"id":17,"name":"Train ID","value":"204-14"},{"id":16,"name":"Locomotive ID","value":"4032"},{"id":130,"name":"Impact","value":""},{"id":150,"name":"Time of Event (Mountain Time)","value":"18:14:20"},{"id":151,"name":"Denver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55"/>
        <v>start /low /b %USERPROFILE%\Documents\GitHub\eaglep3\Utilities\DownloadLogsFromS3.py --loco 4032 --day 2017-02-14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"%USERPROFILE%\AppData\Local\Temp\OnboardLogs"\RTDC4032\*4032*20170215* | grep -SE "(Enforcement Action)|(\[TIMEOUT)|(CHR.+\|PRM\|1\|D.+(SWITCH|SIGNAL).+UNKNOWN)" - &gt;&gt; 2017-02-14-UncaughtWiMAX.txt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594</v>
      </c>
      <c r="B81" s="7">
        <v>4032</v>
      </c>
      <c r="C81" s="21" t="s">
        <v>192</v>
      </c>
      <c r="D81" s="21" t="s">
        <v>656</v>
      </c>
      <c r="E81" s="13">
        <v>42780.725127314814</v>
      </c>
      <c r="F81" s="13">
        <v>42780.726076388892</v>
      </c>
      <c r="G81" s="7">
        <v>1</v>
      </c>
      <c r="H81" s="21" t="s">
        <v>651</v>
      </c>
      <c r="I81" s="13">
        <v>42780.729421296295</v>
      </c>
      <c r="J81" s="7">
        <v>0</v>
      </c>
      <c r="K81" s="98" t="str">
        <f t="shared" si="41"/>
        <v>4031/4032</v>
      </c>
      <c r="L81" s="21" t="str">
        <f>VLOOKUP(A81,'Trips&amp;Operators'!$C$1:$G$99999,5,FALSE)</f>
        <v>SWANSON BRYCE</v>
      </c>
      <c r="M81" s="6">
        <f t="shared" si="42"/>
        <v>3.3449074035161175E-3</v>
      </c>
      <c r="N81" s="7"/>
      <c r="O81" s="7"/>
      <c r="P81" s="7"/>
      <c r="Q81" s="22"/>
      <c r="R81" s="22"/>
      <c r="S81" s="31"/>
      <c r="T81" s="46" t="str">
        <f t="shared" si="43"/>
        <v>Southbound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0</v>
      </c>
      <c r="V81" s="187" t="str">
        <f t="shared" si="44"/>
        <v>https://d0f6bd738d7f1b3e5a7ca70fe4ff75f0.us-east-1.aws.found.io/app/kibana#/discover/Steve-Slow-Train-Analysis-(2080s-and-2083s)?_g=(refreshInterval:(display:Off,pause:!f,section:0,value:0),time:(from:'2017-02-14T16:24:11-0700',mode:absolute,to:'2017-02-14T18:30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1" s="188" t="str">
        <f t="shared" si="45"/>
        <v>Y</v>
      </c>
      <c r="X81" s="188">
        <f t="shared" si="56"/>
        <v>0</v>
      </c>
      <c r="Y81" s="62">
        <f t="shared" si="46"/>
        <v>8.6351999999999993</v>
      </c>
      <c r="Z81" s="62">
        <f t="shared" si="52"/>
        <v>8.6350999999999996</v>
      </c>
      <c r="AA81" s="62">
        <f t="shared" si="47"/>
        <v>9.9999999999766942E-5</v>
      </c>
      <c r="AB81" s="59" t="e">
        <f>VLOOKUP(A81,Enforcements!$C$7:$K$14,8,0)</f>
        <v>#N/A</v>
      </c>
      <c r="AC81" s="55" t="e">
        <f>VLOOKUP(A81,Enforcements!$C$7:$E$14,3,0)</f>
        <v>#N/A</v>
      </c>
      <c r="AD81" s="56" t="str">
        <f t="shared" si="48"/>
        <v>0204-14</v>
      </c>
      <c r="AE81" s="85" t="str">
        <f t="shared" si="49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81" s="82" t="str">
        <f t="shared" si="50"/>
        <v>"C:\Program Files (x86)\AstroGrep\AstroGrep.exe" /spath="%USERPROFILE%\AppData\Local\Temp\OnboardLogs" /stypes="app*4032*20170215*" /stext=" 00:.+((SYSTEM_STATE.+slice.+state.+changed )|(ment ac)|(multiple cpu faults)|(system.+state.+changed )|(\[timeout)|(PRM\|1\|D)|(kpr)|(kdp)|(\|lc)|(penalty)|(RTDC:00:00000204:00000036:00006526))" /e /r /s</v>
      </c>
      <c r="AG81" s="1" t="str">
        <f t="shared" si="51"/>
        <v>EC</v>
      </c>
      <c r="AH81" s="86" t="str">
        <f t="shared" si="53"/>
        <v>"%USERPROFILE%\Documents\GitHub\eaglep3\Utilities\RefineRTDCRunTimes.py" --tripid 204-14 --locoid 4032 --swversion DE.1.0.8.0 --startMP 204:86352 --initTime 2017-02-14T17:24:11 --startdatetime 2017-02-14T17:25:33 --delay 1 --endMP 204:86351 --enddatetime 2017-02-14T17:30:22 --enforcementcount 0 &gt;&gt;C:\Users\stu\Documents\GitHub\eaglep3-reporting\EC\2017-02-14-refined-times.txt</v>
      </c>
      <c r="AI81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ID","value":"204-14"},{"id":16,"name":"Locomotive ID","value":"4032"},{"id":130,"name":"Impact","value":""},{"id":150,"name":"Time of Event (Mountain Time)","value":"17:30:22"},{"id":151,"name":"Denver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55"/>
        <v>start /low /b %USERPROFILE%\Documents\GitHub\eaglep3\Utilities\DownloadLogsFromS3.py --loco 4032 --day 2017-02-14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"%USERPROFILE%\AppData\Local\Temp\OnboardLogs"\RTDC4032\*4032*20170215* | grep -SE "(Enforcement Action)|(\[TIMEOUT)|(CHR.+\|PRM\|1\|D.+(SWITCH|SIGNAL).+UNKNOWN)" - &gt;&gt; 2017-02-14-UncaughtWiMAX.txt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592</v>
      </c>
      <c r="B82" s="7">
        <v>4029</v>
      </c>
      <c r="C82" s="21" t="s">
        <v>192</v>
      </c>
      <c r="D82" s="21" t="s">
        <v>709</v>
      </c>
      <c r="E82" s="13">
        <v>42780.704664351855</v>
      </c>
      <c r="F82" s="13">
        <v>42780.706076388888</v>
      </c>
      <c r="G82" s="7">
        <v>2</v>
      </c>
      <c r="H82" s="21" t="s">
        <v>650</v>
      </c>
      <c r="I82" s="13">
        <v>42780.722071759257</v>
      </c>
      <c r="J82" s="7">
        <v>0</v>
      </c>
      <c r="K82" s="98" t="str">
        <f t="shared" si="41"/>
        <v>4029/4030</v>
      </c>
      <c r="L82" s="21" t="str">
        <f>VLOOKUP(A82,'Trips&amp;Operators'!$C$1:$G$99999,5,FALSE)</f>
        <v>BRANNON JEFFREY</v>
      </c>
      <c r="M82" s="6">
        <f t="shared" si="42"/>
        <v>1.5995370369637385E-2</v>
      </c>
      <c r="N82" s="7">
        <f>24*60*SUM($M82:$M82)</f>
        <v>23.033333332277834</v>
      </c>
      <c r="O82" s="7"/>
      <c r="P82" s="7"/>
      <c r="Q82" s="22"/>
      <c r="R82" s="22"/>
      <c r="S82" s="31">
        <f t="shared" si="23"/>
        <v>1</v>
      </c>
      <c r="T82" s="46" t="str">
        <f t="shared" si="43"/>
        <v>NorthBound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10</v>
      </c>
      <c r="V82" s="187" t="str">
        <f t="shared" si="44"/>
        <v>https://d0f6bd738d7f1b3e5a7ca70fe4ff75f0.us-east-1.aws.found.io/app/kibana#/discover/Steve-Slow-Train-Analysis-(2080s-and-2083s)?_g=(refreshInterval:(display:Off,pause:!f,section:0,value:0),time:(from:'2017-02-14T15:54:43-0700',mode:absolute,to:'2017-02-14T18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188" t="str">
        <f t="shared" si="45"/>
        <v>N</v>
      </c>
      <c r="X82" s="188">
        <f t="shared" si="56"/>
        <v>3</v>
      </c>
      <c r="Y82" s="62">
        <f t="shared" si="46"/>
        <v>7.6499999999999999E-2</v>
      </c>
      <c r="Z82" s="62">
        <f t="shared" si="52"/>
        <v>8.6379999999999999</v>
      </c>
      <c r="AA82" s="62">
        <f t="shared" si="47"/>
        <v>8.5615000000000006</v>
      </c>
      <c r="AB82" s="59" t="e">
        <f>VLOOKUP(A82,Enforcements!$C$7:$K$14,8,0)</f>
        <v>#N/A</v>
      </c>
      <c r="AC82" s="55" t="e">
        <f>VLOOKUP(A82,Enforcements!$C$7:$E$14,3,0)</f>
        <v>#N/A</v>
      </c>
      <c r="AD82" s="56" t="str">
        <f t="shared" si="48"/>
        <v>0207-14</v>
      </c>
      <c r="AE82" s="85" t="str">
        <f t="shared" si="49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82" s="82" t="str">
        <f t="shared" si="50"/>
        <v>"C:\Program Files (x86)\AstroGrep\AstroGrep.exe" /spath="%USERPROFILE%\AppData\Local\Temp\OnboardLogs" /stypes="app*4029*20170215*" /stext=" 00:.+((SYSTEM_STATE.+slice.+state.+changed )|(ment ac)|(multiple cpu faults)|(system.+state.+changed )|(\[timeout)|(PRM\|1\|D)|(kpr)|(kdp)|(\|lc)|(penalty)|(RTDC:00:00000204:00000036:00006526))" /e /r /s</v>
      </c>
      <c r="AG82" s="1" t="str">
        <f t="shared" si="51"/>
        <v>EC</v>
      </c>
      <c r="AH82" s="86" t="str">
        <f t="shared" si="53"/>
        <v>"%USERPROFILE%\Documents\GitHub\eaglep3\Utilities\RefineRTDCRunTimes.py" --tripid 207-14 --locoid 4029 --swversion DE.1.0.8.0 --startMP 204:765 --initTime 2017-02-14T16:54:43 --startdatetime 2017-02-14T16:56:45 --delay 2 --endMP 204:86380 --enddatetime 2017-02-14T17:19:47 --enforcementcount 0 &gt;&gt;C:\Users\stu\Documents\GitHub\eaglep3-reporting\EC\2017-02-14-refined-times.txt</v>
      </c>
      <c r="AI82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ID","value":"207-14"},{"id":16,"name":"Locomotive ID","value":"4029"},{"id":130,"name":"Impact","value":""},{"id":150,"name":"Time of Event (Mountain Time)","value":"17:19:47"},{"id":151,"name":"Denver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55"/>
        <v>start /low /b %USERPROFILE%\Documents\GitHub\eaglep3\Utilities\DownloadLogsFromS3.py --loco 4029 --day 2017-02-14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"%USERPROFILE%\AppData\Local\Temp\OnboardLogs"\RTDC4029\*4029*20170215* | grep -SE "(Enforcement Action)|(\[TIMEOUT)|(CHR.+\|PRM\|1\|D.+(SWITCH|SIGNAL).+UNKNOWN)" - &gt;&gt; 2017-02-14-UncaughtWiMAX.txt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603</v>
      </c>
      <c r="B83" s="7">
        <v>4019</v>
      </c>
      <c r="C83" s="21" t="s">
        <v>192</v>
      </c>
      <c r="D83" s="21" t="s">
        <v>654</v>
      </c>
      <c r="E83" s="13">
        <v>42780.767870370371</v>
      </c>
      <c r="F83" s="13">
        <v>42780.768807870372</v>
      </c>
      <c r="G83" s="7">
        <v>1</v>
      </c>
      <c r="H83" s="21" t="s">
        <v>197</v>
      </c>
      <c r="I83" s="13">
        <v>42780.781145833331</v>
      </c>
      <c r="J83" s="7">
        <v>0</v>
      </c>
      <c r="K83" s="98" t="str">
        <f t="shared" si="41"/>
        <v>4019/4020</v>
      </c>
      <c r="L83" s="21" t="str">
        <f>VLOOKUP(A83,'Trips&amp;Operators'!$C$1:$G$99999,5,FALSE)</f>
        <v>NELSON ARIANE</v>
      </c>
      <c r="M83" s="6">
        <f t="shared" si="42"/>
        <v>1.2337962958554272E-2</v>
      </c>
      <c r="N83" s="7"/>
      <c r="O83" s="7"/>
      <c r="P83" s="7">
        <f>24*60*SUM($M83:$M83)</f>
        <v>17.766666660318151</v>
      </c>
      <c r="Q83" s="22"/>
      <c r="R83" s="22" t="s">
        <v>862</v>
      </c>
      <c r="S83" s="31">
        <f t="shared" ref="S83:S84" si="57">SUM(U83:U83)/IF(AG83="EC",10,1)</f>
        <v>0.9</v>
      </c>
      <c r="T83" s="46" t="str">
        <f t="shared" si="43"/>
        <v>Southbound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9</v>
      </c>
      <c r="V83" s="187" t="str">
        <f t="shared" si="44"/>
        <v>https://d0f6bd738d7f1b3e5a7ca70fe4ff75f0.us-east-1.aws.found.io/app/kibana#/discover/Steve-Slow-Train-Analysis-(2080s-and-2083s)?_g=(refreshInterval:(display:Off,pause:!f,section:0,value:0),time:(from:'2017-02-14T17:25:44-0700',mode:absolute,to:'2017-02-14T19:44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3" s="188" t="str">
        <f t="shared" si="45"/>
        <v>Y</v>
      </c>
      <c r="X83" s="188">
        <f t="shared" si="56"/>
        <v>1</v>
      </c>
      <c r="Y83" s="62">
        <f t="shared" si="46"/>
        <v>6.4071999999999996</v>
      </c>
      <c r="Z83" s="62">
        <f t="shared" si="52"/>
        <v>1.4500000000000001E-2</v>
      </c>
      <c r="AA83" s="62">
        <f t="shared" si="47"/>
        <v>6.3926999999999996</v>
      </c>
      <c r="AB83" s="59" t="e">
        <f>VLOOKUP(A83,Enforcements!$C$7:$K$14,8,0)</f>
        <v>#N/A</v>
      </c>
      <c r="AC83" s="55" t="e">
        <f>VLOOKUP(A83,Enforcements!$C$7:$E$14,3,0)</f>
        <v>#N/A</v>
      </c>
      <c r="AD83" s="56" t="str">
        <f t="shared" si="48"/>
        <v>0208-14</v>
      </c>
      <c r="AE83" s="85" t="str">
        <f t="shared" si="49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83" s="82" t="str">
        <f t="shared" si="50"/>
        <v>"C:\Program Files (x86)\AstroGrep\AstroGrep.exe" /spath="%USERPROFILE%\AppData\Local\Temp\OnboardLogs" /stypes="app*4019*20170215*" /stext=" 01:.+((SYSTEM_STATE.+slice.+state.+changed )|(ment ac)|(multiple cpu faults)|(system.+state.+changed )|(\[timeout)|(PRM\|1\|D)|(kpr)|(kdp)|(\|lc)|(penalty)|(RTDC:00:00000204:00000036:00006526))" /e /r /s</v>
      </c>
      <c r="AG83" s="1" t="str">
        <f t="shared" si="51"/>
        <v>EC</v>
      </c>
      <c r="AH83" s="86" t="str">
        <f t="shared" si="53"/>
        <v>"%USERPROFILE%\Documents\GitHub\eaglep3\Utilities\RefineRTDCRunTimes.py" --tripid 208-14 --locoid 4019 --swversion DE.1.0.8.0 --startMP 204:64072 --initTime 2017-02-14T18:25:44 --startdatetime 2017-02-14T18:27:05 --delay 1 --endMP 204:145 --enddatetime 2017-02-14T18:44:51 --enforcementcount 0 &gt;&gt;C:\Users\stu\Documents\GitHub\eaglep3-reporting\EC\2017-02-14-refined-times.txt</v>
      </c>
      <c r="AI83" s="108" t="str">
        <f t="shared" si="54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lock","project_id":79,"tracker_id":40,"status_id":1,"priority_id":2,"assigned_to_id":23,"start_date":"2017-02-14","description":"","custom_fields":[{"id":1,"name":"Subdivision","value":"EC"},{"id":4,"name":"Milepost","value":"0.0145"},{"id":17,"name":"Train ID","value":"208-14"},{"id":16,"name":"Locomotive ID","value":"4019"},{"id":130,"name":"Impact","value":""},{"id":150,"name":"Time of Event (Mountain Time)","value":"18:44:51"},{"id":151,"name":"Denver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55"/>
        <v>start /low /b %USERPROFILE%\Documents\GitHub\eaglep3\Utilities\DownloadLogsFromS3.py --loco 4019 --day 2017-02-14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2017-02-14-UncaughtWiMAX.txt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600</v>
      </c>
      <c r="B84" s="7">
        <v>4012</v>
      </c>
      <c r="C84" s="21" t="s">
        <v>192</v>
      </c>
      <c r="D84" s="21" t="s">
        <v>710</v>
      </c>
      <c r="E84" s="13">
        <v>42780.778784722221</v>
      </c>
      <c r="F84" s="13">
        <v>42780.779479166667</v>
      </c>
      <c r="G84" s="7">
        <v>0</v>
      </c>
      <c r="H84" s="21" t="s">
        <v>194</v>
      </c>
      <c r="I84" s="13">
        <v>42780.791724537034</v>
      </c>
      <c r="J84" s="7">
        <v>0</v>
      </c>
      <c r="K84" s="98" t="str">
        <f t="shared" si="41"/>
        <v>4011/4012</v>
      </c>
      <c r="L84" s="21" t="str">
        <f>VLOOKUP(A84,'Trips&amp;Operators'!$C$1:$G$99999,5,FALSE)</f>
        <v>DAVIDSON DAVID</v>
      </c>
      <c r="M84" s="6">
        <f t="shared" si="42"/>
        <v>1.2245370366144925E-2</v>
      </c>
      <c r="N84" s="7"/>
      <c r="O84" s="7"/>
      <c r="P84" s="7">
        <f>24*60*SUM($M84:$M84)</f>
        <v>17.633333327248693</v>
      </c>
      <c r="Q84" s="22"/>
      <c r="R84" s="22" t="s">
        <v>862</v>
      </c>
      <c r="S84" s="31">
        <f t="shared" si="57"/>
        <v>0.9</v>
      </c>
      <c r="T84" s="46" t="str">
        <f t="shared" si="43"/>
        <v>Southbound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9</v>
      </c>
      <c r="V84" s="187" t="str">
        <f t="shared" si="44"/>
        <v>https://d0f6bd738d7f1b3e5a7ca70fe4ff75f0.us-east-1.aws.found.io/app/kibana#/discover/Steve-Slow-Train-Analysis-(2080s-and-2083s)?_g=(refreshInterval:(display:Off,pause:!f,section:0,value:0),time:(from:'2017-02-14T17:41:27-0700',mode:absolute,to:'2017-02-14T20:00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188" t="str">
        <f t="shared" si="45"/>
        <v>Y</v>
      </c>
      <c r="X84" s="188">
        <f t="shared" si="56"/>
        <v>2</v>
      </c>
      <c r="Y84" s="62">
        <f t="shared" si="46"/>
        <v>6.4093999999999998</v>
      </c>
      <c r="Z84" s="62">
        <f t="shared" si="52"/>
        <v>1.4999999999999999E-2</v>
      </c>
      <c r="AA84" s="62">
        <f t="shared" si="47"/>
        <v>6.3944000000000001</v>
      </c>
      <c r="AB84" s="59" t="e">
        <f>VLOOKUP(A84,Enforcements!$C$7:$K$14,8,0)</f>
        <v>#N/A</v>
      </c>
      <c r="AC84" s="55" t="e">
        <f>VLOOKUP(A84,Enforcements!$C$7:$E$14,3,0)</f>
        <v>#N/A</v>
      </c>
      <c r="AD84" s="56" t="str">
        <f t="shared" si="48"/>
        <v>0210-14</v>
      </c>
      <c r="AE84" s="85" t="str">
        <f t="shared" si="49"/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84" s="82" t="str">
        <f t="shared" si="50"/>
        <v>"C:\Program Files (x86)\AstroGrep\AstroGrep.exe" /spath="%USERPROFILE%\AppData\Local\Temp\OnboardLogs" /stypes="app*4012*20170215*" /stext=" 02:.+((SYSTEM_STATE.+slice.+state.+changed )|(ment ac)|(multiple cpu faults)|(system.+state.+changed )|(\[timeout)|(PRM\|1\|D)|(kpr)|(kdp)|(\|lc)|(penalty)|(RTDC:00:00000204:00000036:00006526))" /e /r /s</v>
      </c>
      <c r="AG84" s="1" t="str">
        <f t="shared" si="51"/>
        <v>EC</v>
      </c>
      <c r="AH84" s="86" t="str">
        <f t="shared" si="53"/>
        <v>"%USERPROFILE%\Documents\GitHub\eaglep3\Utilities\RefineRTDCRunTimes.py" --tripid 210-14 --locoid 4012 --swversion DE.1.0.8.0 --startMP 204:64094 --initTime 2017-02-14T18:41:27 --startdatetime 2017-02-14T18:42:27 --delay 0 --endMP 204:150 --enddatetime 2017-02-14T19:00:05 --enforcementcount 0 &gt;&gt;C:\Users\stu\Documents\GitHub\eaglep3-reporting\EC\2017-02-14-refined-times.txt</v>
      </c>
      <c r="AI84" s="108" t="str">
        <f t="shared" si="54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lock","project_id":79,"tracker_id":40,"status_id":1,"priority_id":2,"assigned_to_id":23,"start_date":"2017-02-14","description":"","custom_fields":[{"id":1,"name":"Subdivision","value":"EC"},{"id":4,"name":"Milepost","value":"0.015"},{"id":17,"name":"Train ID","value":"210-14"},{"id":16,"name":"Locomotive ID","value":"4012"},{"id":130,"name":"Impact","value":""},{"id":150,"name":"Time of Event (Mountain Time)","value":"19:00:05"},{"id":151,"name":"Denver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55"/>
        <v>start /low /b %USERPROFILE%\Documents\GitHub\eaglep3\Utilities\DownloadLogsFromS3.py --loco 4012 --day 2017-02-14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2017-02-14-UncaughtWiMAX.txt</v>
      </c>
    </row>
    <row r="85" spans="1:91" s="20" customFormat="1" x14ac:dyDescent="0.25">
      <c r="A85" s="33" t="s">
        <v>600</v>
      </c>
      <c r="B85" s="7">
        <v>4012</v>
      </c>
      <c r="C85" s="21" t="s">
        <v>192</v>
      </c>
      <c r="D85" s="21" t="s">
        <v>651</v>
      </c>
      <c r="E85" s="13">
        <v>42780.759548611109</v>
      </c>
      <c r="F85" s="13">
        <v>42780.760671296295</v>
      </c>
      <c r="G85" s="7">
        <v>1</v>
      </c>
      <c r="H85" s="21" t="s">
        <v>651</v>
      </c>
      <c r="I85" s="13">
        <v>42780.765532407408</v>
      </c>
      <c r="J85" s="7">
        <v>0</v>
      </c>
      <c r="K85" s="98" t="str">
        <f t="shared" si="41"/>
        <v>4011/4012</v>
      </c>
      <c r="L85" s="21" t="str">
        <f>VLOOKUP(A85,'Trips&amp;Operators'!$C$1:$G$99999,5,FALSE)</f>
        <v>DAVIDSON DAVID</v>
      </c>
      <c r="M85" s="6">
        <f t="shared" si="42"/>
        <v>4.8611111124046147E-3</v>
      </c>
      <c r="N85" s="7"/>
      <c r="O85" s="7"/>
      <c r="P85" s="7"/>
      <c r="Q85" s="22"/>
      <c r="R85" s="22"/>
      <c r="S85" s="31">
        <f t="shared" si="23"/>
        <v>0</v>
      </c>
      <c r="T85" s="46" t="str">
        <f t="shared" si="43"/>
        <v>Southbound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0</v>
      </c>
      <c r="V85" s="187" t="str">
        <f t="shared" si="44"/>
        <v>https://d0f6bd738d7f1b3e5a7ca70fe4ff75f0.us-east-1.aws.found.io/app/kibana#/discover/Steve-Slow-Train-Analysis-(2080s-and-2083s)?_g=(refreshInterval:(display:Off,pause:!f,section:0,value:0),time:(from:'2017-02-14T17:13:45-0700',mode:absolute,to:'2017-02-14T19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188" t="str">
        <f t="shared" si="45"/>
        <v>Y</v>
      </c>
      <c r="X85" s="188">
        <f t="shared" si="56"/>
        <v>0</v>
      </c>
      <c r="Y85" s="62">
        <f t="shared" si="46"/>
        <v>8.6350999999999996</v>
      </c>
      <c r="Z85" s="62">
        <f t="shared" si="52"/>
        <v>8.6350999999999996</v>
      </c>
      <c r="AA85" s="62">
        <f t="shared" si="47"/>
        <v>0</v>
      </c>
      <c r="AB85" s="59" t="e">
        <f>VLOOKUP(A85,Enforcements!$C$7:$K$14,8,0)</f>
        <v>#N/A</v>
      </c>
      <c r="AC85" s="55" t="e">
        <f>VLOOKUP(A85,Enforcements!$C$7:$E$14,3,0)</f>
        <v>#N/A</v>
      </c>
      <c r="AD85" s="56" t="str">
        <f t="shared" si="48"/>
        <v>0210-14</v>
      </c>
      <c r="AE85" s="85" t="str">
        <f t="shared" si="49"/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85" s="82" t="str">
        <f t="shared" si="50"/>
        <v>"C:\Program Files (x86)\AstroGrep\AstroGrep.exe" /spath="%USERPROFILE%\AppData\Local\Temp\OnboardLogs" /stypes="app*4012*20170215*" /stext=" 01:.+((SYSTEM_STATE.+slice.+state.+changed )|(ment ac)|(multiple cpu faults)|(system.+state.+changed )|(\[timeout)|(PRM\|1\|D)|(kpr)|(kdp)|(\|lc)|(penalty)|(RTDC:00:00000204:00000036:00006526))" /e /r /s</v>
      </c>
      <c r="AG85" s="1" t="str">
        <f t="shared" si="51"/>
        <v>EC</v>
      </c>
      <c r="AH85" s="86" t="str">
        <f t="shared" si="53"/>
        <v>"%USERPROFILE%\Documents\GitHub\eaglep3\Utilities\RefineRTDCRunTimes.py" --tripid 210-14 --locoid 4012 --swversion DE.1.0.8.0 --startMP 204:86351 --initTime 2017-02-14T18:13:45 --startdatetime 2017-02-14T18:15:22 --delay 1 --endMP 204:86351 --enddatetime 2017-02-14T18:22:22 --enforcementcount 0 &gt;&gt;C:\Users\stu\Documents\GitHub\eaglep3-reporting\EC\2017-02-14-refined-times.txt</v>
      </c>
      <c r="AI85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ID","value":"210-14"},{"id":16,"name":"Locomotive ID","value":"4012"},{"id":130,"name":"Impact","value":""},{"id":150,"name":"Time of Event (Mountain Time)","value":"18:22:22"},{"id":151,"name":"Denver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55"/>
        <v>start /low /b %USERPROFILE%\Documents\GitHub\eaglep3\Utilities\DownloadLogsFromS3.py --loco 4012 --day 2017-02-14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2017-02-14-UncaughtWiMAX.txt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595</v>
      </c>
      <c r="B86" s="7">
        <v>4044</v>
      </c>
      <c r="C86" s="21" t="s">
        <v>192</v>
      </c>
      <c r="D86" s="21" t="s">
        <v>664</v>
      </c>
      <c r="E86" s="13">
        <v>42780.726967592593</v>
      </c>
      <c r="F86" s="13">
        <v>42780.728564814817</v>
      </c>
      <c r="G86" s="7">
        <v>2</v>
      </c>
      <c r="H86" s="21" t="s">
        <v>669</v>
      </c>
      <c r="I86" s="13">
        <v>42780.74491898148</v>
      </c>
      <c r="J86" s="7">
        <v>0</v>
      </c>
      <c r="K86" s="98" t="str">
        <f t="shared" si="41"/>
        <v>4043/4044</v>
      </c>
      <c r="L86" s="21" t="str">
        <f>VLOOKUP(A86,'Trips&amp;Operators'!$C$1:$G$99999,5,FALSE)</f>
        <v>CHANDLER KELVIN</v>
      </c>
      <c r="M86" s="6">
        <f t="shared" si="42"/>
        <v>1.6354166662495118E-2</v>
      </c>
      <c r="N86" s="7">
        <f>24*60*SUM($M86:$M86)</f>
        <v>23.549999993992969</v>
      </c>
      <c r="O86" s="7"/>
      <c r="P86" s="7"/>
      <c r="Q86" s="22"/>
      <c r="R86" s="22"/>
      <c r="S86" s="31">
        <f t="shared" si="23"/>
        <v>1</v>
      </c>
      <c r="T86" s="46" t="str">
        <f t="shared" si="43"/>
        <v>NorthBound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10</v>
      </c>
      <c r="V86" s="187" t="str">
        <f t="shared" si="44"/>
        <v>https://d0f6bd738d7f1b3e5a7ca70fe4ff75f0.us-east-1.aws.found.io/app/kibana#/discover/Steve-Slow-Train-Analysis-(2080s-and-2083s)?_g=(refreshInterval:(display:Off,pause:!f,section:0,value:0),time:(from:'2017-02-14T16:26:50-0700',mode:absolute,to:'2017-02-14T18:52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6" s="188" t="str">
        <f t="shared" si="45"/>
        <v>N</v>
      </c>
      <c r="X86" s="188">
        <f t="shared" si="56"/>
        <v>1</v>
      </c>
      <c r="Y86" s="62">
        <f t="shared" si="46"/>
        <v>7.6300000000000007E-2</v>
      </c>
      <c r="Z86" s="62">
        <f t="shared" si="52"/>
        <v>8.6379000000000001</v>
      </c>
      <c r="AA86" s="62">
        <f t="shared" si="47"/>
        <v>8.5616000000000003</v>
      </c>
      <c r="AB86" s="59" t="e">
        <f>VLOOKUP(A86,Enforcements!$C$7:$K$14,8,0)</f>
        <v>#N/A</v>
      </c>
      <c r="AC86" s="55" t="e">
        <f>VLOOKUP(A86,Enforcements!$C$7:$E$14,3,0)</f>
        <v>#N/A</v>
      </c>
      <c r="AD86" s="56" t="str">
        <f t="shared" si="48"/>
        <v>0211-14</v>
      </c>
      <c r="AE86" s="85" t="str">
        <f t="shared" si="49"/>
        <v>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 &amp; 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</v>
      </c>
      <c r="AF86" s="82" t="str">
        <f t="shared" si="50"/>
        <v>"C:\Program Files (x86)\AstroGrep\AstroGrep.exe" /spath="%USERPROFILE%\AppData\Local\Temp\OnboardLogs" /stypes="app*4044*20170215*" /stext=" 00:.+((SYSTEM_STATE.+slice.+state.+changed )|(ment ac)|(multiple cpu faults)|(system.+state.+changed )|(\[timeout)|(PRM\|1\|D)|(kpr)|(kdp)|(\|lc)|(penalty)|(RTDC:00:00000204:00000036:00006526))" /e /r /s</v>
      </c>
      <c r="AG86" s="1" t="str">
        <f t="shared" si="51"/>
        <v>EC</v>
      </c>
      <c r="AH86" s="86" t="str">
        <f t="shared" si="53"/>
        <v>"%USERPROFILE%\Documents\GitHub\eaglep3\Utilities\RefineRTDCRunTimes.py" --tripid 211-14 --locoid 4044 --swversion DE.1.0.8.0 --startMP 204:763 --initTime 2017-02-14T17:26:50 --startdatetime 2017-02-14T17:29:08 --delay 2 --endMP 204:86379 --enddatetime 2017-02-14T17:52:41 --enforcementcount 0 &gt;&gt;C:\Users\stu\Documents\GitHub\eaglep3-reporting\EC\2017-02-14-refined-times.txt</v>
      </c>
      <c r="AI86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ID","value":"211-14"},{"id":16,"name":"Locomotive ID","value":"4044"},{"id":130,"name":"Impact","value":""},{"id":150,"name":"Time of Event (Mountain Time)","value":"17:52:41"},{"id":151,"name":"Denver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55"/>
        <v>start /low /b %USERPROFILE%\Documents\GitHub\eaglep3\Utilities\DownloadLogsFromS3.py --loco 4044 --day 2017-02-14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2017-02-14-UncaughtWiMAX.txt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492</v>
      </c>
      <c r="B87" s="7">
        <v>4027</v>
      </c>
      <c r="C87" s="21" t="s">
        <v>192</v>
      </c>
      <c r="D87" s="21" t="s">
        <v>711</v>
      </c>
      <c r="E87" s="13">
        <v>42780.733703703707</v>
      </c>
      <c r="F87" s="13">
        <v>42780.734375</v>
      </c>
      <c r="G87" s="7">
        <v>0</v>
      </c>
      <c r="H87" s="21" t="s">
        <v>669</v>
      </c>
      <c r="I87" s="13">
        <v>42780.755127314813</v>
      </c>
      <c r="J87" s="7">
        <v>0</v>
      </c>
      <c r="K87" s="98" t="str">
        <f t="shared" si="41"/>
        <v>4027/4028</v>
      </c>
      <c r="L87" s="21" t="str">
        <f>VLOOKUP(A87,'Trips&amp;Operators'!$C$1:$G$99999,5,FALSE)</f>
        <v>CRAYTON QUNTRELL</v>
      </c>
      <c r="M87" s="6">
        <f t="shared" si="42"/>
        <v>2.0752314812853001E-2</v>
      </c>
      <c r="N87" s="7">
        <f>24*60*SUM($M87:$M87)</f>
        <v>29.883333330508322</v>
      </c>
      <c r="O87" s="7"/>
      <c r="P87" s="7"/>
      <c r="Q87" s="22"/>
      <c r="R87" s="22"/>
      <c r="S87" s="31">
        <f t="shared" si="23"/>
        <v>1</v>
      </c>
      <c r="T87" s="46" t="str">
        <f t="shared" si="43"/>
        <v>NorthBound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10</v>
      </c>
      <c r="V87" s="187" t="str">
        <f t="shared" si="44"/>
        <v>https://d0f6bd738d7f1b3e5a7ca70fe4ff75f0.us-east-1.aws.found.io/app/kibana#/discover/Steve-Slow-Train-Analysis-(2080s-and-2083s)?_g=(refreshInterval:(display:Off,pause:!f,section:0,value:0),time:(from:'2017-02-14T16:36:32-0700',mode:absolute,to:'2017-02-14T19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7" s="188" t="str">
        <f t="shared" si="45"/>
        <v>N</v>
      </c>
      <c r="X87" s="188">
        <f t="shared" si="56"/>
        <v>2</v>
      </c>
      <c r="Y87" s="62">
        <f t="shared" si="46"/>
        <v>7.2099999999999997E-2</v>
      </c>
      <c r="Z87" s="62">
        <f t="shared" si="52"/>
        <v>8.6379000000000001</v>
      </c>
      <c r="AA87" s="62">
        <f t="shared" si="47"/>
        <v>8.5657999999999994</v>
      </c>
      <c r="AB87" s="59" t="str">
        <f>VLOOKUP(A87,Enforcements!$C$7:$K$14,8,0)</f>
        <v>Speed (6)</v>
      </c>
      <c r="AC87" s="55" t="str">
        <f>VLOOKUP(A87,Enforcements!$C$7:$E$14,3,0)</f>
        <v>PERMANENT SPEED RESTRICTION</v>
      </c>
      <c r="AD87" s="56" t="str">
        <f t="shared" si="48"/>
        <v>0213-14</v>
      </c>
      <c r="AE87" s="85" t="str">
        <f t="shared" si="49"/>
        <v>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 &amp; 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</v>
      </c>
      <c r="AF87" s="82" t="str">
        <f t="shared" si="50"/>
        <v>"C:\Program Files (x86)\AstroGrep\AstroGrep.exe" /spath="%USERPROFILE%\AppData\Local\Temp\OnboardLogs" /stypes="app*4027*20170215*" /stext=" 01:.+((SYSTEM_STATE.+slice.+state.+changed )|(ment ac)|(multiple cpu faults)|(system.+state.+changed )|(\[timeout)|(PRM\|1\|D)|(kpr)|(kdp)|(\|lc)|(penalty)|(RTDC:00:00000204:00000036:00006526))" /e /r /s</v>
      </c>
      <c r="AG87" s="1" t="str">
        <f t="shared" si="51"/>
        <v>EC</v>
      </c>
      <c r="AH87" s="86" t="str">
        <f t="shared" si="53"/>
        <v>"%USERPROFILE%\Documents\GitHub\eaglep3\Utilities\RefineRTDCRunTimes.py" --tripid 213-14 --locoid 4027 --swversion DE.1.0.8.0 --startMP 204:721 --initTime 2017-02-14T17:36:32 --startdatetime 2017-02-14T17:37:30 --delay 0 --endMP 204:86379 --enddatetime 2017-02-14T18:07:23 --enforcementcount 0 &gt;&gt;C:\Users\stu\Documents\GitHub\eaglep3-reporting\EC\2017-02-14-refined-times.txt</v>
      </c>
      <c r="AI87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ID","value":"213-14"},{"id":16,"name":"Locomotive ID","value":"4027"},{"id":130,"name":"Impact","value":""},{"id":150,"name":"Time of Event (Mountain Time)","value":"18:07:23"},{"id":151,"name":"Denver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55"/>
        <v>start /low /b %USERPROFILE%\Documents\GitHub\eaglep3\Utilities\DownloadLogsFromS3.py --loco 4027 --day 2017-02-14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2017-02-14-UncaughtWiMAX.txt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609</v>
      </c>
      <c r="B88" s="7">
        <v>4032</v>
      </c>
      <c r="C88" s="21" t="s">
        <v>192</v>
      </c>
      <c r="D88" s="21" t="s">
        <v>690</v>
      </c>
      <c r="E88" s="13">
        <v>42780.810798611114</v>
      </c>
      <c r="F88" s="13">
        <v>42780.81144675926</v>
      </c>
      <c r="G88" s="7">
        <v>0</v>
      </c>
      <c r="H88" s="21" t="s">
        <v>302</v>
      </c>
      <c r="I88" s="13">
        <v>42780.822210648148</v>
      </c>
      <c r="J88" s="7">
        <v>0</v>
      </c>
      <c r="K88" s="98" t="str">
        <f t="shared" si="41"/>
        <v>4031/4032</v>
      </c>
      <c r="L88" s="21" t="str">
        <f>VLOOKUP(A88,'Trips&amp;Operators'!$C$1:$G$99999,5,FALSE)</f>
        <v>STAMBAUGH JAMES</v>
      </c>
      <c r="M88" s="6">
        <f t="shared" si="42"/>
        <v>1.0763888887595385E-2</v>
      </c>
      <c r="N88" s="7"/>
      <c r="O88" s="7"/>
      <c r="P88" s="7">
        <f>24*60*SUM($M88:$M88)</f>
        <v>15.499999998137355</v>
      </c>
      <c r="Q88" s="22"/>
      <c r="R88" s="22" t="s">
        <v>862</v>
      </c>
      <c r="S88" s="31">
        <f t="shared" si="23"/>
        <v>0.9</v>
      </c>
      <c r="T88" s="46" t="str">
        <f t="shared" si="43"/>
        <v>Southbound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9</v>
      </c>
      <c r="V88" s="187" t="str">
        <f t="shared" si="44"/>
        <v>https://d0f6bd738d7f1b3e5a7ca70fe4ff75f0.us-east-1.aws.found.io/app/kibana#/discover/Steve-Slow-Train-Analysis-(2080s-and-2083s)?_g=(refreshInterval:(display:Off,pause:!f,section:0,value:0),time:(from:'2017-02-14T18:27:33-0700',mode:absolute,to:'2017-02-14T20:43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8" s="188" t="str">
        <f t="shared" si="45"/>
        <v>Y</v>
      </c>
      <c r="X88" s="188">
        <f t="shared" si="56"/>
        <v>3</v>
      </c>
      <c r="Y88" s="62">
        <f t="shared" si="46"/>
        <v>6.4076000000000004</v>
      </c>
      <c r="Z88" s="62">
        <f t="shared" si="52"/>
        <v>1.61E-2</v>
      </c>
      <c r="AA88" s="62">
        <f t="shared" si="47"/>
        <v>6.3915000000000006</v>
      </c>
      <c r="AB88" s="59" t="e">
        <f>VLOOKUP(A88,Enforcements!$C$7:$K$14,8,0)</f>
        <v>#N/A</v>
      </c>
      <c r="AC88" s="55" t="e">
        <f>VLOOKUP(A88,Enforcements!$C$7:$E$14,3,0)</f>
        <v>#N/A</v>
      </c>
      <c r="AD88" s="56" t="str">
        <f t="shared" si="48"/>
        <v>0216-14</v>
      </c>
      <c r="AE88" s="85" t="str">
        <f t="shared" si="49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88" s="82" t="str">
        <f t="shared" si="50"/>
        <v>"C:\Program Files (x86)\AstroGrep\AstroGrep.exe" /spath="%USERPROFILE%\AppData\Local\Temp\OnboardLogs" /stypes="app*4032*20170215*" /stext=" 02:.+((SYSTEM_STATE.+slice.+state.+changed )|(ment ac)|(multiple cpu faults)|(system.+state.+changed )|(\[timeout)|(PRM\|1\|D)|(kpr)|(kdp)|(\|lc)|(penalty)|(RTDC:00:00000204:00000036:00006526))" /e /r /s</v>
      </c>
      <c r="AG88" s="1" t="str">
        <f t="shared" si="51"/>
        <v>EC</v>
      </c>
      <c r="AH88" s="86" t="str">
        <f t="shared" si="53"/>
        <v>"%USERPROFILE%\Documents\GitHub\eaglep3\Utilities\RefineRTDCRunTimes.py" --tripid 216-14 --locoid 4032 --swversion DE.1.0.8.0 --startMP 204:64076 --initTime 2017-02-14T19:27:33 --startdatetime 2017-02-14T19:28:29 --delay 0 --endMP 204:161 --enddatetime 2017-02-14T19:43:59 --enforcementcount 0 &gt;&gt;C:\Users\stu\Documents\GitHub\eaglep3-reporting\EC\2017-02-14-refined-times.txt</v>
      </c>
      <c r="AI88" s="108" t="str">
        <f t="shared" si="54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lock","project_id":79,"tracker_id":40,"status_id":1,"priority_id":2,"assigned_to_id":23,"start_date":"2017-02-14","description":"","custom_fields":[{"id":1,"name":"Subdivision","value":"EC"},{"id":4,"name":"Milepost","value":"0.0161"},{"id":17,"name":"Train ID","value":"216-14"},{"id":16,"name":"Locomotive ID","value":"4032"},{"id":130,"name":"Impact","value":""},{"id":150,"name":"Time of Event (Mountain Time)","value":"19:43:59"},{"id":151,"name":"Denver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55"/>
        <v>start /low /b %USERPROFILE%\Documents\GitHub\eaglep3\Utilities\DownloadLogsFromS3.py --loco 4032 --day 2017-02-14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"%USERPROFILE%\AppData\Local\Temp\OnboardLogs"\RTDC4032\*4032*20170215* | grep -SE "(Enforcement Action)|(\[TIMEOUT)|(CHR.+\|PRM\|1\|D.+(SWITCH|SIGNAL).+UNKNOWN)" - &gt;&gt; 2017-02-14-UncaughtWiMAX.txt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495</v>
      </c>
      <c r="B89" s="7">
        <v>4019</v>
      </c>
      <c r="C89" s="21" t="s">
        <v>192</v>
      </c>
      <c r="D89" s="21" t="s">
        <v>712</v>
      </c>
      <c r="E89" s="13">
        <v>42780.824803240743</v>
      </c>
      <c r="F89" s="13">
        <v>42780.825497685182</v>
      </c>
      <c r="G89" s="7">
        <v>0</v>
      </c>
      <c r="H89" s="21" t="s">
        <v>420</v>
      </c>
      <c r="I89" s="13">
        <v>42780.834756944445</v>
      </c>
      <c r="J89" s="7">
        <v>0</v>
      </c>
      <c r="K89" s="98" t="str">
        <f t="shared" si="41"/>
        <v>4019/4020</v>
      </c>
      <c r="L89" s="21" t="str">
        <f>VLOOKUP(A89,'Trips&amp;Operators'!$C$1:$G$99999,5,FALSE)</f>
        <v>NELSON ARIANE</v>
      </c>
      <c r="M89" s="6">
        <f t="shared" si="42"/>
        <v>9.2592592627624981E-3</v>
      </c>
      <c r="N89" s="7"/>
      <c r="O89" s="7"/>
      <c r="P89" s="7">
        <f>24*60*SUM($M89:$M89)</f>
        <v>13.333333338377997</v>
      </c>
      <c r="Q89" s="22"/>
      <c r="R89" s="22" t="s">
        <v>862</v>
      </c>
      <c r="S89" s="31">
        <f t="shared" ref="S89" si="58">SUM(U89:U89)/IF(AG89="EC",10,1)</f>
        <v>0.3</v>
      </c>
      <c r="T89" s="46" t="str">
        <f t="shared" si="43"/>
        <v>Southbound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3</v>
      </c>
      <c r="V89" s="187" t="str">
        <f t="shared" si="44"/>
        <v>https://d0f6bd738d7f1b3e5a7ca70fe4ff75f0.us-east-1.aws.found.io/app/kibana#/discover/Steve-Slow-Train-Analysis-(2080s-and-2083s)?_g=(refreshInterval:(display:Off,pause:!f,section:0,value:0),time:(from:'2017-02-14T18:47:43-0700',mode:absolute,to:'2017-02-14T21:02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9" s="188" t="str">
        <f t="shared" si="45"/>
        <v>Y</v>
      </c>
      <c r="X89" s="188">
        <f t="shared" si="56"/>
        <v>2</v>
      </c>
      <c r="Y89" s="62">
        <f t="shared" si="46"/>
        <v>3.6724000000000001</v>
      </c>
      <c r="Z89" s="62">
        <f t="shared" si="52"/>
        <v>1.7000000000000001E-2</v>
      </c>
      <c r="AA89" s="62">
        <f t="shared" si="47"/>
        <v>3.6554000000000002</v>
      </c>
      <c r="AB89" s="59" t="e">
        <f>VLOOKUP(A89,Enforcements!$C$7:$K$14,8,0)</f>
        <v>#N/A</v>
      </c>
      <c r="AC89" s="55" t="e">
        <f>VLOOKUP(A89,Enforcements!$C$7:$E$14,3,0)</f>
        <v>#N/A</v>
      </c>
      <c r="AD89" s="56" t="str">
        <f t="shared" si="48"/>
        <v>0218-14</v>
      </c>
      <c r="AE89" s="85" t="str">
        <f t="shared" si="49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89" s="82" t="str">
        <f t="shared" si="50"/>
        <v>"C:\Program Files (x86)\AstroGrep\AstroGrep.exe" /spath="%USERPROFILE%\AppData\Local\Temp\OnboardLogs" /stypes="app*4019*20170215*" /stext=" 03:.+((SYSTEM_STATE.+slice.+state.+changed )|(ment ac)|(multiple cpu faults)|(system.+state.+changed )|(\[timeout)|(PRM\|1\|D)|(kpr)|(kdp)|(\|lc)|(penalty)|(RTDC:00:00000204:00000036:00006526))" /e /r /s</v>
      </c>
      <c r="AG89" s="1" t="str">
        <f t="shared" si="51"/>
        <v>EC</v>
      </c>
      <c r="AH89" s="86" t="str">
        <f t="shared" si="53"/>
        <v>"%USERPROFILE%\Documents\GitHub\eaglep3\Utilities\RefineRTDCRunTimes.py" --tripid 218-14 --locoid 4019 --swversion DE.1.0.8.0 --startMP 204:36724 --initTime 2017-02-14T19:47:43 --startdatetime 2017-02-14T19:48:43 --delay 0 --endMP 204:170 --enddatetime 2017-02-14T20:02:03 --enforcementcount 0 &gt;&gt;C:\Users\stu\Documents\GitHub\eaglep3-reporting\EC\2017-02-14-refined-times.txt</v>
      </c>
      <c r="AI89" s="108" t="str">
        <f t="shared" si="54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lock","project_id":79,"tracker_id":40,"status_id":1,"priority_id":2,"assigned_to_id":23,"start_date":"2017-02-14","description":"","custom_fields":[{"id":1,"name":"Subdivision","value":"EC"},{"id":4,"name":"Milepost","value":"0.017"},{"id":17,"name":"Train ID","value":"218-14"},{"id":16,"name":"Locomotive ID","value":"4019"},{"id":130,"name":"Impact","value":""},{"id":150,"name":"Time of Event (Mountain Time)","value":"20:02:03"},{"id":151,"name":"Denver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55"/>
        <v>start /low /b %USERPROFILE%\Documents\GitHub\eaglep3\Utilities\DownloadLogsFromS3.py --loco 4019 --day 2017-02-14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2017-02-14-UncaughtWiMAX.txt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493</v>
      </c>
      <c r="B90" s="7">
        <v>4029</v>
      </c>
      <c r="C90" s="21" t="s">
        <v>192</v>
      </c>
      <c r="D90" s="21" t="s">
        <v>713</v>
      </c>
      <c r="E90" s="13">
        <v>42780.766423611109</v>
      </c>
      <c r="F90" s="13">
        <v>42780.768483796295</v>
      </c>
      <c r="G90" s="7">
        <v>2</v>
      </c>
      <c r="H90" s="21" t="s">
        <v>650</v>
      </c>
      <c r="I90" s="13">
        <v>42780.787499999999</v>
      </c>
      <c r="J90" s="7">
        <v>0</v>
      </c>
      <c r="K90" s="98" t="str">
        <f t="shared" si="41"/>
        <v>4029/4030</v>
      </c>
      <c r="L90" s="21" t="str">
        <f>VLOOKUP(A90,'Trips&amp;Operators'!$C$1:$G$99999,5,FALSE)</f>
        <v>STORY SAMANTHA</v>
      </c>
      <c r="M90" s="6">
        <f t="shared" si="42"/>
        <v>1.9016203703358769E-2</v>
      </c>
      <c r="N90" s="7">
        <f>24*60*SUM($M90:$M90)</f>
        <v>27.383333332836628</v>
      </c>
      <c r="O90" s="7"/>
      <c r="P90" s="7"/>
      <c r="Q90" s="22"/>
      <c r="R90" s="22"/>
      <c r="S90" s="31">
        <f t="shared" ref="S90:S119" si="59">SUM(U90:U90)/IF(AG90="EC",10,1)</f>
        <v>1</v>
      </c>
      <c r="T90" s="46" t="str">
        <f t="shared" si="43"/>
        <v>NorthBound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10</v>
      </c>
      <c r="V90" s="187" t="str">
        <f t="shared" si="44"/>
        <v>https://d0f6bd738d7f1b3e5a7ca70fe4ff75f0.us-east-1.aws.found.io/app/kibana#/discover/Steve-Slow-Train-Analysis-(2080s-and-2083s)?_g=(refreshInterval:(display:Off,pause:!f,section:0,value:0),time:(from:'2017-02-14T17:23:39-0700',mode:absolute,to:'2017-02-14T19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188" t="str">
        <f t="shared" si="45"/>
        <v>N</v>
      </c>
      <c r="X90" s="188">
        <f t="shared" si="56"/>
        <v>1</v>
      </c>
      <c r="Y90" s="62">
        <f t="shared" si="46"/>
        <v>7.4300000000000005E-2</v>
      </c>
      <c r="Z90" s="62">
        <f t="shared" si="52"/>
        <v>8.6379999999999999</v>
      </c>
      <c r="AA90" s="62">
        <f t="shared" si="47"/>
        <v>8.5637000000000008</v>
      </c>
      <c r="AB90" s="59" t="str">
        <f>VLOOKUP(A90,Enforcements!$C$7:$K$14,8,0)</f>
        <v>Bulletin (2)</v>
      </c>
      <c r="AC90" s="55" t="str">
        <f>VLOOKUP(A90,Enforcements!$C$7:$E$14,3,0)</f>
        <v>GRADE CROSSING</v>
      </c>
      <c r="AD90" s="56" t="str">
        <f t="shared" si="48"/>
        <v>0219-14</v>
      </c>
      <c r="AE90" s="85" t="str">
        <f t="shared" si="49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90" s="82" t="str">
        <f t="shared" si="50"/>
        <v>"C:\Program Files (x86)\AstroGrep\AstroGrep.exe" /spath="%USERPROFILE%\AppData\Local\Temp\OnboardLogs" /stypes="app*4029*20170215*" /stext=" 01:.+((SYSTEM_STATE.+slice.+state.+changed )|(ment ac)|(multiple cpu faults)|(system.+state.+changed )|(\[timeout)|(PRM\|1\|D)|(kpr)|(kdp)|(\|lc)|(penalty)|(RTDC:00:00000204:00000036:00006526))" /e /r /s</v>
      </c>
      <c r="AG90" s="1" t="str">
        <f t="shared" si="51"/>
        <v>EC</v>
      </c>
      <c r="AH90" s="86" t="str">
        <f t="shared" si="53"/>
        <v>"%USERPROFILE%\Documents\GitHub\eaglep3\Utilities\RefineRTDCRunTimes.py" --tripid 219-14 --locoid 4029 --swversion DE.1.0.8.0 --startMP 204:743 --initTime 2017-02-14T18:23:39 --startdatetime 2017-02-14T18:26:37 --delay 2 --endMP 204:86380 --enddatetime 2017-02-14T18:54:00 --enforcementcount 0 &gt;&gt;C:\Users\stu\Documents\GitHub\eaglep3-reporting\EC\2017-02-14-refined-times.txt</v>
      </c>
      <c r="AI90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ID","value":"219-14"},{"id":16,"name":"Locomotive ID","value":"4029"},{"id":130,"name":"Impact","value":""},{"id":150,"name":"Time of Event (Mountain Time)","value":"18:54:00"},{"id":151,"name":"Denver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55"/>
        <v>start /low /b %USERPROFILE%\Documents\GitHub\eaglep3\Utilities\DownloadLogsFromS3.py --loco 4029 --day 2017-02-14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"%USERPROFILE%\AppData\Local\Temp\OnboardLogs"\RTDC4029\*4029*20170215* | grep -SE "(Enforcement Action)|(\[TIMEOUT)|(CHR.+\|PRM\|1\|D.+(SWITCH|SIGNAL).+UNKNOWN)" - &gt;&gt; 2017-02-14-UncaughtWiMAX.txt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612</v>
      </c>
      <c r="B91" s="7">
        <v>4012</v>
      </c>
      <c r="C91" s="21" t="s">
        <v>192</v>
      </c>
      <c r="D91" s="21" t="s">
        <v>697</v>
      </c>
      <c r="E91" s="13">
        <v>42780.852152777778</v>
      </c>
      <c r="F91" s="13">
        <v>42780.852777777778</v>
      </c>
      <c r="G91" s="7">
        <v>0</v>
      </c>
      <c r="H91" s="21" t="s">
        <v>398</v>
      </c>
      <c r="I91" s="13">
        <v>42780.865983796299</v>
      </c>
      <c r="J91" s="7">
        <v>0</v>
      </c>
      <c r="K91" s="98" t="str">
        <f t="shared" si="41"/>
        <v>4011/4012</v>
      </c>
      <c r="L91" s="21" t="str">
        <f>VLOOKUP(A91,'Trips&amp;Operators'!$C$1:$G$99999,5,FALSE)</f>
        <v>DAVIDSON DAVID</v>
      </c>
      <c r="M91" s="6">
        <f t="shared" si="42"/>
        <v>1.3206018520577345E-2</v>
      </c>
      <c r="N91" s="7"/>
      <c r="O91" s="7"/>
      <c r="P91" s="7">
        <f>24*60*SUM($M91:$M91)</f>
        <v>19.016666669631377</v>
      </c>
      <c r="Q91" s="22"/>
      <c r="R91" s="22" t="s">
        <v>862</v>
      </c>
      <c r="S91" s="31">
        <f t="shared" si="59"/>
        <v>0.9</v>
      </c>
      <c r="T91" s="46" t="str">
        <f t="shared" si="43"/>
        <v>Southbound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9</v>
      </c>
      <c r="V91" s="187" t="str">
        <f t="shared" si="44"/>
        <v>https://d0f6bd738d7f1b3e5a7ca70fe4ff75f0.us-east-1.aws.found.io/app/kibana#/discover/Steve-Slow-Train-Analysis-(2080s-and-2083s)?_g=(refreshInterval:(display:Off,pause:!f,section:0,value:0),time:(from:'2017-02-14T19:27:06-0700',mode:absolute,to:'2017-02-14T21:47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1" s="188" t="str">
        <f t="shared" si="45"/>
        <v>Y</v>
      </c>
      <c r="X91" s="188">
        <f t="shared" si="56"/>
        <v>3</v>
      </c>
      <c r="Y91" s="62">
        <f t="shared" si="46"/>
        <v>6.4107000000000003</v>
      </c>
      <c r="Z91" s="62">
        <f t="shared" si="52"/>
        <v>1.47E-2</v>
      </c>
      <c r="AA91" s="62">
        <f t="shared" si="47"/>
        <v>6.3959999999999999</v>
      </c>
      <c r="AB91" s="59" t="e">
        <f>VLOOKUP(A91,Enforcements!$C$7:$K$14,8,0)</f>
        <v>#N/A</v>
      </c>
      <c r="AC91" s="55" t="e">
        <f>VLOOKUP(A91,Enforcements!$C$7:$E$14,3,0)</f>
        <v>#N/A</v>
      </c>
      <c r="AD91" s="56" t="str">
        <f t="shared" si="48"/>
        <v>0222-14</v>
      </c>
      <c r="AE91" s="85" t="str">
        <f t="shared" si="49"/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91" s="82" t="str">
        <f t="shared" si="50"/>
        <v>"C:\Program Files (x86)\AstroGrep\AstroGrep.exe" /spath="%USERPROFILE%\AppData\Local\Temp\OnboardLogs" /stypes="app*4012*20170215*" /stext=" 03:.+((SYSTEM_STATE.+slice.+state.+changed )|(ment ac)|(multiple cpu faults)|(system.+state.+changed )|(\[timeout)|(PRM\|1\|D)|(kpr)|(kdp)|(\|lc)|(penalty)|(RTDC:00:00000204:00000036:00006526))" /e /r /s</v>
      </c>
      <c r="AG91" s="1" t="str">
        <f t="shared" si="51"/>
        <v>EC</v>
      </c>
      <c r="AH91" s="86" t="str">
        <f t="shared" si="53"/>
        <v>"%USERPROFILE%\Documents\GitHub\eaglep3\Utilities\RefineRTDCRunTimes.py" --tripid 222-14 --locoid 4012 --swversion DE.1.0.8.0 --startMP 204:64107 --initTime 2017-02-14T20:27:06 --startdatetime 2017-02-14T20:28:00 --delay 0 --endMP 204:147 --enddatetime 2017-02-14T20:47:01 --enforcementcount 0 &gt;&gt;C:\Users\stu\Documents\GitHub\eaglep3-reporting\EC\2017-02-14-refined-times.txt</v>
      </c>
      <c r="AI91" s="108" t="str">
        <f t="shared" si="54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lock","project_id":79,"tracker_id":40,"status_id":1,"priority_id":2,"assigned_to_id":23,"start_date":"2017-02-14","description":"","custom_fields":[{"id":1,"name":"Subdivision","value":"EC"},{"id":4,"name":"Milepost","value":"0.0147"},{"id":17,"name":"Train ID","value":"222-14"},{"id":16,"name":"Locomotive ID","value":"4012"},{"id":130,"name":"Impact","value":""},{"id":150,"name":"Time of Event (Mountain Time)","value":"20:47:01"},{"id":151,"name":"Denver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55"/>
        <v>start /low /b %USERPROFILE%\Documents\GitHub\eaglep3\Utilities\DownloadLogsFromS3.py --loco 4012 --day 2017-02-14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2017-02-14-UncaughtWiMAX.txt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612</v>
      </c>
      <c r="B92" s="7">
        <v>4012</v>
      </c>
      <c r="C92" s="21" t="s">
        <v>192</v>
      </c>
      <c r="D92" s="21" t="s">
        <v>651</v>
      </c>
      <c r="E92" s="13">
        <v>42780.832268518519</v>
      </c>
      <c r="F92" s="13">
        <v>42780.833124999997</v>
      </c>
      <c r="G92" s="7">
        <v>1</v>
      </c>
      <c r="H92" s="21" t="s">
        <v>651</v>
      </c>
      <c r="I92" s="13">
        <v>42780.834780092591</v>
      </c>
      <c r="J92" s="7">
        <v>0</v>
      </c>
      <c r="K92" s="98" t="str">
        <f t="shared" si="41"/>
        <v>4011/4012</v>
      </c>
      <c r="L92" s="21" t="str">
        <f>VLOOKUP(A92,'Trips&amp;Operators'!$C$1:$G$99999,5,FALSE)</f>
        <v>DAVIDSON DAVID</v>
      </c>
      <c r="M92" s="6">
        <f t="shared" si="42"/>
        <v>1.6550925938645378E-3</v>
      </c>
      <c r="N92" s="7"/>
      <c r="O92" s="7"/>
      <c r="P92" s="7"/>
      <c r="Q92" s="22"/>
      <c r="R92" s="22"/>
      <c r="S92" s="31"/>
      <c r="T92" s="46" t="str">
        <f t="shared" si="43"/>
        <v>Southbound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0</v>
      </c>
      <c r="V92" s="187" t="str">
        <f t="shared" si="44"/>
        <v>https://d0f6bd738d7f1b3e5a7ca70fe4ff75f0.us-east-1.aws.found.io/app/kibana#/discover/Steve-Slow-Train-Analysis-(2080s-and-2083s)?_g=(refreshInterval:(display:Off,pause:!f,section:0,value:0),time:(from:'2017-02-14T18:58:28-0700',mode:absolute,to:'2017-02-14T21:02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188" t="str">
        <f t="shared" si="45"/>
        <v>Y</v>
      </c>
      <c r="X92" s="188">
        <f t="shared" si="56"/>
        <v>0</v>
      </c>
      <c r="Y92" s="62">
        <f t="shared" si="46"/>
        <v>8.6350999999999996</v>
      </c>
      <c r="Z92" s="62">
        <f t="shared" si="52"/>
        <v>8.6350999999999996</v>
      </c>
      <c r="AA92" s="62">
        <f t="shared" si="47"/>
        <v>0</v>
      </c>
      <c r="AB92" s="59" t="e">
        <f>VLOOKUP(A92,Enforcements!$C$7:$K$14,8,0)</f>
        <v>#N/A</v>
      </c>
      <c r="AC92" s="55" t="e">
        <f>VLOOKUP(A92,Enforcements!$C$7:$E$14,3,0)</f>
        <v>#N/A</v>
      </c>
      <c r="AD92" s="56" t="str">
        <f t="shared" si="48"/>
        <v>0222-14</v>
      </c>
      <c r="AE92" s="85" t="str">
        <f t="shared" si="49"/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92" s="82" t="str">
        <f t="shared" si="50"/>
        <v>"C:\Program Files (x86)\AstroGrep\AstroGrep.exe" /spath="%USERPROFILE%\AppData\Local\Temp\OnboardLogs" /stypes="app*4012*20170215*" /stext=" 03:.+((SYSTEM_STATE.+slice.+state.+changed )|(ment ac)|(multiple cpu faults)|(system.+state.+changed )|(\[timeout)|(PRM\|1\|D)|(kpr)|(kdp)|(\|lc)|(penalty)|(RTDC:00:00000204:00000036:00006526))" /e /r /s</v>
      </c>
      <c r="AG92" s="1" t="str">
        <f t="shared" si="51"/>
        <v>EC</v>
      </c>
      <c r="AH92" s="86" t="str">
        <f t="shared" si="53"/>
        <v>"%USERPROFILE%\Documents\GitHub\eaglep3\Utilities\RefineRTDCRunTimes.py" --tripid 222-14 --locoid 4012 --swversion DE.1.0.8.0 --startMP 204:86351 --initTime 2017-02-14T19:58:28 --startdatetime 2017-02-14T19:59:42 --delay 1 --endMP 204:86351 --enddatetime 2017-02-14T20:02:05 --enforcementcount 0 &gt;&gt;C:\Users\stu\Documents\GitHub\eaglep3-reporting\EC\2017-02-14-refined-times.txt</v>
      </c>
      <c r="AI92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ID","value":"222-14"},{"id":16,"name":"Locomotive ID","value":"4012"},{"id":130,"name":"Impact","value":""},{"id":150,"name":"Time of Event (Mountain Time)","value":"20:02:05"},{"id":151,"name":"Denver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55"/>
        <v>start /low /b %USERPROFILE%\Documents\GitHub\eaglep3\Utilities\DownloadLogsFromS3.py --loco 4012 --day 2017-02-14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2017-02-14-UncaughtWiMAX.txt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608</v>
      </c>
      <c r="B93" s="7">
        <v>4027</v>
      </c>
      <c r="C93" s="21" t="s">
        <v>192</v>
      </c>
      <c r="D93" s="21" t="s">
        <v>703</v>
      </c>
      <c r="E93" s="13">
        <v>42780.797199074077</v>
      </c>
      <c r="F93" s="13">
        <v>42780.798750000002</v>
      </c>
      <c r="G93" s="7">
        <v>2</v>
      </c>
      <c r="H93" s="21" t="s">
        <v>669</v>
      </c>
      <c r="I93" s="13">
        <v>42780.828900462962</v>
      </c>
      <c r="J93" s="7">
        <v>0</v>
      </c>
      <c r="K93" s="98" t="str">
        <f t="shared" si="41"/>
        <v>4027/4028</v>
      </c>
      <c r="L93" s="21" t="str">
        <f>VLOOKUP(A93,'Trips&amp;Operators'!$C$1:$G$99999,5,FALSE)</f>
        <v>MAGEE KENYA</v>
      </c>
      <c r="M93" s="6">
        <f t="shared" si="42"/>
        <v>3.015046296059154E-2</v>
      </c>
      <c r="N93" s="7">
        <f>24*60*SUM($M93:$M93)</f>
        <v>43.416666663251817</v>
      </c>
      <c r="O93" s="7"/>
      <c r="P93" s="7"/>
      <c r="Q93" s="22"/>
      <c r="R93" s="22"/>
      <c r="S93" s="31">
        <f t="shared" si="59"/>
        <v>1</v>
      </c>
      <c r="T93" s="46" t="str">
        <f t="shared" si="43"/>
        <v>NorthBound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10</v>
      </c>
      <c r="V93" s="187" t="str">
        <f t="shared" si="44"/>
        <v>https://d0f6bd738d7f1b3e5a7ca70fe4ff75f0.us-east-1.aws.found.io/app/kibana#/discover/Steve-Slow-Train-Analysis-(2080s-and-2083s)?_g=(refreshInterval:(display:Off,pause:!f,section:0,value:0),time:(from:'2017-02-14T18:07:58-0700',mode:absolute,to:'2017-02-14T20:53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188" t="str">
        <f t="shared" si="45"/>
        <v>N</v>
      </c>
      <c r="X93" s="188">
        <f t="shared" si="56"/>
        <v>1</v>
      </c>
      <c r="Y93" s="62">
        <f t="shared" si="46"/>
        <v>7.7499999999999999E-2</v>
      </c>
      <c r="Z93" s="62">
        <f t="shared" si="52"/>
        <v>8.6379000000000001</v>
      </c>
      <c r="AA93" s="62">
        <f t="shared" si="47"/>
        <v>8.5603999999999996</v>
      </c>
      <c r="AB93" s="59" t="e">
        <f>VLOOKUP(A93,Enforcements!$C$7:$K$14,8,0)</f>
        <v>#N/A</v>
      </c>
      <c r="AC93" s="55" t="e">
        <f>VLOOKUP(A93,Enforcements!$C$7:$E$14,3,0)</f>
        <v>#N/A</v>
      </c>
      <c r="AD93" s="56" t="str">
        <f t="shared" si="48"/>
        <v>0223-14</v>
      </c>
      <c r="AE93" s="85" t="str">
        <f t="shared" si="49"/>
        <v>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 &amp; 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</v>
      </c>
      <c r="AF93" s="82" t="str">
        <f t="shared" si="50"/>
        <v>"C:\Program Files (x86)\AstroGrep\AstroGrep.exe" /spath="%USERPROFILE%\AppData\Local\Temp\OnboardLogs" /stypes="app*4027*20170215*" /stext=" 02:.+((SYSTEM_STATE.+slice.+state.+changed )|(ment ac)|(multiple cpu faults)|(system.+state.+changed )|(\[timeout)|(PRM\|1\|D)|(kpr)|(kdp)|(\|lc)|(penalty)|(RTDC:00:00000204:00000036:00006526))" /e /r /s</v>
      </c>
      <c r="AG93" s="1" t="str">
        <f t="shared" si="51"/>
        <v>EC</v>
      </c>
      <c r="AH93" s="86" t="str">
        <f t="shared" si="53"/>
        <v>"%USERPROFILE%\Documents\GitHub\eaglep3\Utilities\RefineRTDCRunTimes.py" --tripid 223-14 --locoid 4027 --swversion DE.1.0.8.0 --startMP 204:775 --initTime 2017-02-14T19:07:58 --startdatetime 2017-02-14T19:10:12 --delay 2 --endMP 204:86379 --enddatetime 2017-02-14T19:53:37 --enforcementcount 0 &gt;&gt;C:\Users\stu\Documents\GitHub\eaglep3-reporting\EC\2017-02-14-refined-times.txt</v>
      </c>
      <c r="AI93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ID","value":"223-14"},{"id":16,"name":"Locomotive ID","value":"4027"},{"id":130,"name":"Impact","value":""},{"id":150,"name":"Time of Event (Mountain Time)","value":"19:53:37"},{"id":151,"name":"Denver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55"/>
        <v>start /low /b %USERPROFILE%\Documents\GitHub\eaglep3\Utilities\DownloadLogsFromS3.py --loco 4027 --day 2017-02-14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2017-02-14-UncaughtWiMAX.txt</v>
      </c>
    </row>
    <row r="94" spans="1:91" s="20" customFormat="1" x14ac:dyDescent="0.25">
      <c r="A94" s="33" t="s">
        <v>617</v>
      </c>
      <c r="B94" s="7">
        <v>4032</v>
      </c>
      <c r="C94" s="21" t="s">
        <v>192</v>
      </c>
      <c r="D94" s="21" t="s">
        <v>714</v>
      </c>
      <c r="E94" s="13">
        <v>42780.873668981483</v>
      </c>
      <c r="F94" s="13">
        <v>42780.874409722222</v>
      </c>
      <c r="G94" s="7">
        <v>1</v>
      </c>
      <c r="H94" s="21" t="s">
        <v>217</v>
      </c>
      <c r="I94" s="13">
        <v>42780.885312500002</v>
      </c>
      <c r="J94" s="7">
        <v>0</v>
      </c>
      <c r="K94" s="98" t="str">
        <f t="shared" si="41"/>
        <v>4031/4032</v>
      </c>
      <c r="L94" s="21" t="str">
        <f>VLOOKUP(A94,'Trips&amp;Operators'!$C$1:$G$99999,5,FALSE)</f>
        <v>STAMBAUGH JAMES</v>
      </c>
      <c r="M94" s="6">
        <f t="shared" si="42"/>
        <v>1.0902777779847383E-2</v>
      </c>
      <c r="N94" s="7"/>
      <c r="O94" s="7"/>
      <c r="P94" s="7">
        <f>24*60*SUM($M94:$M94)</f>
        <v>15.700000002980232</v>
      </c>
      <c r="Q94" s="22"/>
      <c r="R94" s="22" t="s">
        <v>862</v>
      </c>
      <c r="S94" s="31">
        <f t="shared" si="59"/>
        <v>0.9</v>
      </c>
      <c r="T94" s="46" t="str">
        <f t="shared" si="43"/>
        <v>Southbound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9</v>
      </c>
      <c r="V94" s="187" t="str">
        <f t="shared" si="44"/>
        <v>https://d0f6bd738d7f1b3e5a7ca70fe4ff75f0.us-east-1.aws.found.io/app/kibana#/discover/Steve-Slow-Train-Analysis-(2080s-and-2083s)?_g=(refreshInterval:(display:Off,pause:!f,section:0,value:0),time:(from:'2017-02-14T19:58:05-0700',mode:absolute,to:'2017-02-14T22:14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4" s="188" t="str">
        <f t="shared" si="45"/>
        <v>Y</v>
      </c>
      <c r="X94" s="188">
        <f t="shared" si="56"/>
        <v>1</v>
      </c>
      <c r="Y94" s="62">
        <f t="shared" si="46"/>
        <v>6.4069000000000003</v>
      </c>
      <c r="Z94" s="62">
        <f t="shared" si="52"/>
        <v>1.54E-2</v>
      </c>
      <c r="AA94" s="62">
        <f t="shared" si="47"/>
        <v>6.3915000000000006</v>
      </c>
      <c r="AB94" s="59" t="e">
        <f>VLOOKUP(A94,Enforcements!$C$7:$K$14,8,0)</f>
        <v>#N/A</v>
      </c>
      <c r="AC94" s="55" t="e">
        <f>VLOOKUP(A94,Enforcements!$C$7:$E$14,3,0)</f>
        <v>#N/A</v>
      </c>
      <c r="AD94" s="56" t="str">
        <f t="shared" si="48"/>
        <v>0224-14</v>
      </c>
      <c r="AE94" s="85" t="str">
        <f t="shared" si="49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94" s="82" t="str">
        <f t="shared" si="50"/>
        <v>"C:\Program Files (x86)\AstroGrep\AstroGrep.exe" /spath="%USERPROFILE%\AppData\Local\Temp\OnboardLogs" /stypes="app*4032*20170215*" /stext=" 04:.+((SYSTEM_STATE.+slice.+state.+changed )|(ment ac)|(multiple cpu faults)|(system.+state.+changed )|(\[timeout)|(PRM\|1\|D)|(kpr)|(kdp)|(\|lc)|(penalty)|(RTDC:00:00000204:00000036:00006526))" /e /r /s</v>
      </c>
      <c r="AG94" s="1" t="str">
        <f t="shared" si="51"/>
        <v>EC</v>
      </c>
      <c r="AH94" s="86" t="str">
        <f t="shared" si="53"/>
        <v>"%USERPROFILE%\Documents\GitHub\eaglep3\Utilities\RefineRTDCRunTimes.py" --tripid 224-14 --locoid 4032 --swversion DE.1.0.8.0 --startMP 204:64069 --initTime 2017-02-14T20:58:05 --startdatetime 2017-02-14T20:59:09 --delay 1 --endMP 204:154 --enddatetime 2017-02-14T21:14:51 --enforcementcount 0 &gt;&gt;C:\Users\stu\Documents\GitHub\eaglep3-reporting\EC\2017-02-14-refined-times.txt</v>
      </c>
      <c r="AI94" s="108" t="str">
        <f t="shared" si="54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lock","project_id":79,"tracker_id":40,"status_id":1,"priority_id":2,"assigned_to_id":23,"start_date":"2017-02-14","description":"","custom_fields":[{"id":1,"name":"Subdivision","value":"EC"},{"id":4,"name":"Milepost","value":"0.0154"},{"id":17,"name":"Train ID","value":"224-14"},{"id":16,"name":"Locomotive ID","value":"4032"},{"id":130,"name":"Impact","value":""},{"id":150,"name":"Time of Event (Mountain Time)","value":"21:14:51"},{"id":151,"name":"Denver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55"/>
        <v>start /low /b %USERPROFILE%\Documents\GitHub\eaglep3\Utilities\DownloadLogsFromS3.py --loco 4032 --day 2017-02-14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"%USERPROFILE%\AppData\Local\Temp\OnboardLogs"\RTDC4032\*4032*20170215* | grep -SE "(Enforcement Action)|(\[TIMEOUT)|(CHR.+\|PRM\|1\|D.+(SWITCH|SIGNAL).+UNKNOWN)" - &gt;&gt; 2017-02-14-UncaughtWiMAX.txt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611</v>
      </c>
      <c r="B95" s="7">
        <v>4029</v>
      </c>
      <c r="C95" s="21" t="s">
        <v>192</v>
      </c>
      <c r="D95" s="21" t="s">
        <v>693</v>
      </c>
      <c r="E95" s="13">
        <v>42780.830891203703</v>
      </c>
      <c r="F95" s="13">
        <v>42780.83216435185</v>
      </c>
      <c r="G95" s="7">
        <v>1</v>
      </c>
      <c r="H95" s="21" t="s">
        <v>650</v>
      </c>
      <c r="I95" s="13">
        <v>42780.847546296296</v>
      </c>
      <c r="J95" s="7">
        <v>0</v>
      </c>
      <c r="K95" s="98" t="str">
        <f t="shared" si="41"/>
        <v>4029/4030</v>
      </c>
      <c r="L95" s="21" t="str">
        <f>VLOOKUP(A95,'Trips&amp;Operators'!$C$1:$G$99999,5,FALSE)</f>
        <v>STORY SAMANTHA</v>
      </c>
      <c r="M95" s="6">
        <f t="shared" si="42"/>
        <v>1.5381944445834961E-2</v>
      </c>
      <c r="N95" s="7">
        <f>24*60*SUM($M95:$M95)</f>
        <v>22.150000002002344</v>
      </c>
      <c r="O95" s="7"/>
      <c r="P95" s="7"/>
      <c r="Q95" s="22"/>
      <c r="R95" s="22"/>
      <c r="S95" s="31">
        <f t="shared" si="59"/>
        <v>1</v>
      </c>
      <c r="T95" s="46" t="str">
        <f t="shared" si="43"/>
        <v>NorthBound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10</v>
      </c>
      <c r="V95" s="187" t="str">
        <f t="shared" si="44"/>
        <v>https://d0f6bd738d7f1b3e5a7ca70fe4ff75f0.us-east-1.aws.found.io/app/kibana#/discover/Steve-Slow-Train-Analysis-(2080s-and-2083s)?_g=(refreshInterval:(display:Off,pause:!f,section:0,value:0),time:(from:'2017-02-14T18:56:29-0700',mode:absolute,to:'2017-02-14T21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5" s="188" t="str">
        <f t="shared" si="45"/>
        <v>N</v>
      </c>
      <c r="X95" s="188">
        <f t="shared" si="56"/>
        <v>1</v>
      </c>
      <c r="Y95" s="62">
        <f t="shared" si="46"/>
        <v>7.4800000000000005E-2</v>
      </c>
      <c r="Z95" s="62">
        <f t="shared" si="52"/>
        <v>8.6379999999999999</v>
      </c>
      <c r="AA95" s="62">
        <f t="shared" si="47"/>
        <v>8.5632000000000001</v>
      </c>
      <c r="AB95" s="59" t="e">
        <f>VLOOKUP(A95,Enforcements!$C$7:$K$14,8,0)</f>
        <v>#N/A</v>
      </c>
      <c r="AC95" s="55" t="e">
        <f>VLOOKUP(A95,Enforcements!$C$7:$E$14,3,0)</f>
        <v>#N/A</v>
      </c>
      <c r="AD95" s="56" t="str">
        <f t="shared" si="48"/>
        <v>0225-14</v>
      </c>
      <c r="AE95" s="85" t="str">
        <f t="shared" si="49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95" s="82" t="str">
        <f t="shared" si="50"/>
        <v>"C:\Program Files (x86)\AstroGrep\AstroGrep.exe" /spath="%USERPROFILE%\AppData\Local\Temp\OnboardLogs" /stypes="app*4029*20170215*" /stext=" 03:.+((SYSTEM_STATE.+slice.+state.+changed )|(ment ac)|(multiple cpu faults)|(system.+state.+changed )|(\[timeout)|(PRM\|1\|D)|(kpr)|(kdp)|(\|lc)|(penalty)|(RTDC:00:00000204:00000036:00006526))" /e /r /s</v>
      </c>
      <c r="AG95" s="1" t="str">
        <f t="shared" si="51"/>
        <v>EC</v>
      </c>
      <c r="AH95" s="86" t="str">
        <f t="shared" si="53"/>
        <v>"%USERPROFILE%\Documents\GitHub\eaglep3\Utilities\RefineRTDCRunTimes.py" --tripid 225-14 --locoid 4029 --swversion DE.1.0.8.0 --startMP 204:748 --initTime 2017-02-14T19:56:29 --startdatetime 2017-02-14T19:58:19 --delay 1 --endMP 204:86380 --enddatetime 2017-02-14T20:20:28 --enforcementcount 0 &gt;&gt;C:\Users\stu\Documents\GitHub\eaglep3-reporting\EC\2017-02-14-refined-times.txt</v>
      </c>
      <c r="AI95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ID","value":"225-14"},{"id":16,"name":"Locomotive ID","value":"4029"},{"id":130,"name":"Impact","value":""},{"id":150,"name":"Time of Event (Mountain Time)","value":"20:20:28"},{"id":151,"name":"Denver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55"/>
        <v>start /low /b %USERPROFILE%\Documents\GitHub\eaglep3\Utilities\DownloadLogsFromS3.py --loco 4029 --day 2017-02-14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"%USERPROFILE%\AppData\Local\Temp\OnboardLogs"\RTDC4029\*4029*20170215* | grep -SE "(Enforcement Action)|(\[TIMEOUT)|(CHR.+\|PRM\|1\|D.+(SWITCH|SIGNAL).+UNKNOWN)" - &gt;&gt; 2017-02-14-UncaughtWiMAX.txt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620</v>
      </c>
      <c r="B96" s="7">
        <v>4019</v>
      </c>
      <c r="C96" s="21" t="s">
        <v>192</v>
      </c>
      <c r="D96" s="21" t="s">
        <v>715</v>
      </c>
      <c r="E96" s="13">
        <v>42780.897581018522</v>
      </c>
      <c r="F96" s="13">
        <v>42780.898194444446</v>
      </c>
      <c r="G96" s="7">
        <v>0</v>
      </c>
      <c r="H96" s="21" t="s">
        <v>716</v>
      </c>
      <c r="I96" s="13">
        <v>42780.909780092596</v>
      </c>
      <c r="J96" s="7">
        <v>0</v>
      </c>
      <c r="K96" s="98" t="str">
        <f t="shared" si="41"/>
        <v>4019/4020</v>
      </c>
      <c r="L96" s="21" t="str">
        <f>VLOOKUP(A96,'Trips&amp;Operators'!$C$1:$G$99999,5,FALSE)</f>
        <v>CHANDLER KELVIN</v>
      </c>
      <c r="M96" s="6">
        <f t="shared" si="42"/>
        <v>1.1585648149775807E-2</v>
      </c>
      <c r="N96" s="7"/>
      <c r="O96" s="7"/>
      <c r="P96" s="7">
        <f>24*60*SUM($M96:$M96)</f>
        <v>16.683333335677162</v>
      </c>
      <c r="Q96" s="22"/>
      <c r="R96" s="22" t="s">
        <v>862</v>
      </c>
      <c r="S96" s="31">
        <f t="shared" si="59"/>
        <v>0.9</v>
      </c>
      <c r="T96" s="46" t="str">
        <f t="shared" si="43"/>
        <v>Southbound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9</v>
      </c>
      <c r="V96" s="187" t="str">
        <f t="shared" si="44"/>
        <v>https://d0f6bd738d7f1b3e5a7ca70fe4ff75f0.us-east-1.aws.found.io/app/kibana#/discover/Steve-Slow-Train-Analysis-(2080s-and-2083s)?_g=(refreshInterval:(display:Off,pause:!f,section:0,value:0),time:(from:'2017-02-14T20:32:31-0700',mode:absolute,to:'2017-02-14T22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6" s="188" t="str">
        <f t="shared" si="45"/>
        <v>Y</v>
      </c>
      <c r="X96" s="188">
        <f t="shared" si="56"/>
        <v>1</v>
      </c>
      <c r="Y96" s="62">
        <f t="shared" si="46"/>
        <v>6.4166999999999996</v>
      </c>
      <c r="Z96" s="62">
        <f t="shared" si="52"/>
        <v>1.6500000000000001E-2</v>
      </c>
      <c r="AA96" s="62">
        <f t="shared" si="47"/>
        <v>6.4001999999999999</v>
      </c>
      <c r="AB96" s="59" t="e">
        <f>VLOOKUP(A96,Enforcements!$C$7:$K$14,8,0)</f>
        <v>#N/A</v>
      </c>
      <c r="AC96" s="55" t="e">
        <f>VLOOKUP(A96,Enforcements!$C$7:$E$14,3,0)</f>
        <v>#N/A</v>
      </c>
      <c r="AD96" s="56" t="str">
        <f t="shared" si="48"/>
        <v>0226-14</v>
      </c>
      <c r="AE96" s="85" t="str">
        <f t="shared" si="49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96" s="82" t="str">
        <f t="shared" si="50"/>
        <v>"C:\Program Files (x86)\AstroGrep\AstroGrep.exe" /spath="%USERPROFILE%\AppData\Local\Temp\OnboardLogs" /stypes="app*4019*20170215*" /stext=" 04:.+((SYSTEM_STATE.+slice.+state.+changed )|(ment ac)|(multiple cpu faults)|(system.+state.+changed )|(\[timeout)|(PRM\|1\|D)|(kpr)|(kdp)|(\|lc)|(penalty)|(RTDC:00:00000204:00000036:00006526))" /e /r /s</v>
      </c>
      <c r="AG96" s="1" t="str">
        <f t="shared" si="51"/>
        <v>EC</v>
      </c>
      <c r="AH96" s="86" t="str">
        <f t="shared" si="53"/>
        <v>"%USERPROFILE%\Documents\GitHub\eaglep3\Utilities\RefineRTDCRunTimes.py" --tripid 226-14 --locoid 4019 --swversion DE.1.0.8.0 --startMP 204:64167 --initTime 2017-02-14T21:32:31 --startdatetime 2017-02-14T21:33:24 --delay 0 --endMP 204:165 --enddatetime 2017-02-14T21:50:05 --enforcementcount 0 &gt;&gt;C:\Users\stu\Documents\GitHub\eaglep3-reporting\EC\2017-02-14-refined-times.txt</v>
      </c>
      <c r="AI96" s="108" t="str">
        <f t="shared" si="54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lock","project_id":79,"tracker_id":40,"status_id":1,"priority_id":2,"assigned_to_id":23,"start_date":"2017-02-14","description":"","custom_fields":[{"id":1,"name":"Subdivision","value":"EC"},{"id":4,"name":"Milepost","value":"0.0165"},{"id":17,"name":"Train ID","value":"226-14"},{"id":16,"name":"Locomotive ID","value":"4019"},{"id":130,"name":"Impact","value":""},{"id":150,"name":"Time of Event (Mountain Time)","value":"21:50:05"},{"id":151,"name":"Denver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55"/>
        <v>start /low /b %USERPROFILE%\Documents\GitHub\eaglep3\Utilities\DownloadLogsFromS3.py --loco 4019 --day 2017-02-14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2017-02-14-UncaughtWiMAX.txt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620</v>
      </c>
      <c r="B97" s="7">
        <v>4019</v>
      </c>
      <c r="C97" s="21" t="s">
        <v>192</v>
      </c>
      <c r="D97" s="21" t="s">
        <v>717</v>
      </c>
      <c r="E97" s="13">
        <v>42780.888692129629</v>
      </c>
      <c r="F97" s="13">
        <v>42780.889733796299</v>
      </c>
      <c r="G97" s="7">
        <v>1</v>
      </c>
      <c r="H97" s="21" t="s">
        <v>718</v>
      </c>
      <c r="I97" s="13">
        <v>42780.892071759263</v>
      </c>
      <c r="J97" s="7">
        <v>0</v>
      </c>
      <c r="K97" s="98" t="str">
        <f t="shared" si="41"/>
        <v>4019/4020</v>
      </c>
      <c r="L97" s="21" t="str">
        <f>VLOOKUP(A97,'Trips&amp;Operators'!$C$1:$G$99999,5,FALSE)</f>
        <v>CHANDLER KELVIN</v>
      </c>
      <c r="M97" s="6">
        <f t="shared" si="42"/>
        <v>2.3379629637929611E-3</v>
      </c>
      <c r="N97" s="7"/>
      <c r="O97" s="7"/>
      <c r="P97" s="7"/>
      <c r="Q97" s="22"/>
      <c r="R97" s="22"/>
      <c r="S97" s="31"/>
      <c r="T97" s="46" t="str">
        <f t="shared" si="43"/>
        <v>Southbound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187" t="str">
        <f t="shared" si="44"/>
        <v>https://d0f6bd738d7f1b3e5a7ca70fe4ff75f0.us-east-1.aws.found.io/app/kibana#/discover/Steve-Slow-Train-Analysis-(2080s-and-2083s)?_g=(refreshInterval:(display:Off,pause:!f,section:0,value:0),time:(from:'2017-02-14T20:19:43-0700',mode:absolute,to:'2017-02-14T22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7" s="188" t="str">
        <f t="shared" si="45"/>
        <v>Y</v>
      </c>
      <c r="X97" s="188">
        <f t="shared" si="56"/>
        <v>0</v>
      </c>
      <c r="Y97" s="62">
        <f t="shared" si="46"/>
        <v>8.6361000000000008</v>
      </c>
      <c r="Z97" s="62">
        <f t="shared" si="52"/>
        <v>8.1786999999999992</v>
      </c>
      <c r="AA97" s="62">
        <f t="shared" si="47"/>
        <v>0.45740000000000158</v>
      </c>
      <c r="AB97" s="59" t="e">
        <f>VLOOKUP(A97,Enforcements!$C$7:$K$14,8,0)</f>
        <v>#N/A</v>
      </c>
      <c r="AC97" s="55" t="e">
        <f>VLOOKUP(A97,Enforcements!$C$7:$E$14,3,0)</f>
        <v>#N/A</v>
      </c>
      <c r="AD97" s="56" t="str">
        <f t="shared" si="48"/>
        <v>0226-14</v>
      </c>
      <c r="AE97" s="85" t="str">
        <f t="shared" si="49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97" s="82" t="str">
        <f t="shared" si="50"/>
        <v>"C:\Program Files (x86)\AstroGrep\AstroGrep.exe" /spath="%USERPROFILE%\AppData\Local\Temp\OnboardLogs" /stypes="app*4019*20170215*" /stext=" 04:.+((SYSTEM_STATE.+slice.+state.+changed )|(ment ac)|(multiple cpu faults)|(system.+state.+changed )|(\[timeout)|(PRM\|1\|D)|(kpr)|(kdp)|(\|lc)|(penalty)|(RTDC:00:00000204:00000036:00006526))" /e /r /s</v>
      </c>
      <c r="AG97" s="1" t="str">
        <f t="shared" si="51"/>
        <v>EC</v>
      </c>
      <c r="AH97" s="86" t="str">
        <f t="shared" si="53"/>
        <v>"%USERPROFILE%\Documents\GitHub\eaglep3\Utilities\RefineRTDCRunTimes.py" --tripid 226-14 --locoid 4019 --swversion DE.1.0.8.0 --startMP 204:86361 --initTime 2017-02-14T21:19:43 --startdatetime 2017-02-14T21:21:13 --delay 1 --endMP 204:81787 --enddatetime 2017-02-14T21:24:35 --enforcementcount 0 &gt;&gt;C:\Users\stu\Documents\GitHub\eaglep3-reporting\EC\2017-02-14-refined-times.txt</v>
      </c>
      <c r="AI97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{"issue":{"subject":"","project_id":79,"tracker_id":40,"status_id":1,"priority_id":2,"assigned_to_id":23,"start_date":"2017-02-14","description":"","custom_fields":[{"id":1,"name":"Subdivision","value":"EC"},{"id":4,"name":"Milepost","value":"8.1787"},{"id":17,"name":"Train ID","value":"226-14"},{"id":16,"name":"Locomotive ID","value":"4019"},{"id":130,"name":"Impact","value":""},{"id":150,"name":"Time of Event (Mountain Time)","value":"21:24:35"},{"id":151,"name":"Denver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55"/>
        <v>start /low /b %USERPROFILE%\Documents\GitHub\eaglep3\Utilities\DownloadLogsFromS3.py --loco 4019 --day 2017-02-14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2017-02-14-UncaughtWiMAX.txt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614</v>
      </c>
      <c r="B98" s="7">
        <v>4020</v>
      </c>
      <c r="C98" s="21" t="s">
        <v>192</v>
      </c>
      <c r="D98" s="21" t="s">
        <v>719</v>
      </c>
      <c r="E98" s="13">
        <v>42780.859872685185</v>
      </c>
      <c r="F98" s="13">
        <v>42780.860520833332</v>
      </c>
      <c r="G98" s="7">
        <v>0</v>
      </c>
      <c r="H98" s="21" t="s">
        <v>720</v>
      </c>
      <c r="I98" s="13">
        <v>42780.886342592596</v>
      </c>
      <c r="J98" s="7">
        <v>0</v>
      </c>
      <c r="K98" s="98" t="str">
        <f t="shared" si="41"/>
        <v>4019/4020</v>
      </c>
      <c r="L98" s="21" t="str">
        <f>VLOOKUP(A98,'Trips&amp;Operators'!$C$1:$G$99999,5,FALSE)</f>
        <v>CHANDLER KELVIN</v>
      </c>
      <c r="M98" s="6">
        <f t="shared" si="42"/>
        <v>2.5821759263635613E-2</v>
      </c>
      <c r="N98" s="7">
        <f>24*60*SUM($M98:$M98)</f>
        <v>37.183333339635283</v>
      </c>
      <c r="O98" s="7"/>
      <c r="P98" s="7"/>
      <c r="Q98" s="22"/>
      <c r="R98" s="22"/>
      <c r="S98" s="31">
        <f t="shared" si="59"/>
        <v>1</v>
      </c>
      <c r="T98" s="46" t="str">
        <f t="shared" si="43"/>
        <v>NorthBound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10</v>
      </c>
      <c r="V98" s="187" t="str">
        <f t="shared" si="44"/>
        <v>https://d0f6bd738d7f1b3e5a7ca70fe4ff75f0.us-east-1.aws.found.io/app/kibana#/discover/Steve-Slow-Train-Analysis-(2080s-and-2083s)?_g=(refreshInterval:(display:Off,pause:!f,section:0,value:0),time:(from:'2017-02-14T19:38:13-0700',mode:absolute,to:'2017-02-14T22:16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8" s="188" t="str">
        <f t="shared" si="45"/>
        <v>N</v>
      </c>
      <c r="X98" s="188">
        <f t="shared" si="56"/>
        <v>1</v>
      </c>
      <c r="Y98" s="62">
        <f t="shared" si="46"/>
        <v>4.9099999999999998E-2</v>
      </c>
      <c r="Z98" s="62">
        <f t="shared" si="52"/>
        <v>8.6374999999999993</v>
      </c>
      <c r="AA98" s="62">
        <f t="shared" si="47"/>
        <v>8.5884</v>
      </c>
      <c r="AB98" s="59" t="e">
        <f>VLOOKUP(A98,Enforcements!$C$7:$K$14,8,0)</f>
        <v>#N/A</v>
      </c>
      <c r="AC98" s="55" t="e">
        <f>VLOOKUP(A98,Enforcements!$C$7:$E$14,3,0)</f>
        <v>#N/A</v>
      </c>
      <c r="AD98" s="56" t="str">
        <f t="shared" si="48"/>
        <v>0227-14</v>
      </c>
      <c r="AE98" s="85" t="str">
        <f t="shared" si="49"/>
        <v>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 &amp; 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</v>
      </c>
      <c r="AF98" s="82" t="str">
        <f t="shared" si="50"/>
        <v>"C:\Program Files (x86)\AstroGrep\AstroGrep.exe" /spath="%USERPROFILE%\AppData\Local\Temp\OnboardLogs" /stypes="app*4020*20170215*" /stext=" 04:.+((SYSTEM_STATE.+slice.+state.+changed )|(ment ac)|(multiple cpu faults)|(system.+state.+changed )|(\[timeout)|(PRM\|1\|D)|(kpr)|(kdp)|(\|lc)|(penalty)|(RTDC:00:00000204:00000036:00006526))" /e /r /s</v>
      </c>
      <c r="AG98" s="1" t="str">
        <f t="shared" si="51"/>
        <v>EC</v>
      </c>
      <c r="AH98" s="86" t="str">
        <f t="shared" si="53"/>
        <v>"%USERPROFILE%\Documents\GitHub\eaglep3\Utilities\RefineRTDCRunTimes.py" --tripid 227-14 --locoid 4020 --swversion DE.1.0.8.0 --startMP 204:491 --initTime 2017-02-14T20:38:13 --startdatetime 2017-02-14T20:39:09 --delay 0 --endMP 204:86375 --enddatetime 2017-02-14T21:16:20 --enforcementcount 0 &gt;&gt;C:\Users\stu\Documents\GitHub\eaglep3-reporting\EC\2017-02-14-refined-times.txt</v>
      </c>
      <c r="AI98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{"issue":{"subject":"","project_id":79,"tracker_id":40,"status_id":1,"priority_id":2,"assigned_to_id":23,"start_date":"2017-02-14","description":"","custom_fields":[{"id":1,"name":"Subdivision","value":"EC"},{"id":4,"name":"Milepost","value":"8.6375"},{"id":17,"name":"Train ID","value":"227-14"},{"id":16,"name":"Locomotive ID","value":"4020"},{"id":130,"name":"Impact","value":""},{"id":150,"name":"Time of Event (Mountain Time)","value":"21:16:20"},{"id":151,"name":"Denver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55"/>
        <v>start /low /b %USERPROFILE%\Documents\GitHub\eaglep3\Utilities\DownloadLogsFromS3.py --loco 4020 --day 2017-02-14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"%USERPROFILE%\AppData\Local\Temp\OnboardLogs"\RTDC4020\*4020*20170215* | grep -SE "(Enforcement Action)|(\[TIMEOUT)|(CHR.+\|PRM\|1\|D.+(SWITCH|SIGNAL).+UNKNOWN)" - &gt;&gt; 2017-02-14-UncaughtWiMAX.txt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616</v>
      </c>
      <c r="B99" s="7">
        <v>4012</v>
      </c>
      <c r="C99" s="21" t="s">
        <v>192</v>
      </c>
      <c r="D99" s="21" t="s">
        <v>681</v>
      </c>
      <c r="E99" s="13">
        <v>42780.91542824074</v>
      </c>
      <c r="F99" s="13">
        <v>42780.91605324074</v>
      </c>
      <c r="G99" s="7">
        <v>0</v>
      </c>
      <c r="H99" s="21" t="s">
        <v>397</v>
      </c>
      <c r="I99" s="13">
        <v>42780.928842592592</v>
      </c>
      <c r="J99" s="7">
        <v>0</v>
      </c>
      <c r="K99" s="98" t="str">
        <f t="shared" si="41"/>
        <v>4011/4012</v>
      </c>
      <c r="L99" s="21" t="str">
        <f>VLOOKUP(A99,'Trips&amp;Operators'!$C$1:$G$99999,5,FALSE)</f>
        <v>STAMBAUGH JAMES</v>
      </c>
      <c r="M99" s="6">
        <f t="shared" si="42"/>
        <v>1.2789351851097308E-2</v>
      </c>
      <c r="N99" s="7"/>
      <c r="O99" s="7"/>
      <c r="P99" s="7">
        <f>24*60*SUM($M99:$M99)</f>
        <v>18.416666665580124</v>
      </c>
      <c r="Q99" s="22"/>
      <c r="R99" s="22" t="s">
        <v>862</v>
      </c>
      <c r="S99" s="31">
        <f t="shared" ref="S99" si="60">SUM(U99:U99)/IF(AG99="EC",10,1)</f>
        <v>0.9</v>
      </c>
      <c r="T99" s="46" t="str">
        <f t="shared" si="43"/>
        <v>Southbound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9</v>
      </c>
      <c r="V99" s="187" t="str">
        <f t="shared" si="44"/>
        <v>https://d0f6bd738d7f1b3e5a7ca70fe4ff75f0.us-east-1.aws.found.io/app/kibana#/discover/Steve-Slow-Train-Analysis-(2080s-and-2083s)?_g=(refreshInterval:(display:Off,pause:!f,section:0,value:0),time:(from:'2017-02-14T20:58:13-0700',mode:absolute,to:'2017-02-14T23:17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9" s="188" t="str">
        <f t="shared" si="45"/>
        <v>Y</v>
      </c>
      <c r="X99" s="188">
        <f t="shared" si="56"/>
        <v>1</v>
      </c>
      <c r="Y99" s="62">
        <f t="shared" si="46"/>
        <v>6.4101999999999997</v>
      </c>
      <c r="Z99" s="62">
        <f t="shared" si="52"/>
        <v>1.5599999999999999E-2</v>
      </c>
      <c r="AA99" s="62">
        <f t="shared" si="47"/>
        <v>6.3945999999999996</v>
      </c>
      <c r="AB99" s="59" t="e">
        <f>VLOOKUP(A99,Enforcements!$C$7:$K$14,8,0)</f>
        <v>#N/A</v>
      </c>
      <c r="AC99" s="55" t="e">
        <f>VLOOKUP(A99,Enforcements!$C$7:$E$14,3,0)</f>
        <v>#N/A</v>
      </c>
      <c r="AD99" s="56" t="str">
        <f t="shared" si="48"/>
        <v>0228-14</v>
      </c>
      <c r="AE99" s="85" t="str">
        <f t="shared" si="49"/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99" s="82" t="str">
        <f t="shared" si="50"/>
        <v>"C:\Program Files (x86)\AstroGrep\AstroGrep.exe" /spath="%USERPROFILE%\AppData\Local\Temp\OnboardLogs" /stypes="app*4012*20170215*" /stext=" 05:.+((SYSTEM_STATE.+slice.+state.+changed )|(ment ac)|(multiple cpu faults)|(system.+state.+changed )|(\[timeout)|(PRM\|1\|D)|(kpr)|(kdp)|(\|lc)|(penalty)|(RTDC:00:00000204:00000036:00006526))" /e /r /s</v>
      </c>
      <c r="AG99" s="1" t="str">
        <f t="shared" si="51"/>
        <v>EC</v>
      </c>
      <c r="AH99" s="86" t="str">
        <f t="shared" si="53"/>
        <v>"%USERPROFILE%\Documents\GitHub\eaglep3\Utilities\RefineRTDCRunTimes.py" --tripid 228-14 --locoid 4012 --swversion DE.1.0.8.0 --startMP 204:64102 --initTime 2017-02-14T21:58:13 --startdatetime 2017-02-14T21:59:07 --delay 0 --endMP 204:156 --enddatetime 2017-02-14T22:17:32 --enforcementcount 0 &gt;&gt;C:\Users\stu\Documents\GitHub\eaglep3-reporting\EC\2017-02-14-refined-times.txt</v>
      </c>
      <c r="AI99" s="108" t="str">
        <f t="shared" si="54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lock","project_id":79,"tracker_id":40,"status_id":1,"priority_id":2,"assigned_to_id":23,"start_date":"2017-02-14","description":"","custom_fields":[{"id":1,"name":"Subdivision","value":"EC"},{"id":4,"name":"Milepost","value":"0.0156"},{"id":17,"name":"Train ID","value":"228-14"},{"id":16,"name":"Locomotive ID","value":"4012"},{"id":130,"name":"Impact","value":""},{"id":150,"name":"Time of Event (Mountain Time)","value":"22:17:32"},{"id":151,"name":"Denver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55"/>
        <v>start /low /b %USERPROFILE%\Documents\GitHub\eaglep3\Utilities\DownloadLogsFromS3.py --loco 4012 --day 2017-02-14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2017-02-14-UncaughtWiMAX.txt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616</v>
      </c>
      <c r="B100" s="7">
        <v>4012</v>
      </c>
      <c r="C100" s="21" t="s">
        <v>192</v>
      </c>
      <c r="D100" s="21" t="s">
        <v>651</v>
      </c>
      <c r="E100" s="13">
        <v>42780.897048611114</v>
      </c>
      <c r="F100" s="13">
        <v>42780.8981712963</v>
      </c>
      <c r="G100" s="7">
        <v>1</v>
      </c>
      <c r="H100" s="21" t="s">
        <v>651</v>
      </c>
      <c r="I100" s="13">
        <v>42780.899560185186</v>
      </c>
      <c r="J100" s="7">
        <v>0</v>
      </c>
      <c r="K100" s="98" t="str">
        <f t="shared" si="41"/>
        <v>4011/4012</v>
      </c>
      <c r="L100" s="21" t="str">
        <f>VLOOKUP(A100,'Trips&amp;Operators'!$C$1:$G$99999,5,FALSE)</f>
        <v>STAMBAUGH JAMES</v>
      </c>
      <c r="M100" s="6">
        <f t="shared" si="42"/>
        <v>1.3888888861401938E-3</v>
      </c>
      <c r="N100" s="7"/>
      <c r="O100" s="7"/>
      <c r="P100" s="7"/>
      <c r="Q100" s="22"/>
      <c r="R100" s="22"/>
      <c r="S100" s="31"/>
      <c r="T100" s="46" t="str">
        <f t="shared" si="43"/>
        <v>Southbound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0</v>
      </c>
      <c r="V100" s="187" t="str">
        <f t="shared" si="44"/>
        <v>https://d0f6bd738d7f1b3e5a7ca70fe4ff75f0.us-east-1.aws.found.io/app/kibana#/discover/Steve-Slow-Train-Analysis-(2080s-and-2083s)?_g=(refreshInterval:(display:Off,pause:!f,section:0,value:0),time:(from:'2017-02-14T20:31:45-0700',mode:absolute,to:'2017-02-14T22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0" s="188" t="str">
        <f t="shared" si="45"/>
        <v>Y</v>
      </c>
      <c r="X100" s="188">
        <f t="shared" si="56"/>
        <v>0</v>
      </c>
      <c r="Y100" s="62">
        <f t="shared" si="46"/>
        <v>8.6350999999999996</v>
      </c>
      <c r="Z100" s="62">
        <f t="shared" si="52"/>
        <v>8.6350999999999996</v>
      </c>
      <c r="AA100" s="62">
        <f t="shared" si="47"/>
        <v>0</v>
      </c>
      <c r="AB100" s="59" t="e">
        <f>VLOOKUP(A100,Enforcements!$C$7:$K$14,8,0)</f>
        <v>#N/A</v>
      </c>
      <c r="AC100" s="55" t="e">
        <f>VLOOKUP(A100,Enforcements!$C$7:$E$14,3,0)</f>
        <v>#N/A</v>
      </c>
      <c r="AD100" s="56" t="str">
        <f t="shared" si="48"/>
        <v>0228-14</v>
      </c>
      <c r="AE100" s="85" t="str">
        <f t="shared" si="49"/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100" s="82" t="str">
        <f t="shared" si="50"/>
        <v>"C:\Program Files (x86)\AstroGrep\AstroGrep.exe" /spath="%USERPROFILE%\AppData\Local\Temp\OnboardLogs" /stypes="app*4012*20170215*" /stext=" 04:.+((SYSTEM_STATE.+slice.+state.+changed )|(ment ac)|(multiple cpu faults)|(system.+state.+changed )|(\[timeout)|(PRM\|1\|D)|(kpr)|(kdp)|(\|lc)|(penalty)|(RTDC:00:00000204:00000036:00006526))" /e /r /s</v>
      </c>
      <c r="AG100" s="1" t="str">
        <f t="shared" si="51"/>
        <v>EC</v>
      </c>
      <c r="AH100" s="86" t="str">
        <f t="shared" si="53"/>
        <v>"%USERPROFILE%\Documents\GitHub\eaglep3\Utilities\RefineRTDCRunTimes.py" --tripid 228-14 --locoid 4012 --swversion DE.1.0.8.0 --startMP 204:86351 --initTime 2017-02-14T21:31:45 --startdatetime 2017-02-14T21:33:22 --delay 1 --endMP 204:86351 --enddatetime 2017-02-14T21:35:22 --enforcementcount 0 &gt;&gt;C:\Users\stu\Documents\GitHub\eaglep3-reporting\EC\2017-02-14-refined-times.txt</v>
      </c>
      <c r="AI100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{"issue":{"subject":"","project_id":79,"tracker_id":40,"status_id":1,"priority_id":2,"assigned_to_id":23,"start_date":"2017-02-14","description":"","custom_fields":[{"id":1,"name":"Subdivision","value":"EC"},{"id":4,"name":"Milepost","value":"8.6351"},{"id":17,"name":"Train ID","value":"228-14"},{"id":16,"name":"Locomotive ID","value":"4012"},{"id":130,"name":"Impact","value":""},{"id":150,"name":"Time of Event (Mountain Time)","value":"21:35:22"},{"id":151,"name":"Denver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55"/>
        <v>start /low /b %USERPROFILE%\Documents\GitHub\eaglep3\Utilities\DownloadLogsFromS3.py --loco 4012 --day 2017-02-14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2017-02-14-UncaughtWiMAX.txt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618</v>
      </c>
      <c r="B101" s="7">
        <v>4027</v>
      </c>
      <c r="C101" s="21" t="s">
        <v>192</v>
      </c>
      <c r="D101" s="21" t="s">
        <v>721</v>
      </c>
      <c r="E101" s="13">
        <v>42780.875636574077</v>
      </c>
      <c r="F101" s="13">
        <v>42780.876493055555</v>
      </c>
      <c r="G101" s="7">
        <v>1</v>
      </c>
      <c r="H101" s="21" t="s">
        <v>669</v>
      </c>
      <c r="I101" s="13">
        <v>42780.894849537035</v>
      </c>
      <c r="J101" s="7">
        <v>0</v>
      </c>
      <c r="K101" s="98" t="str">
        <f t="shared" si="41"/>
        <v>4027/4028</v>
      </c>
      <c r="L101" s="21" t="str">
        <f>VLOOKUP(A101,'Trips&amp;Operators'!$C$1:$G$99999,5,FALSE)</f>
        <v>SAFIEF AEIMEN</v>
      </c>
      <c r="M101" s="6">
        <f t="shared" si="42"/>
        <v>1.8356481479713693E-2</v>
      </c>
      <c r="N101" s="7">
        <f>24*60*SUM($M101:$M101)</f>
        <v>26.433333330787718</v>
      </c>
      <c r="O101" s="7"/>
      <c r="P101" s="7"/>
      <c r="Q101" s="22"/>
      <c r="R101" s="22"/>
      <c r="S101" s="31">
        <f t="shared" si="59"/>
        <v>1</v>
      </c>
      <c r="T101" s="46" t="str">
        <f t="shared" si="43"/>
        <v>NorthBound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10</v>
      </c>
      <c r="V101" s="187" t="str">
        <f t="shared" si="44"/>
        <v>https://d0f6bd738d7f1b3e5a7ca70fe4ff75f0.us-east-1.aws.found.io/app/kibana#/discover/Steve-Slow-Train-Analysis-(2080s-and-2083s)?_g=(refreshInterval:(display:Off,pause:!f,section:0,value:0),time:(from:'2017-02-14T20:00:55-0700',mode:absolute,to:'2017-02-14T22:28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1" s="188" t="str">
        <f t="shared" si="45"/>
        <v>N</v>
      </c>
      <c r="X101" s="188">
        <f t="shared" si="56"/>
        <v>1</v>
      </c>
      <c r="Y101" s="62">
        <f t="shared" si="46"/>
        <v>7.5200000000000003E-2</v>
      </c>
      <c r="Z101" s="62">
        <f t="shared" si="52"/>
        <v>8.6379000000000001</v>
      </c>
      <c r="AA101" s="62">
        <f t="shared" si="47"/>
        <v>8.5626999999999995</v>
      </c>
      <c r="AB101" s="59" t="e">
        <f>VLOOKUP(A101,Enforcements!$C$7:$K$14,8,0)</f>
        <v>#N/A</v>
      </c>
      <c r="AC101" s="55" t="e">
        <f>VLOOKUP(A101,Enforcements!$C$7:$E$14,3,0)</f>
        <v>#N/A</v>
      </c>
      <c r="AD101" s="56" t="str">
        <f t="shared" si="48"/>
        <v>0229-14</v>
      </c>
      <c r="AE101" s="85" t="str">
        <f t="shared" si="49"/>
        <v>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 &amp; 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</v>
      </c>
      <c r="AF101" s="82" t="str">
        <f t="shared" si="50"/>
        <v>"C:\Program Files (x86)\AstroGrep\AstroGrep.exe" /spath="%USERPROFILE%\AppData\Local\Temp\OnboardLogs" /stypes="app*4027*20170215*" /stext=" 04:.+((SYSTEM_STATE.+slice.+state.+changed )|(ment ac)|(multiple cpu faults)|(system.+state.+changed )|(\[timeout)|(PRM\|1\|D)|(kpr)|(kdp)|(\|lc)|(penalty)|(RTDC:00:00000204:00000036:00006526))" /e /r /s</v>
      </c>
      <c r="AG101" s="1" t="str">
        <f t="shared" si="51"/>
        <v>EC</v>
      </c>
      <c r="AH101" s="86" t="str">
        <f t="shared" si="53"/>
        <v>"%USERPROFILE%\Documents\GitHub\eaglep3\Utilities\RefineRTDCRunTimes.py" --tripid 229-14 --locoid 4027 --swversion DE.1.0.8.0 --startMP 204:752 --initTime 2017-02-14T21:00:55 --startdatetime 2017-02-14T21:02:09 --delay 1 --endMP 204:86379 --enddatetime 2017-02-14T21:28:35 --enforcementcount 0 &gt;&gt;C:\Users\stu\Documents\GitHub\eaglep3-reporting\EC\2017-02-14-refined-times.txt</v>
      </c>
      <c r="AI101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ID","value":"229-14"},{"id":16,"name":"Locomotive ID","value":"4027"},{"id":130,"name":"Impact","value":""},{"id":150,"name":"Time of Event (Mountain Time)","value":"21:28:35"},{"id":151,"name":"Denver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55"/>
        <v>start /low /b %USERPROFILE%\Documents\GitHub\eaglep3\Utilities\DownloadLogsFromS3.py --loco 4027 --day 2017-02-14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2017-02-14-UncaughtWiMAX.txt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625</v>
      </c>
      <c r="B102" s="7">
        <v>4032</v>
      </c>
      <c r="C102" s="21" t="s">
        <v>192</v>
      </c>
      <c r="D102" s="21" t="s">
        <v>722</v>
      </c>
      <c r="E102" s="13">
        <v>42780.942928240744</v>
      </c>
      <c r="F102" s="13">
        <v>42780.944444444445</v>
      </c>
      <c r="G102" s="7">
        <v>2</v>
      </c>
      <c r="H102" s="21" t="s">
        <v>723</v>
      </c>
      <c r="I102" s="13">
        <v>42780.945069444446</v>
      </c>
      <c r="J102" s="7">
        <v>0</v>
      </c>
      <c r="K102" s="98" t="str">
        <f t="shared" si="41"/>
        <v>4031/4032</v>
      </c>
      <c r="L102" s="21" t="str">
        <f>VLOOKUP(A102,'Trips&amp;Operators'!$C$1:$G$99999,5,FALSE)</f>
        <v>STAMBAUGH JAMES</v>
      </c>
      <c r="M102" s="6">
        <f t="shared" si="42"/>
        <v>6.2500000058207661E-4</v>
      </c>
      <c r="N102" s="7"/>
      <c r="O102" s="7"/>
      <c r="P102" s="7">
        <f>24*60*SUM($M102:$M102)</f>
        <v>0.90000000083819032</v>
      </c>
      <c r="Q102" s="22"/>
      <c r="R102" s="22" t="s">
        <v>854</v>
      </c>
      <c r="S102" s="31">
        <v>0</v>
      </c>
      <c r="T102" s="46" t="str">
        <f t="shared" si="43"/>
        <v>Southbound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0</v>
      </c>
      <c r="V102" s="187" t="str">
        <f t="shared" si="44"/>
        <v>https://d0f6bd738d7f1b3e5a7ca70fe4ff75f0.us-east-1.aws.found.io/app/kibana#/discover/Steve-Slow-Train-Analysis-(2080s-and-2083s)?_g=(refreshInterval:(display:Off,pause:!f,section:0,value:0),time:(from:'2017-02-14T21:37:49-0700',mode:absolute,to:'2017-02-14T23:40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2" s="188" t="str">
        <f t="shared" si="45"/>
        <v>Y</v>
      </c>
      <c r="X102" s="188">
        <f t="shared" si="56"/>
        <v>1</v>
      </c>
      <c r="Y102" s="62">
        <f t="shared" si="46"/>
        <v>3.6705000000000001</v>
      </c>
      <c r="Z102" s="62">
        <f t="shared" si="52"/>
        <v>3.4847999999999999</v>
      </c>
      <c r="AA102" s="62">
        <f t="shared" si="47"/>
        <v>0.1857000000000002</v>
      </c>
      <c r="AB102" s="59" t="e">
        <f>VLOOKUP(A102,Enforcements!$C$7:$K$14,8,0)</f>
        <v>#N/A</v>
      </c>
      <c r="AC102" s="55" t="e">
        <f>VLOOKUP(A102,Enforcements!$C$7:$E$14,3,0)</f>
        <v>#N/A</v>
      </c>
      <c r="AD102" s="56" t="str">
        <f t="shared" si="48"/>
        <v>0230-14</v>
      </c>
      <c r="AE102" s="85" t="str">
        <f t="shared" si="49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102" s="82" t="str">
        <f t="shared" si="50"/>
        <v>"C:\Program Files (x86)\AstroGrep\AstroGrep.exe" /spath="%USERPROFILE%\AppData\Local\Temp\OnboardLogs" /stypes="app*4032*20170215*" /stext=" 05:.+((SYSTEM_STATE.+slice.+state.+changed )|(ment ac)|(multiple cpu faults)|(system.+state.+changed )|(\[timeout)|(PRM\|1\|D)|(kpr)|(kdp)|(\|lc)|(penalty)|(RTDC:00:00000204:00000036:00006526))" /e /r /s</v>
      </c>
      <c r="AG102" s="1" t="str">
        <f t="shared" si="51"/>
        <v>EC</v>
      </c>
      <c r="AH102" s="86" t="str">
        <f t="shared" si="53"/>
        <v>"%USERPROFILE%\Documents\GitHub\eaglep3\Utilities\RefineRTDCRunTimes.py" --tripid 230-14 --locoid 4032 --swversion DE.1.0.8.0 --startMP 204:36705 --initTime 2017-02-14T22:37:49 --startdatetime 2017-02-14T22:40:00 --delay 2 --endMP 204:34848 --enddatetime 2017-02-14T22:40:54 --enforcementcount 0 &gt;&gt;C:\Users\stu\Documents\GitHub\eaglep3-reporting\EC\2017-02-14-refined-times.txt</v>
      </c>
      <c r="AI102" s="108" t="str">
        <f t="shared" si="54"/>
        <v>echo {"issue":{"subject":"Onboard in-route failure","project_id":79,"tracker_id":40,"status_id":1,"priority_id":2,"assigned_to_id":23,"start_date":"2017-02-14","description":"","custom_fields":[{"id":1,"name":"Subdivision","value":"EC"},{"id":4,"name":"Milepost","value":"3.4848"},{"id":17,"name":"Train ID","value":"230-14"},{"id":16,"name":"Locomotive ID","value":"4032"},{"id":130,"name":"Impact","value":""},{"id":150,"name":"Time of Event (Mountain Time)","value":"22:40:54"},{"id":151,"name":"Denver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55"/>
        <v>start /low /b %USERPROFILE%\Documents\GitHub\eaglep3\Utilities\DownloadLogsFromS3.py --loco 4032 --day 2017-02-14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"%USERPROFILE%\AppData\Local\Temp\OnboardLogs"\RTDC4032\*4032*20170215* | grep -SE "(Enforcement Action)|(\[TIMEOUT)|(CHR.+\|PRM\|1\|D.+(SWITCH|SIGNAL).+UNKNOWN)" - &gt;&gt; 2017-02-14-UncaughtWiMAX.txt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625</v>
      </c>
      <c r="B103" s="7">
        <v>4032</v>
      </c>
      <c r="C103" s="21" t="s">
        <v>192</v>
      </c>
      <c r="D103" s="21" t="s">
        <v>724</v>
      </c>
      <c r="E103" s="13">
        <v>42780.93546296296</v>
      </c>
      <c r="F103" s="13">
        <v>42780.937395833331</v>
      </c>
      <c r="G103" s="7">
        <v>2</v>
      </c>
      <c r="H103" s="21" t="s">
        <v>725</v>
      </c>
      <c r="I103" s="13">
        <v>42780.937476851854</v>
      </c>
      <c r="J103" s="7">
        <v>0</v>
      </c>
      <c r="K103" s="98" t="str">
        <f t="shared" si="41"/>
        <v>4031/4032</v>
      </c>
      <c r="L103" s="21" t="str">
        <f>VLOOKUP(A103,'Trips&amp;Operators'!$C$1:$G$99999,5,FALSE)</f>
        <v>STAMBAUGH JAMES</v>
      </c>
      <c r="M103" s="6">
        <f t="shared" si="42"/>
        <v>8.101852290565148E-5</v>
      </c>
      <c r="N103" s="7"/>
      <c r="O103" s="7"/>
      <c r="P103" s="7"/>
      <c r="Q103" s="22"/>
      <c r="R103" s="22"/>
      <c r="S103" s="31"/>
      <c r="T103" s="46" t="str">
        <f t="shared" si="43"/>
        <v>Southbound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</v>
      </c>
      <c r="V103" s="187" t="str">
        <f t="shared" si="44"/>
        <v>https://d0f6bd738d7f1b3e5a7ca70fe4ff75f0.us-east-1.aws.found.io/app/kibana#/discover/Steve-Slow-Train-Analysis-(2080s-and-2083s)?_g=(refreshInterval:(display:Off,pause:!f,section:0,value:0),time:(from:'2017-02-14T21:27:04-0700',mode:absolute,to:'2017-02-14T23:29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188" t="str">
        <f t="shared" si="45"/>
        <v>Y</v>
      </c>
      <c r="X103" s="188">
        <f t="shared" si="56"/>
        <v>0</v>
      </c>
      <c r="Y103" s="62">
        <f t="shared" si="46"/>
        <v>6.4070999999999998</v>
      </c>
      <c r="Z103" s="62">
        <f t="shared" si="52"/>
        <v>6.1508000000000003</v>
      </c>
      <c r="AA103" s="62">
        <f t="shared" si="47"/>
        <v>0.25629999999999953</v>
      </c>
      <c r="AB103" s="59" t="e">
        <f>VLOOKUP(A103,Enforcements!$C$7:$K$14,8,0)</f>
        <v>#N/A</v>
      </c>
      <c r="AC103" s="55" t="e">
        <f>VLOOKUP(A103,Enforcements!$C$7:$E$14,3,0)</f>
        <v>#N/A</v>
      </c>
      <c r="AD103" s="56" t="str">
        <f t="shared" si="48"/>
        <v>0230-14</v>
      </c>
      <c r="AE103" s="85" t="str">
        <f t="shared" si="49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103" s="82" t="str">
        <f t="shared" si="50"/>
        <v>"C:\Program Files (x86)\AstroGrep\AstroGrep.exe" /spath="%USERPROFILE%\AppData\Local\Temp\OnboardLogs" /stypes="app*4032*20170215*" /stext=" 05:.+((SYSTEM_STATE.+slice.+state.+changed )|(ment ac)|(multiple cpu faults)|(system.+state.+changed )|(\[timeout)|(PRM\|1\|D)|(kpr)|(kdp)|(\|lc)|(penalty)|(RTDC:00:00000204:00000036:00006526))" /e /r /s</v>
      </c>
      <c r="AG103" s="1" t="str">
        <f t="shared" si="51"/>
        <v>EC</v>
      </c>
      <c r="AH103" s="86" t="str">
        <f t="shared" si="53"/>
        <v>"%USERPROFILE%\Documents\GitHub\eaglep3\Utilities\RefineRTDCRunTimes.py" --tripid 230-14 --locoid 4032 --swversion DE.1.0.8.0 --startMP 204:64071 --initTime 2017-02-14T22:27:04 --startdatetime 2017-02-14T22:29:51 --delay 2 --endMP 204:61508 --enddatetime 2017-02-14T22:29:58 --enforcementcount 0 &gt;&gt;C:\Users\stu\Documents\GitHub\eaglep3-reporting\EC\2017-02-14-refined-times.txt</v>
      </c>
      <c r="AI103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{"issue":{"subject":"","project_id":79,"tracker_id":40,"status_id":1,"priority_id":2,"assigned_to_id":23,"start_date":"2017-02-14","description":"","custom_fields":[{"id":1,"name":"Subdivision","value":"EC"},{"id":4,"name":"Milepost","value":"6.1508"},{"id":17,"name":"Train ID","value":"230-14"},{"id":16,"name":"Locomotive ID","value":"4032"},{"id":130,"name":"Impact","value":""},{"id":150,"name":"Time of Event (Mountain Time)","value":"22:29:58"},{"id":151,"name":"Denver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55"/>
        <v>start /low /b %USERPROFILE%\Documents\GitHub\eaglep3\Utilities\DownloadLogsFromS3.py --loco 4032 --day 2017-02-14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"%USERPROFILE%\AppData\Local\Temp\OnboardLogs"\RTDC4032\*4032*20170215* | grep -SE "(Enforcement Action)|(\[TIMEOUT)|(CHR.+\|PRM\|1\|D.+(SWITCH|SIGNAL).+UNKNOWN)" - &gt;&gt; 2017-02-14-UncaughtWiMAX.txt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621</v>
      </c>
      <c r="B104" s="7">
        <v>4029</v>
      </c>
      <c r="C104" s="21" t="s">
        <v>192</v>
      </c>
      <c r="D104" s="21" t="s">
        <v>726</v>
      </c>
      <c r="E104" s="13">
        <v>42780.891967592594</v>
      </c>
      <c r="F104" s="13">
        <v>42780.893460648149</v>
      </c>
      <c r="G104" s="7">
        <v>2</v>
      </c>
      <c r="H104" s="21" t="s">
        <v>650</v>
      </c>
      <c r="I104" s="13">
        <v>42780.914490740739</v>
      </c>
      <c r="J104" s="7">
        <v>0</v>
      </c>
      <c r="K104" s="98" t="str">
        <f t="shared" si="41"/>
        <v>4029/4030</v>
      </c>
      <c r="L104" s="21" t="str">
        <f>VLOOKUP(A104,'Trips&amp;Operators'!$C$1:$G$99999,5,FALSE)</f>
        <v>STORY SAMANTHA</v>
      </c>
      <c r="M104" s="6">
        <f t="shared" si="42"/>
        <v>2.103009259008104E-2</v>
      </c>
      <c r="N104" s="7">
        <f>24*60*SUM($M104:$M104)</f>
        <v>30.283333329716697</v>
      </c>
      <c r="O104" s="7"/>
      <c r="P104" s="7"/>
      <c r="Q104" s="22"/>
      <c r="R104" s="22"/>
      <c r="S104" s="31">
        <f t="shared" si="59"/>
        <v>1</v>
      </c>
      <c r="T104" s="46" t="str">
        <f t="shared" si="43"/>
        <v>NorthBound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10</v>
      </c>
      <c r="V104" s="187" t="str">
        <f t="shared" si="44"/>
        <v>https://d0f6bd738d7f1b3e5a7ca70fe4ff75f0.us-east-1.aws.found.io/app/kibana#/discover/Steve-Slow-Train-Analysis-(2080s-and-2083s)?_g=(refreshInterval:(display:Off,pause:!f,section:0,value:0),time:(from:'2017-02-14T20:24:26-0700',mode:absolute,to:'2017-02-14T22:56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4" s="188" t="str">
        <f t="shared" si="45"/>
        <v>N</v>
      </c>
      <c r="X104" s="188">
        <f t="shared" si="56"/>
        <v>1</v>
      </c>
      <c r="Y104" s="62">
        <f t="shared" si="46"/>
        <v>7.6799999999999993E-2</v>
      </c>
      <c r="Z104" s="62">
        <f t="shared" si="52"/>
        <v>8.6379999999999999</v>
      </c>
      <c r="AA104" s="62">
        <f t="shared" si="47"/>
        <v>8.5611999999999995</v>
      </c>
      <c r="AB104" s="59" t="e">
        <f>VLOOKUP(A104,Enforcements!$C$7:$K$14,8,0)</f>
        <v>#N/A</v>
      </c>
      <c r="AC104" s="55" t="e">
        <f>VLOOKUP(A104,Enforcements!$C$7:$E$14,3,0)</f>
        <v>#N/A</v>
      </c>
      <c r="AD104" s="56" t="str">
        <f t="shared" si="48"/>
        <v>0231-14</v>
      </c>
      <c r="AE104" s="85" t="str">
        <f t="shared" si="49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104" s="82" t="str">
        <f t="shared" si="50"/>
        <v>"C:\Program Files (x86)\AstroGrep\AstroGrep.exe" /spath="%USERPROFILE%\AppData\Local\Temp\OnboardLogs" /stypes="app*4029*20170215*" /stext=" 04:.+((SYSTEM_STATE.+slice.+state.+changed )|(ment ac)|(multiple cpu faults)|(system.+state.+changed )|(\[timeout)|(PRM\|1\|D)|(kpr)|(kdp)|(\|lc)|(penalty)|(RTDC:00:00000204:00000036:00006526))" /e /r /s</v>
      </c>
      <c r="AG104" s="1" t="str">
        <f t="shared" si="51"/>
        <v>EC</v>
      </c>
      <c r="AH104" s="86" t="str">
        <f t="shared" si="53"/>
        <v>"%USERPROFILE%\Documents\GitHub\eaglep3\Utilities\RefineRTDCRunTimes.py" --tripid 231-14 --locoid 4029 --swversion DE.1.0.8.0 --startMP 204:768 --initTime 2017-02-14T21:24:26 --startdatetime 2017-02-14T21:26:35 --delay 2 --endMP 204:86380 --enddatetime 2017-02-14T21:56:52 --enforcementcount 0 &gt;&gt;C:\Users\stu\Documents\GitHub\eaglep3-reporting\EC\2017-02-14-refined-times.txt</v>
      </c>
      <c r="AI104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{"issue":{"subject":"","project_id":79,"tracker_id":40,"status_id":1,"priority_id":2,"assigned_to_id":23,"start_date":"2017-02-14","description":"","custom_fields":[{"id":1,"name":"Subdivision","value":"EC"},{"id":4,"name":"Milepost","value":"8.638"},{"id":17,"name":"Train ID","value":"231-14"},{"id":16,"name":"Locomotive ID","value":"4029"},{"id":130,"name":"Impact","value":""},{"id":150,"name":"Time of Event (Mountain Time)","value":"21:56:52"},{"id":151,"name":"Denver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55"/>
        <v>start /low /b %USERPROFILE%\Documents\GitHub\eaglep3\Utilities\DownloadLogsFromS3.py --loco 4029 --day 2017-02-14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"%USERPROFILE%\AppData\Local\Temp\OnboardLogs"\RTDC4029\*4029*20170215* | grep -SE "(Enforcement Action)|(\[TIMEOUT)|(CHR.+\|PRM\|1\|D.+(SWITCH|SIGNAL).+UNKNOWN)" - &gt;&gt; 2017-02-14-UncaughtWiMAX.txt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628</v>
      </c>
      <c r="B105" s="7">
        <v>4019</v>
      </c>
      <c r="C105" s="21" t="s">
        <v>192</v>
      </c>
      <c r="D105" s="21" t="s">
        <v>727</v>
      </c>
      <c r="E105" s="13">
        <v>42780.95590277778</v>
      </c>
      <c r="F105" s="13">
        <v>42780.956562500003</v>
      </c>
      <c r="G105" s="7">
        <v>0</v>
      </c>
      <c r="H105" s="21" t="s">
        <v>278</v>
      </c>
      <c r="I105" s="13">
        <v>42780.968460648146</v>
      </c>
      <c r="J105" s="7">
        <v>0</v>
      </c>
      <c r="K105" s="98" t="str">
        <f t="shared" si="41"/>
        <v>4019/4020</v>
      </c>
      <c r="L105" s="21" t="str">
        <f>VLOOKUP(A105,'Trips&amp;Operators'!$C$1:$G$99999,5,FALSE)</f>
        <v>CHANDLER KELVIN</v>
      </c>
      <c r="M105" s="6">
        <f t="shared" si="42"/>
        <v>1.1898148142790888E-2</v>
      </c>
      <c r="N105" s="7"/>
      <c r="O105" s="7"/>
      <c r="P105" s="7">
        <f>24*60*SUM($M105:$M105)</f>
        <v>17.133333325618878</v>
      </c>
      <c r="Q105" s="22"/>
      <c r="R105" s="22" t="s">
        <v>862</v>
      </c>
      <c r="S105" s="31">
        <f t="shared" ref="S105" si="61">SUM(U105:U105)/IF(AG105="EC",10,1)</f>
        <v>0.9</v>
      </c>
      <c r="T105" s="46" t="str">
        <f t="shared" si="43"/>
        <v>Southbound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9</v>
      </c>
      <c r="V105" s="187" t="str">
        <f t="shared" si="44"/>
        <v>https://d0f6bd738d7f1b3e5a7ca70fe4ff75f0.us-east-1.aws.found.io/app/kibana#/discover/Steve-Slow-Train-Analysis-(2080s-and-2083s)?_g=(refreshInterval:(display:Off,pause:!f,section:0,value:0),time:(from:'2017-02-14T21:56:30-0700',mode:absolute,to:'2017-02-15T00:14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5" s="188" t="str">
        <f t="shared" si="45"/>
        <v>Y</v>
      </c>
      <c r="X105" s="188">
        <f t="shared" si="56"/>
        <v>1</v>
      </c>
      <c r="Y105" s="62">
        <f t="shared" si="46"/>
        <v>6.4169</v>
      </c>
      <c r="Z105" s="62">
        <f t="shared" si="52"/>
        <v>1.3899999999999999E-2</v>
      </c>
      <c r="AA105" s="62">
        <f t="shared" si="47"/>
        <v>6.4030000000000005</v>
      </c>
      <c r="AB105" s="59" t="e">
        <f>VLOOKUP(A105,Enforcements!$C$7:$K$14,8,0)</f>
        <v>#N/A</v>
      </c>
      <c r="AC105" s="55" t="e">
        <f>VLOOKUP(A105,Enforcements!$C$7:$E$14,3,0)</f>
        <v>#N/A</v>
      </c>
      <c r="AD105" s="56" t="str">
        <f t="shared" si="48"/>
        <v>0232-14</v>
      </c>
      <c r="AE105" s="85" t="str">
        <f t="shared" si="49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105" s="82" t="str">
        <f t="shared" si="50"/>
        <v>"C:\Program Files (x86)\AstroGrep\AstroGrep.exe" /spath="%USERPROFILE%\AppData\Local\Temp\OnboardLogs" /stypes="app*4019*20170215*" /stext=" 06:.+((SYSTEM_STATE.+slice.+state.+changed )|(ment ac)|(multiple cpu faults)|(system.+state.+changed )|(\[timeout)|(PRM\|1\|D)|(kpr)|(kdp)|(\|lc)|(penalty)|(RTDC:00:00000204:00000036:00006526))" /e /r /s</v>
      </c>
      <c r="AG105" s="1" t="str">
        <f t="shared" si="51"/>
        <v>EC</v>
      </c>
      <c r="AH105" s="86" t="str">
        <f t="shared" si="53"/>
        <v>"%USERPROFILE%\Documents\GitHub\eaglep3\Utilities\RefineRTDCRunTimes.py" --tripid 232-14 --locoid 4019 --swversion DE.1.0.8.0 --startMP 204:64169 --initTime 2017-02-14T22:56:30 --startdatetime 2017-02-14T22:57:27 --delay 0 --endMP 204:139 --enddatetime 2017-02-14T23:14:35 --enforcementcount 0 &gt;&gt;C:\Users\stu\Documents\GitHub\eaglep3-reporting\EC\2017-02-14-refined-times.txt</v>
      </c>
      <c r="AI105" s="108" t="str">
        <f t="shared" si="54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lock","project_id":79,"tracker_id":40,"status_id":1,"priority_id":2,"assigned_to_id":23,"start_date":"2017-02-14","description":"","custom_fields":[{"id":1,"name":"Subdivision","value":"EC"},{"id":4,"name":"Milepost","value":"0.0139"},{"id":17,"name":"Train ID","value":"232-14"},{"id":16,"name":"Locomotive ID","value":"4019"},{"id":130,"name":"Impact","value":""},{"id":150,"name":"Time of Event (Mountain Time)","value":"23:14:35"},{"id":151,"name":"Denver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55"/>
        <v>start /low /b %USERPROFILE%\Documents\GitHub\eaglep3\Utilities\DownloadLogsFromS3.py --loco 4019 --day 2017-02-14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2017-02-14-UncaughtWiMAX.txt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623</v>
      </c>
      <c r="B106" s="7">
        <v>4020</v>
      </c>
      <c r="C106" s="21" t="s">
        <v>192</v>
      </c>
      <c r="D106" s="21" t="s">
        <v>205</v>
      </c>
      <c r="E106" s="13">
        <v>42780.915150462963</v>
      </c>
      <c r="F106" s="13">
        <v>42780.916006944448</v>
      </c>
      <c r="G106" s="7">
        <v>1</v>
      </c>
      <c r="H106" s="21" t="s">
        <v>728</v>
      </c>
      <c r="I106" s="13">
        <v>42780.937893518516</v>
      </c>
      <c r="J106" s="7">
        <v>0</v>
      </c>
      <c r="K106" s="98" t="str">
        <f t="shared" si="41"/>
        <v>4019/4020</v>
      </c>
      <c r="L106" s="21" t="str">
        <f>VLOOKUP(A106,'Trips&amp;Operators'!$C$1:$G$99999,5,FALSE)</f>
        <v>CHANDLER KELVIN</v>
      </c>
      <c r="M106" s="6">
        <f t="shared" si="42"/>
        <v>2.1886574068048503E-2</v>
      </c>
      <c r="N106" s="7">
        <f>24*60*SUM($M106:$M106)</f>
        <v>31.516666657989845</v>
      </c>
      <c r="O106" s="7"/>
      <c r="P106" s="7"/>
      <c r="Q106" s="22"/>
      <c r="R106" s="22"/>
      <c r="S106" s="31">
        <f t="shared" si="59"/>
        <v>1</v>
      </c>
      <c r="T106" s="46" t="str">
        <f t="shared" si="43"/>
        <v>NorthBound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10</v>
      </c>
      <c r="V106" s="187" t="str">
        <f t="shared" si="44"/>
        <v>https://d0f6bd738d7f1b3e5a7ca70fe4ff75f0.us-east-1.aws.found.io/app/kibana#/discover/Steve-Slow-Train-Analysis-(2080s-and-2083s)?_g=(refreshInterval:(display:Off,pause:!f,section:0,value:0),time:(from:'2017-02-14T20:57:49-0700',mode:absolute,to:'2017-02-14T23:30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6" s="188" t="str">
        <f t="shared" si="45"/>
        <v>N</v>
      </c>
      <c r="X106" s="188">
        <f t="shared" si="56"/>
        <v>1</v>
      </c>
      <c r="Y106" s="62">
        <f t="shared" si="46"/>
        <v>4.6199999999999998E-2</v>
      </c>
      <c r="Z106" s="62">
        <f t="shared" si="52"/>
        <v>8.6373999999999995</v>
      </c>
      <c r="AA106" s="62">
        <f t="shared" si="47"/>
        <v>8.5911999999999988</v>
      </c>
      <c r="AB106" s="59" t="e">
        <f>VLOOKUP(A106,Enforcements!$C$7:$K$14,8,0)</f>
        <v>#N/A</v>
      </c>
      <c r="AC106" s="55" t="e">
        <f>VLOOKUP(A106,Enforcements!$C$7:$E$14,3,0)</f>
        <v>#N/A</v>
      </c>
      <c r="AD106" s="56" t="str">
        <f t="shared" si="48"/>
        <v>0233-14</v>
      </c>
      <c r="AE106" s="85" t="str">
        <f t="shared" si="49"/>
        <v>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 &amp; 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</v>
      </c>
      <c r="AF106" s="82" t="str">
        <f t="shared" si="50"/>
        <v>"C:\Program Files (x86)\AstroGrep\AstroGrep.exe" /spath="%USERPROFILE%\AppData\Local\Temp\OnboardLogs" /stypes="app*4020*20170215*" /stext=" 05:.+((SYSTEM_STATE.+slice.+state.+changed )|(ment ac)|(multiple cpu faults)|(system.+state.+changed )|(\[timeout)|(PRM\|1\|D)|(kpr)|(kdp)|(\|lc)|(penalty)|(RTDC:00:00000204:00000036:00006526))" /e /r /s</v>
      </c>
      <c r="AG106" s="1" t="str">
        <f t="shared" si="51"/>
        <v>EC</v>
      </c>
      <c r="AH106" s="86" t="str">
        <f t="shared" si="53"/>
        <v>"%USERPROFILE%\Documents\GitHub\eaglep3\Utilities\RefineRTDCRunTimes.py" --tripid 233-14 --locoid 4020 --swversion DE.1.0.8.0 --startMP 204:462 --initTime 2017-02-14T21:57:49 --startdatetime 2017-02-14T21:59:03 --delay 1 --endMP 204:86374 --enddatetime 2017-02-14T22:30:34 --enforcementcount 0 &gt;&gt;C:\Users\stu\Documents\GitHub\eaglep3-reporting\EC\2017-02-14-refined-times.txt</v>
      </c>
      <c r="AI106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{"issue":{"subject":"","project_id":79,"tracker_id":40,"status_id":1,"priority_id":2,"assigned_to_id":23,"start_date":"2017-02-14","description":"","custom_fields":[{"id":1,"name":"Subdivision","value":"EC"},{"id":4,"name":"Milepost","value":"8.6374"},{"id":17,"name":"Train ID","value":"233-14"},{"id":16,"name":"Locomotive ID","value":"4020"},{"id":130,"name":"Impact","value":""},{"id":150,"name":"Time of Event (Mountain Time)","value":"22:30:34"},{"id":151,"name":"Denver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55"/>
        <v>start /low /b %USERPROFILE%\Documents\GitHub\eaglep3\Utilities\DownloadLogsFromS3.py --loco 4020 --day 2017-02-14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"%USERPROFILE%\AppData\Local\Temp\OnboardLogs"\RTDC4020\*4020*20170215* | grep -SE "(Enforcement Action)|(\[TIMEOUT)|(CHR.+\|PRM\|1\|D.+(SWITCH|SIGNAL).+UNKNOWN)" - &gt;&gt; 2017-02-14-UncaughtWiMAX.txt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630</v>
      </c>
      <c r="B107" s="7">
        <v>4012</v>
      </c>
      <c r="C107" s="21" t="s">
        <v>192</v>
      </c>
      <c r="D107" s="21" t="s">
        <v>729</v>
      </c>
      <c r="E107" s="13">
        <v>42780.969074074077</v>
      </c>
      <c r="F107" s="13">
        <v>42780.970069444447</v>
      </c>
      <c r="G107" s="7">
        <v>1</v>
      </c>
      <c r="H107" s="21" t="s">
        <v>204</v>
      </c>
      <c r="I107" s="13">
        <v>42780.98541666667</v>
      </c>
      <c r="J107" s="7">
        <v>0</v>
      </c>
      <c r="K107" s="98" t="str">
        <f t="shared" si="41"/>
        <v>4011/4012</v>
      </c>
      <c r="L107" s="21" t="str">
        <f>VLOOKUP(A107,'Trips&amp;Operators'!$C$1:$G$99999,5,FALSE)</f>
        <v>DAVIDSON DAVID</v>
      </c>
      <c r="M107" s="6">
        <f t="shared" si="42"/>
        <v>1.5347222222771961E-2</v>
      </c>
      <c r="N107" s="7"/>
      <c r="O107" s="7"/>
      <c r="P107" s="7">
        <f>24*60*SUM($M107:$M107)</f>
        <v>22.100000000791624</v>
      </c>
      <c r="Q107" s="22"/>
      <c r="R107" s="22" t="s">
        <v>862</v>
      </c>
      <c r="S107" s="31">
        <f t="shared" ref="S107" si="62">SUM(U107:U107)/IF(AG107="EC",10,1)</f>
        <v>0.9</v>
      </c>
      <c r="T107" s="46" t="str">
        <f t="shared" si="43"/>
        <v>Southbound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9</v>
      </c>
      <c r="V107" s="187" t="str">
        <f t="shared" si="44"/>
        <v>https://d0f6bd738d7f1b3e5a7ca70fe4ff75f0.us-east-1.aws.found.io/app/kibana#/discover/Steve-Slow-Train-Analysis-(2080s-and-2083s)?_g=(refreshInterval:(display:Off,pause:!f,section:0,value:0),time:(from:'2017-02-14T22:15:28-0700',mode:absolute,to:'2017-02-15T00:39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188" t="str">
        <f t="shared" si="45"/>
        <v>Y</v>
      </c>
      <c r="X107" s="188">
        <f t="shared" si="56"/>
        <v>1</v>
      </c>
      <c r="Y107" s="62">
        <f t="shared" si="46"/>
        <v>6.4084000000000003</v>
      </c>
      <c r="Z107" s="62">
        <f t="shared" si="52"/>
        <v>1.6E-2</v>
      </c>
      <c r="AA107" s="62">
        <f t="shared" si="47"/>
        <v>6.3924000000000003</v>
      </c>
      <c r="AB107" s="59" t="e">
        <f>VLOOKUP(A107,Enforcements!$C$7:$K$14,8,0)</f>
        <v>#N/A</v>
      </c>
      <c r="AC107" s="55" t="e">
        <f>VLOOKUP(A107,Enforcements!$C$7:$E$14,3,0)</f>
        <v>#N/A</v>
      </c>
      <c r="AD107" s="56" t="str">
        <f t="shared" si="48"/>
        <v>0234-14</v>
      </c>
      <c r="AE107" s="85" t="str">
        <f t="shared" si="49"/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AF107" s="82" t="str">
        <f t="shared" si="50"/>
        <v>"C:\Program Files (x86)\AstroGrep\AstroGrep.exe" /spath="%USERPROFILE%\AppData\Local\Temp\OnboardLogs" /stypes="app*4012*20170215*" /stext=" 06:.+((SYSTEM_STATE.+slice.+state.+changed )|(ment ac)|(multiple cpu faults)|(system.+state.+changed )|(\[timeout)|(PRM\|1\|D)|(kpr)|(kdp)|(\|lc)|(penalty)|(RTDC:00:00000204:00000036:00006526))" /e /r /s</v>
      </c>
      <c r="AG107" s="1" t="str">
        <f t="shared" si="51"/>
        <v>EC</v>
      </c>
      <c r="AH107" s="86" t="str">
        <f t="shared" si="53"/>
        <v>"%USERPROFILE%\Documents\GitHub\eaglep3\Utilities\RefineRTDCRunTimes.py" --tripid 234-14 --locoid 4012 --swversion DE.1.0.8.0 --startMP 204:64084 --initTime 2017-02-14T23:15:28 --startdatetime 2017-02-14T23:16:54 --delay 1 --endMP 204:160 --enddatetime 2017-02-14T23:39:00 --enforcementcount 0 &gt;&gt;C:\Users\stu\Documents\GitHub\eaglep3-reporting\EC\2017-02-14-refined-times.txt</v>
      </c>
      <c r="AI107" s="108" t="str">
        <f t="shared" si="54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lock","project_id":79,"tracker_id":40,"status_id":1,"priority_id":2,"assigned_to_id":23,"start_date":"2017-02-14","description":"","custom_fields":[{"id":1,"name":"Subdivision","value":"EC"},{"id":4,"name":"Milepost","value":"0.016"},{"id":17,"name":"Train ID","value":"234-14"},{"id":16,"name":"Locomotive ID","value":"4012"},{"id":130,"name":"Impact","value":""},{"id":150,"name":"Time of Event (Mountain Time)","value":"23:39:00"},{"id":151,"name":"Denver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55"/>
        <v>start /low /b %USERPROFILE%\Documents\GitHub\eaglep3\Utilities\DownloadLogsFromS3.py --loco 4012 --day 2017-02-14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2017-02-14-UncaughtWiMAX.txt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624</v>
      </c>
      <c r="B108" s="7">
        <v>4027</v>
      </c>
      <c r="C108" s="21" t="s">
        <v>192</v>
      </c>
      <c r="D108" s="21" t="s">
        <v>678</v>
      </c>
      <c r="E108" s="13">
        <v>42780.935995370368</v>
      </c>
      <c r="F108" s="13">
        <v>42780.936886574076</v>
      </c>
      <c r="G108" s="7">
        <v>1</v>
      </c>
      <c r="H108" s="21" t="s">
        <v>669</v>
      </c>
      <c r="I108" s="13">
        <v>42780.956412037034</v>
      </c>
      <c r="J108" s="7">
        <v>0</v>
      </c>
      <c r="K108" s="98" t="str">
        <f t="shared" si="41"/>
        <v>4027/4028</v>
      </c>
      <c r="L108" s="21" t="str">
        <f>VLOOKUP(A108,'Trips&amp;Operators'!$C$1:$G$99999,5,FALSE)</f>
        <v>SAFIEF AEIMEN</v>
      </c>
      <c r="M108" s="6">
        <f t="shared" si="42"/>
        <v>1.9525462957972195E-2</v>
      </c>
      <c r="N108" s="7">
        <f>24*60*SUM($M108:$M108)</f>
        <v>28.116666659479961</v>
      </c>
      <c r="O108" s="7"/>
      <c r="P108" s="7"/>
      <c r="Q108" s="22"/>
      <c r="R108" s="22"/>
      <c r="S108" s="31">
        <f t="shared" si="59"/>
        <v>1</v>
      </c>
      <c r="T108" s="46" t="str">
        <f t="shared" si="43"/>
        <v>NorthBound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10</v>
      </c>
      <c r="V108" s="187" t="str">
        <f t="shared" si="44"/>
        <v>https://d0f6bd738d7f1b3e5a7ca70fe4ff75f0.us-east-1.aws.found.io/app/kibana#/discover/Steve-Slow-Train-Analysis-(2080s-and-2083s)?_g=(refreshInterval:(display:Off,pause:!f,section:0,value:0),time:(from:'2017-02-14T21:27:50-0700',mode:absolute,to:'2017-02-14T23:57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8" s="188" t="str">
        <f t="shared" si="45"/>
        <v>N</v>
      </c>
      <c r="X108" s="188">
        <f t="shared" si="56"/>
        <v>1</v>
      </c>
      <c r="Y108" s="62">
        <f t="shared" si="46"/>
        <v>7.5399999999999995E-2</v>
      </c>
      <c r="Z108" s="62">
        <f t="shared" si="52"/>
        <v>8.6379000000000001</v>
      </c>
      <c r="AA108" s="62">
        <f t="shared" si="47"/>
        <v>8.5625</v>
      </c>
      <c r="AB108" s="59" t="e">
        <f>VLOOKUP(A108,Enforcements!$C$7:$K$14,8,0)</f>
        <v>#N/A</v>
      </c>
      <c r="AC108" s="55" t="e">
        <f>VLOOKUP(A108,Enforcements!$C$7:$E$14,3,0)</f>
        <v>#N/A</v>
      </c>
      <c r="AD108" s="56" t="str">
        <f t="shared" si="48"/>
        <v>0235-14</v>
      </c>
      <c r="AE108" s="85" t="str">
        <f t="shared" si="49"/>
        <v>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 &amp; 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</v>
      </c>
      <c r="AF108" s="82" t="str">
        <f t="shared" si="50"/>
        <v>"C:\Program Files (x86)\AstroGrep\AstroGrep.exe" /spath="%USERPROFILE%\AppData\Local\Temp\OnboardLogs" /stypes="app*4027*20170215*" /stext=" 05:.+((SYSTEM_STATE.+slice.+state.+changed )|(ment ac)|(multiple cpu faults)|(system.+state.+changed )|(\[timeout)|(PRM\|1\|D)|(kpr)|(kdp)|(\|lc)|(penalty)|(RTDC:00:00000204:00000036:00006526))" /e /r /s</v>
      </c>
      <c r="AG108" s="1" t="str">
        <f t="shared" si="51"/>
        <v>EC</v>
      </c>
      <c r="AH108" s="86" t="str">
        <f t="shared" si="53"/>
        <v>"%USERPROFILE%\Documents\GitHub\eaglep3\Utilities\RefineRTDCRunTimes.py" --tripid 235-14 --locoid 4027 --swversion DE.1.0.8.0 --startMP 204:754 --initTime 2017-02-14T22:27:50 --startdatetime 2017-02-14T22:29:07 --delay 1 --endMP 204:86379 --enddatetime 2017-02-14T22:57:14 --enforcementcount 0 &gt;&gt;C:\Users\stu\Documents\GitHub\eaglep3-reporting\EC\2017-02-14-refined-times.txt</v>
      </c>
      <c r="AI108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{"issue":{"subject":"","project_id":79,"tracker_id":40,"status_id":1,"priority_id":2,"assigned_to_id":23,"start_date":"2017-02-14","description":"","custom_fields":[{"id":1,"name":"Subdivision","value":"EC"},{"id":4,"name":"Milepost","value":"8.6379"},{"id":17,"name":"Train ID","value":"235-14"},{"id":16,"name":"Locomotive ID","value":"4027"},{"id":130,"name":"Impact","value":""},{"id":150,"name":"Time of Event (Mountain Time)","value":"22:57:14"},{"id":151,"name":"Denver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55"/>
        <v>start /low /b %USERPROFILE%\Documents\GitHub\eaglep3\Utilities\DownloadLogsFromS3.py --loco 4027 --day 2017-02-14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2017-02-14-UncaughtWiMAX.txt</v>
      </c>
    </row>
    <row r="109" spans="1:91" s="20" customFormat="1" x14ac:dyDescent="0.25">
      <c r="A109" s="33" t="s">
        <v>629</v>
      </c>
      <c r="B109" s="7">
        <v>4029</v>
      </c>
      <c r="C109" s="21" t="s">
        <v>192</v>
      </c>
      <c r="D109" s="21" t="s">
        <v>730</v>
      </c>
      <c r="E109" s="13">
        <v>42780.9608912037</v>
      </c>
      <c r="F109" s="13">
        <v>42780.961747685185</v>
      </c>
      <c r="G109" s="7">
        <v>1</v>
      </c>
      <c r="H109" s="21" t="s">
        <v>720</v>
      </c>
      <c r="I109" s="13">
        <v>42780.980243055557</v>
      </c>
      <c r="J109" s="7">
        <v>0</v>
      </c>
      <c r="K109" s="98" t="str">
        <f t="shared" ref="K109:K140" si="63">IF(ISEVEN(B109),(B109-1)&amp;"/"&amp;B109,B109&amp;"/"&amp;(B109+1))</f>
        <v>4029/4030</v>
      </c>
      <c r="L109" s="21" t="str">
        <f>VLOOKUP(A109,'Trips&amp;Operators'!$C$1:$G$99999,5,FALSE)</f>
        <v>STORY SAMANTHA</v>
      </c>
      <c r="M109" s="6">
        <f t="shared" ref="M109:M140" si="64">I109-F109</f>
        <v>1.8495370371965691E-2</v>
      </c>
      <c r="N109" s="7">
        <f>24*60*SUM($M109:$M109)</f>
        <v>26.633333335630596</v>
      </c>
      <c r="O109" s="7"/>
      <c r="P109" s="7"/>
      <c r="Q109" s="22"/>
      <c r="R109" s="22"/>
      <c r="S109" s="31">
        <f t="shared" si="59"/>
        <v>1</v>
      </c>
      <c r="T109" s="46" t="str">
        <f t="shared" ref="T109:T140" si="65">IF(ISEVEN(LEFT(AD109,4)),"Southbound","NorthBound")</f>
        <v>NorthBound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10</v>
      </c>
      <c r="V109" s="187" t="str">
        <f t="shared" ref="V109:V140" si="66"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-02-14T22:03:41-0700',mode:absolute,to:'2017-02-15T00:31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9" s="188" t="str">
        <f t="shared" ref="W109:W140" si="67">IF(AA109&lt;IF(AG109="EC",8.55,5.65),"Y","N")</f>
        <v>N</v>
      </c>
      <c r="X109" s="188">
        <f t="shared" si="56"/>
        <v>2</v>
      </c>
      <c r="Y109" s="62">
        <f t="shared" ref="Y109:Y140" si="68">RIGHT(D109,LEN(D109)-4)/10000</f>
        <v>6.5299999999999997E-2</v>
      </c>
      <c r="Z109" s="62">
        <f t="shared" si="52"/>
        <v>8.6374999999999993</v>
      </c>
      <c r="AA109" s="62">
        <f t="shared" ref="AA109:AA140" si="69">ABS(Z109-Y109)</f>
        <v>8.5721999999999987</v>
      </c>
      <c r="AB109" s="59" t="e">
        <f>VLOOKUP(A109,Enforcements!$C$7:$K$14,8,0)</f>
        <v>#N/A</v>
      </c>
      <c r="AC109" s="55" t="e">
        <f>VLOOKUP(A109,Enforcements!$C$7:$E$14,3,0)</f>
        <v>#N/A</v>
      </c>
      <c r="AD109" s="56" t="str">
        <f t="shared" ref="AD109:AD140" si="70">IF(LEN(A109)=6,"0"&amp;A109,A109)</f>
        <v>0237-14</v>
      </c>
      <c r="AE109" s="85" t="str">
        <f t="shared" ref="AE109:AE140" si="71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109" s="82" t="str">
        <f t="shared" ref="AF109:AF140" si="72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/stypes="app*4029*20170215*" /stext=" 06:.+((SYSTEM_STATE.+slice.+state.+changed )|(ment ac)|(multiple cpu faults)|(system.+state.+changed )|(\[timeout)|(PRM\|1\|D)|(kpr)|(kdp)|(\|lc)|(penalty)|(RTDC:00:00000204:00000036:00006526))" /e /r /s</v>
      </c>
      <c r="AG109" s="1" t="str">
        <f t="shared" ref="AG109:AG140" si="73">IFERROR(IF(VALUE(LEFT(AD109,2))&lt;=2,"EC",IF(OR(VALUE(LEFT(AD109,2))=8,VALUE(LEFT(AD109,2))=18),"NW","Other")),"Other")</f>
        <v>EC</v>
      </c>
      <c r="AH109" s="86" t="str">
        <f t="shared" si="53"/>
        <v>"%USERPROFILE%\Documents\GitHub\eaglep3\Utilities\RefineRTDCRunTimes.py" --tripid 237-14 --locoid 4029 --swversion DE.1.0.8.0 --startMP 204:653 --initTime 2017-02-14T23:03:41 --startdatetime 2017-02-14T23:04:55 --delay 1 --endMP 204:86375 --enddatetime 2017-02-14T23:31:33 --enforcementcount 0 &gt;&gt;C:\Users\stu\Documents\GitHub\eaglep3-reporting\EC\2017-02-14-refined-times.txt</v>
      </c>
      <c r="AI109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{"issue":{"subject":"","project_id":79,"tracker_id":40,"status_id":1,"priority_id":2,"assigned_to_id":23,"start_date":"2017-02-14","description":"","custom_fields":[{"id":1,"name":"Subdivision","value":"EC"},{"id":4,"name":"Milepost","value":"8.6375"},{"id":17,"name":"Train ID","value":"237-14"},{"id":16,"name":"Locomotive ID","value":"4029"},{"id":130,"name":"Impact","value":""},{"id":150,"name":"Time of Event (Mountain Time)","value":"23:31:33"},{"id":151,"name":"Denver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55"/>
        <v>start /low /b %USERPROFILE%\Documents\GitHub\eaglep3\Utilities\DownloadLogsFromS3.py --loco 4029 --day 2017-02-14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"%USERPROFILE%\AppData\Local\Temp\OnboardLogs"\RTDC4029\*4029*20170215* | grep -SE "(Enforcement Action)|(\[TIMEOUT)|(CHR.+\|PRM\|1\|D.+(SWITCH|SIGNAL).+UNKNOWN)" - &gt;&gt; 2017-02-14-UncaughtWiMAX.txt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635</v>
      </c>
      <c r="B110" s="7">
        <v>4019</v>
      </c>
      <c r="C110" s="21" t="s">
        <v>192</v>
      </c>
      <c r="D110" s="21" t="s">
        <v>731</v>
      </c>
      <c r="E110" s="13">
        <v>42781.009027777778</v>
      </c>
      <c r="F110" s="13">
        <v>42781.009826388887</v>
      </c>
      <c r="G110" s="7">
        <v>1</v>
      </c>
      <c r="H110" s="21" t="s">
        <v>732</v>
      </c>
      <c r="I110" s="13">
        <v>42781.023136574076</v>
      </c>
      <c r="J110" s="7">
        <v>0</v>
      </c>
      <c r="K110" s="98" t="str">
        <f t="shared" si="63"/>
        <v>4019/4020</v>
      </c>
      <c r="L110" s="21" t="str">
        <f>VLOOKUP(A110,'Trips&amp;Operators'!$C$1:$G$99999,5,FALSE)</f>
        <v>CHANDLER KELVIN</v>
      </c>
      <c r="M110" s="6">
        <f t="shared" si="64"/>
        <v>1.3310185189766344E-2</v>
      </c>
      <c r="N110" s="7"/>
      <c r="O110" s="7"/>
      <c r="P110" s="7">
        <f>24*60*SUM($M110:$M110)</f>
        <v>19.166666673263535</v>
      </c>
      <c r="Q110" s="22"/>
      <c r="R110" s="22" t="s">
        <v>862</v>
      </c>
      <c r="S110" s="31">
        <f t="shared" ref="S110" si="74">SUM(U110:U110)/IF(AG110="EC",10,1)</f>
        <v>0.9</v>
      </c>
      <c r="T110" s="46" t="str">
        <f t="shared" si="65"/>
        <v>Southbound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9</v>
      </c>
      <c r="V110" s="187" t="str">
        <f t="shared" si="66"/>
        <v>https://d0f6bd738d7f1b3e5a7ca70fe4ff75f0.us-east-1.aws.found.io/app/kibana#/discover/Steve-Slow-Train-Analysis-(2080s-and-2083s)?_g=(refreshInterval:(display:Off,pause:!f,section:0,value:0),time:(from:'2017-02-14T23:13:00-0700',mode:absolute,to:'2017-02-15T01:33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0" s="188" t="str">
        <f t="shared" si="67"/>
        <v>Y</v>
      </c>
      <c r="X110" s="188">
        <f t="shared" si="56"/>
        <v>1</v>
      </c>
      <c r="Y110" s="62">
        <f t="shared" si="68"/>
        <v>6.4172000000000002</v>
      </c>
      <c r="Z110" s="62">
        <f t="shared" ref="Z110:Z141" si="75">RIGHT(H110,LEN(H110)-4)/10000</f>
        <v>3.7100000000000001E-2</v>
      </c>
      <c r="AA110" s="62">
        <f t="shared" si="69"/>
        <v>6.3801000000000005</v>
      </c>
      <c r="AB110" s="59" t="e">
        <f>VLOOKUP(A110,Enforcements!$C$7:$K$14,8,0)</f>
        <v>#N/A</v>
      </c>
      <c r="AC110" s="55" t="e">
        <f>VLOOKUP(A110,Enforcements!$C$7:$E$14,3,0)</f>
        <v>#N/A</v>
      </c>
      <c r="AD110" s="56" t="str">
        <f t="shared" si="70"/>
        <v>0238-14</v>
      </c>
      <c r="AE110" s="85" t="str">
        <f t="shared" si="71"/>
        <v>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 &amp; 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</v>
      </c>
      <c r="AF110" s="82" t="str">
        <f t="shared" si="72"/>
        <v>"C:\Program Files (x86)\AstroGrep\AstroGrep.exe" /spath="%USERPROFILE%\AppData\Local\Temp\OnboardLogs" /stypes="app*4019*20170215*" /stext=" 07:.+((SYSTEM_STATE.+slice.+state.+changed )|(ment ac)|(multiple cpu faults)|(system.+state.+changed )|(\[timeout)|(PRM\|1\|D)|(kpr)|(kdp)|(\|lc)|(penalty)|(RTDC:00:00000204:00000036:00006526))" /e /r /s</v>
      </c>
      <c r="AG110" s="1" t="str">
        <f t="shared" si="73"/>
        <v>EC</v>
      </c>
      <c r="AH110" s="86" t="str">
        <f t="shared" si="53"/>
        <v>"%USERPROFILE%\Documents\GitHub\eaglep3\Utilities\RefineRTDCRunTimes.py" --tripid 238-14 --locoid 4019 --swversion DE.1.0.8.0 --startMP 204:64172 --initTime 2017-02-15T00:13:00 --startdatetime 2017-02-15T00:14:09 --delay 1 --endMP 204:371 --enddatetime 2017-02-15T00:33:19 --enforcementcount 0 &gt;&gt;C:\Users\stu\Documents\GitHub\eaglep3-reporting\EC\2017-02-14-refined-times.txt</v>
      </c>
      <c r="AI110" s="108" t="str">
        <f t="shared" si="54"/>
        <v>echo {"issue":{"subject":"Operational decision based on signal-system traffic directionality lock","project_id":79,"tracker_id":40,"status_id":1,"priority_id":2,"assigned_to_id":23,"start_date":"2017-02-15","description":"","custom_fields":[{"id":1,"name":"Subdivision","value":"EC"},{"id":4,"name":"Milepost","value":"0.0371"},{"id":17,"name":"Train ID","value":"238-14"},{"id":16,"name":"Locomotive ID","value":"4019"},{"id":130,"name":"Impact","value":""},{"id":150,"name":"Time of Event (Mountain Time)","value":"00:33:19"},{"id":151,"name":"Denver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55"/>
        <v>start /low /b %USERPROFILE%\Documents\GitHub\eaglep3\Utilities\DownloadLogsFromS3.py --loco 4019 --day 2017-02-15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"%USERPROFILE%\AppData\Local\Temp\OnboardLogs"\RTDC4019\*4019*20170215* | grep -SE "(Enforcement Action)|(\[TIMEOUT)|(CHR.+\|PRM\|1\|D.+(SWITCH|SIGNAL).+UNKNOWN)" - &gt;&gt; 2017-02-14-UncaughtWiMAX.txt</v>
      </c>
    </row>
    <row r="111" spans="1:91" s="20" customFormat="1" x14ac:dyDescent="0.25">
      <c r="A111" s="33" t="s">
        <v>631</v>
      </c>
      <c r="B111" s="7">
        <v>4020</v>
      </c>
      <c r="C111" s="21" t="s">
        <v>192</v>
      </c>
      <c r="D111" s="21" t="s">
        <v>733</v>
      </c>
      <c r="E111" s="13">
        <v>42780.978067129632</v>
      </c>
      <c r="F111" s="13">
        <v>42780.979004629633</v>
      </c>
      <c r="G111" s="7">
        <v>1</v>
      </c>
      <c r="H111" s="21" t="s">
        <v>720</v>
      </c>
      <c r="I111" s="13">
        <v>42780.993946759256</v>
      </c>
      <c r="J111" s="7">
        <v>0</v>
      </c>
      <c r="K111" s="98" t="str">
        <f t="shared" si="63"/>
        <v>4019/4020</v>
      </c>
      <c r="L111" s="21" t="str">
        <f>VLOOKUP(A111,'Trips&amp;Operators'!$C$1:$G$99999,5,FALSE)</f>
        <v>CHANDLER KELVIN</v>
      </c>
      <c r="M111" s="6">
        <f t="shared" si="64"/>
        <v>1.4942129622795619E-2</v>
      </c>
      <c r="N111" s="7">
        <f>24*60*SUM($M111:$M111)</f>
        <v>21.516666656825691</v>
      </c>
      <c r="O111" s="7"/>
      <c r="P111" s="7"/>
      <c r="Q111" s="22"/>
      <c r="R111" s="22"/>
      <c r="S111" s="31">
        <f t="shared" si="59"/>
        <v>1</v>
      </c>
      <c r="T111" s="46" t="str">
        <f t="shared" si="65"/>
        <v>NorthBound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10</v>
      </c>
      <c r="V111" s="187" t="str">
        <f t="shared" si="66"/>
        <v>https://d0f6bd738d7f1b3e5a7ca70fe4ff75f0.us-east-1.aws.found.io/app/kibana#/discover/Steve-Slow-Train-Analysis-(2080s-and-2083s)?_g=(refreshInterval:(display:Off,pause:!f,section:0,value:0),time:(from:'2017-02-14T22:28:25-0700',mode:absolute,to:'2017-02-15T00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1" s="188" t="str">
        <f t="shared" si="67"/>
        <v>N</v>
      </c>
      <c r="X111" s="188">
        <f t="shared" si="56"/>
        <v>1</v>
      </c>
      <c r="Y111" s="62">
        <f t="shared" si="68"/>
        <v>4.8599999999999997E-2</v>
      </c>
      <c r="Z111" s="62">
        <f t="shared" si="75"/>
        <v>8.6374999999999993</v>
      </c>
      <c r="AA111" s="62">
        <f t="shared" si="69"/>
        <v>8.5888999999999989</v>
      </c>
      <c r="AB111" s="59" t="e">
        <f>VLOOKUP(A111,Enforcements!$C$7:$K$14,8,0)</f>
        <v>#N/A</v>
      </c>
      <c r="AC111" s="55" t="e">
        <f>VLOOKUP(A111,Enforcements!$C$7:$E$14,3,0)</f>
        <v>#N/A</v>
      </c>
      <c r="AD111" s="56" t="str">
        <f t="shared" si="70"/>
        <v>0239-14</v>
      </c>
      <c r="AE111" s="85" t="str">
        <f t="shared" si="71"/>
        <v>aws s3 cp s3://rtdc.mdm.uploadarchive.raw/RTDC4020/ "%USERPROFILE%\AppData\Local\Temp\OnboardLogs"\RTDC4020\2017-02-14 --exclude "*" --recursive --include "*20170214*" &amp; "%USERPROFILE%\Documents\GitHub\mrs-test-scripts\Headless Mode &amp; Sideloading\WalkAndUnGZ.bat" "%USERPROFILE%\AppData\Local\Temp\OnboardLogs"\RTDC4020\2017-02-14 &amp; 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</v>
      </c>
      <c r="AF111" s="82" t="str">
        <f t="shared" si="72"/>
        <v>"C:\Program Files (x86)\AstroGrep\AstroGrep.exe" /spath="%USERPROFILE%\AppData\Local\Temp\OnboardLogs" /stypes="app*4020*20170215*" /stext=" 06:.+((SYSTEM_STATE.+slice.+state.+changed )|(ment ac)|(multiple cpu faults)|(system.+state.+changed )|(\[timeout)|(PRM\|1\|D)|(kpr)|(kdp)|(\|lc)|(penalty)|(RTDC:00:00000204:00000036:00006526))" /e /r /s</v>
      </c>
      <c r="AG111" s="1" t="str">
        <f t="shared" si="73"/>
        <v>EC</v>
      </c>
      <c r="AH111" s="86" t="str">
        <f t="shared" si="53"/>
        <v>"%USERPROFILE%\Documents\GitHub\eaglep3\Utilities\RefineRTDCRunTimes.py" --tripid 239-14 --locoid 4020 --swversion DE.1.0.8.0 --startMP 204:486 --initTime 2017-02-14T23:28:25 --startdatetime 2017-02-14T23:29:46 --delay 1 --endMP 204:86375 --enddatetime 2017-02-14T23:51:17 --enforcementcount 0 &gt;&gt;C:\Users\stu\Documents\GitHub\eaglep3-reporting\EC\2017-02-14-refined-times.txt</v>
      </c>
      <c r="AI111" s="108" t="str">
        <f t="shared" si="54"/>
        <v>echo {"issue":{"subject":"","project_id":79,"tracker_id":40,"status_id":1,"priority_id":2,"assigned_to_id":23,"start_date":"2017-02-14","description":"","custom_fields":[{"id":1,"name":"Subdivision","value":"EC"},{"id":4,"name":"Milepost","value":"8.6375"},{"id":17,"name":"Train ID","value":"239-14"},{"id":16,"name":"Locomotive ID","value":"4020"},{"id":130,"name":"Impact","value":""},{"id":150,"name":"Time of Event (Mountain Time)","value":"23:51:17"},{"id":151,"name":"Denver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55"/>
        <v>start /low /b %USERPROFILE%\Documents\GitHub\eaglep3\Utilities\DownloadLogsFromS3.py --loco 4020 --day 2017-02-14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"%USERPROFILE%\AppData\Local\Temp\OnboardLogs"\RTDC4020\*4020*20170215* | grep -SE "(Enforcement Action)|(\[TIMEOUT)|(CHR.+\|PRM\|1\|D.+(SWITCH|SIGNAL).+UNKNOWN)" - &gt;&gt; 2017-02-14-UncaughtWiMAX.txt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638</v>
      </c>
      <c r="B112" s="7">
        <v>4012</v>
      </c>
      <c r="C112" s="21" t="s">
        <v>192</v>
      </c>
      <c r="D112" s="21" t="s">
        <v>734</v>
      </c>
      <c r="E112" s="13">
        <v>42781.038900462961</v>
      </c>
      <c r="F112" s="13">
        <v>42781.039537037039</v>
      </c>
      <c r="G112" s="7">
        <v>0</v>
      </c>
      <c r="H112" s="21" t="s">
        <v>208</v>
      </c>
      <c r="I112" s="13">
        <v>42781.052627314813</v>
      </c>
      <c r="J112" s="7">
        <v>0</v>
      </c>
      <c r="K112" s="98" t="str">
        <f t="shared" si="63"/>
        <v>4011/4012</v>
      </c>
      <c r="L112" s="21" t="str">
        <f>VLOOKUP(A112,'Trips&amp;Operators'!$C$1:$G$99999,5,FALSE)</f>
        <v>DAVIDSON DAVID</v>
      </c>
      <c r="M112" s="6">
        <f t="shared" si="64"/>
        <v>1.3090277774608694E-2</v>
      </c>
      <c r="N112" s="7"/>
      <c r="O112" s="7"/>
      <c r="P112" s="7">
        <f>24*60*SUM($M112:$M112)</f>
        <v>18.849999995436519</v>
      </c>
      <c r="Q112" s="22"/>
      <c r="R112" s="22" t="s">
        <v>862</v>
      </c>
      <c r="S112" s="31">
        <f t="shared" ref="S112" si="76">SUM(U112:U112)/IF(AG112="EC",10,1)</f>
        <v>0.9</v>
      </c>
      <c r="T112" s="46" t="str">
        <f t="shared" si="65"/>
        <v>Southbound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9</v>
      </c>
      <c r="V112" s="187" t="str">
        <f t="shared" si="66"/>
        <v>https://d0f6bd738d7f1b3e5a7ca70fe4ff75f0.us-east-1.aws.found.io/app/kibana#/discover/Steve-Slow-Train-Analysis-(2080s-and-2083s)?_g=(refreshInterval:(display:Off,pause:!f,section:0,value:0),time:(from:'2017-02-14T23:56:01-0700',mode:absolute,to:'2017-02-15T02:15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188" t="str">
        <f t="shared" si="67"/>
        <v>Y</v>
      </c>
      <c r="X112" s="188">
        <f t="shared" ref="X112:X143" si="77">VALUE(LEFT(AD112,4))-VALUE(LEFT(AD111,4))</f>
        <v>1</v>
      </c>
      <c r="Y112" s="62">
        <f t="shared" si="68"/>
        <v>6.4081999999999999</v>
      </c>
      <c r="Z112" s="62">
        <f t="shared" si="75"/>
        <v>1.5800000000000002E-2</v>
      </c>
      <c r="AA112" s="62">
        <f t="shared" si="69"/>
        <v>6.3924000000000003</v>
      </c>
      <c r="AB112" s="59" t="e">
        <f>VLOOKUP(A112,Enforcements!$C$7:$K$14,8,0)</f>
        <v>#N/A</v>
      </c>
      <c r="AC112" s="55" t="e">
        <f>VLOOKUP(A112,Enforcements!$C$7:$E$14,3,0)</f>
        <v>#N/A</v>
      </c>
      <c r="AD112" s="56" t="str">
        <f t="shared" si="70"/>
        <v>0240-14</v>
      </c>
      <c r="AE112" s="85" t="str">
        <f t="shared" si="71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12" s="82" t="str">
        <f t="shared" si="72"/>
        <v>"C:\Program Files (x86)\AstroGrep\AstroGrep.exe" /spath="%USERPROFILE%\AppData\Local\Temp\OnboardLogs" /stypes="app*4012*20170215*" /stext=" 08:.+((SYSTEM_STATE.+slice.+state.+changed )|(ment ac)|(multiple cpu faults)|(system.+state.+changed )|(\[timeout)|(PRM\|1\|D)|(kpr)|(kdp)|(\|lc)|(penalty)|(RTDC:00:00000204:00000036:00006526))" /e /r /s</v>
      </c>
      <c r="AG112" s="1" t="str">
        <f t="shared" si="73"/>
        <v>EC</v>
      </c>
      <c r="AH112" s="86" t="str">
        <f t="shared" si="53"/>
        <v>"%USERPROFILE%\Documents\GitHub\eaglep3\Utilities\RefineRTDCRunTimes.py" --tripid 240-14 --locoid 4012 --swversion DE.1.0.8.0 --startMP 204:64082 --initTime 2017-02-15T00:56:01 --startdatetime 2017-02-15T00:56:56 --delay 0 --endMP 204:158 --enddatetime 2017-02-15T01:15:47 --enforcementcount 0 &gt;&gt;C:\Users\stu\Documents\GitHub\eaglep3-reporting\EC\2017-02-14-refined-times.txt</v>
      </c>
      <c r="AI112" s="108" t="str">
        <f t="shared" si="54"/>
        <v>echo {"issue":{"subject":"Operational decision based on signal-system traffic directionality lock","project_id":79,"tracker_id":40,"status_id":1,"priority_id":2,"assigned_to_id":23,"start_date":"2017-02-15","description":"","custom_fields":[{"id":1,"name":"Subdivision","value":"EC"},{"id":4,"name":"Milepost","value":"0.0158"},{"id":17,"name":"Train ID","value":"240-14"},{"id":16,"name":"Locomotive ID","value":"4012"},{"id":130,"name":"Impact","value":""},{"id":150,"name":"Time of Event (Mountain Time)","value":"01:15:47"},{"id":151,"name":"Denver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55"/>
        <v>start /low /b %USERPROFILE%\Documents\GitHub\eaglep3\Utilities\DownloadLogsFromS3.py --loco 4012 --day 2017-02-15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2017-02-14-UncaughtWiMAX.txt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638</v>
      </c>
      <c r="B113" s="7">
        <v>4012</v>
      </c>
      <c r="C113" s="21" t="s">
        <v>192</v>
      </c>
      <c r="D113" s="21" t="s">
        <v>651</v>
      </c>
      <c r="E113" s="13">
        <v>42781.020856481482</v>
      </c>
      <c r="F113" s="13">
        <v>42781.021932870368</v>
      </c>
      <c r="G113" s="7">
        <v>1</v>
      </c>
      <c r="H113" s="21" t="s">
        <v>651</v>
      </c>
      <c r="I113" s="13">
        <v>42781.022083333337</v>
      </c>
      <c r="J113" s="7">
        <v>0</v>
      </c>
      <c r="K113" s="98" t="str">
        <f t="shared" si="63"/>
        <v>4011/4012</v>
      </c>
      <c r="L113" s="21" t="str">
        <f>VLOOKUP(A113,'Trips&amp;Operators'!$C$1:$G$99999,5,FALSE)</f>
        <v>DAVIDSON DAVID</v>
      </c>
      <c r="M113" s="6">
        <f t="shared" si="64"/>
        <v>1.5046296903165057E-4</v>
      </c>
      <c r="N113" s="7"/>
      <c r="O113" s="7"/>
      <c r="P113" s="7"/>
      <c r="Q113" s="22"/>
      <c r="R113" s="22"/>
      <c r="S113" s="31"/>
      <c r="T113" s="46" t="str">
        <f t="shared" si="65"/>
        <v>Southbound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0</v>
      </c>
      <c r="V113" s="187" t="str">
        <f t="shared" si="66"/>
        <v>https://d0f6bd738d7f1b3e5a7ca70fe4ff75f0.us-east-1.aws.found.io/app/kibana#/discover/Steve-Slow-Train-Analysis-(2080s-and-2083s)?_g=(refreshInterval:(display:Off,pause:!f,section:0,value:0),time:(from:'2017-02-14T23:30:02-0700',mode:absolute,to:'2017-02-15T01:31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3" s="188" t="str">
        <f t="shared" si="67"/>
        <v>Y</v>
      </c>
      <c r="X113" s="188">
        <f t="shared" si="77"/>
        <v>0</v>
      </c>
      <c r="Y113" s="62">
        <f t="shared" si="68"/>
        <v>8.6350999999999996</v>
      </c>
      <c r="Z113" s="62">
        <f t="shared" si="75"/>
        <v>8.6350999999999996</v>
      </c>
      <c r="AA113" s="62">
        <f t="shared" si="69"/>
        <v>0</v>
      </c>
      <c r="AB113" s="59" t="e">
        <f>VLOOKUP(A113,Enforcements!$C$7:$K$14,8,0)</f>
        <v>#N/A</v>
      </c>
      <c r="AC113" s="55" t="e">
        <f>VLOOKUP(A113,Enforcements!$C$7:$E$14,3,0)</f>
        <v>#N/A</v>
      </c>
      <c r="AD113" s="56" t="str">
        <f t="shared" si="70"/>
        <v>0240-14</v>
      </c>
      <c r="AE113" s="85" t="str">
        <f t="shared" si="71"/>
        <v>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 &amp; 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</v>
      </c>
      <c r="AF113" s="82" t="str">
        <f t="shared" si="72"/>
        <v>"C:\Program Files (x86)\AstroGrep\AstroGrep.exe" /spath="%USERPROFILE%\AppData\Local\Temp\OnboardLogs" /stypes="app*4012*20170215*" /stext=" 07:.+((SYSTEM_STATE.+slice.+state.+changed )|(ment ac)|(multiple cpu faults)|(system.+state.+changed )|(\[timeout)|(PRM\|1\|D)|(kpr)|(kdp)|(\|lc)|(penalty)|(RTDC:00:00000204:00000036:00006526))" /e /r /s</v>
      </c>
      <c r="AG113" s="1" t="str">
        <f t="shared" si="73"/>
        <v>EC</v>
      </c>
      <c r="AH113" s="86" t="str">
        <f t="shared" si="53"/>
        <v>"%USERPROFILE%\Documents\GitHub\eaglep3\Utilities\RefineRTDCRunTimes.py" --tripid 240-14 --locoid 4012 --swversion DE.1.0.8.0 --startMP 204:86351 --initTime 2017-02-15T00:30:02 --startdatetime 2017-02-15T00:31:35 --delay 1 --endMP 204:86351 --enddatetime 2017-02-15T00:31:48 --enforcementcount 0 &gt;&gt;C:\Users\stu\Documents\GitHub\eaglep3-reporting\EC\2017-02-14-refined-times.txt</v>
      </c>
      <c r="AI113" s="108" t="str">
        <f t="shared" si="54"/>
        <v>echo {"issue":{"subject":"","project_id":79,"tracker_id":40,"status_id":1,"priority_id":2,"assigned_to_id":23,"start_date":"2017-02-15","description":"","custom_fields":[{"id":1,"name":"Subdivision","value":"EC"},{"id":4,"name":"Milepost","value":"8.6351"},{"id":17,"name":"Train ID","value":"240-14"},{"id":16,"name":"Locomotive ID","value":"4012"},{"id":130,"name":"Impact","value":""},{"id":150,"name":"Time of Event (Mountain Time)","value":"00:31:48"},{"id":151,"name":"Denver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55"/>
        <v>start /low /b %USERPROFILE%\Documents\GitHub\eaglep3\Utilities\DownloadLogsFromS3.py --loco 4012 --day 2017-02-15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"%USERPROFILE%\AppData\Local\Temp\OnboardLogs"\RTDC4012\*4012*20170215* | grep -SE "(Enforcement Action)|(\[TIMEOUT)|(CHR.+\|PRM\|1\|D.+(SWITCH|SIGNAL).+UNKNOWN)" - &gt;&gt; 2017-02-14-UncaughtWiMAX.txt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633</v>
      </c>
      <c r="B114" s="7">
        <v>4027</v>
      </c>
      <c r="C114" s="21" t="s">
        <v>192</v>
      </c>
      <c r="D114" s="21" t="s">
        <v>668</v>
      </c>
      <c r="E114" s="13">
        <v>42780.988912037035</v>
      </c>
      <c r="F114" s="13">
        <v>42780.990081018521</v>
      </c>
      <c r="G114" s="7">
        <v>1</v>
      </c>
      <c r="H114" s="21" t="s">
        <v>669</v>
      </c>
      <c r="I114" s="13">
        <v>42781.015567129631</v>
      </c>
      <c r="J114" s="7">
        <v>0</v>
      </c>
      <c r="K114" s="98" t="str">
        <f t="shared" si="63"/>
        <v>4027/4028</v>
      </c>
      <c r="L114" s="21" t="str">
        <f>VLOOKUP(A114,'Trips&amp;Operators'!$C$1:$G$99999,5,FALSE)</f>
        <v>SAFIEF AEIMEN</v>
      </c>
      <c r="M114" s="6">
        <f t="shared" si="64"/>
        <v>2.548611110978527E-2</v>
      </c>
      <c r="N114" s="7">
        <f>24*60*SUM($M114:$M114)</f>
        <v>36.699999998090789</v>
      </c>
      <c r="O114" s="7"/>
      <c r="P114" s="7"/>
      <c r="Q114" s="22"/>
      <c r="R114" s="22"/>
      <c r="S114" s="31">
        <f t="shared" si="59"/>
        <v>1</v>
      </c>
      <c r="T114" s="46" t="str">
        <f t="shared" si="65"/>
        <v>NorthBound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10</v>
      </c>
      <c r="V114" s="187" t="str">
        <f t="shared" si="66"/>
        <v>https://d0f6bd738d7f1b3e5a7ca70fe4ff75f0.us-east-1.aws.found.io/app/kibana#/discover/Steve-Slow-Train-Analysis-(2080s-and-2083s)?_g=(refreshInterval:(display:Off,pause:!f,section:0,value:0),time:(from:'2017-02-14T22:44:02-0700',mode:absolute,to:'2017-02-15T01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4" s="188" t="str">
        <f t="shared" si="67"/>
        <v>N</v>
      </c>
      <c r="X114" s="188">
        <f t="shared" si="77"/>
        <v>1</v>
      </c>
      <c r="Y114" s="62">
        <f t="shared" si="68"/>
        <v>7.6999999999999999E-2</v>
      </c>
      <c r="Z114" s="62">
        <f t="shared" si="75"/>
        <v>8.6379000000000001</v>
      </c>
      <c r="AA114" s="62">
        <f t="shared" si="69"/>
        <v>8.5609000000000002</v>
      </c>
      <c r="AB114" s="59" t="e">
        <f>VLOOKUP(A114,Enforcements!$C$7:$K$14,8,0)</f>
        <v>#N/A</v>
      </c>
      <c r="AC114" s="55" t="e">
        <f>VLOOKUP(A114,Enforcements!$C$7:$E$14,3,0)</f>
        <v>#N/A</v>
      </c>
      <c r="AD114" s="56" t="str">
        <f t="shared" si="70"/>
        <v>0241-14</v>
      </c>
      <c r="AE114" s="85" t="str">
        <f t="shared" si="71"/>
        <v>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 &amp; 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</v>
      </c>
      <c r="AF114" s="82" t="str">
        <f t="shared" si="72"/>
        <v>"C:\Program Files (x86)\AstroGrep\AstroGrep.exe" /spath="%USERPROFILE%\AppData\Local\Temp\OnboardLogs" /stypes="app*4027*20170215*" /stext=" 07:.+((SYSTEM_STATE.+slice.+state.+changed )|(ment ac)|(multiple cpu faults)|(system.+state.+changed )|(\[timeout)|(PRM\|1\|D)|(kpr)|(kdp)|(\|lc)|(penalty)|(RTDC:00:00000204:00000036:00006526))" /e /r /s</v>
      </c>
      <c r="AG114" s="1" t="str">
        <f t="shared" si="73"/>
        <v>EC</v>
      </c>
      <c r="AH114" s="86" t="str">
        <f t="shared" si="53"/>
        <v>"%USERPROFILE%\Documents\GitHub\eaglep3\Utilities\RefineRTDCRunTimes.py" --tripid 241-14 --locoid 4027 --swversion DE.1.0.8.0 --startMP 204:770 --initTime 2017-02-14T23:44:02 --startdatetime 2017-02-14T23:45:43 --delay 1 --endMP 204:86379 --enddatetime 2017-02-15T00:22:25 --enforcementcount 0 &gt;&gt;C:\Users\stu\Documents\GitHub\eaglep3-reporting\EC\2017-02-14-refined-times.txt</v>
      </c>
      <c r="AI114" s="108" t="str">
        <f t="shared" si="54"/>
        <v>echo {"issue":{"subject":"","project_id":79,"tracker_id":40,"status_id":1,"priority_id":2,"assigned_to_id":23,"start_date":"2017-02-15","description":"","custom_fields":[{"id":1,"name":"Subdivision","value":"EC"},{"id":4,"name":"Milepost","value":"8.6379"},{"id":17,"name":"Train ID","value":"241-14"},{"id":16,"name":"Locomotive ID","value":"4027"},{"id":130,"name":"Impact","value":""},{"id":150,"name":"Time of Event (Mountain Time)","value":"00:22:25"},{"id":151,"name":"Denver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55"/>
        <v>start /low /b %USERPROFILE%\Documents\GitHub\eaglep3\Utilities\DownloadLogsFromS3.py --loco 4027 --day 2017-02-14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2017-02-14-UncaughtWiMAX.txt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640</v>
      </c>
      <c r="B115" s="7">
        <v>4030</v>
      </c>
      <c r="C115" s="21" t="s">
        <v>192</v>
      </c>
      <c r="D115" s="21" t="s">
        <v>735</v>
      </c>
      <c r="E115" s="13">
        <v>42781.060474537036</v>
      </c>
      <c r="F115" s="13">
        <v>42781.061168981483</v>
      </c>
      <c r="G115" s="7">
        <v>0</v>
      </c>
      <c r="H115" s="21" t="s">
        <v>736</v>
      </c>
      <c r="I115" s="13">
        <v>42781.072893518518</v>
      </c>
      <c r="J115" s="7">
        <v>0</v>
      </c>
      <c r="K115" s="98" t="str">
        <f t="shared" si="63"/>
        <v>4029/4030</v>
      </c>
      <c r="L115" s="21" t="str">
        <f>VLOOKUP(A115,'Trips&amp;Operators'!$C$1:$G$99999,5,FALSE)</f>
        <v>STORY SAMANTHA</v>
      </c>
      <c r="M115" s="6">
        <f t="shared" si="64"/>
        <v>1.1724537034751847E-2</v>
      </c>
      <c r="N115" s="7"/>
      <c r="O115" s="7"/>
      <c r="P115" s="7">
        <f>24*60*SUM($M115:$M115)</f>
        <v>16.88333333004266</v>
      </c>
      <c r="Q115" s="22"/>
      <c r="R115" s="22" t="s">
        <v>862</v>
      </c>
      <c r="S115" s="31">
        <f t="shared" si="59"/>
        <v>0.9</v>
      </c>
      <c r="T115" s="46" t="str">
        <f t="shared" si="65"/>
        <v>Southbound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9</v>
      </c>
      <c r="V115" s="187" t="str">
        <f t="shared" si="66"/>
        <v>https://d0f6bd738d7f1b3e5a7ca70fe4ff75f0.us-east-1.aws.found.io/app/kibana#/discover/Steve-Slow-Train-Analysis-(2080s-and-2083s)?_g=(refreshInterval:(display:Off,pause:!f,section:0,value:0),time:(from:'2017-02-15T00:27:05-0700',mode:absolute,to:'2017-02-15T02:44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5" s="188" t="str">
        <f t="shared" si="67"/>
        <v>Y</v>
      </c>
      <c r="X115" s="188">
        <f t="shared" si="77"/>
        <v>1</v>
      </c>
      <c r="Y115" s="62">
        <f t="shared" si="68"/>
        <v>6.4177999999999997</v>
      </c>
      <c r="Z115" s="62">
        <f t="shared" si="75"/>
        <v>1.9800000000000002E-2</v>
      </c>
      <c r="AA115" s="62">
        <f t="shared" si="69"/>
        <v>6.3979999999999997</v>
      </c>
      <c r="AB115" s="59" t="e">
        <f>VLOOKUP(A115,Enforcements!$C$7:$K$14,8,0)</f>
        <v>#N/A</v>
      </c>
      <c r="AC115" s="55" t="e">
        <f>VLOOKUP(A115,Enforcements!$C$7:$E$14,3,0)</f>
        <v>#N/A</v>
      </c>
      <c r="AD115" s="56" t="str">
        <f t="shared" si="70"/>
        <v>0242-14</v>
      </c>
      <c r="AE115" s="85" t="str">
        <f t="shared" si="71"/>
        <v>aws s3 cp s3://rtdc.mdm.uploadarchive.raw/RTDC4030/ "%USERPROFILE%\AppData\Local\Temp\OnboardLogs"\RTDC4030\2017-02-15 --exclude "*" --recursive --include "*20170215*" &amp; "%USERPROFILE%\Documents\GitHub\mrs-test-scripts\Headless Mode &amp; Sideloading\WalkAndUnGZ.bat" "%USERPROFILE%\AppData\Local\Temp\OnboardLogs"\RTDC4030\2017-02-15 &amp; 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</v>
      </c>
      <c r="AF115" s="82" t="str">
        <f t="shared" si="72"/>
        <v>"C:\Program Files (x86)\AstroGrep\AstroGrep.exe" /spath="%USERPROFILE%\AppData\Local\Temp\OnboardLogs" /stypes="app*4030*20170215*" /stext=" 08:.+((SYSTEM_STATE.+slice.+state.+changed )|(ment ac)|(multiple cpu faults)|(system.+state.+changed )|(\[timeout)|(PRM\|1\|D)|(kpr)|(kdp)|(\|lc)|(penalty)|(RTDC:00:00000204:00000036:00006526))" /e /r /s</v>
      </c>
      <c r="AG115" s="1" t="str">
        <f t="shared" si="73"/>
        <v>EC</v>
      </c>
      <c r="AH115" s="86" t="str">
        <f t="shared" si="53"/>
        <v>"%USERPROFILE%\Documents\GitHub\eaglep3\Utilities\RefineRTDCRunTimes.py" --tripid 242-14 --locoid 4030 --swversion DE.1.0.8.0 --startMP 204:64178 --initTime 2017-02-15T01:27:05 --startdatetime 2017-02-15T01:28:05 --delay 0 --endMP 204:198 --enddatetime 2017-02-15T01:44:58 --enforcementcount 0 &gt;&gt;C:\Users\stu\Documents\GitHub\eaglep3-reporting\EC\2017-02-14-refined-times.txt</v>
      </c>
      <c r="AI115" s="108" t="str">
        <f t="shared" si="54"/>
        <v>echo {"issue":{"subject":"Operational decision based on signal-system traffic directionality lock","project_id":79,"tracker_id":40,"status_id":1,"priority_id":2,"assigned_to_id":23,"start_date":"2017-02-15","description":"","custom_fields":[{"id":1,"name":"Subdivision","value":"EC"},{"id":4,"name":"Milepost","value":"0.0198"},{"id":17,"name":"Train ID","value":"242-14"},{"id":16,"name":"Locomotive ID","value":"4030"},{"id":130,"name":"Impact","value":""},{"id":150,"name":"Time of Event (Mountain Time)","value":"01:44:58"},{"id":151,"name":"Denver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55"/>
        <v>start /low /b %USERPROFILE%\Documents\GitHub\eaglep3\Utilities\DownloadLogsFromS3.py --loco 4030 --day 2017-02-15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"%USERPROFILE%\AppData\Local\Temp\OnboardLogs"\RTDC4030\*4030*20170215* | grep -SE "(Enforcement Action)|(\[TIMEOUT)|(CHR.+\|PRM\|1\|D.+(SWITCH|SIGNAL).+UNKNOWN)" - &gt;&gt; 2017-02-14-UncaughtWiMAX.txt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640</v>
      </c>
      <c r="B116" s="7">
        <v>4030</v>
      </c>
      <c r="C116" s="21" t="s">
        <v>192</v>
      </c>
      <c r="D116" s="21" t="s">
        <v>737</v>
      </c>
      <c r="E116" s="13">
        <v>42781.048854166664</v>
      </c>
      <c r="F116" s="13">
        <v>42781.050081018519</v>
      </c>
      <c r="G116" s="7">
        <v>1</v>
      </c>
      <c r="H116" s="21" t="s">
        <v>737</v>
      </c>
      <c r="I116" s="13">
        <v>42781.050081018519</v>
      </c>
      <c r="J116" s="7">
        <v>0</v>
      </c>
      <c r="K116" s="98" t="str">
        <f t="shared" si="63"/>
        <v>4029/4030</v>
      </c>
      <c r="L116" s="21" t="str">
        <f>VLOOKUP(A116,'Trips&amp;Operators'!$C$1:$G$99999,5,FALSE)</f>
        <v>STORY SAMANTHA</v>
      </c>
      <c r="M116" s="6">
        <f t="shared" si="64"/>
        <v>0</v>
      </c>
      <c r="N116" s="7"/>
      <c r="O116" s="7"/>
      <c r="P116" s="7"/>
      <c r="Q116" s="22"/>
      <c r="R116" s="22"/>
      <c r="S116" s="31"/>
      <c r="T116" s="46" t="str">
        <f t="shared" si="65"/>
        <v>Southbound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0</v>
      </c>
      <c r="V116" s="187" t="str">
        <f t="shared" si="66"/>
        <v>https://d0f6bd738d7f1b3e5a7ca70fe4ff75f0.us-east-1.aws.found.io/app/kibana#/discover/Steve-Slow-Train-Analysis-(2080s-and-2083s)?_g=(refreshInterval:(display:Off,pause:!f,section:0,value:0),time:(from:'2017-02-15T00:10:21-0700',mode:absolute,to:'2017-02-15T02:12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188" t="str">
        <f t="shared" si="67"/>
        <v>Y</v>
      </c>
      <c r="X116" s="188">
        <f t="shared" si="77"/>
        <v>0</v>
      </c>
      <c r="Y116" s="62">
        <f t="shared" si="68"/>
        <v>8.6359999999999992</v>
      </c>
      <c r="Z116" s="62">
        <f t="shared" si="75"/>
        <v>8.6359999999999992</v>
      </c>
      <c r="AA116" s="62">
        <f t="shared" si="69"/>
        <v>0</v>
      </c>
      <c r="AB116" s="59" t="e">
        <f>VLOOKUP(A116,Enforcements!$C$7:$K$14,8,0)</f>
        <v>#N/A</v>
      </c>
      <c r="AC116" s="55" t="e">
        <f>VLOOKUP(A116,Enforcements!$C$7:$E$14,3,0)</f>
        <v>#N/A</v>
      </c>
      <c r="AD116" s="56" t="str">
        <f t="shared" si="70"/>
        <v>0242-14</v>
      </c>
      <c r="AE116" s="85" t="str">
        <f t="shared" si="71"/>
        <v>aws s3 cp s3://rtdc.mdm.uploadarchive.raw/RTDC4030/ "%USERPROFILE%\AppData\Local\Temp\OnboardLogs"\RTDC4030\2017-02-15 --exclude "*" --recursive --include "*20170215*" &amp; "%USERPROFILE%\Documents\GitHub\mrs-test-scripts\Headless Mode &amp; Sideloading\WalkAndUnGZ.bat" "%USERPROFILE%\AppData\Local\Temp\OnboardLogs"\RTDC4030\2017-02-15 &amp; 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</v>
      </c>
      <c r="AF116" s="82" t="str">
        <f t="shared" si="72"/>
        <v>"C:\Program Files (x86)\AstroGrep\AstroGrep.exe" /spath="%USERPROFILE%\AppData\Local\Temp\OnboardLogs" /stypes="app*4030*20170215*" /stext=" 08:.+((SYSTEM_STATE.+slice.+state.+changed )|(ment ac)|(multiple cpu faults)|(system.+state.+changed )|(\[timeout)|(PRM\|1\|D)|(kpr)|(kdp)|(\|lc)|(penalty)|(RTDC:00:00000204:00000036:00006526))" /e /r /s</v>
      </c>
      <c r="AG116" s="1" t="str">
        <f t="shared" si="73"/>
        <v>EC</v>
      </c>
      <c r="AH116" s="86" t="str">
        <f t="shared" si="53"/>
        <v>"%USERPROFILE%\Documents\GitHub\eaglep3\Utilities\RefineRTDCRunTimes.py" --tripid 242-14 --locoid 4030 --swversion DE.1.0.8.0 --startMP 204:86360 --initTime 2017-02-15T01:10:21 --startdatetime 2017-02-15T01:12:07 --delay 1 --endMP 204:86360 --enddatetime 2017-02-15T01:12:07 --enforcementcount 0 &gt;&gt;C:\Users\stu\Documents\GitHub\eaglep3-reporting\EC\2017-02-14-refined-times.txt</v>
      </c>
      <c r="AI116" s="108" t="str">
        <f t="shared" si="54"/>
        <v>echo {"issue":{"subject":"","project_id":79,"tracker_id":40,"status_id":1,"priority_id":2,"assigned_to_id":23,"start_date":"2017-02-15","description":"","custom_fields":[{"id":1,"name":"Subdivision","value":"EC"},{"id":4,"name":"Milepost","value":"8.636"},{"id":17,"name":"Train ID","value":"242-14"},{"id":16,"name":"Locomotive ID","value":"4030"},{"id":130,"name":"Impact","value":""},{"id":150,"name":"Time of Event (Mountain Time)","value":"01:12:07"},{"id":151,"name":"Denver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55"/>
        <v>start /low /b %USERPROFILE%\Documents\GitHub\eaglep3\Utilities\DownloadLogsFromS3.py --loco 4030 --day 2017-02-15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"%USERPROFILE%\AppData\Local\Temp\OnboardLogs"\RTDC4030\*4030*20170215* | grep -SE "(Enforcement Action)|(\[TIMEOUT)|(CHR.+\|PRM\|1\|D.+(SWITCH|SIGNAL).+UNKNOWN)" - &gt;&gt; 2017-02-14-UncaughtWiMAX.txt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636</v>
      </c>
      <c r="B117" s="7">
        <v>4029</v>
      </c>
      <c r="C117" s="21" t="s">
        <v>192</v>
      </c>
      <c r="D117" s="21" t="s">
        <v>296</v>
      </c>
      <c r="E117" s="13">
        <v>42781.012569444443</v>
      </c>
      <c r="F117" s="13">
        <v>42781.014849537038</v>
      </c>
      <c r="G117" s="7">
        <v>3</v>
      </c>
      <c r="H117" s="21" t="s">
        <v>720</v>
      </c>
      <c r="I117" s="13">
        <v>42781.037719907406</v>
      </c>
      <c r="J117" s="7">
        <v>0</v>
      </c>
      <c r="K117" s="98" t="str">
        <f t="shared" si="63"/>
        <v>4029/4030</v>
      </c>
      <c r="L117" s="21" t="str">
        <f>VLOOKUP(A117,'Trips&amp;Operators'!$C$1:$G$99999,5,FALSE)</f>
        <v>STORY SAMANTHA</v>
      </c>
      <c r="M117" s="6">
        <f t="shared" si="64"/>
        <v>2.287037036876427E-2</v>
      </c>
      <c r="N117" s="7">
        <f>24*60*SUM($M117:$M117)</f>
        <v>32.933333331020549</v>
      </c>
      <c r="O117" s="7"/>
      <c r="P117" s="7"/>
      <c r="Q117" s="22"/>
      <c r="R117" s="22"/>
      <c r="S117" s="31">
        <f t="shared" si="59"/>
        <v>1</v>
      </c>
      <c r="T117" s="46" t="str">
        <f t="shared" si="65"/>
        <v>NorthBound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10</v>
      </c>
      <c r="V117" s="187" t="str">
        <f t="shared" si="66"/>
        <v>https://d0f6bd738d7f1b3e5a7ca70fe4ff75f0.us-east-1.aws.found.io/app/kibana#/discover/Steve-Slow-Train-Analysis-(2080s-and-2083s)?_g=(refreshInterval:(display:Off,pause:!f,section:0,value:0),time:(from:'2017-02-14T23:18:06-0700',mode:absolute,to:'2017-02-15T01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188" t="str">
        <f t="shared" si="67"/>
        <v>N</v>
      </c>
      <c r="X117" s="188">
        <f t="shared" si="77"/>
        <v>1</v>
      </c>
      <c r="Y117" s="62">
        <f t="shared" si="68"/>
        <v>4.6399999999999997E-2</v>
      </c>
      <c r="Z117" s="62">
        <f t="shared" si="75"/>
        <v>8.6374999999999993</v>
      </c>
      <c r="AA117" s="62">
        <f t="shared" si="69"/>
        <v>8.5910999999999991</v>
      </c>
      <c r="AB117" s="59" t="e">
        <f>VLOOKUP(A117,Enforcements!$C$7:$K$14,8,0)</f>
        <v>#N/A</v>
      </c>
      <c r="AC117" s="55" t="e">
        <f>VLOOKUP(A117,Enforcements!$C$7:$E$14,3,0)</f>
        <v>#N/A</v>
      </c>
      <c r="AD117" s="56" t="str">
        <f t="shared" si="70"/>
        <v>0243-14</v>
      </c>
      <c r="AE117" s="85" t="str">
        <f t="shared" si="71"/>
        <v>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 &amp; 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</v>
      </c>
      <c r="AF117" s="82" t="str">
        <f t="shared" si="72"/>
        <v>"C:\Program Files (x86)\AstroGrep\AstroGrep.exe" /spath="%USERPROFILE%\AppData\Local\Temp\OnboardLogs" /stypes="app*4029*20170215*" /stext=" 07:.+((SYSTEM_STATE.+slice.+state.+changed )|(ment ac)|(multiple cpu faults)|(system.+state.+changed )|(\[timeout)|(PRM\|1\|D)|(kpr)|(kdp)|(\|lc)|(penalty)|(RTDC:00:00000204:00000036:00006526))" /e /r /s</v>
      </c>
      <c r="AG117" s="1" t="str">
        <f t="shared" si="73"/>
        <v>EC</v>
      </c>
      <c r="AH117" s="86" t="str">
        <f t="shared" si="53"/>
        <v>"%USERPROFILE%\Documents\GitHub\eaglep3\Utilities\RefineRTDCRunTimes.py" --tripid 243-14 --locoid 4029 --swversion DE.1.0.8.0 --startMP 204:464 --initTime 2017-02-15T00:18:06 --startdatetime 2017-02-15T00:21:23 --delay 3 --endMP 204:86375 --enddatetime 2017-02-15T00:54:19 --enforcementcount 0 &gt;&gt;C:\Users\stu\Documents\GitHub\eaglep3-reporting\EC\2017-02-14-refined-times.txt</v>
      </c>
      <c r="AI117" s="108" t="str">
        <f t="shared" si="54"/>
        <v>echo {"issue":{"subject":"","project_id":79,"tracker_id":40,"status_id":1,"priority_id":2,"assigned_to_id":23,"start_date":"2017-02-15","description":"","custom_fields":[{"id":1,"name":"Subdivision","value":"EC"},{"id":4,"name":"Milepost","value":"8.6375"},{"id":17,"name":"Train ID","value":"243-14"},{"id":16,"name":"Locomotive ID","value":"4029"},{"id":130,"name":"Impact","value":""},{"id":150,"name":"Time of Event (Mountain Time)","value":"00:54:19"},{"id":151,"name":"Denver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55"/>
        <v>start /low /b %USERPROFILE%\Documents\GitHub\eaglep3\Utilities\DownloadLogsFromS3.py --loco 4029 --day 2017-02-15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"%USERPROFILE%\AppData\Local\Temp\OnboardLogs"\RTDC4029\*4029*20170215* | grep -SE "(Enforcement Action)|(\[TIMEOUT)|(CHR.+\|PRM\|1\|D.+(SWITCH|SIGNAL).+UNKNOWN)" - &gt;&gt; 2017-02-14-UncaughtWiMAX.txt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643</v>
      </c>
      <c r="B118" s="7">
        <v>4032</v>
      </c>
      <c r="C118" s="21" t="s">
        <v>192</v>
      </c>
      <c r="D118" s="21" t="s">
        <v>738</v>
      </c>
      <c r="E118" s="13">
        <v>42781.091099537036</v>
      </c>
      <c r="F118" s="13">
        <v>42781.091840277775</v>
      </c>
      <c r="G118" s="7">
        <v>1</v>
      </c>
      <c r="H118" s="21" t="s">
        <v>739</v>
      </c>
      <c r="I118" s="13">
        <v>42781.101539351854</v>
      </c>
      <c r="J118" s="7">
        <v>0</v>
      </c>
      <c r="K118" s="98" t="str">
        <f t="shared" si="63"/>
        <v>4031/4032</v>
      </c>
      <c r="L118" s="21" t="str">
        <f>VLOOKUP(A118,'Trips&amp;Operators'!$C$1:$G$99999,5,FALSE)</f>
        <v>STAMBAUGH JAMES</v>
      </c>
      <c r="M118" s="6">
        <f t="shared" si="64"/>
        <v>9.6990740785258822E-3</v>
      </c>
      <c r="N118" s="7"/>
      <c r="O118" s="7"/>
      <c r="P118" s="7">
        <f>24*60*SUM($M118:$M118)</f>
        <v>13.96666667307727</v>
      </c>
      <c r="Q118" s="22"/>
      <c r="R118" s="22" t="s">
        <v>862</v>
      </c>
      <c r="S118" s="31">
        <f t="shared" si="59"/>
        <v>0.9</v>
      </c>
      <c r="T118" s="46" t="str">
        <f t="shared" si="65"/>
        <v>Southbound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9</v>
      </c>
      <c r="V118" s="187" t="str">
        <f t="shared" si="66"/>
        <v>https://d0f6bd738d7f1b3e5a7ca70fe4ff75f0.us-east-1.aws.found.io/app/kibana#/discover/Steve-Slow-Train-Analysis-(2080s-and-2083s)?_g=(refreshInterval:(display:Off,pause:!f,section:0,value:0),time:(from:'2017-02-15T01:11:11-0700',mode:absolute,to:'2017-02-15T03:26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8" s="188" t="str">
        <f t="shared" si="67"/>
        <v>Y</v>
      </c>
      <c r="X118" s="188">
        <f t="shared" si="77"/>
        <v>1</v>
      </c>
      <c r="Y118" s="62">
        <f t="shared" si="68"/>
        <v>6.4162999999999997</v>
      </c>
      <c r="Z118" s="62">
        <f t="shared" si="75"/>
        <v>3.6700000000000003E-2</v>
      </c>
      <c r="AA118" s="62">
        <f t="shared" si="69"/>
        <v>6.3795999999999999</v>
      </c>
      <c r="AB118" s="59" t="e">
        <f>VLOOKUP(A118,Enforcements!$C$7:$K$14,8,0)</f>
        <v>#N/A</v>
      </c>
      <c r="AC118" s="55" t="e">
        <f>VLOOKUP(A118,Enforcements!$C$7:$E$14,3,0)</f>
        <v>#N/A</v>
      </c>
      <c r="AD118" s="56" t="str">
        <f t="shared" si="70"/>
        <v>0244-14</v>
      </c>
      <c r="AE118" s="85" t="str">
        <f t="shared" si="71"/>
        <v>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 &amp; aws s3 cp s3://rtdc.mdm.uploadarchive.raw/RTDC4032/ "%USERPROFILE%\AppData\Local\Temp\OnboardLogs"\RTDC4032\2017-02-16 --exclude "*" --recursive --include "*20170216*" &amp; "%USERPROFILE%\Documents\GitHub\mrs-test-scripts\Headless Mode &amp; Sideloading\WalkAndUnGZ.bat" "%USERPROFILE%\AppData\Local\Temp\OnboardLogs"\RTDC4032\2017-02-16</v>
      </c>
      <c r="AF118" s="82" t="str">
        <f t="shared" si="72"/>
        <v>"C:\Program Files (x86)\AstroGrep\AstroGrep.exe" /spath="%USERPROFILE%\AppData\Local\Temp\OnboardLogs" /stypes="app*4032*20170215*" /stext=" 09:.+((SYSTEM_STATE.+slice.+state.+changed )|(ment ac)|(multiple cpu faults)|(system.+state.+changed )|(\[timeout)|(PRM\|1\|D)|(kpr)|(kdp)|(\|lc)|(penalty)|(RTDC:00:00000204:00000036:00006526))" /e /r /s</v>
      </c>
      <c r="AG118" s="1" t="str">
        <f t="shared" si="73"/>
        <v>EC</v>
      </c>
      <c r="AH118" s="86" t="str">
        <f t="shared" si="53"/>
        <v>"%USERPROFILE%\Documents\GitHub\eaglep3\Utilities\RefineRTDCRunTimes.py" --tripid 244-14 --locoid 4032 --swversion DE.1.0.8.0 --startMP 204:64163 --initTime 2017-02-15T02:11:11 --startdatetime 2017-02-15T02:12:15 --delay 1 --endMP 204:367 --enddatetime 2017-02-15T02:26:13 --enforcementcount 0 &gt;&gt;C:\Users\stu\Documents\GitHub\eaglep3-reporting\EC\2017-02-14-refined-times.txt</v>
      </c>
      <c r="AI118" s="108" t="str">
        <f t="shared" si="54"/>
        <v>echo {"issue":{"subject":"Operational decision based on signal-system traffic directionality lock","project_id":79,"tracker_id":40,"status_id":1,"priority_id":2,"assigned_to_id":23,"start_date":"2017-02-15","description":"","custom_fields":[{"id":1,"name":"Subdivision","value":"EC"},{"id":4,"name":"Milepost","value":"0.0367"},{"id":17,"name":"Train ID","value":"244-14"},{"id":16,"name":"Locomotive ID","value":"4032"},{"id":130,"name":"Impact","value":""},{"id":150,"name":"Time of Event (Mountain Time)","value":"02:26:13"},{"id":151,"name":"Denver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55"/>
        <v>start /low /b %USERPROFILE%\Documents\GitHub\eaglep3\Utilities\DownloadLogsFromS3.py --loco 4032 --day 2017-02-15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"%USERPROFILE%\AppData\Local\Temp\OnboardLogs"\RTDC4032\*4032*20170215* | grep -SE "(Enforcement Action)|(\[TIMEOUT)|(CHR.+\|PRM\|1\|D.+(SWITCH|SIGNAL).+UNKNOWN)" - &gt;&gt; 2017-02-14-UncaughtWiMAX.txt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508</v>
      </c>
      <c r="B119" s="7">
        <v>4015</v>
      </c>
      <c r="C119" s="21" t="s">
        <v>192</v>
      </c>
      <c r="D119" s="21" t="s">
        <v>773</v>
      </c>
      <c r="E119" s="13">
        <v>42780.211168981485</v>
      </c>
      <c r="F119" s="13">
        <v>42780.214490740742</v>
      </c>
      <c r="G119" s="7">
        <v>1</v>
      </c>
      <c r="H119" s="21" t="s">
        <v>721</v>
      </c>
      <c r="I119" s="13">
        <v>42780.224907407406</v>
      </c>
      <c r="J119" s="7">
        <v>0</v>
      </c>
      <c r="K119" s="98" t="str">
        <f t="shared" si="63"/>
        <v>4015/4016</v>
      </c>
      <c r="L119" s="21" t="str">
        <f>VLOOKUP(A119,'Trips&amp;Operators'!$C$1:$G$99999,5,FALSE)</f>
        <v>YORK EDGAR</v>
      </c>
      <c r="M119" s="6">
        <f t="shared" si="64"/>
        <v>1.0416666664241347E-2</v>
      </c>
      <c r="N119" s="7">
        <f t="shared" ref="N119:N150" si="78">24*60*SUM($M119:$M119)</f>
        <v>14.99999999650754</v>
      </c>
      <c r="O119" s="7"/>
      <c r="P119" s="7"/>
      <c r="Q119" s="22"/>
      <c r="R119" s="22"/>
      <c r="S119" s="31">
        <f t="shared" si="59"/>
        <v>1</v>
      </c>
      <c r="T119" s="46" t="str">
        <f t="shared" si="65"/>
        <v>Southbound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</v>
      </c>
      <c r="V119" s="187" t="str">
        <f t="shared" si="66"/>
        <v>https://d0f6bd738d7f1b3e5a7ca70fe4ff75f0.us-east-1.aws.found.io/app/kibana#/discover/Steve-Slow-Train-Analysis-(2080s-and-2083s)?_g=(refreshInterval:(display:Off,pause:!f,section:0,value:0),time:(from:'2017-02-14T04:04:05-0700',mode:absolute,to:'2017-02-14T06:23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9" s="188" t="str">
        <f t="shared" si="67"/>
        <v>N</v>
      </c>
      <c r="X119" s="188">
        <f t="shared" si="77"/>
        <v>556</v>
      </c>
      <c r="Y119" s="62">
        <f t="shared" si="68"/>
        <v>5.8616999999999999</v>
      </c>
      <c r="Z119" s="62">
        <f t="shared" si="75"/>
        <v>7.5200000000000003E-2</v>
      </c>
      <c r="AA119" s="62">
        <f t="shared" si="69"/>
        <v>5.7865000000000002</v>
      </c>
      <c r="AB119" s="59" t="e">
        <f>VLOOKUP(A119,Enforcements!$C$7:$K$14,8,0)</f>
        <v>#N/A</v>
      </c>
      <c r="AC119" s="55" t="e">
        <f>VLOOKUP(A119,Enforcements!$C$7:$E$14,3,0)</f>
        <v>#N/A</v>
      </c>
      <c r="AD119" s="56" t="str">
        <f t="shared" si="70"/>
        <v>0800-14</v>
      </c>
      <c r="AE119" s="85" t="str">
        <f t="shared" si="71"/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AF119" s="82" t="str">
        <f t="shared" si="72"/>
        <v>"C:\Program Files (x86)\AstroGrep\AstroGrep.exe" /spath="%USERPROFILE%\AppData\Local\Temp\OnboardLogs" /stypes="app*4015*20170214*" /stext=" 12:.+((SYSTEM_STATE.+slice.+state.+changed )|(ment ac)|(multiple cpu faults)|(system.+state.+changed )|(\[timeout)|(PRM\|1\|D)|(kpr)|(kdp)|(\|lc)|(penalty)|(RTDC:00:00000204:00000036:00006526))" /e /r /s</v>
      </c>
      <c r="AG119" s="1" t="str">
        <f t="shared" si="73"/>
        <v>NW</v>
      </c>
      <c r="AH119" s="86" t="str">
        <f t="shared" si="53"/>
        <v>"%USERPROFILE%\Documents\GitHub\eaglep3\Utilities\RefineRTDCRunTimes.py" --tripid 800-14 --locoid 4015 --swversion DE.1.0.8.0 --startMP 300:58617 --initTime 2017-02-14T05:04:05 --startdatetime 2017-02-14T05:08:52 --delay 1 --endMP 204:752 --enddatetime 2017-02-14T05:23:52 --enforcementcount 0 &gt;&gt;C:\Users\stu\Documents\GitHub\eaglep3-reporting\EC\2017-02-14-refined-times.txt</v>
      </c>
      <c r="AI119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{"issue":{"subject":"","project_id":79,"tracker_id":40,"status_id":1,"priority_id":2,"assigned_to_id":23,"start_date":"2017-02-14","description":"","custom_fields":[{"id":1,"name":"Subdivision","value":"NW"},{"id":4,"name":"Milepost","value":"0.0752"},{"id":17,"name":"Train ID","value":"800-14"},{"id":16,"name":"Locomotive ID","value":"4015"},{"id":130,"name":"Impact","value":""},{"id":150,"name":"Time of Event (Mountain Time)","value":"05:23:52"},{"id":151,"name":"Denver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55"/>
        <v>start /low /b %USERPROFILE%\Documents\GitHub\eaglep3\Utilities\DownloadLogsFromS3.py --loco 4015 --day 2017-02-14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"%USERPROFILE%\AppData\Local\Temp\OnboardLogs"\RTDC4015\*4015*20170214* | grep -SE "(Enforcement Action)|(\[TIMEOUT)|(CHR.+\|PRM\|1\|D.+(SWITCH|SIGNAL).+UNKNOWN)" - &gt;&gt; 2017-02-14-UncaughtWiMAX.txt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510</v>
      </c>
      <c r="B120" s="7">
        <v>4016</v>
      </c>
      <c r="C120" s="21" t="s">
        <v>192</v>
      </c>
      <c r="D120" s="21" t="s">
        <v>774</v>
      </c>
      <c r="E120" s="13">
        <v>42780.242939814816</v>
      </c>
      <c r="F120" s="13">
        <v>42780.244143518517</v>
      </c>
      <c r="G120" s="7">
        <v>1</v>
      </c>
      <c r="H120" s="21" t="s">
        <v>415</v>
      </c>
      <c r="I120" s="13">
        <v>42780.25277777778</v>
      </c>
      <c r="J120" s="7">
        <v>0</v>
      </c>
      <c r="K120" s="98" t="str">
        <f t="shared" si="63"/>
        <v>4015/4016</v>
      </c>
      <c r="L120" s="21" t="str">
        <f>VLOOKUP(A120,'Trips&amp;Operators'!$C$1:$G$99999,5,FALSE)</f>
        <v>YORK EDGAR</v>
      </c>
      <c r="M120" s="6">
        <f t="shared" si="64"/>
        <v>8.6342592621804215E-3</v>
      </c>
      <c r="N120" s="7">
        <f t="shared" si="78"/>
        <v>12.433333337539807</v>
      </c>
      <c r="O120" s="7"/>
      <c r="P120" s="7"/>
      <c r="Q120" s="22"/>
      <c r="R120" s="22"/>
      <c r="S120" s="31">
        <f t="shared" ref="S120:S151" si="79">SUM(U120:U120)/IF(AG120="EC",12,1)</f>
        <v>1</v>
      </c>
      <c r="T120" s="46" t="str">
        <f t="shared" si="65"/>
        <v>NorthBound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</v>
      </c>
      <c r="V120" s="187" t="str">
        <f t="shared" si="66"/>
        <v>https://d0f6bd738d7f1b3e5a7ca70fe4ff75f0.us-east-1.aws.found.io/app/kibana#/discover/Steve-Slow-Train-Analysis-(2080s-and-2083s)?_g=(refreshInterval:(display:Off,pause:!f,section:0,value:0),time:(from:'2017-02-14T04:49:50-0700',mode:absolute,to:'2017-02-14T07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188" t="str">
        <f t="shared" si="67"/>
        <v>N</v>
      </c>
      <c r="X120" s="188">
        <f t="shared" si="77"/>
        <v>1</v>
      </c>
      <c r="Y120" s="62">
        <f t="shared" si="68"/>
        <v>0.10390000000000001</v>
      </c>
      <c r="Z120" s="62">
        <f t="shared" si="75"/>
        <v>5.8933</v>
      </c>
      <c r="AA120" s="62">
        <f t="shared" si="69"/>
        <v>5.7893999999999997</v>
      </c>
      <c r="AB120" s="59" t="e">
        <f>VLOOKUP(A120,Enforcements!$C$7:$K$14,8,0)</f>
        <v>#N/A</v>
      </c>
      <c r="AC120" s="55" t="e">
        <f>VLOOKUP(A120,Enforcements!$C$7:$E$14,3,0)</f>
        <v>#N/A</v>
      </c>
      <c r="AD120" s="56" t="str">
        <f t="shared" si="70"/>
        <v>0801-14</v>
      </c>
      <c r="AE120" s="85" t="str">
        <f t="shared" si="71"/>
        <v>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 &amp; 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</v>
      </c>
      <c r="AF120" s="82" t="str">
        <f t="shared" si="72"/>
        <v>"C:\Program Files (x86)\AstroGrep\AstroGrep.exe" /spath="%USERPROFILE%\AppData\Local\Temp\OnboardLogs" /stypes="app*4016*20170214*" /stext=" 13:.+((SYSTEM_STATE.+slice.+state.+changed )|(ment ac)|(multiple cpu faults)|(system.+state.+changed )|(\[timeout)|(PRM\|1\|D)|(kpr)|(kdp)|(\|lc)|(penalty)|(RTDC:00:00000204:00000036:00006526))" /e /r /s</v>
      </c>
      <c r="AG120" s="1" t="str">
        <f t="shared" si="73"/>
        <v>NW</v>
      </c>
      <c r="AH120" s="86" t="str">
        <f t="shared" si="53"/>
        <v>"%USERPROFILE%\Documents\GitHub\eaglep3\Utilities\RefineRTDCRunTimes.py" --tripid 801-14 --locoid 4016 --swversion DE.1.0.8.0 --startMP 204:1039 --initTime 2017-02-14T05:49:50 --startdatetime 2017-02-14T05:51:34 --delay 1 --endMP 300:58933 --enddatetime 2017-02-14T06:04:00 --enforcementcount 0 &gt;&gt;C:\Users\stu\Documents\GitHub\eaglep3-reporting\EC\2017-02-14-refined-times.txt</v>
      </c>
      <c r="AI120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{"issue":{"subject":"","project_id":79,"tracker_id":40,"status_id":1,"priority_id":2,"assigned_to_id":23,"start_date":"2017-02-14","description":"","custom_fields":[{"id":1,"name":"Subdivision","value":"NW"},{"id":4,"name":"Milepost","value":"5.8933"},{"id":17,"name":"Train ID","value":"801-14"},{"id":16,"name":"Locomotive ID","value":"4016"},{"id":130,"name":"Impact","value":""},{"id":150,"name":"Time of Event (Mountain Time)","value":"06:04:00"},{"id":151,"name":"Denver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55"/>
        <v>start /low /b %USERPROFILE%\Documents\GitHub\eaglep3\Utilities\DownloadLogsFromS3.py --loco 4016 --day 2017-02-14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"%USERPROFILE%\AppData\Local\Temp\OnboardLogs"\RTDC4016\*4016*20170214* | grep -SE "(Enforcement Action)|(\[TIMEOUT)|(CHR.+\|PRM\|1\|D.+(SWITCH|SIGNAL).+UNKNOWN)" - &gt;&gt; 2017-02-14-UncaughtWiMAX.txt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514</v>
      </c>
      <c r="B121" s="7">
        <v>4015</v>
      </c>
      <c r="C121" s="21" t="s">
        <v>192</v>
      </c>
      <c r="D121" s="21" t="s">
        <v>773</v>
      </c>
      <c r="E121" s="13">
        <v>42780.253842592596</v>
      </c>
      <c r="F121" s="13">
        <v>42780.255023148151</v>
      </c>
      <c r="G121" s="7">
        <v>1</v>
      </c>
      <c r="H121" s="21" t="s">
        <v>453</v>
      </c>
      <c r="I121" s="13">
        <v>42780.267291666663</v>
      </c>
      <c r="J121" s="7">
        <v>0</v>
      </c>
      <c r="K121" s="98" t="str">
        <f t="shared" si="63"/>
        <v>4015/4016</v>
      </c>
      <c r="L121" s="21" t="str">
        <f>VLOOKUP(A121,'Trips&amp;Operators'!$C$1:$G$99999,5,FALSE)</f>
        <v>YORK EDGAR</v>
      </c>
      <c r="M121" s="6">
        <f t="shared" si="64"/>
        <v>1.2268518512428273E-2</v>
      </c>
      <c r="N121" s="7">
        <f t="shared" si="78"/>
        <v>17.666666657896712</v>
      </c>
      <c r="O121" s="7"/>
      <c r="P121" s="7"/>
      <c r="Q121" s="22"/>
      <c r="R121" s="22"/>
      <c r="S121" s="31">
        <f t="shared" si="79"/>
        <v>1</v>
      </c>
      <c r="T121" s="46" t="str">
        <f t="shared" si="65"/>
        <v>Southbound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</v>
      </c>
      <c r="V121" s="187" t="str">
        <f t="shared" si="66"/>
        <v>https://d0f6bd738d7f1b3e5a7ca70fe4ff75f0.us-east-1.aws.found.io/app/kibana#/discover/Steve-Slow-Train-Analysis-(2080s-and-2083s)?_g=(refreshInterval:(display:Off,pause:!f,section:0,value:0),time:(from:'2017-02-14T05:05:32-0700',mode:absolute,to:'2017-02-14T07:24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188" t="str">
        <f t="shared" si="67"/>
        <v>N</v>
      </c>
      <c r="X121" s="188">
        <f t="shared" si="77"/>
        <v>1</v>
      </c>
      <c r="Y121" s="62">
        <f t="shared" si="68"/>
        <v>5.8616999999999999</v>
      </c>
      <c r="Z121" s="62">
        <f t="shared" si="75"/>
        <v>7.5700000000000003E-2</v>
      </c>
      <c r="AA121" s="62">
        <f t="shared" si="69"/>
        <v>5.7859999999999996</v>
      </c>
      <c r="AB121" s="59" t="e">
        <f>VLOOKUP(A121,Enforcements!$C$7:$K$14,8,0)</f>
        <v>#N/A</v>
      </c>
      <c r="AC121" s="55" t="e">
        <f>VLOOKUP(A121,Enforcements!$C$7:$E$14,3,0)</f>
        <v>#N/A</v>
      </c>
      <c r="AD121" s="56" t="str">
        <f t="shared" si="70"/>
        <v>0802-14</v>
      </c>
      <c r="AE121" s="85" t="str">
        <f t="shared" si="71"/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AF121" s="82" t="str">
        <f t="shared" si="72"/>
        <v>"C:\Program Files (x86)\AstroGrep\AstroGrep.exe" /spath="%USERPROFILE%\AppData\Local\Temp\OnboardLogs" /stypes="app*4015*20170214*" /stext=" 13:.+((SYSTEM_STATE.+slice.+state.+changed )|(ment ac)|(multiple cpu faults)|(system.+state.+changed )|(\[timeout)|(PRM\|1\|D)|(kpr)|(kdp)|(\|lc)|(penalty)|(RTDC:00:00000204:00000036:00006526))" /e /r /s</v>
      </c>
      <c r="AG121" s="1" t="str">
        <f t="shared" si="73"/>
        <v>NW</v>
      </c>
      <c r="AH121" s="86" t="str">
        <f t="shared" si="53"/>
        <v>"%USERPROFILE%\Documents\GitHub\eaglep3\Utilities\RefineRTDCRunTimes.py" --tripid 802-14 --locoid 4015 --swversion DE.1.0.8.0 --startMP 300:58617 --initTime 2017-02-14T06:05:32 --startdatetime 2017-02-14T06:07:14 --delay 1 --endMP 204:757 --enddatetime 2017-02-14T06:24:54 --enforcementcount 0 &gt;&gt;C:\Users\stu\Documents\GitHub\eaglep3-reporting\EC\2017-02-14-refined-times.txt</v>
      </c>
      <c r="AI121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{"issue":{"subject":"","project_id":79,"tracker_id":40,"status_id":1,"priority_id":2,"assigned_to_id":23,"start_date":"2017-02-14","description":"","custom_fields":[{"id":1,"name":"Subdivision","value":"NW"},{"id":4,"name":"Milepost","value":"0.0757"},{"id":17,"name":"Train ID","value":"802-14"},{"id":16,"name":"Locomotive ID","value":"4015"},{"id":130,"name":"Impact","value":""},{"id":150,"name":"Time of Event (Mountain Time)","value":"06:24:54"},{"id":151,"name":"Denver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55"/>
        <v>start /low /b %USERPROFILE%\Documents\GitHub\eaglep3\Utilities\DownloadLogsFromS3.py --loco 4015 --day 2017-02-14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"%USERPROFILE%\AppData\Local\Temp\OnboardLogs"\RTDC4015\*4015*20170214* | grep -SE "(Enforcement Action)|(\[TIMEOUT)|(CHR.+\|PRM\|1\|D.+(SWITCH|SIGNAL).+UNKNOWN)" - &gt;&gt; 2017-02-14-UncaughtWiMAX.txt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516</v>
      </c>
      <c r="B122" s="7">
        <v>4003</v>
      </c>
      <c r="C122" s="21" t="s">
        <v>192</v>
      </c>
      <c r="D122" s="21" t="s">
        <v>775</v>
      </c>
      <c r="E122" s="13">
        <v>42780.261620370373</v>
      </c>
      <c r="F122" s="13">
        <v>42780.264745370368</v>
      </c>
      <c r="G122" s="7">
        <v>1</v>
      </c>
      <c r="H122" s="21" t="s">
        <v>463</v>
      </c>
      <c r="I122" s="13">
        <v>42780.27375</v>
      </c>
      <c r="J122" s="7">
        <v>0</v>
      </c>
      <c r="K122" s="98" t="str">
        <f t="shared" si="63"/>
        <v>4003/4004</v>
      </c>
      <c r="L122" s="21" t="str">
        <f>VLOOKUP(A122,'Trips&amp;Operators'!$C$1:$G$99999,5,FALSE)</f>
        <v>BROWN JACOB</v>
      </c>
      <c r="M122" s="6">
        <f t="shared" si="64"/>
        <v>9.0046296318178065E-3</v>
      </c>
      <c r="N122" s="7">
        <f t="shared" si="78"/>
        <v>12.966666669817641</v>
      </c>
      <c r="O122" s="7"/>
      <c r="P122" s="7"/>
      <c r="Q122" s="22"/>
      <c r="R122" s="22"/>
      <c r="S122" s="31">
        <f t="shared" si="79"/>
        <v>1</v>
      </c>
      <c r="T122" s="46" t="str">
        <f t="shared" si="65"/>
        <v>NorthBound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</v>
      </c>
      <c r="V122" s="187" t="str">
        <f t="shared" si="66"/>
        <v>https://d0f6bd738d7f1b3e5a7ca70fe4ff75f0.us-east-1.aws.found.io/app/kibana#/discover/Steve-Slow-Train-Analysis-(2080s-and-2083s)?_g=(refreshInterval:(display:Off,pause:!f,section:0,value:0),time:(from:'2017-02-14T05:16:44-0700',mode:absolute,to:'2017-02-14T07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2" s="188" t="str">
        <f t="shared" si="67"/>
        <v>N</v>
      </c>
      <c r="X122" s="188">
        <f t="shared" si="77"/>
        <v>1</v>
      </c>
      <c r="Y122" s="62">
        <f t="shared" si="68"/>
        <v>0.10059999999999999</v>
      </c>
      <c r="Z122" s="62">
        <f t="shared" si="75"/>
        <v>5.8959999999999999</v>
      </c>
      <c r="AA122" s="62">
        <f t="shared" si="69"/>
        <v>5.7953999999999999</v>
      </c>
      <c r="AB122" s="59" t="e">
        <f>VLOOKUP(A122,Enforcements!$C$7:$K$14,8,0)</f>
        <v>#N/A</v>
      </c>
      <c r="AC122" s="55" t="e">
        <f>VLOOKUP(A122,Enforcements!$C$7:$E$14,3,0)</f>
        <v>#N/A</v>
      </c>
      <c r="AD122" s="56" t="str">
        <f t="shared" si="70"/>
        <v>0803-14</v>
      </c>
      <c r="AE122" s="85" t="str">
        <f t="shared" si="71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22" s="82" t="str">
        <f t="shared" si="72"/>
        <v>"C:\Program Files (x86)\AstroGrep\AstroGrep.exe" /spath="%USERPROFILE%\AppData\Local\Temp\OnboardLogs" /stypes="app*4003*20170214*" /stext=" 13:.+((SYSTEM_STATE.+slice.+state.+changed )|(ment ac)|(multiple cpu faults)|(system.+state.+changed )|(\[timeout)|(PRM\|1\|D)|(kpr)|(kdp)|(\|lc)|(penalty)|(RTDC:00:00000204:00000036:00006526))" /e /r /s</v>
      </c>
      <c r="AG122" s="1" t="str">
        <f t="shared" si="73"/>
        <v>NW</v>
      </c>
      <c r="AH122" s="86" t="str">
        <f t="shared" si="53"/>
        <v>"%USERPROFILE%\Documents\GitHub\eaglep3\Utilities\RefineRTDCRunTimes.py" --tripid 803-14 --locoid 4003 --swversion DE.1.0.8.0 --startMP 204:1006 --initTime 2017-02-14T06:16:44 --startdatetime 2017-02-14T06:21:14 --delay 1 --endMP 300:58960 --enddatetime 2017-02-14T06:34:12 --enforcementcount 0 &gt;&gt;C:\Users\stu\Documents\GitHub\eaglep3-reporting\EC\2017-02-14-refined-times.txt</v>
      </c>
      <c r="AI122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{"issue":{"subject":"","project_id":79,"tracker_id":40,"status_id":1,"priority_id":2,"assigned_to_id":23,"start_date":"2017-02-14","description":"","custom_fields":[{"id":1,"name":"Subdivision","value":"NW"},{"id":4,"name":"Milepost","value":"5.896"},{"id":17,"name":"Train ID","value":"803-14"},{"id":16,"name":"Locomotive ID","value":"4003"},{"id":130,"name":"Impact","value":""},{"id":150,"name":"Time of Event (Mountain Time)","value":"06:34:12"},{"id":151,"name":"Denver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55"/>
        <v>start /low /b %USERPROFILE%\Documents\GitHub\eaglep3\Utilities\DownloadLogsFromS3.py --loco 4003 --day 2017-02-14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"%USERPROFILE%\AppData\Local\Temp\OnboardLogs"\RTDC4003\*4003*20170214* | grep -SE "(Enforcement Action)|(\[TIMEOUT)|(CHR.+\|PRM\|1\|D.+(SWITCH|SIGNAL).+UNKNOWN)" - &gt;&gt; 2017-02-14-UncaughtWiMAX.txt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518</v>
      </c>
      <c r="B123" s="7">
        <v>4004</v>
      </c>
      <c r="C123" s="21" t="s">
        <v>192</v>
      </c>
      <c r="D123" s="21" t="s">
        <v>776</v>
      </c>
      <c r="E123" s="13">
        <v>42780.275381944448</v>
      </c>
      <c r="F123" s="13">
        <v>42780.27684027778</v>
      </c>
      <c r="G123" s="7">
        <v>1</v>
      </c>
      <c r="H123" s="21" t="s">
        <v>777</v>
      </c>
      <c r="I123" s="13">
        <v>42780.288472222222</v>
      </c>
      <c r="J123" s="7">
        <v>0</v>
      </c>
      <c r="K123" s="98" t="str">
        <f t="shared" si="63"/>
        <v>4003/4004</v>
      </c>
      <c r="L123" s="21" t="str">
        <f>VLOOKUP(A123,'Trips&amp;Operators'!$C$1:$G$99999,5,FALSE)</f>
        <v>BROWN JACOB</v>
      </c>
      <c r="M123" s="6">
        <f t="shared" si="64"/>
        <v>1.1631944442342501E-2</v>
      </c>
      <c r="N123" s="7">
        <f t="shared" si="78"/>
        <v>16.749999996973202</v>
      </c>
      <c r="O123" s="7"/>
      <c r="P123" s="7"/>
      <c r="Q123" s="22"/>
      <c r="R123" s="22"/>
      <c r="S123" s="31">
        <f t="shared" si="79"/>
        <v>1</v>
      </c>
      <c r="T123" s="46" t="str">
        <f t="shared" si="65"/>
        <v>Southbound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</v>
      </c>
      <c r="V123" s="187" t="str">
        <f t="shared" si="66"/>
        <v>https://d0f6bd738d7f1b3e5a7ca70fe4ff75f0.us-east-1.aws.found.io/app/kibana#/discover/Steve-Slow-Train-Analysis-(2080s-and-2083s)?_g=(refreshInterval:(display:Off,pause:!f,section:0,value:0),time:(from:'2017-02-14T05:36:33-0700',mode:absolute,to:'2017-02-14T07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3" s="188" t="str">
        <f t="shared" si="67"/>
        <v>N</v>
      </c>
      <c r="X123" s="188">
        <f t="shared" si="77"/>
        <v>1</v>
      </c>
      <c r="Y123" s="62">
        <f t="shared" si="68"/>
        <v>5.8659999999999997</v>
      </c>
      <c r="Z123" s="62">
        <f t="shared" si="75"/>
        <v>7.1999999999999995E-2</v>
      </c>
      <c r="AA123" s="62">
        <f t="shared" si="69"/>
        <v>5.7939999999999996</v>
      </c>
      <c r="AB123" s="59" t="e">
        <f>VLOOKUP(A123,Enforcements!$C$7:$K$14,8,0)</f>
        <v>#N/A</v>
      </c>
      <c r="AC123" s="55" t="e">
        <f>VLOOKUP(A123,Enforcements!$C$7:$E$14,3,0)</f>
        <v>#N/A</v>
      </c>
      <c r="AD123" s="56" t="str">
        <f t="shared" si="70"/>
        <v>0804-14</v>
      </c>
      <c r="AE123" s="85" t="str">
        <f t="shared" si="71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23" s="82" t="str">
        <f t="shared" si="72"/>
        <v>"C:\Program Files (x86)\AstroGrep\AstroGrep.exe" /spath="%USERPROFILE%\AppData\Local\Temp\OnboardLogs" /stypes="app*4004*20170214*" /stext=" 13:.+((SYSTEM_STATE.+slice.+state.+changed )|(ment ac)|(multiple cpu faults)|(system.+state.+changed )|(\[timeout)|(PRM\|1\|D)|(kpr)|(kdp)|(\|lc)|(penalty)|(RTDC:00:00000204:00000036:00006526))" /e /r /s</v>
      </c>
      <c r="AG123" s="1" t="str">
        <f t="shared" si="73"/>
        <v>NW</v>
      </c>
      <c r="AH123" s="86" t="str">
        <f t="shared" si="53"/>
        <v>"%USERPROFILE%\Documents\GitHub\eaglep3\Utilities\RefineRTDCRunTimes.py" --tripid 804-14 --locoid 4004 --swversion DE.1.0.8.0 --startMP 300:58660 --initTime 2017-02-14T06:36:33 --startdatetime 2017-02-14T06:38:39 --delay 1 --endMP 204:720 --enddatetime 2017-02-14T06:55:24 --enforcementcount 0 &gt;&gt;C:\Users\stu\Documents\GitHub\eaglep3-reporting\EC\2017-02-14-refined-times.txt</v>
      </c>
      <c r="AI123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{"issue":{"subject":"","project_id":79,"tracker_id":40,"status_id":1,"priority_id":2,"assigned_to_id":23,"start_date":"2017-02-14","description":"","custom_fields":[{"id":1,"name":"Subdivision","value":"NW"},{"id":4,"name":"Milepost","value":"0.072"},{"id":17,"name":"Train ID","value":"804-14"},{"id":16,"name":"Locomotive ID","value":"4004"},{"id":130,"name":"Impact","value":""},{"id":150,"name":"Time of Event (Mountain Time)","value":"06:55:24"},{"id":151,"name":"Denver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55"/>
        <v>start /low /b %USERPROFILE%\Documents\GitHub\eaglep3\Utilities\DownloadLogsFromS3.py --loco 4004 --day 2017-02-14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517</v>
      </c>
      <c r="B124" s="7">
        <v>4016</v>
      </c>
      <c r="C124" s="21" t="s">
        <v>192</v>
      </c>
      <c r="D124" s="21" t="s">
        <v>778</v>
      </c>
      <c r="E124" s="13">
        <v>42780.269131944442</v>
      </c>
      <c r="F124" s="13">
        <v>42780.285671296297</v>
      </c>
      <c r="G124" s="7">
        <v>1</v>
      </c>
      <c r="H124" s="21" t="s">
        <v>418</v>
      </c>
      <c r="I124" s="13">
        <v>42780.294074074074</v>
      </c>
      <c r="J124" s="7">
        <v>0</v>
      </c>
      <c r="K124" s="98" t="str">
        <f t="shared" si="63"/>
        <v>4015/4016</v>
      </c>
      <c r="L124" s="21" t="str">
        <f>VLOOKUP(A124,'Trips&amp;Operators'!$C$1:$G$99999,5,FALSE)</f>
        <v>YORK EDGAR</v>
      </c>
      <c r="M124" s="6">
        <f t="shared" si="64"/>
        <v>8.4027777775190771E-3</v>
      </c>
      <c r="N124" s="7">
        <f t="shared" si="78"/>
        <v>12.099999999627471</v>
      </c>
      <c r="O124" s="7"/>
      <c r="P124" s="7"/>
      <c r="Q124" s="22"/>
      <c r="R124" s="22"/>
      <c r="S124" s="31">
        <f t="shared" si="79"/>
        <v>1</v>
      </c>
      <c r="T124" s="46" t="str">
        <f t="shared" si="65"/>
        <v>NorthBound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</v>
      </c>
      <c r="V124" s="187" t="str">
        <f t="shared" si="66"/>
        <v>https://d0f6bd738d7f1b3e5a7ca70fe4ff75f0.us-east-1.aws.found.io/app/kibana#/discover/Steve-Slow-Train-Analysis-(2080s-and-2083s)?_g=(refreshInterval:(display:Off,pause:!f,section:0,value:0),time:(from:'2017-02-14T05:27:33-0700',mode:absolute,to:'2017-02-14T08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4" s="188" t="str">
        <f t="shared" si="67"/>
        <v>N</v>
      </c>
      <c r="X124" s="188">
        <f t="shared" si="77"/>
        <v>1</v>
      </c>
      <c r="Y124" s="62">
        <f t="shared" si="68"/>
        <v>0.1037</v>
      </c>
      <c r="Z124" s="62">
        <f t="shared" si="75"/>
        <v>5.8935000000000004</v>
      </c>
      <c r="AA124" s="62">
        <f t="shared" si="69"/>
        <v>5.7898000000000005</v>
      </c>
      <c r="AB124" s="59" t="e">
        <f>VLOOKUP(A124,Enforcements!$C$7:$K$14,8,0)</f>
        <v>#N/A</v>
      </c>
      <c r="AC124" s="55" t="e">
        <f>VLOOKUP(A124,Enforcements!$C$7:$E$14,3,0)</f>
        <v>#N/A</v>
      </c>
      <c r="AD124" s="56" t="str">
        <f t="shared" si="70"/>
        <v>0805-14</v>
      </c>
      <c r="AE124" s="85" t="str">
        <f t="shared" si="71"/>
        <v>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 &amp; 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</v>
      </c>
      <c r="AF124" s="82" t="str">
        <f t="shared" si="72"/>
        <v>"C:\Program Files (x86)\AstroGrep\AstroGrep.exe" /spath="%USERPROFILE%\AppData\Local\Temp\OnboardLogs" /stypes="app*4016*20170214*" /stext=" 14:.+((SYSTEM_STATE.+slice.+state.+changed )|(ment ac)|(multiple cpu faults)|(system.+state.+changed )|(\[timeout)|(PRM\|1\|D)|(kpr)|(kdp)|(\|lc)|(penalty)|(RTDC:00:00000204:00000036:00006526))" /e /r /s</v>
      </c>
      <c r="AG124" s="1" t="str">
        <f t="shared" si="73"/>
        <v>NW</v>
      </c>
      <c r="AH124" s="86" t="str">
        <f t="shared" si="53"/>
        <v>"%USERPROFILE%\Documents\GitHub\eaglep3\Utilities\RefineRTDCRunTimes.py" --tripid 805-14 --locoid 4016 --swversion DE.1.0.8.0 --startMP 204:1037 --initTime 2017-02-14T06:27:33 --startdatetime 2017-02-14T06:51:22 --delay 1 --endMP 300:58935 --enddatetime 2017-02-14T07:03:28 --enforcementcount 0 &gt;&gt;C:\Users\stu\Documents\GitHub\eaglep3-reporting\EC\2017-02-14-refined-times.txt</v>
      </c>
      <c r="AI124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{"issue":{"subject":"","project_id":79,"tracker_id":40,"status_id":1,"priority_id":2,"assigned_to_id":23,"start_date":"2017-02-14","description":"","custom_fields":[{"id":1,"name":"Subdivision","value":"NW"},{"id":4,"name":"Milepost","value":"5.8935"},{"id":17,"name":"Train ID","value":"805-14"},{"id":16,"name":"Locomotive ID","value":"4016"},{"id":130,"name":"Impact","value":""},{"id":150,"name":"Time of Event (Mountain Time)","value":"07:03:28"},{"id":151,"name":"Denver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55"/>
        <v>start /low /b %USERPROFILE%\Documents\GitHub\eaglep3\Utilities\DownloadLogsFromS3.py --loco 4016 --day 2017-02-14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"%USERPROFILE%\AppData\Local\Temp\OnboardLogs"\RTDC4016\*4016*20170214* | grep -SE "(Enforcement Action)|(\[TIMEOUT)|(CHR.+\|PRM\|1\|D.+(SWITCH|SIGNAL).+UNKNOWN)" - &gt;&gt; 2017-02-14-UncaughtWiMAX.txt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521</v>
      </c>
      <c r="B125" s="7">
        <v>4015</v>
      </c>
      <c r="C125" s="21" t="s">
        <v>192</v>
      </c>
      <c r="D125" s="21" t="s">
        <v>467</v>
      </c>
      <c r="E125" s="13">
        <v>42780.295925925922</v>
      </c>
      <c r="F125" s="13">
        <v>42780.298356481479</v>
      </c>
      <c r="G125" s="7">
        <v>2</v>
      </c>
      <c r="H125" s="21" t="s">
        <v>779</v>
      </c>
      <c r="I125" s="13">
        <v>42780.30877314815</v>
      </c>
      <c r="J125" s="7">
        <v>0</v>
      </c>
      <c r="K125" s="98" t="str">
        <f t="shared" si="63"/>
        <v>4015/4016</v>
      </c>
      <c r="L125" s="21" t="str">
        <f>VLOOKUP(A125,'Trips&amp;Operators'!$C$1:$G$99999,5,FALSE)</f>
        <v>YORK EDGAR</v>
      </c>
      <c r="M125" s="6">
        <f t="shared" si="64"/>
        <v>1.0416666671517305E-2</v>
      </c>
      <c r="N125" s="7">
        <f t="shared" si="78"/>
        <v>15.000000006984919</v>
      </c>
      <c r="O125" s="7"/>
      <c r="P125" s="7"/>
      <c r="Q125" s="22"/>
      <c r="R125" s="22"/>
      <c r="S125" s="31">
        <f t="shared" si="79"/>
        <v>1</v>
      </c>
      <c r="T125" s="46" t="str">
        <f t="shared" si="65"/>
        <v>Southbound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</v>
      </c>
      <c r="V125" s="187" t="str">
        <f t="shared" si="66"/>
        <v>https://d0f6bd738d7f1b3e5a7ca70fe4ff75f0.us-east-1.aws.found.io/app/kibana#/discover/Steve-Slow-Train-Analysis-(2080s-and-2083s)?_g=(refreshInterval:(display:Off,pause:!f,section:0,value:0),time:(from:'2017-02-14T06:06:08-0700',mode:absolute,to:'2017-02-14T08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5" s="188" t="str">
        <f t="shared" si="67"/>
        <v>N</v>
      </c>
      <c r="X125" s="188">
        <f t="shared" si="77"/>
        <v>1</v>
      </c>
      <c r="Y125" s="62">
        <f t="shared" si="68"/>
        <v>5.8620999999999999</v>
      </c>
      <c r="Z125" s="62">
        <f t="shared" si="75"/>
        <v>7.6200000000000004E-2</v>
      </c>
      <c r="AA125" s="62">
        <f t="shared" si="69"/>
        <v>5.7858999999999998</v>
      </c>
      <c r="AB125" s="59" t="e">
        <f>VLOOKUP(A125,Enforcements!$C$7:$K$14,8,0)</f>
        <v>#N/A</v>
      </c>
      <c r="AC125" s="55" t="e">
        <f>VLOOKUP(A125,Enforcements!$C$7:$E$14,3,0)</f>
        <v>#N/A</v>
      </c>
      <c r="AD125" s="56" t="str">
        <f t="shared" si="70"/>
        <v>0806-14</v>
      </c>
      <c r="AE125" s="85" t="str">
        <f t="shared" si="71"/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AF125" s="82" t="str">
        <f t="shared" si="72"/>
        <v>"C:\Program Files (x86)\AstroGrep\AstroGrep.exe" /spath="%USERPROFILE%\AppData\Local\Temp\OnboardLogs" /stypes="app*4015*20170214*" /stext=" 14:.+((SYSTEM_STATE.+slice.+state.+changed )|(ment ac)|(multiple cpu faults)|(system.+state.+changed )|(\[timeout)|(PRM\|1\|D)|(kpr)|(kdp)|(\|lc)|(penalty)|(RTDC:00:00000204:00000036:00006526))" /e /r /s</v>
      </c>
      <c r="AG125" s="1" t="str">
        <f t="shared" si="73"/>
        <v>NW</v>
      </c>
      <c r="AH125" s="86" t="str">
        <f t="shared" si="53"/>
        <v>"%USERPROFILE%\Documents\GitHub\eaglep3\Utilities\RefineRTDCRunTimes.py" --tripid 806-14 --locoid 4015 --swversion DE.1.0.8.0 --startMP 300:58621 --initTime 2017-02-14T07:06:08 --startdatetime 2017-02-14T07:09:38 --delay 2 --endMP 204:762 --enddatetime 2017-02-14T07:24:38 --enforcementcount 0 &gt;&gt;C:\Users\stu\Documents\GitHub\eaglep3-reporting\EC\2017-02-14-refined-times.txt</v>
      </c>
      <c r="AI125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{"issue":{"subject":"","project_id":79,"tracker_id":40,"status_id":1,"priority_id":2,"assigned_to_id":23,"start_date":"2017-02-14","description":"","custom_fields":[{"id":1,"name":"Subdivision","value":"NW"},{"id":4,"name":"Milepost","value":"0.0762"},{"id":17,"name":"Train ID","value":"806-14"},{"id":16,"name":"Locomotive ID","value":"4015"},{"id":130,"name":"Impact","value":""},{"id":150,"name":"Time of Event (Mountain Time)","value":"07:24:38"},{"id":151,"name":"Denver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55"/>
        <v>start /low /b %USERPROFILE%\Documents\GitHub\eaglep3\Utilities\DownloadLogsFromS3.py --loco 4015 --day 2017-02-14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"%USERPROFILE%\AppData\Local\Temp\OnboardLogs"\RTDC4015\*4015*20170214* | grep -SE "(Enforcement Action)|(\[TIMEOUT)|(CHR.+\|PRM\|1\|D.+(SWITCH|SIGNAL).+UNKNOWN)" - &gt;&gt; 2017-02-14-UncaughtWiMAX.txt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522</v>
      </c>
      <c r="B126" s="7">
        <v>4003</v>
      </c>
      <c r="C126" s="21" t="s">
        <v>192</v>
      </c>
      <c r="D126" s="21" t="s">
        <v>416</v>
      </c>
      <c r="E126" s="13">
        <v>42780.302233796298</v>
      </c>
      <c r="F126" s="13">
        <v>42780.30641203704</v>
      </c>
      <c r="G126" s="7">
        <v>1</v>
      </c>
      <c r="H126" s="21" t="s">
        <v>780</v>
      </c>
      <c r="I126" s="13">
        <v>42780.31590277778</v>
      </c>
      <c r="J126" s="7">
        <v>0</v>
      </c>
      <c r="K126" s="98" t="str">
        <f t="shared" si="63"/>
        <v>4003/4004</v>
      </c>
      <c r="L126" s="21" t="str">
        <f>VLOOKUP(A126,'Trips&amp;Operators'!$C$1:$G$99999,5,FALSE)</f>
        <v>BROWN JACOB</v>
      </c>
      <c r="M126" s="6">
        <f t="shared" si="64"/>
        <v>9.4907407401478849E-3</v>
      </c>
      <c r="N126" s="7">
        <f t="shared" si="78"/>
        <v>13.666666665812954</v>
      </c>
      <c r="O126" s="7"/>
      <c r="P126" s="7"/>
      <c r="Q126" s="22"/>
      <c r="R126" s="22"/>
      <c r="S126" s="31">
        <f t="shared" si="79"/>
        <v>1</v>
      </c>
      <c r="T126" s="46" t="str">
        <f t="shared" si="65"/>
        <v>NorthBound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</v>
      </c>
      <c r="V126" s="187" t="str">
        <f t="shared" si="66"/>
        <v>https://d0f6bd738d7f1b3e5a7ca70fe4ff75f0.us-east-1.aws.found.io/app/kibana#/discover/Steve-Slow-Train-Analysis-(2080s-and-2083s)?_g=(refreshInterval:(display:Off,pause:!f,section:0,value:0),time:(from:'2017-02-14T06:15:13-0700',mode:absolute,to:'2017-02-14T08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6" s="188" t="str">
        <f t="shared" si="67"/>
        <v>N</v>
      </c>
      <c r="X126" s="188">
        <f t="shared" si="77"/>
        <v>1</v>
      </c>
      <c r="Y126" s="62">
        <f t="shared" si="68"/>
        <v>0.1014</v>
      </c>
      <c r="Z126" s="62">
        <f t="shared" si="75"/>
        <v>5.8982000000000001</v>
      </c>
      <c r="AA126" s="62">
        <f t="shared" si="69"/>
        <v>5.7968000000000002</v>
      </c>
      <c r="AB126" s="59" t="e">
        <f>VLOOKUP(A126,Enforcements!$C$7:$K$14,8,0)</f>
        <v>#N/A</v>
      </c>
      <c r="AC126" s="55" t="e">
        <f>VLOOKUP(A126,Enforcements!$C$7:$E$14,3,0)</f>
        <v>#N/A</v>
      </c>
      <c r="AD126" s="56" t="str">
        <f t="shared" si="70"/>
        <v>0807-14</v>
      </c>
      <c r="AE126" s="85" t="str">
        <f t="shared" si="71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26" s="82" t="str">
        <f t="shared" si="72"/>
        <v>"C:\Program Files (x86)\AstroGrep\AstroGrep.exe" /spath="%USERPROFILE%\AppData\Local\Temp\OnboardLogs" /stypes="app*4003*20170214*" /stext=" 14:.+((SYSTEM_STATE.+slice.+state.+changed )|(ment ac)|(multiple cpu faults)|(system.+state.+changed )|(\[timeout)|(PRM\|1\|D)|(kpr)|(kdp)|(\|lc)|(penalty)|(RTDC:00:00000204:00000036:00006526))" /e /r /s</v>
      </c>
      <c r="AG126" s="1" t="str">
        <f t="shared" si="73"/>
        <v>NW</v>
      </c>
      <c r="AH126" s="86" t="str">
        <f t="shared" si="53"/>
        <v>"%USERPROFILE%\Documents\GitHub\eaglep3\Utilities\RefineRTDCRunTimes.py" --tripid 807-14 --locoid 4003 --swversion DE.1.0.8.0 --startMP 204:1014 --initTime 2017-02-14T07:15:13 --startdatetime 2017-02-14T07:21:14 --delay 1 --endMP 300:58982 --enddatetime 2017-02-14T07:34:54 --enforcementcount 0 &gt;&gt;C:\Users\stu\Documents\GitHub\eaglep3-reporting\EC\2017-02-14-refined-times.txt</v>
      </c>
      <c r="AI126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{"issue":{"subject":"","project_id":79,"tracker_id":40,"status_id":1,"priority_id":2,"assigned_to_id":23,"start_date":"2017-02-14","description":"","custom_fields":[{"id":1,"name":"Subdivision","value":"NW"},{"id":4,"name":"Milepost","value":"5.8982"},{"id":17,"name":"Train ID","value":"807-14"},{"id":16,"name":"Locomotive ID","value":"4003"},{"id":130,"name":"Impact","value":""},{"id":150,"name":"Time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55"/>
        <v>start /low /b %USERPROFILE%\Documents\GitHub\eaglep3\Utilities\DownloadLogsFromS3.py --loco 4003 --day 2017-02-14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"%USERPROFILE%\AppData\Local\Temp\OnboardLogs"\RTDC4003\*4003*20170214* | grep -SE "(Enforcement Action)|(\[TIMEOUT)|(CHR.+\|PRM\|1\|D.+(SWITCH|SIGNAL).+UNKNOWN)" - &gt;&gt; 2017-02-14-UncaughtWiMAX.txt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529</v>
      </c>
      <c r="B127" s="7">
        <v>4004</v>
      </c>
      <c r="C127" s="21" t="s">
        <v>192</v>
      </c>
      <c r="D127" s="21" t="s">
        <v>781</v>
      </c>
      <c r="E127" s="13">
        <v>42780.316874999997</v>
      </c>
      <c r="F127" s="13">
        <v>42780.318530092591</v>
      </c>
      <c r="G127" s="7">
        <v>1</v>
      </c>
      <c r="H127" s="21" t="s">
        <v>782</v>
      </c>
      <c r="I127" s="13">
        <v>42780.329942129632</v>
      </c>
      <c r="J127" s="7">
        <v>0</v>
      </c>
      <c r="K127" s="98" t="str">
        <f t="shared" si="63"/>
        <v>4003/4004</v>
      </c>
      <c r="L127" s="21" t="str">
        <f>VLOOKUP(A127,'Trips&amp;Operators'!$C$1:$G$99999,5,FALSE)</f>
        <v>BROWN JACOB</v>
      </c>
      <c r="M127" s="6">
        <f t="shared" si="64"/>
        <v>1.1412037041736767E-2</v>
      </c>
      <c r="N127" s="7">
        <f t="shared" si="78"/>
        <v>16.433333340100944</v>
      </c>
      <c r="O127" s="7"/>
      <c r="P127" s="7"/>
      <c r="Q127" s="22"/>
      <c r="R127" s="22"/>
      <c r="S127" s="31">
        <f t="shared" si="79"/>
        <v>1</v>
      </c>
      <c r="T127" s="46" t="str">
        <f t="shared" si="65"/>
        <v>Southbound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</v>
      </c>
      <c r="V127" s="187" t="str">
        <f t="shared" si="66"/>
        <v>https://d0f6bd738d7f1b3e5a7ca70fe4ff75f0.us-east-1.aws.found.io/app/kibana#/discover/Steve-Slow-Train-Analysis-(2080s-and-2083s)?_g=(refreshInterval:(display:Off,pause:!f,section:0,value:0),time:(from:'2017-02-14T06:36:18-0700',mode:absolute,to:'2017-02-14T08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7" s="188" t="str">
        <f t="shared" si="67"/>
        <v>N</v>
      </c>
      <c r="X127" s="188">
        <f t="shared" si="77"/>
        <v>1</v>
      </c>
      <c r="Y127" s="62">
        <f t="shared" si="68"/>
        <v>5.8662000000000001</v>
      </c>
      <c r="Z127" s="62">
        <f t="shared" si="75"/>
        <v>7.1300000000000002E-2</v>
      </c>
      <c r="AA127" s="62">
        <f t="shared" si="69"/>
        <v>5.7949000000000002</v>
      </c>
      <c r="AB127" s="59" t="e">
        <f>VLOOKUP(A127,Enforcements!$C$7:$K$14,8,0)</f>
        <v>#N/A</v>
      </c>
      <c r="AC127" s="55" t="e">
        <f>VLOOKUP(A127,Enforcements!$C$7:$E$14,3,0)</f>
        <v>#N/A</v>
      </c>
      <c r="AD127" s="56" t="str">
        <f t="shared" si="70"/>
        <v>0808-14</v>
      </c>
      <c r="AE127" s="85" t="str">
        <f t="shared" si="71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27" s="82" t="str">
        <f t="shared" si="72"/>
        <v>"C:\Program Files (x86)\AstroGrep\AstroGrep.exe" /spath="%USERPROFILE%\AppData\Local\Temp\OnboardLogs" /stypes="app*4004*20170214*" /stext=" 14:.+((SYSTEM_STATE.+slice.+state.+changed )|(ment ac)|(multiple cpu faults)|(system.+state.+changed )|(\[timeout)|(PRM\|1\|D)|(kpr)|(kdp)|(\|lc)|(penalty)|(RTDC:00:00000204:00000036:00006526))" /e /r /s</v>
      </c>
      <c r="AG127" s="1" t="str">
        <f t="shared" si="73"/>
        <v>NW</v>
      </c>
      <c r="AH127" s="86" t="str">
        <f t="shared" si="53"/>
        <v>"%USERPROFILE%\Documents\GitHub\eaglep3\Utilities\RefineRTDCRunTimes.py" --tripid 808-14 --locoid 4004 --swversion DE.1.0.8.0 --startMP 300:58662 --initTime 2017-02-14T07:36:18 --startdatetime 2017-02-14T07:38:41 --delay 1 --endMP 204:713 --enddatetime 2017-02-14T07:55:07 --enforcementcount 0 &gt;&gt;C:\Users\stu\Documents\GitHub\eaglep3-reporting\EC\2017-02-14-refined-times.txt</v>
      </c>
      <c r="AI127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{"issue":{"subject":"","project_id":79,"tracker_id":40,"status_id":1,"priority_id":2,"assigned_to_id":23,"start_date":"2017-02-14","description":"","custom_fields":[{"id":1,"name":"Subdivision","value":"NW"},{"id":4,"name":"Milepost","value":"0.0713"},{"id":17,"name":"Train ID","value":"808-14"},{"id":16,"name":"Locomotive ID","value":"4004"},{"id":130,"name":"Impact","value":""},{"id":150,"name":"Time of Event (Mountain Time)","value":"07:55:07"},{"id":151,"name":"Denver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55"/>
        <v>start /low /b %USERPROFILE%\Documents\GitHub\eaglep3\Utilities\DownloadLogsFromS3.py --loco 4004 --day 2017-02-14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523</v>
      </c>
      <c r="B128" s="7">
        <v>4016</v>
      </c>
      <c r="C128" s="21" t="s">
        <v>192</v>
      </c>
      <c r="D128" s="21" t="s">
        <v>783</v>
      </c>
      <c r="E128" s="13">
        <v>42780.310613425929</v>
      </c>
      <c r="F128" s="13">
        <v>42780.327256944445</v>
      </c>
      <c r="G128" s="7">
        <v>1</v>
      </c>
      <c r="H128" s="21" t="s">
        <v>466</v>
      </c>
      <c r="I128" s="13">
        <v>42780.335740740738</v>
      </c>
      <c r="J128" s="7">
        <v>0</v>
      </c>
      <c r="K128" s="98" t="str">
        <f t="shared" si="63"/>
        <v>4015/4016</v>
      </c>
      <c r="L128" s="21" t="str">
        <f>VLOOKUP(A128,'Trips&amp;Operators'!$C$1:$G$99999,5,FALSE)</f>
        <v>YORK EDGAR</v>
      </c>
      <c r="M128" s="6">
        <f t="shared" si="64"/>
        <v>8.4837962931487709E-3</v>
      </c>
      <c r="N128" s="7">
        <f t="shared" si="78"/>
        <v>12.21666666213423</v>
      </c>
      <c r="O128" s="7"/>
      <c r="P128" s="7"/>
      <c r="Q128" s="22"/>
      <c r="R128" s="22"/>
      <c r="S128" s="31">
        <f t="shared" si="79"/>
        <v>1</v>
      </c>
      <c r="T128" s="46" t="str">
        <f t="shared" si="65"/>
        <v>NorthBound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</v>
      </c>
      <c r="V128" s="187" t="str">
        <f t="shared" si="66"/>
        <v>https://d0f6bd738d7f1b3e5a7ca70fe4ff75f0.us-east-1.aws.found.io/app/kibana#/discover/Steve-Slow-Train-Analysis-(2080s-and-2083s)?_g=(refreshInterval:(display:Off,pause:!f,section:0,value:0),time:(from:'2017-02-14T06:27:17-0700',mode:absolute,to:'2017-02-14T09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188" t="str">
        <f t="shared" si="67"/>
        <v>N</v>
      </c>
      <c r="X128" s="188">
        <f t="shared" si="77"/>
        <v>1</v>
      </c>
      <c r="Y128" s="62">
        <f t="shared" si="68"/>
        <v>0.10489999999999999</v>
      </c>
      <c r="Z128" s="62">
        <f t="shared" si="75"/>
        <v>5.8929</v>
      </c>
      <c r="AA128" s="62">
        <f t="shared" si="69"/>
        <v>5.7880000000000003</v>
      </c>
      <c r="AB128" s="59" t="e">
        <f>VLOOKUP(A128,Enforcements!$C$7:$K$14,8,0)</f>
        <v>#N/A</v>
      </c>
      <c r="AC128" s="55" t="e">
        <f>VLOOKUP(A128,Enforcements!$C$7:$E$14,3,0)</f>
        <v>#N/A</v>
      </c>
      <c r="AD128" s="56" t="str">
        <f t="shared" si="70"/>
        <v>0809-14</v>
      </c>
      <c r="AE128" s="85" t="str">
        <f t="shared" si="71"/>
        <v>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 &amp; 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</v>
      </c>
      <c r="AF128" s="82" t="str">
        <f t="shared" si="72"/>
        <v>"C:\Program Files (x86)\AstroGrep\AstroGrep.exe" /spath="%USERPROFILE%\AppData\Local\Temp\OnboardLogs" /stypes="app*4016*20170214*" /stext=" 15:.+((SYSTEM_STATE.+slice.+state.+changed )|(ment ac)|(multiple cpu faults)|(system.+state.+changed )|(\[timeout)|(PRM\|1\|D)|(kpr)|(kdp)|(\|lc)|(penalty)|(RTDC:00:00000204:00000036:00006526))" /e /r /s</v>
      </c>
      <c r="AG128" s="1" t="str">
        <f t="shared" si="73"/>
        <v>NW</v>
      </c>
      <c r="AH128" s="86" t="str">
        <f t="shared" si="53"/>
        <v>"%USERPROFILE%\Documents\GitHub\eaglep3\Utilities\RefineRTDCRunTimes.py" --tripid 809-14 --locoid 4016 --swversion DE.1.0.8.0 --startMP 204:1049 --initTime 2017-02-14T07:27:17 --startdatetime 2017-02-14T07:51:15 --delay 1 --endMP 300:58929 --enddatetime 2017-02-14T08:03:28 --enforcementcount 0 &gt;&gt;C:\Users\stu\Documents\GitHub\eaglep3-reporting\EC\2017-02-14-refined-times.txt</v>
      </c>
      <c r="AI128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{"issue":{"subject":"","project_id":79,"tracker_id":40,"status_id":1,"priority_id":2,"assigned_to_id":23,"start_date":"2017-02-14","description":"","custom_fields":[{"id":1,"name":"Subdivision","value":"NW"},{"id":4,"name":"Milepost","value":"5.8929"},{"id":17,"name":"Train ID","value":"809-14"},{"id":16,"name":"Locomotive ID","value":"4016"},{"id":130,"name":"Impact","value":""},{"id":150,"name":"Time of Event (Mountain Time)","value":"08:03:28"},{"id":151,"name":"Denver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55"/>
        <v>start /low /b %USERPROFILE%\Documents\GitHub\eaglep3\Utilities\DownloadLogsFromS3.py --loco 4016 --day 2017-02-14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"%USERPROFILE%\AppData\Local\Temp\OnboardLogs"\RTDC4016\*4016*20170214* | grep -SE "(Enforcement Action)|(\[TIMEOUT)|(CHR.+\|PRM\|1\|D.+(SWITCH|SIGNAL).+UNKNOWN)" - &gt;&gt; 2017-02-14-UncaughtWiMAX.txt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534</v>
      </c>
      <c r="B129" s="7">
        <v>4015</v>
      </c>
      <c r="C129" s="21" t="s">
        <v>192</v>
      </c>
      <c r="D129" s="21" t="s">
        <v>414</v>
      </c>
      <c r="E129" s="13">
        <v>42780.336643518516</v>
      </c>
      <c r="F129" s="13">
        <v>42780.340821759259</v>
      </c>
      <c r="G129" s="7">
        <v>1</v>
      </c>
      <c r="H129" s="21" t="s">
        <v>784</v>
      </c>
      <c r="I129" s="13">
        <v>42780.350439814814</v>
      </c>
      <c r="J129" s="7">
        <v>0</v>
      </c>
      <c r="K129" s="98" t="str">
        <f t="shared" si="63"/>
        <v>4015/4016</v>
      </c>
      <c r="L129" s="21" t="str">
        <f>VLOOKUP(A129,'Trips&amp;Operators'!$C$1:$G$99999,5,FALSE)</f>
        <v>YORK EDGAR</v>
      </c>
      <c r="M129" s="6">
        <f t="shared" si="64"/>
        <v>9.6180555556202307E-3</v>
      </c>
      <c r="N129" s="7">
        <f t="shared" si="78"/>
        <v>13.850000000093132</v>
      </c>
      <c r="O129" s="7"/>
      <c r="P129" s="7"/>
      <c r="Q129" s="22"/>
      <c r="R129" s="22"/>
      <c r="S129" s="31">
        <f t="shared" si="79"/>
        <v>1</v>
      </c>
      <c r="T129" s="46" t="str">
        <f t="shared" si="65"/>
        <v>Southbound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</v>
      </c>
      <c r="V129" s="187" t="str">
        <f t="shared" si="66"/>
        <v>https://d0f6bd738d7f1b3e5a7ca70fe4ff75f0.us-east-1.aws.found.io/app/kibana#/discover/Steve-Slow-Train-Analysis-(2080s-and-2083s)?_g=(refreshInterval:(display:Off,pause:!f,section:0,value:0),time:(from:'2017-02-14T07:04:46-0700',mode:absolute,to:'2017-02-14T09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188" t="str">
        <f t="shared" si="67"/>
        <v>N</v>
      </c>
      <c r="X129" s="188">
        <f t="shared" si="77"/>
        <v>1</v>
      </c>
      <c r="Y129" s="62">
        <f t="shared" si="68"/>
        <v>5.8619000000000003</v>
      </c>
      <c r="Z129" s="62">
        <f t="shared" si="75"/>
        <v>9.1800000000000007E-2</v>
      </c>
      <c r="AA129" s="62">
        <f t="shared" si="69"/>
        <v>5.7701000000000002</v>
      </c>
      <c r="AB129" s="59" t="e">
        <f>VLOOKUP(A129,Enforcements!$C$7:$K$14,8,0)</f>
        <v>#N/A</v>
      </c>
      <c r="AC129" s="55" t="e">
        <f>VLOOKUP(A129,Enforcements!$C$7:$E$14,3,0)</f>
        <v>#N/A</v>
      </c>
      <c r="AD129" s="56" t="str">
        <f t="shared" si="70"/>
        <v>0810-14</v>
      </c>
      <c r="AE129" s="85" t="str">
        <f t="shared" si="71"/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AF129" s="82" t="str">
        <f t="shared" si="72"/>
        <v>"C:\Program Files (x86)\AstroGrep\AstroGrep.exe" /spath="%USERPROFILE%\AppData\Local\Temp\OnboardLogs" /stypes="app*4015*20170214*" /stext=" 15:.+((SYSTEM_STATE.+slice.+state.+changed )|(ment ac)|(multiple cpu faults)|(system.+state.+changed )|(\[timeout)|(PRM\|1\|D)|(kpr)|(kdp)|(\|lc)|(penalty)|(RTDC:00:00000204:00000036:00006526))" /e /r /s</v>
      </c>
      <c r="AG129" s="1" t="str">
        <f t="shared" si="73"/>
        <v>NW</v>
      </c>
      <c r="AH129" s="86" t="str">
        <f t="shared" si="53"/>
        <v>"%USERPROFILE%\Documents\GitHub\eaglep3\Utilities\RefineRTDCRunTimes.py" --tripid 810-14 --locoid 4015 --swversion DE.1.0.8.0 --startMP 300:58619 --initTime 2017-02-14T08:04:46 --startdatetime 2017-02-14T08:10:47 --delay 1 --endMP 204:918 --enddatetime 2017-02-14T08:24:38 --enforcementcount 0 &gt;&gt;C:\Users\stu\Documents\GitHub\eaglep3-reporting\EC\2017-02-14-refined-times.txt</v>
      </c>
      <c r="AI129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{"issue":{"subject":"","project_id":79,"tracker_id":40,"status_id":1,"priority_id":2,"assigned_to_id":23,"start_date":"2017-02-14","description":"","custom_fields":[{"id":1,"name":"Subdivision","value":"NW"},{"id":4,"name":"Milepost","value":"0.0918"},{"id":17,"name":"Train ID","value":"810-14"},{"id":16,"name":"Locomotive ID","value":"4015"},{"id":130,"name":"Impact","value":""},{"id":150,"name":"Time of Event (Mountain Time)","value":"08:24:38"},{"id":151,"name":"Denver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55"/>
        <v>start /low /b %USERPROFILE%\Documents\GitHub\eaglep3\Utilities\DownloadLogsFromS3.py --loco 4015 --day 2017-02-14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"%USERPROFILE%\AppData\Local\Temp\OnboardLogs"\RTDC4015\*4015*20170214* | grep -SE "(Enforcement Action)|(\[TIMEOUT)|(CHR.+\|PRM\|1\|D.+(SWITCH|SIGNAL).+UNKNOWN)" - &gt;&gt; 2017-02-14-UncaughtWiMAX.txt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535</v>
      </c>
      <c r="B130" s="7">
        <v>4003</v>
      </c>
      <c r="C130" s="21" t="s">
        <v>192</v>
      </c>
      <c r="D130" s="21" t="s">
        <v>785</v>
      </c>
      <c r="E130" s="13">
        <v>42780.345150462963</v>
      </c>
      <c r="F130" s="13">
        <v>42780.348078703704</v>
      </c>
      <c r="G130" s="7">
        <v>1</v>
      </c>
      <c r="H130" s="21" t="s">
        <v>786</v>
      </c>
      <c r="I130" s="13">
        <v>42780.357372685183</v>
      </c>
      <c r="J130" s="7">
        <v>0</v>
      </c>
      <c r="K130" s="98" t="str">
        <f t="shared" si="63"/>
        <v>4003/4004</v>
      </c>
      <c r="L130" s="21" t="str">
        <f>VLOOKUP(A130,'Trips&amp;Operators'!$C$1:$G$99999,5,FALSE)</f>
        <v>BROWN JACOB</v>
      </c>
      <c r="M130" s="6">
        <f t="shared" si="64"/>
        <v>9.29398147854954E-3</v>
      </c>
      <c r="N130" s="7">
        <f t="shared" si="78"/>
        <v>13.383333329111338</v>
      </c>
      <c r="O130" s="7"/>
      <c r="P130" s="7"/>
      <c r="Q130" s="22"/>
      <c r="R130" s="22"/>
      <c r="S130" s="31">
        <f t="shared" si="79"/>
        <v>1</v>
      </c>
      <c r="T130" s="46" t="str">
        <f t="shared" si="65"/>
        <v>NorthBound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</v>
      </c>
      <c r="V130" s="187" t="str">
        <f t="shared" si="66"/>
        <v>https://d0f6bd738d7f1b3e5a7ca70fe4ff75f0.us-east-1.aws.found.io/app/kibana#/discover/Steve-Slow-Train-Analysis-(2080s-and-2083s)?_g=(refreshInterval:(display:Off,pause:!f,section:0,value:0),time:(from:'2017-02-14T07:17:01-0700',mode:absolute,to:'2017-02-14T09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0" s="188" t="str">
        <f t="shared" si="67"/>
        <v>N</v>
      </c>
      <c r="X130" s="188">
        <f t="shared" si="77"/>
        <v>1</v>
      </c>
      <c r="Y130" s="62">
        <f t="shared" si="68"/>
        <v>0.1007</v>
      </c>
      <c r="Z130" s="62">
        <f t="shared" si="75"/>
        <v>5.8973000000000004</v>
      </c>
      <c r="AA130" s="62">
        <f t="shared" si="69"/>
        <v>5.7966000000000006</v>
      </c>
      <c r="AB130" s="59" t="e">
        <f>VLOOKUP(A130,Enforcements!$C$7:$K$14,8,0)</f>
        <v>#N/A</v>
      </c>
      <c r="AC130" s="55" t="e">
        <f>VLOOKUP(A130,Enforcements!$C$7:$E$14,3,0)</f>
        <v>#N/A</v>
      </c>
      <c r="AD130" s="56" t="str">
        <f t="shared" si="70"/>
        <v>0811-14</v>
      </c>
      <c r="AE130" s="85" t="str">
        <f t="shared" si="71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30" s="82" t="str">
        <f t="shared" si="72"/>
        <v>"C:\Program Files (x86)\AstroGrep\AstroGrep.exe" /spath="%USERPROFILE%\AppData\Local\Temp\OnboardLogs" /stypes="app*4003*20170214*" /stext=" 15:.+((SYSTEM_STATE.+slice.+state.+changed )|(ment ac)|(multiple cpu faults)|(system.+state.+changed )|(\[timeout)|(PRM\|1\|D)|(kpr)|(kdp)|(\|lc)|(penalty)|(RTDC:00:00000204:00000036:00006526))" /e /r /s</v>
      </c>
      <c r="AG130" s="1" t="str">
        <f t="shared" si="73"/>
        <v>NW</v>
      </c>
      <c r="AH130" s="86" t="str">
        <f t="shared" si="53"/>
        <v>"%USERPROFILE%\Documents\GitHub\eaglep3\Utilities\RefineRTDCRunTimes.py" --tripid 811-14 --locoid 4003 --swversion DE.1.0.8.0 --startMP 204:1007 --initTime 2017-02-14T08:17:01 --startdatetime 2017-02-14T08:21:14 --delay 1 --endMP 300:58973 --enddatetime 2017-02-14T08:34:37 --enforcementcount 0 &gt;&gt;C:\Users\stu\Documents\GitHub\eaglep3-reporting\EC\2017-02-14-refined-times.txt</v>
      </c>
      <c r="AI130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{"issue":{"subject":"","project_id":79,"tracker_id":40,"status_id":1,"priority_id":2,"assigned_to_id":23,"start_date":"2017-02-14","description":"","custom_fields":[{"id":1,"name":"Subdivision","value":"NW"},{"id":4,"name":"Milepost","value":"5.8973"},{"id":17,"name":"Train ID","value":"811-14"},{"id":16,"name":"Locomotive ID","value":"4003"},{"id":130,"name":"Impact","value":""},{"id":150,"name":"Time of Event (Mountain Time)","value":"08:34:37"},{"id":151,"name":"Denver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55"/>
        <v>start /low /b %USERPROFILE%\Documents\GitHub\eaglep3\Utilities\DownloadLogsFromS3.py --loco 4003 --day 2017-02-14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"%USERPROFILE%\AppData\Local\Temp\OnboardLogs"\RTDC4003\*4003*20170214* | grep -SE "(Enforcement Action)|(\[TIMEOUT)|(CHR.+\|PRM\|1\|D.+(SWITCH|SIGNAL).+UNKNOWN)" - &gt;&gt; 2017-02-14-UncaughtWiMAX.txt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537</v>
      </c>
      <c r="B131" s="7">
        <v>4004</v>
      </c>
      <c r="C131" s="21" t="s">
        <v>192</v>
      </c>
      <c r="D131" s="21" t="s">
        <v>787</v>
      </c>
      <c r="E131" s="13">
        <v>42780.358402777776</v>
      </c>
      <c r="F131" s="13">
        <v>42780.359930555554</v>
      </c>
      <c r="G131" s="7">
        <v>1</v>
      </c>
      <c r="H131" s="21" t="s">
        <v>788</v>
      </c>
      <c r="I131" s="13">
        <v>42780.371747685182</v>
      </c>
      <c r="J131" s="7">
        <v>0</v>
      </c>
      <c r="K131" s="98" t="str">
        <f t="shared" si="63"/>
        <v>4003/4004</v>
      </c>
      <c r="L131" s="21" t="str">
        <f>VLOOKUP(A131,'Trips&amp;Operators'!$C$1:$G$99999,5,FALSE)</f>
        <v>BROWN JACOB</v>
      </c>
      <c r="M131" s="6">
        <f t="shared" si="64"/>
        <v>1.1817129627161194E-2</v>
      </c>
      <c r="N131" s="7">
        <f t="shared" si="78"/>
        <v>17.016666663112119</v>
      </c>
      <c r="O131" s="7"/>
      <c r="P131" s="7"/>
      <c r="Q131" s="22"/>
      <c r="R131" s="22"/>
      <c r="S131" s="31">
        <f t="shared" si="79"/>
        <v>1</v>
      </c>
      <c r="T131" s="46" t="str">
        <f t="shared" si="65"/>
        <v>Southbound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</v>
      </c>
      <c r="V131" s="187" t="str">
        <f t="shared" si="66"/>
        <v>https://d0f6bd738d7f1b3e5a7ca70fe4ff75f0.us-east-1.aws.found.io/app/kibana#/discover/Steve-Slow-Train-Analysis-(2080s-and-2083s)?_g=(refreshInterval:(display:Off,pause:!f,section:0,value:0),time:(from:'2017-02-14T07:36:06-0700',mode:absolute,to:'2017-02-14T09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188" t="str">
        <f t="shared" si="67"/>
        <v>N</v>
      </c>
      <c r="X131" s="188">
        <f t="shared" si="77"/>
        <v>1</v>
      </c>
      <c r="Y131" s="62">
        <f t="shared" si="68"/>
        <v>5.8658000000000001</v>
      </c>
      <c r="Z131" s="62">
        <f t="shared" si="75"/>
        <v>7.0800000000000002E-2</v>
      </c>
      <c r="AA131" s="62">
        <f t="shared" si="69"/>
        <v>5.7949999999999999</v>
      </c>
      <c r="AB131" s="59" t="e">
        <f>VLOOKUP(A131,Enforcements!$C$7:$K$14,8,0)</f>
        <v>#N/A</v>
      </c>
      <c r="AC131" s="55" t="e">
        <f>VLOOKUP(A131,Enforcements!$C$7:$E$14,3,0)</f>
        <v>#N/A</v>
      </c>
      <c r="AD131" s="56" t="str">
        <f t="shared" si="70"/>
        <v>0812-14</v>
      </c>
      <c r="AE131" s="85" t="str">
        <f t="shared" si="71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31" s="82" t="str">
        <f t="shared" si="72"/>
        <v>"C:\Program Files (x86)\AstroGrep\AstroGrep.exe" /spath="%USERPROFILE%\AppData\Local\Temp\OnboardLogs" /stypes="app*4004*20170214*" /stext=" 15:.+((SYSTEM_STATE.+slice.+state.+changed )|(ment ac)|(multiple cpu faults)|(system.+state.+changed )|(\[timeout)|(PRM\|1\|D)|(kpr)|(kdp)|(\|lc)|(penalty)|(RTDC:00:00000204:00000036:00006526))" /e /r /s</v>
      </c>
      <c r="AG131" s="1" t="str">
        <f t="shared" si="73"/>
        <v>NW</v>
      </c>
      <c r="AH131" s="86" t="str">
        <f t="shared" si="53"/>
        <v>"%USERPROFILE%\Documents\GitHub\eaglep3\Utilities\RefineRTDCRunTimes.py" --tripid 812-14 --locoid 4004 --swversion DE.1.0.8.0 --startMP 300:58658 --initTime 2017-02-14T08:36:06 --startdatetime 2017-02-14T08:38:18 --delay 1 --endMP 204:708 --enddatetime 2017-02-14T08:55:19 --enforcementcount 0 &gt;&gt;C:\Users\stu\Documents\GitHub\eaglep3-reporting\EC\2017-02-14-refined-times.txt</v>
      </c>
      <c r="AI131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{"issue":{"subject":"","project_id":79,"tracker_id":40,"status_id":1,"priority_id":2,"assigned_to_id":23,"start_date":"2017-02-14","description":"","custom_fields":[{"id":1,"name":"Subdivision","value":"NW"},{"id":4,"name":"Milepost","value":"0.0708"},{"id":17,"name":"Train ID","value":"812-14"},{"id":16,"name":"Locomotive ID","value":"4004"},{"id":130,"name":"Impact","value":""},{"id":150,"name":"Time of Event (Mountain Time)","value":"08:55:19"},{"id":151,"name":"Denver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55"/>
        <v>start /low /b %USERPROFILE%\Documents\GitHub\eaglep3\Utilities\DownloadLogsFromS3.py --loco 4004 --day 2017-02-14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479</v>
      </c>
      <c r="B132" s="7">
        <v>4003</v>
      </c>
      <c r="C132" s="21" t="s">
        <v>192</v>
      </c>
      <c r="D132" s="21" t="s">
        <v>789</v>
      </c>
      <c r="E132" s="13">
        <v>42780.377083333333</v>
      </c>
      <c r="F132" s="13">
        <v>42780.389791666668</v>
      </c>
      <c r="G132" s="7">
        <v>1</v>
      </c>
      <c r="H132" s="21" t="s">
        <v>790</v>
      </c>
      <c r="I132" s="13">
        <v>42780.399606481478</v>
      </c>
      <c r="J132" s="7">
        <v>2</v>
      </c>
      <c r="K132" s="98" t="str">
        <f t="shared" si="63"/>
        <v>4003/4004</v>
      </c>
      <c r="L132" s="21" t="str">
        <f>VLOOKUP(A132,'Trips&amp;Operators'!$C$1:$G$99999,5,FALSE)</f>
        <v>BROWN JACOB</v>
      </c>
      <c r="M132" s="6">
        <f t="shared" si="64"/>
        <v>9.814814809942618E-3</v>
      </c>
      <c r="N132" s="7">
        <f t="shared" si="78"/>
        <v>14.13333332631737</v>
      </c>
      <c r="O132" s="7"/>
      <c r="P132" s="7"/>
      <c r="Q132" s="22"/>
      <c r="R132" s="22"/>
      <c r="S132" s="31">
        <f t="shared" si="79"/>
        <v>1</v>
      </c>
      <c r="T132" s="46" t="str">
        <f t="shared" si="65"/>
        <v>NorthBound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</v>
      </c>
      <c r="V132" s="187" t="str">
        <f t="shared" si="66"/>
        <v>https://d0f6bd738d7f1b3e5a7ca70fe4ff75f0.us-east-1.aws.found.io/app/kibana#/discover/Steve-Slow-Train-Analysis-(2080s-and-2083s)?_g=(refreshInterval:(display:Off,pause:!f,section:0,value:0),time:(from:'2017-02-14T08:03:00-0700',mode:absolute,to:'2017-02-14T10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188" t="str">
        <f t="shared" si="67"/>
        <v>N</v>
      </c>
      <c r="X132" s="188">
        <f t="shared" si="77"/>
        <v>1</v>
      </c>
      <c r="Y132" s="62">
        <f t="shared" si="68"/>
        <v>0.1011</v>
      </c>
      <c r="Z132" s="62">
        <f t="shared" si="75"/>
        <v>5.8944000000000001</v>
      </c>
      <c r="AA132" s="62">
        <f t="shared" si="69"/>
        <v>5.7933000000000003</v>
      </c>
      <c r="AB132" s="59" t="e">
        <f>VLOOKUP(A132,Enforcements!$C$7:$K$14,8,0)</f>
        <v>#N/A</v>
      </c>
      <c r="AC132" s="55" t="e">
        <f>VLOOKUP(A132,Enforcements!$C$7:$E$14,3,0)</f>
        <v>#N/A</v>
      </c>
      <c r="AD132" s="56" t="str">
        <f t="shared" si="70"/>
        <v>0813-14</v>
      </c>
      <c r="AE132" s="85" t="str">
        <f t="shared" si="71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32" s="82" t="str">
        <f t="shared" si="72"/>
        <v>"C:\Program Files (x86)\AstroGrep\AstroGrep.exe" /spath="%USERPROFILE%\AppData\Local\Temp\OnboardLogs" /stypes="app*4003*20170214*" /stext=" 16:.+((SYSTEM_STATE.+slice.+state.+changed )|(ment ac)|(multiple cpu faults)|(system.+state.+changed )|(\[timeout)|(PRM\|1\|D)|(kpr)|(kdp)|(\|lc)|(penalty)|(RTDC:00:00000204:00000036:00006526))" /e /r /s</v>
      </c>
      <c r="AG132" s="1" t="str">
        <f t="shared" si="73"/>
        <v>NW</v>
      </c>
      <c r="AH132" s="86" t="str">
        <f t="shared" si="53"/>
        <v>"%USERPROFILE%\Documents\GitHub\eaglep3\Utilities\RefineRTDCRunTimes.py" --tripid 813-14 --locoid 4003 --swversion DE.1.0.8.0 --startMP 204:1011 --initTime 2017-02-14T09:03:00 --startdatetime 2017-02-14T09:21:18 --delay 1 --endMP 300:58944 --enddatetime 2017-02-14T09:35:26 --enforcementcount 2 &gt;&gt;C:\Users\stu\Documents\GitHub\eaglep3-reporting\EC\2017-02-14-refined-times.txt</v>
      </c>
      <c r="AI132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{"issue":{"subject":"","project_id":79,"tracker_id":40,"status_id":1,"priority_id":2,"assigned_to_id":23,"start_date":"2017-02-14","description":"","custom_fields":[{"id":1,"name":"Subdivision","value":"NW"},{"id":4,"name":"Milepost","value":"5.8944"},{"id":17,"name":"Train ID","value":"813-14"},{"id":16,"name":"Locomotive ID","value":"4003"},{"id":130,"name":"Impact","value":""},{"id":150,"name":"Time of Event (Mountain Time)","value":"09:35:26"},{"id":151,"name":"Denver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55"/>
        <v>start /low /b %USERPROFILE%\Documents\GitHub\eaglep3\Utilities\DownloadLogsFromS3.py --loco 4003 --day 2017-02-14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"%USERPROFILE%\AppData\Local\Temp\OnboardLogs"\RTDC4003\*4003*20170214* | grep -SE "(Enforcement Action)|(\[TIMEOUT)|(CHR.+\|PRM\|1\|D.+(SWITCH|SIGNAL).+UNKNOWN)" - &gt;&gt; 2017-02-14-UncaughtWiMAX.txt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545</v>
      </c>
      <c r="B133" s="7">
        <v>4004</v>
      </c>
      <c r="C133" s="21" t="s">
        <v>192</v>
      </c>
      <c r="D133" s="21" t="s">
        <v>791</v>
      </c>
      <c r="E133" s="13">
        <v>42780.401018518518</v>
      </c>
      <c r="F133" s="13">
        <v>42780.402384259258</v>
      </c>
      <c r="G133" s="7">
        <v>1</v>
      </c>
      <c r="H133" s="21" t="s">
        <v>708</v>
      </c>
      <c r="I133" s="13">
        <v>42780.413495370369</v>
      </c>
      <c r="J133" s="7">
        <v>0</v>
      </c>
      <c r="K133" s="98" t="str">
        <f t="shared" si="63"/>
        <v>4003/4004</v>
      </c>
      <c r="L133" s="21" t="str">
        <f>VLOOKUP(A133,'Trips&amp;Operators'!$C$1:$G$99999,5,FALSE)</f>
        <v>BROWN JACOB</v>
      </c>
      <c r="M133" s="6">
        <f t="shared" si="64"/>
        <v>1.1111111110949423E-2</v>
      </c>
      <c r="N133" s="7">
        <f t="shared" si="78"/>
        <v>15.999999999767169</v>
      </c>
      <c r="O133" s="7"/>
      <c r="P133" s="7"/>
      <c r="Q133" s="22"/>
      <c r="R133" s="22"/>
      <c r="S133" s="31">
        <f t="shared" si="79"/>
        <v>1</v>
      </c>
      <c r="T133" s="46" t="str">
        <f t="shared" si="65"/>
        <v>Southbound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</v>
      </c>
      <c r="V133" s="187" t="str">
        <f t="shared" si="66"/>
        <v>https://d0f6bd738d7f1b3e5a7ca70fe4ff75f0.us-east-1.aws.found.io/app/kibana#/discover/Steve-Slow-Train-Analysis-(2080s-and-2083s)?_g=(refreshInterval:(display:Off,pause:!f,section:0,value:0),time:(from:'2017-02-14T08:37:28-0700',mode:absolute,to:'2017-02-14T10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3" s="188" t="str">
        <f t="shared" si="67"/>
        <v>N</v>
      </c>
      <c r="X133" s="188">
        <f t="shared" si="77"/>
        <v>1</v>
      </c>
      <c r="Y133" s="62">
        <f t="shared" si="68"/>
        <v>5.8635999999999999</v>
      </c>
      <c r="Z133" s="62">
        <f t="shared" si="75"/>
        <v>7.6100000000000001E-2</v>
      </c>
      <c r="AA133" s="62">
        <f t="shared" si="69"/>
        <v>5.7874999999999996</v>
      </c>
      <c r="AB133" s="59" t="e">
        <f>VLOOKUP(A133,Enforcements!$C$7:$K$14,8,0)</f>
        <v>#N/A</v>
      </c>
      <c r="AC133" s="55" t="e">
        <f>VLOOKUP(A133,Enforcements!$C$7:$E$14,3,0)</f>
        <v>#N/A</v>
      </c>
      <c r="AD133" s="56" t="str">
        <f t="shared" si="70"/>
        <v>0814-14</v>
      </c>
      <c r="AE133" s="85" t="str">
        <f t="shared" si="71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33" s="82" t="str">
        <f t="shared" si="72"/>
        <v>"C:\Program Files (x86)\AstroGrep\AstroGrep.exe" /spath="%USERPROFILE%\AppData\Local\Temp\OnboardLogs" /stypes="app*4004*20170214*" /stext=" 16:.+((SYSTEM_STATE.+slice.+state.+changed )|(ment ac)|(multiple cpu faults)|(system.+state.+changed )|(\[timeout)|(PRM\|1\|D)|(kpr)|(kdp)|(\|lc)|(penalty)|(RTDC:00:00000204:00000036:00006526))" /e /r /s</v>
      </c>
      <c r="AG133" s="1" t="str">
        <f t="shared" si="73"/>
        <v>NW</v>
      </c>
      <c r="AH133" s="86" t="str">
        <f t="shared" si="53"/>
        <v>"%USERPROFILE%\Documents\GitHub\eaglep3\Utilities\RefineRTDCRunTimes.py" --tripid 814-14 --locoid 4004 --swversion DE.1.0.8.0 --startMP 300:58636 --initTime 2017-02-14T09:37:28 --startdatetime 2017-02-14T09:39:26 --delay 1 --endMP 204:761 --enddatetime 2017-02-14T09:55:26 --enforcementcount 0 &gt;&gt;C:\Users\stu\Documents\GitHub\eaglep3-reporting\EC\2017-02-14-refined-times.txt</v>
      </c>
      <c r="AI133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{"issue":{"subject":"","project_id":79,"tracker_id":40,"status_id":1,"priority_id":2,"assigned_to_id":23,"start_date":"2017-02-14","description":"","custom_fields":[{"id":1,"name":"Subdivision","value":"NW"},{"id":4,"name":"Milepost","value":"0.0761"},{"id":17,"name":"Train ID","value":"814-14"},{"id":16,"name":"Locomotive ID","value":"4004"},{"id":130,"name":"Impact","value":""},{"id":150,"name":"Time of Event (Mountain Time)","value":"09:55:26"},{"id":151,"name":"Denver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55"/>
        <v>start /low /b %USERPROFILE%\Documents\GitHub\eaglep3\Utilities\DownloadLogsFromS3.py --loco 4004 --day 2017-02-14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547</v>
      </c>
      <c r="B134" s="7">
        <v>4003</v>
      </c>
      <c r="C134" s="21" t="s">
        <v>192</v>
      </c>
      <c r="D134" s="21" t="s">
        <v>783</v>
      </c>
      <c r="E134" s="13">
        <v>42780.418796296297</v>
      </c>
      <c r="F134" s="13">
        <v>42780.431423611109</v>
      </c>
      <c r="G134" s="7">
        <v>1</v>
      </c>
      <c r="H134" s="21" t="s">
        <v>790</v>
      </c>
      <c r="I134" s="13">
        <v>42780.441006944442</v>
      </c>
      <c r="J134" s="7">
        <v>0</v>
      </c>
      <c r="K134" s="98" t="str">
        <f t="shared" si="63"/>
        <v>4003/4004</v>
      </c>
      <c r="L134" s="21" t="str">
        <f>VLOOKUP(A134,'Trips&amp;Operators'!$C$1:$G$99999,5,FALSE)</f>
        <v>BROWN JACOB</v>
      </c>
      <c r="M134" s="6">
        <f t="shared" si="64"/>
        <v>9.5833333325572312E-3</v>
      </c>
      <c r="N134" s="7">
        <f t="shared" si="78"/>
        <v>13.799999998882413</v>
      </c>
      <c r="O134" s="7"/>
      <c r="P134" s="7"/>
      <c r="Q134" s="22"/>
      <c r="R134" s="22"/>
      <c r="S134" s="31">
        <f t="shared" si="79"/>
        <v>1</v>
      </c>
      <c r="T134" s="46" t="str">
        <f t="shared" si="65"/>
        <v>NorthBound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</v>
      </c>
      <c r="V134" s="187" t="str">
        <f t="shared" si="66"/>
        <v>https://d0f6bd738d7f1b3e5a7ca70fe4ff75f0.us-east-1.aws.found.io/app/kibana#/discover/Steve-Slow-Train-Analysis-(2080s-and-2083s)?_g=(refreshInterval:(display:Off,pause:!f,section:0,value:0),time:(from:'2017-02-14T09:03:04-0700',mode:absolute,to:'2017-02-14T11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4" s="188" t="str">
        <f t="shared" si="67"/>
        <v>N</v>
      </c>
      <c r="X134" s="188">
        <f t="shared" si="77"/>
        <v>1</v>
      </c>
      <c r="Y134" s="62">
        <f t="shared" si="68"/>
        <v>0.10489999999999999</v>
      </c>
      <c r="Z134" s="62">
        <f t="shared" si="75"/>
        <v>5.8944000000000001</v>
      </c>
      <c r="AA134" s="62">
        <f t="shared" si="69"/>
        <v>5.7895000000000003</v>
      </c>
      <c r="AB134" s="59" t="e">
        <f>VLOOKUP(A134,Enforcements!$C$7:$K$14,8,0)</f>
        <v>#N/A</v>
      </c>
      <c r="AC134" s="55" t="e">
        <f>VLOOKUP(A134,Enforcements!$C$7:$E$14,3,0)</f>
        <v>#N/A</v>
      </c>
      <c r="AD134" s="56" t="str">
        <f t="shared" si="70"/>
        <v>0815-14</v>
      </c>
      <c r="AE134" s="85" t="str">
        <f t="shared" si="71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34" s="82" t="str">
        <f t="shared" si="72"/>
        <v>"C:\Program Files (x86)\AstroGrep\AstroGrep.exe" /spath="%USERPROFILE%\AppData\Local\Temp\OnboardLogs" /stypes="app*4003*20170214*" /stext=" 17:.+((SYSTEM_STATE.+slice.+state.+changed )|(ment ac)|(multiple cpu faults)|(system.+state.+changed )|(\[timeout)|(PRM\|1\|D)|(kpr)|(kdp)|(\|lc)|(penalty)|(RTDC:00:00000204:00000036:00006526))" /e /r /s</v>
      </c>
      <c r="AG134" s="1" t="str">
        <f t="shared" si="73"/>
        <v>NW</v>
      </c>
      <c r="AH134" s="86" t="str">
        <f t="shared" si="53"/>
        <v>"%USERPROFILE%\Documents\GitHub\eaglep3\Utilities\RefineRTDCRunTimes.py" --tripid 815-14 --locoid 4003 --swversion DE.1.0.8.0 --startMP 204:1049 --initTime 2017-02-14T10:03:04 --startdatetime 2017-02-14T10:21:15 --delay 1 --endMP 300:58944 --enddatetime 2017-02-14T10:35:03 --enforcementcount 0 &gt;&gt;C:\Users\stu\Documents\GitHub\eaglep3-reporting\EC\2017-02-14-refined-times.txt</v>
      </c>
      <c r="AI134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{"issue":{"subject":"","project_id":79,"tracker_id":40,"status_id":1,"priority_id":2,"assigned_to_id":23,"start_date":"2017-02-14","description":"","custom_fields":[{"id":1,"name":"Subdivision","value":"NW"},{"id":4,"name":"Milepost","value":"5.8944"},{"id":17,"name":"Train ID","value":"815-14"},{"id":16,"name":"Locomotive ID","value":"4003"},{"id":130,"name":"Impact","value":""},{"id":150,"name":"Time of Event (Mountain Time)","value":"10:35:03"},{"id":151,"name":"Denver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55"/>
        <v>start /low /b %USERPROFILE%\Documents\GitHub\eaglep3\Utilities\DownloadLogsFromS3.py --loco 4003 --day 2017-02-14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"%USERPROFILE%\AppData\Local\Temp\OnboardLogs"\RTDC4003\*4003*20170214* | grep -SE "(Enforcement Action)|(\[TIMEOUT)|(CHR.+\|PRM\|1\|D.+(SWITCH|SIGNAL).+UNKNOWN)" - &gt;&gt; 2017-02-14-UncaughtWiMAX.txt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481</v>
      </c>
      <c r="B135" s="7">
        <v>4004</v>
      </c>
      <c r="C135" s="21" t="s">
        <v>192</v>
      </c>
      <c r="D135" s="21" t="s">
        <v>792</v>
      </c>
      <c r="E135" s="13">
        <v>42780.441990740743</v>
      </c>
      <c r="F135" s="13">
        <v>42780.443067129629</v>
      </c>
      <c r="G135" s="7">
        <v>0</v>
      </c>
      <c r="H135" s="21" t="s">
        <v>793</v>
      </c>
      <c r="I135" s="13">
        <v>42780.455243055556</v>
      </c>
      <c r="J135" s="7">
        <v>1</v>
      </c>
      <c r="K135" s="98" t="str">
        <f t="shared" si="63"/>
        <v>4003/4004</v>
      </c>
      <c r="L135" s="21" t="str">
        <f>VLOOKUP(A135,'Trips&amp;Operators'!$C$1:$G$99999,5,FALSE)</f>
        <v>BROWN JACOB</v>
      </c>
      <c r="M135" s="6">
        <f t="shared" si="64"/>
        <v>1.2175925927294884E-2</v>
      </c>
      <c r="N135" s="7">
        <f t="shared" si="78"/>
        <v>17.533333335304633</v>
      </c>
      <c r="O135" s="7"/>
      <c r="P135" s="7"/>
      <c r="Q135" s="22"/>
      <c r="R135" s="22"/>
      <c r="S135" s="31">
        <f t="shared" si="79"/>
        <v>1</v>
      </c>
      <c r="T135" s="46" t="str">
        <f t="shared" si="65"/>
        <v>Southbound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</v>
      </c>
      <c r="V135" s="187" t="str">
        <f t="shared" si="66"/>
        <v>https://d0f6bd738d7f1b3e5a7ca70fe4ff75f0.us-east-1.aws.found.io/app/kibana#/discover/Steve-Slow-Train-Analysis-(2080s-and-2083s)?_g=(refreshInterval:(display:Off,pause:!f,section:0,value:0),time:(from:'2017-02-14T09:36:28-0700',mode:absolute,to:'2017-02-14T11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188" t="str">
        <f t="shared" si="67"/>
        <v>N</v>
      </c>
      <c r="X135" s="188">
        <f t="shared" si="77"/>
        <v>1</v>
      </c>
      <c r="Y135" s="62">
        <f t="shared" si="68"/>
        <v>5.8638000000000003</v>
      </c>
      <c r="Z135" s="62">
        <f t="shared" si="75"/>
        <v>7.7600000000000002E-2</v>
      </c>
      <c r="AA135" s="62">
        <f t="shared" si="69"/>
        <v>5.7862</v>
      </c>
      <c r="AB135" s="59" t="e">
        <f>VLOOKUP(A135,Enforcements!$C$7:$K$14,8,0)</f>
        <v>#N/A</v>
      </c>
      <c r="AC135" s="55" t="e">
        <f>VLOOKUP(A135,Enforcements!$C$7:$E$14,3,0)</f>
        <v>#N/A</v>
      </c>
      <c r="AD135" s="56" t="str">
        <f t="shared" si="70"/>
        <v>0816-14</v>
      </c>
      <c r="AE135" s="85" t="str">
        <f t="shared" si="71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35" s="82" t="str">
        <f t="shared" si="72"/>
        <v>"C:\Program Files (x86)\AstroGrep\AstroGrep.exe" /spath="%USERPROFILE%\AppData\Local\Temp\OnboardLogs" /stypes="app*4004*20170214*" /stext=" 17:.+((SYSTEM_STATE.+slice.+state.+changed )|(ment ac)|(multiple cpu faults)|(system.+state.+changed )|(\[timeout)|(PRM\|1\|D)|(kpr)|(kdp)|(\|lc)|(penalty)|(RTDC:00:00000204:00000036:00006526))" /e /r /s</v>
      </c>
      <c r="AG135" s="1" t="str">
        <f t="shared" si="73"/>
        <v>NW</v>
      </c>
      <c r="AH135" s="86" t="str">
        <f t="shared" si="53"/>
        <v>"%USERPROFILE%\Documents\GitHub\eaglep3\Utilities\RefineRTDCRunTimes.py" --tripid 816-14 --locoid 4004 --swversion DE.1.0.8.0 --startMP 300:58638 --initTime 2017-02-14T10:36:28 --startdatetime 2017-02-14T10:38:01 --delay 0 --endMP 204:776 --enddatetime 2017-02-14T10:55:33 --enforcementcount 1 &gt;&gt;C:\Users\stu\Documents\GitHub\eaglep3-reporting\EC\2017-02-14-refined-times.txt</v>
      </c>
      <c r="AI135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{"issue":{"subject":"","project_id":79,"tracker_id":40,"status_id":1,"priority_id":2,"assigned_to_id":23,"start_date":"2017-02-14","description":"","custom_fields":[{"id":1,"name":"Subdivision","value":"NW"},{"id":4,"name":"Milepost","value":"0.0776"},{"id":17,"name":"Train ID","value":"816-14"},{"id":16,"name":"Locomotive ID","value":"4004"},{"id":130,"name":"Impact","value":""},{"id":150,"name":"Time of Event (Mountain Time)","value":"10:55:33"},{"id":151,"name":"Denver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55"/>
        <v>start /low /b %USERPROFILE%\Documents\GitHub\eaglep3\Utilities\DownloadLogsFromS3.py --loco 4004 --day 2017-02-14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556</v>
      </c>
      <c r="B136" s="7">
        <v>4003</v>
      </c>
      <c r="C136" s="21" t="s">
        <v>192</v>
      </c>
      <c r="D136" s="21" t="s">
        <v>794</v>
      </c>
      <c r="E136" s="13">
        <v>42780.471782407411</v>
      </c>
      <c r="F136" s="13">
        <v>42780.473194444443</v>
      </c>
      <c r="G136" s="7">
        <v>1</v>
      </c>
      <c r="H136" s="21" t="s">
        <v>795</v>
      </c>
      <c r="I136" s="13">
        <v>42780.482800925929</v>
      </c>
      <c r="J136" s="7">
        <v>0</v>
      </c>
      <c r="K136" s="98" t="str">
        <f t="shared" si="63"/>
        <v>4003/4004</v>
      </c>
      <c r="L136" s="21" t="str">
        <f>VLOOKUP(A136,'Trips&amp;Operators'!$C$1:$G$99999,5,FALSE)</f>
        <v>BROWN JACOB</v>
      </c>
      <c r="M136" s="6">
        <f t="shared" si="64"/>
        <v>9.606481486116536E-3</v>
      </c>
      <c r="N136" s="7">
        <f t="shared" si="78"/>
        <v>13.833333340007812</v>
      </c>
      <c r="O136" s="7"/>
      <c r="P136" s="7"/>
      <c r="Q136" s="22"/>
      <c r="R136" s="22"/>
      <c r="S136" s="31">
        <f t="shared" si="79"/>
        <v>1</v>
      </c>
      <c r="T136" s="46" t="str">
        <f t="shared" si="65"/>
        <v>NorthBound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</v>
      </c>
      <c r="V136" s="187" t="str">
        <f t="shared" si="66"/>
        <v>https://d0f6bd738d7f1b3e5a7ca70fe4ff75f0.us-east-1.aws.found.io/app/kibana#/discover/Steve-Slow-Train-Analysis-(2080s-and-2083s)?_g=(refreshInterval:(display:Off,pause:!f,section:0,value:0),time:(from:'2017-02-14T10:19:22-0700',mode:absolute,to:'2017-02-14T12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6" s="188" t="str">
        <f t="shared" si="67"/>
        <v>N</v>
      </c>
      <c r="X136" s="188">
        <f t="shared" si="77"/>
        <v>1</v>
      </c>
      <c r="Y136" s="62">
        <f t="shared" si="68"/>
        <v>0.107</v>
      </c>
      <c r="Z136" s="62">
        <f t="shared" si="75"/>
        <v>5.8949999999999996</v>
      </c>
      <c r="AA136" s="62">
        <f t="shared" si="69"/>
        <v>5.7879999999999994</v>
      </c>
      <c r="AB136" s="59" t="e">
        <f>VLOOKUP(A136,Enforcements!$C$7:$K$14,8,0)</f>
        <v>#N/A</v>
      </c>
      <c r="AC136" s="55" t="e">
        <f>VLOOKUP(A136,Enforcements!$C$7:$E$14,3,0)</f>
        <v>#N/A</v>
      </c>
      <c r="AD136" s="56" t="str">
        <f t="shared" si="70"/>
        <v>0817-14</v>
      </c>
      <c r="AE136" s="85" t="str">
        <f t="shared" si="71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36" s="82" t="str">
        <f t="shared" si="72"/>
        <v>"C:\Program Files (x86)\AstroGrep\AstroGrep.exe" /spath="%USERPROFILE%\AppData\Local\Temp\OnboardLogs" /stypes="app*4003*20170214*" /stext=" 18:.+((SYSTEM_STATE.+slice.+state.+changed )|(ment ac)|(multiple cpu faults)|(system.+state.+changed )|(\[timeout)|(PRM\|1\|D)|(kpr)|(kdp)|(\|lc)|(penalty)|(RTDC:00:00000204:00000036:00006526))" /e /r /s</v>
      </c>
      <c r="AG136" s="1" t="str">
        <f t="shared" si="73"/>
        <v>NW</v>
      </c>
      <c r="AH136" s="86" t="str">
        <f t="shared" si="53"/>
        <v>"%USERPROFILE%\Documents\GitHub\eaglep3\Utilities\RefineRTDCRunTimes.py" --tripid 817-14 --locoid 4003 --swversion DE.1.0.8.0 --startMP 204:1070 --initTime 2017-02-14T11:19:22 --startdatetime 2017-02-14T11:21:24 --delay 1 --endMP 300:58950 --enddatetime 2017-02-14T11:35:14 --enforcementcount 0 &gt;&gt;C:\Users\stu\Documents\GitHub\eaglep3-reporting\EC\2017-02-14-refined-times.txt</v>
      </c>
      <c r="AI136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{"issue":{"subject":"","project_id":79,"tracker_id":40,"status_id":1,"priority_id":2,"assigned_to_id":23,"start_date":"2017-02-14","description":"","custom_fields":[{"id":1,"name":"Subdivision","value":"NW"},{"id":4,"name":"Milepost","value":"5.895"},{"id":17,"name":"Train ID","value":"817-14"},{"id":16,"name":"Locomotive ID","value":"4003"},{"id":130,"name":"Impact","value":""},{"id":150,"name":"Time of Event (Mountain Time)","value":"11:35:14"},{"id":151,"name":"Denver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55"/>
        <v>start /low /b %USERPROFILE%\Documents\GitHub\eaglep3\Utilities\DownloadLogsFromS3.py --loco 4003 --day 2017-02-14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"%USERPROFILE%\AppData\Local\Temp\OnboardLogs"\RTDC4003\*4003*20170214* | grep -SE "(Enforcement Action)|(\[TIMEOUT)|(CHR.+\|PRM\|1\|D.+(SWITCH|SIGNAL).+UNKNOWN)" - &gt;&gt; 2017-02-14-UncaughtWiMAX.txt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557</v>
      </c>
      <c r="B137" s="7">
        <v>4004</v>
      </c>
      <c r="C137" s="21" t="s">
        <v>192</v>
      </c>
      <c r="D137" s="21" t="s">
        <v>381</v>
      </c>
      <c r="E137" s="13">
        <v>42780.483657407407</v>
      </c>
      <c r="F137" s="13">
        <v>42780.484930555554</v>
      </c>
      <c r="G137" s="7">
        <v>1</v>
      </c>
      <c r="H137" s="21" t="s">
        <v>653</v>
      </c>
      <c r="I137" s="13">
        <v>42780.496747685182</v>
      </c>
      <c r="J137" s="7">
        <v>0</v>
      </c>
      <c r="K137" s="98" t="str">
        <f t="shared" si="63"/>
        <v>4003/4004</v>
      </c>
      <c r="L137" s="21" t="str">
        <f>VLOOKUP(A137,'Trips&amp;Operators'!$C$1:$G$99999,5,FALSE)</f>
        <v>BROWN JACOB</v>
      </c>
      <c r="M137" s="6">
        <f t="shared" si="64"/>
        <v>1.1817129627161194E-2</v>
      </c>
      <c r="N137" s="7">
        <f t="shared" si="78"/>
        <v>17.016666663112119</v>
      </c>
      <c r="O137" s="7"/>
      <c r="P137" s="7"/>
      <c r="Q137" s="22"/>
      <c r="R137" s="22"/>
      <c r="S137" s="31">
        <f t="shared" si="79"/>
        <v>1</v>
      </c>
      <c r="T137" s="46" t="str">
        <f t="shared" si="65"/>
        <v>Southbound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</v>
      </c>
      <c r="V137" s="187" t="str">
        <f t="shared" si="66"/>
        <v>https://d0f6bd738d7f1b3e5a7ca70fe4ff75f0.us-east-1.aws.found.io/app/kibana#/discover/Steve-Slow-Train-Analysis-(2080s-and-2083s)?_g=(refreshInterval:(display:Off,pause:!f,section:0,value:0),time:(from:'2017-02-14T10:36:28-0700',mode:absolute,to:'2017-02-14T12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7" s="188" t="str">
        <f t="shared" si="67"/>
        <v>N</v>
      </c>
      <c r="X137" s="188">
        <f t="shared" si="77"/>
        <v>1</v>
      </c>
      <c r="Y137" s="62">
        <f t="shared" si="68"/>
        <v>5.8628</v>
      </c>
      <c r="Z137" s="62">
        <f t="shared" si="75"/>
        <v>7.1900000000000006E-2</v>
      </c>
      <c r="AA137" s="62">
        <f t="shared" si="69"/>
        <v>5.7908999999999997</v>
      </c>
      <c r="AB137" s="59" t="e">
        <f>VLOOKUP(A137,Enforcements!$C$7:$K$14,8,0)</f>
        <v>#N/A</v>
      </c>
      <c r="AC137" s="55" t="e">
        <f>VLOOKUP(A137,Enforcements!$C$7:$E$14,3,0)</f>
        <v>#N/A</v>
      </c>
      <c r="AD137" s="56" t="str">
        <f t="shared" si="70"/>
        <v>0818-14</v>
      </c>
      <c r="AE137" s="85" t="str">
        <f t="shared" si="71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37" s="82" t="str">
        <f t="shared" si="72"/>
        <v>"C:\Program Files (x86)\AstroGrep\AstroGrep.exe" /spath="%USERPROFILE%\AppData\Local\Temp\OnboardLogs" /stypes="app*4004*20170214*" /stext=" 18:.+((SYSTEM_STATE.+slice.+state.+changed )|(ment ac)|(multiple cpu faults)|(system.+state.+changed )|(\[timeout)|(PRM\|1\|D)|(kpr)|(kdp)|(\|lc)|(penalty)|(RTDC:00:00000204:00000036:00006526))" /e /r /s</v>
      </c>
      <c r="AG137" s="1" t="str">
        <f t="shared" si="73"/>
        <v>NW</v>
      </c>
      <c r="AH137" s="86" t="str">
        <f t="shared" si="53"/>
        <v>"%USERPROFILE%\Documents\GitHub\eaglep3\Utilities\RefineRTDCRunTimes.py" --tripid 818-14 --locoid 4004 --swversion DE.1.0.8.0 --startMP 300:58628 --initTime 2017-02-14T11:36:28 --startdatetime 2017-02-14T11:38:18 --delay 1 --endMP 204:719 --enddatetime 2017-02-14T11:55:19 --enforcementcount 0 &gt;&gt;C:\Users\stu\Documents\GitHub\eaglep3-reporting\EC\2017-02-14-refined-times.txt</v>
      </c>
      <c r="AI137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{"issue":{"subject":"","project_id":79,"tracker_id":40,"status_id":1,"priority_id":2,"assigned_to_id":23,"start_date":"2017-02-14","description":"","custom_fields":[{"id":1,"name":"Subdivision","value":"NW"},{"id":4,"name":"Milepost","value":"0.0719"},{"id":17,"name":"Train ID","value":"818-14"},{"id":16,"name":"Locomotive ID","value":"4004"},{"id":130,"name":"Impact","value":""},{"id":150,"name":"Time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55"/>
        <v>start /low /b %USERPROFILE%\Documents\GitHub\eaglep3\Utilities\DownloadLogsFromS3.py --loco 4004 --day 2017-02-14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484</v>
      </c>
      <c r="B138" s="7">
        <v>4003</v>
      </c>
      <c r="C138" s="21" t="s">
        <v>192</v>
      </c>
      <c r="D138" s="21" t="s">
        <v>796</v>
      </c>
      <c r="E138" s="13">
        <v>42780.512465277781</v>
      </c>
      <c r="F138" s="13">
        <v>42780.514756944445</v>
      </c>
      <c r="G138" s="7">
        <v>1</v>
      </c>
      <c r="H138" s="21" t="s">
        <v>797</v>
      </c>
      <c r="I138" s="13">
        <v>42780.524560185186</v>
      </c>
      <c r="J138" s="7">
        <v>1</v>
      </c>
      <c r="K138" s="98" t="str">
        <f t="shared" si="63"/>
        <v>4003/4004</v>
      </c>
      <c r="L138" s="21" t="str">
        <f>VLOOKUP(A138,'Trips&amp;Operators'!$C$1:$G$99999,5,FALSE)</f>
        <v>BROWN JACOB</v>
      </c>
      <c r="M138" s="6">
        <f t="shared" si="64"/>
        <v>9.8032407404389232E-3</v>
      </c>
      <c r="N138" s="7">
        <f t="shared" si="78"/>
        <v>14.116666666232049</v>
      </c>
      <c r="O138" s="7"/>
      <c r="P138" s="7"/>
      <c r="Q138" s="22"/>
      <c r="R138" s="22"/>
      <c r="S138" s="31">
        <f t="shared" si="79"/>
        <v>1</v>
      </c>
      <c r="T138" s="46" t="str">
        <f t="shared" si="65"/>
        <v>NorthBound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</v>
      </c>
      <c r="V138" s="187" t="str">
        <f t="shared" si="66"/>
        <v>https://d0f6bd738d7f1b3e5a7ca70fe4ff75f0.us-east-1.aws.found.io/app/kibana#/discover/Steve-Slow-Train-Analysis-(2080s-and-2083s)?_g=(refreshInterval:(display:Off,pause:!f,section:0,value:0),time:(from:'2017-02-14T11:17:57-0700',mode:absolute,to:'2017-02-14T13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8" s="188" t="str">
        <f t="shared" si="67"/>
        <v>N</v>
      </c>
      <c r="X138" s="188">
        <f t="shared" si="77"/>
        <v>1</v>
      </c>
      <c r="Y138" s="62">
        <f t="shared" si="68"/>
        <v>9.9500000000000005E-2</v>
      </c>
      <c r="Z138" s="62">
        <f t="shared" si="75"/>
        <v>5.8964999999999996</v>
      </c>
      <c r="AA138" s="62">
        <f t="shared" si="69"/>
        <v>5.7969999999999997</v>
      </c>
      <c r="AB138" s="59" t="e">
        <f>VLOOKUP(A138,Enforcements!$C$7:$K$14,8,0)</f>
        <v>#N/A</v>
      </c>
      <c r="AC138" s="55" t="e">
        <f>VLOOKUP(A138,Enforcements!$C$7:$E$14,3,0)</f>
        <v>#N/A</v>
      </c>
      <c r="AD138" s="56" t="str">
        <f t="shared" si="70"/>
        <v>0819-14</v>
      </c>
      <c r="AE138" s="85" t="str">
        <f t="shared" si="71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38" s="82" t="str">
        <f t="shared" si="72"/>
        <v>"C:\Program Files (x86)\AstroGrep\AstroGrep.exe" /spath="%USERPROFILE%\AppData\Local\Temp\OnboardLogs" /stypes="app*4003*20170214*" /stext=" 19:.+((SYSTEM_STATE.+slice.+state.+changed )|(ment ac)|(multiple cpu faults)|(system.+state.+changed )|(\[timeout)|(PRM\|1\|D)|(kpr)|(kdp)|(\|lc)|(penalty)|(RTDC:00:00000204:00000036:00006526))" /e /r /s</v>
      </c>
      <c r="AG138" s="1" t="str">
        <f t="shared" si="73"/>
        <v>NW</v>
      </c>
      <c r="AH138" s="86" t="str">
        <f t="shared" si="53"/>
        <v>"%USERPROFILE%\Documents\GitHub\eaglep3\Utilities\RefineRTDCRunTimes.py" --tripid 819-14 --locoid 4003 --swversion DE.1.0.8.0 --startMP 204:995 --initTime 2017-02-14T12:17:57 --startdatetime 2017-02-14T12:21:15 --delay 1 --endMP 300:58965 --enddatetime 2017-02-14T12:35:22 --enforcementcount 1 &gt;&gt;C:\Users\stu\Documents\GitHub\eaglep3-reporting\EC\2017-02-14-refined-times.txt</v>
      </c>
      <c r="AI138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{"issue":{"subject":"","project_id":79,"tracker_id":40,"status_id":1,"priority_id":2,"assigned_to_id":23,"start_date":"2017-02-14","description":"","custom_fields":[{"id":1,"name":"Subdivision","value":"NW"},{"id":4,"name":"Milepost","value":"5.8965"},{"id":17,"name":"Train ID","value":"819-14"},{"id":16,"name":"Locomotive ID","value":"4003"},{"id":130,"name":"Impact","value":""},{"id":150,"name":"Time of Event (Mountain Time)","value":"12:35:22"},{"id":151,"name":"Denver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55"/>
        <v>start /low /b %USERPROFILE%\Documents\GitHub\eaglep3\Utilities\DownloadLogsFromS3.py --loco 4003 --day 2017-02-14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"%USERPROFILE%\AppData\Local\Temp\OnboardLogs"\RTDC4003\*4003*20170214* | grep -SE "(Enforcement Action)|(\[TIMEOUT)|(CHR.+\|PRM\|1\|D.+(SWITCH|SIGNAL).+UNKNOWN)" - &gt;&gt; 2017-02-14-UncaughtWiMAX.txt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562</v>
      </c>
      <c r="B139" s="7">
        <v>4004</v>
      </c>
      <c r="C139" s="21" t="s">
        <v>192</v>
      </c>
      <c r="D139" s="21" t="s">
        <v>798</v>
      </c>
      <c r="E139" s="13">
        <v>42780.526319444441</v>
      </c>
      <c r="F139" s="13">
        <v>42780.528217592589</v>
      </c>
      <c r="G139" s="7">
        <v>1</v>
      </c>
      <c r="H139" s="21" t="s">
        <v>691</v>
      </c>
      <c r="I139" s="13">
        <v>42780.538275462961</v>
      </c>
      <c r="J139" s="7">
        <v>0</v>
      </c>
      <c r="K139" s="98" t="str">
        <f t="shared" si="63"/>
        <v>4003/4004</v>
      </c>
      <c r="L139" s="21" t="str">
        <f>VLOOKUP(A139,'Trips&amp;Operators'!$C$1:$G$99999,5,FALSE)</f>
        <v>BROWN JACOB</v>
      </c>
      <c r="M139" s="6">
        <f t="shared" si="64"/>
        <v>1.0057870371383615E-2</v>
      </c>
      <c r="N139" s="7">
        <f t="shared" si="78"/>
        <v>14.483333334792405</v>
      </c>
      <c r="O139" s="7"/>
      <c r="P139" s="7"/>
      <c r="Q139" s="22"/>
      <c r="R139" s="22"/>
      <c r="S139" s="31">
        <f t="shared" si="79"/>
        <v>1</v>
      </c>
      <c r="T139" s="46" t="str">
        <f t="shared" si="65"/>
        <v>Southbound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</v>
      </c>
      <c r="V139" s="187" t="str">
        <f t="shared" si="66"/>
        <v>https://d0f6bd738d7f1b3e5a7ca70fe4ff75f0.us-east-1.aws.found.io/app/kibana#/discover/Steve-Slow-Train-Analysis-(2080s-and-2083s)?_g=(refreshInterval:(display:Off,pause:!f,section:0,value:0),time:(from:'2017-02-14T11:37:54-0700',mode:absolute,to:'2017-02-14T13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9" s="188" t="str">
        <f t="shared" si="67"/>
        <v>N</v>
      </c>
      <c r="X139" s="188">
        <f t="shared" si="77"/>
        <v>1</v>
      </c>
      <c r="Y139" s="62">
        <f t="shared" si="68"/>
        <v>5.8654999999999999</v>
      </c>
      <c r="Z139" s="62">
        <f t="shared" si="75"/>
        <v>7.0599999999999996E-2</v>
      </c>
      <c r="AA139" s="62">
        <f t="shared" si="69"/>
        <v>5.7949000000000002</v>
      </c>
      <c r="AB139" s="59" t="e">
        <f>VLOOKUP(A139,Enforcements!$C$7:$K$14,8,0)</f>
        <v>#N/A</v>
      </c>
      <c r="AC139" s="55" t="e">
        <f>VLOOKUP(A139,Enforcements!$C$7:$E$14,3,0)</f>
        <v>#N/A</v>
      </c>
      <c r="AD139" s="56" t="str">
        <f t="shared" si="70"/>
        <v>0820-14</v>
      </c>
      <c r="AE139" s="85" t="str">
        <f t="shared" si="71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39" s="82" t="str">
        <f t="shared" si="72"/>
        <v>"C:\Program Files (x86)\AstroGrep\AstroGrep.exe" /spath="%USERPROFILE%\AppData\Local\Temp\OnboardLogs" /stypes="app*4004*20170214*" /stext=" 19:.+((SYSTEM_STATE.+slice.+state.+changed )|(ment ac)|(multiple cpu faults)|(system.+state.+changed )|(\[timeout)|(PRM\|1\|D)|(kpr)|(kdp)|(\|lc)|(penalty)|(RTDC:00:00000204:00000036:00006526))" /e /r /s</v>
      </c>
      <c r="AG139" s="1" t="str">
        <f t="shared" si="73"/>
        <v>NW</v>
      </c>
      <c r="AH139" s="86" t="str">
        <f t="shared" si="53"/>
        <v>"%USERPROFILE%\Documents\GitHub\eaglep3\Utilities\RefineRTDCRunTimes.py" --tripid 820-14 --locoid 4004 --swversion DE.1.0.8.0 --startMP 300:58655 --initTime 2017-02-14T12:37:54 --startdatetime 2017-02-14T12:40:38 --delay 1 --endMP 204:706 --enddatetime 2017-02-14T12:55:07 --enforcementcount 0 &gt;&gt;C:\Users\stu\Documents\GitHub\eaglep3-reporting\EC\2017-02-14-refined-times.txt</v>
      </c>
      <c r="AI139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{"issue":{"subject":"","project_id":79,"tracker_id":40,"status_id":1,"priority_id":2,"assigned_to_id":23,"start_date":"2017-02-14","description":"","custom_fields":[{"id":1,"name":"Subdivision","value":"NW"},{"id":4,"name":"Milepost","value":"0.0706"},{"id":17,"name":"Train ID","value":"820-14"},{"id":16,"name":"Locomotive ID","value":"4004"},{"id":130,"name":"Impact","value":""},{"id":150,"name":"Time of Event (Mountain Time)","value":"12:55:07"},{"id":151,"name":"Denver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55"/>
        <v>start /low /b %USERPROFILE%\Documents\GitHub\eaglep3\Utilities\DownloadLogsFromS3.py --loco 4004 --day 2017-02-14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566</v>
      </c>
      <c r="B140" s="7">
        <v>4003</v>
      </c>
      <c r="C140" s="21" t="s">
        <v>192</v>
      </c>
      <c r="D140" s="21" t="s">
        <v>799</v>
      </c>
      <c r="E140" s="13">
        <v>42780.549131944441</v>
      </c>
      <c r="F140" s="13">
        <v>42780.556423611109</v>
      </c>
      <c r="G140" s="7">
        <v>1</v>
      </c>
      <c r="H140" s="21" t="s">
        <v>466</v>
      </c>
      <c r="I140" s="13">
        <v>42780.564988425926</v>
      </c>
      <c r="J140" s="7">
        <v>0</v>
      </c>
      <c r="K140" s="98" t="str">
        <f t="shared" si="63"/>
        <v>4003/4004</v>
      </c>
      <c r="L140" s="21" t="str">
        <f>VLOOKUP(A140,'Trips&amp;Operators'!$C$1:$G$99999,5,FALSE)</f>
        <v>LEVIN SCOTT</v>
      </c>
      <c r="M140" s="6">
        <f t="shared" si="64"/>
        <v>8.5648148160544224E-3</v>
      </c>
      <c r="N140" s="7">
        <f t="shared" si="78"/>
        <v>12.333333335118368</v>
      </c>
      <c r="O140" s="7"/>
      <c r="P140" s="7"/>
      <c r="Q140" s="22"/>
      <c r="R140" s="22"/>
      <c r="S140" s="31">
        <f t="shared" si="79"/>
        <v>1</v>
      </c>
      <c r="T140" s="46" t="str">
        <f t="shared" si="65"/>
        <v>NorthBound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</v>
      </c>
      <c r="V140" s="187" t="str">
        <f t="shared" si="66"/>
        <v>https://d0f6bd738d7f1b3e5a7ca70fe4ff75f0.us-east-1.aws.found.io/app/kibana#/discover/Steve-Slow-Train-Analysis-(2080s-and-2083s)?_g=(refreshInterval:(display:Off,pause:!f,section:0,value:0),time:(from:'2017-02-14T12:10:45-0700',mode:absolute,to:'2017-02-14T14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188" t="str">
        <f t="shared" si="67"/>
        <v>N</v>
      </c>
      <c r="X140" s="188">
        <f t="shared" si="77"/>
        <v>1</v>
      </c>
      <c r="Y140" s="62">
        <f t="shared" si="68"/>
        <v>0.1002</v>
      </c>
      <c r="Z140" s="62">
        <f t="shared" si="75"/>
        <v>5.8929</v>
      </c>
      <c r="AA140" s="62">
        <f t="shared" si="69"/>
        <v>5.7927</v>
      </c>
      <c r="AB140" s="59" t="e">
        <f>VLOOKUP(A140,Enforcements!$C$7:$K$14,8,0)</f>
        <v>#N/A</v>
      </c>
      <c r="AC140" s="55" t="e">
        <f>VLOOKUP(A140,Enforcements!$C$7:$E$14,3,0)</f>
        <v>#N/A</v>
      </c>
      <c r="AD140" s="56" t="str">
        <f t="shared" si="70"/>
        <v>0821-14</v>
      </c>
      <c r="AE140" s="85" t="str">
        <f t="shared" si="71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40" s="82" t="str">
        <f t="shared" si="72"/>
        <v>"C:\Program Files (x86)\AstroGrep\AstroGrep.exe" /spath="%USERPROFILE%\AppData\Local\Temp\OnboardLogs" /stypes="app*4003*20170214*" /stext=" 20:.+((SYSTEM_STATE.+slice.+state.+changed )|(ment ac)|(multiple cpu faults)|(system.+state.+changed )|(\[timeout)|(PRM\|1\|D)|(kpr)|(kdp)|(\|lc)|(penalty)|(RTDC:00:00000204:00000036:00006526))" /e /r /s</v>
      </c>
      <c r="AG140" s="1" t="str">
        <f t="shared" si="73"/>
        <v>NW</v>
      </c>
      <c r="AH140" s="86" t="str">
        <f t="shared" si="53"/>
        <v>"%USERPROFILE%\Documents\GitHub\eaglep3\Utilities\RefineRTDCRunTimes.py" --tripid 821-14 --locoid 4003 --swversion DE.1.0.8.0 --startMP 204:1002 --initTime 2017-02-14T13:10:45 --startdatetime 2017-02-14T13:21:15 --delay 1 --endMP 300:58929 --enddatetime 2017-02-14T13:33:35 --enforcementcount 0 &gt;&gt;C:\Users\stu\Documents\GitHub\eaglep3-reporting\EC\2017-02-14-refined-times.txt</v>
      </c>
      <c r="AI140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{"issue":{"subject":"","project_id":79,"tracker_id":40,"status_id":1,"priority_id":2,"assigned_to_id":23,"start_date":"2017-02-14","description":"","custom_fields":[{"id":1,"name":"Subdivision","value":"NW"},{"id":4,"name":"Milepost","value":"5.8929"},{"id":17,"name":"Train ID","value":"821-14"},{"id":16,"name":"Locomotive ID","value":"4003"},{"id":130,"name":"Impact","value":""},{"id":150,"name":"Time of Event (Mountain Time)","value":"13:33:35"},{"id":151,"name":"Denver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55"/>
        <v>start /low /b %USERPROFILE%\Documents\GitHub\eaglep3\Utilities\DownloadLogsFromS3.py --loco 4003 --day 2017-02-14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"%USERPROFILE%\AppData\Local\Temp\OnboardLogs"\RTDC4003\*4003*20170214* | grep -SE "(Enforcement Action)|(\[TIMEOUT)|(CHR.+\|PRM\|1\|D.+(SWITCH|SIGNAL).+UNKNOWN)" - &gt;&gt; 2017-02-14-UncaughtWiMAX.txt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571</v>
      </c>
      <c r="B141" s="7">
        <v>4004</v>
      </c>
      <c r="C141" s="21" t="s">
        <v>192</v>
      </c>
      <c r="D141" s="21" t="s">
        <v>417</v>
      </c>
      <c r="E141" s="13">
        <v>42780.566388888888</v>
      </c>
      <c r="F141" s="13">
        <v>42780.568020833336</v>
      </c>
      <c r="G141" s="7">
        <v>1</v>
      </c>
      <c r="H141" s="21" t="s">
        <v>800</v>
      </c>
      <c r="I141" s="13">
        <v>42780.579699074071</v>
      </c>
      <c r="J141" s="7">
        <v>0</v>
      </c>
      <c r="K141" s="98" t="str">
        <f t="shared" ref="K141:K172" si="80">IF(ISEVEN(B141),(B141-1)&amp;"/"&amp;B141,B141&amp;"/"&amp;(B141+1))</f>
        <v>4003/4004</v>
      </c>
      <c r="L141" s="21" t="str">
        <f>VLOOKUP(A141,'Trips&amp;Operators'!$C$1:$G$99999,5,FALSE)</f>
        <v>LEVIN SCOTT</v>
      </c>
      <c r="M141" s="6">
        <f t="shared" ref="M141:M172" si="81">I141-F141</f>
        <v>1.1678240734909195E-2</v>
      </c>
      <c r="N141" s="7">
        <f t="shared" si="78"/>
        <v>16.816666658269241</v>
      </c>
      <c r="O141" s="7"/>
      <c r="P141" s="7"/>
      <c r="Q141" s="22"/>
      <c r="R141" s="22"/>
      <c r="S141" s="31">
        <f t="shared" si="79"/>
        <v>1</v>
      </c>
      <c r="T141" s="46" t="str">
        <f t="shared" ref="T141:T172" si="82">IF(ISEVEN(LEFT(AD141,4)),"Southbound","NorthBound")</f>
        <v>Southbound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</v>
      </c>
      <c r="V141" s="187" t="str">
        <f t="shared" ref="V141:V172" si="8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-14T12:35:36-0700',mode:absolute,to:'2017-02-14T14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1" s="188" t="str">
        <f t="shared" ref="W141:W172" si="84">IF(AA141&lt;IF(AG141="EC",8.55,5.65),"Y","N")</f>
        <v>N</v>
      </c>
      <c r="X141" s="188">
        <f t="shared" si="77"/>
        <v>1</v>
      </c>
      <c r="Y141" s="62">
        <f t="shared" ref="Y141:Y172" si="85">RIGHT(D141,LEN(D141)-4)/10000</f>
        <v>5.8624000000000001</v>
      </c>
      <c r="Z141" s="62">
        <f t="shared" si="75"/>
        <v>6.2899999999999998E-2</v>
      </c>
      <c r="AA141" s="62">
        <f t="shared" ref="AA141:AA172" si="86">ABS(Z141-Y141)</f>
        <v>5.7995000000000001</v>
      </c>
      <c r="AB141" s="59" t="e">
        <f>VLOOKUP(A141,Enforcements!$C$7:$K$14,8,0)</f>
        <v>#N/A</v>
      </c>
      <c r="AC141" s="55" t="e">
        <f>VLOOKUP(A141,Enforcements!$C$7:$E$14,3,0)</f>
        <v>#N/A</v>
      </c>
      <c r="AD141" s="56" t="str">
        <f t="shared" ref="AD141:AD172" si="87">IF(LEN(A141)=6,"0"&amp;A141,A141)</f>
        <v>0822-14</v>
      </c>
      <c r="AE141" s="85" t="str">
        <f t="shared" ref="AE141:AE172" si="8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41" s="82" t="str">
        <f t="shared" ref="AF141:AF172" si="8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/stypes="app*4004*20170214*" /stext=" 20:.+((SYSTEM_STATE.+slice.+state.+changed )|(ment ac)|(multiple cpu faults)|(system.+state.+changed )|(\[timeout)|(PRM\|1\|D)|(kpr)|(kdp)|(\|lc)|(penalty)|(RTDC:00:00000204:00000036:00006526))" /e /r /s</v>
      </c>
      <c r="AG141" s="1" t="str">
        <f t="shared" ref="AG141:AG172" si="90">IFERROR(IF(VALUE(LEFT(AD141,2))&lt;=2,"EC",IF(OR(VALUE(LEFT(AD141,2))=8,VALUE(LEFT(AD141,2))=18),"NW","Other")),"Other")</f>
        <v>NW</v>
      </c>
      <c r="AH141" s="86" t="str">
        <f t="shared" si="53"/>
        <v>"%USERPROFILE%\Documents\GitHub\eaglep3\Utilities\RefineRTDCRunTimes.py" --tripid 822-14 --locoid 4004 --swversion DE.1.0.8.0 --startMP 300:58624 --initTime 2017-02-14T13:35:36 --startdatetime 2017-02-14T13:37:57 --delay 1 --endMP 204:629 --enddatetime 2017-02-14T13:54:46 --enforcementcount 0 &gt;&gt;C:\Users\stu\Documents\GitHub\eaglep3-reporting\EC\2017-02-14-refined-times.txt</v>
      </c>
      <c r="AI141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{"issue":{"subject":"","project_id":79,"tracker_id":40,"status_id":1,"priority_id":2,"assigned_to_id":23,"start_date":"2017-02-14","description":"","custom_fields":[{"id":1,"name":"Subdivision","value":"NW"},{"id":4,"name":"Milepost","value":"0.0629"},{"id":17,"name":"Train ID","value":"822-14"},{"id":16,"name":"Locomotive ID","value":"4004"},{"id":130,"name":"Impact","value":""},{"id":150,"name":"Time of Event (Mountain Time)","value":"13:54:46"},{"id":151,"name":"Denver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55"/>
        <v>start /low /b %USERPROFILE%\Documents\GitHub\eaglep3\Utilities\DownloadLogsFromS3.py --loco 4004 --day 2017-02-14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575</v>
      </c>
      <c r="B142" s="7">
        <v>4003</v>
      </c>
      <c r="C142" s="21" t="s">
        <v>192</v>
      </c>
      <c r="D142" s="21" t="s">
        <v>801</v>
      </c>
      <c r="E142" s="13">
        <v>42780.593530092592</v>
      </c>
      <c r="F142" s="13">
        <v>42780.598101851851</v>
      </c>
      <c r="G142" s="7">
        <v>1</v>
      </c>
      <c r="H142" s="21" t="s">
        <v>465</v>
      </c>
      <c r="I142" s="13">
        <v>42780.606932870367</v>
      </c>
      <c r="J142" s="7">
        <v>0</v>
      </c>
      <c r="K142" s="98" t="str">
        <f t="shared" si="80"/>
        <v>4003/4004</v>
      </c>
      <c r="L142" s="21" t="str">
        <f>VLOOKUP(A142,'Trips&amp;Operators'!$C$1:$G$99999,5,FALSE)</f>
        <v>LEVIN SCOTT</v>
      </c>
      <c r="M142" s="6">
        <f t="shared" si="81"/>
        <v>8.8310185165028088E-3</v>
      </c>
      <c r="N142" s="7">
        <f t="shared" si="78"/>
        <v>12.716666663764045</v>
      </c>
      <c r="O142" s="7"/>
      <c r="P142" s="7"/>
      <c r="Q142" s="22"/>
      <c r="R142" s="22"/>
      <c r="S142" s="31">
        <f t="shared" si="79"/>
        <v>1</v>
      </c>
      <c r="T142" s="46" t="str">
        <f t="shared" si="82"/>
        <v>NorthBound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</v>
      </c>
      <c r="V142" s="187" t="str">
        <f t="shared" si="83"/>
        <v>https://d0f6bd738d7f1b3e5a7ca70fe4ff75f0.us-east-1.aws.found.io/app/kibana#/discover/Steve-Slow-Train-Analysis-(2080s-and-2083s)?_g=(refreshInterval:(display:Off,pause:!f,section:0,value:0),time:(from:'2017-02-14T13:14:41-0700',mode:absolute,to:'2017-02-14T15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2" s="188" t="str">
        <f t="shared" si="84"/>
        <v>N</v>
      </c>
      <c r="X142" s="188">
        <f t="shared" si="77"/>
        <v>1</v>
      </c>
      <c r="Y142" s="62">
        <f t="shared" si="85"/>
        <v>9.2899999999999996E-2</v>
      </c>
      <c r="Z142" s="62">
        <f t="shared" ref="Z142:Z173" si="91">RIGHT(H142,LEN(H142)-4)/10000</f>
        <v>5.8925999999999998</v>
      </c>
      <c r="AA142" s="62">
        <f t="shared" si="86"/>
        <v>5.7996999999999996</v>
      </c>
      <c r="AB142" s="59" t="e">
        <f>VLOOKUP(A142,Enforcements!$C$7:$K$14,8,0)</f>
        <v>#N/A</v>
      </c>
      <c r="AC142" s="55" t="e">
        <f>VLOOKUP(A142,Enforcements!$C$7:$E$14,3,0)</f>
        <v>#N/A</v>
      </c>
      <c r="AD142" s="56" t="str">
        <f t="shared" si="87"/>
        <v>0823-14</v>
      </c>
      <c r="AE142" s="85" t="str">
        <f t="shared" si="88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42" s="82" t="str">
        <f t="shared" si="89"/>
        <v>"C:\Program Files (x86)\AstroGrep\AstroGrep.exe" /spath="%USERPROFILE%\AppData\Local\Temp\OnboardLogs" /stypes="app*4003*20170214*" /stext=" 21:.+((SYSTEM_STATE.+slice.+state.+changed )|(ment ac)|(multiple cpu faults)|(system.+state.+changed )|(\[timeout)|(PRM\|1\|D)|(kpr)|(kdp)|(\|lc)|(penalty)|(RTDC:00:00000204:00000036:00006526))" /e /r /s</v>
      </c>
      <c r="AG142" s="1" t="str">
        <f t="shared" si="90"/>
        <v>NW</v>
      </c>
      <c r="AH142" s="86" t="str">
        <f t="shared" si="53"/>
        <v>"%USERPROFILE%\Documents\GitHub\eaglep3\Utilities\RefineRTDCRunTimes.py" --tripid 823-14 --locoid 4003 --swversion DE.1.0.8.0 --startMP 204:929 --initTime 2017-02-14T14:14:41 --startdatetime 2017-02-14T14:21:16 --delay 1 --endMP 300:58926 --enddatetime 2017-02-14T14:33:59 --enforcementcount 0 &gt;&gt;C:\Users\stu\Documents\GitHub\eaglep3-reporting\EC\2017-02-14-refined-times.txt</v>
      </c>
      <c r="AI142" s="108" t="str">
        <f t="shared" si="54"/>
        <v>echo {"issue":{"subject":"","project_id":79,"tracker_id":40,"status_id":1,"priority_id":2,"assigned_to_id":23,"start_date":"2017-02-14","description":"","custom_fields":[{"id":1,"name":"Subdivision","value":"NW"},{"id":4,"name":"Milepost","value":"5.8926"},{"id":17,"name":"Train ID","value":"823-14"},{"id":16,"name":"Locomotive ID","value":"4003"},{"id":130,"name":"Impact","value":""},{"id":150,"name":"Time of Event (Mountain Time)","value":"14:33:59"},{"id":151,"name":"Denver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55"/>
        <v>start /low /b %USERPROFILE%\Documents\GitHub\eaglep3\Utilities\DownloadLogsFromS3.py --loco 4003 --day 2017-02-14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"%USERPROFILE%\AppData\Local\Temp\OnboardLogs"\RTDC4003\*4003*20170214* | grep -SE "(Enforcement Action)|(\[TIMEOUT)|(CHR.+\|PRM\|1\|D.+(SWITCH|SIGNAL).+UNKNOWN)" - &gt;&gt; 2017-02-14-UncaughtWiMAX.txt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486</v>
      </c>
      <c r="B143" s="7">
        <v>4004</v>
      </c>
      <c r="C143" s="21" t="s">
        <v>192</v>
      </c>
      <c r="D143" s="21" t="s">
        <v>802</v>
      </c>
      <c r="E143" s="13">
        <v>42780.607997685183</v>
      </c>
      <c r="F143" s="13">
        <v>42780.609375</v>
      </c>
      <c r="G143" s="7">
        <v>1</v>
      </c>
      <c r="H143" s="21" t="s">
        <v>803</v>
      </c>
      <c r="I143" s="13">
        <v>42780.621435185189</v>
      </c>
      <c r="J143" s="7">
        <v>1</v>
      </c>
      <c r="K143" s="98" t="str">
        <f t="shared" si="80"/>
        <v>4003/4004</v>
      </c>
      <c r="L143" s="21" t="str">
        <f>VLOOKUP(A143,'Trips&amp;Operators'!$C$1:$G$99999,5,FALSE)</f>
        <v>LEVIN SCOTT</v>
      </c>
      <c r="M143" s="6">
        <f t="shared" si="81"/>
        <v>1.206018518860219E-2</v>
      </c>
      <c r="N143" s="7">
        <f t="shared" si="78"/>
        <v>17.366666671587154</v>
      </c>
      <c r="O143" s="7"/>
      <c r="P143" s="7"/>
      <c r="Q143" s="22"/>
      <c r="R143" s="22"/>
      <c r="S143" s="31">
        <f t="shared" si="79"/>
        <v>1</v>
      </c>
      <c r="T143" s="46" t="str">
        <f t="shared" si="82"/>
        <v>Southbound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</v>
      </c>
      <c r="V143" s="187" t="str">
        <f t="shared" si="83"/>
        <v>https://d0f6bd738d7f1b3e5a7ca70fe4ff75f0.us-east-1.aws.found.io/app/kibana#/discover/Steve-Slow-Train-Analysis-(2080s-and-2083s)?_g=(refreshInterval:(display:Off,pause:!f,section:0,value:0),time:(from:'2017-02-14T13:35:31-0700',mode:absolute,to:'2017-02-14T15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188" t="str">
        <f t="shared" si="84"/>
        <v>N</v>
      </c>
      <c r="X143" s="188">
        <f t="shared" si="77"/>
        <v>1</v>
      </c>
      <c r="Y143" s="62">
        <f t="shared" si="85"/>
        <v>5.8608000000000002</v>
      </c>
      <c r="Z143" s="62">
        <f t="shared" si="91"/>
        <v>6.2799999999999995E-2</v>
      </c>
      <c r="AA143" s="62">
        <f t="shared" si="86"/>
        <v>5.798</v>
      </c>
      <c r="AB143" s="59" t="e">
        <f>VLOOKUP(A143,Enforcements!$C$7:$K$14,8,0)</f>
        <v>#N/A</v>
      </c>
      <c r="AC143" s="55" t="e">
        <f>VLOOKUP(A143,Enforcements!$C$7:$E$14,3,0)</f>
        <v>#N/A</v>
      </c>
      <c r="AD143" s="56" t="str">
        <f t="shared" si="87"/>
        <v>0824-14</v>
      </c>
      <c r="AE143" s="85" t="str">
        <f t="shared" si="88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43" s="82" t="str">
        <f t="shared" si="89"/>
        <v>"C:\Program Files (x86)\AstroGrep\AstroGrep.exe" /spath="%USERPROFILE%\AppData\Local\Temp\OnboardLogs" /stypes="app*4004*20170214*" /stext=" 21:.+((SYSTEM_STATE.+slice.+state.+changed )|(ment ac)|(multiple cpu faults)|(system.+state.+changed )|(\[timeout)|(PRM\|1\|D)|(kpr)|(kdp)|(\|lc)|(penalty)|(RTDC:00:00000204:00000036:00006526))" /e /r /s</v>
      </c>
      <c r="AG143" s="1" t="str">
        <f t="shared" si="90"/>
        <v>NW</v>
      </c>
      <c r="AH143" s="86" t="str">
        <f t="shared" ref="AH143:AH203" si="9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824-14 --locoid 4004 --swversion DE.1.0.8.0 --startMP 300:58608 --initTime 2017-02-14T14:35:31 --startdatetime 2017-02-14T14:37:30 --delay 1 --endMP 204:628 --enddatetime 2017-02-14T14:54:52 --enforcementcount 1 &gt;&gt;C:\Users\stu\Documents\GitHub\eaglep3-reporting\EC\2017-02-14-refined-times.txt</v>
      </c>
      <c r="AI143" s="108" t="str">
        <f t="shared" ref="AI143:AI203" si="9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{"issue":{"subject":"","project_id":79,"tracker_id":40,"status_id":1,"priority_id":2,"assigned_to_id":23,"start_date":"2017-02-14","description":"","custom_fields":[{"id":1,"name":"Subdivision","value":"NW"},{"id":4,"name":"Milepost","value":"0.0628"},{"id":17,"name":"Train ID","value":"824-14"},{"id":16,"name":"Locomotive ID","value":"4004"},{"id":130,"name":"Impact","value":""},{"id":150,"name":"Time of Event (Mountain Time)","value":"14:54:52"},{"id":151,"name":"Denver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ref="AM143:AM203" si="94">"start /low /b "&amp;dls3logs&amp;" --loco "&amp;B143&amp;" --day "&amp;TEXT(F143,"YYYY-MM-DD")</f>
        <v>start /low /b %USERPROFILE%\Documents\GitHub\eaglep3\Utilities\DownloadLogsFromS3.py --loco 4004 --day 2017-02-14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581</v>
      </c>
      <c r="B144" s="7">
        <v>4003</v>
      </c>
      <c r="C144" s="21" t="s">
        <v>192</v>
      </c>
      <c r="D144" s="21" t="s">
        <v>804</v>
      </c>
      <c r="E144" s="13">
        <v>42780.635428240741</v>
      </c>
      <c r="F144" s="13">
        <v>42780.639756944445</v>
      </c>
      <c r="G144" s="7">
        <v>1</v>
      </c>
      <c r="H144" s="21" t="s">
        <v>805</v>
      </c>
      <c r="I144" s="13">
        <v>42780.648715277777</v>
      </c>
      <c r="J144" s="7">
        <v>0</v>
      </c>
      <c r="K144" s="98" t="str">
        <f t="shared" si="80"/>
        <v>4003/4004</v>
      </c>
      <c r="L144" s="21" t="str">
        <f>VLOOKUP(A144,'Trips&amp;Operators'!$C$1:$G$99999,5,FALSE)</f>
        <v>LEVIN SCOTT</v>
      </c>
      <c r="M144" s="6">
        <f t="shared" si="81"/>
        <v>8.9583333319751546E-3</v>
      </c>
      <c r="N144" s="7">
        <f t="shared" si="78"/>
        <v>12.899999998044223</v>
      </c>
      <c r="O144" s="7"/>
      <c r="P144" s="7"/>
      <c r="Q144" s="22"/>
      <c r="R144" s="22"/>
      <c r="S144" s="31">
        <f t="shared" si="79"/>
        <v>1</v>
      </c>
      <c r="T144" s="46" t="str">
        <f t="shared" si="82"/>
        <v>NorthBound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</v>
      </c>
      <c r="V144" s="187" t="str">
        <f t="shared" si="83"/>
        <v>https://d0f6bd738d7f1b3e5a7ca70fe4ff75f0.us-east-1.aws.found.io/app/kibana#/discover/Steve-Slow-Train-Analysis-(2080s-and-2083s)?_g=(refreshInterval:(display:Off,pause:!f,section:0,value:0),time:(from:'2017-02-14T14:15:01-0700',mode:absolute,to:'2017-02-14T16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4" s="188" t="str">
        <f t="shared" si="84"/>
        <v>N</v>
      </c>
      <c r="X144" s="188">
        <f t="shared" ref="X144:X175" si="95">VALUE(LEFT(AD144,4))-VALUE(LEFT(AD143,4))</f>
        <v>1</v>
      </c>
      <c r="Y144" s="62">
        <f t="shared" si="85"/>
        <v>9.3600000000000003E-2</v>
      </c>
      <c r="Z144" s="62">
        <f t="shared" si="91"/>
        <v>5.8948</v>
      </c>
      <c r="AA144" s="62">
        <f t="shared" si="86"/>
        <v>5.8011999999999997</v>
      </c>
      <c r="AB144" s="59" t="e">
        <f>VLOOKUP(A144,Enforcements!$C$7:$K$14,8,0)</f>
        <v>#N/A</v>
      </c>
      <c r="AC144" s="55" t="e">
        <f>VLOOKUP(A144,Enforcements!$C$7:$E$14,3,0)</f>
        <v>#N/A</v>
      </c>
      <c r="AD144" s="56" t="str">
        <f t="shared" si="87"/>
        <v>0825-14</v>
      </c>
      <c r="AE144" s="85" t="str">
        <f t="shared" si="88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44" s="82" t="str">
        <f t="shared" si="89"/>
        <v>"C:\Program Files (x86)\AstroGrep\AstroGrep.exe" /spath="%USERPROFILE%\AppData\Local\Temp\OnboardLogs" /stypes="app*4003*20170214*" /stext=" 22:.+((SYSTEM_STATE.+slice.+state.+changed )|(ment ac)|(multiple cpu faults)|(system.+state.+changed )|(\[timeout)|(PRM\|1\|D)|(kpr)|(kdp)|(\|lc)|(penalty)|(RTDC:00:00000204:00000036:00006526))" /e /r /s</v>
      </c>
      <c r="AG144" s="1" t="str">
        <f t="shared" si="90"/>
        <v>NW</v>
      </c>
      <c r="AH144" s="86" t="str">
        <f t="shared" si="92"/>
        <v>"%USERPROFILE%\Documents\GitHub\eaglep3\Utilities\RefineRTDCRunTimes.py" --tripid 825-14 --locoid 4003 --swversion DE.1.0.8.0 --startMP 204:936 --initTime 2017-02-14T15:15:01 --startdatetime 2017-02-14T15:21:15 --delay 1 --endMP 300:58948 --enddatetime 2017-02-14T15:34:09 --enforcementcount 0 &gt;&gt;C:\Users\stu\Documents\GitHub\eaglep3-reporting\EC\2017-02-14-refined-times.txt</v>
      </c>
      <c r="AI144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{"issue":{"subject":"","project_id":79,"tracker_id":40,"status_id":1,"priority_id":2,"assigned_to_id":23,"start_date":"2017-02-14","description":"","custom_fields":[{"id":1,"name":"Subdivision","value":"NW"},{"id":4,"name":"Milepost","value":"5.8948"},{"id":17,"name":"Train ID","value":"825-14"},{"id":16,"name":"Locomotive ID","value":"4003"},{"id":130,"name":"Impact","value":""},{"id":150,"name":"Time of Event (Mountain Time)","value":"15:34:09"},{"id":151,"name":"Denver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94"/>
        <v>start /low /b %USERPROFILE%\Documents\GitHub\eaglep3\Utilities\DownloadLogsFromS3.py --loco 4003 --day 2017-02-14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"%USERPROFILE%\AppData\Local\Temp\OnboardLogs"\RTDC4003\*4003*20170214* | grep -SE "(Enforcement Action)|(\[TIMEOUT)|(CHR.+\|PRM\|1\|D.+(SWITCH|SIGNAL).+UNKNOWN)" - &gt;&gt; 2017-02-14-UncaughtWiMAX.txt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3" t="s">
        <v>583</v>
      </c>
      <c r="B145" s="7">
        <v>4004</v>
      </c>
      <c r="C145" s="21" t="s">
        <v>192</v>
      </c>
      <c r="D145" s="21" t="s">
        <v>417</v>
      </c>
      <c r="E145" s="13">
        <v>42780.649745370371</v>
      </c>
      <c r="F145" s="13">
        <v>42780.651030092595</v>
      </c>
      <c r="G145" s="7">
        <v>1</v>
      </c>
      <c r="H145" s="21" t="s">
        <v>469</v>
      </c>
      <c r="I145" s="13">
        <v>42780.6640162037</v>
      </c>
      <c r="J145" s="7">
        <v>0</v>
      </c>
      <c r="K145" s="98" t="str">
        <f t="shared" si="80"/>
        <v>4003/4004</v>
      </c>
      <c r="L145" s="21" t="str">
        <f>VLOOKUP(A145,'Trips&amp;Operators'!$C$1:$G$99999,5,FALSE)</f>
        <v>LEVIN SCOTT</v>
      </c>
      <c r="M145" s="6">
        <f t="shared" si="81"/>
        <v>1.2986111105419695E-2</v>
      </c>
      <c r="N145" s="7">
        <f t="shared" si="78"/>
        <v>18.699999991804361</v>
      </c>
      <c r="O145" s="7"/>
      <c r="P145" s="7"/>
      <c r="Q145" s="22"/>
      <c r="R145" s="22"/>
      <c r="S145" s="31">
        <f t="shared" si="79"/>
        <v>1</v>
      </c>
      <c r="T145" s="46" t="str">
        <f t="shared" si="82"/>
        <v>Southbound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</v>
      </c>
      <c r="V145" s="187" t="str">
        <f t="shared" si="83"/>
        <v>https://d0f6bd738d7f1b3e5a7ca70fe4ff75f0.us-east-1.aws.found.io/app/kibana#/discover/Steve-Slow-Train-Analysis-(2080s-and-2083s)?_g=(refreshInterval:(display:Off,pause:!f,section:0,value:0),time:(from:'2017-02-14T14:35:38-0700',mode:absolute,to:'2017-02-14T16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5" s="188" t="str">
        <f t="shared" si="84"/>
        <v>N</v>
      </c>
      <c r="X145" s="188">
        <f t="shared" si="95"/>
        <v>1</v>
      </c>
      <c r="Y145" s="62">
        <f t="shared" si="85"/>
        <v>5.8624000000000001</v>
      </c>
      <c r="Z145" s="62">
        <f t="shared" si="91"/>
        <v>6.54E-2</v>
      </c>
      <c r="AA145" s="62">
        <f t="shared" si="86"/>
        <v>5.7969999999999997</v>
      </c>
      <c r="AB145" s="59" t="e">
        <f>VLOOKUP(A145,Enforcements!$C$7:$K$14,8,0)</f>
        <v>#N/A</v>
      </c>
      <c r="AC145" s="55" t="e">
        <f>VLOOKUP(A145,Enforcements!$C$7:$E$14,3,0)</f>
        <v>#N/A</v>
      </c>
      <c r="AD145" s="56" t="str">
        <f t="shared" si="87"/>
        <v>0826-14</v>
      </c>
      <c r="AE145" s="85" t="str">
        <f t="shared" si="88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45" s="82" t="str">
        <f t="shared" si="89"/>
        <v>"C:\Program Files (x86)\AstroGrep\AstroGrep.exe" /spath="%USERPROFILE%\AppData\Local\Temp\OnboardLogs" /stypes="app*4004*20170214*" /stext=" 22:.+((SYSTEM_STATE.+slice.+state.+changed )|(ment ac)|(multiple cpu faults)|(system.+state.+changed )|(\[timeout)|(PRM\|1\|D)|(kpr)|(kdp)|(\|lc)|(penalty)|(RTDC:00:00000204:00000036:00006526))" /e /r /s</v>
      </c>
      <c r="AG145" s="1" t="str">
        <f t="shared" si="90"/>
        <v>NW</v>
      </c>
      <c r="AH145" s="86" t="str">
        <f t="shared" si="92"/>
        <v>"%USERPROFILE%\Documents\GitHub\eaglep3\Utilities\RefineRTDCRunTimes.py" --tripid 826-14 --locoid 4004 --swversion DE.1.0.8.0 --startMP 300:58624 --initTime 2017-02-14T15:35:38 --startdatetime 2017-02-14T15:37:29 --delay 1 --endMP 204:654 --enddatetime 2017-02-14T15:56:11 --enforcementcount 0 &gt;&gt;C:\Users\stu\Documents\GitHub\eaglep3-reporting\EC\2017-02-14-refined-times.txt</v>
      </c>
      <c r="AI145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{"issue":{"subject":"","project_id":79,"tracker_id":40,"status_id":1,"priority_id":2,"assigned_to_id":23,"start_date":"2017-02-14","description":"","custom_fields":[{"id":1,"name":"Subdivision","value":"NW"},{"id":4,"name":"Milepost","value":"0.0654"},{"id":17,"name":"Train ID","value":"826-14"},{"id":16,"name":"Locomotive ID","value":"4004"},{"id":130,"name":"Impact","value":""},{"id":150,"name":"Time of Event (Mountain Time)","value":"15:56:11"},{"id":151,"name":"Denver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94"/>
        <v>start /low /b %USERPROFILE%\Documents\GitHub\eaglep3\Utilities\DownloadLogsFromS3.py --loco 4004 --day 2017-02-14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</row>
    <row r="146" spans="1:91" s="20" customFormat="1" x14ac:dyDescent="0.25">
      <c r="A146" s="33" t="s">
        <v>584</v>
      </c>
      <c r="B146" s="7">
        <v>4016</v>
      </c>
      <c r="C146" s="21" t="s">
        <v>192</v>
      </c>
      <c r="D146" s="21" t="s">
        <v>806</v>
      </c>
      <c r="E146" s="13">
        <v>42780.651875000003</v>
      </c>
      <c r="F146" s="13">
        <v>42780.661145833335</v>
      </c>
      <c r="G146" s="7">
        <v>1</v>
      </c>
      <c r="H146" s="21" t="s">
        <v>807</v>
      </c>
      <c r="I146" s="13">
        <v>42780.670856481483</v>
      </c>
      <c r="J146" s="7">
        <v>0</v>
      </c>
      <c r="K146" s="98" t="str">
        <f t="shared" si="80"/>
        <v>4015/4016</v>
      </c>
      <c r="L146" s="21" t="str">
        <f>VLOOKUP(A146,'Trips&amp;Operators'!$C$1:$G$99999,5,FALSE)</f>
        <v>HILLS DUSTIN</v>
      </c>
      <c r="M146" s="6">
        <f t="shared" si="81"/>
        <v>9.710648148029577E-3</v>
      </c>
      <c r="N146" s="7">
        <f t="shared" si="78"/>
        <v>13.983333333162591</v>
      </c>
      <c r="O146" s="7"/>
      <c r="P146" s="7"/>
      <c r="Q146" s="22"/>
      <c r="R146" s="22"/>
      <c r="S146" s="31">
        <f t="shared" si="79"/>
        <v>1</v>
      </c>
      <c r="T146" s="46" t="str">
        <f t="shared" si="82"/>
        <v>NorthBound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</v>
      </c>
      <c r="V146" s="187" t="str">
        <f t="shared" si="83"/>
        <v>https://d0f6bd738d7f1b3e5a7ca70fe4ff75f0.us-east-1.aws.found.io/app/kibana#/discover/Steve-Slow-Train-Analysis-(2080s-and-2083s)?_g=(refreshInterval:(display:Off,pause:!f,section:0,value:0),time:(from:'2017-02-14T14:38:42-0700',mode:absolute,to:'2017-02-14T17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6" s="188" t="str">
        <f t="shared" si="84"/>
        <v>N</v>
      </c>
      <c r="X146" s="188">
        <f t="shared" si="95"/>
        <v>1</v>
      </c>
      <c r="Y146" s="62">
        <f t="shared" si="85"/>
        <v>9.3200000000000005E-2</v>
      </c>
      <c r="Z146" s="62">
        <f t="shared" si="91"/>
        <v>5.8986000000000001</v>
      </c>
      <c r="AA146" s="62">
        <f t="shared" si="86"/>
        <v>5.8053999999999997</v>
      </c>
      <c r="AB146" s="59" t="e">
        <f>VLOOKUP(A146,Enforcements!$C$7:$K$14,8,0)</f>
        <v>#N/A</v>
      </c>
      <c r="AC146" s="55" t="e">
        <f>VLOOKUP(A146,Enforcements!$C$7:$E$14,3,0)</f>
        <v>#N/A</v>
      </c>
      <c r="AD146" s="56" t="str">
        <f t="shared" si="87"/>
        <v>0827-14</v>
      </c>
      <c r="AE146" s="85" t="str">
        <f t="shared" si="88"/>
        <v>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 &amp; 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</v>
      </c>
      <c r="AF146" s="82" t="str">
        <f t="shared" si="89"/>
        <v>"C:\Program Files (x86)\AstroGrep\AstroGrep.exe" /spath="%USERPROFILE%\AppData\Local\Temp\OnboardLogs" /stypes="app*4016*20170214*" /stext=" 23:.+((SYSTEM_STATE.+slice.+state.+changed )|(ment ac)|(multiple cpu faults)|(system.+state.+changed )|(\[timeout)|(PRM\|1\|D)|(kpr)|(kdp)|(\|lc)|(penalty)|(RTDC:00:00000204:00000036:00006526))" /e /r /s</v>
      </c>
      <c r="AG146" s="1" t="str">
        <f t="shared" si="90"/>
        <v>NW</v>
      </c>
      <c r="AH146" s="86" t="str">
        <f t="shared" si="92"/>
        <v>"%USERPROFILE%\Documents\GitHub\eaglep3\Utilities\RefineRTDCRunTimes.py" --tripid 827-14 --locoid 4016 --swversion DE.1.0.8.0 --startMP 204:932 --initTime 2017-02-14T15:38:42 --startdatetime 2017-02-14T15:52:03 --delay 1 --endMP 300:58986 --enddatetime 2017-02-14T16:06:02 --enforcementcount 0 &gt;&gt;C:\Users\stu\Documents\GitHub\eaglep3-reporting\EC\2017-02-14-refined-times.txt</v>
      </c>
      <c r="AI146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{"issue":{"subject":"","project_id":79,"tracker_id":40,"status_id":1,"priority_id":2,"assigned_to_id":23,"start_date":"2017-02-14","description":"","custom_fields":[{"id":1,"name":"Subdivision","value":"NW"},{"id":4,"name":"Milepost","value":"5.8986"},{"id":17,"name":"Train ID","value":"827-14"},{"id":16,"name":"Locomotive ID","value":"4016"},{"id":130,"name":"Impact","value":""},{"id":150,"name":"Time of Event (Mountain Time)","value":"16:06:02"},{"id":151,"name":"Denver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94"/>
        <v>start /low /b %USERPROFILE%\Documents\GitHub\eaglep3\Utilities\DownloadLogsFromS3.py --loco 4016 --day 2017-02-14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"%USERPROFILE%\AppData\Local\Temp\OnboardLogs"\RTDC4016\*4016*20170214* | grep -SE "(Enforcement Action)|(\[TIMEOUT)|(CHR.+\|PRM\|1\|D.+(SWITCH|SIGNAL).+UNKNOWN)" - &gt;&gt; 2017-02-14-UncaughtWiMAX.txt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489</v>
      </c>
      <c r="B147" s="7">
        <v>4015</v>
      </c>
      <c r="C147" s="21" t="s">
        <v>192</v>
      </c>
      <c r="D147" s="21" t="s">
        <v>776</v>
      </c>
      <c r="E147" s="13">
        <v>42780.671979166669</v>
      </c>
      <c r="F147" s="13">
        <v>42780.67392361111</v>
      </c>
      <c r="G147" s="7">
        <v>1</v>
      </c>
      <c r="H147" s="21" t="s">
        <v>685</v>
      </c>
      <c r="I147" s="13">
        <v>42780.68482638889</v>
      </c>
      <c r="J147" s="7">
        <v>1</v>
      </c>
      <c r="K147" s="98" t="str">
        <f t="shared" si="80"/>
        <v>4015/4016</v>
      </c>
      <c r="L147" s="21" t="str">
        <f>VLOOKUP(A147,'Trips&amp;Operators'!$C$1:$G$99999,5,FALSE)</f>
        <v>HILLS DUSTIN</v>
      </c>
      <c r="M147" s="6">
        <f t="shared" si="81"/>
        <v>1.0902777779847383E-2</v>
      </c>
      <c r="N147" s="7">
        <f t="shared" si="78"/>
        <v>15.700000002980232</v>
      </c>
      <c r="O147" s="7"/>
      <c r="P147" s="7"/>
      <c r="Q147" s="22"/>
      <c r="R147" s="22"/>
      <c r="S147" s="31">
        <f t="shared" si="79"/>
        <v>1</v>
      </c>
      <c r="T147" s="46" t="str">
        <f t="shared" si="82"/>
        <v>Southbound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</v>
      </c>
      <c r="V147" s="187" t="str">
        <f t="shared" si="83"/>
        <v>https://d0f6bd738d7f1b3e5a7ca70fe4ff75f0.us-east-1.aws.found.io/app/kibana#/discover/Steve-Slow-Train-Analysis-(2080s-and-2083s)?_g=(refreshInterval:(display:Off,pause:!f,section:0,value:0),time:(from:'2017-02-14T15:07:39-0700',mode:absolute,to:'2017-02-14T17:26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7" s="188" t="str">
        <f t="shared" si="84"/>
        <v>N</v>
      </c>
      <c r="X147" s="188">
        <f t="shared" si="95"/>
        <v>1</v>
      </c>
      <c r="Y147" s="62">
        <f t="shared" si="85"/>
        <v>5.8659999999999997</v>
      </c>
      <c r="Z147" s="62">
        <f t="shared" si="91"/>
        <v>7.5899999999999995E-2</v>
      </c>
      <c r="AA147" s="62">
        <f t="shared" si="86"/>
        <v>5.7900999999999998</v>
      </c>
      <c r="AB147" s="59" t="e">
        <f>VLOOKUP(A147,Enforcements!$C$7:$K$14,8,0)</f>
        <v>#N/A</v>
      </c>
      <c r="AC147" s="55" t="e">
        <f>VLOOKUP(A147,Enforcements!$C$7:$E$14,3,0)</f>
        <v>#N/A</v>
      </c>
      <c r="AD147" s="56" t="str">
        <f t="shared" si="87"/>
        <v>0828-14</v>
      </c>
      <c r="AE147" s="85" t="str">
        <f t="shared" si="88"/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AF147" s="82" t="str">
        <f t="shared" si="89"/>
        <v>"C:\Program Files (x86)\AstroGrep\AstroGrep.exe" /spath="%USERPROFILE%\AppData\Local\Temp\OnboardLogs" /stypes="app*4015*20170214*" /stext=" 23:.+((SYSTEM_STATE.+slice.+state.+changed )|(ment ac)|(multiple cpu faults)|(system.+state.+changed )|(\[timeout)|(PRM\|1\|D)|(kpr)|(kdp)|(\|lc)|(penalty)|(RTDC:00:00000204:00000036:00006526))" /e /r /s</v>
      </c>
      <c r="AG147" s="1" t="str">
        <f t="shared" si="90"/>
        <v>NW</v>
      </c>
      <c r="AH147" s="86" t="str">
        <f t="shared" si="92"/>
        <v>"%USERPROFILE%\Documents\GitHub\eaglep3\Utilities\RefineRTDCRunTimes.py" --tripid 828-14 --locoid 4015 --swversion DE.1.0.8.0 --startMP 300:58660 --initTime 2017-02-14T16:07:39 --startdatetime 2017-02-14T16:10:27 --delay 1 --endMP 204:759 --enddatetime 2017-02-14T16:26:09 --enforcementcount 1 &gt;&gt;C:\Users\stu\Documents\GitHub\eaglep3-reporting\EC\2017-02-14-refined-times.txt</v>
      </c>
      <c r="AI147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{"issue":{"subject":"","project_id":79,"tracker_id":40,"status_id":1,"priority_id":2,"assigned_to_id":23,"start_date":"2017-02-14","description":"","custom_fields":[{"id":1,"name":"Subdivision","value":"NW"},{"id":4,"name":"Milepost","value":"0.0759"},{"id":17,"name":"Train ID","value":"828-14"},{"id":16,"name":"Locomotive ID","value":"4015"},{"id":130,"name":"Impact","value":""},{"id":150,"name":"Time of Event (Mountain Time)","value":"16:26:09"},{"id":151,"name":"Denver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94"/>
        <v>start /low /b %USERPROFILE%\Documents\GitHub\eaglep3\Utilities\DownloadLogsFromS3.py --loco 4015 --day 2017-02-14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"%USERPROFILE%\AppData\Local\Temp\OnboardLogs"\RTDC4015\*4015*20170214* | grep -SE "(Enforcement Action)|(\[TIMEOUT)|(CHR.+\|PRM\|1\|D.+(SWITCH|SIGNAL).+UNKNOWN)" - &gt;&gt; 2017-02-14-UncaughtWiMAX.txt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587</v>
      </c>
      <c r="B148" s="7">
        <v>4003</v>
      </c>
      <c r="C148" s="21" t="s">
        <v>192</v>
      </c>
      <c r="D148" s="21" t="s">
        <v>808</v>
      </c>
      <c r="E148" s="13">
        <v>42780.673368055555</v>
      </c>
      <c r="F148" s="13">
        <v>42780.681423611109</v>
      </c>
      <c r="G148" s="7">
        <v>1</v>
      </c>
      <c r="H148" s="21" t="s">
        <v>466</v>
      </c>
      <c r="I148" s="13">
        <v>42780.690567129626</v>
      </c>
      <c r="J148" s="7">
        <v>0</v>
      </c>
      <c r="K148" s="98" t="str">
        <f t="shared" si="80"/>
        <v>4003/4004</v>
      </c>
      <c r="L148" s="21" t="str">
        <f>VLOOKUP(A148,'Trips&amp;Operators'!$C$1:$G$99999,5,FALSE)</f>
        <v>LEVIN SCOTT</v>
      </c>
      <c r="M148" s="6">
        <f t="shared" si="81"/>
        <v>9.1435185167938471E-3</v>
      </c>
      <c r="N148" s="7">
        <f t="shared" si="78"/>
        <v>13.16666666418314</v>
      </c>
      <c r="O148" s="7"/>
      <c r="P148" s="7"/>
      <c r="Q148" s="22"/>
      <c r="R148" s="22"/>
      <c r="S148" s="31">
        <f t="shared" si="79"/>
        <v>1</v>
      </c>
      <c r="T148" s="46" t="str">
        <f t="shared" si="82"/>
        <v>NorthBound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</v>
      </c>
      <c r="V148" s="187" t="str">
        <f t="shared" si="83"/>
        <v>https://d0f6bd738d7f1b3e5a7ca70fe4ff75f0.us-east-1.aws.found.io/app/kibana#/discover/Steve-Slow-Train-Analysis-(2080s-and-2083s)?_g=(refreshInterval:(display:Off,pause:!f,section:0,value:0),time:(from:'2017-02-14T15:09:39-0700',mode:absolute,to:'2017-02-14T17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88" t="str">
        <f t="shared" si="84"/>
        <v>N</v>
      </c>
      <c r="X148" s="188">
        <f t="shared" si="95"/>
        <v>1</v>
      </c>
      <c r="Y148" s="62">
        <f t="shared" si="85"/>
        <v>9.4299999999999995E-2</v>
      </c>
      <c r="Z148" s="62">
        <f t="shared" si="91"/>
        <v>5.8929</v>
      </c>
      <c r="AA148" s="62">
        <f t="shared" si="86"/>
        <v>5.7986000000000004</v>
      </c>
      <c r="AB148" s="59" t="e">
        <f>VLOOKUP(A148,Enforcements!$C$7:$K$14,8,0)</f>
        <v>#N/A</v>
      </c>
      <c r="AC148" s="55" t="e">
        <f>VLOOKUP(A148,Enforcements!$C$7:$E$14,3,0)</f>
        <v>#N/A</v>
      </c>
      <c r="AD148" s="56" t="str">
        <f t="shared" si="87"/>
        <v>0829-14</v>
      </c>
      <c r="AE148" s="85" t="str">
        <f t="shared" si="88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48" s="82" t="str">
        <f t="shared" si="89"/>
        <v>"C:\Program Files (x86)\AstroGrep\AstroGrep.exe" /spath="%USERPROFILE%\AppData\Local\Temp\OnboardLogs" /stypes="app*4003*20170214*" /stext=" 23:.+((SYSTEM_STATE.+slice.+state.+changed )|(ment ac)|(multiple cpu faults)|(system.+state.+changed )|(\[timeout)|(PRM\|1\|D)|(kpr)|(kdp)|(\|lc)|(penalty)|(RTDC:00:00000204:00000036:00006526))" /e /r /s</v>
      </c>
      <c r="AG148" s="1" t="str">
        <f t="shared" si="90"/>
        <v>NW</v>
      </c>
      <c r="AH148" s="86" t="str">
        <f t="shared" si="92"/>
        <v>"%USERPROFILE%\Documents\GitHub\eaglep3\Utilities\RefineRTDCRunTimes.py" --tripid 829-14 --locoid 4003 --swversion DE.1.0.8.0 --startMP 204:943 --initTime 2017-02-14T16:09:39 --startdatetime 2017-02-14T16:21:15 --delay 1 --endMP 300:58929 --enddatetime 2017-02-14T16:34:25 --enforcementcount 0 &gt;&gt;C:\Users\stu\Documents\GitHub\eaglep3-reporting\EC\2017-02-14-refined-times.txt</v>
      </c>
      <c r="AI148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{"issue":{"subject":"","project_id":79,"tracker_id":40,"status_id":1,"priority_id":2,"assigned_to_id":23,"start_date":"2017-02-14","description":"","custom_fields":[{"id":1,"name":"Subdivision","value":"NW"},{"id":4,"name":"Milepost","value":"5.8929"},{"id":17,"name":"Train ID","value":"829-14"},{"id":16,"name":"Locomotive ID","value":"4003"},{"id":130,"name":"Impact","value":""},{"id":150,"name":"Time of Event (Mountain Time)","value":"16:34:25"},{"id":151,"name":"Denver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94"/>
        <v>start /low /b %USERPROFILE%\Documents\GitHub\eaglep3\Utilities\DownloadLogsFromS3.py --loco 4003 --day 2017-02-14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"%USERPROFILE%\AppData\Local\Temp\OnboardLogs"\RTDC4003\*4003*20170214* | grep -SE "(Enforcement Action)|(\[TIMEOUT)|(CHR.+\|PRM\|1\|D.+(SWITCH|SIGNAL).+UNKNOWN)" - &gt;&gt; 2017-02-14-UncaughtWiMAX.txt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591</v>
      </c>
      <c r="B149" s="7">
        <v>4004</v>
      </c>
      <c r="C149" s="21" t="s">
        <v>192</v>
      </c>
      <c r="D149" s="21" t="s">
        <v>773</v>
      </c>
      <c r="E149" s="13">
        <v>42780.691620370373</v>
      </c>
      <c r="F149" s="13">
        <v>42780.692789351851</v>
      </c>
      <c r="G149" s="7">
        <v>1</v>
      </c>
      <c r="H149" s="21" t="s">
        <v>459</v>
      </c>
      <c r="I149" s="13">
        <v>42780.70517361111</v>
      </c>
      <c r="J149" s="7">
        <v>0</v>
      </c>
      <c r="K149" s="98" t="str">
        <f t="shared" si="80"/>
        <v>4003/4004</v>
      </c>
      <c r="L149" s="21" t="str">
        <f>VLOOKUP(A149,'Trips&amp;Operators'!$C$1:$G$99999,5,FALSE)</f>
        <v>LEVIN SCOTT</v>
      </c>
      <c r="M149" s="6">
        <f t="shared" si="81"/>
        <v>1.2384259258396924E-2</v>
      </c>
      <c r="N149" s="7">
        <f t="shared" si="78"/>
        <v>17.83333333209157</v>
      </c>
      <c r="O149" s="7"/>
      <c r="P149" s="7"/>
      <c r="Q149" s="22"/>
      <c r="R149" s="22"/>
      <c r="S149" s="31">
        <f t="shared" si="79"/>
        <v>1</v>
      </c>
      <c r="T149" s="46" t="str">
        <f t="shared" si="82"/>
        <v>Southbound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</v>
      </c>
      <c r="V149" s="187" t="str">
        <f t="shared" si="83"/>
        <v>https://d0f6bd738d7f1b3e5a7ca70fe4ff75f0.us-east-1.aws.found.io/app/kibana#/discover/Steve-Slow-Train-Analysis-(2080s-and-2083s)?_g=(refreshInterval:(display:Off,pause:!f,section:0,value:0),time:(from:'2017-02-14T15:35:56-0700',mode:absolute,to:'2017-02-14T17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9" s="188" t="str">
        <f t="shared" si="84"/>
        <v>N</v>
      </c>
      <c r="X149" s="188">
        <f t="shared" si="95"/>
        <v>1</v>
      </c>
      <c r="Y149" s="62">
        <f t="shared" si="85"/>
        <v>5.8616999999999999</v>
      </c>
      <c r="Z149" s="62">
        <f t="shared" si="91"/>
        <v>6.1699999999999998E-2</v>
      </c>
      <c r="AA149" s="62">
        <f t="shared" si="86"/>
        <v>5.8</v>
      </c>
      <c r="AB149" s="59" t="e">
        <f>VLOOKUP(A149,Enforcements!$C$7:$K$14,8,0)</f>
        <v>#N/A</v>
      </c>
      <c r="AC149" s="55" t="e">
        <f>VLOOKUP(A149,Enforcements!$C$7:$E$14,3,0)</f>
        <v>#N/A</v>
      </c>
      <c r="AD149" s="56" t="str">
        <f t="shared" si="87"/>
        <v>0830-14</v>
      </c>
      <c r="AE149" s="85" t="str">
        <f t="shared" si="88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49" s="82" t="str">
        <f t="shared" si="89"/>
        <v>"C:\Program Files (x86)\AstroGrep\AstroGrep.exe" /spath="%USERPROFILE%\AppData\Local\Temp\OnboardLogs" /stypes="app*4004*20170214*" /stext=" 23:.+((SYSTEM_STATE.+slice.+state.+changed )|(ment ac)|(multiple cpu faults)|(system.+state.+changed )|(\[timeout)|(PRM\|1\|D)|(kpr)|(kdp)|(\|lc)|(penalty)|(RTDC:00:00000204:00000036:00006526))" /e /r /s</v>
      </c>
      <c r="AG149" s="1" t="str">
        <f t="shared" si="90"/>
        <v>NW</v>
      </c>
      <c r="AH149" s="86" t="str">
        <f t="shared" si="92"/>
        <v>"%USERPROFILE%\Documents\GitHub\eaglep3\Utilities\RefineRTDCRunTimes.py" --tripid 830-14 --locoid 4004 --swversion DE.1.0.8.0 --startMP 300:58617 --initTime 2017-02-14T16:35:56 --startdatetime 2017-02-14T16:37:37 --delay 1 --endMP 204:617 --enddatetime 2017-02-14T16:55:27 --enforcementcount 0 &gt;&gt;C:\Users\stu\Documents\GitHub\eaglep3-reporting\EC\2017-02-14-refined-times.txt</v>
      </c>
      <c r="AI149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{"issue":{"subject":"","project_id":79,"tracker_id":40,"status_id":1,"priority_id":2,"assigned_to_id":23,"start_date":"2017-02-14","description":"","custom_fields":[{"id":1,"name":"Subdivision","value":"NW"},{"id":4,"name":"Milepost","value":"0.0617"},{"id":17,"name":"Train ID","value":"830-14"},{"id":16,"name":"Locomotive ID","value":"4004"},{"id":130,"name":"Impact","value":""},{"id":150,"name":"Time of Event (Mountain Time)","value":"16:55:27"},{"id":151,"name":"Denver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94"/>
        <v>start /low /b %USERPROFILE%\Documents\GitHub\eaglep3\Utilities\DownloadLogsFromS3.py --loco 4004 --day 2017-02-14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589</v>
      </c>
      <c r="B150" s="7">
        <v>4016</v>
      </c>
      <c r="C150" s="21" t="s">
        <v>192</v>
      </c>
      <c r="D150" s="21" t="s">
        <v>809</v>
      </c>
      <c r="E150" s="13">
        <v>42780.686712962961</v>
      </c>
      <c r="F150" s="13">
        <v>42780.702534722222</v>
      </c>
      <c r="G150" s="7">
        <v>0</v>
      </c>
      <c r="H150" s="21" t="s">
        <v>810</v>
      </c>
      <c r="I150" s="13">
        <v>42780.712175925924</v>
      </c>
      <c r="J150" s="7">
        <v>0</v>
      </c>
      <c r="K150" s="98" t="str">
        <f t="shared" si="80"/>
        <v>4015/4016</v>
      </c>
      <c r="L150" s="21" t="str">
        <f>VLOOKUP(A150,'Trips&amp;Operators'!$C$1:$G$99999,5,FALSE)</f>
        <v>HILLS DUSTIN</v>
      </c>
      <c r="M150" s="6">
        <f t="shared" si="81"/>
        <v>9.6412037019035779E-3</v>
      </c>
      <c r="N150" s="7">
        <f t="shared" si="78"/>
        <v>13.883333330741152</v>
      </c>
      <c r="O150" s="7"/>
      <c r="P150" s="7"/>
      <c r="Q150" s="22"/>
      <c r="R150" s="22"/>
      <c r="S150" s="31">
        <f t="shared" si="79"/>
        <v>1</v>
      </c>
      <c r="T150" s="46" t="str">
        <f t="shared" si="82"/>
        <v>NorthBound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</v>
      </c>
      <c r="V150" s="187" t="str">
        <f t="shared" si="83"/>
        <v>https://d0f6bd738d7f1b3e5a7ca70fe4ff75f0.us-east-1.aws.found.io/app/kibana#/discover/Steve-Slow-Train-Analysis-(2080s-and-2083s)?_g=(refreshInterval:(display:Off,pause:!f,section:0,value:0),time:(from:'2017-02-14T15:28:52-0700',mode:absolute,to:'2017-02-14T18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188" t="str">
        <f t="shared" si="84"/>
        <v>N</v>
      </c>
      <c r="X150" s="188">
        <f t="shared" si="95"/>
        <v>1</v>
      </c>
      <c r="Y150" s="62">
        <f t="shared" si="85"/>
        <v>0.1048</v>
      </c>
      <c r="Z150" s="62">
        <f t="shared" si="91"/>
        <v>5.9005000000000001</v>
      </c>
      <c r="AA150" s="62">
        <f t="shared" si="86"/>
        <v>5.7957000000000001</v>
      </c>
      <c r="AB150" s="59" t="e">
        <f>VLOOKUP(A150,Enforcements!$C$7:$K$14,8,0)</f>
        <v>#N/A</v>
      </c>
      <c r="AC150" s="55" t="e">
        <f>VLOOKUP(A150,Enforcements!$C$7:$E$14,3,0)</f>
        <v>#N/A</v>
      </c>
      <c r="AD150" s="56" t="str">
        <f t="shared" si="87"/>
        <v>0831-14</v>
      </c>
      <c r="AE150" s="85" t="str">
        <f t="shared" si="88"/>
        <v>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 &amp; 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</v>
      </c>
      <c r="AF150" s="82" t="str">
        <f t="shared" si="89"/>
        <v>"C:\Program Files (x86)\AstroGrep\AstroGrep.exe" /spath="%USERPROFILE%\AppData\Local\Temp\OnboardLogs" /stypes="app*4016*20170215*" /stext=" 00:.+((SYSTEM_STATE.+slice.+state.+changed )|(ment ac)|(multiple cpu faults)|(system.+state.+changed )|(\[timeout)|(PRM\|1\|D)|(kpr)|(kdp)|(\|lc)|(penalty)|(RTDC:00:00000204:00000036:00006526))" /e /r /s</v>
      </c>
      <c r="AG150" s="1" t="str">
        <f t="shared" si="90"/>
        <v>NW</v>
      </c>
      <c r="AH150" s="86" t="str">
        <f t="shared" si="92"/>
        <v>"%USERPROFILE%\Documents\GitHub\eaglep3\Utilities\RefineRTDCRunTimes.py" --tripid 831-14 --locoid 4016 --swversion DE.1.0.8.0 --startMP 204:1048 --initTime 2017-02-14T16:28:52 --startdatetime 2017-02-14T16:51:39 --delay 0 --endMP 300:59005 --enddatetime 2017-02-14T17:05:32 --enforcementcount 0 &gt;&gt;C:\Users\stu\Documents\GitHub\eaglep3-reporting\EC\2017-02-14-refined-times.txt</v>
      </c>
      <c r="AI150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{"issue":{"subject":"","project_id":79,"tracker_id":40,"status_id":1,"priority_id":2,"assigned_to_id":23,"start_date":"2017-02-14","description":"","custom_fields":[{"id":1,"name":"Subdivision","value":"NW"},{"id":4,"name":"Milepost","value":"5.9005"},{"id":17,"name":"Train ID","value":"831-14"},{"id":16,"name":"Locomotive ID","value":"4016"},{"id":130,"name":"Impact","value":""},{"id":150,"name":"Time of Event (Mountain Time)","value":"17:05:32"},{"id":151,"name":"Denver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94"/>
        <v>start /low /b %USERPROFILE%\Documents\GitHub\eaglep3\Utilities\DownloadLogsFromS3.py --loco 4016 --day 2017-02-14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"%USERPROFILE%\AppData\Local\Temp\OnboardLogs"\RTDC4016\*4016*20170214* | grep -SE "(Enforcement Action)|(\[TIMEOUT)|(CHR.+\|PRM\|1\|D.+(SWITCH|SIGNAL).+UNKNOWN)" - &gt;&gt; 2017-02-14-UncaughtWiMAX.txt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490</v>
      </c>
      <c r="B151" s="7">
        <v>4015</v>
      </c>
      <c r="C151" s="21" t="s">
        <v>192</v>
      </c>
      <c r="D151" s="21" t="s">
        <v>811</v>
      </c>
      <c r="E151" s="13">
        <v>42780.713414351849</v>
      </c>
      <c r="F151" s="13">
        <v>42780.714918981481</v>
      </c>
      <c r="G151" s="7">
        <v>1</v>
      </c>
      <c r="H151" s="21" t="s">
        <v>812</v>
      </c>
      <c r="I151" s="13">
        <v>42780.727858796294</v>
      </c>
      <c r="J151" s="7">
        <v>1</v>
      </c>
      <c r="K151" s="98" t="str">
        <f t="shared" si="80"/>
        <v>4015/4016</v>
      </c>
      <c r="L151" s="21" t="str">
        <f>VLOOKUP(A151,'Trips&amp;Operators'!$C$1:$G$99999,5,FALSE)</f>
        <v>HILLS DUSTIN</v>
      </c>
      <c r="M151" s="6">
        <f t="shared" si="81"/>
        <v>1.2939814812853001E-2</v>
      </c>
      <c r="N151" s="7">
        <f t="shared" ref="N151:N182" si="96">24*60*SUM($M151:$M151)</f>
        <v>18.633333330508322</v>
      </c>
      <c r="O151" s="7"/>
      <c r="P151" s="7"/>
      <c r="Q151" s="22"/>
      <c r="R151" s="22"/>
      <c r="S151" s="31">
        <f t="shared" si="79"/>
        <v>1</v>
      </c>
      <c r="T151" s="46" t="str">
        <f t="shared" si="82"/>
        <v>Southbound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187" t="str">
        <f t="shared" si="83"/>
        <v>https://d0f6bd738d7f1b3e5a7ca70fe4ff75f0.us-east-1.aws.found.io/app/kibana#/discover/Steve-Slow-Train-Analysis-(2080s-and-2083s)?_g=(refreshInterval:(display:Off,pause:!f,section:0,value:0),time:(from:'2017-02-14T16:07:19-0700',mode:absolute,to:'2017-02-14T18:28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1" s="188" t="str">
        <f t="shared" si="84"/>
        <v>N</v>
      </c>
      <c r="X151" s="188">
        <f t="shared" si="95"/>
        <v>1</v>
      </c>
      <c r="Y151" s="62">
        <f t="shared" si="85"/>
        <v>5.8682999999999996</v>
      </c>
      <c r="Z151" s="62">
        <f t="shared" si="91"/>
        <v>6.6100000000000006E-2</v>
      </c>
      <c r="AA151" s="62">
        <f t="shared" si="86"/>
        <v>5.8022</v>
      </c>
      <c r="AB151" s="59" t="e">
        <f>VLOOKUP(A151,Enforcements!$C$7:$K$14,8,0)</f>
        <v>#N/A</v>
      </c>
      <c r="AC151" s="55" t="e">
        <f>VLOOKUP(A151,Enforcements!$C$7:$E$14,3,0)</f>
        <v>#N/A</v>
      </c>
      <c r="AD151" s="56" t="str">
        <f t="shared" si="87"/>
        <v>0832-14</v>
      </c>
      <c r="AE151" s="85" t="str">
        <f t="shared" si="88"/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AF151" s="82" t="str">
        <f t="shared" si="89"/>
        <v>"C:\Program Files (x86)\AstroGrep\AstroGrep.exe" /spath="%USERPROFILE%\AppData\Local\Temp\OnboardLogs" /stypes="app*4015*20170215*" /stext=" 00:.+((SYSTEM_STATE.+slice.+state.+changed )|(ment ac)|(multiple cpu faults)|(system.+state.+changed )|(\[timeout)|(PRM\|1\|D)|(kpr)|(kdp)|(\|lc)|(penalty)|(RTDC:00:00000204:00000036:00006526))" /e /r /s</v>
      </c>
      <c r="AG151" s="1" t="str">
        <f t="shared" si="90"/>
        <v>NW</v>
      </c>
      <c r="AH151" s="86" t="str">
        <f t="shared" si="92"/>
        <v>"%USERPROFILE%\Documents\GitHub\eaglep3\Utilities\RefineRTDCRunTimes.py" --tripid 832-14 --locoid 4015 --swversion DE.1.0.8.0 --startMP 300:58683 --initTime 2017-02-14T17:07:19 --startdatetime 2017-02-14T17:09:29 --delay 1 --endMP 204:661 --enddatetime 2017-02-14T17:28:07 --enforcementcount 1 &gt;&gt;C:\Users\stu\Documents\GitHub\eaglep3-reporting\EC\2017-02-14-refined-times.txt</v>
      </c>
      <c r="AI151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{"issue":{"subject":"","project_id":79,"tracker_id":40,"status_id":1,"priority_id":2,"assigned_to_id":23,"start_date":"2017-02-14","description":"","custom_fields":[{"id":1,"name":"Subdivision","value":"NW"},{"id":4,"name":"Milepost","value":"0.0661"},{"id":17,"name":"Train ID","value":"832-14"},{"id":16,"name":"Locomotive ID","value":"4015"},{"id":130,"name":"Impact","value":""},{"id":150,"name":"Time of Event (Mountain Time)","value":"17:28:07"},{"id":151,"name":"Denver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94"/>
        <v>start /low /b %USERPROFILE%\Documents\GitHub\eaglep3\Utilities\DownloadLogsFromS3.py --loco 4015 --day 2017-02-14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"%USERPROFILE%\AppData\Local\Temp\OnboardLogs"\RTDC4015\*4015*20170215* | grep -SE "(Enforcement Action)|(\[TIMEOUT)|(CHR.+\|PRM\|1\|D.+(SWITCH|SIGNAL).+UNKNOWN)" - &gt;&gt; 2017-02-14-UncaughtWiMAX.txt</v>
      </c>
    </row>
    <row r="152" spans="1:91" s="20" customFormat="1" x14ac:dyDescent="0.25">
      <c r="A152" s="33" t="s">
        <v>593</v>
      </c>
      <c r="B152" s="7">
        <v>4003</v>
      </c>
      <c r="C152" s="21" t="s">
        <v>192</v>
      </c>
      <c r="D152" s="21" t="s">
        <v>813</v>
      </c>
      <c r="E152" s="13">
        <v>42780.717766203707</v>
      </c>
      <c r="F152" s="13">
        <v>42780.723182870373</v>
      </c>
      <c r="G152" s="7">
        <v>1</v>
      </c>
      <c r="H152" s="21" t="s">
        <v>413</v>
      </c>
      <c r="I152" s="13">
        <v>42780.732743055552</v>
      </c>
      <c r="J152" s="7">
        <v>0</v>
      </c>
      <c r="K152" s="98" t="str">
        <f t="shared" si="80"/>
        <v>4003/4004</v>
      </c>
      <c r="L152" s="21" t="str">
        <f>VLOOKUP(A152,'Trips&amp;Operators'!$C$1:$G$99999,5,FALSE)</f>
        <v>LEVIN SCOTT</v>
      </c>
      <c r="M152" s="6">
        <f t="shared" si="81"/>
        <v>9.5601851789979264E-3</v>
      </c>
      <c r="N152" s="7">
        <f t="shared" si="96"/>
        <v>13.766666657757014</v>
      </c>
      <c r="O152" s="7"/>
      <c r="P152" s="7"/>
      <c r="Q152" s="22"/>
      <c r="R152" s="22"/>
      <c r="S152" s="31">
        <f t="shared" ref="S152:S183" si="97">SUM(U152:U152)/IF(AG152="EC",12,1)</f>
        <v>1</v>
      </c>
      <c r="T152" s="46" t="str">
        <f t="shared" si="82"/>
        <v>NorthBound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187" t="str">
        <f t="shared" si="83"/>
        <v>https://d0f6bd738d7f1b3e5a7ca70fe4ff75f0.us-east-1.aws.found.io/app/kibana#/discover/Steve-Slow-Train-Analysis-(2080s-and-2083s)?_g=(refreshInterval:(display:Off,pause:!f,section:0,value:0),time:(from:'2017-02-14T16:13:35-0700',mode:absolute,to:'2017-02-14T18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2" s="188" t="str">
        <f t="shared" si="84"/>
        <v>N</v>
      </c>
      <c r="X152" s="188">
        <f t="shared" si="95"/>
        <v>1</v>
      </c>
      <c r="Y152" s="62">
        <f t="shared" si="85"/>
        <v>9.2999999999999999E-2</v>
      </c>
      <c r="Z152" s="62">
        <f t="shared" si="91"/>
        <v>5.8936999999999999</v>
      </c>
      <c r="AA152" s="62">
        <f t="shared" si="86"/>
        <v>5.8007</v>
      </c>
      <c r="AB152" s="59" t="e">
        <f>VLOOKUP(A152,Enforcements!$C$7:$K$14,8,0)</f>
        <v>#N/A</v>
      </c>
      <c r="AC152" s="55" t="e">
        <f>VLOOKUP(A152,Enforcements!$C$7:$E$14,3,0)</f>
        <v>#N/A</v>
      </c>
      <c r="AD152" s="56" t="str">
        <f t="shared" si="87"/>
        <v>0833-14</v>
      </c>
      <c r="AE152" s="85" t="str">
        <f t="shared" si="88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52" s="82" t="str">
        <f t="shared" si="89"/>
        <v>"C:\Program Files (x86)\AstroGrep\AstroGrep.exe" /spath="%USERPROFILE%\AppData\Local\Temp\OnboardLogs" /stypes="app*4003*20170215*" /stext=" 00:.+((SYSTEM_STATE.+slice.+state.+changed )|(ment ac)|(multiple cpu faults)|(system.+state.+changed )|(\[timeout)|(PRM\|1\|D)|(kpr)|(kdp)|(\|lc)|(penalty)|(RTDC:00:00000204:00000036:00006526))" /e /r /s</v>
      </c>
      <c r="AG152" s="1" t="str">
        <f t="shared" si="90"/>
        <v>NW</v>
      </c>
      <c r="AH152" s="86" t="str">
        <f t="shared" si="92"/>
        <v>"%USERPROFILE%\Documents\GitHub\eaglep3\Utilities\RefineRTDCRunTimes.py" --tripid 833-14 --locoid 4003 --swversion DE.1.0.8.0 --startMP 204:930 --initTime 2017-02-14T17:13:35 --startdatetime 2017-02-14T17:21:23 --delay 1 --endMP 300:58937 --enddatetime 2017-02-14T17:35:09 --enforcementcount 0 &gt;&gt;C:\Users\stu\Documents\GitHub\eaglep3-reporting\EC\2017-02-14-refined-times.txt</v>
      </c>
      <c r="AI152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{"issue":{"subject":"","project_id":79,"tracker_id":40,"status_id":1,"priority_id":2,"assigned_to_id":23,"start_date":"2017-02-14","description":"","custom_fields":[{"id":1,"name":"Subdivision","value":"NW"},{"id":4,"name":"Milepost","value":"5.8937"},{"id":17,"name":"Train ID","value":"833-14"},{"id":16,"name":"Locomotive ID","value":"4003"},{"id":130,"name":"Impact","value":""},{"id":150,"name":"Time of Event (Mountain Time)","value":"17:35:09"},{"id":151,"name":"Denver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94"/>
        <v>start /low /b %USERPROFILE%\Documents\GitHub\eaglep3\Utilities\DownloadLogsFromS3.py --loco 4003 --day 2017-02-14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"%USERPROFILE%\AppData\Local\Temp\OnboardLogs"\RTDC4003\*4003*20170215* | grep -SE "(Enforcement Action)|(\[TIMEOUT)|(CHR.+\|PRM\|1\|D.+(SWITCH|SIGNAL).+UNKNOWN)" - &gt;&gt; 2017-02-14-UncaughtWiMAX.txt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597</v>
      </c>
      <c r="B153" s="7">
        <v>4004</v>
      </c>
      <c r="C153" s="21" t="s">
        <v>192</v>
      </c>
      <c r="D153" s="21" t="s">
        <v>381</v>
      </c>
      <c r="E153" s="13">
        <v>42780.734733796293</v>
      </c>
      <c r="F153" s="13">
        <v>42780.735937500001</v>
      </c>
      <c r="G153" s="7">
        <v>1</v>
      </c>
      <c r="H153" s="21" t="s">
        <v>460</v>
      </c>
      <c r="I153" s="13">
        <v>42780.747418981482</v>
      </c>
      <c r="J153" s="7">
        <v>0</v>
      </c>
      <c r="K153" s="98" t="str">
        <f t="shared" si="80"/>
        <v>4003/4004</v>
      </c>
      <c r="L153" s="21" t="str">
        <f>VLOOKUP(A153,'Trips&amp;Operators'!$C$1:$G$99999,5,FALSE)</f>
        <v>LEVIN SCOTT</v>
      </c>
      <c r="M153" s="6">
        <f t="shared" si="81"/>
        <v>1.1481481480586808E-2</v>
      </c>
      <c r="N153" s="7">
        <f t="shared" si="96"/>
        <v>16.533333332045004</v>
      </c>
      <c r="O153" s="7"/>
      <c r="P153" s="7"/>
      <c r="Q153" s="22"/>
      <c r="R153" s="22"/>
      <c r="S153" s="31">
        <f t="shared" si="97"/>
        <v>1</v>
      </c>
      <c r="T153" s="46" t="str">
        <f t="shared" si="82"/>
        <v>Southbound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187" t="str">
        <f t="shared" si="83"/>
        <v>https://d0f6bd738d7f1b3e5a7ca70fe4ff75f0.us-east-1.aws.found.io/app/kibana#/discover/Steve-Slow-Train-Analysis-(2080s-and-2083s)?_g=(refreshInterval:(display:Off,pause:!f,section:0,value:0),time:(from:'2017-02-14T16:38:01-0700',mode:absolute,to:'2017-02-14T18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3" s="188" t="str">
        <f t="shared" si="84"/>
        <v>N</v>
      </c>
      <c r="X153" s="188">
        <f t="shared" si="95"/>
        <v>1</v>
      </c>
      <c r="Y153" s="62">
        <f t="shared" si="85"/>
        <v>5.8628</v>
      </c>
      <c r="Z153" s="62">
        <f t="shared" si="91"/>
        <v>6.4699999999999994E-2</v>
      </c>
      <c r="AA153" s="62">
        <f t="shared" si="86"/>
        <v>5.7980999999999998</v>
      </c>
      <c r="AB153" s="59" t="e">
        <f>VLOOKUP(A153,Enforcements!$C$7:$K$14,8,0)</f>
        <v>#N/A</v>
      </c>
      <c r="AC153" s="55" t="e">
        <f>VLOOKUP(A153,Enforcements!$C$7:$E$14,3,0)</f>
        <v>#N/A</v>
      </c>
      <c r="AD153" s="56" t="str">
        <f t="shared" si="87"/>
        <v>0834-14</v>
      </c>
      <c r="AE153" s="85" t="str">
        <f t="shared" si="88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53" s="82" t="str">
        <f t="shared" si="89"/>
        <v>"C:\Program Files (x86)\AstroGrep\AstroGrep.exe" /spath="%USERPROFILE%\AppData\Local\Temp\OnboardLogs" /stypes="app*4004*20170215*" /stext=" 00:.+((SYSTEM_STATE.+slice.+state.+changed )|(ment ac)|(multiple cpu faults)|(system.+state.+changed )|(\[timeout)|(PRM\|1\|D)|(kpr)|(kdp)|(\|lc)|(penalty)|(RTDC:00:00000204:00000036:00006526))" /e /r /s</v>
      </c>
      <c r="AG153" s="1" t="str">
        <f t="shared" si="90"/>
        <v>NW</v>
      </c>
      <c r="AH153" s="86" t="str">
        <f t="shared" si="92"/>
        <v>"%USERPROFILE%\Documents\GitHub\eaglep3\Utilities\RefineRTDCRunTimes.py" --tripid 834-14 --locoid 4004 --swversion DE.1.0.8.0 --startMP 300:58628 --initTime 2017-02-14T17:38:01 --startdatetime 2017-02-14T17:39:45 --delay 1 --endMP 204:647 --enddatetime 2017-02-14T17:56:17 --enforcementcount 0 &gt;&gt;C:\Users\stu\Documents\GitHub\eaglep3-reporting\EC\2017-02-14-refined-times.txt</v>
      </c>
      <c r="AI153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{"issue":{"subject":"","project_id":79,"tracker_id":40,"status_id":1,"priority_id":2,"assigned_to_id":23,"start_date":"2017-02-14","description":"","custom_fields":[{"id":1,"name":"Subdivision","value":"NW"},{"id":4,"name":"Milepost","value":"0.0647"},{"id":17,"name":"Train ID","value":"834-14"},{"id":16,"name":"Locomotive ID","value":"4004"},{"id":130,"name":"Impact","value":""},{"id":150,"name":"Time of Event (Mountain Time)","value":"17:56:17"},{"id":151,"name":"Denver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94"/>
        <v>start /low /b %USERPROFILE%\Documents\GitHub\eaglep3\Utilities\DownloadLogsFromS3.py --loco 4004 --day 2017-02-14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"%USERPROFILE%\AppData\Local\Temp\OnboardLogs"\RTDC4004\*4004*20170215* | grep -SE "(Enforcement Action)|(\[TIMEOUT)|(CHR.+\|PRM\|1\|D.+(SWITCH|SIGNAL).+UNKNOWN)" - &gt;&gt; 2017-02-14-UncaughtWiMAX.txt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596</v>
      </c>
      <c r="B154" s="7">
        <v>4016</v>
      </c>
      <c r="C154" s="21" t="s">
        <v>192</v>
      </c>
      <c r="D154" s="21" t="s">
        <v>814</v>
      </c>
      <c r="E154" s="13">
        <v>42780.729212962964</v>
      </c>
      <c r="F154" s="13">
        <v>42780.744687500002</v>
      </c>
      <c r="G154" s="7">
        <v>1</v>
      </c>
      <c r="H154" s="21" t="s">
        <v>815</v>
      </c>
      <c r="I154" s="13">
        <v>42780.754513888889</v>
      </c>
      <c r="J154" s="7">
        <v>0</v>
      </c>
      <c r="K154" s="98" t="str">
        <f t="shared" si="80"/>
        <v>4015/4016</v>
      </c>
      <c r="L154" s="21" t="str">
        <f>VLOOKUP(A154,'Trips&amp;Operators'!$C$1:$G$99999,5,FALSE)</f>
        <v>HILLS DUSTIN</v>
      </c>
      <c r="M154" s="6">
        <f t="shared" si="81"/>
        <v>9.8263888867222704E-3</v>
      </c>
      <c r="N154" s="7">
        <f t="shared" si="96"/>
        <v>14.149999996880069</v>
      </c>
      <c r="O154" s="7"/>
      <c r="P154" s="7"/>
      <c r="Q154" s="22"/>
      <c r="R154" s="22"/>
      <c r="S154" s="31">
        <f t="shared" si="97"/>
        <v>1</v>
      </c>
      <c r="T154" s="46" t="str">
        <f t="shared" si="82"/>
        <v>NorthBound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87" t="str">
        <f t="shared" si="83"/>
        <v>https://d0f6bd738d7f1b3e5a7ca70fe4ff75f0.us-east-1.aws.found.io/app/kibana#/discover/Steve-Slow-Train-Analysis-(2080s-and-2083s)?_g=(refreshInterval:(display:Off,pause:!f,section:0,value:0),time:(from:'2017-02-14T16:30:04-0700',mode:absolute,to:'2017-02-14T19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4" s="188" t="str">
        <f t="shared" si="84"/>
        <v>N</v>
      </c>
      <c r="X154" s="188">
        <f t="shared" si="95"/>
        <v>1</v>
      </c>
      <c r="Y154" s="62">
        <f t="shared" si="85"/>
        <v>9.4600000000000004E-2</v>
      </c>
      <c r="Z154" s="62">
        <f t="shared" si="91"/>
        <v>5.8975999999999997</v>
      </c>
      <c r="AA154" s="62">
        <f t="shared" si="86"/>
        <v>5.8029999999999999</v>
      </c>
      <c r="AB154" s="59" t="e">
        <f>VLOOKUP(A154,Enforcements!$C$7:$K$14,8,0)</f>
        <v>#N/A</v>
      </c>
      <c r="AC154" s="55" t="e">
        <f>VLOOKUP(A154,Enforcements!$C$7:$E$14,3,0)</f>
        <v>#N/A</v>
      </c>
      <c r="AD154" s="56" t="str">
        <f t="shared" si="87"/>
        <v>0835-14</v>
      </c>
      <c r="AE154" s="85" t="str">
        <f t="shared" si="88"/>
        <v>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 &amp; 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</v>
      </c>
      <c r="AF154" s="82" t="str">
        <f t="shared" si="89"/>
        <v>"C:\Program Files (x86)\AstroGrep\AstroGrep.exe" /spath="%USERPROFILE%\AppData\Local\Temp\OnboardLogs" /stypes="app*4016*20170215*" /stext=" 01:.+((SYSTEM_STATE.+slice.+state.+changed )|(ment ac)|(multiple cpu faults)|(system.+state.+changed )|(\[timeout)|(PRM\|1\|D)|(kpr)|(kdp)|(\|lc)|(penalty)|(RTDC:00:00000204:00000036:00006526))" /e /r /s</v>
      </c>
      <c r="AG154" s="1" t="str">
        <f t="shared" si="90"/>
        <v>NW</v>
      </c>
      <c r="AH154" s="86" t="str">
        <f t="shared" si="92"/>
        <v>"%USERPROFILE%\Documents\GitHub\eaglep3\Utilities\RefineRTDCRunTimes.py" --tripid 835-14 --locoid 4016 --swversion DE.1.0.8.0 --startMP 204:946 --initTime 2017-02-14T17:30:04 --startdatetime 2017-02-14T17:52:21 --delay 1 --endMP 300:58976 --enddatetime 2017-02-14T18:06:30 --enforcementcount 0 &gt;&gt;C:\Users\stu\Documents\GitHub\eaglep3-reporting\EC\2017-02-14-refined-times.txt</v>
      </c>
      <c r="AI154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{"issue":{"subject":"","project_id":79,"tracker_id":40,"status_id":1,"priority_id":2,"assigned_to_id":23,"start_date":"2017-02-14","description":"","custom_fields":[{"id":1,"name":"Subdivision","value":"NW"},{"id":4,"name":"Milepost","value":"5.8976"},{"id":17,"name":"Train ID","value":"835-14"},{"id":16,"name":"Locomotive ID","value":"4016"},{"id":130,"name":"Impact","value":""},{"id":150,"name":"Time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94"/>
        <v>start /low /b %USERPROFILE%\Documents\GitHub\eaglep3\Utilities\DownloadLogsFromS3.py --loco 4016 --day 2017-02-14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"%USERPROFILE%\AppData\Local\Temp\OnboardLogs"\RTDC4016\*4016*20170215* | grep -SE "(Enforcement Action)|(\[TIMEOUT)|(CHR.+\|PRM\|1\|D.+(SWITCH|SIGNAL).+UNKNOWN)" - &gt;&gt; 2017-02-14-UncaughtWiMAX.txt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599</v>
      </c>
      <c r="B155" s="7">
        <v>4015</v>
      </c>
      <c r="C155" s="21" t="s">
        <v>192</v>
      </c>
      <c r="D155" s="21" t="s">
        <v>787</v>
      </c>
      <c r="E155" s="13">
        <v>42780.755543981482</v>
      </c>
      <c r="F155" s="13">
        <v>42780.757291666669</v>
      </c>
      <c r="G155" s="7">
        <v>1</v>
      </c>
      <c r="H155" s="21" t="s">
        <v>460</v>
      </c>
      <c r="I155" s="13">
        <v>42780.768020833333</v>
      </c>
      <c r="J155" s="7">
        <v>0</v>
      </c>
      <c r="K155" s="98" t="str">
        <f t="shared" si="80"/>
        <v>4015/4016</v>
      </c>
      <c r="L155" s="21" t="str">
        <f>VLOOKUP(A155,'Trips&amp;Operators'!$C$1:$G$99999,5,FALSE)</f>
        <v>HILLS DUSTIN</v>
      </c>
      <c r="M155" s="6">
        <f t="shared" si="81"/>
        <v>1.0729166664532386E-2</v>
      </c>
      <c r="N155" s="7">
        <f t="shared" si="96"/>
        <v>15.449999996926636</v>
      </c>
      <c r="O155" s="7"/>
      <c r="P155" s="7"/>
      <c r="Q155" s="22"/>
      <c r="R155" s="22"/>
      <c r="S155" s="31">
        <f t="shared" si="97"/>
        <v>1</v>
      </c>
      <c r="T155" s="46" t="str">
        <f t="shared" si="82"/>
        <v>Southbound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87" t="str">
        <f t="shared" si="83"/>
        <v>https://d0f6bd738d7f1b3e5a7ca70fe4ff75f0.us-east-1.aws.found.io/app/kibana#/discover/Steve-Slow-Train-Analysis-(2080s-and-2083s)?_g=(refreshInterval:(display:Off,pause:!f,section:0,value:0),time:(from:'2017-02-14T17:07:59-0700',mode:absolute,to:'2017-02-14T19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5" s="188" t="str">
        <f t="shared" si="84"/>
        <v>N</v>
      </c>
      <c r="X155" s="188">
        <f t="shared" si="95"/>
        <v>1</v>
      </c>
      <c r="Y155" s="62">
        <f t="shared" si="85"/>
        <v>5.8658000000000001</v>
      </c>
      <c r="Z155" s="62">
        <f t="shared" si="91"/>
        <v>6.4699999999999994E-2</v>
      </c>
      <c r="AA155" s="62">
        <f t="shared" si="86"/>
        <v>5.8010999999999999</v>
      </c>
      <c r="AB155" s="59" t="e">
        <f>VLOOKUP(A155,Enforcements!$C$7:$K$14,8,0)</f>
        <v>#N/A</v>
      </c>
      <c r="AC155" s="55" t="e">
        <f>VLOOKUP(A155,Enforcements!$C$7:$E$14,3,0)</f>
        <v>#N/A</v>
      </c>
      <c r="AD155" s="56" t="str">
        <f t="shared" si="87"/>
        <v>0836-14</v>
      </c>
      <c r="AE155" s="85" t="str">
        <f t="shared" si="88"/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AF155" s="82" t="str">
        <f t="shared" si="89"/>
        <v>"C:\Program Files (x86)\AstroGrep\AstroGrep.exe" /spath="%USERPROFILE%\AppData\Local\Temp\OnboardLogs" /stypes="app*4015*20170215*" /stext=" 01:.+((SYSTEM_STATE.+slice.+state.+changed )|(ment ac)|(multiple cpu faults)|(system.+state.+changed )|(\[timeout)|(PRM\|1\|D)|(kpr)|(kdp)|(\|lc)|(penalty)|(RTDC:00:00000204:00000036:00006526))" /e /r /s</v>
      </c>
      <c r="AG155" s="1" t="str">
        <f t="shared" si="90"/>
        <v>NW</v>
      </c>
      <c r="AH155" s="86" t="str">
        <f t="shared" si="92"/>
        <v>"%USERPROFILE%\Documents\GitHub\eaglep3\Utilities\RefineRTDCRunTimes.py" --tripid 836-14 --locoid 4015 --swversion DE.1.0.8.0 --startMP 300:58658 --initTime 2017-02-14T18:07:59 --startdatetime 2017-02-14T18:10:30 --delay 1 --endMP 204:647 --enddatetime 2017-02-14T18:25:57 --enforcementcount 0 &gt;&gt;C:\Users\stu\Documents\GitHub\eaglep3-reporting\EC\2017-02-14-refined-times.txt</v>
      </c>
      <c r="AI155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{"issue":{"subject":"","project_id":79,"tracker_id":40,"status_id":1,"priority_id":2,"assigned_to_id":23,"start_date":"2017-02-14","description":"","custom_fields":[{"id":1,"name":"Subdivision","value":"NW"},{"id":4,"name":"Milepost","value":"0.0647"},{"id":17,"name":"Train ID","value":"836-14"},{"id":16,"name":"Locomotive ID","value":"4015"},{"id":130,"name":"Impact","value":""},{"id":150,"name":"Time of Event (Mountain Time)","value":"18:25:57"},{"id":151,"name":"Denver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94"/>
        <v>start /low /b %USERPROFILE%\Documents\GitHub\eaglep3\Utilities\DownloadLogsFromS3.py --loco 4015 --day 2017-02-14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"%USERPROFILE%\AppData\Local\Temp\OnboardLogs"\RTDC4015\*4015*20170215* | grep -SE "(Enforcement Action)|(\[TIMEOUT)|(CHR.+\|PRM\|1\|D.+(SWITCH|SIGNAL).+UNKNOWN)" - &gt;&gt; 2017-02-14-UncaughtWiMAX.txt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601</v>
      </c>
      <c r="B156" s="7">
        <v>4003</v>
      </c>
      <c r="C156" s="21" t="s">
        <v>192</v>
      </c>
      <c r="D156" s="21" t="s">
        <v>816</v>
      </c>
      <c r="E156" s="13">
        <v>42780.762430555558</v>
      </c>
      <c r="F156" s="13">
        <v>42780.764768518522</v>
      </c>
      <c r="G156" s="7">
        <v>1</v>
      </c>
      <c r="H156" s="21" t="s">
        <v>419</v>
      </c>
      <c r="I156" s="13">
        <v>42780.77412037037</v>
      </c>
      <c r="J156" s="7">
        <v>0</v>
      </c>
      <c r="K156" s="98" t="str">
        <f t="shared" si="80"/>
        <v>4003/4004</v>
      </c>
      <c r="L156" s="21" t="str">
        <f>VLOOKUP(A156,'Trips&amp;Operators'!$C$1:$G$99999,5,FALSE)</f>
        <v>LEVIN SCOTT</v>
      </c>
      <c r="M156" s="6">
        <f t="shared" si="81"/>
        <v>9.3518518478958867E-3</v>
      </c>
      <c r="N156" s="7">
        <f t="shared" si="96"/>
        <v>13.466666660970077</v>
      </c>
      <c r="O156" s="7"/>
      <c r="P156" s="7"/>
      <c r="Q156" s="22"/>
      <c r="R156" s="22"/>
      <c r="S156" s="31">
        <f t="shared" si="97"/>
        <v>1</v>
      </c>
      <c r="T156" s="46" t="str">
        <f t="shared" si="82"/>
        <v>NorthBound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87" t="str">
        <f t="shared" si="83"/>
        <v>https://d0f6bd738d7f1b3e5a7ca70fe4ff75f0.us-east-1.aws.found.io/app/kibana#/discover/Steve-Slow-Train-Analysis-(2080s-and-2083s)?_g=(refreshInterval:(display:Off,pause:!f,section:0,value:0),time:(from:'2017-02-14T17:17:54-0700',mode:absolute,to:'2017-02-14T19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188" t="str">
        <f t="shared" si="84"/>
        <v>N</v>
      </c>
      <c r="X156" s="188">
        <f t="shared" si="95"/>
        <v>1</v>
      </c>
      <c r="Y156" s="62">
        <f t="shared" si="85"/>
        <v>9.3899999999999997E-2</v>
      </c>
      <c r="Z156" s="62">
        <f t="shared" si="91"/>
        <v>5.8930999999999996</v>
      </c>
      <c r="AA156" s="62">
        <f t="shared" si="86"/>
        <v>5.7991999999999999</v>
      </c>
      <c r="AB156" s="59" t="e">
        <f>VLOOKUP(A156,Enforcements!$C$7:$K$14,8,0)</f>
        <v>#N/A</v>
      </c>
      <c r="AC156" s="55" t="e">
        <f>VLOOKUP(A156,Enforcements!$C$7:$E$14,3,0)</f>
        <v>#N/A</v>
      </c>
      <c r="AD156" s="56" t="str">
        <f t="shared" si="87"/>
        <v>0837-14</v>
      </c>
      <c r="AE156" s="85" t="str">
        <f t="shared" si="88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56" s="82" t="str">
        <f t="shared" si="89"/>
        <v>"C:\Program Files (x86)\AstroGrep\AstroGrep.exe" /spath="%USERPROFILE%\AppData\Local\Temp\OnboardLogs" /stypes="app*4003*20170215*" /stext=" 01:.+((SYSTEM_STATE.+slice.+state.+changed )|(ment ac)|(multiple cpu faults)|(system.+state.+changed )|(\[timeout)|(PRM\|1\|D)|(kpr)|(kdp)|(\|lc)|(penalty)|(RTDC:00:00000204:00000036:00006526))" /e /r /s</v>
      </c>
      <c r="AG156" s="1" t="str">
        <f t="shared" si="90"/>
        <v>NW</v>
      </c>
      <c r="AH156" s="86" t="str">
        <f t="shared" si="92"/>
        <v>"%USERPROFILE%\Documents\GitHub\eaglep3\Utilities\RefineRTDCRunTimes.py" --tripid 837-14 --locoid 4003 --swversion DE.1.0.8.0 --startMP 204:939 --initTime 2017-02-14T18:17:54 --startdatetime 2017-02-14T18:21:16 --delay 1 --endMP 300:58931 --enddatetime 2017-02-14T18:34:44 --enforcementcount 0 &gt;&gt;C:\Users\stu\Documents\GitHub\eaglep3-reporting\EC\2017-02-14-refined-times.txt</v>
      </c>
      <c r="AI156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{"issue":{"subject":"","project_id":79,"tracker_id":40,"status_id":1,"priority_id":2,"assigned_to_id":23,"start_date":"2017-02-14","description":"","custom_fields":[{"id":1,"name":"Subdivision","value":"NW"},{"id":4,"name":"Milepost","value":"5.8931"},{"id":17,"name":"Train ID","value":"837-14"},{"id":16,"name":"Locomotive ID","value":"4003"},{"id":130,"name":"Impact","value":""},{"id":150,"name":"Time of Event (Mountain Time)","value":"18:34:44"},{"id":151,"name":"Denver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94"/>
        <v>start /low /b %USERPROFILE%\Documents\GitHub\eaglep3\Utilities\DownloadLogsFromS3.py --loco 4003 --day 2017-02-14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"%USERPROFILE%\AppData\Local\Temp\OnboardLogs"\RTDC4003\*4003*20170215* | grep -SE "(Enforcement Action)|(\[TIMEOUT)|(CHR.+\|PRM\|1\|D.+(SWITCH|SIGNAL).+UNKNOWN)" - &gt;&gt; 2017-02-14-UncaughtWiMAX.txt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605</v>
      </c>
      <c r="B157" s="7">
        <v>4004</v>
      </c>
      <c r="C157" s="21" t="s">
        <v>192</v>
      </c>
      <c r="D157" s="21" t="s">
        <v>467</v>
      </c>
      <c r="E157" s="13">
        <v>42780.775717592594</v>
      </c>
      <c r="F157" s="13">
        <v>42780.777187500003</v>
      </c>
      <c r="G157" s="7">
        <v>1</v>
      </c>
      <c r="H157" s="21" t="s">
        <v>472</v>
      </c>
      <c r="I157" s="13">
        <v>42780.788958333331</v>
      </c>
      <c r="J157" s="7">
        <v>0</v>
      </c>
      <c r="K157" s="98" t="str">
        <f t="shared" si="80"/>
        <v>4003/4004</v>
      </c>
      <c r="L157" s="21" t="str">
        <f>VLOOKUP(A157,'Trips&amp;Operators'!$C$1:$G$99999,5,FALSE)</f>
        <v>LEVIN SCOTT</v>
      </c>
      <c r="M157" s="6">
        <f t="shared" si="81"/>
        <v>1.1770833327318542E-2</v>
      </c>
      <c r="N157" s="7">
        <f t="shared" si="96"/>
        <v>16.9499999913387</v>
      </c>
      <c r="O157" s="7"/>
      <c r="P157" s="7"/>
      <c r="Q157" s="22"/>
      <c r="R157" s="22"/>
      <c r="S157" s="31">
        <f t="shared" si="97"/>
        <v>1</v>
      </c>
      <c r="T157" s="46" t="str">
        <f t="shared" si="82"/>
        <v>Southbound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7" t="str">
        <f t="shared" si="83"/>
        <v>https://d0f6bd738d7f1b3e5a7ca70fe4ff75f0.us-east-1.aws.found.io/app/kibana#/discover/Steve-Slow-Train-Analysis-(2080s-and-2083s)?_g=(refreshInterval:(display:Off,pause:!f,section:0,value:0),time:(from:'2017-02-14T17:37:02-0700',mode:absolute,to:'2017-02-14T19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7" s="188" t="str">
        <f t="shared" si="84"/>
        <v>N</v>
      </c>
      <c r="X157" s="188">
        <f t="shared" si="95"/>
        <v>1</v>
      </c>
      <c r="Y157" s="62">
        <f t="shared" si="85"/>
        <v>5.8620999999999999</v>
      </c>
      <c r="Z157" s="62">
        <f t="shared" si="91"/>
        <v>6.4500000000000002E-2</v>
      </c>
      <c r="AA157" s="62">
        <f t="shared" si="86"/>
        <v>5.7976000000000001</v>
      </c>
      <c r="AB157" s="59" t="e">
        <f>VLOOKUP(A157,Enforcements!$C$7:$K$14,8,0)</f>
        <v>#N/A</v>
      </c>
      <c r="AC157" s="55" t="e">
        <f>VLOOKUP(A157,Enforcements!$C$7:$E$14,3,0)</f>
        <v>#N/A</v>
      </c>
      <c r="AD157" s="56" t="str">
        <f t="shared" si="87"/>
        <v>0838-14</v>
      </c>
      <c r="AE157" s="85" t="str">
        <f t="shared" si="88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57" s="82" t="str">
        <f t="shared" si="89"/>
        <v>"C:\Program Files (x86)\AstroGrep\AstroGrep.exe" /spath="%USERPROFILE%\AppData\Local\Temp\OnboardLogs" /stypes="app*4004*20170215*" /stext=" 01:.+((SYSTEM_STATE.+slice.+state.+changed )|(ment ac)|(multiple cpu faults)|(system.+state.+changed )|(\[timeout)|(PRM\|1\|D)|(kpr)|(kdp)|(\|lc)|(penalty)|(RTDC:00:00000204:00000036:00006526))" /e /r /s</v>
      </c>
      <c r="AG157" s="1" t="str">
        <f t="shared" si="90"/>
        <v>NW</v>
      </c>
      <c r="AH157" s="86" t="str">
        <f t="shared" si="92"/>
        <v>"%USERPROFILE%\Documents\GitHub\eaglep3\Utilities\RefineRTDCRunTimes.py" --tripid 838-14 --locoid 4004 --swversion DE.1.0.8.0 --startMP 300:58621 --initTime 2017-02-14T18:37:02 --startdatetime 2017-02-14T18:39:09 --delay 1 --endMP 204:645 --enddatetime 2017-02-14T18:56:06 --enforcementcount 0 &gt;&gt;C:\Users\stu\Documents\GitHub\eaglep3-reporting\EC\2017-02-14-refined-times.txt</v>
      </c>
      <c r="AI157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{"issue":{"subject":"","project_id":79,"tracker_id":40,"status_id":1,"priority_id":2,"assigned_to_id":23,"start_date":"2017-02-14","description":"","custom_fields":[{"id":1,"name":"Subdivision","value":"NW"},{"id":4,"name":"Milepost","value":"0.0645"},{"id":17,"name":"Train ID","value":"838-14"},{"id":16,"name":"Locomotive ID","value":"4004"},{"id":130,"name":"Impact","value":""},{"id":150,"name":"Time of Event (Mountain Time)","value":"18:56:06"},{"id":151,"name":"Denver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94"/>
        <v>start /low /b %USERPROFILE%\Documents\GitHub\eaglep3\Utilities\DownloadLogsFromS3.py --loco 4004 --day 2017-02-14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"%USERPROFILE%\AppData\Local\Temp\OnboardLogs"\RTDC4004\*4004*20170215* | grep -SE "(Enforcement Action)|(\[TIMEOUT)|(CHR.+\|PRM\|1\|D.+(SWITCH|SIGNAL).+UNKNOWN)" - &gt;&gt; 2017-02-14-UncaughtWiMAX.txt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604</v>
      </c>
      <c r="B158" s="7">
        <v>4016</v>
      </c>
      <c r="C158" s="21" t="s">
        <v>192</v>
      </c>
      <c r="D158" s="21" t="s">
        <v>471</v>
      </c>
      <c r="E158" s="13">
        <v>42780.769189814811</v>
      </c>
      <c r="F158" s="13">
        <v>42780.786215277774</v>
      </c>
      <c r="G158" s="7">
        <v>1</v>
      </c>
      <c r="H158" s="21" t="s">
        <v>807</v>
      </c>
      <c r="I158" s="13">
        <v>42780.795844907407</v>
      </c>
      <c r="J158" s="7">
        <v>0</v>
      </c>
      <c r="K158" s="98" t="str">
        <f t="shared" si="80"/>
        <v>4015/4016</v>
      </c>
      <c r="L158" s="21" t="str">
        <f>VLOOKUP(A158,'Trips&amp;Operators'!$C$1:$G$99999,5,FALSE)</f>
        <v>HILLS DUSTIN</v>
      </c>
      <c r="M158" s="6">
        <f t="shared" si="81"/>
        <v>9.6296296323998831E-3</v>
      </c>
      <c r="N158" s="7">
        <f t="shared" si="96"/>
        <v>13.866666670655832</v>
      </c>
      <c r="O158" s="7"/>
      <c r="P158" s="7"/>
      <c r="Q158" s="22"/>
      <c r="R158" s="22"/>
      <c r="S158" s="31">
        <f t="shared" si="97"/>
        <v>1</v>
      </c>
      <c r="T158" s="46" t="str">
        <f t="shared" si="82"/>
        <v>NorthBound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7" t="str">
        <f t="shared" si="83"/>
        <v>https://d0f6bd738d7f1b3e5a7ca70fe4ff75f0.us-east-1.aws.found.io/app/kibana#/discover/Steve-Slow-Train-Analysis-(2080s-and-2083s)?_g=(refreshInterval:(display:Off,pause:!f,section:0,value:0),time:(from:'2017-02-14T17:27:38-0700',mode:absolute,to:'2017-02-14T20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188" t="str">
        <f t="shared" si="84"/>
        <v>N</v>
      </c>
      <c r="X158" s="188">
        <f t="shared" si="95"/>
        <v>1</v>
      </c>
      <c r="Y158" s="62">
        <f t="shared" si="85"/>
        <v>9.3399999999999997E-2</v>
      </c>
      <c r="Z158" s="62">
        <f t="shared" si="91"/>
        <v>5.8986000000000001</v>
      </c>
      <c r="AA158" s="62">
        <f t="shared" si="86"/>
        <v>5.8052000000000001</v>
      </c>
      <c r="AB158" s="59" t="e">
        <f>VLOOKUP(A158,Enforcements!$C$7:$K$14,8,0)</f>
        <v>#N/A</v>
      </c>
      <c r="AC158" s="55" t="e">
        <f>VLOOKUP(A158,Enforcements!$C$7:$E$14,3,0)</f>
        <v>#N/A</v>
      </c>
      <c r="AD158" s="56" t="str">
        <f t="shared" si="87"/>
        <v>0839-14</v>
      </c>
      <c r="AE158" s="85" t="str">
        <f t="shared" si="88"/>
        <v>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 &amp; 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</v>
      </c>
      <c r="AF158" s="82" t="str">
        <f t="shared" si="89"/>
        <v>"C:\Program Files (x86)\AstroGrep\AstroGrep.exe" /spath="%USERPROFILE%\AppData\Local\Temp\OnboardLogs" /stypes="app*4016*20170215*" /stext=" 02:.+((SYSTEM_STATE.+slice.+state.+changed )|(ment ac)|(multiple cpu faults)|(system.+state.+changed )|(\[timeout)|(PRM\|1\|D)|(kpr)|(kdp)|(\|lc)|(penalty)|(RTDC:00:00000204:00000036:00006526))" /e /r /s</v>
      </c>
      <c r="AG158" s="1" t="str">
        <f t="shared" si="90"/>
        <v>NW</v>
      </c>
      <c r="AH158" s="86" t="str">
        <f t="shared" si="92"/>
        <v>"%USERPROFILE%\Documents\GitHub\eaglep3\Utilities\RefineRTDCRunTimes.py" --tripid 839-14 --locoid 4016 --swversion DE.1.0.8.0 --startMP 204:934 --initTime 2017-02-14T18:27:38 --startdatetime 2017-02-14T18:52:09 --delay 1 --endMP 300:58986 --enddatetime 2017-02-14T19:06:01 --enforcementcount 0 &gt;&gt;C:\Users\stu\Documents\GitHub\eaglep3-reporting\EC\2017-02-14-refined-times.txt</v>
      </c>
      <c r="AI158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{"issue":{"subject":"","project_id":79,"tracker_id":40,"status_id":1,"priority_id":2,"assigned_to_id":23,"start_date":"2017-02-14","description":"","custom_fields":[{"id":1,"name":"Subdivision","value":"NW"},{"id":4,"name":"Milepost","value":"5.8986"},{"id":17,"name":"Train ID","value":"839-14"},{"id":16,"name":"Locomotive ID","value":"4016"},{"id":130,"name":"Impact","value":""},{"id":150,"name":"Time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94"/>
        <v>start /low /b %USERPROFILE%\Documents\GitHub\eaglep3\Utilities\DownloadLogsFromS3.py --loco 4016 --day 2017-02-14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"%USERPROFILE%\AppData\Local\Temp\OnboardLogs"\RTDC4016\*4016*20170215* | grep -SE "(Enforcement Action)|(\[TIMEOUT)|(CHR.+\|PRM\|1\|D.+(SWITCH|SIGNAL).+UNKNOWN)" - &gt;&gt; 2017-02-14-UncaughtWiMAX.txt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610</v>
      </c>
      <c r="B159" s="7">
        <v>4004</v>
      </c>
      <c r="C159" s="21" t="s">
        <v>192</v>
      </c>
      <c r="D159" s="21" t="s">
        <v>467</v>
      </c>
      <c r="E159" s="13">
        <v>42780.817696759259</v>
      </c>
      <c r="F159" s="13">
        <v>42780.818993055553</v>
      </c>
      <c r="G159" s="7">
        <v>1</v>
      </c>
      <c r="H159" s="21" t="s">
        <v>464</v>
      </c>
      <c r="I159" s="13">
        <v>42780.829930555556</v>
      </c>
      <c r="J159" s="7">
        <v>0</v>
      </c>
      <c r="K159" s="98" t="str">
        <f t="shared" si="80"/>
        <v>4003/4004</v>
      </c>
      <c r="L159" s="21" t="str">
        <f>VLOOKUP(A159,'Trips&amp;Operators'!$C$1:$G$99999,5,FALSE)</f>
        <v>LEVIN SCOTT</v>
      </c>
      <c r="M159" s="6">
        <f t="shared" si="81"/>
        <v>1.0937500002910383E-2</v>
      </c>
      <c r="N159" s="7">
        <f t="shared" si="96"/>
        <v>15.750000004190952</v>
      </c>
      <c r="O159" s="7"/>
      <c r="P159" s="7"/>
      <c r="Q159" s="22"/>
      <c r="R159" s="22"/>
      <c r="S159" s="31">
        <f t="shared" si="97"/>
        <v>1</v>
      </c>
      <c r="T159" s="46" t="str">
        <f t="shared" si="82"/>
        <v>Southbound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7" t="str">
        <f t="shared" si="83"/>
        <v>https://d0f6bd738d7f1b3e5a7ca70fe4ff75f0.us-east-1.aws.found.io/app/kibana#/discover/Steve-Slow-Train-Analysis-(2080s-and-2083s)?_g=(refreshInterval:(display:Off,pause:!f,section:0,value:0),time:(from:'2017-02-14T18:37:29-0700',mode:absolute,to:'2017-02-14T20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9" s="188" t="str">
        <f t="shared" si="84"/>
        <v>N</v>
      </c>
      <c r="X159" s="188">
        <f t="shared" si="95"/>
        <v>1</v>
      </c>
      <c r="Y159" s="62">
        <f t="shared" si="85"/>
        <v>5.8620999999999999</v>
      </c>
      <c r="Z159" s="62">
        <f t="shared" si="91"/>
        <v>6.5199999999999994E-2</v>
      </c>
      <c r="AA159" s="62">
        <f t="shared" si="86"/>
        <v>5.7968999999999999</v>
      </c>
      <c r="AB159" s="59" t="e">
        <f>VLOOKUP(A159,Enforcements!$C$7:$K$14,8,0)</f>
        <v>#N/A</v>
      </c>
      <c r="AC159" s="55" t="e">
        <f>VLOOKUP(A159,Enforcements!$C$7:$E$14,3,0)</f>
        <v>#N/A</v>
      </c>
      <c r="AD159" s="56" t="str">
        <f t="shared" si="87"/>
        <v>0840-14</v>
      </c>
      <c r="AE159" s="85" t="str">
        <f t="shared" si="88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59" s="82" t="str">
        <f t="shared" si="89"/>
        <v>"C:\Program Files (x86)\AstroGrep\AstroGrep.exe" /spath="%USERPROFILE%\AppData\Local\Temp\OnboardLogs" /stypes="app*4004*20170215*" /stext=" 02:.+((SYSTEM_STATE.+slice.+state.+changed )|(ment ac)|(multiple cpu faults)|(system.+state.+changed )|(\[timeout)|(PRM\|1\|D)|(kpr)|(kdp)|(\|lc)|(penalty)|(RTDC:00:00000204:00000036:00006526))" /e /r /s</v>
      </c>
      <c r="AG159" s="1" t="str">
        <f t="shared" si="90"/>
        <v>NW</v>
      </c>
      <c r="AH159" s="86" t="str">
        <f t="shared" si="92"/>
        <v>"%USERPROFILE%\Documents\GitHub\eaglep3\Utilities\RefineRTDCRunTimes.py" --tripid 840-14 --locoid 4004 --swversion DE.1.0.8.0 --startMP 300:58621 --initTime 2017-02-14T19:37:29 --startdatetime 2017-02-14T19:39:21 --delay 1 --endMP 204:652 --enddatetime 2017-02-14T19:55:06 --enforcementcount 0 &gt;&gt;C:\Users\stu\Documents\GitHub\eaglep3-reporting\EC\2017-02-14-refined-times.txt</v>
      </c>
      <c r="AI159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{"issue":{"subject":"","project_id":79,"tracker_id":40,"status_id":1,"priority_id":2,"assigned_to_id":23,"start_date":"2017-02-14","description":"","custom_fields":[{"id":1,"name":"Subdivision","value":"NW"},{"id":4,"name":"Milepost","value":"0.0652"},{"id":17,"name":"Train ID","value":"840-14"},{"id":16,"name":"Locomotive ID","value":"4004"},{"id":130,"name":"Impact","value":""},{"id":150,"name":"Time of Event (Mountain Time)","value":"19:55:06"},{"id":151,"name":"Denver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94"/>
        <v>start /low /b %USERPROFILE%\Documents\GitHub\eaglep3\Utilities\DownloadLogsFromS3.py --loco 4004 --day 2017-02-14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"%USERPROFILE%\AppData\Local\Temp\OnboardLogs"\RTDC4004\*4004*20170215* | grep -SE "(Enforcement Action)|(\[TIMEOUT)|(CHR.+\|PRM\|1\|D.+(SWITCH|SIGNAL).+UNKNOWN)" - &gt;&gt; 2017-02-14-UncaughtWiMAX.txt</v>
      </c>
    </row>
    <row r="160" spans="1:91" x14ac:dyDescent="0.25">
      <c r="A160" s="33" t="s">
        <v>494</v>
      </c>
      <c r="B160" s="7">
        <v>4003</v>
      </c>
      <c r="C160" s="21" t="s">
        <v>192</v>
      </c>
      <c r="D160" s="21" t="s">
        <v>808</v>
      </c>
      <c r="E160" s="13">
        <v>42780.804097222222</v>
      </c>
      <c r="F160" s="13">
        <v>42780.806435185186</v>
      </c>
      <c r="G160" s="7">
        <v>0</v>
      </c>
      <c r="H160" s="21" t="s">
        <v>415</v>
      </c>
      <c r="I160" s="13">
        <v>42780.816006944442</v>
      </c>
      <c r="J160" s="7">
        <v>1</v>
      </c>
      <c r="K160" s="98" t="str">
        <f t="shared" si="80"/>
        <v>4003/4004</v>
      </c>
      <c r="L160" s="21" t="str">
        <f>VLOOKUP(A160,'Trips&amp;Operators'!$C$1:$G$99999,5,FALSE)</f>
        <v>LEVIN SCOTT</v>
      </c>
      <c r="M160" s="6">
        <f t="shared" si="81"/>
        <v>9.5717592557775788E-3</v>
      </c>
      <c r="N160" s="7">
        <f t="shared" si="96"/>
        <v>13.783333328319713</v>
      </c>
      <c r="O160" s="7"/>
      <c r="P160" s="7"/>
      <c r="Q160" s="22"/>
      <c r="R160" s="22"/>
      <c r="S160" s="31">
        <f t="shared" si="97"/>
        <v>1</v>
      </c>
      <c r="T160" s="46" t="str">
        <f t="shared" si="82"/>
        <v>NorthBound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7" t="str">
        <f t="shared" si="83"/>
        <v>https://d0f6bd738d7f1b3e5a7ca70fe4ff75f0.us-east-1.aws.found.io/app/kibana#/discover/Steve-Slow-Train-Analysis-(2080s-and-2083s)?_g=(refreshInterval:(display:Off,pause:!f,section:0,value:0),time:(from:'2017-02-14T18:17:54-0700',mode:absolute,to:'2017-02-14T20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0" s="188" t="str">
        <f t="shared" si="84"/>
        <v>N</v>
      </c>
      <c r="X160" s="188">
        <f t="shared" si="95"/>
        <v>1</v>
      </c>
      <c r="Y160" s="62">
        <f t="shared" si="85"/>
        <v>9.4299999999999995E-2</v>
      </c>
      <c r="Z160" s="62">
        <f t="shared" si="91"/>
        <v>5.8933</v>
      </c>
      <c r="AA160" s="62">
        <f t="shared" si="86"/>
        <v>5.7990000000000004</v>
      </c>
      <c r="AB160" s="59" t="e">
        <f>VLOOKUP(A160,Enforcements!$C$7:$K$14,8,0)</f>
        <v>#N/A</v>
      </c>
      <c r="AC160" s="55" t="e">
        <f>VLOOKUP(A160,Enforcements!$C$7:$E$14,3,0)</f>
        <v>#N/A</v>
      </c>
      <c r="AD160" s="56" t="str">
        <f t="shared" si="87"/>
        <v>0841-14</v>
      </c>
      <c r="AE160" s="85" t="str">
        <f t="shared" si="88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60" s="82" t="str">
        <f t="shared" si="89"/>
        <v>"C:\Program Files (x86)\AstroGrep\AstroGrep.exe" /spath="%USERPROFILE%\AppData\Local\Temp\OnboardLogs" /stypes="app*4003*20170215*" /stext=" 02:.+((SYSTEM_STATE.+slice.+state.+changed )|(ment ac)|(multiple cpu faults)|(system.+state.+changed )|(\[timeout)|(PRM\|1\|D)|(kpr)|(kdp)|(\|lc)|(penalty)|(RTDC:00:00000204:00000036:00006526))" /e /r /s</v>
      </c>
      <c r="AG160" s="1" t="str">
        <f t="shared" si="90"/>
        <v>NW</v>
      </c>
      <c r="AH160" s="86" t="str">
        <f t="shared" si="92"/>
        <v>"%USERPROFILE%\Documents\GitHub\eaglep3\Utilities\RefineRTDCRunTimes.py" --tripid 841-14 --locoid 4003 --swversion DE.1.0.8.0 --startMP 204:943 --initTime 2017-02-14T19:17:54 --startdatetime 2017-02-14T19:21:16 --delay 0 --endMP 300:58933 --enddatetime 2017-02-14T19:35:03 --enforcementcount 1 &gt;&gt;C:\Users\stu\Documents\GitHub\eaglep3-reporting\EC\2017-02-14-refined-times.txt</v>
      </c>
      <c r="AI160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{"issue":{"subject":"","project_id":79,"tracker_id":40,"status_id":1,"priority_id":2,"assigned_to_id":23,"start_date":"2017-02-14","description":"","custom_fields":[{"id":1,"name":"Subdivision","value":"NW"},{"id":4,"name":"Milepost","value":"5.8933"},{"id":17,"name":"Train ID","value":"841-14"},{"id":16,"name":"Locomotive ID","value":"4003"},{"id":130,"name":"Impact","value":""},{"id":150,"name":"Time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94"/>
        <v>start /low /b %USERPROFILE%\Documents\GitHub\eaglep3\Utilities\DownloadLogsFromS3.py --loco 4003 --day 2017-02-14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"%USERPROFILE%\AppData\Local\Temp\OnboardLogs"\RTDC4003\*4003*20170215* | grep -SE "(Enforcement Action)|(\[TIMEOUT)|(CHR.+\|PRM\|1\|D.+(SWITCH|SIGNAL).+UNKNOWN)" - &gt;&gt; 2017-02-14-UncaughtWiMAX.txt</v>
      </c>
    </row>
    <row r="161" spans="1:91" s="20" customFormat="1" x14ac:dyDescent="0.25">
      <c r="A161" s="33" t="s">
        <v>615</v>
      </c>
      <c r="B161" s="7">
        <v>4004</v>
      </c>
      <c r="C161" s="21" t="s">
        <v>192</v>
      </c>
      <c r="D161" s="21" t="s">
        <v>773</v>
      </c>
      <c r="E161" s="13">
        <v>42780.858888888892</v>
      </c>
      <c r="F161" s="13">
        <v>42780.860219907408</v>
      </c>
      <c r="G161" s="7">
        <v>1</v>
      </c>
      <c r="H161" s="21" t="s">
        <v>472</v>
      </c>
      <c r="I161" s="13">
        <v>42780.871458333335</v>
      </c>
      <c r="J161" s="7">
        <v>0</v>
      </c>
      <c r="K161" s="98" t="str">
        <f t="shared" si="80"/>
        <v>4003/4004</v>
      </c>
      <c r="L161" s="21" t="str">
        <f>VLOOKUP(A161,'Trips&amp;Operators'!$C$1:$G$99999,5,FALSE)</f>
        <v>LEVIN SCOTT</v>
      </c>
      <c r="M161" s="6">
        <f t="shared" si="81"/>
        <v>1.1238425926421769E-2</v>
      </c>
      <c r="N161" s="7">
        <f t="shared" si="96"/>
        <v>16.183333334047347</v>
      </c>
      <c r="O161" s="7"/>
      <c r="P161" s="7"/>
      <c r="Q161" s="22"/>
      <c r="R161" s="22"/>
      <c r="S161" s="31">
        <f t="shared" si="97"/>
        <v>1</v>
      </c>
      <c r="T161" s="46" t="str">
        <f t="shared" si="82"/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 t="shared" si="83"/>
        <v>https://d0f6bd738d7f1b3e5a7ca70fe4ff75f0.us-east-1.aws.found.io/app/kibana#/discover/Steve-Slow-Train-Analysis-(2080s-and-2083s)?_g=(refreshInterval:(display:Off,pause:!f,section:0,value:0),time:(from:'2017-02-14T19:36:48-0700',mode:absolute,to:'2017-02-14T21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1" s="188" t="str">
        <f t="shared" si="84"/>
        <v>N</v>
      </c>
      <c r="X161" s="188">
        <f t="shared" si="95"/>
        <v>1</v>
      </c>
      <c r="Y161" s="62">
        <f t="shared" si="85"/>
        <v>5.8616999999999999</v>
      </c>
      <c r="Z161" s="62">
        <f t="shared" si="91"/>
        <v>6.4500000000000002E-2</v>
      </c>
      <c r="AA161" s="62">
        <f t="shared" si="86"/>
        <v>5.7972000000000001</v>
      </c>
      <c r="AB161" s="59" t="e">
        <f>VLOOKUP(A161,Enforcements!$C$7:$K$14,8,0)</f>
        <v>#N/A</v>
      </c>
      <c r="AC161" s="55" t="e">
        <f>VLOOKUP(A161,Enforcements!$C$7:$E$14,3,0)</f>
        <v>#N/A</v>
      </c>
      <c r="AD161" s="56" t="str">
        <f t="shared" si="87"/>
        <v>0842-14</v>
      </c>
      <c r="AE161" s="85" t="str">
        <f t="shared" si="88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61" s="82" t="str">
        <f t="shared" si="89"/>
        <v>"C:\Program Files (x86)\AstroGrep\AstroGrep.exe" /spath="%USERPROFILE%\AppData\Local\Temp\OnboardLogs" /stypes="app*4004*20170215*" /stext=" 03:.+((SYSTEM_STATE.+slice.+state.+changed )|(ment ac)|(multiple cpu faults)|(system.+state.+changed )|(\[timeout)|(PRM\|1\|D)|(kpr)|(kdp)|(\|lc)|(penalty)|(RTDC:00:00000204:00000036:00006526))" /e /r /s</v>
      </c>
      <c r="AG161" s="1" t="str">
        <f t="shared" si="90"/>
        <v>NW</v>
      </c>
      <c r="AH161" s="86" t="str">
        <f t="shared" si="92"/>
        <v>"%USERPROFILE%\Documents\GitHub\eaglep3\Utilities\RefineRTDCRunTimes.py" --tripid 842-14 --locoid 4004 --swversion DE.1.0.8.0 --startMP 300:58617 --initTime 2017-02-14T20:36:48 --startdatetime 2017-02-14T20:38:43 --delay 1 --endMP 204:645 --enddatetime 2017-02-14T20:54:54 --enforcementcount 0 &gt;&gt;C:\Users\stu\Documents\GitHub\eaglep3-reporting\EC\2017-02-14-refined-times.txt</v>
      </c>
      <c r="AI161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{"issue":{"subject":"","project_id":79,"tracker_id":40,"status_id":1,"priority_id":2,"assigned_to_id":23,"start_date":"2017-02-14","description":"","custom_fields":[{"id":1,"name":"Subdivision","value":"NW"},{"id":4,"name":"Milepost","value":"0.0645"},{"id":17,"name":"Train ID","value":"842-14"},{"id":16,"name":"Locomotive ID","value":"4004"},{"id":130,"name":"Impact","value":""},{"id":150,"name":"Time of Event (Mountain Time)","value":"20:54:54"},{"id":151,"name":"Denver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94"/>
        <v>start /low /b %USERPROFILE%\Documents\GitHub\eaglep3\Utilities\DownloadLogsFromS3.py --loco 4004 --day 2017-02-14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"%USERPROFILE%\AppData\Local\Temp\OnboardLogs"\RTDC4004\*4004*20170215* | grep -SE "(Enforcement Action)|(\[TIMEOUT)|(CHR.+\|PRM\|1\|D.+(SWITCH|SIGNAL).+UNKNOWN)" - &gt;&gt; 2017-02-14-UncaughtWiMAX.txt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613</v>
      </c>
      <c r="B162" s="7">
        <v>4003</v>
      </c>
      <c r="C162" s="21" t="s">
        <v>192</v>
      </c>
      <c r="D162" s="21" t="s">
        <v>819</v>
      </c>
      <c r="E162" s="13">
        <v>42780.844710648147</v>
      </c>
      <c r="F162" s="13">
        <v>42780.848090277781</v>
      </c>
      <c r="G162" s="7">
        <v>1</v>
      </c>
      <c r="H162" s="21" t="s">
        <v>418</v>
      </c>
      <c r="I162" s="13">
        <v>42780.857048611113</v>
      </c>
      <c r="J162" s="7">
        <v>0</v>
      </c>
      <c r="K162" s="98" t="str">
        <f t="shared" si="80"/>
        <v>4003/4004</v>
      </c>
      <c r="L162" s="21" t="str">
        <f>VLOOKUP(A162,'Trips&amp;Operators'!$C$1:$G$99999,5,FALSE)</f>
        <v>LEVIN SCOTT</v>
      </c>
      <c r="M162" s="6">
        <f t="shared" si="81"/>
        <v>8.9583333319751546E-3</v>
      </c>
      <c r="N162" s="7">
        <f t="shared" si="96"/>
        <v>12.899999998044223</v>
      </c>
      <c r="O162" s="7"/>
      <c r="P162" s="7"/>
      <c r="Q162" s="22"/>
      <c r="R162" s="22"/>
      <c r="S162" s="31">
        <f t="shared" si="97"/>
        <v>1</v>
      </c>
      <c r="T162" s="46" t="str">
        <f t="shared" si="82"/>
        <v>NorthBound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83"/>
        <v>https://d0f6bd738d7f1b3e5a7ca70fe4ff75f0.us-east-1.aws.found.io/app/kibana#/discover/Steve-Slow-Train-Analysis-(2080s-and-2083s)?_g=(refreshInterval:(display:Off,pause:!f,section:0,value:0),time:(from:'2017-02-14T19:16:23-0700',mode:absolute,to:'2017-02-14T21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2" s="188" t="str">
        <f t="shared" si="84"/>
        <v>N</v>
      </c>
      <c r="X162" s="188">
        <f t="shared" si="95"/>
        <v>1</v>
      </c>
      <c r="Y162" s="62">
        <f t="shared" si="85"/>
        <v>9.4399999999999998E-2</v>
      </c>
      <c r="Z162" s="62">
        <f t="shared" si="91"/>
        <v>5.8935000000000004</v>
      </c>
      <c r="AA162" s="62">
        <f t="shared" si="86"/>
        <v>5.7991000000000001</v>
      </c>
      <c r="AB162" s="59" t="e">
        <f>VLOOKUP(A162,Enforcements!$C$7:$K$14,8,0)</f>
        <v>#N/A</v>
      </c>
      <c r="AC162" s="55" t="e">
        <f>VLOOKUP(A162,Enforcements!$C$7:$E$14,3,0)</f>
        <v>#N/A</v>
      </c>
      <c r="AD162" s="56" t="str">
        <f t="shared" si="87"/>
        <v>0843-14</v>
      </c>
      <c r="AE162" s="85" t="str">
        <f t="shared" si="88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62" s="82" t="str">
        <f t="shared" si="89"/>
        <v>"C:\Program Files (x86)\AstroGrep\AstroGrep.exe" /spath="%USERPROFILE%\AppData\Local\Temp\OnboardLogs" /stypes="app*4003*20170215*" /stext=" 03:.+((SYSTEM_STATE.+slice.+state.+changed )|(ment ac)|(multiple cpu faults)|(system.+state.+changed )|(\[timeout)|(PRM\|1\|D)|(kpr)|(kdp)|(\|lc)|(penalty)|(RTDC:00:00000204:00000036:00006526))" /e /r /s</v>
      </c>
      <c r="AG162" s="1" t="str">
        <f t="shared" si="90"/>
        <v>NW</v>
      </c>
      <c r="AH162" s="86" t="str">
        <f t="shared" si="92"/>
        <v>"%USERPROFILE%\Documents\GitHub\eaglep3\Utilities\RefineRTDCRunTimes.py" --tripid 843-14 --locoid 4003 --swversion DE.1.0.8.0 --startMP 204:944 --initTime 2017-02-14T20:16:23 --startdatetime 2017-02-14T20:21:15 --delay 1 --endMP 300:58935 --enddatetime 2017-02-14T20:34:09 --enforcementcount 0 &gt;&gt;C:\Users\stu\Documents\GitHub\eaglep3-reporting\EC\2017-02-14-refined-times.txt</v>
      </c>
      <c r="AI162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{"issue":{"subject":"","project_id":79,"tracker_id":40,"status_id":1,"priority_id":2,"assigned_to_id":23,"start_date":"2017-02-14","description":"","custom_fields":[{"id":1,"name":"Subdivision","value":"NW"},{"id":4,"name":"Milepost","value":"5.8935"},{"id":17,"name":"Train ID","value":"843-14"},{"id":16,"name":"Locomotive ID","value":"4003"},{"id":130,"name":"Impact","value":""},{"id":150,"name":"Time of Event (Mountain Time)","value":"20:34:09"},{"id":151,"name":"Denver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94"/>
        <v>start /low /b %USERPROFILE%\Documents\GitHub\eaglep3\Utilities\DownloadLogsFromS3.py --loco 4003 --day 2017-02-14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"%USERPROFILE%\AppData\Local\Temp\OnboardLogs"\RTDC4003\*4003*20170215* | grep -SE "(Enforcement Action)|(\[TIMEOUT)|(CHR.+\|PRM\|1\|D.+(SWITCH|SIGNAL).+UNKNOWN)" - &gt;&gt; 2017-02-14-UncaughtWiMAX.txt</v>
      </c>
    </row>
    <row r="163" spans="1:91" x14ac:dyDescent="0.25">
      <c r="A163" s="33" t="s">
        <v>496</v>
      </c>
      <c r="B163" s="7">
        <v>4004</v>
      </c>
      <c r="C163" s="21" t="s">
        <v>192</v>
      </c>
      <c r="D163" s="21" t="s">
        <v>820</v>
      </c>
      <c r="E163" s="13">
        <v>42780.900868055556</v>
      </c>
      <c r="F163" s="13">
        <v>42780.903414351851</v>
      </c>
      <c r="G163" s="7">
        <v>1</v>
      </c>
      <c r="H163" s="21" t="s">
        <v>461</v>
      </c>
      <c r="I163" s="13">
        <v>42780.912893518522</v>
      </c>
      <c r="J163" s="7">
        <v>1</v>
      </c>
      <c r="K163" s="98" t="str">
        <f t="shared" si="80"/>
        <v>4003/4004</v>
      </c>
      <c r="L163" s="21" t="str">
        <f>VLOOKUP(A163,'Trips&amp;Operators'!$C$1:$G$99999,5,FALSE)</f>
        <v>HILLS DUSTIN</v>
      </c>
      <c r="M163" s="6">
        <f t="shared" si="81"/>
        <v>9.4791666706441902E-3</v>
      </c>
      <c r="N163" s="7">
        <f t="shared" si="96"/>
        <v>13.650000005727634</v>
      </c>
      <c r="O163" s="7"/>
      <c r="P163" s="7"/>
      <c r="Q163" s="22"/>
      <c r="R163" s="22"/>
      <c r="S163" s="31">
        <f t="shared" si="97"/>
        <v>1</v>
      </c>
      <c r="T163" s="46" t="str">
        <f t="shared" si="82"/>
        <v>Southbound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83"/>
        <v>https://d0f6bd738d7f1b3e5a7ca70fe4ff75f0.us-east-1.aws.found.io/app/kibana#/discover/Steve-Slow-Train-Analysis-(2080s-and-2083s)?_g=(refreshInterval:(display:Off,pause:!f,section:0,value:0),time:(from:'2017-02-14T20:37:15-0700',mode:absolute,to:'2017-02-14T22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3" s="188" t="str">
        <f t="shared" si="84"/>
        <v>N</v>
      </c>
      <c r="X163" s="188">
        <f t="shared" si="95"/>
        <v>1</v>
      </c>
      <c r="Y163" s="62">
        <f t="shared" si="85"/>
        <v>5.8707000000000003</v>
      </c>
      <c r="Z163" s="62">
        <f t="shared" si="91"/>
        <v>6.9099999999999995E-2</v>
      </c>
      <c r="AA163" s="62">
        <f t="shared" si="86"/>
        <v>5.8016000000000005</v>
      </c>
      <c r="AB163" s="59" t="e">
        <f>VLOOKUP(A163,Enforcements!$C$7:$K$14,8,0)</f>
        <v>#N/A</v>
      </c>
      <c r="AC163" s="55" t="e">
        <f>VLOOKUP(A163,Enforcements!$C$7:$E$14,3,0)</f>
        <v>#N/A</v>
      </c>
      <c r="AD163" s="56" t="str">
        <f t="shared" si="87"/>
        <v>0844-14</v>
      </c>
      <c r="AE163" s="85" t="str">
        <f t="shared" si="88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63" s="82" t="str">
        <f t="shared" si="89"/>
        <v>"C:\Program Files (x86)\AstroGrep\AstroGrep.exe" /spath="%USERPROFILE%\AppData\Local\Temp\OnboardLogs" /stypes="app*4004*20170215*" /stext=" 04:.+((SYSTEM_STATE.+slice.+state.+changed )|(ment ac)|(multiple cpu faults)|(system.+state.+changed )|(\[timeout)|(PRM\|1\|D)|(kpr)|(kdp)|(\|lc)|(penalty)|(RTDC:00:00000204:00000036:00006526))" /e /r /s</v>
      </c>
      <c r="AG163" s="1" t="str">
        <f t="shared" si="90"/>
        <v>NW</v>
      </c>
      <c r="AH163" s="86" t="str">
        <f t="shared" si="92"/>
        <v>"%USERPROFILE%\Documents\GitHub\eaglep3\Utilities\RefineRTDCRunTimes.py" --tripid 844-14 --locoid 4004 --swversion DE.1.0.8.0 --startMP 300:58707 --initTime 2017-02-14T21:37:15 --startdatetime 2017-02-14T21:40:55 --delay 1 --endMP 204:691 --enddatetime 2017-02-14T21:54:34 --enforcementcount 1 &gt;&gt;C:\Users\stu\Documents\GitHub\eaglep3-reporting\EC\2017-02-14-refined-times.txt</v>
      </c>
      <c r="AI163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{"issue":{"subject":"","project_id":79,"tracker_id":40,"status_id":1,"priority_id":2,"assigned_to_id":23,"start_date":"2017-02-14","description":"","custom_fields":[{"id":1,"name":"Subdivision","value":"NW"},{"id":4,"name":"Milepost","value":"0.0691"},{"id":17,"name":"Train ID","value":"844-14"},{"id":16,"name":"Locomotive ID","value":"4004"},{"id":130,"name":"Impact","value":""},{"id":150,"name":"Time of Event (Mountain Time)","value":"21:54:34"},{"id":151,"name":"Denver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94"/>
        <v>start /low /b %USERPROFILE%\Documents\GitHub\eaglep3\Utilities\DownloadLogsFromS3.py --loco 4004 --day 2017-02-14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"%USERPROFILE%\AppData\Local\Temp\OnboardLogs"\RTDC4004\*4004*20170215* | grep -SE "(Enforcement Action)|(\[TIMEOUT)|(CHR.+\|PRM\|1\|D.+(SWITCH|SIGNAL).+UNKNOWN)" - &gt;&gt; 2017-02-14-UncaughtWiMAX.txt</v>
      </c>
    </row>
    <row r="164" spans="1:91" s="20" customFormat="1" x14ac:dyDescent="0.25">
      <c r="A164" s="33" t="s">
        <v>619</v>
      </c>
      <c r="B164" s="7">
        <v>4003</v>
      </c>
      <c r="C164" s="21" t="s">
        <v>192</v>
      </c>
      <c r="D164" s="21" t="s">
        <v>806</v>
      </c>
      <c r="E164" s="13">
        <v>42780.87572916667</v>
      </c>
      <c r="F164" s="13">
        <v>42780.889930555553</v>
      </c>
      <c r="G164" s="7">
        <v>1</v>
      </c>
      <c r="H164" s="21" t="s">
        <v>462</v>
      </c>
      <c r="I164" s="13">
        <v>42780.899328703701</v>
      </c>
      <c r="J164" s="7">
        <v>0</v>
      </c>
      <c r="K164" s="98" t="str">
        <f t="shared" si="80"/>
        <v>4003/4004</v>
      </c>
      <c r="L164" s="21" t="str">
        <f>VLOOKUP(A164,'Trips&amp;Operators'!$C$1:$G$99999,5,FALSE)</f>
        <v>HILLS DUSTIN</v>
      </c>
      <c r="M164" s="6">
        <f t="shared" si="81"/>
        <v>9.3981481477385387E-3</v>
      </c>
      <c r="N164" s="7">
        <f t="shared" si="96"/>
        <v>13.533333332743496</v>
      </c>
      <c r="O164" s="7"/>
      <c r="P164" s="7"/>
      <c r="Q164" s="22"/>
      <c r="R164" s="22"/>
      <c r="S164" s="31">
        <f t="shared" si="97"/>
        <v>1</v>
      </c>
      <c r="T164" s="46" t="str">
        <f t="shared" si="82"/>
        <v>NorthBound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83"/>
        <v>https://d0f6bd738d7f1b3e5a7ca70fe4ff75f0.us-east-1.aws.found.io/app/kibana#/discover/Steve-Slow-Train-Analysis-(2080s-and-2083s)?_g=(refreshInterval:(display:Off,pause:!f,section:0,value:0),time:(from:'2017-02-14T20:01:03-0700',mode:absolute,to:'2017-02-14T22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4" s="188" t="str">
        <f t="shared" si="84"/>
        <v>N</v>
      </c>
      <c r="X164" s="188">
        <f t="shared" si="95"/>
        <v>1</v>
      </c>
      <c r="Y164" s="62">
        <f t="shared" si="85"/>
        <v>9.3200000000000005E-2</v>
      </c>
      <c r="Z164" s="62">
        <f t="shared" si="91"/>
        <v>5.9006999999999996</v>
      </c>
      <c r="AA164" s="62">
        <f t="shared" si="86"/>
        <v>5.8074999999999992</v>
      </c>
      <c r="AB164" s="59" t="e">
        <f>VLOOKUP(A164,Enforcements!$C$7:$K$14,8,0)</f>
        <v>#N/A</v>
      </c>
      <c r="AC164" s="55" t="e">
        <f>VLOOKUP(A164,Enforcements!$C$7:$E$14,3,0)</f>
        <v>#N/A</v>
      </c>
      <c r="AD164" s="56" t="str">
        <f t="shared" si="87"/>
        <v>0845-14</v>
      </c>
      <c r="AE164" s="85" t="str">
        <f t="shared" si="88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64" s="82" t="str">
        <f t="shared" si="89"/>
        <v>"C:\Program Files (x86)\AstroGrep\AstroGrep.exe" /spath="%USERPROFILE%\AppData\Local\Temp\OnboardLogs" /stypes="app*4003*20170215*" /stext=" 04:.+((SYSTEM_STATE.+slice.+state.+changed )|(ment ac)|(multiple cpu faults)|(system.+state.+changed )|(\[timeout)|(PRM\|1\|D)|(kpr)|(kdp)|(\|lc)|(penalty)|(RTDC:00:00000204:00000036:00006526))" /e /r /s</v>
      </c>
      <c r="AG164" s="1" t="str">
        <f t="shared" si="90"/>
        <v>NW</v>
      </c>
      <c r="AH164" s="86" t="str">
        <f t="shared" si="92"/>
        <v>"%USERPROFILE%\Documents\GitHub\eaglep3\Utilities\RefineRTDCRunTimes.py" --tripid 845-14 --locoid 4003 --swversion DE.1.0.8.0 --startMP 204:932 --initTime 2017-02-14T21:01:03 --startdatetime 2017-02-14T21:21:30 --delay 1 --endMP 300:59007 --enddatetime 2017-02-14T21:35:02 --enforcementcount 0 &gt;&gt;C:\Users\stu\Documents\GitHub\eaglep3-reporting\EC\2017-02-14-refined-times.txt</v>
      </c>
      <c r="AI164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{"issue":{"subject":"","project_id":79,"tracker_id":40,"status_id":1,"priority_id":2,"assigned_to_id":23,"start_date":"2017-02-14","description":"","custom_fields":[{"id":1,"name":"Subdivision","value":"NW"},{"id":4,"name":"Milepost","value":"5.9007"},{"id":17,"name":"Train ID","value":"845-14"},{"id":16,"name":"Locomotive ID","value":"4003"},{"id":130,"name":"Impact","value":""},{"id":150,"name":"Time of Event (Mountain Time)","value":"21:35:02"},{"id":151,"name":"Denver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94"/>
        <v>start /low /b %USERPROFILE%\Documents\GitHub\eaglep3\Utilities\DownloadLogsFromS3.py --loco 4003 --day 2017-02-14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"%USERPROFILE%\AppData\Local\Temp\OnboardLogs"\RTDC4003\*4003*20170215* | grep -SE "(Enforcement Action)|(\[TIMEOUT)|(CHR.+\|PRM\|1\|D.+(SWITCH|SIGNAL).+UNKNOWN)" - &gt;&gt; 2017-02-14-UncaughtWiMAX.txt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622</v>
      </c>
      <c r="B165" s="7">
        <v>4003</v>
      </c>
      <c r="C165" s="21" t="s">
        <v>192</v>
      </c>
      <c r="D165" s="21" t="s">
        <v>468</v>
      </c>
      <c r="E165" s="13">
        <v>42780.91479166667</v>
      </c>
      <c r="F165" s="13">
        <v>42780.931388888886</v>
      </c>
      <c r="G165" s="7">
        <v>0</v>
      </c>
      <c r="H165" s="21" t="s">
        <v>821</v>
      </c>
      <c r="I165" s="13">
        <v>42780.940787037034</v>
      </c>
      <c r="J165" s="7">
        <v>0</v>
      </c>
      <c r="K165" s="98" t="str">
        <f t="shared" si="80"/>
        <v>4003/4004</v>
      </c>
      <c r="L165" s="21" t="str">
        <f>VLOOKUP(A165,'Trips&amp;Operators'!$C$1:$G$99999,5,FALSE)</f>
        <v>HILLS DUSTIN</v>
      </c>
      <c r="M165" s="6">
        <f t="shared" si="81"/>
        <v>9.3981481477385387E-3</v>
      </c>
      <c r="N165" s="7">
        <f t="shared" si="96"/>
        <v>13.533333332743496</v>
      </c>
      <c r="O165" s="7"/>
      <c r="P165" s="7"/>
      <c r="Q165" s="22"/>
      <c r="R165" s="22"/>
      <c r="S165" s="31">
        <f t="shared" si="97"/>
        <v>1</v>
      </c>
      <c r="T165" s="46" t="str">
        <f t="shared" si="82"/>
        <v>NorthBound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83"/>
        <v>https://d0f6bd738d7f1b3e5a7ca70fe4ff75f0.us-east-1.aws.found.io/app/kibana#/discover/Steve-Slow-Train-Analysis-(2080s-and-2083s)?_g=(refreshInterval:(display:Off,pause:!f,section:0,value:0),time:(from:'2017-02-14T20:57:18-0700',mode:absolute,to:'2017-02-14T23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5" s="188" t="str">
        <f t="shared" si="84"/>
        <v>N</v>
      </c>
      <c r="X165" s="188">
        <f t="shared" si="95"/>
        <v>2</v>
      </c>
      <c r="Y165" s="62">
        <f t="shared" si="85"/>
        <v>9.74E-2</v>
      </c>
      <c r="Z165" s="62">
        <f t="shared" si="91"/>
        <v>5.899</v>
      </c>
      <c r="AA165" s="62">
        <f t="shared" si="86"/>
        <v>5.8015999999999996</v>
      </c>
      <c r="AB165" s="59" t="e">
        <f>VLOOKUP(A165,Enforcements!$C$7:$K$14,8,0)</f>
        <v>#N/A</v>
      </c>
      <c r="AC165" s="55" t="e">
        <f>VLOOKUP(A165,Enforcements!$C$7:$E$14,3,0)</f>
        <v>#N/A</v>
      </c>
      <c r="AD165" s="56" t="str">
        <f t="shared" si="87"/>
        <v>0847-14</v>
      </c>
      <c r="AE165" s="85" t="str">
        <f t="shared" si="88"/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AF165" s="82" t="str">
        <f t="shared" si="89"/>
        <v>"C:\Program Files (x86)\AstroGrep\AstroGrep.exe" /spath="%USERPROFILE%\AppData\Local\Temp\OnboardLogs" /stypes="app*4003*20170215*" /stext=" 05:.+((SYSTEM_STATE.+slice.+state.+changed )|(ment ac)|(multiple cpu faults)|(system.+state.+changed )|(\[timeout)|(PRM\|1\|D)|(kpr)|(kdp)|(\|lc)|(penalty)|(RTDC:00:00000204:00000036:00006526))" /e /r /s</v>
      </c>
      <c r="AG165" s="1" t="str">
        <f t="shared" si="90"/>
        <v>NW</v>
      </c>
      <c r="AH165" s="86" t="str">
        <f t="shared" si="92"/>
        <v>"%USERPROFILE%\Documents\GitHub\eaglep3\Utilities\RefineRTDCRunTimes.py" --tripid 847-14 --locoid 4003 --swversion DE.1.0.8.0 --startMP 204:974 --initTime 2017-02-14T21:57:18 --startdatetime 2017-02-14T22:21:12 --delay 0 --endMP 300:58990 --enddatetime 2017-02-14T22:34:44 --enforcementcount 0 &gt;&gt;C:\Users\stu\Documents\GitHub\eaglep3-reporting\EC\2017-02-14-refined-times.txt</v>
      </c>
      <c r="AI165" s="108" t="str">
        <f t="shared" si="93"/>
        <v>echo {"issue":{"subject":"","project_id":79,"tracker_id":40,"status_id":1,"priority_id":2,"assigned_to_id":23,"start_date":"2017-02-14","description":"","custom_fields":[{"id":1,"name":"Subdivision","value":"NW"},{"id":4,"name":"Milepost","value":"5.899"},{"id":17,"name":"Train ID","value":"847-14"},{"id":16,"name":"Locomotive ID","value":"4003"},{"id":130,"name":"Impact","value":""},{"id":150,"name":"Time of Event (Mountain Time)","value":"22:34:44"},{"id":151,"name":"Denver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94"/>
        <v>start /low /b %USERPROFILE%\Documents\GitHub\eaglep3\Utilities\DownloadLogsFromS3.py --loco 4003 --day 2017-02-14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"%USERPROFILE%\AppData\Local\Temp\OnboardLogs"\RTDC4003\*4003*20170215* | grep -SE "(Enforcement Action)|(\[TIMEOUT)|(CHR.+\|PRM\|1\|D.+(SWITCH|SIGNAL).+UNKNOWN)" - &gt;&gt; 2017-02-14-UncaughtWiMAX.txt</v>
      </c>
    </row>
    <row r="166" spans="1:91" x14ac:dyDescent="0.25">
      <c r="A166" s="33" t="s">
        <v>497</v>
      </c>
      <c r="B166" s="7">
        <v>4010</v>
      </c>
      <c r="C166" s="21" t="s">
        <v>192</v>
      </c>
      <c r="D166" s="21" t="s">
        <v>740</v>
      </c>
      <c r="E166" s="13">
        <v>42780.119699074072</v>
      </c>
      <c r="F166" s="13">
        <v>42780.12290509259</v>
      </c>
      <c r="G166" s="7">
        <v>4</v>
      </c>
      <c r="H166" s="21" t="s">
        <v>278</v>
      </c>
      <c r="I166" s="13">
        <v>42780.12903935185</v>
      </c>
      <c r="J166" s="7">
        <v>0</v>
      </c>
      <c r="K166" s="98" t="str">
        <f t="shared" si="80"/>
        <v>4009/4010</v>
      </c>
      <c r="L166" s="21" t="str">
        <f>VLOOKUP(A166,'Trips&amp;Operators'!$C$1:$G$99999,5,FALSE)</f>
        <v>OUN ZACK</v>
      </c>
      <c r="M166" s="6">
        <f t="shared" si="81"/>
        <v>6.1342592598521151E-3</v>
      </c>
      <c r="N166" s="7">
        <f t="shared" si="96"/>
        <v>8.8333333341870457</v>
      </c>
      <c r="O166" s="7"/>
      <c r="P166" s="7"/>
      <c r="Q166" s="22"/>
      <c r="R166" s="22"/>
      <c r="S166" s="31">
        <f t="shared" si="97"/>
        <v>1</v>
      </c>
      <c r="T166" s="46" t="str">
        <f t="shared" si="82"/>
        <v>Southbound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83"/>
        <v>https://d0f6bd738d7f1b3e5a7ca70fe4ff75f0.us-east-1.aws.found.io/app/kibana#/discover/Steve-Slow-Train-Analysis-(2080s-and-2083s)?_g=(refreshInterval:(display:Off,pause:!f,section:0,value:0),time:(from:'2017-02-14T01:52:22-0700',mode:absolute,to:'2017-02-14T04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188" t="str">
        <f t="shared" si="84"/>
        <v>Y</v>
      </c>
      <c r="X166" s="188">
        <f t="shared" si="95"/>
        <v>-545</v>
      </c>
      <c r="Y166" s="62">
        <f t="shared" si="85"/>
        <v>2.3165</v>
      </c>
      <c r="Z166" s="62">
        <f t="shared" si="91"/>
        <v>1.3899999999999999E-2</v>
      </c>
      <c r="AA166" s="62">
        <f t="shared" si="86"/>
        <v>2.3026</v>
      </c>
      <c r="AB166" s="59" t="e">
        <f>VLOOKUP(A166,Enforcements!$C$7:$K$14,8,0)</f>
        <v>#N/A</v>
      </c>
      <c r="AC166" s="55" t="e">
        <f>VLOOKUP(A166,Enforcements!$C$7:$E$14,3,0)</f>
        <v>#N/A</v>
      </c>
      <c r="AD166" s="56" t="str">
        <f t="shared" si="87"/>
        <v>0302-14</v>
      </c>
      <c r="AE166" s="85" t="str">
        <f t="shared" si="88"/>
        <v>aws s3 cp s3://rtdc.mdm.uploadarchive.raw/RTDC4010/ "%USERPROFILE%\AppData\Local\Temp\OnboardLogs"\RTDC4010\2017-02-14 --exclude "*" --recursive --include "*20170214*" &amp; "%USERPROFILE%\Documents\GitHub\mrs-test-scripts\Headless Mode &amp; Sideloading\WalkAndUnGZ.bat" "%USERPROFILE%\AppData\Local\Temp\OnboardLogs"\RTDC4010\2017-02-14 &amp; aws s3 cp s3://rtdc.mdm.uploadarchive.raw/RTDC4010/ "%USERPROFILE%\AppData\Local\Temp\OnboardLogs"\RTDC4010\2017-02-15 --exclude "*" --recursive --include "*20170215*" &amp; "%USERPROFILE%\Documents\GitHub\mrs-test-scripts\Headless Mode &amp; Sideloading\WalkAndUnGZ.bat" "%USERPROFILE%\AppData\Local\Temp\OnboardLogs"\RTDC4010\2017-02-15</v>
      </c>
      <c r="AF166" s="82" t="str">
        <f t="shared" si="89"/>
        <v>"C:\Program Files (x86)\AstroGrep\AstroGrep.exe" /spath="%USERPROFILE%\AppData\Local\Temp\OnboardLogs" /stypes="app*4010*20170214*" /stext=" 10:.+((SYSTEM_STATE.+slice.+state.+changed )|(ment ac)|(multiple cpu faults)|(system.+state.+changed )|(\[timeout)|(PRM\|1\|D)|(kpr)|(kdp)|(\|lc)|(penalty)|(RTDC:00:00000204:00000036:00006526))" /e /r /s</v>
      </c>
      <c r="AG166" s="1" t="str">
        <f t="shared" si="90"/>
        <v>Other</v>
      </c>
      <c r="AH166" s="86" t="str">
        <f t="shared" si="92"/>
        <v>"%USERPROFILE%\Documents\GitHub\eaglep3\Utilities\RefineRTDCRunTimes.py" --tripid 302-14 --locoid 4010 --swversion DE.1.0.8.0 --startMP 300:23165 --initTime 2017-02-14T02:52:22 --startdatetime 2017-02-14T02:56:59 --delay 4 --endMP 204:139 --enddatetime 2017-02-14T03:05:49 --enforcementcount 0 &gt;&gt;C:\Users\stu\Documents\GitHub\eaglep3-reporting\EC\2017-02-14-refined-times.txt</v>
      </c>
      <c r="AI166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{"issue":{"subject":"","project_id":79,"tracker_id":40,"status_id":1,"priority_id":2,"assigned_to_id":23,"start_date":"2017-02-14","description":"","custom_fields":[{"id":1,"name":"Subdivision","value":"Other"},{"id":4,"name":"Milepost","value":"0.0139"},{"id":17,"name":"Train ID","value":"302-14"},{"id":16,"name":"Locomotive ID","value":"4010"},{"id":130,"name":"Impact","value":""},{"id":150,"name":"Time of Event (Mountain Time)","value":"03:05:49"},{"id":151,"name":"Denver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94"/>
        <v>start /low /b %USERPROFILE%\Documents\GitHub\eaglep3\Utilities\DownloadLogsFromS3.py --loco 4010 --day 2017-02-14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"%USERPROFILE%\AppData\Local\Temp\OnboardLogs"\RTDC4010\*4010*20170214* | grep -SE "(Enforcement Action)|(\[TIMEOUT)|(CHR.+\|PRM\|1\|D.+(SWITCH|SIGNAL).+UNKNOWN)" - &gt;&gt; 2017-02-14-UncaughtWiMAX.txt</v>
      </c>
    </row>
    <row r="167" spans="1:91" x14ac:dyDescent="0.25">
      <c r="A167" s="33" t="s">
        <v>499</v>
      </c>
      <c r="B167" s="7">
        <v>4032</v>
      </c>
      <c r="C167" s="21" t="s">
        <v>192</v>
      </c>
      <c r="D167" s="21" t="s">
        <v>741</v>
      </c>
      <c r="E167" s="13">
        <v>42780.141967592594</v>
      </c>
      <c r="F167" s="13">
        <v>42780.144502314812</v>
      </c>
      <c r="G167" s="7">
        <v>3</v>
      </c>
      <c r="H167" s="21" t="s">
        <v>197</v>
      </c>
      <c r="I167" s="13">
        <v>42780.149143518516</v>
      </c>
      <c r="J167" s="7">
        <v>0</v>
      </c>
      <c r="K167" s="98" t="str">
        <f t="shared" si="80"/>
        <v>4031/4032</v>
      </c>
      <c r="L167" s="21" t="str">
        <f>VLOOKUP(A167,'Trips&amp;Operators'!$C$1:$G$99999,5,FALSE)</f>
        <v>MAELZER KURT</v>
      </c>
      <c r="M167" s="6">
        <f t="shared" si="81"/>
        <v>4.6412037045229226E-3</v>
      </c>
      <c r="N167" s="7">
        <f t="shared" si="96"/>
        <v>6.6833333345130086</v>
      </c>
      <c r="O167" s="7"/>
      <c r="P167" s="7"/>
      <c r="Q167" s="22"/>
      <c r="R167" s="22"/>
      <c r="S167" s="31">
        <f t="shared" si="97"/>
        <v>1</v>
      </c>
      <c r="T167" s="46" t="str">
        <f t="shared" si="82"/>
        <v>Southbound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83"/>
        <v>https://d0f6bd738d7f1b3e5a7ca70fe4ff75f0.us-east-1.aws.found.io/app/kibana#/discover/Steve-Slow-Train-Analysis-(2080s-and-2083s)?_g=(refreshInterval:(display:Off,pause:!f,section:0,value:0),time:(from:'2017-02-14T02:24:26-0700',mode:absolute,to:'2017-02-14T04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188" t="str">
        <f t="shared" si="84"/>
        <v>Y</v>
      </c>
      <c r="X167" s="188">
        <f t="shared" si="95"/>
        <v>2</v>
      </c>
      <c r="Y167" s="62">
        <f t="shared" si="85"/>
        <v>1.9496</v>
      </c>
      <c r="Z167" s="62">
        <f t="shared" si="91"/>
        <v>1.4500000000000001E-2</v>
      </c>
      <c r="AA167" s="62">
        <f t="shared" si="86"/>
        <v>1.9351</v>
      </c>
      <c r="AB167" s="59" t="e">
        <f>VLOOKUP(A167,Enforcements!$C$7:$K$14,8,0)</f>
        <v>#N/A</v>
      </c>
      <c r="AC167" s="55" t="e">
        <f>VLOOKUP(A167,Enforcements!$C$7:$E$14,3,0)</f>
        <v>#N/A</v>
      </c>
      <c r="AD167" s="56" t="str">
        <f t="shared" si="87"/>
        <v>0304-14</v>
      </c>
      <c r="AE167" s="85" t="str">
        <f t="shared" si="88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167" s="82" t="str">
        <f t="shared" si="89"/>
        <v>"C:\Program Files (x86)\AstroGrep\AstroGrep.exe" /spath="%USERPROFILE%\AppData\Local\Temp\OnboardLogs" /stypes="app*4032*20170214*" /stext=" 10:.+((SYSTEM_STATE.+slice.+state.+changed )|(ment ac)|(multiple cpu faults)|(system.+state.+changed )|(\[timeout)|(PRM\|1\|D)|(kpr)|(kdp)|(\|lc)|(penalty)|(RTDC:00:00000204:00000036:00006526))" /e /r /s</v>
      </c>
      <c r="AG167" s="1" t="str">
        <f t="shared" si="90"/>
        <v>Other</v>
      </c>
      <c r="AH167" s="86" t="str">
        <f t="shared" si="92"/>
        <v>"%USERPROFILE%\Documents\GitHub\eaglep3\Utilities\RefineRTDCRunTimes.py" --tripid 304-14 --locoid 4032 --swversion DE.1.0.8.0 --startMP 300:19496 --initTime 2017-02-14T03:24:26 --startdatetime 2017-02-14T03:28:05 --delay 3 --endMP 204:145 --enddatetime 2017-02-14T03:34:46 --enforcementcount 0 &gt;&gt;C:\Users\stu\Documents\GitHub\eaglep3-reporting\EC\2017-02-14-refined-times.txt</v>
      </c>
      <c r="AI167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{"issue":{"subject":"","project_id":79,"tracker_id":40,"status_id":1,"priority_id":2,"assigned_to_id":23,"start_date":"2017-02-14","description":"","custom_fields":[{"id":1,"name":"Subdivision","value":"Other"},{"id":4,"name":"Milepost","value":"0.0145"},{"id":17,"name":"Train ID","value":"304-14"},{"id":16,"name":"Locomotive ID","value":"4032"},{"id":130,"name":"Impact","value":""},{"id":150,"name":"Time of Event (Mountain Time)","value":"03:34:46"},{"id":151,"name":"Denver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94"/>
        <v>start /low /b %USERPROFILE%\Documents\GitHub\eaglep3\Utilities\DownloadLogsFromS3.py --loco 4032 --day 2017-02-14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</row>
    <row r="168" spans="1:91" x14ac:dyDescent="0.25">
      <c r="A168" s="33" t="s">
        <v>474</v>
      </c>
      <c r="B168" s="7">
        <v>4017</v>
      </c>
      <c r="C168" s="21" t="s">
        <v>192</v>
      </c>
      <c r="D168" s="21" t="s">
        <v>742</v>
      </c>
      <c r="E168" s="13">
        <v>42780.163495370369</v>
      </c>
      <c r="F168" s="13">
        <v>42780.16542824074</v>
      </c>
      <c r="G168" s="7">
        <v>2</v>
      </c>
      <c r="H168" s="21" t="s">
        <v>743</v>
      </c>
      <c r="I168" s="13">
        <v>42780.166863425926</v>
      </c>
      <c r="J168" s="7">
        <v>0</v>
      </c>
      <c r="K168" s="98" t="str">
        <f t="shared" si="80"/>
        <v>4017/4018</v>
      </c>
      <c r="L168" s="21" t="str">
        <f>VLOOKUP(A168,'Trips&amp;Operators'!$C$1:$G$99999,5,FALSE)</f>
        <v>STARKS ANGELINA</v>
      </c>
      <c r="M168" s="6">
        <f t="shared" si="81"/>
        <v>1.4351851859828457E-3</v>
      </c>
      <c r="N168" s="7">
        <f t="shared" si="96"/>
        <v>2.0666666678152978</v>
      </c>
      <c r="O168" s="7"/>
      <c r="P168" s="7"/>
      <c r="Q168" s="22"/>
      <c r="R168" s="22"/>
      <c r="S168" s="31">
        <f t="shared" si="97"/>
        <v>0</v>
      </c>
      <c r="T168" s="46" t="str">
        <f t="shared" si="82"/>
        <v>Southbound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187" t="str">
        <f t="shared" si="83"/>
        <v>https://d0f6bd738d7f1b3e5a7ca70fe4ff75f0.us-east-1.aws.found.io/app/kibana#/discover/Steve-Slow-Train-Analysis-(2080s-and-2083s)?_g=(refreshInterval:(display:Off,pause:!f,section:0,value:0),time:(from:'2017-02-14T02:55:26-0700',mode:absolute,to:'2017-02-14T05:00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8" s="188" t="str">
        <f t="shared" si="84"/>
        <v>Y</v>
      </c>
      <c r="X168" s="188">
        <f t="shared" si="95"/>
        <v>2</v>
      </c>
      <c r="Y168" s="62">
        <f t="shared" si="85"/>
        <v>2.512</v>
      </c>
      <c r="Z168" s="62">
        <f t="shared" si="91"/>
        <v>2.4580000000000002</v>
      </c>
      <c r="AA168" s="62">
        <f t="shared" si="86"/>
        <v>5.3999999999999826E-2</v>
      </c>
      <c r="AB168" s="59" t="e">
        <f>VLOOKUP(A168,Enforcements!$C$7:$K$14,8,0)</f>
        <v>#N/A</v>
      </c>
      <c r="AC168" s="55" t="e">
        <f>VLOOKUP(A168,Enforcements!$C$7:$E$14,3,0)</f>
        <v>#N/A</v>
      </c>
      <c r="AD168" s="56" t="str">
        <f t="shared" si="87"/>
        <v>0306-14</v>
      </c>
      <c r="AE168" s="85" t="str">
        <f t="shared" si="88"/>
        <v>aws s3 cp s3://rtdc.mdm.uploadarchive.raw/RTDC4017/ "%USERPROFILE%\AppData\Local\Temp\OnboardLogs"\RTDC4017\2017-02-14 --exclude "*" --recursive --include "*20170214*" &amp; "%USERPROFILE%\Documents\GitHub\mrs-test-scripts\Headless Mode &amp; Sideloading\WalkAndUnGZ.bat" "%USERPROFILE%\AppData\Local\Temp\OnboardLogs"\RTDC4017\2017-02-14 &amp; 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</v>
      </c>
      <c r="AF168" s="82" t="str">
        <f t="shared" si="89"/>
        <v>"C:\Program Files (x86)\AstroGrep\AstroGrep.exe" /spath="%USERPROFILE%\AppData\Local\Temp\OnboardLogs" /stypes="app*4017*20170214*" /stext=" 11:.+((SYSTEM_STATE.+slice.+state.+changed )|(ment ac)|(multiple cpu faults)|(system.+state.+changed )|(\[timeout)|(PRM\|1\|D)|(kpr)|(kdp)|(\|lc)|(penalty)|(RTDC:00:00000204:00000036:00006526))" /e /r /s</v>
      </c>
      <c r="AG168" s="1" t="str">
        <f t="shared" si="90"/>
        <v>Other</v>
      </c>
      <c r="AH168" s="86" t="str">
        <f t="shared" si="92"/>
        <v>"%USERPROFILE%\Documents\GitHub\eaglep3\Utilities\RefineRTDCRunTimes.py" --tripid 306-14 --locoid 4017 --swversion DE.1.0.8.0 --startMP 300:25120 --initTime 2017-02-14T03:55:26 --startdatetime 2017-02-14T03:58:13 --delay 2 --endMP 300:24580 --enddatetime 2017-02-14T04:00:17 --enforcementcount 0 &gt;&gt;C:\Users\stu\Documents\GitHub\eaglep3-reporting\EC\2017-02-14-refined-times.txt</v>
      </c>
      <c r="AI168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{"issue":{"subject":"","project_id":79,"tracker_id":40,"status_id":1,"priority_id":2,"assigned_to_id":23,"start_date":"2017-02-14","description":"","custom_fields":[{"id":1,"name":"Subdivision","value":"Other"},{"id":4,"name":"Milepost","value":"2.458"},{"id":17,"name":"Train ID","value":"306-14"},{"id":16,"name":"Locomotive ID","value":"4017"},{"id":130,"name":"Impact","value":""},{"id":150,"name":"Time of Event (Mountain Time)","value":"04:00:17"},{"id":151,"name":"Denver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94"/>
        <v>start /low /b %USERPROFILE%\Documents\GitHub\eaglep3\Utilities\DownloadLogsFromS3.py --loco 4017 --day 2017-02-14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"%USERPROFILE%\AppData\Local\Temp\OnboardLogs"\RTDC4017\*4017*20170214* | grep -SE "(Enforcement Action)|(\[TIMEOUT)|(CHR.+\|PRM\|1\|D.+(SWITCH|SIGNAL).+UNKNOWN)" - &gt;&gt; 2017-02-14-UncaughtWiMAX.txt</v>
      </c>
    </row>
    <row r="169" spans="1:91" x14ac:dyDescent="0.25">
      <c r="A169" s="33" t="s">
        <v>502</v>
      </c>
      <c r="B169" s="7">
        <v>4039</v>
      </c>
      <c r="C169" s="21" t="s">
        <v>192</v>
      </c>
      <c r="D169" s="21" t="s">
        <v>744</v>
      </c>
      <c r="E169" s="13">
        <v>42780.184884259259</v>
      </c>
      <c r="F169" s="13">
        <v>42780.185902777775</v>
      </c>
      <c r="G169" s="7">
        <v>1</v>
      </c>
      <c r="H169" s="21" t="s">
        <v>398</v>
      </c>
      <c r="I169" s="13">
        <v>42780.192048611112</v>
      </c>
      <c r="J169" s="7">
        <v>0</v>
      </c>
      <c r="K169" s="98" t="str">
        <f t="shared" si="80"/>
        <v>4039/4040</v>
      </c>
      <c r="L169" s="21" t="str">
        <f>VLOOKUP(A169,'Trips&amp;Operators'!$C$1:$G$99999,5,FALSE)</f>
        <v>BONDS REYNALDO</v>
      </c>
      <c r="M169" s="6">
        <f t="shared" si="81"/>
        <v>6.1458333366317675E-3</v>
      </c>
      <c r="N169" s="7">
        <f t="shared" si="96"/>
        <v>8.8500000047497451</v>
      </c>
      <c r="O169" s="7"/>
      <c r="P169" s="7"/>
      <c r="Q169" s="22"/>
      <c r="R169" s="22"/>
      <c r="S169" s="31">
        <f t="shared" si="97"/>
        <v>1</v>
      </c>
      <c r="T169" s="46" t="str">
        <f t="shared" si="82"/>
        <v>Southbound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83"/>
        <v>https://d0f6bd738d7f1b3e5a7ca70fe4ff75f0.us-east-1.aws.found.io/app/kibana#/discover/Steve-Slow-Train-Analysis-(2080s-and-2083s)?_g=(refreshInterval:(display:Off,pause:!f,section:0,value:0),time:(from:'2017-02-14T03:26:14-0700',mode:absolute,to:'2017-02-14T05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9" s="188" t="str">
        <f t="shared" si="84"/>
        <v>Y</v>
      </c>
      <c r="X169" s="188">
        <f t="shared" si="95"/>
        <v>2</v>
      </c>
      <c r="Y169" s="62">
        <f t="shared" si="85"/>
        <v>2.214</v>
      </c>
      <c r="Z169" s="62">
        <f t="shared" si="91"/>
        <v>1.47E-2</v>
      </c>
      <c r="AA169" s="62">
        <f t="shared" si="86"/>
        <v>2.1993</v>
      </c>
      <c r="AB169" s="59" t="e">
        <f>VLOOKUP(A169,Enforcements!$C$7:$K$14,8,0)</f>
        <v>#N/A</v>
      </c>
      <c r="AC169" s="55" t="e">
        <f>VLOOKUP(A169,Enforcements!$C$7:$E$14,3,0)</f>
        <v>#N/A</v>
      </c>
      <c r="AD169" s="56" t="str">
        <f t="shared" si="87"/>
        <v>0308-14</v>
      </c>
      <c r="AE169" s="85" t="str">
        <f t="shared" si="88"/>
        <v>aws s3 cp s3://rtdc.mdm.uploadarchive.raw/RTDC4039/ "%USERPROFILE%\AppData\Local\Temp\OnboardLogs"\RTDC4039\2017-02-14 --exclude "*" --recursive --include "*20170214*" &amp; "%USERPROFILE%\Documents\GitHub\mrs-test-scripts\Headless Mode &amp; Sideloading\WalkAndUnGZ.bat" "%USERPROFILE%\AppData\Local\Temp\OnboardLogs"\RTDC4039\2017-02-14 &amp; aws s3 cp s3://rtdc.mdm.uploadarchive.raw/RTDC4039/ "%USERPROFILE%\AppData\Local\Temp\OnboardLogs"\RTDC4039\2017-02-15 --exclude "*" --recursive --include "*20170215*" &amp; "%USERPROFILE%\Documents\GitHub\mrs-test-scripts\Headless Mode &amp; Sideloading\WalkAndUnGZ.bat" "%USERPROFILE%\AppData\Local\Temp\OnboardLogs"\RTDC4039\2017-02-15</v>
      </c>
      <c r="AF169" s="82" t="str">
        <f t="shared" si="89"/>
        <v>"C:\Program Files (x86)\AstroGrep\AstroGrep.exe" /spath="%USERPROFILE%\AppData\Local\Temp\OnboardLogs" /stypes="app*4039*20170214*" /stext=" 11:.+((SYSTEM_STATE.+slice.+state.+changed )|(ment ac)|(multiple cpu faults)|(system.+state.+changed )|(\[timeout)|(PRM\|1\|D)|(kpr)|(kdp)|(\|lc)|(penalty)|(RTDC:00:00000204:00000036:00006526))" /e /r /s</v>
      </c>
      <c r="AG169" s="1" t="str">
        <f t="shared" si="90"/>
        <v>Other</v>
      </c>
      <c r="AH169" s="86" t="str">
        <f t="shared" si="92"/>
        <v>"%USERPROFILE%\Documents\GitHub\eaglep3\Utilities\RefineRTDCRunTimes.py" --tripid 308-14 --locoid 4039 --swversion DE.1.0.8.0 --startMP 300:22140 --initTime 2017-02-14T04:26:14 --startdatetime 2017-02-14T04:27:42 --delay 1 --endMP 204:147 --enddatetime 2017-02-14T04:36:33 --enforcementcount 0 &gt;&gt;C:\Users\stu\Documents\GitHub\eaglep3-reporting\EC\2017-02-14-refined-times.txt</v>
      </c>
      <c r="AI169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{"issue":{"subject":"","project_id":79,"tracker_id":40,"status_id":1,"priority_id":2,"assigned_to_id":23,"start_date":"2017-02-14","description":"","custom_fields":[{"id":1,"name":"Subdivision","value":"Other"},{"id":4,"name":"Milepost","value":"0.0147"},{"id":17,"name":"Train ID","value":"308-14"},{"id":16,"name":"Locomotive ID","value":"4039"},{"id":130,"name":"Impact","value":""},{"id":150,"name":"Time of Event (Mountain Time)","value":"04:36:33"},{"id":151,"name":"Denver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94"/>
        <v>start /low /b %USERPROFILE%\Documents\GitHub\eaglep3\Utilities\DownloadLogsFromS3.py --loco 4039 --day 2017-02-14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"%USERPROFILE%\AppData\Local\Temp\OnboardLogs"\RTDC4039\*4039*20170214* | grep -SE "(Enforcement Action)|(\[TIMEOUT)|(CHR.+\|PRM\|1\|D.+(SWITCH|SIGNAL).+UNKNOWN)" - &gt;&gt; 2017-02-14-UncaughtWiMAX.txt</v>
      </c>
    </row>
    <row r="170" spans="1:91" s="20" customFormat="1" x14ac:dyDescent="0.25">
      <c r="A170" s="33" t="s">
        <v>641</v>
      </c>
      <c r="B170" s="7">
        <v>4027</v>
      </c>
      <c r="C170" s="21" t="s">
        <v>192</v>
      </c>
      <c r="D170" s="21" t="s">
        <v>708</v>
      </c>
      <c r="E170" s="13">
        <v>42781.056145833332</v>
      </c>
      <c r="F170" s="13">
        <v>42781.057280092595</v>
      </c>
      <c r="G170" s="7">
        <v>1</v>
      </c>
      <c r="H170" s="21" t="s">
        <v>458</v>
      </c>
      <c r="I170" s="13">
        <v>42781.065300925926</v>
      </c>
      <c r="J170" s="7">
        <v>0</v>
      </c>
      <c r="K170" s="98" t="str">
        <f t="shared" si="80"/>
        <v>4027/4028</v>
      </c>
      <c r="L170" s="21" t="str">
        <f>VLOOKUP(A170,'Trips&amp;Operators'!$C$1:$G$99999,5,FALSE)</f>
        <v>DAVIDSON DAVID</v>
      </c>
      <c r="M170" s="6">
        <f t="shared" si="81"/>
        <v>8.0208333311020397E-3</v>
      </c>
      <c r="N170" s="7">
        <f t="shared" si="96"/>
        <v>11.549999996786937</v>
      </c>
      <c r="O170" s="7"/>
      <c r="P170" s="7"/>
      <c r="Q170" s="22"/>
      <c r="R170" s="22"/>
      <c r="S170" s="31">
        <f t="shared" si="97"/>
        <v>1</v>
      </c>
      <c r="T170" s="46" t="str">
        <f t="shared" si="82"/>
        <v>NorthBound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83"/>
        <v>https://d0f6bd738d7f1b3e5a7ca70fe4ff75f0.us-east-1.aws.found.io/app/kibana#/discover/Steve-Slow-Train-Analysis-(2080s-and-2083s)?_g=(refreshInterval:(display:Off,pause:!f,section:0,value:0),time:(from:'2017-02-15T00:20:51-0700',mode:absolute,to:'2017-02-15T02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0" s="188" t="str">
        <f t="shared" si="84"/>
        <v>Y</v>
      </c>
      <c r="X170" s="188">
        <f t="shared" si="95"/>
        <v>1</v>
      </c>
      <c r="Y170" s="62">
        <f t="shared" si="85"/>
        <v>7.6100000000000001E-2</v>
      </c>
      <c r="Z170" s="62">
        <f t="shared" si="91"/>
        <v>2.3308</v>
      </c>
      <c r="AA170" s="62">
        <f t="shared" si="86"/>
        <v>2.2547000000000001</v>
      </c>
      <c r="AB170" s="59" t="e">
        <f>VLOOKUP(A170,Enforcements!$C$7:$K$14,8,0)</f>
        <v>#N/A</v>
      </c>
      <c r="AC170" s="55" t="e">
        <f>VLOOKUP(A170,Enforcements!$C$7:$E$14,3,0)</f>
        <v>#N/A</v>
      </c>
      <c r="AD170" s="56" t="str">
        <f t="shared" si="87"/>
        <v>0309-14</v>
      </c>
      <c r="AE170" s="85" t="str">
        <f t="shared" si="88"/>
        <v>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 &amp; 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</v>
      </c>
      <c r="AF170" s="82" t="str">
        <f t="shared" si="89"/>
        <v>"C:\Program Files (x86)\AstroGrep\AstroGrep.exe" /spath="%USERPROFILE%\AppData\Local\Temp\OnboardLogs" /stypes="app*4027*20170215*" /stext=" 08:.+((SYSTEM_STATE.+slice.+state.+changed )|(ment ac)|(multiple cpu faults)|(system.+state.+changed )|(\[timeout)|(PRM\|1\|D)|(kpr)|(kdp)|(\|lc)|(penalty)|(RTDC:00:00000204:00000036:00006526))" /e /r /s</v>
      </c>
      <c r="AG170" s="1" t="str">
        <f t="shared" si="90"/>
        <v>Other</v>
      </c>
      <c r="AH170" s="86" t="str">
        <f t="shared" si="92"/>
        <v>"%USERPROFILE%\Documents\GitHub\eaglep3\Utilities\RefineRTDCRunTimes.py" --tripid 309-14 --locoid 4027 --swversion DE.1.0.8.0 --startMP 204:761 --initTime 2017-02-15T01:20:51 --startdatetime 2017-02-15T01:22:29 --delay 1 --endMP 300:23308 --enddatetime 2017-02-15T01:34:02 --enforcementcount 0 &gt;&gt;C:\Users\stu\Documents\GitHub\eaglep3-reporting\EC\2017-02-14-refined-times.txt</v>
      </c>
      <c r="AI170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{"issue":{"subject":"","project_id":79,"tracker_id":40,"status_id":1,"priority_id":2,"assigned_to_id":23,"start_date":"2017-02-15","description":"","custom_fields":[{"id":1,"name":"Subdivision","value":"Other"},{"id":4,"name":"Milepost","value":"2.3308"},{"id":17,"name":"Train ID","value":"309-14"},{"id":16,"name":"Locomotive ID","value":"4027"},{"id":130,"name":"Impact","value":""},{"id":150,"name":"Time of Event (Mountain Time)","value":"01:34:02"},{"id":151,"name":"Denver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94"/>
        <v>start /low /b %USERPROFILE%\Documents\GitHub\eaglep3\Utilities\DownloadLogsFromS3.py --loco 4027 --day 2017-02-15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"%USERPROFILE%\AppData\Local\Temp\OnboardLogs"\RTDC4027\*4027*20170215* | grep -SE "(Enforcement Action)|(\[TIMEOUT)|(CHR.+\|PRM\|1\|D.+(SWITCH|SIGNAL).+UNKNOWN)" - &gt;&gt; 2017-02-14-UncaughtWiMAX.txt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503</v>
      </c>
      <c r="B171" s="7">
        <v>4043</v>
      </c>
      <c r="C171" s="21" t="s">
        <v>192</v>
      </c>
      <c r="D171" s="21" t="s">
        <v>745</v>
      </c>
      <c r="E171" s="13">
        <v>42780.187106481484</v>
      </c>
      <c r="F171" s="13">
        <v>42780.190428240741</v>
      </c>
      <c r="G171" s="7">
        <v>4</v>
      </c>
      <c r="H171" s="21" t="s">
        <v>746</v>
      </c>
      <c r="I171" s="13">
        <v>42780.196400462963</v>
      </c>
      <c r="J171" s="7">
        <v>0</v>
      </c>
      <c r="K171" s="98" t="str">
        <f t="shared" si="80"/>
        <v>4043/4044</v>
      </c>
      <c r="L171" s="21" t="str">
        <f>VLOOKUP(A171,'Trips&amp;Operators'!$C$1:$G$99999,5,FALSE)</f>
        <v>BEAM ROSS</v>
      </c>
      <c r="M171" s="6">
        <f t="shared" si="81"/>
        <v>5.9722222213167697E-3</v>
      </c>
      <c r="N171" s="7">
        <f t="shared" si="96"/>
        <v>8.5999999986961484</v>
      </c>
      <c r="O171" s="7"/>
      <c r="P171" s="7"/>
      <c r="Q171" s="22"/>
      <c r="R171" s="22"/>
      <c r="S171" s="31">
        <f t="shared" si="97"/>
        <v>1</v>
      </c>
      <c r="T171" s="46" t="str">
        <f t="shared" si="82"/>
        <v>Southbound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83"/>
        <v>https://d0f6bd738d7f1b3e5a7ca70fe4ff75f0.us-east-1.aws.found.io/app/kibana#/discover/Steve-Slow-Train-Analysis-(2080s-and-2083s)?_g=(refreshInterval:(display:Off,pause:!f,section:0,value:0),time:(from:'2017-02-14T03:29:26-0700',mode:absolute,to:'2017-02-14T05:42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1" s="188" t="str">
        <f t="shared" si="84"/>
        <v>Y</v>
      </c>
      <c r="X171" s="188">
        <f t="shared" si="95"/>
        <v>1</v>
      </c>
      <c r="Y171" s="62">
        <f t="shared" si="85"/>
        <v>2.0059</v>
      </c>
      <c r="Z171" s="62">
        <f t="shared" si="91"/>
        <v>3.0099999999999998E-2</v>
      </c>
      <c r="AA171" s="62">
        <f t="shared" si="86"/>
        <v>1.9758</v>
      </c>
      <c r="AB171" s="59" t="e">
        <f>VLOOKUP(A171,Enforcements!$C$7:$K$14,8,0)</f>
        <v>#N/A</v>
      </c>
      <c r="AC171" s="55" t="e">
        <f>VLOOKUP(A171,Enforcements!$C$7:$E$14,3,0)</f>
        <v>#N/A</v>
      </c>
      <c r="AD171" s="56" t="str">
        <f t="shared" si="87"/>
        <v>0310-14</v>
      </c>
      <c r="AE171" s="85" t="str">
        <f t="shared" si="88"/>
        <v>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 &amp; 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</v>
      </c>
      <c r="AF171" s="82" t="str">
        <f t="shared" si="89"/>
        <v>"C:\Program Files (x86)\AstroGrep\AstroGrep.exe" /spath="%USERPROFILE%\AppData\Local\Temp\OnboardLogs" /stypes="app*4043*20170214*" /stext=" 11:.+((SYSTEM_STATE.+slice.+state.+changed )|(ment ac)|(multiple cpu faults)|(system.+state.+changed )|(\[timeout)|(PRM\|1\|D)|(kpr)|(kdp)|(\|lc)|(penalty)|(RTDC:00:00000204:00000036:00006526))" /e /r /s</v>
      </c>
      <c r="AG171" s="1" t="str">
        <f t="shared" si="90"/>
        <v>Other</v>
      </c>
      <c r="AH171" s="86" t="str">
        <f t="shared" si="92"/>
        <v>"%USERPROFILE%\Documents\GitHub\eaglep3\Utilities\RefineRTDCRunTimes.py" --tripid 310-14 --locoid 4043 --swversion DE.1.0.8.0 --startMP 300:20059 --initTime 2017-02-14T04:29:26 --startdatetime 2017-02-14T04:34:13 --delay 4 --endMP 204:301 --enddatetime 2017-02-14T04:42:49 --enforcementcount 0 &gt;&gt;C:\Users\stu\Documents\GitHub\eaglep3-reporting\EC\2017-02-14-refined-times.txt</v>
      </c>
      <c r="AI171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{"issue":{"subject":"","project_id":79,"tracker_id":40,"status_id":1,"priority_id":2,"assigned_to_id":23,"start_date":"2017-02-14","description":"","custom_fields":[{"id":1,"name":"Subdivision","value":"Other"},{"id":4,"name":"Milepost","value":"0.0301"},{"id":17,"name":"Train ID","value":"310-14"},{"id":16,"name":"Locomotive ID","value":"4043"},{"id":130,"name":"Impact","value":""},{"id":150,"name":"Time of Event (Mountain Time)","value":"04:42:49"},{"id":151,"name":"Denver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94"/>
        <v>start /low /b %USERPROFILE%\Documents\GitHub\eaglep3\Utilities\DownloadLogsFromS3.py --loco 4043 --day 2017-02-14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"%USERPROFILE%\AppData\Local\Temp\OnboardLogs"\RTDC4043\*4043*20170214* | grep -SE "(Enforcement Action)|(\[TIMEOUT)|(CHR.+\|PRM\|1\|D.+(SWITCH|SIGNAL).+UNKNOWN)" - &gt;&gt; 2017-02-14-UncaughtWiMAX.txt</v>
      </c>
    </row>
    <row r="172" spans="1:91" x14ac:dyDescent="0.25">
      <c r="A172" s="33" t="s">
        <v>642</v>
      </c>
      <c r="B172" s="7">
        <v>4029</v>
      </c>
      <c r="C172" s="21" t="s">
        <v>192</v>
      </c>
      <c r="D172" s="21" t="s">
        <v>747</v>
      </c>
      <c r="E172" s="13">
        <v>42781.07534722222</v>
      </c>
      <c r="F172" s="13">
        <v>42781.076620370368</v>
      </c>
      <c r="G172" s="7">
        <v>1</v>
      </c>
      <c r="H172" s="21" t="s">
        <v>748</v>
      </c>
      <c r="I172" s="13">
        <v>42781.083391203705</v>
      </c>
      <c r="J172" s="7">
        <v>0</v>
      </c>
      <c r="K172" s="98" t="str">
        <f t="shared" si="80"/>
        <v>4029/4030</v>
      </c>
      <c r="L172" s="21" t="str">
        <f>VLOOKUP(A172,'Trips&amp;Operators'!$C$1:$G$99999,5,FALSE)</f>
        <v>STORY SAMANTHA</v>
      </c>
      <c r="M172" s="6">
        <f t="shared" si="81"/>
        <v>6.7708333372138441E-3</v>
      </c>
      <c r="N172" s="7">
        <f t="shared" si="96"/>
        <v>9.7500000055879354</v>
      </c>
      <c r="O172" s="7"/>
      <c r="P172" s="7"/>
      <c r="Q172" s="22"/>
      <c r="R172" s="22"/>
      <c r="S172" s="31">
        <f t="shared" si="97"/>
        <v>1</v>
      </c>
      <c r="T172" s="46" t="str">
        <f t="shared" si="82"/>
        <v>NorthBound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83"/>
        <v>https://d0f6bd738d7f1b3e5a7ca70fe4ff75f0.us-east-1.aws.found.io/app/kibana#/discover/Steve-Slow-Train-Analysis-(2080s-and-2083s)?_g=(refreshInterval:(display:Off,pause:!f,section:0,value:0),time:(from:'2017-02-15T00:48:30-0700',mode:absolute,to:'2017-02-15T03:00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2" s="188" t="str">
        <f t="shared" si="84"/>
        <v>Y</v>
      </c>
      <c r="X172" s="188">
        <f t="shared" si="95"/>
        <v>1</v>
      </c>
      <c r="Y172" s="62">
        <f t="shared" si="85"/>
        <v>5.0599999999999999E-2</v>
      </c>
      <c r="Z172" s="62">
        <f t="shared" si="91"/>
        <v>2.3304</v>
      </c>
      <c r="AA172" s="62">
        <f t="shared" si="86"/>
        <v>2.2797999999999998</v>
      </c>
      <c r="AB172" s="59" t="e">
        <f>VLOOKUP(A172,Enforcements!$C$7:$K$14,8,0)</f>
        <v>#N/A</v>
      </c>
      <c r="AC172" s="55" t="e">
        <f>VLOOKUP(A172,Enforcements!$C$7:$E$14,3,0)</f>
        <v>#N/A</v>
      </c>
      <c r="AD172" s="56" t="str">
        <f t="shared" si="87"/>
        <v>0311-14</v>
      </c>
      <c r="AE172" s="85" t="str">
        <f t="shared" si="88"/>
        <v>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 &amp; 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</v>
      </c>
      <c r="AF172" s="82" t="str">
        <f t="shared" si="89"/>
        <v>"C:\Program Files (x86)\AstroGrep\AstroGrep.exe" /spath="%USERPROFILE%\AppData\Local\Temp\OnboardLogs" /stypes="app*4029*20170215*" /stext=" 09:.+((SYSTEM_STATE.+slice.+state.+changed )|(ment ac)|(multiple cpu faults)|(system.+state.+changed )|(\[timeout)|(PRM\|1\|D)|(kpr)|(kdp)|(\|lc)|(penalty)|(RTDC:00:00000204:00000036:00006526))" /e /r /s</v>
      </c>
      <c r="AG172" s="1" t="str">
        <f t="shared" si="90"/>
        <v>Other</v>
      </c>
      <c r="AH172" s="86" t="str">
        <f t="shared" si="92"/>
        <v>"%USERPROFILE%\Documents\GitHub\eaglep3\Utilities\RefineRTDCRunTimes.py" --tripid 311-14 --locoid 4029 --swversion DE.1.0.8.0 --startMP 204:506 --initTime 2017-02-15T01:48:30 --startdatetime 2017-02-15T01:50:20 --delay 1 --endMP 300:23304 --enddatetime 2017-02-15T02:00:05 --enforcementcount 0 &gt;&gt;C:\Users\stu\Documents\GitHub\eaglep3-reporting\EC\2017-02-14-refined-times.txt</v>
      </c>
      <c r="AI172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{"issue":{"subject":"","project_id":79,"tracker_id":40,"status_id":1,"priority_id":2,"assigned_to_id":23,"start_date":"2017-02-15","description":"","custom_fields":[{"id":1,"name":"Subdivision","value":"Other"},{"id":4,"name":"Milepost","value":"2.3304"},{"id":17,"name":"Train ID","value":"311-14"},{"id":16,"name":"Locomotive ID","value":"4029"},{"id":130,"name":"Impact","value":""},{"id":150,"name":"Time of Event (Mountain Time)","value":"02:00:05"},{"id":151,"name":"Denver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94"/>
        <v>start /low /b %USERPROFILE%\Documents\GitHub\eaglep3\Utilities\DownloadLogsFromS3.py --loco 4029 --day 2017-02-15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"%USERPROFILE%\AppData\Local\Temp\OnboardLogs"\RTDC4029\*4029*20170215* | grep -SE "(Enforcement Action)|(\[TIMEOUT)|(CHR.+\|PRM\|1\|D.+(SWITCH|SIGNAL).+UNKNOWN)" - &gt;&gt; 2017-02-14-UncaughtWiMAX.txt</v>
      </c>
    </row>
    <row r="173" spans="1:91" x14ac:dyDescent="0.25">
      <c r="A173" s="33" t="s">
        <v>452</v>
      </c>
      <c r="B173" s="7">
        <v>4027</v>
      </c>
      <c r="C173" s="21" t="s">
        <v>192</v>
      </c>
      <c r="D173" s="21" t="s">
        <v>264</v>
      </c>
      <c r="E173" s="13">
        <v>42780.089409722219</v>
      </c>
      <c r="F173" s="13">
        <v>42780.090532407405</v>
      </c>
      <c r="G173" s="7">
        <v>1</v>
      </c>
      <c r="H173" s="21" t="s">
        <v>458</v>
      </c>
      <c r="I173" s="13">
        <v>42780.096967592595</v>
      </c>
      <c r="J173" s="7">
        <v>0</v>
      </c>
      <c r="K173" s="98" t="str">
        <f t="shared" ref="K173:K203" si="98">IF(ISEVEN(B173),(B173-1)&amp;"/"&amp;B173,B173&amp;"/"&amp;(B173+1))</f>
        <v>4027/4028</v>
      </c>
      <c r="L173" s="21" t="str">
        <f>VLOOKUP(A173,'Trips&amp;Operators'!$C$1:$G$99999,5,FALSE)</f>
        <v>STORY SAMANTHA</v>
      </c>
      <c r="M173" s="6">
        <f t="shared" ref="M173:M203" si="99">I173-F173</f>
        <v>6.4351851906394586E-3</v>
      </c>
      <c r="N173" s="7">
        <f t="shared" si="96"/>
        <v>9.2666666745208204</v>
      </c>
      <c r="O173" s="7"/>
      <c r="P173" s="7"/>
      <c r="Q173" s="22"/>
      <c r="R173" s="22"/>
      <c r="S173" s="31">
        <f t="shared" si="97"/>
        <v>1</v>
      </c>
      <c r="T173" s="46" t="str">
        <f t="shared" ref="T173:T203" si="100">IF(ISEVEN(LEFT(AD173,4)),"Southbound","NorthBound")</f>
        <v>NorthBound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ref="V173:V203" si="101"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-02-14T01:08:45-0700',mode:absolute,to:'2017-02-14T03:19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3" s="188" t="str">
        <f t="shared" ref="W173:W203" si="102">IF(AA173&lt;IF(AG173="EC",8.55,5.65),"Y","N")</f>
        <v>Y</v>
      </c>
      <c r="X173" s="188">
        <f t="shared" si="95"/>
        <v>2</v>
      </c>
      <c r="Y173" s="62">
        <f t="shared" ref="Y173:Y203" si="103">RIGHT(D173,LEN(D173)-4)/10000</f>
        <v>4.6699999999999998E-2</v>
      </c>
      <c r="Z173" s="62">
        <f t="shared" si="91"/>
        <v>2.3308</v>
      </c>
      <c r="AA173" s="62">
        <f t="shared" ref="AA173:AA203" si="104">ABS(Z173-Y173)</f>
        <v>2.2841</v>
      </c>
      <c r="AB173" s="59" t="e">
        <f>VLOOKUP(A173,Enforcements!$C$7:$K$14,8,0)</f>
        <v>#N/A</v>
      </c>
      <c r="AC173" s="55" t="e">
        <f>VLOOKUP(A173,Enforcements!$C$7:$E$14,3,0)</f>
        <v>#N/A</v>
      </c>
      <c r="AD173" s="56" t="str">
        <f t="shared" ref="AD173:AD203" si="105">IF(LEN(A173)=6,"0"&amp;A173,A173)</f>
        <v>0313-13</v>
      </c>
      <c r="AE173" s="85" t="str">
        <f t="shared" ref="AE173:AE203" si="106"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 &amp; 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</v>
      </c>
      <c r="AF173" s="82" t="str">
        <f t="shared" ref="AF173:AF203" si="107"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/stypes="app*4027*20170214*" /stext=" 09:.+((SYSTEM_STATE.+slice.+state.+changed )|(ment ac)|(multiple cpu faults)|(system.+state.+changed )|(\[timeout)|(PRM\|1\|D)|(kpr)|(kdp)|(\|lc)|(penalty)|(RTDC:00:00000204:00000036:00006526))" /e /r /s</v>
      </c>
      <c r="AG173" s="1" t="str">
        <f t="shared" ref="AG173:AG203" si="108">IFERROR(IF(VALUE(LEFT(AD173,2))&lt;=2,"EC",IF(OR(VALUE(LEFT(AD173,2))=8,VALUE(LEFT(AD173,2))=18),"NW","Other")),"Other")</f>
        <v>Other</v>
      </c>
      <c r="AH173" s="86" t="str">
        <f t="shared" si="92"/>
        <v>"%USERPROFILE%\Documents\GitHub\eaglep3\Utilities\RefineRTDCRunTimes.py" --tripid 313-13 --locoid 4027 --swversion DE.1.0.8.0 --startMP 204:467 --initTime 2017-02-14T02:08:45 --startdatetime 2017-02-14T02:10:22 --delay 1 --endMP 300:23308 --enddatetime 2017-02-14T02:19:38 --enforcementcount 0 &gt;&gt;C:\Users\stu\Documents\GitHub\eaglep3-reporting\EC\2017-02-14-refined-times.txt</v>
      </c>
      <c r="AI173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{"issue":{"subject":"","project_id":79,"tracker_id":40,"status_id":1,"priority_id":2,"assigned_to_id":23,"start_date":"2017-02-14","description":"","custom_fields":[{"id":1,"name":"Subdivision","value":"Other"},{"id":4,"name":"Milepost","value":"2.3308"},{"id":17,"name":"Train ID","value":"313-13"},{"id":16,"name":"Locomotive ID","value":"4027"},{"id":130,"name":"Impact","value":""},{"id":150,"name":"Time of Event (Mountain Time)","value":"02:19:38"},{"id":151,"name":"Denver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94"/>
        <v>start /low /b %USERPROFILE%\Documents\GitHub\eaglep3\Utilities\DownloadLogsFromS3.py --loco 4027 --day 2017-02-14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"%USERPROFILE%\AppData\Local\Temp\OnboardLogs"\RTDC4027\*4027*20170214* | grep -SE "(Enforcement Action)|(\[TIMEOUT)|(CHR.+\|PRM\|1\|D.+(SWITCH|SIGNAL).+UNKNOWN)" - &gt;&gt; 2017-02-14-UncaughtWiMAX.txt</v>
      </c>
    </row>
    <row r="174" spans="1:91" s="20" customFormat="1" x14ac:dyDescent="0.25">
      <c r="A174" s="33" t="s">
        <v>644</v>
      </c>
      <c r="B174" s="7">
        <v>4031</v>
      </c>
      <c r="C174" s="21" t="s">
        <v>192</v>
      </c>
      <c r="D174" s="21" t="s">
        <v>749</v>
      </c>
      <c r="E174" s="13">
        <v>42781.102986111109</v>
      </c>
      <c r="F174" s="13">
        <v>42781.104062500002</v>
      </c>
      <c r="G174" s="7">
        <v>1</v>
      </c>
      <c r="H174" s="21" t="s">
        <v>421</v>
      </c>
      <c r="I174" s="13">
        <v>42781.109560185185</v>
      </c>
      <c r="J174" s="7">
        <v>0</v>
      </c>
      <c r="K174" s="98" t="str">
        <f t="shared" si="98"/>
        <v>4031/4032</v>
      </c>
      <c r="L174" s="21" t="str">
        <f>VLOOKUP(A174,'Trips&amp;Operators'!$C$1:$G$99999,5,FALSE)</f>
        <v>STAMBAUGH JAMES</v>
      </c>
      <c r="M174" s="6">
        <f t="shared" si="99"/>
        <v>5.4976851824903861E-3</v>
      </c>
      <c r="N174" s="7">
        <f t="shared" si="96"/>
        <v>7.9166666627861559</v>
      </c>
      <c r="O174" s="7"/>
      <c r="P174" s="7"/>
      <c r="Q174" s="22"/>
      <c r="R174" s="22"/>
      <c r="S174" s="31">
        <f t="shared" si="97"/>
        <v>1</v>
      </c>
      <c r="T174" s="46" t="str">
        <f t="shared" si="100"/>
        <v>NorthBound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101"/>
        <v>https://d0f6bd738d7f1b3e5a7ca70fe4ff75f0.us-east-1.aws.found.io/app/kibana#/discover/Steve-Slow-Train-Analysis-(2080s-and-2083s)?_g=(refreshInterval:(display:Off,pause:!f,section:0,value:0),time:(from:'2017-02-15T01:28:18-0700',mode:absolute,to:'2017-02-15T03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188" t="str">
        <f t="shared" si="102"/>
        <v>Y</v>
      </c>
      <c r="X174" s="188">
        <f t="shared" si="95"/>
        <v>0</v>
      </c>
      <c r="Y174" s="62">
        <f t="shared" si="103"/>
        <v>6.83E-2</v>
      </c>
      <c r="Z174" s="62">
        <f t="shared" ref="Z174:Z203" si="109">RIGHT(H174,LEN(H174)-4)/10000</f>
        <v>2.3302</v>
      </c>
      <c r="AA174" s="62">
        <f t="shared" si="104"/>
        <v>2.2619000000000002</v>
      </c>
      <c r="AB174" s="59" t="e">
        <f>VLOOKUP(A174,Enforcements!$C$7:$K$14,8,0)</f>
        <v>#N/A</v>
      </c>
      <c r="AC174" s="55" t="e">
        <f>VLOOKUP(A174,Enforcements!$C$7:$E$14,3,0)</f>
        <v>#N/A</v>
      </c>
      <c r="AD174" s="56" t="str">
        <f t="shared" si="105"/>
        <v>0313-14</v>
      </c>
      <c r="AE174" s="85" t="str">
        <f t="shared" si="106"/>
        <v>aws s3 cp s3://rtdc.mdm.uploadarchive.raw/RTDC4031/ "%USERPROFILE%\AppData\Local\Temp\OnboardLogs"\RTDC4031\2017-02-15 --exclude "*" --recursive --include "*20170215*" &amp; "%USERPROFILE%\Documents\GitHub\mrs-test-scripts\Headless Mode &amp; Sideloading\WalkAndUnGZ.bat" "%USERPROFILE%\AppData\Local\Temp\OnboardLogs"\RTDC4031\2017-02-15 &amp; aws s3 cp s3://rtdc.mdm.uploadarchive.raw/RTDC4031/ "%USERPROFILE%\AppData\Local\Temp\OnboardLogs"\RTDC4031\2017-02-16 --exclude "*" --recursive --include "*20170216*" &amp; "%USERPROFILE%\Documents\GitHub\mrs-test-scripts\Headless Mode &amp; Sideloading\WalkAndUnGZ.bat" "%USERPROFILE%\AppData\Local\Temp\OnboardLogs"\RTDC4031\2017-02-16</v>
      </c>
      <c r="AF174" s="82" t="str">
        <f t="shared" si="107"/>
        <v>"C:\Program Files (x86)\AstroGrep\AstroGrep.exe" /spath="%USERPROFILE%\AppData\Local\Temp\OnboardLogs" /stypes="app*4031*20170215*" /stext=" 09:.+((SYSTEM_STATE.+slice.+state.+changed )|(ment ac)|(multiple cpu faults)|(system.+state.+changed )|(\[timeout)|(PRM\|1\|D)|(kpr)|(kdp)|(\|lc)|(penalty)|(RTDC:00:00000204:00000036:00006526))" /e /r /s</v>
      </c>
      <c r="AG174" s="1" t="str">
        <f t="shared" si="108"/>
        <v>Other</v>
      </c>
      <c r="AH174" s="86" t="str">
        <f t="shared" si="92"/>
        <v>"%USERPROFILE%\Documents\GitHub\eaglep3\Utilities\RefineRTDCRunTimes.py" --tripid 313-14 --locoid 4031 --swversion DE.1.0.8.0 --startMP 204:683 --initTime 2017-02-15T02:28:18 --startdatetime 2017-02-15T02:29:51 --delay 1 --endMP 300:23302 --enddatetime 2017-02-15T02:37:46 --enforcementcount 0 &gt;&gt;C:\Users\stu\Documents\GitHub\eaglep3-reporting\EC\2017-02-14-refined-times.txt</v>
      </c>
      <c r="AI174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{"issue":{"subject":"","project_id":79,"tracker_id":40,"status_id":1,"priority_id":2,"assigned_to_id":23,"start_date":"2017-02-15","description":"","custom_fields":[{"id":1,"name":"Subdivision","value":"Other"},{"id":4,"name":"Milepost","value":"2.3302"},{"id":17,"name":"Train ID","value":"313-14"},{"id":16,"name":"Locomotive ID","value":"4031"},{"id":130,"name":"Impact","value":""},{"id":150,"name":"Time of Event (Mountain Time)","value":"02:37:46"},{"id":151,"name":"Denver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94"/>
        <v>start /low /b %USERPROFILE%\Documents\GitHub\eaglep3\Utilities\DownloadLogsFromS3.py --loco 4031 --day 2017-02-15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"%USERPROFILE%\AppData\Local\Temp\OnboardLogs"\RTDC4031\*4031*20170215* | grep -SE "(Enforcement Action)|(\[TIMEOUT)|(CHR.+\|PRM\|1\|D.+(SWITCH|SIGNAL).+UNKNOWN)" - &gt;&gt; 2017-02-14-UncaughtWiMAX.txt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639</v>
      </c>
      <c r="B175" s="7">
        <v>4020</v>
      </c>
      <c r="C175" s="21" t="s">
        <v>192</v>
      </c>
      <c r="D175" s="21" t="s">
        <v>750</v>
      </c>
      <c r="E175" s="13">
        <v>42781.025694444441</v>
      </c>
      <c r="F175" s="13">
        <v>42781.026597222219</v>
      </c>
      <c r="G175" s="7">
        <v>1</v>
      </c>
      <c r="H175" s="21" t="s">
        <v>421</v>
      </c>
      <c r="I175" s="13">
        <v>42781.034710648149</v>
      </c>
      <c r="J175" s="7">
        <v>0</v>
      </c>
      <c r="K175" s="98" t="str">
        <f t="shared" si="98"/>
        <v>4019/4020</v>
      </c>
      <c r="L175" s="21" t="str">
        <f>VLOOKUP(A175,'Trips&amp;Operators'!$C$1:$G$99999,5,FALSE)</f>
        <v>CHANDLER KELVIN</v>
      </c>
      <c r="M175" s="6">
        <f t="shared" si="99"/>
        <v>8.1134259307873435E-3</v>
      </c>
      <c r="N175" s="7">
        <f t="shared" si="96"/>
        <v>11.683333340333775</v>
      </c>
      <c r="O175" s="7"/>
      <c r="P175" s="7"/>
      <c r="Q175" s="22"/>
      <c r="R175" s="22"/>
      <c r="S175" s="31">
        <f t="shared" si="97"/>
        <v>1</v>
      </c>
      <c r="T175" s="46" t="str">
        <f t="shared" si="100"/>
        <v>NorthBound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101"/>
        <v>https://d0f6bd738d7f1b3e5a7ca70fe4ff75f0.us-east-1.aws.found.io/app/kibana#/discover/Steve-Slow-Train-Analysis-(2080s-and-2083s)?_g=(refreshInterval:(display:Off,pause:!f,section:0,value:0),time:(from:'2017-02-14T23:37:00-0700',mode:absolute,to:'2017-02-15T01:49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5" s="188" t="str">
        <f t="shared" si="102"/>
        <v>Y</v>
      </c>
      <c r="X175" s="188">
        <f t="shared" si="95"/>
        <v>2</v>
      </c>
      <c r="Y175" s="62">
        <f t="shared" si="103"/>
        <v>6.3700000000000007E-2</v>
      </c>
      <c r="Z175" s="62">
        <f t="shared" si="109"/>
        <v>2.3302</v>
      </c>
      <c r="AA175" s="62">
        <f t="shared" si="104"/>
        <v>2.2665000000000002</v>
      </c>
      <c r="AB175" s="59" t="e">
        <f>VLOOKUP(A175,Enforcements!$C$7:$K$14,8,0)</f>
        <v>#N/A</v>
      </c>
      <c r="AC175" s="55" t="e">
        <f>VLOOKUP(A175,Enforcements!$C$7:$E$14,3,0)</f>
        <v>#N/A</v>
      </c>
      <c r="AD175" s="56" t="str">
        <f t="shared" si="105"/>
        <v>0315-14</v>
      </c>
      <c r="AE175" s="85" t="str">
        <f t="shared" si="106"/>
        <v>aws s3 cp s3://rtdc.mdm.uploadarchive.raw/RTDC4020/ "%USERPROFILE%\AppData\Local\Temp\OnboardLogs"\RTDC4020\2017-02-15 --exclude "*" --recursive --include "*20170215*" &amp; "%USERPROFILE%\Documents\GitHub\mrs-test-scripts\Headless Mode &amp; Sideloading\WalkAndUnGZ.bat" "%USERPROFILE%\AppData\Local\Temp\OnboardLogs"\RTDC4020\2017-02-15 &amp; aws s3 cp s3://rtdc.mdm.uploadarchive.raw/RTDC4020/ "%USERPROFILE%\AppData\Local\Temp\OnboardLogs"\RTDC4020\2017-02-16 --exclude "*" --recursive --include "*20170216*" &amp; "%USERPROFILE%\Documents\GitHub\mrs-test-scripts\Headless Mode &amp; Sideloading\WalkAndUnGZ.bat" "%USERPROFILE%\AppData\Local\Temp\OnboardLogs"\RTDC4020\2017-02-16</v>
      </c>
      <c r="AF175" s="82" t="str">
        <f t="shared" si="107"/>
        <v>"C:\Program Files (x86)\AstroGrep\AstroGrep.exe" /spath="%USERPROFILE%\AppData\Local\Temp\OnboardLogs" /stypes="app*4020*20170215*" /stext=" 07:.+((SYSTEM_STATE.+slice.+state.+changed )|(ment ac)|(multiple cpu faults)|(system.+state.+changed )|(\[timeout)|(PRM\|1\|D)|(kpr)|(kdp)|(\|lc)|(penalty)|(RTDC:00:00000204:00000036:00006526))" /e /r /s</v>
      </c>
      <c r="AG175" s="1" t="str">
        <f t="shared" si="108"/>
        <v>Other</v>
      </c>
      <c r="AH175" s="86" t="str">
        <f t="shared" si="92"/>
        <v>"%USERPROFILE%\Documents\GitHub\eaglep3\Utilities\RefineRTDCRunTimes.py" --tripid 315-14 --locoid 4020 --swversion DE.1.0.8.0 --startMP 204:637 --initTime 2017-02-15T00:37:00 --startdatetime 2017-02-15T00:38:18 --delay 1 --endMP 300:23302 --enddatetime 2017-02-15T00:49:59 --enforcementcount 0 &gt;&gt;C:\Users\stu\Documents\GitHub\eaglep3-reporting\EC\2017-02-14-refined-times.txt</v>
      </c>
      <c r="AI175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{"issue":{"subject":"","project_id":79,"tracker_id":40,"status_id":1,"priority_id":2,"assigned_to_id":23,"start_date":"2017-02-15","description":"","custom_fields":[{"id":1,"name":"Subdivision","value":"Other"},{"id":4,"name":"Milepost","value":"2.3302"},{"id":17,"name":"Train ID","value":"315-14"},{"id":16,"name":"Locomotive ID","value":"4020"},{"id":130,"name":"Impact","value":""},{"id":150,"name":"Time of Event (Mountain Time)","value":"00:49:59"},{"id":151,"name":"Denver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94"/>
        <v>start /low /b %USERPROFILE%\Documents\GitHub\eaglep3\Utilities\DownloadLogsFromS3.py --loco 4020 --day 2017-02-15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"%USERPROFILE%\AppData\Local\Temp\OnboardLogs"\RTDC4020\*4020*20170215* | grep -SE "(Enforcement Action)|(\[TIMEOUT)|(CHR.+\|PRM\|1\|D.+(SWITCH|SIGNAL).+UNKNOWN)" - &gt;&gt; 2017-02-14-UncaughtWiMAX.txt</v>
      </c>
    </row>
    <row r="176" spans="1:91" x14ac:dyDescent="0.25">
      <c r="A176" s="33" t="s">
        <v>507</v>
      </c>
      <c r="B176" s="7">
        <v>4016</v>
      </c>
      <c r="C176" s="21" t="s">
        <v>192</v>
      </c>
      <c r="D176" s="21" t="s">
        <v>823</v>
      </c>
      <c r="E176" s="13">
        <v>42780.203784722224</v>
      </c>
      <c r="F176" s="13">
        <v>42780.204618055555</v>
      </c>
      <c r="G176" s="7">
        <v>1</v>
      </c>
      <c r="H176" s="21" t="s">
        <v>824</v>
      </c>
      <c r="I176" s="13">
        <v>42780.209814814814</v>
      </c>
      <c r="J176" s="7">
        <v>0</v>
      </c>
      <c r="K176" s="98" t="str">
        <f t="shared" si="98"/>
        <v>4015/4016</v>
      </c>
      <c r="L176" s="21" t="str">
        <f>VLOOKUP(A176,'Trips&amp;Operators'!$C$1:$G$99999,5,FALSE)</f>
        <v>YORK EDGAR</v>
      </c>
      <c r="M176" s="6">
        <f t="shared" si="99"/>
        <v>5.1967592589790002E-3</v>
      </c>
      <c r="N176" s="7">
        <f t="shared" si="96"/>
        <v>7.4833333329297602</v>
      </c>
      <c r="O176" s="7"/>
      <c r="P176" s="7"/>
      <c r="Q176" s="22"/>
      <c r="R176" s="22"/>
      <c r="S176" s="31">
        <f t="shared" si="97"/>
        <v>0</v>
      </c>
      <c r="T176" s="46" t="str">
        <f t="shared" si="100"/>
        <v>NorthBound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87" t="str">
        <f t="shared" si="101"/>
        <v>https://d0f6bd738d7f1b3e5a7ca70fe4ff75f0.us-east-1.aws.found.io/app/kibana#/discover/Steve-Slow-Train-Analysis-(2080s-and-2083s)?_g=(refreshInterval:(display:Off,pause:!f,section:0,value:0),time:(from:'2017-02-14T03:53:27-0700',mode:absolute,to:'2017-02-14T06:02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188" t="str">
        <f t="shared" si="102"/>
        <v>Y</v>
      </c>
      <c r="X176" s="188">
        <f t="shared" ref="X176:X203" si="110">VALUE(LEFT(AD176,4))-VALUE(LEFT(AD175,4))</f>
        <v>586</v>
      </c>
      <c r="Y176" s="62">
        <f t="shared" si="103"/>
        <v>3.0112000000000001</v>
      </c>
      <c r="Z176" s="62">
        <f t="shared" si="109"/>
        <v>5.8943000000000003</v>
      </c>
      <c r="AA176" s="62">
        <f t="shared" si="104"/>
        <v>2.8831000000000002</v>
      </c>
      <c r="AB176" s="59" t="e">
        <f>VLOOKUP(A176,Enforcements!$C$7:$K$14,8,0)</f>
        <v>#N/A</v>
      </c>
      <c r="AC176" s="55" t="e">
        <f>VLOOKUP(A176,Enforcements!$C$7:$E$14,3,0)</f>
        <v>#N/A</v>
      </c>
      <c r="AD176" s="56" t="str">
        <f t="shared" si="105"/>
        <v>0901-14</v>
      </c>
      <c r="AE176" s="85" t="str">
        <f t="shared" si="106"/>
        <v>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 &amp; 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</v>
      </c>
      <c r="AF176" s="82" t="str">
        <f t="shared" si="107"/>
        <v>"C:\Program Files (x86)\AstroGrep\AstroGrep.exe" /spath="%USERPROFILE%\AppData\Local\Temp\OnboardLogs" /stypes="app*4016*20170214*" /stext=" 12:.+((SYSTEM_STATE.+slice.+state.+changed )|(ment ac)|(multiple cpu faults)|(system.+state.+changed )|(\[timeout)|(PRM\|1\|D)|(kpr)|(kdp)|(\|lc)|(penalty)|(RTDC:00:00000204:00000036:00006526))" /e /r /s</v>
      </c>
      <c r="AG176" s="1" t="str">
        <f t="shared" si="108"/>
        <v>Other</v>
      </c>
      <c r="AH176" s="86" t="str">
        <f t="shared" si="92"/>
        <v>"%USERPROFILE%\Documents\GitHub\eaglep3\Utilities\RefineRTDCRunTimes.py" --tripid 901-14 --locoid 4016 --swversion DE.1.0.8.0 --startMP 300:30112 --initTime 2017-02-14T04:53:27 --startdatetime 2017-02-14T04:54:39 --delay 1 --endMP 300:58943 --enddatetime 2017-02-14T05:02:08 --enforcementcount 0 &gt;&gt;C:\Users\stu\Documents\GitHub\eaglep3-reporting\EC\2017-02-14-refined-times.txt</v>
      </c>
      <c r="AI176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{"issue":{"subject":"","project_id":79,"tracker_id":40,"status_id":1,"priority_id":2,"assigned_to_id":23,"start_date":"2017-02-14","description":"","custom_fields":[{"id":1,"name":"Subdivision","value":"Other"},{"id":4,"name":"Milepost","value":"5.8943"},{"id":17,"name":"Train ID","value":"901-14"},{"id":16,"name":"Locomotive ID","value":"4016"},{"id":130,"name":"Impact","value":""},{"id":150,"name":"Time of Event (Mountain Time)","value":"05:02:08"},{"id":151,"name":"Denver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94"/>
        <v>start /low /b %USERPROFILE%\Documents\GitHub\eaglep3\Utilities\DownloadLogsFromS3.py --loco 4016 --day 2017-02-14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"%USERPROFILE%\AppData\Local\Temp\OnboardLogs"\RTDC4016\*4016*20170214* | grep -SE "(Enforcement Action)|(\[TIMEOUT)|(CHR.+\|PRM\|1\|D.+(SWITCH|SIGNAL).+UNKNOWN)" - &gt;&gt; 2017-02-14-UncaughtWiMAX.txt</v>
      </c>
    </row>
    <row r="177" spans="1:91" x14ac:dyDescent="0.25">
      <c r="A177" s="33" t="s">
        <v>511</v>
      </c>
      <c r="B177" s="7">
        <v>4004</v>
      </c>
      <c r="C177" s="21" t="s">
        <v>192</v>
      </c>
      <c r="D177" s="21" t="s">
        <v>825</v>
      </c>
      <c r="E177" s="13">
        <v>42780.245196759257</v>
      </c>
      <c r="F177" s="13">
        <v>42780.246180555558</v>
      </c>
      <c r="G177" s="7">
        <v>1</v>
      </c>
      <c r="H177" s="21" t="s">
        <v>826</v>
      </c>
      <c r="I177" s="13">
        <v>42780.251331018517</v>
      </c>
      <c r="J177" s="7">
        <v>0</v>
      </c>
      <c r="K177" s="98" t="str">
        <f t="shared" si="98"/>
        <v>4003/4004</v>
      </c>
      <c r="L177" s="21" t="str">
        <f>VLOOKUP(A177,'Trips&amp;Operators'!$C$1:$G$99999,5,FALSE)</f>
        <v>BROWN JACOB</v>
      </c>
      <c r="M177" s="6">
        <f t="shared" si="99"/>
        <v>5.1504629591363482E-3</v>
      </c>
      <c r="N177" s="7">
        <f t="shared" si="96"/>
        <v>7.4166666611563414</v>
      </c>
      <c r="O177" s="7"/>
      <c r="P177" s="7"/>
      <c r="Q177" s="22"/>
      <c r="R177" s="22"/>
      <c r="S177" s="31">
        <f t="shared" si="97"/>
        <v>1</v>
      </c>
      <c r="T177" s="46" t="str">
        <f t="shared" si="100"/>
        <v>Southbound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101"/>
        <v>https://d0f6bd738d7f1b3e5a7ca70fe4ff75f0.us-east-1.aws.found.io/app/kibana#/discover/Steve-Slow-Train-Analysis-(2080s-and-2083s)?_g=(refreshInterval:(display:Off,pause:!f,section:0,value:0),time:(from:'2017-02-14T04:53:05-0700',mode:absolute,to:'2017-02-14T07:01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7" s="188" t="str">
        <f t="shared" si="102"/>
        <v>Y</v>
      </c>
      <c r="X177" s="188">
        <f t="shared" si="110"/>
        <v>1</v>
      </c>
      <c r="Y177" s="62">
        <f t="shared" si="103"/>
        <v>2.1833</v>
      </c>
      <c r="Z177" s="62">
        <f t="shared" si="109"/>
        <v>7.0300000000000001E-2</v>
      </c>
      <c r="AA177" s="62">
        <f t="shared" si="104"/>
        <v>2.113</v>
      </c>
      <c r="AB177" s="59" t="e">
        <f>VLOOKUP(A177,Enforcements!$C$7:$K$14,8,0)</f>
        <v>#N/A</v>
      </c>
      <c r="AC177" s="55" t="e">
        <f>VLOOKUP(A177,Enforcements!$C$7:$E$14,3,0)</f>
        <v>#N/A</v>
      </c>
      <c r="AD177" s="56" t="str">
        <f t="shared" si="105"/>
        <v>0902-14</v>
      </c>
      <c r="AE177" s="85" t="str">
        <f t="shared" si="106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77" s="82" t="str">
        <f t="shared" si="107"/>
        <v>"C:\Program Files (x86)\AstroGrep\AstroGrep.exe" /spath="%USERPROFILE%\AppData\Local\Temp\OnboardLogs" /stypes="app*4004*20170214*" /stext=" 13:.+((SYSTEM_STATE.+slice.+state.+changed )|(ment ac)|(multiple cpu faults)|(system.+state.+changed )|(\[timeout)|(PRM\|1\|D)|(kpr)|(kdp)|(\|lc)|(penalty)|(RTDC:00:00000204:00000036:00006526))" /e /r /s</v>
      </c>
      <c r="AG177" s="1" t="str">
        <f t="shared" si="108"/>
        <v>Other</v>
      </c>
      <c r="AH177" s="86" t="str">
        <f t="shared" si="92"/>
        <v>"%USERPROFILE%\Documents\GitHub\eaglep3\Utilities\RefineRTDCRunTimes.py" --tripid 902-14 --locoid 4004 --swversion DE.1.0.8.0 --startMP 300:21833 --initTime 2017-02-14T05:53:05 --startdatetime 2017-02-14T05:54:30 --delay 1 --endMP 204:703 --enddatetime 2017-02-14T06:01:55 --enforcementcount 0 &gt;&gt;C:\Users\stu\Documents\GitHub\eaglep3-reporting\EC\2017-02-14-refined-times.txt</v>
      </c>
      <c r="AI177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{"issue":{"subject":"","project_id":79,"tracker_id":40,"status_id":1,"priority_id":2,"assigned_to_id":23,"start_date":"2017-02-14","description":"","custom_fields":[{"id":1,"name":"Subdivision","value":"Other"},{"id":4,"name":"Milepost","value":"0.0703"},{"id":17,"name":"Train ID","value":"902-14"},{"id":16,"name":"Locomotive ID","value":"4004"},{"id":130,"name":"Impact","value":""},{"id":150,"name":"Time of Event (Mountain Time)","value":"06:01:55"},{"id":151,"name":"Denver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94"/>
        <v>start /low /b %USERPROFILE%\Documents\GitHub\eaglep3\Utilities\DownloadLogsFromS3.py --loco 4004 --day 2017-02-14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"%USERPROFILE%\AppData\Local\Temp\OnboardLogs"\RTDC4004\*4004*20170214* | grep -SE "(Enforcement Action)|(\[TIMEOUT)|(CHR.+\|PRM\|1\|D.+(SWITCH|SIGNAL).+UNKNOWN)" - &gt;&gt; 2017-02-14-UncaughtWiMAX.txt</v>
      </c>
    </row>
    <row r="178" spans="1:91" s="20" customFormat="1" x14ac:dyDescent="0.25">
      <c r="A178" s="33" t="s">
        <v>536</v>
      </c>
      <c r="B178" s="7">
        <v>4016</v>
      </c>
      <c r="C178" s="21" t="s">
        <v>192</v>
      </c>
      <c r="D178" s="21" t="s">
        <v>827</v>
      </c>
      <c r="E178" s="13">
        <v>42780.351851851854</v>
      </c>
      <c r="F178" s="13">
        <v>42780.352500000001</v>
      </c>
      <c r="G178" s="7">
        <v>0</v>
      </c>
      <c r="H178" s="21" t="s">
        <v>828</v>
      </c>
      <c r="I178" s="13">
        <v>42780.358067129629</v>
      </c>
      <c r="J178" s="7">
        <v>0</v>
      </c>
      <c r="K178" s="98" t="str">
        <f t="shared" si="98"/>
        <v>4015/4016</v>
      </c>
      <c r="L178" s="21" t="str">
        <f>VLOOKUP(A178,'Trips&amp;Operators'!$C$1:$G$99999,5,FALSE)</f>
        <v>YORK EDGAR</v>
      </c>
      <c r="M178" s="6">
        <f t="shared" si="99"/>
        <v>5.5671296286163852E-3</v>
      </c>
      <c r="N178" s="7">
        <f t="shared" si="96"/>
        <v>8.0166666652075946</v>
      </c>
      <c r="O178" s="7"/>
      <c r="P178" s="7"/>
      <c r="Q178" s="22"/>
      <c r="R178" s="22"/>
      <c r="S178" s="31">
        <f t="shared" si="97"/>
        <v>1</v>
      </c>
      <c r="T178" s="46" t="str">
        <f t="shared" si="100"/>
        <v>NorthBound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101"/>
        <v>https://d0f6bd738d7f1b3e5a7ca70fe4ff75f0.us-east-1.aws.found.io/app/kibana#/discover/Steve-Slow-Train-Analysis-(2080s-and-2083s)?_g=(refreshInterval:(display:Off,pause:!f,section:0,value:0),time:(from:'2017-02-14T07:26:40-0700',mode:absolute,to:'2017-02-14T09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188" t="str">
        <f t="shared" si="102"/>
        <v>Y</v>
      </c>
      <c r="X178" s="188">
        <f t="shared" si="110"/>
        <v>1</v>
      </c>
      <c r="Y178" s="62">
        <f t="shared" si="103"/>
        <v>0.12189999999999999</v>
      </c>
      <c r="Z178" s="62">
        <f t="shared" si="109"/>
        <v>2.4247999999999998</v>
      </c>
      <c r="AA178" s="62">
        <f t="shared" si="104"/>
        <v>2.3028999999999997</v>
      </c>
      <c r="AB178" s="59" t="e">
        <f>VLOOKUP(A178,Enforcements!$C$7:$K$14,8,0)</f>
        <v>#N/A</v>
      </c>
      <c r="AC178" s="55" t="e">
        <f>VLOOKUP(A178,Enforcements!$C$7:$E$14,3,0)</f>
        <v>#N/A</v>
      </c>
      <c r="AD178" s="56" t="str">
        <f t="shared" si="105"/>
        <v>0903-14</v>
      </c>
      <c r="AE178" s="85" t="str">
        <f t="shared" si="106"/>
        <v>aws s3 cp s3://rtdc.mdm.uploadarchive.raw/RTDC4016/ "%USERPROFILE%\AppData\Local\Temp\OnboardLogs"\RTDC4016\2017-02-14 --exclude "*" --recursive --include "*20170214*" &amp; "%USERPROFILE%\Documents\GitHub\mrs-test-scripts\Headless Mode &amp; Sideloading\WalkAndUnGZ.bat" "%USERPROFILE%\AppData\Local\Temp\OnboardLogs"\RTDC4016\2017-02-14 &amp; aws s3 cp s3://rtdc.mdm.uploadarchive.raw/RTDC4016/ "%USERPROFILE%\AppData\Local\Temp\OnboardLogs"\RTDC4016\2017-02-15 --exclude "*" --recursive --include "*20170215*" &amp; "%USERPROFILE%\Documents\GitHub\mrs-test-scripts\Headless Mode &amp; Sideloading\WalkAndUnGZ.bat" "%USERPROFILE%\AppData\Local\Temp\OnboardLogs"\RTDC4016\2017-02-15</v>
      </c>
      <c r="AF178" s="82" t="str">
        <f t="shared" si="107"/>
        <v>"C:\Program Files (x86)\AstroGrep\AstroGrep.exe" /spath="%USERPROFILE%\AppData\Local\Temp\OnboardLogs" /stypes="app*4016*20170214*" /stext=" 15:.+((SYSTEM_STATE.+slice.+state.+changed )|(ment ac)|(multiple cpu faults)|(system.+state.+changed )|(\[timeout)|(PRM\|1\|D)|(kpr)|(kdp)|(\|lc)|(penalty)|(RTDC:00:00000204:00000036:00006526))" /e /r /s</v>
      </c>
      <c r="AG178" s="1" t="str">
        <f t="shared" si="108"/>
        <v>Other</v>
      </c>
      <c r="AH178" s="86" t="str">
        <f t="shared" si="92"/>
        <v>"%USERPROFILE%\Documents\GitHub\eaglep3\Utilities\RefineRTDCRunTimes.py" --tripid 903-14 --locoid 4016 --swversion DE.1.0.8.0 --startMP 204:1219 --initTime 2017-02-14T08:26:40 --startdatetime 2017-02-14T08:27:36 --delay 0 --endMP 300:24248 --enddatetime 2017-02-14T08:35:37 --enforcementcount 0 &gt;&gt;C:\Users\stu\Documents\GitHub\eaglep3-reporting\EC\2017-02-14-refined-times.txt</v>
      </c>
      <c r="AI178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{"issue":{"subject":"","project_id":79,"tracker_id":40,"status_id":1,"priority_id":2,"assigned_to_id":23,"start_date":"2017-02-14","description":"","custom_fields":[{"id":1,"name":"Subdivision","value":"Other"},{"id":4,"name":"Milepost","value":"2.4248"},{"id":17,"name":"Train ID","value":"903-14"},{"id":16,"name":"Locomotive ID","value":"4016"},{"id":130,"name":"Impact","value":""},{"id":150,"name":"Time of Event (Mountain Time)","value":"08:35:37"},{"id":151,"name":"Denver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94"/>
        <v>start /low /b %USERPROFILE%\Documents\GitHub\eaglep3\Utilities\DownloadLogsFromS3.py --loco 4016 --day 2017-02-14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"%USERPROFILE%\AppData\Local\Temp\OnboardLogs"\RTDC4016\*4016*20170214* | grep -SE "(Enforcement Action)|(\[TIMEOUT)|(CHR.+\|PRM\|1\|D.+(SWITCH|SIGNAL).+UNKNOWN)" - &gt;&gt; 2017-02-14-UncaughtWiMAX.txt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488</v>
      </c>
      <c r="B179" s="7">
        <v>4015</v>
      </c>
      <c r="C179" s="21" t="s">
        <v>192</v>
      </c>
      <c r="D179" s="21" t="s">
        <v>829</v>
      </c>
      <c r="E179" s="13">
        <v>42780.642511574071</v>
      </c>
      <c r="F179" s="13">
        <v>42780.643611111111</v>
      </c>
      <c r="G179" s="7">
        <v>1</v>
      </c>
      <c r="H179" s="21" t="s">
        <v>472</v>
      </c>
      <c r="I179" s="13">
        <v>42780.649814814817</v>
      </c>
      <c r="J179" s="7">
        <v>0</v>
      </c>
      <c r="K179" s="98" t="str">
        <f t="shared" si="98"/>
        <v>4015/4016</v>
      </c>
      <c r="L179" s="21" t="str">
        <f>VLOOKUP(A179,'Trips&amp;Operators'!$C$1:$G$99999,5,FALSE)</f>
        <v>HILLS DUSTIN</v>
      </c>
      <c r="M179" s="6">
        <f t="shared" si="99"/>
        <v>6.2037037059781142E-3</v>
      </c>
      <c r="N179" s="7">
        <f t="shared" si="96"/>
        <v>8.9333333366084844</v>
      </c>
      <c r="O179" s="7"/>
      <c r="P179" s="7"/>
      <c r="Q179" s="22"/>
      <c r="R179" s="22"/>
      <c r="S179" s="31">
        <f t="shared" si="97"/>
        <v>1</v>
      </c>
      <c r="T179" s="46" t="str">
        <f t="shared" si="100"/>
        <v>Southbound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101"/>
        <v>https://d0f6bd738d7f1b3e5a7ca70fe4ff75f0.us-east-1.aws.found.io/app/kibana#/discover/Steve-Slow-Train-Analysis-(2080s-and-2083s)?_g=(refreshInterval:(display:Off,pause:!f,section:0,value:0),time:(from:'2017-02-14T14:25:13-0700',mode:absolute,to:'2017-02-14T16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188" t="str">
        <f t="shared" si="102"/>
        <v>Y</v>
      </c>
      <c r="X179" s="188">
        <f t="shared" si="110"/>
        <v>1</v>
      </c>
      <c r="Y179" s="62">
        <f t="shared" si="103"/>
        <v>2.3022999999999998</v>
      </c>
      <c r="Z179" s="62">
        <f t="shared" si="109"/>
        <v>6.4500000000000002E-2</v>
      </c>
      <c r="AA179" s="62">
        <f t="shared" si="104"/>
        <v>2.2378</v>
      </c>
      <c r="AB179" s="59" t="e">
        <f>VLOOKUP(A179,Enforcements!$C$7:$K$14,8,0)</f>
        <v>#N/A</v>
      </c>
      <c r="AC179" s="55" t="e">
        <f>VLOOKUP(A179,Enforcements!$C$7:$E$14,3,0)</f>
        <v>#N/A</v>
      </c>
      <c r="AD179" s="56" t="str">
        <f t="shared" si="105"/>
        <v>0904-14</v>
      </c>
      <c r="AE179" s="85" t="str">
        <f t="shared" si="106"/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AF179" s="82" t="str">
        <f t="shared" si="107"/>
        <v>"C:\Program Files (x86)\AstroGrep\AstroGrep.exe" /spath="%USERPROFILE%\AppData\Local\Temp\OnboardLogs" /stypes="app*4015*20170214*" /stext=" 22:.+((SYSTEM_STATE.+slice.+state.+changed )|(ment ac)|(multiple cpu faults)|(system.+state.+changed )|(\[timeout)|(PRM\|1\|D)|(kpr)|(kdp)|(\|lc)|(penalty)|(RTDC:00:00000204:00000036:00006526))" /e /r /s</v>
      </c>
      <c r="AG179" s="1" t="str">
        <f t="shared" si="108"/>
        <v>Other</v>
      </c>
      <c r="AH179" s="86" t="str">
        <f t="shared" si="92"/>
        <v>"%USERPROFILE%\Documents\GitHub\eaglep3\Utilities\RefineRTDCRunTimes.py" --tripid 904-14 --locoid 4015 --swversion DE.1.0.8.0 --startMP 300:23023 --initTime 2017-02-14T15:25:13 --startdatetime 2017-02-14T15:26:48 --delay 1 --endMP 204:645 --enddatetime 2017-02-14T15:35:44 --enforcementcount 0 &gt;&gt;C:\Users\stu\Documents\GitHub\eaglep3-reporting\EC\2017-02-14-refined-times.txt</v>
      </c>
      <c r="AI179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{"issue":{"subject":"","project_id":79,"tracker_id":40,"status_id":1,"priority_id":2,"assigned_to_id":23,"start_date":"2017-02-14","description":"","custom_fields":[{"id":1,"name":"Subdivision","value":"Other"},{"id":4,"name":"Milepost","value":"0.0645"},{"id":17,"name":"Train ID","value":"904-14"},{"id":16,"name":"Locomotive ID","value":"4015"},{"id":130,"name":"Impact","value":""},{"id":150,"name":"Time of Event (Mountain Time)","value":"15:35:44"},{"id":151,"name":"Denver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94"/>
        <v>start /low /b %USERPROFILE%\Documents\GitHub\eaglep3\Utilities\DownloadLogsFromS3.py --loco 4015 --day 2017-02-14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"%USERPROFILE%\AppData\Local\Temp\OnboardLogs"\RTDC4015\*4015*20170214* | grep -SE "(Enforcement Action)|(\[TIMEOUT)|(CHR.+\|PRM\|1\|D.+(SWITCH|SIGNAL).+UNKNOWN)" - &gt;&gt; 2017-02-14-UncaughtWiMAX.txt</v>
      </c>
    </row>
    <row r="180" spans="1:91" s="20" customFormat="1" x14ac:dyDescent="0.25">
      <c r="A180" s="33" t="s">
        <v>607</v>
      </c>
      <c r="B180" s="7">
        <v>4015</v>
      </c>
      <c r="C180" s="21" t="s">
        <v>192</v>
      </c>
      <c r="D180" s="21" t="s">
        <v>830</v>
      </c>
      <c r="E180" s="13">
        <v>42780.796979166669</v>
      </c>
      <c r="F180" s="13">
        <v>42780.797777777778</v>
      </c>
      <c r="G180" s="7">
        <v>1</v>
      </c>
      <c r="H180" s="21" t="s">
        <v>831</v>
      </c>
      <c r="I180" s="13">
        <v>42780.803564814814</v>
      </c>
      <c r="J180" s="7">
        <v>0</v>
      </c>
      <c r="K180" s="98" t="str">
        <f t="shared" si="98"/>
        <v>4015/4016</v>
      </c>
      <c r="L180" s="21" t="str">
        <f>VLOOKUP(A180,'Trips&amp;Operators'!$C$1:$G$99999,5,FALSE)</f>
        <v>HILLS DUSTIN</v>
      </c>
      <c r="M180" s="6">
        <f t="shared" si="99"/>
        <v>5.7870370364980772E-3</v>
      </c>
      <c r="N180" s="7">
        <f t="shared" si="96"/>
        <v>8.3333333325572312</v>
      </c>
      <c r="O180" s="7"/>
      <c r="P180" s="7"/>
      <c r="Q180" s="22"/>
      <c r="R180" s="22"/>
      <c r="S180" s="31">
        <f t="shared" si="97"/>
        <v>0</v>
      </c>
      <c r="T180" s="46" t="str">
        <f t="shared" si="100"/>
        <v>Southbound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0</v>
      </c>
      <c r="V180" s="187" t="str">
        <f t="shared" si="101"/>
        <v>https://d0f6bd738d7f1b3e5a7ca70fe4ff75f0.us-east-1.aws.found.io/app/kibana#/discover/Steve-Slow-Train-Analysis-(2080s-and-2083s)?_g=(refreshInterval:(display:Off,pause:!f,section:0,value:0),time:(from:'2017-02-14T18:07:39-0700',mode:absolute,to:'2017-02-14T20:17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188" t="str">
        <f t="shared" si="102"/>
        <v>Y</v>
      </c>
      <c r="X180" s="188">
        <f t="shared" si="110"/>
        <v>2</v>
      </c>
      <c r="Y180" s="62">
        <f t="shared" si="103"/>
        <v>5.8672000000000004</v>
      </c>
      <c r="Z180" s="62">
        <f t="shared" si="109"/>
        <v>2.8797000000000001</v>
      </c>
      <c r="AA180" s="62">
        <f t="shared" si="104"/>
        <v>2.9875000000000003</v>
      </c>
      <c r="AB180" s="59" t="e">
        <f>VLOOKUP(A180,Enforcements!$C$7:$K$14,8,0)</f>
        <v>#N/A</v>
      </c>
      <c r="AC180" s="55" t="e">
        <f>VLOOKUP(A180,Enforcements!$C$7:$E$14,3,0)</f>
        <v>#N/A</v>
      </c>
      <c r="AD180" s="56" t="str">
        <f t="shared" si="105"/>
        <v>0906-14</v>
      </c>
      <c r="AE180" s="85" t="str">
        <f t="shared" si="106"/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AF180" s="82" t="str">
        <f t="shared" si="107"/>
        <v>"C:\Program Files (x86)\AstroGrep\AstroGrep.exe" /spath="%USERPROFILE%\AppData\Local\Temp\OnboardLogs" /stypes="app*4015*20170215*" /stext=" 02:.+((SYSTEM_STATE.+slice.+state.+changed )|(ment ac)|(multiple cpu faults)|(system.+state.+changed )|(\[timeout)|(PRM\|1\|D)|(kpr)|(kdp)|(\|lc)|(penalty)|(RTDC:00:00000204:00000036:00006526))" /e /r /s</v>
      </c>
      <c r="AG180" s="1" t="str">
        <f t="shared" si="108"/>
        <v>Other</v>
      </c>
      <c r="AH180" s="86" t="str">
        <f t="shared" si="92"/>
        <v>"%USERPROFILE%\Documents\GitHub\eaglep3\Utilities\RefineRTDCRunTimes.py" --tripid 906-14 --locoid 4015 --swversion DE.1.0.8.0 --startMP 300:58672 --initTime 2017-02-14T19:07:39 --startdatetime 2017-02-14T19:08:48 --delay 1 --endMP 300:28797 --enddatetime 2017-02-14T19:17:08 --enforcementcount 0 &gt;&gt;C:\Users\stu\Documents\GitHub\eaglep3-reporting\EC\2017-02-14-refined-times.txt</v>
      </c>
      <c r="AI180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{"issue":{"subject":"","project_id":79,"tracker_id":40,"status_id":1,"priority_id":2,"assigned_to_id":23,"start_date":"2017-02-14","description":"","custom_fields":[{"id":1,"name":"Subdivision","value":"Other"},{"id":4,"name":"Milepost","value":"2.8797"},{"id":17,"name":"Train ID","value":"906-14"},{"id":16,"name":"Locomotive ID","value":"4015"},{"id":130,"name":"Impact","value":""},{"id":150,"name":"Time of Event (Mountain Time)","value":"19:17:08"},{"id":151,"name":"Denver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94"/>
        <v>start /low /b %USERPROFILE%\Documents\GitHub\eaglep3\Utilities\DownloadLogsFromS3.py --loco 4015 --day 2017-02-14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"%USERPROFILE%\AppData\Local\Temp\OnboardLogs"\RTDC4015\*4015*20170215* | grep -SE "(Enforcement Action)|(\[TIMEOUT)|(CHR.+\|PRM\|1\|D.+(SWITCH|SIGNAL).+UNKNOWN)" - &gt;&gt; 2017-02-14-UncaughtWiMAX.txt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627</v>
      </c>
      <c r="B181" s="7">
        <v>4004</v>
      </c>
      <c r="C181" s="21" t="s">
        <v>192</v>
      </c>
      <c r="D181" s="21" t="s">
        <v>832</v>
      </c>
      <c r="E181" s="13">
        <v>42780.942407407405</v>
      </c>
      <c r="F181" s="13">
        <v>42780.943541666667</v>
      </c>
      <c r="G181" s="7">
        <v>1</v>
      </c>
      <c r="H181" s="21" t="s">
        <v>833</v>
      </c>
      <c r="I181" s="13">
        <v>42780.948854166665</v>
      </c>
      <c r="J181" s="7">
        <v>0</v>
      </c>
      <c r="K181" s="98" t="str">
        <f t="shared" si="98"/>
        <v>4003/4004</v>
      </c>
      <c r="L181" s="21" t="str">
        <f>VLOOKUP(A181,'Trips&amp;Operators'!$C$1:$G$99999,5,FALSE)</f>
        <v>HILLS DUSTIN</v>
      </c>
      <c r="M181" s="6">
        <f t="shared" si="99"/>
        <v>5.3124999976716936E-3</v>
      </c>
      <c r="N181" s="7">
        <f t="shared" si="96"/>
        <v>7.6499999966472387</v>
      </c>
      <c r="O181" s="7"/>
      <c r="P181" s="7"/>
      <c r="Q181" s="22"/>
      <c r="R181" s="22"/>
      <c r="S181" s="31">
        <f t="shared" si="97"/>
        <v>0</v>
      </c>
      <c r="T181" s="46" t="str">
        <f t="shared" si="100"/>
        <v>Southbound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0</v>
      </c>
      <c r="V181" s="187" t="str">
        <f t="shared" si="101"/>
        <v>https://d0f6bd738d7f1b3e5a7ca70fe4ff75f0.us-east-1.aws.found.io/app/kibana#/discover/Steve-Slow-Train-Analysis-(2080s-and-2083s)?_g=(refreshInterval:(display:Off,pause:!f,section:0,value:0),time:(from:'2017-02-14T21:37:04-0700',mode:absolute,to:'2017-02-14T23:46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1" s="188" t="str">
        <f t="shared" si="102"/>
        <v>Y</v>
      </c>
      <c r="X181" s="188">
        <f t="shared" si="110"/>
        <v>2</v>
      </c>
      <c r="Y181" s="62">
        <f t="shared" si="103"/>
        <v>5.8674999999999997</v>
      </c>
      <c r="Z181" s="62">
        <f t="shared" si="109"/>
        <v>2.1221000000000001</v>
      </c>
      <c r="AA181" s="62">
        <f t="shared" si="104"/>
        <v>3.7453999999999996</v>
      </c>
      <c r="AB181" s="59" t="e">
        <f>VLOOKUP(A181,Enforcements!$C$7:$K$14,8,0)</f>
        <v>#N/A</v>
      </c>
      <c r="AC181" s="55" t="e">
        <f>VLOOKUP(A181,Enforcements!$C$7:$E$14,3,0)</f>
        <v>#N/A</v>
      </c>
      <c r="AD181" s="56" t="str">
        <f t="shared" si="105"/>
        <v>0908-14</v>
      </c>
      <c r="AE181" s="85" t="str">
        <f t="shared" si="106"/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AF181" s="82" t="str">
        <f t="shared" si="107"/>
        <v>"C:\Program Files (x86)\AstroGrep\AstroGrep.exe" /spath="%USERPROFILE%\AppData\Local\Temp\OnboardLogs" /stypes="app*4004*20170215*" /stext=" 05:.+((SYSTEM_STATE.+slice.+state.+changed )|(ment ac)|(multiple cpu faults)|(system.+state.+changed )|(\[timeout)|(PRM\|1\|D)|(kpr)|(kdp)|(\|lc)|(penalty)|(RTDC:00:00000204:00000036:00006526))" /e /r /s</v>
      </c>
      <c r="AG181" s="1" t="str">
        <f t="shared" si="108"/>
        <v>Other</v>
      </c>
      <c r="AH181" s="86" t="str">
        <f t="shared" si="92"/>
        <v>"%USERPROFILE%\Documents\GitHub\eaglep3\Utilities\RefineRTDCRunTimes.py" --tripid 908-14 --locoid 4004 --swversion DE.1.0.8.0 --startMP 300:58675 --initTime 2017-02-14T22:37:04 --startdatetime 2017-02-14T22:38:42 --delay 1 --endMP 300:21221 --enddatetime 2017-02-14T22:46:21 --enforcementcount 0 &gt;&gt;C:\Users\stu\Documents\GitHub\eaglep3-reporting\EC\2017-02-14-refined-times.txt</v>
      </c>
      <c r="AI181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{"issue":{"subject":"","project_id":79,"tracker_id":40,"status_id":1,"priority_id":2,"assigned_to_id":23,"start_date":"2017-02-14","description":"","custom_fields":[{"id":1,"name":"Subdivision","value":"Other"},{"id":4,"name":"Milepost","value":"2.1221"},{"id":17,"name":"Train ID","value":"908-14"},{"id":16,"name":"Locomotive ID","value":"4004"},{"id":130,"name":"Impact","value":""},{"id":150,"name":"Time of Event (Mountain Time)","value":"22:46:21"},{"id":151,"name":"Denver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94"/>
        <v>start /low /b %USERPROFILE%\Documents\GitHub\eaglep3\Utilities\DownloadLogsFromS3.py --loco 4004 --day 2017-02-14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"%USERPROFILE%\AppData\Local\Temp\OnboardLogs"\RTDC4004\*4004*20170215* | grep -SE "(Enforcement Action)|(\[TIMEOUT)|(CHR.+\|PRM\|1\|D.+(SWITCH|SIGNAL).+UNKNOWN)" - &gt;&gt; 2017-02-14-UncaughtWiMAX.txt</v>
      </c>
    </row>
    <row r="182" spans="1:91" x14ac:dyDescent="0.25">
      <c r="A182" s="33" t="s">
        <v>513</v>
      </c>
      <c r="B182" s="7">
        <v>4029</v>
      </c>
      <c r="C182" s="21" t="s">
        <v>192</v>
      </c>
      <c r="D182" s="21" t="s">
        <v>689</v>
      </c>
      <c r="E182" s="13">
        <v>42780.250300925924</v>
      </c>
      <c r="F182" s="13">
        <v>42780.25267361111</v>
      </c>
      <c r="G182" s="7">
        <v>3</v>
      </c>
      <c r="H182" s="21" t="s">
        <v>748</v>
      </c>
      <c r="I182" s="13">
        <v>42780.260243055556</v>
      </c>
      <c r="J182" s="7">
        <v>0</v>
      </c>
      <c r="K182" s="98" t="str">
        <f t="shared" si="98"/>
        <v>4029/4030</v>
      </c>
      <c r="L182" s="21" t="str">
        <f>VLOOKUP(A182,'Trips&amp;Operators'!$C$1:$G$99999,5,FALSE)</f>
        <v>MAELZER KURT</v>
      </c>
      <c r="M182" s="6">
        <f t="shared" si="99"/>
        <v>7.5694444458349608E-3</v>
      </c>
      <c r="N182" s="7">
        <f t="shared" si="96"/>
        <v>10.900000002002344</v>
      </c>
      <c r="O182" s="7"/>
      <c r="P182" s="7"/>
      <c r="Q182" s="22"/>
      <c r="R182" s="22"/>
      <c r="S182" s="31">
        <f t="shared" si="97"/>
        <v>0</v>
      </c>
      <c r="T182" s="46" t="e">
        <f t="shared" si="100"/>
        <v>#VALUE!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0</v>
      </c>
      <c r="V182" s="187" t="str">
        <f t="shared" si="101"/>
        <v>https://d0f6bd738d7f1b3e5a7ca70fe4ff75f0.us-east-1.aws.found.io/app/kibana#/discover/Steve-Slow-Train-Analysis-(2080s-and-2083s)?_g=(refreshInterval:(display:Off,pause:!f,section:0,value:0),time:(from:'2017-02-14T05:00:26-0700',mode:absolute,to:'2017-02-14T07:14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2" s="188" t="str">
        <f t="shared" si="102"/>
        <v>Y</v>
      </c>
      <c r="X182" s="188" t="e">
        <f t="shared" si="110"/>
        <v>#VALUE!</v>
      </c>
      <c r="Y182" s="62">
        <f t="shared" si="103"/>
        <v>7.4399999999999994E-2</v>
      </c>
      <c r="Z182" s="62">
        <f t="shared" si="109"/>
        <v>2.3304</v>
      </c>
      <c r="AA182" s="62">
        <f t="shared" si="104"/>
        <v>2.2560000000000002</v>
      </c>
      <c r="AB182" s="59" t="e">
        <f>VLOOKUP(A182,Enforcements!$C$7:$K$14,8,0)</f>
        <v>#N/A</v>
      </c>
      <c r="AC182" s="55" t="e">
        <f>VLOOKUP(A182,Enforcements!$C$7:$E$14,3,0)</f>
        <v>#N/A</v>
      </c>
      <c r="AD182" s="56" t="str">
        <f t="shared" si="105"/>
        <v>52-14</v>
      </c>
      <c r="AE182" s="85" t="str">
        <f t="shared" si="106"/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AF182" s="82" t="str">
        <f t="shared" si="107"/>
        <v>"C:\Program Files (x86)\AstroGrep\AstroGrep.exe" /spath="%USERPROFILE%\AppData\Local\Temp\OnboardLogs" /stypes="app*4029*20170214*" /stext=" 13:.+((SYSTEM_STATE.+slice.+state.+changed )|(ment ac)|(multiple cpu faults)|(system.+state.+changed )|(\[timeout)|(PRM\|1\|D)|(kpr)|(kdp)|(\|lc)|(penalty)|(RTDC:00:00000204:00000036:00006526))" /e /r /s</v>
      </c>
      <c r="AG182" s="1" t="str">
        <f t="shared" si="108"/>
        <v>Other</v>
      </c>
      <c r="AH182" s="86" t="str">
        <f t="shared" si="92"/>
        <v>"%USERPROFILE%\Documents\GitHub\eaglep3\Utilities\RefineRTDCRunTimes.py" --tripid 52-14 --locoid 4029 --swversion DE.1.0.8.0 --startMP 204:744 --initTime 2017-02-14T06:00:26 --startdatetime 2017-02-14T06:03:51 --delay 3 --endMP 300:23304 --enddatetime 2017-02-14T06:14:45 --enforcementcount 0 &gt;&gt;C:\Users\stu\Documents\GitHub\eaglep3-reporting\EC\2017-02-14-refined-times.txt</v>
      </c>
      <c r="AI182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{"issue":{"subject":"","project_id":79,"tracker_id":40,"status_id":1,"priority_id":2,"assigned_to_id":23,"start_date":"2017-02-14","description":"","custom_fields":[{"id":1,"name":"Subdivision","value":"Other"},{"id":4,"name":"Milepost","value":"2.3304"},{"id":17,"name":"Train ID","value":"52-14"},{"id":16,"name":"Locomotive ID","value":"4029"},{"id":130,"name":"Impact","value":""},{"id":150,"name":"Time of Event (Mountain Time)","value":"06:14:45"},{"id":151,"name":"Denver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94"/>
        <v>start /low /b %USERPROFILE%\Documents\GitHub\eaglep3\Utilities\DownloadLogsFromS3.py --loco 4029 --day 2017-02-14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"%USERPROFILE%\AppData\Local\Temp\OnboardLogs"\RTDC4029\*4029*20170214* | grep -SE "(Enforcement Action)|(\[TIMEOUT)|(CHR.+\|PRM\|1\|D.+(SWITCH|SIGNAL).+UNKNOWN)" - &gt;&gt; 2017-02-14-UncaughtWiMAX.txt</v>
      </c>
    </row>
    <row r="183" spans="1:91" s="20" customFormat="1" x14ac:dyDescent="0.25">
      <c r="A183" s="33" t="s">
        <v>477</v>
      </c>
      <c r="B183" s="7">
        <v>4032</v>
      </c>
      <c r="C183" s="21" t="s">
        <v>192</v>
      </c>
      <c r="D183" s="21" t="s">
        <v>751</v>
      </c>
      <c r="E183" s="13">
        <v>42780.352465277778</v>
      </c>
      <c r="F183" s="13">
        <v>42780.353206018517</v>
      </c>
      <c r="G183" s="7">
        <v>1</v>
      </c>
      <c r="H183" s="21" t="s">
        <v>470</v>
      </c>
      <c r="I183" s="13">
        <v>42780.358831018515</v>
      </c>
      <c r="J183" s="7">
        <v>0</v>
      </c>
      <c r="K183" s="98" t="str">
        <f t="shared" si="98"/>
        <v>4031/4032</v>
      </c>
      <c r="L183" s="21" t="str">
        <f>VLOOKUP(A183,'Trips&amp;Operators'!$C$1:$G$99999,5,FALSE)</f>
        <v>MAELZER KURT</v>
      </c>
      <c r="M183" s="6">
        <f t="shared" si="99"/>
        <v>5.6249999979627319E-3</v>
      </c>
      <c r="N183" s="7">
        <f t="shared" ref="N183:N203" si="111">24*60*SUM($M183:$M183)</f>
        <v>8.0999999970663339</v>
      </c>
      <c r="O183" s="7"/>
      <c r="P183" s="7"/>
      <c r="Q183" s="22"/>
      <c r="R183" s="22"/>
      <c r="S183" s="31">
        <f t="shared" si="97"/>
        <v>0</v>
      </c>
      <c r="T183" s="46" t="e">
        <f t="shared" si="100"/>
        <v>#VALUE!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187" t="str">
        <f t="shared" si="101"/>
        <v>https://d0f6bd738d7f1b3e5a7ca70fe4ff75f0.us-east-1.aws.found.io/app/kibana#/discover/Steve-Slow-Train-Analysis-(2080s-and-2083s)?_g=(refreshInterval:(display:Off,pause:!f,section:0,value:0),time:(from:'2017-02-14T07:27:33-0700',mode:absolute,to:'2017-02-14T09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188" t="str">
        <f t="shared" si="102"/>
        <v>Y</v>
      </c>
      <c r="X183" s="188" t="e">
        <f t="shared" si="110"/>
        <v>#VALUE!</v>
      </c>
      <c r="Y183" s="62">
        <f t="shared" si="103"/>
        <v>1.907</v>
      </c>
      <c r="Z183" s="62">
        <f t="shared" si="109"/>
        <v>9.8599999999999993E-2</v>
      </c>
      <c r="AA183" s="62">
        <f t="shared" si="104"/>
        <v>1.8084</v>
      </c>
      <c r="AB183" s="59" t="e">
        <f>VLOOKUP(A183,Enforcements!$C$7:$K$14,8,0)</f>
        <v>#N/A</v>
      </c>
      <c r="AC183" s="55" t="e">
        <f>VLOOKUP(A183,Enforcements!$C$7:$E$14,3,0)</f>
        <v>#N/A</v>
      </c>
      <c r="AD183" s="56" t="str">
        <f t="shared" si="105"/>
        <v>54-14</v>
      </c>
      <c r="AE183" s="85" t="str">
        <f t="shared" si="106"/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AF183" s="82" t="str">
        <f t="shared" si="107"/>
        <v>"C:\Program Files (x86)\AstroGrep\AstroGrep.exe" /spath="%USERPROFILE%\AppData\Local\Temp\OnboardLogs" /stypes="app*4032*20170214*" /stext=" 15:.+((SYSTEM_STATE.+slice.+state.+changed )|(ment ac)|(multiple cpu faults)|(system.+state.+changed )|(\[timeout)|(PRM\|1\|D)|(kpr)|(kdp)|(\|lc)|(penalty)|(RTDC:00:00000204:00000036:00006526))" /e /r /s</v>
      </c>
      <c r="AG183" s="1" t="str">
        <f t="shared" si="108"/>
        <v>Other</v>
      </c>
      <c r="AH183" s="86" t="str">
        <f t="shared" si="92"/>
        <v>"%USERPROFILE%\Documents\GitHub\eaglep3\Utilities\RefineRTDCRunTimes.py" --tripid 54-14 --locoid 4032 --swversion DE.1.0.8.0 --startMP 300:19070 --initTime 2017-02-14T08:27:33 --startdatetime 2017-02-14T08:28:37 --delay 1 --endMP 204:986 --enddatetime 2017-02-14T08:36:43 --enforcementcount 0 &gt;&gt;C:\Users\stu\Documents\GitHub\eaglep3-reporting\EC\2017-02-14-refined-times.txt</v>
      </c>
      <c r="AI183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{"issue":{"subject":"","project_id":79,"tracker_id":40,"status_id":1,"priority_id":2,"assigned_to_id":23,"start_date":"2017-02-14","description":"","custom_fields":[{"id":1,"name":"Subdivision","value":"Other"},{"id":4,"name":"Milepost","value":"0.0986"},{"id":17,"name":"Train ID","value":"54-14"},{"id":16,"name":"Locomotive ID","value":"4032"},{"id":130,"name":"Impact","value":""},{"id":150,"name":"Time of Event (Mountain Time)","value":"08:36:43"},{"id":151,"name":"Denver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94"/>
        <v>start /low /b %USERPROFILE%\Documents\GitHub\eaglep3\Utilities\DownloadLogsFromS3.py --loco 4032 --day 2017-02-14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"%USERPROFILE%\AppData\Local\Temp\OnboardLogs"\RTDC4032\*4032*20170214* | grep -SE "(Enforcement Action)|(\[TIMEOUT)|(CHR.+\|PRM\|1\|D.+(SWITCH|SIGNAL).+UNKNOWN)" - &gt;&gt; 2017-02-14-UncaughtWiMAX.txt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524</v>
      </c>
      <c r="B184" s="7">
        <v>4008</v>
      </c>
      <c r="C184" s="21" t="s">
        <v>192</v>
      </c>
      <c r="D184" s="21" t="s">
        <v>654</v>
      </c>
      <c r="E184" s="13">
        <v>42780.311793981484</v>
      </c>
      <c r="F184" s="13">
        <v>42780.312743055554</v>
      </c>
      <c r="G184" s="7">
        <v>1</v>
      </c>
      <c r="H184" s="21" t="s">
        <v>197</v>
      </c>
      <c r="I184" s="13">
        <v>42780.324131944442</v>
      </c>
      <c r="J184" s="7">
        <v>0</v>
      </c>
      <c r="K184" s="98" t="str">
        <f t="shared" si="98"/>
        <v>4007/4008</v>
      </c>
      <c r="L184" s="21" t="str">
        <f>VLOOKUP(A184,'Trips&amp;Operators'!$C$1:$G$99999,5,FALSE)</f>
        <v>COOLAHAN JOHN</v>
      </c>
      <c r="M184" s="6">
        <f t="shared" si="99"/>
        <v>1.1388888888177462E-2</v>
      </c>
      <c r="N184" s="7">
        <f t="shared" si="111"/>
        <v>16.399999998975545</v>
      </c>
      <c r="O184" s="7"/>
      <c r="P184" s="7"/>
      <c r="Q184" s="22"/>
      <c r="R184" s="22"/>
      <c r="S184" s="31">
        <f t="shared" ref="S184:S203" si="112">SUM(U184:U184)/IF(AG184="EC",12,1)</f>
        <v>0</v>
      </c>
      <c r="T184" s="46" t="e">
        <f t="shared" si="100"/>
        <v>#VALUE!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187" t="str">
        <f t="shared" si="101"/>
        <v>https://d0f6bd738d7f1b3e5a7ca70fe4ff75f0.us-east-1.aws.found.io/app/kibana#/discover/Steve-Slow-Train-Analysis-(2080s-and-2083s)?_g=(refreshInterval:(display:Off,pause:!f,section:0,value:0),time:(from:'2017-02-14T06:28:59-0700',mode:absolute,to:'2017-02-14T08:46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88" t="str">
        <f t="shared" si="102"/>
        <v>N</v>
      </c>
      <c r="X184" s="188" t="e">
        <f t="shared" si="110"/>
        <v>#VALUE!</v>
      </c>
      <c r="Y184" s="62">
        <f t="shared" si="103"/>
        <v>6.4071999999999996</v>
      </c>
      <c r="Z184" s="62">
        <f t="shared" si="109"/>
        <v>1.4500000000000001E-2</v>
      </c>
      <c r="AA184" s="62">
        <f t="shared" si="104"/>
        <v>6.3926999999999996</v>
      </c>
      <c r="AB184" s="59" t="e">
        <f>VLOOKUP(A184,Enforcements!$C$7:$K$14,8,0)</f>
        <v>#N/A</v>
      </c>
      <c r="AC184" s="55" t="e">
        <f>VLOOKUP(A184,Enforcements!$C$7:$E$14,3,0)</f>
        <v>#N/A</v>
      </c>
      <c r="AD184" s="56" t="str">
        <f t="shared" si="105"/>
        <v>55-14</v>
      </c>
      <c r="AE184" s="85" t="str">
        <f t="shared" si="106"/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AF184" s="82" t="str">
        <f t="shared" si="107"/>
        <v>"C:\Program Files (x86)\AstroGrep\AstroGrep.exe" /spath="%USERPROFILE%\AppData\Local\Temp\OnboardLogs" /stypes="app*4008*20170214*" /stext=" 14:.+((SYSTEM_STATE.+slice.+state.+changed )|(ment ac)|(multiple cpu faults)|(system.+state.+changed )|(\[timeout)|(PRM\|1\|D)|(kpr)|(kdp)|(\|lc)|(penalty)|(RTDC:00:00000204:00000036:00006526))" /e /r /s</v>
      </c>
      <c r="AG184" s="1" t="str">
        <f t="shared" si="108"/>
        <v>Other</v>
      </c>
      <c r="AH184" s="86" t="str">
        <f t="shared" si="92"/>
        <v>"%USERPROFILE%\Documents\GitHub\eaglep3\Utilities\RefineRTDCRunTimes.py" --tripid 55-14 --locoid 4008 --swversion DE.1.0.8.0 --startMP 204:64072 --initTime 2017-02-14T07:28:59 --startdatetime 2017-02-14T07:30:21 --delay 1 --endMP 204:145 --enddatetime 2017-02-14T07:46:45 --enforcementcount 0 &gt;&gt;C:\Users\stu\Documents\GitHub\eaglep3-reporting\EC\2017-02-14-refined-times.txt</v>
      </c>
      <c r="AI184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{"issue":{"subject":"","project_id":79,"tracker_id":40,"status_id":1,"priority_id":2,"assigned_to_id":23,"start_date":"2017-02-14","description":"","custom_fields":[{"id":1,"name":"Subdivision","value":"Other"},{"id":4,"name":"Milepost","value":"0.0145"},{"id":17,"name":"Train ID","value":"55-14"},{"id":16,"name":"Locomotive ID","value":"4008"},{"id":130,"name":"Impact","value":""},{"id":150,"name":"Time of Event (Mountain Time)","value":"07:46:45"},{"id":151,"name":"Denver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94"/>
        <v>start /low /b %USERPROFILE%\Documents\GitHub\eaglep3\Utilities\DownloadLogsFromS3.py --loco 4008 --day 2017-02-14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2017-02-14-UncaughtWiMAX.txt</v>
      </c>
    </row>
    <row r="185" spans="1:91" s="20" customFormat="1" x14ac:dyDescent="0.25">
      <c r="A185" s="33" t="s">
        <v>542</v>
      </c>
      <c r="B185" s="7">
        <v>4018</v>
      </c>
      <c r="C185" s="21" t="s">
        <v>192</v>
      </c>
      <c r="D185" s="21" t="s">
        <v>752</v>
      </c>
      <c r="E185" s="13">
        <v>42780.377418981479</v>
      </c>
      <c r="F185" s="13">
        <v>42780.378483796296</v>
      </c>
      <c r="G185" s="7">
        <v>1</v>
      </c>
      <c r="H185" s="21" t="s">
        <v>753</v>
      </c>
      <c r="I185" s="13">
        <v>42780.38076388889</v>
      </c>
      <c r="J185" s="7">
        <v>0</v>
      </c>
      <c r="K185" s="98" t="str">
        <f t="shared" si="98"/>
        <v>4017/4018</v>
      </c>
      <c r="L185" s="21" t="str">
        <f>VLOOKUP(A185,'Trips&amp;Operators'!$C$1:$G$99999,5,FALSE)</f>
        <v>BEAM ROSS</v>
      </c>
      <c r="M185" s="6">
        <f t="shared" si="99"/>
        <v>2.2800925944466144E-3</v>
      </c>
      <c r="N185" s="7">
        <f t="shared" si="111"/>
        <v>3.2833333360031247</v>
      </c>
      <c r="O185" s="7"/>
      <c r="P185" s="7"/>
      <c r="Q185" s="22"/>
      <c r="R185" s="22"/>
      <c r="S185" s="31">
        <f t="shared" si="112"/>
        <v>0</v>
      </c>
      <c r="T185" s="46" t="e">
        <f t="shared" si="100"/>
        <v>#VALUE!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187" t="str">
        <f t="shared" si="101"/>
        <v>https://d0f6bd738d7f1b3e5a7ca70fe4ff75f0.us-east-1.aws.found.io/app/kibana#/discover/Steve-Slow-Train-Analysis-(2080s-and-2083s)?_g=(refreshInterval:(display:Off,pause:!f,section:0,value:0),time:(from:'2017-02-14T08:03:29-0700',mode:absolute,to:'2017-02-14T10:08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188" t="str">
        <f t="shared" si="102"/>
        <v>Y</v>
      </c>
      <c r="X185" s="188" t="e">
        <f t="shared" si="110"/>
        <v>#VALUE!</v>
      </c>
      <c r="Y185" s="62">
        <f t="shared" si="103"/>
        <v>3.9300000000000002E-2</v>
      </c>
      <c r="Z185" s="62">
        <f t="shared" si="109"/>
        <v>0.5302</v>
      </c>
      <c r="AA185" s="62">
        <f t="shared" si="104"/>
        <v>0.4909</v>
      </c>
      <c r="AB185" s="59" t="e">
        <f>VLOOKUP(A185,Enforcements!$C$7:$K$14,8,0)</f>
        <v>#N/A</v>
      </c>
      <c r="AC185" s="55" t="e">
        <f>VLOOKUP(A185,Enforcements!$C$7:$E$14,3,0)</f>
        <v>#N/A</v>
      </c>
      <c r="AD185" s="56" t="str">
        <f t="shared" si="105"/>
        <v>57-14</v>
      </c>
      <c r="AE185" s="85" t="str">
        <f t="shared" si="106"/>
        <v>aws s3 cp s3://rtdc.mdm.uploadarchive.raw/RTDC4018/ "%USERPROFILE%\AppData\Local\Temp\OnboardLogs"\RTDC4018\2017-02-14 --exclude "*" --recursive --include "*20170214*" &amp; "%USERPROFILE%\Documents\GitHub\mrs-test-scripts\Headless Mode &amp; Sideloading\WalkAndUnGZ.bat" "%USERPROFILE%\AppData\Local\Temp\OnboardLogs"\RTDC4018\2017-02-14 &amp; aws s3 cp s3://rtdc.mdm.uploadarchive.raw/RTDC4018/ "%USERPROFILE%\AppData\Local\Temp\OnboardLogs"\RTDC4018\2017-02-15 --exclude "*" --recursive --include "*20170215*" &amp; "%USERPROFILE%\Documents\GitHub\mrs-test-scripts\Headless Mode &amp; Sideloading\WalkAndUnGZ.bat" "%USERPROFILE%\AppData\Local\Temp\OnboardLogs"\RTDC4018\2017-02-15</v>
      </c>
      <c r="AF185" s="82" t="str">
        <f t="shared" si="107"/>
        <v>"C:\Program Files (x86)\AstroGrep\AstroGrep.exe" /spath="%USERPROFILE%\AppData\Local\Temp\OnboardLogs" /stypes="app*4018*20170214*" /stext=" 16:.+((SYSTEM_STATE.+slice.+state.+changed )|(ment ac)|(multiple cpu faults)|(system.+state.+changed )|(\[timeout)|(PRM\|1\|D)|(kpr)|(kdp)|(\|lc)|(penalty)|(RTDC:00:00000204:00000036:00006526))" /e /r /s</v>
      </c>
      <c r="AG185" s="1" t="str">
        <f t="shared" si="108"/>
        <v>Other</v>
      </c>
      <c r="AH185" s="86" t="str">
        <f t="shared" si="92"/>
        <v>"%USERPROFILE%\Documents\GitHub\eaglep3\Utilities\RefineRTDCRunTimes.py" --tripid 57-14 --locoid 4018 --swversion DE.1.0.8.0 --startMP 204:393 --initTime 2017-02-14T09:03:29 --startdatetime 2017-02-14T09:05:01 --delay 1 --endMP 204:5302 --enddatetime 2017-02-14T09:08:18 --enforcementcount 0 &gt;&gt;C:\Users\stu\Documents\GitHub\eaglep3-reporting\EC\2017-02-14-refined-times.txt</v>
      </c>
      <c r="AI185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{"issue":{"subject":"","project_id":79,"tracker_id":40,"status_id":1,"priority_id":2,"assigned_to_id":23,"start_date":"2017-02-14","description":"","custom_fields":[{"id":1,"name":"Subdivision","value":"Other"},{"id":4,"name":"Milepost","value":"0.5302"},{"id":17,"name":"Train ID","value":"57-14"},{"id":16,"name":"Locomotive ID","value":"4018"},{"id":130,"name":"Impact","value":""},{"id":150,"name":"Time of Event (Mountain Time)","value":"09:08:18"},{"id":151,"name":"Denver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94"/>
        <v>start /low /b %USERPROFILE%\Documents\GitHub\eaglep3\Utilities\DownloadLogsFromS3.py --loco 4018 --day 2017-02-14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"%USERPROFILE%\AppData\Local\Temp\OnboardLogs"\RTDC4018\*4018*20170214* | grep -SE "(Enforcement Action)|(\[TIMEOUT)|(CHR.+\|PRM\|1\|D.+(SWITCH|SIGNAL).+UNKNOWN)" - &gt;&gt; 2017-02-14-UncaughtWiMAX.txt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480</v>
      </c>
      <c r="B186" s="7">
        <v>4026</v>
      </c>
      <c r="C186" s="21" t="s">
        <v>192</v>
      </c>
      <c r="D186" s="21" t="s">
        <v>754</v>
      </c>
      <c r="E186" s="13">
        <v>42780.431921296295</v>
      </c>
      <c r="F186" s="13">
        <v>42780.434351851851</v>
      </c>
      <c r="G186" s="7">
        <v>3</v>
      </c>
      <c r="H186" s="21">
        <v>8.5361111111111114</v>
      </c>
      <c r="I186" s="13">
        <v>42780.441759259258</v>
      </c>
      <c r="J186" s="7">
        <v>0</v>
      </c>
      <c r="K186" s="98" t="str">
        <f t="shared" si="98"/>
        <v>4025/4026</v>
      </c>
      <c r="L186" s="21" t="str">
        <f>VLOOKUP(A186,'Trips&amp;Operators'!$C$1:$G$99999,5,FALSE)</f>
        <v>STRICKLAND EVAN</v>
      </c>
      <c r="M186" s="6">
        <f t="shared" si="99"/>
        <v>7.4074074072996154E-3</v>
      </c>
      <c r="N186" s="7">
        <f t="shared" si="111"/>
        <v>10.666666666511446</v>
      </c>
      <c r="O186" s="7"/>
      <c r="P186" s="7"/>
      <c r="Q186" s="22"/>
      <c r="R186" s="22"/>
      <c r="S186" s="31">
        <f t="shared" si="112"/>
        <v>0</v>
      </c>
      <c r="T186" s="46" t="e">
        <f t="shared" si="100"/>
        <v>#VALUE!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0</v>
      </c>
      <c r="V186" s="187" t="str">
        <f t="shared" si="101"/>
        <v>https://d0f6bd738d7f1b3e5a7ca70fe4ff75f0.us-east-1.aws.found.io/app/kibana#/discover/Steve-Slow-Train-Analysis-(2080s-and-2083s)?_g=(refreshInterval:(display:Off,pause:!f,section:0,value:0),time:(from:'2017-02-14T09:21:58-0700',mode:absolute,to:'2017-02-14T11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6" s="188" t="str">
        <f t="shared" si="102"/>
        <v>N</v>
      </c>
      <c r="X186" s="188" t="e">
        <f t="shared" si="110"/>
        <v>#VALUE!</v>
      </c>
      <c r="Y186" s="62">
        <f t="shared" si="103"/>
        <v>2.1179999999999999</v>
      </c>
      <c r="Z186" s="62">
        <f t="shared" si="109"/>
        <v>61111111.111100003</v>
      </c>
      <c r="AA186" s="62">
        <f t="shared" si="104"/>
        <v>61111108.993100002</v>
      </c>
      <c r="AB186" s="59" t="e">
        <f>VLOOKUP(A186,Enforcements!$C$7:$K$14,8,0)</f>
        <v>#N/A</v>
      </c>
      <c r="AC186" s="55" t="e">
        <f>VLOOKUP(A186,Enforcements!$C$7:$E$14,3,0)</f>
        <v>#N/A</v>
      </c>
      <c r="AD186" s="56" t="str">
        <f t="shared" si="105"/>
        <v>58-14</v>
      </c>
      <c r="AE186" s="85" t="str">
        <f t="shared" si="106"/>
        <v>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 &amp; 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</v>
      </c>
      <c r="AF186" s="82" t="str">
        <f t="shared" si="107"/>
        <v>"C:\Program Files (x86)\AstroGrep\AstroGrep.exe" /spath="%USERPROFILE%\AppData\Local\Temp\OnboardLogs" /stypes="app*4026*20170214*" /stext=" 17:.+((SYSTEM_STATE.+slice.+state.+changed )|(ment ac)|(multiple cpu faults)|(system.+state.+changed )|(\[timeout)|(PRM\|1\|D)|(kpr)|(kdp)|(\|lc)|(penalty)|(RTDC:00:00000204:00000036:00006526))" /e /r /s</v>
      </c>
      <c r="AG186" s="1" t="str">
        <f t="shared" si="108"/>
        <v>Other</v>
      </c>
      <c r="AH186" s="86" t="str">
        <f t="shared" si="92"/>
        <v>"%USERPROFILE%\Documents\GitHub\eaglep3\Utilities\RefineRTDCRunTimes.py" --tripid 58-14 --locoid 4026 --swversion DE.1.0.8.0 --startMP 300:21180 --initTime 2017-02-14T10:21:58 --startdatetime 2017-02-14T10:25:28 --delay 3 --endMP 8.53611111111111 --enddatetime 2017-02-14T10:36:08 --enforcementcount 0 &gt;&gt;C:\Users\stu\Documents\GitHub\eaglep3-reporting\EC\2017-02-14-refined-times.txt</v>
      </c>
      <c r="AI186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61111111.1111"},{"id":17,"name":"Train ID","value":"58-14"},{"id":16,"name":"Locomotive ID","value":"4026"},{"id":130,"name":"Impact","value":""},{"id":150,"name":"Time of Event (Mountain Time)","value":"10:36:08"},{"id":151,"name":"Denver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94"/>
        <v>start /low /b %USERPROFILE%\Documents\GitHub\eaglep3\Utilities\DownloadLogsFromS3.py --loco 4026 --day 2017-02-14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"%USERPROFILE%\AppData\Local\Temp\OnboardLogs"\RTDC4026\*4026*20170214* | grep -SE "(Enforcement Action)|(\[TIMEOUT)|(CHR.+\|PRM\|1\|D.+(SWITCH|SIGNAL).+UNKNOWN)" - &gt;&gt; 2017-02-14-UncaughtWiMAX.txt</v>
      </c>
    </row>
    <row r="187" spans="1:91" x14ac:dyDescent="0.25">
      <c r="A187" s="33" t="s">
        <v>551</v>
      </c>
      <c r="B187" s="7">
        <v>4019</v>
      </c>
      <c r="C187" s="21" t="s">
        <v>192</v>
      </c>
      <c r="D187" s="21" t="s">
        <v>690</v>
      </c>
      <c r="E187" s="13">
        <v>42780.433692129627</v>
      </c>
      <c r="F187" s="13">
        <v>42780.436990740738</v>
      </c>
      <c r="G187" s="7">
        <v>4</v>
      </c>
      <c r="H187" s="21" t="s">
        <v>396</v>
      </c>
      <c r="I187" s="13">
        <v>42780.448368055557</v>
      </c>
      <c r="J187" s="7">
        <v>0</v>
      </c>
      <c r="K187" s="98" t="str">
        <f t="shared" si="98"/>
        <v>4019/4020</v>
      </c>
      <c r="L187" s="21" t="str">
        <f>VLOOKUP(A187,'Trips&amp;Operators'!$C$1:$G$99999,5,FALSE)</f>
        <v>LOZA FIDEL</v>
      </c>
      <c r="M187" s="6">
        <f t="shared" si="99"/>
        <v>1.1377314818673767E-2</v>
      </c>
      <c r="N187" s="7">
        <f t="shared" si="111"/>
        <v>16.383333338890225</v>
      </c>
      <c r="O187" s="7"/>
      <c r="P187" s="7"/>
      <c r="Q187" s="22"/>
      <c r="R187" s="22"/>
      <c r="S187" s="31">
        <f t="shared" si="112"/>
        <v>0</v>
      </c>
      <c r="T187" s="46" t="e">
        <f t="shared" si="100"/>
        <v>#VALUE!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0</v>
      </c>
      <c r="V187" s="187" t="str">
        <f t="shared" si="101"/>
        <v>https://d0f6bd738d7f1b3e5a7ca70fe4ff75f0.us-east-1.aws.found.io/app/kibana#/discover/Steve-Slow-Train-Analysis-(2080s-and-2083s)?_g=(refreshInterval:(display:Off,pause:!f,section:0,value:0),time:(from:'2017-02-14T09:24:31-0700',mode:absolute,to:'2017-02-14T11:45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7" s="188" t="str">
        <f t="shared" si="102"/>
        <v>N</v>
      </c>
      <c r="X187" s="188" t="e">
        <f t="shared" si="110"/>
        <v>#VALUE!</v>
      </c>
      <c r="Y187" s="62">
        <f t="shared" si="103"/>
        <v>6.4076000000000004</v>
      </c>
      <c r="Z187" s="62">
        <f t="shared" si="109"/>
        <v>1.3599999999999999E-2</v>
      </c>
      <c r="AA187" s="62">
        <f t="shared" si="104"/>
        <v>6.3940000000000001</v>
      </c>
      <c r="AB187" s="59" t="e">
        <f>VLOOKUP(A187,Enforcements!$C$7:$K$14,8,0)</f>
        <v>#N/A</v>
      </c>
      <c r="AC187" s="55" t="e">
        <f>VLOOKUP(A187,Enforcements!$C$7:$E$14,3,0)</f>
        <v>#N/A</v>
      </c>
      <c r="AD187" s="56" t="str">
        <f t="shared" si="105"/>
        <v>60-14</v>
      </c>
      <c r="AE187" s="85" t="str">
        <f t="shared" si="106"/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AF187" s="82" t="str">
        <f t="shared" si="107"/>
        <v>"C:\Program Files (x86)\AstroGrep\AstroGrep.exe" /spath="%USERPROFILE%\AppData\Local\Temp\OnboardLogs" /stypes="app*4019*20170214*" /stext=" 17:.+((SYSTEM_STATE.+slice.+state.+changed )|(ment ac)|(multiple cpu faults)|(system.+state.+changed )|(\[timeout)|(PRM\|1\|D)|(kpr)|(kdp)|(\|lc)|(penalty)|(RTDC:00:00000204:00000036:00006526))" /e /r /s</v>
      </c>
      <c r="AG187" s="1" t="str">
        <f t="shared" si="108"/>
        <v>Other</v>
      </c>
      <c r="AH187" s="86" t="str">
        <f t="shared" si="92"/>
        <v>"%USERPROFILE%\Documents\GitHub\eaglep3\Utilities\RefineRTDCRunTimes.py" --tripid 60-14 --locoid 4019 --swversion DE.1.0.8.0 --startMP 204:64076 --initTime 2017-02-14T10:24:31 --startdatetime 2017-02-14T10:29:16 --delay 4 --endMP 204:136 --enddatetime 2017-02-14T10:45:39 --enforcementcount 0 &gt;&gt;C:\Users\stu\Documents\GitHub\eaglep3-reporting\EC\2017-02-14-refined-times.txt</v>
      </c>
      <c r="AI187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{"issue":{"subject":"","project_id":79,"tracker_id":40,"status_id":1,"priority_id":2,"assigned_to_id":23,"start_date":"2017-02-14","description":"","custom_fields":[{"id":1,"name":"Subdivision","value":"Other"},{"id":4,"name":"Milepost","value":"0.0136"},{"id":17,"name":"Train ID","value":"60-14"},{"id":16,"name":"Locomotive ID","value":"4019"},{"id":130,"name":"Impact","value":""},{"id":150,"name":"Time of Event (Mountain Time)","value":"10:45:39"},{"id":151,"name":"Denver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94"/>
        <v>start /low /b %USERPROFILE%\Documents\GitHub\eaglep3\Utilities\DownloadLogsFromS3.py --loco 4019 --day 2017-02-14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"%USERPROFILE%\AppData\Local\Temp\OnboardLogs"\RTDC4019\*4019*20170214* | grep -SE "(Enforcement Action)|(\[TIMEOUT)|(CHR.+\|PRM\|1\|D.+(SWITCH|SIGNAL).+UNKNOWN)" - &gt;&gt; 2017-02-14-UncaughtWiMAX.txt</v>
      </c>
    </row>
    <row r="188" spans="1:91" x14ac:dyDescent="0.25">
      <c r="A188" s="33" t="s">
        <v>485</v>
      </c>
      <c r="B188" s="7">
        <v>4008</v>
      </c>
      <c r="C188" s="21" t="s">
        <v>192</v>
      </c>
      <c r="D188" s="21" t="s">
        <v>700</v>
      </c>
      <c r="E188" s="13">
        <v>42780.527638888889</v>
      </c>
      <c r="F188" s="13">
        <v>42780.52815972222</v>
      </c>
      <c r="G188" s="7">
        <v>0</v>
      </c>
      <c r="H188" s="21" t="s">
        <v>655</v>
      </c>
      <c r="I188" s="13">
        <v>42780.539780092593</v>
      </c>
      <c r="J188" s="7">
        <v>0</v>
      </c>
      <c r="K188" s="98" t="str">
        <f t="shared" si="98"/>
        <v>4007/4008</v>
      </c>
      <c r="L188" s="21" t="str">
        <f>VLOOKUP(A188,'Trips&amp;Operators'!$C$1:$G$99999,5,FALSE)</f>
        <v>ROMERO CHAD</v>
      </c>
      <c r="M188" s="6">
        <f t="shared" si="99"/>
        <v>1.1620370372838806E-2</v>
      </c>
      <c r="N188" s="7">
        <f t="shared" si="111"/>
        <v>16.733333336887881</v>
      </c>
      <c r="O188" s="7"/>
      <c r="P188" s="7"/>
      <c r="Q188" s="22"/>
      <c r="R188" s="22"/>
      <c r="S188" s="31">
        <f t="shared" si="112"/>
        <v>0</v>
      </c>
      <c r="T188" s="46" t="e">
        <f t="shared" si="100"/>
        <v>#VALUE!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0</v>
      </c>
      <c r="V188" s="187" t="str">
        <f t="shared" si="101"/>
        <v>https://d0f6bd738d7f1b3e5a7ca70fe4ff75f0.us-east-1.aws.found.io/app/kibana#/discover/Steve-Slow-Train-Analysis-(2080s-and-2083s)?_g=(refreshInterval:(display:Off,pause:!f,section:0,value:0),time:(from:'2017-02-14T11:39:48-0700',mode:absolute,to:'2017-02-14T13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88" t="str">
        <f t="shared" si="102"/>
        <v>N</v>
      </c>
      <c r="X188" s="188" t="e">
        <f t="shared" si="110"/>
        <v>#VALUE!</v>
      </c>
      <c r="Y188" s="62">
        <f t="shared" si="103"/>
        <v>6.4111000000000002</v>
      </c>
      <c r="Z188" s="62">
        <f t="shared" si="109"/>
        <v>1.29E-2</v>
      </c>
      <c r="AA188" s="62">
        <f t="shared" si="104"/>
        <v>6.3982000000000001</v>
      </c>
      <c r="AB188" s="59" t="e">
        <f>VLOOKUP(A188,Enforcements!$C$7:$K$14,8,0)</f>
        <v>#N/A</v>
      </c>
      <c r="AC188" s="55" t="e">
        <f>VLOOKUP(A188,Enforcements!$C$7:$E$14,3,0)</f>
        <v>#N/A</v>
      </c>
      <c r="AD188" s="56" t="str">
        <f t="shared" si="105"/>
        <v>62-14</v>
      </c>
      <c r="AE188" s="85" t="str">
        <f t="shared" si="106"/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AF188" s="82" t="str">
        <f t="shared" si="107"/>
        <v>"C:\Program Files (x86)\AstroGrep\AstroGrep.exe" /spath="%USERPROFILE%\AppData\Local\Temp\OnboardLogs" /stypes="app*4008*20170214*" /stext=" 19:.+((SYSTEM_STATE.+slice.+state.+changed )|(ment ac)|(multiple cpu faults)|(system.+state.+changed )|(\[timeout)|(PRM\|1\|D)|(kpr)|(kdp)|(\|lc)|(penalty)|(RTDC:00:00000204:00000036:00006526))" /e /r /s</v>
      </c>
      <c r="AG188" s="1" t="str">
        <f t="shared" si="108"/>
        <v>Other</v>
      </c>
      <c r="AH188" s="86" t="str">
        <f t="shared" si="92"/>
        <v>"%USERPROFILE%\Documents\GitHub\eaglep3\Utilities\RefineRTDCRunTimes.py" --tripid 62-14 --locoid 4008 --swversion DE.1.0.8.0 --startMP 204:64111 --initTime 2017-02-14T12:39:48 --startdatetime 2017-02-14T12:40:33 --delay 0 --endMP 204:129 --enddatetime 2017-02-14T12:57:17 --enforcementcount 0 &gt;&gt;C:\Users\stu\Documents\GitHub\eaglep3-reporting\EC\2017-02-14-refined-times.txt</v>
      </c>
      <c r="AI188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{"issue":{"subject":"","project_id":79,"tracker_id":40,"status_id":1,"priority_id":2,"assigned_to_id":23,"start_date":"2017-02-14","description":"","custom_fields":[{"id":1,"name":"Subdivision","value":"Other"},{"id":4,"name":"Milepost","value":"0.0129"},{"id":17,"name":"Train ID","value":"62-14"},{"id":16,"name":"Locomotive ID","value":"4008"},{"id":130,"name":"Impact","value":""},{"id":150,"name":"Time of Event (Mountain Time)","value":"12:57:17"},{"id":151,"name":"Denver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94"/>
        <v>start /low /b %USERPROFILE%\Documents\GitHub\eaglep3\Utilities\DownloadLogsFromS3.py --loco 4008 --day 2017-02-14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2017-02-14-UncaughtWiMAX.txt</v>
      </c>
    </row>
    <row r="189" spans="1:91" s="20" customFormat="1" x14ac:dyDescent="0.25">
      <c r="A189" s="33" t="s">
        <v>485</v>
      </c>
      <c r="B189" s="7">
        <v>4008</v>
      </c>
      <c r="C189" s="21" t="s">
        <v>192</v>
      </c>
      <c r="D189" s="21" t="s">
        <v>755</v>
      </c>
      <c r="E189" s="13">
        <v>42780.517974537041</v>
      </c>
      <c r="F189" s="13">
        <v>42780.519236111111</v>
      </c>
      <c r="G189" s="7">
        <v>1</v>
      </c>
      <c r="H189" s="21" t="s">
        <v>651</v>
      </c>
      <c r="I189" s="13">
        <v>42780.519930555558</v>
      </c>
      <c r="J189" s="7">
        <v>0</v>
      </c>
      <c r="K189" s="98" t="str">
        <f t="shared" si="98"/>
        <v>4007/4008</v>
      </c>
      <c r="L189" s="21" t="str">
        <f>VLOOKUP(A189,'Trips&amp;Operators'!$C$1:$G$99999,5,FALSE)</f>
        <v>ROMERO CHAD</v>
      </c>
      <c r="M189" s="6">
        <f t="shared" si="99"/>
        <v>6.944444467080757E-4</v>
      </c>
      <c r="N189" s="7">
        <f t="shared" si="111"/>
        <v>1.000000003259629</v>
      </c>
      <c r="O189" s="7"/>
      <c r="P189" s="7"/>
      <c r="Q189" s="22"/>
      <c r="R189" s="22"/>
      <c r="S189" s="31">
        <f t="shared" si="112"/>
        <v>0</v>
      </c>
      <c r="T189" s="46" t="e">
        <f t="shared" si="100"/>
        <v>#VALUE!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0</v>
      </c>
      <c r="V189" s="187" t="str">
        <f t="shared" si="101"/>
        <v>https://d0f6bd738d7f1b3e5a7ca70fe4ff75f0.us-east-1.aws.found.io/app/kibana#/discover/Steve-Slow-Train-Analysis-(2080s-and-2083s)?_g=(refreshInterval:(display:Off,pause:!f,section:0,value:0),time:(from:'2017-02-14T11:25:53-0700',mode:absolute,to:'2017-02-14T13:28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188" t="str">
        <f t="shared" si="102"/>
        <v>Y</v>
      </c>
      <c r="X189" s="188" t="e">
        <f t="shared" si="110"/>
        <v>#VALUE!</v>
      </c>
      <c r="Y189" s="62">
        <f t="shared" si="103"/>
        <v>8.6349999999999998</v>
      </c>
      <c r="Z189" s="62">
        <f t="shared" si="109"/>
        <v>8.6350999999999996</v>
      </c>
      <c r="AA189" s="62">
        <f t="shared" si="104"/>
        <v>9.9999999999766942E-5</v>
      </c>
      <c r="AB189" s="59" t="e">
        <f>VLOOKUP(A189,Enforcements!$C$7:$K$14,8,0)</f>
        <v>#N/A</v>
      </c>
      <c r="AC189" s="55" t="e">
        <f>VLOOKUP(A189,Enforcements!$C$7:$E$14,3,0)</f>
        <v>#N/A</v>
      </c>
      <c r="AD189" s="56" t="str">
        <f t="shared" si="105"/>
        <v>62-14</v>
      </c>
      <c r="AE189" s="85" t="str">
        <f t="shared" si="106"/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AF189" s="82" t="str">
        <f t="shared" si="107"/>
        <v>"C:\Program Files (x86)\AstroGrep\AstroGrep.exe" /spath="%USERPROFILE%\AppData\Local\Temp\OnboardLogs" /stypes="app*4008*20170214*" /stext=" 19:.+((SYSTEM_STATE.+slice.+state.+changed )|(ment ac)|(multiple cpu faults)|(system.+state.+changed )|(\[timeout)|(PRM\|1\|D)|(kpr)|(kdp)|(\|lc)|(penalty)|(RTDC:00:00000204:00000036:00006526))" /e /r /s</v>
      </c>
      <c r="AG189" s="1" t="str">
        <f t="shared" si="108"/>
        <v>Other</v>
      </c>
      <c r="AH189" s="86" t="str">
        <f t="shared" si="92"/>
        <v>"%USERPROFILE%\Documents\GitHub\eaglep3\Utilities\RefineRTDCRunTimes.py" --tripid 62-14 --locoid 4008 --swversion DE.1.0.8.0 --startMP 204:86350 --initTime 2017-02-14T12:25:53 --startdatetime 2017-02-14T12:27:42 --delay 1 --endMP 204:86351 --enddatetime 2017-02-14T12:28:42 --enforcementcount 0 &gt;&gt;C:\Users\stu\Documents\GitHub\eaglep3-reporting\EC\2017-02-14-refined-times.txt</v>
      </c>
      <c r="AI189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{"issue":{"subject":"","project_id":79,"tracker_id":40,"status_id":1,"priority_id":2,"assigned_to_id":23,"start_date":"2017-02-14","description":"","custom_fields":[{"id":1,"name":"Subdivision","value":"Other"},{"id":4,"name":"Milepost","value":"8.6351"},{"id":17,"name":"Train ID","value":"62-14"},{"id":16,"name":"Locomotive ID","value":"4008"},{"id":130,"name":"Impact","value":""},{"id":150,"name":"Time of Event (Mountain Time)","value":"12:28:42"},{"id":151,"name":"Denver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94"/>
        <v>start /low /b %USERPROFILE%\Documents\GitHub\eaglep3\Utilities\DownloadLogsFromS3.py --loco 4008 --day 2017-02-14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"%USERPROFILE%\AppData\Local\Temp\OnboardLogs"\RTDC4008\*4008*20170214* | grep -SE "(Enforcement Action)|(\[TIMEOUT)|(CHR.+\|PRM\|1\|D.+(SWITCH|SIGNAL).+UNKNOWN)" - &gt;&gt; 2017-02-14-UncaughtWiMAX.txt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626</v>
      </c>
      <c r="B190" s="7">
        <v>4043</v>
      </c>
      <c r="C190" s="21" t="s">
        <v>192</v>
      </c>
      <c r="D190" s="21" t="s">
        <v>756</v>
      </c>
      <c r="E190" s="13">
        <v>42781.064664351848</v>
      </c>
      <c r="F190" s="13">
        <v>42781.065578703703</v>
      </c>
      <c r="G190" s="7">
        <v>1</v>
      </c>
      <c r="H190" s="21" t="s">
        <v>757</v>
      </c>
      <c r="I190" s="13">
        <v>42781.079756944448</v>
      </c>
      <c r="J190" s="7">
        <v>0</v>
      </c>
      <c r="K190" s="98" t="str">
        <f t="shared" si="98"/>
        <v>4043/4044</v>
      </c>
      <c r="L190" s="21" t="str">
        <f>VLOOKUP(A190,'Trips&amp;Operators'!$C$1:$G$99999,5,FALSE)</f>
        <v>YANG JAN</v>
      </c>
      <c r="M190" s="6">
        <f t="shared" si="99"/>
        <v>1.417824074451346E-2</v>
      </c>
      <c r="N190" s="7">
        <f t="shared" si="111"/>
        <v>20.416666672099382</v>
      </c>
      <c r="O190" s="7"/>
      <c r="P190" s="7"/>
      <c r="Q190" s="22"/>
      <c r="R190" s="22"/>
      <c r="S190" s="31">
        <f t="shared" si="112"/>
        <v>0</v>
      </c>
      <c r="T190" s="46" t="e">
        <f t="shared" si="100"/>
        <v>#VALUE!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0</v>
      </c>
      <c r="V190" s="187" t="str">
        <f t="shared" si="101"/>
        <v>https://d0f6bd738d7f1b3e5a7ca70fe4ff75f0.us-east-1.aws.found.io/app/kibana#/discover/Steve-Slow-Train-Analysis-(2080s-and-2083s)?_g=(refreshInterval:(display:Off,pause:!f,section:0,value:0),time:(from:'2017-02-15T00:33:07-0700',mode:absolute,to:'2017-02-15T02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188" t="str">
        <f t="shared" si="102"/>
        <v>N</v>
      </c>
      <c r="X190" s="188" t="e">
        <f t="shared" si="110"/>
        <v>#VALUE!</v>
      </c>
      <c r="Y190" s="62">
        <f t="shared" si="103"/>
        <v>12.800599999999999</v>
      </c>
      <c r="Z190" s="62">
        <f t="shared" si="109"/>
        <v>5.5831</v>
      </c>
      <c r="AA190" s="62">
        <f t="shared" si="104"/>
        <v>7.2174999999999994</v>
      </c>
      <c r="AB190" s="59" t="e">
        <f>VLOOKUP(A190,Enforcements!$C$7:$K$14,8,0)</f>
        <v>#N/A</v>
      </c>
      <c r="AC190" s="55" t="e">
        <f>VLOOKUP(A190,Enforcements!$C$7:$E$14,3,0)</f>
        <v>#N/A</v>
      </c>
      <c r="AD190" s="56" t="str">
        <f t="shared" si="105"/>
        <v>71-14</v>
      </c>
      <c r="AE190" s="85" t="str">
        <f t="shared" si="106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190" s="82" t="str">
        <f t="shared" si="107"/>
        <v>"C:\Program Files (x86)\AstroGrep\AstroGrep.exe" /spath="%USERPROFILE%\AppData\Local\Temp\OnboardLogs" /stypes="app*4043*20170215*" /stext=" 08:.+((SYSTEM_STATE.+slice.+state.+changed )|(ment ac)|(multiple cpu faults)|(system.+state.+changed )|(\[timeout)|(PRM\|1\|D)|(kpr)|(kdp)|(\|lc)|(penalty)|(RTDC:00:00000204:00000036:00006526))" /e /r /s</v>
      </c>
      <c r="AG190" s="1" t="str">
        <f t="shared" si="108"/>
        <v>Other</v>
      </c>
      <c r="AH190" s="86" t="str">
        <f t="shared" si="92"/>
        <v>"%USERPROFILE%\Documents\GitHub\eaglep3\Utilities\RefineRTDCRunTimes.py" --tripid 71-14 --locoid 4043 --swversion DE.1.0.8.0 --startMP 204:128006 --initTime 2017-02-15T01:33:07 --startdatetime 2017-02-15T01:34:26 --delay 1 --endMP 204:55831 --enddatetime 2017-02-15T01:54:51 --enforcementcount 0 &gt;&gt;C:\Users\stu\Documents\GitHub\eaglep3-reporting\EC\2017-02-14-refined-times.txt</v>
      </c>
      <c r="AI190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{"issue":{"subject":"","project_id":79,"tracker_id":40,"status_id":1,"priority_id":2,"assigned_to_id":23,"start_date":"2017-02-15","description":"","custom_fields":[{"id":1,"name":"Subdivision","value":"Other"},{"id":4,"name":"Milepost","value":"5.5831"},{"id":17,"name":"Train ID","value":"71-14"},{"id":16,"name":"Locomotive ID","value":"4043"},{"id":130,"name":"Impact","value":""},{"id":150,"name":"Time of Event (Mountain Time)","value":"01:54:51"},{"id":151,"name":"Denver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94"/>
        <v>start /low /b %USERPROFILE%\Documents\GitHub\eaglep3\Utilities\DownloadLogsFromS3.py --loco 4043 --day 2017-02-15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"%USERPROFILE%\AppData\Local\Temp\OnboardLogs"\RTDC4043\*4043*20170215* | grep -SE "(Enforcement Action)|(\[TIMEOUT)|(CHR.+\|PRM\|1\|D.+(SWITCH|SIGNAL).+UNKNOWN)" - &gt;&gt; 2017-02-14-UncaughtWiMAX.txt</v>
      </c>
    </row>
    <row r="191" spans="1:91" s="20" customFormat="1" x14ac:dyDescent="0.25">
      <c r="A191" s="33" t="s">
        <v>626</v>
      </c>
      <c r="B191" s="7">
        <v>4043</v>
      </c>
      <c r="C191" s="21" t="s">
        <v>192</v>
      </c>
      <c r="D191" s="21" t="s">
        <v>758</v>
      </c>
      <c r="E191" s="13">
        <v>42781.038124999999</v>
      </c>
      <c r="F191" s="13">
        <v>42781.039456018516</v>
      </c>
      <c r="G191" s="7">
        <v>1</v>
      </c>
      <c r="H191" s="21" t="s">
        <v>759</v>
      </c>
      <c r="I191" s="13">
        <v>42781.048634259256</v>
      </c>
      <c r="J191" s="7">
        <v>0</v>
      </c>
      <c r="K191" s="98" t="str">
        <f t="shared" si="98"/>
        <v>4043/4044</v>
      </c>
      <c r="L191" s="21" t="str">
        <f>VLOOKUP(A191,'Trips&amp;Operators'!$C$1:$G$99999,5,FALSE)</f>
        <v>YANG JAN</v>
      </c>
      <c r="M191" s="6">
        <f t="shared" si="99"/>
        <v>9.1782407398568466E-3</v>
      </c>
      <c r="N191" s="7">
        <f t="shared" si="111"/>
        <v>13.216666665393859</v>
      </c>
      <c r="O191" s="7"/>
      <c r="P191" s="7"/>
      <c r="Q191" s="22"/>
      <c r="R191" s="22"/>
      <c r="S191" s="31">
        <f t="shared" si="112"/>
        <v>0</v>
      </c>
      <c r="T191" s="46" t="e">
        <f t="shared" si="100"/>
        <v>#VALUE!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0</v>
      </c>
      <c r="V191" s="187" t="str">
        <f t="shared" si="101"/>
        <v>https://d0f6bd738d7f1b3e5a7ca70fe4ff75f0.us-east-1.aws.found.io/app/kibana#/discover/Steve-Slow-Train-Analysis-(2080s-and-2083s)?_g=(refreshInterval:(display:Off,pause:!f,section:0,value:0),time:(from:'2017-02-14T23:54:54-0700',mode:absolute,to:'2017-02-15T02:10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1" s="188" t="str">
        <f t="shared" si="102"/>
        <v>N</v>
      </c>
      <c r="X191" s="188" t="e">
        <f t="shared" si="110"/>
        <v>#VALUE!</v>
      </c>
      <c r="Y191" s="62">
        <f t="shared" si="103"/>
        <v>12.8009</v>
      </c>
      <c r="Z191" s="62">
        <f t="shared" si="109"/>
        <v>6.7374999999999998</v>
      </c>
      <c r="AA191" s="62">
        <f t="shared" si="104"/>
        <v>6.0634000000000006</v>
      </c>
      <c r="AB191" s="59" t="e">
        <f>VLOOKUP(A191,Enforcements!$C$7:$K$14,8,0)</f>
        <v>#N/A</v>
      </c>
      <c r="AC191" s="55" t="e">
        <f>VLOOKUP(A191,Enforcements!$C$7:$E$14,3,0)</f>
        <v>#N/A</v>
      </c>
      <c r="AD191" s="56" t="str">
        <f t="shared" si="105"/>
        <v>71-14</v>
      </c>
      <c r="AE191" s="85" t="str">
        <f t="shared" si="106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191" s="82" t="str">
        <f t="shared" si="107"/>
        <v>"C:\Program Files (x86)\AstroGrep\AstroGrep.exe" /spath="%USERPROFILE%\AppData\Local\Temp\OnboardLogs" /stypes="app*4043*20170215*" /stext=" 08:.+((SYSTEM_STATE.+slice.+state.+changed )|(ment ac)|(multiple cpu faults)|(system.+state.+changed )|(\[timeout)|(PRM\|1\|D)|(kpr)|(kdp)|(\|lc)|(penalty)|(RTDC:00:00000204:00000036:00006526))" /e /r /s</v>
      </c>
      <c r="AG191" s="1" t="str">
        <f t="shared" si="108"/>
        <v>Other</v>
      </c>
      <c r="AH191" s="86" t="str">
        <f t="shared" si="92"/>
        <v>"%USERPROFILE%\Documents\GitHub\eaglep3\Utilities\RefineRTDCRunTimes.py" --tripid 71-14 --locoid 4043 --swversion DE.1.0.8.0 --startMP 204:128009 --initTime 2017-02-15T00:54:54 --startdatetime 2017-02-15T00:56:49 --delay 1 --endMP 204:67375 --enddatetime 2017-02-15T01:10:02 --enforcementcount 0 &gt;&gt;C:\Users\stu\Documents\GitHub\eaglep3-reporting\EC\2017-02-14-refined-times.txt</v>
      </c>
      <c r="AI191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{"issue":{"subject":"","project_id":79,"tracker_id":40,"status_id":1,"priority_id":2,"assigned_to_id":23,"start_date":"2017-02-15","description":"","custom_fields":[{"id":1,"name":"Subdivision","value":"Other"},{"id":4,"name":"Milepost","value":"6.7375"},{"id":17,"name":"Train ID","value":"71-14"},{"id":16,"name":"Locomotive ID","value":"4043"},{"id":130,"name":"Impact","value":""},{"id":150,"name":"Time of Event (Mountain Time)","value":"01:10:02"},{"id":151,"name":"Denver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94"/>
        <v>start /low /b %USERPROFILE%\Documents\GitHub\eaglep3\Utilities\DownloadLogsFromS3.py --loco 4043 --day 2017-02-15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"%USERPROFILE%\AppData\Local\Temp\OnboardLogs"\RTDC4043\*4043*20170215* | grep -SE "(Enforcement Action)|(\[TIMEOUT)|(CHR.+\|PRM\|1\|D.+(SWITCH|SIGNAL).+UNKNOWN)" - &gt;&gt; 2017-02-14-UncaughtWiMAX.txt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3" t="s">
        <v>626</v>
      </c>
      <c r="B192" s="7">
        <v>4044</v>
      </c>
      <c r="C192" s="21" t="s">
        <v>192</v>
      </c>
      <c r="D192" s="21" t="s">
        <v>760</v>
      </c>
      <c r="E192" s="13">
        <v>42780.938657407409</v>
      </c>
      <c r="F192" s="13">
        <v>42780.939513888887</v>
      </c>
      <c r="G192" s="7">
        <v>1</v>
      </c>
      <c r="H192" s="21" t="s">
        <v>761</v>
      </c>
      <c r="I192" s="13">
        <v>42780.983611111114</v>
      </c>
      <c r="J192" s="7">
        <v>0</v>
      </c>
      <c r="K192" s="98" t="str">
        <f t="shared" si="98"/>
        <v>4043/4044</v>
      </c>
      <c r="L192" s="21" t="str">
        <f>VLOOKUP(A192,'Trips&amp;Operators'!$C$1:$G$99999,5,FALSE)</f>
        <v>YANG JAN</v>
      </c>
      <c r="M192" s="6">
        <f t="shared" si="99"/>
        <v>4.4097222227719612E-2</v>
      </c>
      <c r="N192" s="7">
        <f t="shared" si="111"/>
        <v>63.500000007916242</v>
      </c>
      <c r="O192" s="7"/>
      <c r="P192" s="7"/>
      <c r="Q192" s="22"/>
      <c r="R192" s="22"/>
      <c r="S192" s="31">
        <f t="shared" si="112"/>
        <v>0</v>
      </c>
      <c r="T192" s="46" t="e">
        <f t="shared" si="100"/>
        <v>#VALUE!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187" t="str">
        <f t="shared" si="101"/>
        <v>https://d0f6bd738d7f1b3e5a7ca70fe4ff75f0.us-east-1.aws.found.io/app/kibana#/discover/Steve-Slow-Train-Analysis-(2080s-and-2083s)?_g=(refreshInterval:(display:Off,pause:!f,section:0,value:0),time:(from:'2017-02-14T21:31:40-0700',mode:absolute,to:'2017-02-15T00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2" s="188" t="str">
        <f t="shared" si="102"/>
        <v>N</v>
      </c>
      <c r="X192" s="188" t="e">
        <f t="shared" si="110"/>
        <v>#VALUE!</v>
      </c>
      <c r="Y192" s="62">
        <f t="shared" si="103"/>
        <v>0.11600000000000001</v>
      </c>
      <c r="Z192" s="62">
        <f t="shared" si="109"/>
        <v>12.8263</v>
      </c>
      <c r="AA192" s="62">
        <f t="shared" si="104"/>
        <v>12.7103</v>
      </c>
      <c r="AB192" s="59" t="e">
        <f>VLOOKUP(A192,Enforcements!$C$7:$K$14,8,0)</f>
        <v>#N/A</v>
      </c>
      <c r="AC192" s="55" t="e">
        <f>VLOOKUP(A192,Enforcements!$C$7:$E$14,3,0)</f>
        <v>#N/A</v>
      </c>
      <c r="AD192" s="56" t="str">
        <f t="shared" si="105"/>
        <v>71-14</v>
      </c>
      <c r="AE192" s="85" t="str">
        <f t="shared" si="106"/>
        <v>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 &amp; 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</v>
      </c>
      <c r="AF192" s="82" t="str">
        <f t="shared" si="107"/>
        <v>"C:\Program Files (x86)\AstroGrep\AstroGrep.exe" /spath="%USERPROFILE%\AppData\Local\Temp\OnboardLogs" /stypes="app*4044*20170215*" /stext=" 06:.+((SYSTEM_STATE.+slice.+state.+changed )|(ment ac)|(multiple cpu faults)|(system.+state.+changed )|(\[timeout)|(PRM\|1\|D)|(kpr)|(kdp)|(\|lc)|(penalty)|(RTDC:00:00000204:00000036:00006526))" /e /r /s</v>
      </c>
      <c r="AG192" s="1" t="str">
        <f t="shared" si="108"/>
        <v>Other</v>
      </c>
      <c r="AH192" s="86" t="str">
        <f t="shared" si="92"/>
        <v>"%USERPROFILE%\Documents\GitHub\eaglep3\Utilities\RefineRTDCRunTimes.py" --tripid 71-14 --locoid 4044 --swversion DE.1.0.8.0 --startMP 204:1160 --initTime 2017-02-14T22:31:40 --startdatetime 2017-02-14T22:32:54 --delay 1 --endMP 204:128263 --enddatetime 2017-02-14T23:36:24 --enforcementcount 0 &gt;&gt;C:\Users\stu\Documents\GitHub\eaglep3-reporting\EC\2017-02-14-refined-times.txt</v>
      </c>
      <c r="AI192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{"issue":{"subject":"","project_id":79,"tracker_id":40,"status_id":1,"priority_id":2,"assigned_to_id":23,"start_date":"2017-02-14","description":"","custom_fields":[{"id":1,"name":"Subdivision","value":"Other"},{"id":4,"name":"Milepost","value":"12.8263"},{"id":17,"name":"Train ID","value":"71-14"},{"id":16,"name":"Locomotive ID","value":"4044"},{"id":130,"name":"Impact","value":""},{"id":150,"name":"Time of Event (Mountain Time)","value":"23:36:24"},{"id":151,"name":"Denver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94"/>
        <v>start /low /b %USERPROFILE%\Documents\GitHub\eaglep3\Utilities\DownloadLogsFromS3.py --loco 4044 --day 2017-02-14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2017-02-14-UncaughtWiMAX.txt</v>
      </c>
    </row>
    <row r="193" spans="1:40" x14ac:dyDescent="0.25">
      <c r="A193" s="33" t="s">
        <v>626</v>
      </c>
      <c r="B193" s="7">
        <v>4044</v>
      </c>
      <c r="C193" s="21" t="s">
        <v>192</v>
      </c>
      <c r="D193" s="21" t="s">
        <v>762</v>
      </c>
      <c r="E193" s="13">
        <v>42781.09337962963</v>
      </c>
      <c r="F193" s="13">
        <v>42781.095104166663</v>
      </c>
      <c r="G193" s="7">
        <v>2</v>
      </c>
      <c r="H193" s="21" t="s">
        <v>763</v>
      </c>
      <c r="I193" s="13">
        <v>42781.108032407406</v>
      </c>
      <c r="J193" s="7">
        <v>0</v>
      </c>
      <c r="K193" s="98" t="str">
        <f t="shared" si="98"/>
        <v>4043/4044</v>
      </c>
      <c r="L193" s="21" t="str">
        <f>VLOOKUP(A193,'Trips&amp;Operators'!$C$1:$G$99999,5,FALSE)</f>
        <v>YANG JAN</v>
      </c>
      <c r="M193" s="6">
        <f t="shared" si="99"/>
        <v>1.2928240743349306E-2</v>
      </c>
      <c r="N193" s="7">
        <f t="shared" si="111"/>
        <v>18.616666670423001</v>
      </c>
      <c r="O193" s="7"/>
      <c r="P193" s="7"/>
      <c r="Q193" s="22"/>
      <c r="R193" s="22"/>
      <c r="S193" s="31">
        <f t="shared" si="112"/>
        <v>0</v>
      </c>
      <c r="T193" s="46" t="e">
        <f t="shared" si="100"/>
        <v>#VALUE!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87" t="str">
        <f t="shared" si="101"/>
        <v>https://d0f6bd738d7f1b3e5a7ca70fe4ff75f0.us-east-1.aws.found.io/app/kibana#/discover/Steve-Slow-Train-Analysis-(2080s-and-2083s)?_g=(refreshInterval:(display:Off,pause:!f,section:0,value:0),time:(from:'2017-02-15T01:14:28-0700',mode:absolute,to:'2017-02-15T03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188" t="str">
        <f t="shared" si="102"/>
        <v>N</v>
      </c>
      <c r="X193" s="188" t="e">
        <f t="shared" si="110"/>
        <v>#VALUE!</v>
      </c>
      <c r="Y193" s="62">
        <f t="shared" si="103"/>
        <v>5.6157000000000004</v>
      </c>
      <c r="Z193" s="62">
        <f t="shared" si="109"/>
        <v>12.8271</v>
      </c>
      <c r="AA193" s="62">
        <f t="shared" si="104"/>
        <v>7.2113999999999994</v>
      </c>
      <c r="AB193" s="59" t="e">
        <f>VLOOKUP(A193,Enforcements!$C$7:$K$14,8,0)</f>
        <v>#N/A</v>
      </c>
      <c r="AC193" s="55" t="e">
        <f>VLOOKUP(A193,Enforcements!$C$7:$E$14,3,0)</f>
        <v>#N/A</v>
      </c>
      <c r="AD193" s="56" t="str">
        <f t="shared" si="105"/>
        <v>71-14</v>
      </c>
      <c r="AE193" s="85" t="str">
        <f t="shared" si="106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193" s="82" t="str">
        <f t="shared" si="107"/>
        <v>"C:\Program Files (x86)\AstroGrep\AstroGrep.exe" /spath="%USERPROFILE%\AppData\Local\Temp\OnboardLogs" /stypes="app*4044*20170215*" /stext=" 09:.+((SYSTEM_STATE.+slice.+state.+changed )|(ment ac)|(multiple cpu faults)|(system.+state.+changed )|(\[timeout)|(PRM\|1\|D)|(kpr)|(kdp)|(\|lc)|(penalty)|(RTDC:00:00000204:00000036:00006526))" /e /r /s</v>
      </c>
      <c r="AG193" s="1" t="str">
        <f t="shared" si="108"/>
        <v>Other</v>
      </c>
      <c r="AH193" s="86" t="str">
        <f t="shared" si="92"/>
        <v>"%USERPROFILE%\Documents\GitHub\eaglep3\Utilities\RefineRTDCRunTimes.py" --tripid 71-14 --locoid 4044 --swversion DE.1.0.8.0 --startMP 204:56157 --initTime 2017-02-15T02:14:28 --startdatetime 2017-02-15T02:16:57 --delay 2 --endMP 204:128271 --enddatetime 2017-02-15T02:35:34 --enforcementcount 0 &gt;&gt;C:\Users\stu\Documents\GitHub\eaglep3-reporting\EC\2017-02-14-refined-times.txt</v>
      </c>
      <c r="AI193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{"issue":{"subject":"","project_id":79,"tracker_id":40,"status_id":1,"priority_id":2,"assigned_to_id":23,"start_date":"2017-02-15","description":"","custom_fields":[{"id":1,"name":"Subdivision","value":"Other"},{"id":4,"name":"Milepost","value":"12.8271"},{"id":17,"name":"Train ID","value":"71-14"},{"id":16,"name":"Locomotive ID","value":"4044"},{"id":130,"name":"Impact","value":""},{"id":150,"name":"Time of Event (Mountain Time)","value":"02:35:34"},{"id":151,"name":"Denver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94"/>
        <v>start /low /b %USERPROFILE%\Documents\GitHub\eaglep3\Utilities\DownloadLogsFromS3.py --loco 4044 --day 2017-02-15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2017-02-14-UncaughtWiMAX.txt</v>
      </c>
    </row>
    <row r="194" spans="1:40" x14ac:dyDescent="0.25">
      <c r="A194" s="33" t="s">
        <v>626</v>
      </c>
      <c r="B194" s="7">
        <v>4044</v>
      </c>
      <c r="C194" s="21" t="s">
        <v>192</v>
      </c>
      <c r="D194" s="21" t="s">
        <v>764</v>
      </c>
      <c r="E194" s="13">
        <v>42781.050775462965</v>
      </c>
      <c r="F194" s="13">
        <v>42781.051608796297</v>
      </c>
      <c r="G194" s="7">
        <v>1</v>
      </c>
      <c r="H194" s="21" t="s">
        <v>765</v>
      </c>
      <c r="I194" s="13">
        <v>42781.063726851855</v>
      </c>
      <c r="J194" s="7">
        <v>0</v>
      </c>
      <c r="K194" s="98" t="str">
        <f t="shared" si="98"/>
        <v>4043/4044</v>
      </c>
      <c r="L194" s="21" t="str">
        <f>VLOOKUP(A194,'Trips&amp;Operators'!$C$1:$G$99999,5,FALSE)</f>
        <v>YANG JAN</v>
      </c>
      <c r="M194" s="6">
        <f t="shared" si="99"/>
        <v>1.2118055557948537E-2</v>
      </c>
      <c r="N194" s="7">
        <f t="shared" si="111"/>
        <v>17.450000003445894</v>
      </c>
      <c r="O194" s="7"/>
      <c r="P194" s="7"/>
      <c r="Q194" s="22"/>
      <c r="R194" s="22"/>
      <c r="S194" s="31">
        <f t="shared" si="112"/>
        <v>0</v>
      </c>
      <c r="T194" s="46" t="e">
        <f t="shared" si="100"/>
        <v>#VALUE!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187" t="str">
        <f t="shared" si="101"/>
        <v>https://d0f6bd738d7f1b3e5a7ca70fe4ff75f0.us-east-1.aws.found.io/app/kibana#/discover/Steve-Slow-Train-Analysis-(2080s-and-2083s)?_g=(refreshInterval:(display:Off,pause:!f,section:0,value:0),time:(from:'2017-02-15T00:13:07-0700',mode:absolute,to:'2017-02-15T02:31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4" s="188" t="str">
        <f t="shared" si="102"/>
        <v>N</v>
      </c>
      <c r="X194" s="188" t="e">
        <f t="shared" si="110"/>
        <v>#VALUE!</v>
      </c>
      <c r="Y194" s="62">
        <f t="shared" si="103"/>
        <v>6.7702999999999998</v>
      </c>
      <c r="Z194" s="62">
        <f t="shared" si="109"/>
        <v>12.8268</v>
      </c>
      <c r="AA194" s="62">
        <f t="shared" si="104"/>
        <v>6.0565000000000007</v>
      </c>
      <c r="AB194" s="59" t="e">
        <f>VLOOKUP(A194,Enforcements!$C$7:$K$14,8,0)</f>
        <v>#N/A</v>
      </c>
      <c r="AC194" s="55" t="e">
        <f>VLOOKUP(A194,Enforcements!$C$7:$E$14,3,0)</f>
        <v>#N/A</v>
      </c>
      <c r="AD194" s="56" t="str">
        <f t="shared" si="105"/>
        <v>71-14</v>
      </c>
      <c r="AE194" s="85" t="str">
        <f t="shared" si="106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194" s="82" t="str">
        <f t="shared" si="107"/>
        <v>"C:\Program Files (x86)\AstroGrep\AstroGrep.exe" /spath="%USERPROFILE%\AppData\Local\Temp\OnboardLogs" /stypes="app*4044*20170215*" /stext=" 08:.+((SYSTEM_STATE.+slice.+state.+changed )|(ment ac)|(multiple cpu faults)|(system.+state.+changed )|(\[timeout)|(PRM\|1\|D)|(kpr)|(kdp)|(\|lc)|(penalty)|(RTDC:00:00000204:00000036:00006526))" /e /r /s</v>
      </c>
      <c r="AG194" s="1" t="str">
        <f t="shared" si="108"/>
        <v>Other</v>
      </c>
      <c r="AH194" s="86" t="str">
        <f t="shared" si="92"/>
        <v>"%USERPROFILE%\Documents\GitHub\eaglep3\Utilities\RefineRTDCRunTimes.py" --tripid 71-14 --locoid 4044 --swversion DE.1.0.8.0 --startMP 204:67703 --initTime 2017-02-15T01:13:07 --startdatetime 2017-02-15T01:14:19 --delay 1 --endMP 204:128268 --enddatetime 2017-02-15T01:31:46 --enforcementcount 0 &gt;&gt;C:\Users\stu\Documents\GitHub\eaglep3-reporting\EC\2017-02-14-refined-times.txt</v>
      </c>
      <c r="AI194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{"issue":{"subject":"","project_id":79,"tracker_id":40,"status_id":1,"priority_id":2,"assigned_to_id":23,"start_date":"2017-02-15","description":"","custom_fields":[{"id":1,"name":"Subdivision","value":"Other"},{"id":4,"name":"Milepost","value":"12.8268"},{"id":17,"name":"Train ID","value":"71-14"},{"id":16,"name":"Locomotive ID","value":"4044"},{"id":130,"name":"Impact","value":""},{"id":150,"name":"Time of Event (Mountain Time)","value":"01:31:46"},{"id":151,"name":"Denver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94"/>
        <v>start /low /b %USERPROFILE%\Documents\GitHub\eaglep3\Utilities\DownloadLogsFromS3.py --loco 4044 --day 2017-02-15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2017-02-14-UncaughtWiMAX.txt</v>
      </c>
    </row>
    <row r="195" spans="1:40" x14ac:dyDescent="0.25">
      <c r="A195" s="33" t="s">
        <v>626</v>
      </c>
      <c r="B195" s="7">
        <v>4044</v>
      </c>
      <c r="C195" s="21" t="s">
        <v>192</v>
      </c>
      <c r="D195" s="21" t="s">
        <v>766</v>
      </c>
      <c r="E195" s="13">
        <v>42781.00377314815</v>
      </c>
      <c r="F195" s="13">
        <v>42781.00476851852</v>
      </c>
      <c r="G195" s="7">
        <v>1</v>
      </c>
      <c r="H195" s="21" t="s">
        <v>767</v>
      </c>
      <c r="I195" s="13">
        <v>42781.012928240743</v>
      </c>
      <c r="J195" s="7">
        <v>0</v>
      </c>
      <c r="K195" s="98" t="str">
        <f t="shared" si="98"/>
        <v>4043/4044</v>
      </c>
      <c r="L195" s="21" t="str">
        <f>VLOOKUP(A195,'Trips&amp;Operators'!$C$1:$G$99999,5,FALSE)</f>
        <v>YANG JAN</v>
      </c>
      <c r="M195" s="6">
        <f t="shared" si="99"/>
        <v>8.1597222233540379E-3</v>
      </c>
      <c r="N195" s="7">
        <f t="shared" si="111"/>
        <v>11.750000001629815</v>
      </c>
      <c r="O195" s="7"/>
      <c r="P195" s="7"/>
      <c r="Q195" s="22"/>
      <c r="R195" s="22"/>
      <c r="S195" s="31">
        <f t="shared" si="112"/>
        <v>0</v>
      </c>
      <c r="T195" s="46" t="e">
        <f t="shared" si="100"/>
        <v>#VALUE!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87" t="str">
        <f t="shared" si="101"/>
        <v>https://d0f6bd738d7f1b3e5a7ca70fe4ff75f0.us-east-1.aws.found.io/app/kibana#/discover/Steve-Slow-Train-Analysis-(2080s-and-2083s)?_g=(refreshInterval:(display:Off,pause:!f,section:0,value:0),time:(from:'2017-02-14T23:05:26-0700',mode:absolute,to:'2017-02-15T01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5" s="188" t="str">
        <f t="shared" si="102"/>
        <v>N</v>
      </c>
      <c r="X195" s="188" t="e">
        <f t="shared" si="110"/>
        <v>#VALUE!</v>
      </c>
      <c r="Y195" s="62">
        <f t="shared" si="103"/>
        <v>6.7983000000000002</v>
      </c>
      <c r="Z195" s="62">
        <f t="shared" si="109"/>
        <v>12.827500000000001</v>
      </c>
      <c r="AA195" s="62">
        <f t="shared" si="104"/>
        <v>6.0292000000000003</v>
      </c>
      <c r="AB195" s="59" t="e">
        <f>VLOOKUP(A195,Enforcements!$C$7:$K$14,8,0)</f>
        <v>#N/A</v>
      </c>
      <c r="AC195" s="55" t="e">
        <f>VLOOKUP(A195,Enforcements!$C$7:$E$14,3,0)</f>
        <v>#N/A</v>
      </c>
      <c r="AD195" s="56" t="str">
        <f t="shared" si="105"/>
        <v>71-14</v>
      </c>
      <c r="AE195" s="85" t="str">
        <f t="shared" si="106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195" s="82" t="str">
        <f t="shared" si="107"/>
        <v>"C:\Program Files (x86)\AstroGrep\AstroGrep.exe" /spath="%USERPROFILE%\AppData\Local\Temp\OnboardLogs" /stypes="app*4044*20170215*" /stext=" 07:.+((SYSTEM_STATE.+slice.+state.+changed )|(ment ac)|(multiple cpu faults)|(system.+state.+changed )|(\[timeout)|(PRM\|1\|D)|(kpr)|(kdp)|(\|lc)|(penalty)|(RTDC:00:00000204:00000036:00006526))" /e /r /s</v>
      </c>
      <c r="AG195" s="1" t="str">
        <f t="shared" si="108"/>
        <v>Other</v>
      </c>
      <c r="AH195" s="86" t="str">
        <f t="shared" si="92"/>
        <v>"%USERPROFILE%\Documents\GitHub\eaglep3\Utilities\RefineRTDCRunTimes.py" --tripid 71-14 --locoid 4044 --swversion DE.1.0.8.0 --startMP 204:67983 --initTime 2017-02-15T00:05:26 --startdatetime 2017-02-15T00:06:52 --delay 1 --endMP 204:128275 --enddatetime 2017-02-15T00:18:37 --enforcementcount 0 &gt;&gt;C:\Users\stu\Documents\GitHub\eaglep3-reporting\EC\2017-02-14-refined-times.txt</v>
      </c>
      <c r="AI195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{"issue":{"subject":"","project_id":79,"tracker_id":40,"status_id":1,"priority_id":2,"assigned_to_id":23,"start_date":"2017-02-15","description":"","custom_fields":[{"id":1,"name":"Subdivision","value":"Other"},{"id":4,"name":"Milepost","value":"12.8275"},{"id":17,"name":"Train ID","value":"71-14"},{"id":16,"name":"Locomotive ID","value":"4044"},{"id":130,"name":"Impact","value":""},{"id":150,"name":"Time of Event (Mountain Time)","value":"00:18:37"},{"id":151,"name":"Denver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94"/>
        <v>start /low /b %USERPROFILE%\Documents\GitHub\eaglep3\Utilities\DownloadLogsFromS3.py --loco 4044 --day 2017-02-15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2017-02-14-UncaughtWiMAX.txt</v>
      </c>
    </row>
    <row r="196" spans="1:40" x14ac:dyDescent="0.25">
      <c r="A196" s="33" t="s">
        <v>626</v>
      </c>
      <c r="B196" s="7">
        <v>4044</v>
      </c>
      <c r="C196" s="21" t="s">
        <v>192</v>
      </c>
      <c r="D196" s="21" t="s">
        <v>768</v>
      </c>
      <c r="E196" s="13">
        <v>42781.022847222222</v>
      </c>
      <c r="F196" s="13">
        <v>42781.023564814815</v>
      </c>
      <c r="G196" s="7">
        <v>1</v>
      </c>
      <c r="H196" s="21" t="s">
        <v>763</v>
      </c>
      <c r="I196" s="13">
        <v>42781.033113425925</v>
      </c>
      <c r="J196" s="7">
        <v>0</v>
      </c>
      <c r="K196" s="98" t="str">
        <f t="shared" si="98"/>
        <v>4043/4044</v>
      </c>
      <c r="L196" s="21" t="str">
        <f>VLOOKUP(A196,'Trips&amp;Operators'!$C$1:$G$99999,5,FALSE)</f>
        <v>YANG JAN</v>
      </c>
      <c r="M196" s="6">
        <f t="shared" si="99"/>
        <v>9.5486111094942316E-3</v>
      </c>
      <c r="N196" s="7">
        <f t="shared" si="111"/>
        <v>13.749999997671694</v>
      </c>
      <c r="O196" s="7"/>
      <c r="P196" s="7"/>
      <c r="Q196" s="22"/>
      <c r="R196" s="22"/>
      <c r="S196" s="31">
        <f t="shared" si="112"/>
        <v>0</v>
      </c>
      <c r="T196" s="46" t="e">
        <f t="shared" si="100"/>
        <v>#VALUE!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87" t="str">
        <f t="shared" si="101"/>
        <v>https://d0f6bd738d7f1b3e5a7ca70fe4ff75f0.us-east-1.aws.found.io/app/kibana#/discover/Steve-Slow-Train-Analysis-(2080s-and-2083s)?_g=(refreshInterval:(display:Off,pause:!f,section:0,value:0),time:(from:'2017-02-14T23:32:54-0700',mode:absolute,to:'2017-02-15T01:47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6" s="188" t="str">
        <f t="shared" si="102"/>
        <v>N</v>
      </c>
      <c r="X196" s="188" t="e">
        <f t="shared" si="110"/>
        <v>#VALUE!</v>
      </c>
      <c r="Y196" s="62">
        <f t="shared" si="103"/>
        <v>6.8277999999999999</v>
      </c>
      <c r="Z196" s="62">
        <f t="shared" si="109"/>
        <v>12.8271</v>
      </c>
      <c r="AA196" s="62">
        <f t="shared" si="104"/>
        <v>5.9992999999999999</v>
      </c>
      <c r="AB196" s="59" t="e">
        <f>VLOOKUP(A196,Enforcements!$C$7:$K$14,8,0)</f>
        <v>#N/A</v>
      </c>
      <c r="AC196" s="55" t="e">
        <f>VLOOKUP(A196,Enforcements!$C$7:$E$14,3,0)</f>
        <v>#N/A</v>
      </c>
      <c r="AD196" s="56" t="str">
        <f t="shared" si="105"/>
        <v>71-14</v>
      </c>
      <c r="AE196" s="85" t="str">
        <f t="shared" si="106"/>
        <v>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 &amp; aws s3 cp s3://rtdc.mdm.uploadarchive.raw/RTDC4044/ "%USERPROFILE%\AppData\Local\Temp\OnboardLogs"\RTDC4044\2017-02-16 --exclude "*" --recursive --include "*20170216*" &amp; "%USERPROFILE%\Documents\GitHub\mrs-test-scripts\Headless Mode &amp; Sideloading\WalkAndUnGZ.bat" "%USERPROFILE%\AppData\Local\Temp\OnboardLogs"\RTDC4044\2017-02-16</v>
      </c>
      <c r="AF196" s="82" t="str">
        <f t="shared" si="107"/>
        <v>"C:\Program Files (x86)\AstroGrep\AstroGrep.exe" /spath="%USERPROFILE%\AppData\Local\Temp\OnboardLogs" /stypes="app*4044*20170215*" /stext=" 07:.+((SYSTEM_STATE.+slice.+state.+changed )|(ment ac)|(multiple cpu faults)|(system.+state.+changed )|(\[timeout)|(PRM\|1\|D)|(kpr)|(kdp)|(\|lc)|(penalty)|(RTDC:00:00000204:00000036:00006526))" /e /r /s</v>
      </c>
      <c r="AG196" s="1" t="str">
        <f t="shared" si="108"/>
        <v>Other</v>
      </c>
      <c r="AH196" s="86" t="str">
        <f t="shared" si="92"/>
        <v>"%USERPROFILE%\Documents\GitHub\eaglep3\Utilities\RefineRTDCRunTimes.py" --tripid 71-14 --locoid 4044 --swversion DE.1.0.8.0 --startMP 204:68278 --initTime 2017-02-15T00:32:54 --startdatetime 2017-02-15T00:33:56 --delay 1 --endMP 204:128271 --enddatetime 2017-02-15T00:47:41 --enforcementcount 0 &gt;&gt;C:\Users\stu\Documents\GitHub\eaglep3-reporting\EC\2017-02-14-refined-times.txt</v>
      </c>
      <c r="AI196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{"issue":{"subject":"","project_id":79,"tracker_id":40,"status_id":1,"priority_id":2,"assigned_to_id":23,"start_date":"2017-02-15","description":"","custom_fields":[{"id":1,"name":"Subdivision","value":"Other"},{"id":4,"name":"Milepost","value":"12.8271"},{"id":17,"name":"Train ID","value":"71-14"},{"id":16,"name":"Locomotive ID","value":"4044"},{"id":130,"name":"Impact","value":""},{"id":150,"name":"Time of Event (Mountain Time)","value":"00:47:41"},{"id":151,"name":"Denver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94"/>
        <v>start /low /b %USERPROFILE%\Documents\GitHub\eaglep3\Utilities\DownloadLogsFromS3.py --loco 4044 --day 2017-02-15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2017-02-14-UncaughtWiMAX.txt</v>
      </c>
    </row>
    <row r="197" spans="1:40" x14ac:dyDescent="0.25">
      <c r="A197" s="33" t="s">
        <v>632</v>
      </c>
      <c r="B197" s="7">
        <v>4043</v>
      </c>
      <c r="C197" s="21" t="s">
        <v>192</v>
      </c>
      <c r="D197" s="21" t="s">
        <v>769</v>
      </c>
      <c r="E197" s="13">
        <v>42780.983923611115</v>
      </c>
      <c r="F197" s="13">
        <v>42780.984953703701</v>
      </c>
      <c r="G197" s="7">
        <v>1</v>
      </c>
      <c r="H197" s="21" t="s">
        <v>770</v>
      </c>
      <c r="I197" s="13">
        <v>42781.003425925926</v>
      </c>
      <c r="J197" s="7">
        <v>0</v>
      </c>
      <c r="K197" s="98" t="str">
        <f t="shared" si="98"/>
        <v>4043/4044</v>
      </c>
      <c r="L197" s="21" t="str">
        <f>VLOOKUP(A197,'Trips&amp;Operators'!$C$1:$G$99999,5,FALSE)</f>
        <v>MAGEE KENYA</v>
      </c>
      <c r="M197" s="6">
        <f t="shared" si="99"/>
        <v>1.8472222225682344E-2</v>
      </c>
      <c r="N197" s="7">
        <f t="shared" si="111"/>
        <v>26.600000004982576</v>
      </c>
      <c r="O197" s="7"/>
      <c r="P197" s="7"/>
      <c r="Q197" s="22"/>
      <c r="R197" s="22"/>
      <c r="S197" s="31">
        <f t="shared" si="112"/>
        <v>0</v>
      </c>
      <c r="T197" s="46" t="e">
        <f t="shared" si="100"/>
        <v>#VALUE!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187" t="str">
        <f t="shared" si="101"/>
        <v>https://d0f6bd738d7f1b3e5a7ca70fe4ff75f0.us-east-1.aws.found.io/app/kibana#/discover/Steve-Slow-Train-Analysis-(2080s-and-2083s)?_g=(refreshInterval:(display:Off,pause:!f,section:0,value:0),time:(from:'2017-02-14T22:36:51-0700',mode:absolute,to:'2017-02-15T01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7" s="188" t="str">
        <f t="shared" si="102"/>
        <v>N</v>
      </c>
      <c r="X197" s="188" t="e">
        <f t="shared" si="110"/>
        <v>#VALUE!</v>
      </c>
      <c r="Y197" s="62">
        <f t="shared" si="103"/>
        <v>12.801</v>
      </c>
      <c r="Z197" s="62">
        <f t="shared" si="109"/>
        <v>6.7659000000000002</v>
      </c>
      <c r="AA197" s="62">
        <f t="shared" si="104"/>
        <v>6.0350999999999999</v>
      </c>
      <c r="AB197" s="59" t="e">
        <f>VLOOKUP(A197,Enforcements!$C$7:$K$14,8,0)</f>
        <v>#N/A</v>
      </c>
      <c r="AC197" s="55" t="e">
        <f>VLOOKUP(A197,Enforcements!$C$7:$E$14,3,0)</f>
        <v>#N/A</v>
      </c>
      <c r="AD197" s="56" t="str">
        <f t="shared" si="105"/>
        <v>72-14</v>
      </c>
      <c r="AE197" s="85" t="str">
        <f t="shared" si="106"/>
        <v>aws s3 cp s3://rtdc.mdm.uploadarchive.raw/RTDC4043/ "%USERPROFILE%\AppData\Local\Temp\OnboardLogs"\RTDC4043\2017-02-14 --exclude "*" --recursive --include "*20170214*" &amp; "%USERPROFILE%\Documents\GitHub\mrs-test-scripts\Headless Mode &amp; Sideloading\WalkAndUnGZ.bat" "%USERPROFILE%\AppData\Local\Temp\OnboardLogs"\RTDC4043\2017-02-14 &amp; 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</v>
      </c>
      <c r="AF197" s="82" t="str">
        <f t="shared" si="107"/>
        <v>"C:\Program Files (x86)\AstroGrep\AstroGrep.exe" /spath="%USERPROFILE%\AppData\Local\Temp\OnboardLogs" /stypes="app*4043*20170215*" /stext=" 07:.+((SYSTEM_STATE.+slice.+state.+changed )|(ment ac)|(multiple cpu faults)|(system.+state.+changed )|(\[timeout)|(PRM\|1\|D)|(kpr)|(kdp)|(\|lc)|(penalty)|(RTDC:00:00000204:00000036:00006526))" /e /r /s</v>
      </c>
      <c r="AG197" s="1" t="str">
        <f t="shared" si="108"/>
        <v>Other</v>
      </c>
      <c r="AH197" s="86" t="str">
        <f t="shared" si="92"/>
        <v>"%USERPROFILE%\Documents\GitHub\eaglep3\Utilities\RefineRTDCRunTimes.py" --tripid 72-14 --locoid 4043 --swversion DE.1.0.8.0 --startMP 204:128010 --initTime 2017-02-14T23:36:51 --startdatetime 2017-02-14T23:38:20 --delay 1 --endMP 204:67659 --enddatetime 2017-02-15T00:04:56 --enforcementcount 0 &gt;&gt;C:\Users\stu\Documents\GitHub\eaglep3-reporting\EC\2017-02-14-refined-times.txt</v>
      </c>
      <c r="AI197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{"issue":{"subject":"","project_id":79,"tracker_id":40,"status_id":1,"priority_id":2,"assigned_to_id":23,"start_date":"2017-02-15","description":"","custom_fields":[{"id":1,"name":"Subdivision","value":"Other"},{"id":4,"name":"Milepost","value":"6.7659"},{"id":17,"name":"Train ID","value":"72-14"},{"id":16,"name":"Locomotive ID","value":"4043"},{"id":130,"name":"Impact","value":""},{"id":150,"name":"Time of Event (Mountain Time)","value":"00:04:56"},{"id":151,"name":"Denver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94"/>
        <v>start /low /b %USERPROFILE%\Documents\GitHub\eaglep3\Utilities\DownloadLogsFromS3.py --loco 4043 --day 2017-02-14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"%USERPROFILE%\AppData\Local\Temp\OnboardLogs"\RTDC4043\*4043*20170215* | grep -SE "(Enforcement Action)|(\[TIMEOUT)|(CHR.+\|PRM\|1\|D.+(SWITCH|SIGNAL).+UNKNOWN)" - &gt;&gt; 2017-02-14-UncaughtWiMAX.txt</v>
      </c>
    </row>
    <row r="198" spans="1:40" x14ac:dyDescent="0.25">
      <c r="A198" s="33" t="s">
        <v>598</v>
      </c>
      <c r="B198" s="7">
        <v>4040</v>
      </c>
      <c r="C198" s="21" t="s">
        <v>192</v>
      </c>
      <c r="D198" s="21" t="s">
        <v>771</v>
      </c>
      <c r="E198" s="13">
        <v>42780.750289351854</v>
      </c>
      <c r="F198" s="13">
        <v>42780.752106481479</v>
      </c>
      <c r="G198" s="7">
        <v>2</v>
      </c>
      <c r="H198" s="21" t="s">
        <v>399</v>
      </c>
      <c r="I198" s="13">
        <v>42780.758877314816</v>
      </c>
      <c r="J198" s="7">
        <v>0</v>
      </c>
      <c r="K198" s="98" t="str">
        <f t="shared" si="98"/>
        <v>4039/4040</v>
      </c>
      <c r="L198" s="21" t="str">
        <f>VLOOKUP(A198,'Trips&amp;Operators'!$C$1:$G$99999,5,FALSE)</f>
        <v>MOSES BRADLEY</v>
      </c>
      <c r="M198" s="6">
        <f t="shared" si="99"/>
        <v>6.7708333372138441E-3</v>
      </c>
      <c r="N198" s="7">
        <f t="shared" si="111"/>
        <v>9.7500000055879354</v>
      </c>
      <c r="O198" s="7"/>
      <c r="P198" s="7"/>
      <c r="Q198" s="22"/>
      <c r="R198" s="22"/>
      <c r="S198" s="31">
        <f t="shared" si="112"/>
        <v>0</v>
      </c>
      <c r="T198" s="46" t="e">
        <f t="shared" si="100"/>
        <v>#VALUE!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87" t="str">
        <f t="shared" si="101"/>
        <v>https://d0f6bd738d7f1b3e5a7ca70fe4ff75f0.us-east-1.aws.found.io/app/kibana#/discover/Steve-Slow-Train-Analysis-(2080s-and-2083s)?_g=(refreshInterval:(display:Off,pause:!f,section:0,value:0),time:(from:'2017-02-14T17:00:25-0700',mode:absolute,to:'2017-02-14T19:12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188" t="str">
        <f t="shared" si="102"/>
        <v>Y</v>
      </c>
      <c r="X198" s="188" t="e">
        <f t="shared" si="110"/>
        <v>#VALUE!</v>
      </c>
      <c r="Y198" s="62">
        <f t="shared" si="103"/>
        <v>0.15060000000000001</v>
      </c>
      <c r="Z198" s="62">
        <f t="shared" si="109"/>
        <v>2.3346</v>
      </c>
      <c r="AA198" s="62">
        <f t="shared" si="104"/>
        <v>2.1840000000000002</v>
      </c>
      <c r="AB198" s="59" t="e">
        <f>VLOOKUP(A198,Enforcements!$C$7:$K$14,8,0)</f>
        <v>#N/A</v>
      </c>
      <c r="AC198" s="55" t="e">
        <f>VLOOKUP(A198,Enforcements!$C$7:$E$14,3,0)</f>
        <v>#N/A</v>
      </c>
      <c r="AD198" s="56" t="str">
        <f t="shared" si="105"/>
        <v>75-14</v>
      </c>
      <c r="AE198" s="85" t="str">
        <f t="shared" si="106"/>
        <v>aws s3 cp s3://rtdc.mdm.uploadarchive.raw/RTDC4040/ "%USERPROFILE%\AppData\Local\Temp\OnboardLogs"\RTDC4040\2017-02-14 --exclude "*" --recursive --include "*20170214*" &amp; "%USERPROFILE%\Documents\GitHub\mrs-test-scripts\Headless Mode &amp; Sideloading\WalkAndUnGZ.bat" "%USERPROFILE%\AppData\Local\Temp\OnboardLogs"\RTDC4040\2017-02-14 &amp; aws s3 cp s3://rtdc.mdm.uploadarchive.raw/RTDC4040/ "%USERPROFILE%\AppData\Local\Temp\OnboardLogs"\RTDC4040\2017-02-15 --exclude "*" --recursive --include "*20170215*" &amp; "%USERPROFILE%\Documents\GitHub\mrs-test-scripts\Headless Mode &amp; Sideloading\WalkAndUnGZ.bat" "%USERPROFILE%\AppData\Local\Temp\OnboardLogs"\RTDC4040\2017-02-15</v>
      </c>
      <c r="AF198" s="82" t="str">
        <f t="shared" si="107"/>
        <v>"C:\Program Files (x86)\AstroGrep\AstroGrep.exe" /spath="%USERPROFILE%\AppData\Local\Temp\OnboardLogs" /stypes="app*4040*20170215*" /stext=" 01:.+((SYSTEM_STATE.+slice.+state.+changed )|(ment ac)|(multiple cpu faults)|(system.+state.+changed )|(\[timeout)|(PRM\|1\|D)|(kpr)|(kdp)|(\|lc)|(penalty)|(RTDC:00:00000204:00000036:00006526))" /e /r /s</v>
      </c>
      <c r="AG198" s="1" t="str">
        <f t="shared" si="108"/>
        <v>Other</v>
      </c>
      <c r="AH198" s="86" t="str">
        <f t="shared" si="92"/>
        <v>"%USERPROFILE%\Documents\GitHub\eaglep3\Utilities\RefineRTDCRunTimes.py" --tripid 75-14 --locoid 4040 --swversion DE.1.0.8.0 --startMP 204:1506 --initTime 2017-02-14T18:00:25 --startdatetime 2017-02-14T18:03:02 --delay 2 --endMP 300:23346 --enddatetime 2017-02-14T18:12:47 --enforcementcount 0 &gt;&gt;C:\Users\stu\Documents\GitHub\eaglep3-reporting\EC\2017-02-14-refined-times.txt</v>
      </c>
      <c r="AI198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{"issue":{"subject":"","project_id":79,"tracker_id":40,"status_id":1,"priority_id":2,"assigned_to_id":23,"start_date":"2017-02-14","description":"","custom_fields":[{"id":1,"name":"Subdivision","value":"Other"},{"id":4,"name":"Milepost","value":"2.3346"},{"id":17,"name":"Train ID","value":"75-14"},{"id":16,"name":"Locomotive ID","value":"4040"},{"id":130,"name":"Impact","value":""},{"id":150,"name":"Time of Event (Mountain Time)","value":"18:12:47"},{"id":151,"name":"Denver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94"/>
        <v>start /low /b %USERPROFILE%\Documents\GitHub\eaglep3\Utilities\DownloadLogsFromS3.py --loco 4040 --day 2017-02-14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"%USERPROFILE%\AppData\Local\Temp\OnboardLogs"\RTDC4040\*4040*20170215* | grep -SE "(Enforcement Action)|(\[TIMEOUT)|(CHR.+\|PRM\|1\|D.+(SWITCH|SIGNAL).+UNKNOWN)" - &gt;&gt; 2017-02-14-UncaughtWiMAX.txt</v>
      </c>
    </row>
    <row r="199" spans="1:40" x14ac:dyDescent="0.25">
      <c r="A199" s="33" t="s">
        <v>602</v>
      </c>
      <c r="B199" s="7">
        <v>4025</v>
      </c>
      <c r="C199" s="21" t="s">
        <v>192</v>
      </c>
      <c r="D199" s="21" t="s">
        <v>772</v>
      </c>
      <c r="E199" s="13">
        <v>42780.766851851855</v>
      </c>
      <c r="F199" s="13">
        <v>42780.767928240741</v>
      </c>
      <c r="G199" s="7">
        <v>1</v>
      </c>
      <c r="H199" s="21" t="s">
        <v>399</v>
      </c>
      <c r="I199" s="13">
        <v>42780.774062500001</v>
      </c>
      <c r="J199" s="7">
        <v>0</v>
      </c>
      <c r="K199" s="98" t="str">
        <f t="shared" si="98"/>
        <v>4025/4026</v>
      </c>
      <c r="L199" s="21" t="str">
        <f>VLOOKUP(A199,'Trips&amp;Operators'!$C$1:$G$99999,5,FALSE)</f>
        <v>BRANNON JEFFREY</v>
      </c>
      <c r="M199" s="6">
        <f t="shared" si="99"/>
        <v>6.1342592598521151E-3</v>
      </c>
      <c r="N199" s="7">
        <f t="shared" si="111"/>
        <v>8.8333333341870457</v>
      </c>
      <c r="O199" s="7"/>
      <c r="P199" s="7"/>
      <c r="Q199" s="22"/>
      <c r="R199" s="22"/>
      <c r="S199" s="31">
        <f t="shared" si="112"/>
        <v>0</v>
      </c>
      <c r="T199" s="46" t="e">
        <f t="shared" si="100"/>
        <v>#VALUE!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87" t="str">
        <f t="shared" si="101"/>
        <v>https://d0f6bd738d7f1b3e5a7ca70fe4ff75f0.us-east-1.aws.found.io/app/kibana#/discover/Steve-Slow-Train-Analysis-(2080s-and-2083s)?_g=(refreshInterval:(display:Off,pause:!f,section:0,value:0),time:(from:'2017-02-14T17:24:16-0700',mode:absolute,to:'2017-02-14T19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9" s="188" t="str">
        <f t="shared" si="102"/>
        <v>Y</v>
      </c>
      <c r="X199" s="188" t="e">
        <f t="shared" si="110"/>
        <v>#VALUE!</v>
      </c>
      <c r="Y199" s="62">
        <f t="shared" si="103"/>
        <v>0.1152</v>
      </c>
      <c r="Z199" s="62">
        <f t="shared" si="109"/>
        <v>2.3346</v>
      </c>
      <c r="AA199" s="62">
        <f t="shared" si="104"/>
        <v>2.2193999999999998</v>
      </c>
      <c r="AB199" s="59" t="e">
        <f>VLOOKUP(A199,Enforcements!$C$7:$K$14,8,0)</f>
        <v>#N/A</v>
      </c>
      <c r="AC199" s="55" t="e">
        <f>VLOOKUP(A199,Enforcements!$C$7:$E$14,3,0)</f>
        <v>#N/A</v>
      </c>
      <c r="AD199" s="56" t="str">
        <f t="shared" si="105"/>
        <v>77-14</v>
      </c>
      <c r="AE199" s="85" t="str">
        <f t="shared" si="106"/>
        <v>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 &amp; aws s3 cp s3://rtdc.mdm.uploadarchive.raw/RTDC4025/ "%USERPROFILE%\AppData\Local\Temp\OnboardLogs"\RTDC4025\2017-02-15 --exclude "*" --recursive --include "*20170215*" &amp; "%USERPROFILE%\Documents\GitHub\mrs-test-scripts\Headless Mode &amp; Sideloading\WalkAndUnGZ.bat" "%USERPROFILE%\AppData\Local\Temp\OnboardLogs"\RTDC4025\2017-02-15</v>
      </c>
      <c r="AF199" s="82" t="str">
        <f t="shared" si="107"/>
        <v>"C:\Program Files (x86)\AstroGrep\AstroGrep.exe" /spath="%USERPROFILE%\AppData\Local\Temp\OnboardLogs" /stypes="app*4025*20170215*" /stext=" 01:.+((SYSTEM_STATE.+slice.+state.+changed )|(ment ac)|(multiple cpu faults)|(system.+state.+changed )|(\[timeout)|(PRM\|1\|D)|(kpr)|(kdp)|(\|lc)|(penalty)|(RTDC:00:00000204:00000036:00006526))" /e /r /s</v>
      </c>
      <c r="AG199" s="1" t="str">
        <f t="shared" si="108"/>
        <v>Other</v>
      </c>
      <c r="AH199" s="86" t="str">
        <f t="shared" si="92"/>
        <v>"%USERPROFILE%\Documents\GitHub\eaglep3\Utilities\RefineRTDCRunTimes.py" --tripid 77-14 --locoid 4025 --swversion DE.1.0.8.0 --startMP 204:1152 --initTime 2017-02-14T18:24:16 --startdatetime 2017-02-14T18:25:49 --delay 1 --endMP 300:23346 --enddatetime 2017-02-14T18:34:39 --enforcementcount 0 &gt;&gt;C:\Users\stu\Documents\GitHub\eaglep3-reporting\EC\2017-02-14-refined-times.txt</v>
      </c>
      <c r="AI199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{"issue":{"subject":"","project_id":79,"tracker_id":40,"status_id":1,"priority_id":2,"assigned_to_id":23,"start_date":"2017-02-14","description":"","custom_fields":[{"id":1,"name":"Subdivision","value":"Other"},{"id":4,"name":"Milepost","value":"2.3346"},{"id":17,"name":"Train ID","value":"77-14"},{"id":16,"name":"Locomotive ID","value":"4025"},{"id":130,"name":"Impact","value":""},{"id":150,"name":"Time of Event (Mountain Time)","value":"18:34:39"},{"id":151,"name":"Denver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94"/>
        <v>start /low /b %USERPROFILE%\Documents\GitHub\eaglep3\Utilities\DownloadLogsFromS3.py --loco 4025 --day 2017-02-14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"%USERPROFILE%\AppData\Local\Temp\OnboardLogs"\RTDC4025\*4025*20170215* | grep -SE "(Enforcement Action)|(\[TIMEOUT)|(CHR.+\|PRM\|1\|D.+(SWITCH|SIGNAL).+UNKNOWN)" - &gt;&gt; 2017-02-14-UncaughtWiMAX.txt</v>
      </c>
    </row>
    <row r="200" spans="1:40" x14ac:dyDescent="0.25">
      <c r="A200" s="33" t="s">
        <v>602</v>
      </c>
      <c r="B200" s="7">
        <v>4025</v>
      </c>
      <c r="C200" s="21" t="s">
        <v>192</v>
      </c>
      <c r="D200" s="21" t="s">
        <v>399</v>
      </c>
      <c r="E200" s="13">
        <v>42780.766851851855</v>
      </c>
      <c r="F200" s="13">
        <v>42780.774039351854</v>
      </c>
      <c r="G200" s="7">
        <v>10</v>
      </c>
      <c r="H200" s="21" t="s">
        <v>399</v>
      </c>
      <c r="I200" s="13">
        <v>42780.774062500001</v>
      </c>
      <c r="J200" s="7">
        <v>0</v>
      </c>
      <c r="K200" s="98" t="str">
        <f t="shared" si="98"/>
        <v>4025/4026</v>
      </c>
      <c r="L200" s="21" t="str">
        <f>VLOOKUP(A200,'Trips&amp;Operators'!$C$1:$G$99999,5,FALSE)</f>
        <v>BRANNON JEFFREY</v>
      </c>
      <c r="M200" s="6">
        <f t="shared" si="99"/>
        <v>2.314814628334716E-5</v>
      </c>
      <c r="N200" s="7">
        <f t="shared" si="111"/>
        <v>3.333333064801991E-2</v>
      </c>
      <c r="O200" s="7"/>
      <c r="P200" s="7"/>
      <c r="Q200" s="22"/>
      <c r="R200" s="22"/>
      <c r="S200" s="31">
        <f t="shared" si="112"/>
        <v>0</v>
      </c>
      <c r="T200" s="46" t="e">
        <f t="shared" si="100"/>
        <v>#VALUE!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87" t="str">
        <f t="shared" si="101"/>
        <v>https://d0f6bd738d7f1b3e5a7ca70fe4ff75f0.us-east-1.aws.found.io/app/kibana#/discover/Steve-Slow-Train-Analysis-(2080s-and-2083s)?_g=(refreshInterval:(display:Off,pause:!f,section:0,value:0),time:(from:'2017-02-14T17:24:16-0700',mode:absolute,to:'2017-02-14T19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0" s="188" t="str">
        <f t="shared" si="102"/>
        <v>Y</v>
      </c>
      <c r="X200" s="188" t="e">
        <f t="shared" si="110"/>
        <v>#VALUE!</v>
      </c>
      <c r="Y200" s="62">
        <f t="shared" si="103"/>
        <v>2.3346</v>
      </c>
      <c r="Z200" s="62">
        <f t="shared" si="109"/>
        <v>2.3346</v>
      </c>
      <c r="AA200" s="62">
        <f t="shared" si="104"/>
        <v>0</v>
      </c>
      <c r="AB200" s="59" t="e">
        <f>VLOOKUP(A200,Enforcements!$C$7:$K$14,8,0)</f>
        <v>#N/A</v>
      </c>
      <c r="AC200" s="55" t="e">
        <f>VLOOKUP(A200,Enforcements!$C$7:$E$14,3,0)</f>
        <v>#N/A</v>
      </c>
      <c r="AD200" s="56" t="str">
        <f t="shared" si="105"/>
        <v>77-14</v>
      </c>
      <c r="AE200" s="85" t="str">
        <f t="shared" si="106"/>
        <v>aws s3 cp s3://rtdc.mdm.uploadarchive.raw/RTDC4025/ "%USERPROFILE%\AppData\Local\Temp\OnboardLogs"\RTDC4025\2017-02-14 --exclude "*" --recursive --include "*20170214*" &amp; "%USERPROFILE%\Documents\GitHub\mrs-test-scripts\Headless Mode &amp; Sideloading\WalkAndUnGZ.bat" "%USERPROFILE%\AppData\Local\Temp\OnboardLogs"\RTDC4025\2017-02-14 &amp; aws s3 cp s3://rtdc.mdm.uploadarchive.raw/RTDC4025/ "%USERPROFILE%\AppData\Local\Temp\OnboardLogs"\RTDC4025\2017-02-15 --exclude "*" --recursive --include "*20170215*" &amp; "%USERPROFILE%\Documents\GitHub\mrs-test-scripts\Headless Mode &amp; Sideloading\WalkAndUnGZ.bat" "%USERPROFILE%\AppData\Local\Temp\OnboardLogs"\RTDC4025\2017-02-15</v>
      </c>
      <c r="AF200" s="82" t="str">
        <f t="shared" si="107"/>
        <v>"C:\Program Files (x86)\AstroGrep\AstroGrep.exe" /spath="%USERPROFILE%\AppData\Local\Temp\OnboardLogs" /stypes="app*4025*20170215*" /stext=" 01:.+((SYSTEM_STATE.+slice.+state.+changed )|(ment ac)|(multiple cpu faults)|(system.+state.+changed )|(\[timeout)|(PRM\|1\|D)|(kpr)|(kdp)|(\|lc)|(penalty)|(RTDC:00:00000204:00000036:00006526))" /e /r /s</v>
      </c>
      <c r="AG200" s="1" t="str">
        <f t="shared" si="108"/>
        <v>Other</v>
      </c>
      <c r="AH200" s="86" t="str">
        <f t="shared" si="92"/>
        <v>"%USERPROFILE%\Documents\GitHub\eaglep3\Utilities\RefineRTDCRunTimes.py" --tripid 77-14 --locoid 4025 --swversion DE.1.0.8.0 --startMP 300:23346 --initTime 2017-02-14T18:24:16 --startdatetime 2017-02-14T18:34:37 --delay 10 --endMP 300:23346 --enddatetime 2017-02-14T18:34:39 --enforcementcount 0 &gt;&gt;C:\Users\stu\Documents\GitHub\eaglep3-reporting\EC\2017-02-14-refined-times.txt</v>
      </c>
      <c r="AI200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{"issue":{"subject":"","project_id":79,"tracker_id":40,"status_id":1,"priority_id":2,"assigned_to_id":23,"start_date":"2017-02-14","description":"","custom_fields":[{"id":1,"name":"Subdivision","value":"Other"},{"id":4,"name":"Milepost","value":"2.3346"},{"id":17,"name":"Train ID","value":"77-14"},{"id":16,"name":"Locomotive ID","value":"4025"},{"id":130,"name":"Impact","value":""},{"id":150,"name":"Time of Event (Mountain Time)","value":"18:34:39"},{"id":151,"name":"Denver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94"/>
        <v>start /low /b %USERPROFILE%\Documents\GitHub\eaglep3\Utilities\DownloadLogsFromS3.py --loco 4025 --day 2017-02-14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"%USERPROFILE%\AppData\Local\Temp\OnboardLogs"\RTDC4025\*4025*20170215* | grep -SE "(Enforcement Action)|(\[TIMEOUT)|(CHR.+\|PRM\|1\|D.+(SWITCH|SIGNAL).+UNKNOWN)" - &gt;&gt; 2017-02-14-UncaughtWiMAX.txt</v>
      </c>
    </row>
    <row r="201" spans="1:40" x14ac:dyDescent="0.25">
      <c r="A201" s="33" t="s">
        <v>606</v>
      </c>
      <c r="B201" s="7">
        <v>4044</v>
      </c>
      <c r="C201" s="21" t="s">
        <v>192</v>
      </c>
      <c r="D201" s="21" t="s">
        <v>453</v>
      </c>
      <c r="E201" s="13">
        <v>42780.789097222223</v>
      </c>
      <c r="F201" s="13">
        <v>42780.790081018517</v>
      </c>
      <c r="G201" s="7">
        <v>1</v>
      </c>
      <c r="H201" s="21" t="s">
        <v>669</v>
      </c>
      <c r="I201" s="13">
        <v>42780.808437500003</v>
      </c>
      <c r="J201" s="7">
        <v>0</v>
      </c>
      <c r="K201" s="98" t="str">
        <f t="shared" si="98"/>
        <v>4043/4044</v>
      </c>
      <c r="L201" s="21" t="str">
        <f>VLOOKUP(A201,'Trips&amp;Operators'!$C$1:$G$99999,5,FALSE)</f>
        <v>CHANDLER KELVIN</v>
      </c>
      <c r="M201" s="6">
        <f t="shared" si="99"/>
        <v>1.8356481486989651E-2</v>
      </c>
      <c r="N201" s="7">
        <f t="shared" si="111"/>
        <v>26.433333341265097</v>
      </c>
      <c r="O201" s="7"/>
      <c r="P201" s="7"/>
      <c r="Q201" s="22"/>
      <c r="R201" s="22"/>
      <c r="S201" s="31">
        <f t="shared" si="112"/>
        <v>0</v>
      </c>
      <c r="T201" s="46" t="e">
        <f t="shared" si="100"/>
        <v>#VALUE!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87" t="str">
        <f t="shared" si="101"/>
        <v>https://d0f6bd738d7f1b3e5a7ca70fe4ff75f0.us-east-1.aws.found.io/app/kibana#/discover/Steve-Slow-Train-Analysis-(2080s-and-2083s)?_g=(refreshInterval:(display:Off,pause:!f,section:0,value:0),time:(from:'2017-02-14T17:56:18-0700',mode:absolute,to:'2017-02-14T20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188" t="str">
        <f t="shared" si="102"/>
        <v>N</v>
      </c>
      <c r="X201" s="188" t="e">
        <f t="shared" si="110"/>
        <v>#VALUE!</v>
      </c>
      <c r="Y201" s="62">
        <f t="shared" si="103"/>
        <v>7.5700000000000003E-2</v>
      </c>
      <c r="Z201" s="62">
        <f t="shared" si="109"/>
        <v>8.6379000000000001</v>
      </c>
      <c r="AA201" s="62">
        <f t="shared" si="104"/>
        <v>8.5622000000000007</v>
      </c>
      <c r="AB201" s="59" t="e">
        <f>VLOOKUP(A201,Enforcements!$C$7:$K$14,8,0)</f>
        <v>#N/A</v>
      </c>
      <c r="AC201" s="55" t="e">
        <f>VLOOKUP(A201,Enforcements!$C$7:$E$14,3,0)</f>
        <v>#N/A</v>
      </c>
      <c r="AD201" s="56" t="str">
        <f t="shared" si="105"/>
        <v>79-14</v>
      </c>
      <c r="AE201" s="85" t="str">
        <f t="shared" si="106"/>
        <v>aws s3 cp s3://rtdc.mdm.uploadarchive.raw/RTDC4044/ "%USERPROFILE%\AppData\Local\Temp\OnboardLogs"\RTDC4044\2017-02-14 --exclude "*" --recursive --include "*20170214*" &amp; "%USERPROFILE%\Documents\GitHub\mrs-test-scripts\Headless Mode &amp; Sideloading\WalkAndUnGZ.bat" "%USERPROFILE%\AppData\Local\Temp\OnboardLogs"\RTDC4044\2017-02-14 &amp; aws s3 cp s3://rtdc.mdm.uploadarchive.raw/RTDC4044/ "%USERPROFILE%\AppData\Local\Temp\OnboardLogs"\RTDC4044\2017-02-15 --exclude "*" --recursive --include "*20170215*" &amp; "%USERPROFILE%\Documents\GitHub\mrs-test-scripts\Headless Mode &amp; Sideloading\WalkAndUnGZ.bat" "%USERPROFILE%\AppData\Local\Temp\OnboardLogs"\RTDC4044\2017-02-15</v>
      </c>
      <c r="AF201" s="82" t="str">
        <f t="shared" si="107"/>
        <v>"C:\Program Files (x86)\AstroGrep\AstroGrep.exe" /spath="%USERPROFILE%\AppData\Local\Temp\OnboardLogs" /stypes="app*4044*20170215*" /stext=" 02:.+((SYSTEM_STATE.+slice.+state.+changed )|(ment ac)|(multiple cpu faults)|(system.+state.+changed )|(\[timeout)|(PRM\|1\|D)|(kpr)|(kdp)|(\|lc)|(penalty)|(RTDC:00:00000204:00000036:00006526))" /e /r /s</v>
      </c>
      <c r="AG201" s="1" t="str">
        <f t="shared" si="108"/>
        <v>Other</v>
      </c>
      <c r="AH201" s="86" t="str">
        <f t="shared" si="92"/>
        <v>"%USERPROFILE%\Documents\GitHub\eaglep3\Utilities\RefineRTDCRunTimes.py" --tripid 79-14 --locoid 4044 --swversion DE.1.0.8.0 --startMP 204:757 --initTime 2017-02-14T18:56:18 --startdatetime 2017-02-14T18:57:43 --delay 1 --endMP 204:86379 --enddatetime 2017-02-14T19:24:09 --enforcementcount 0 &gt;&gt;C:\Users\stu\Documents\GitHub\eaglep3-reporting\EC\2017-02-14-refined-times.txt</v>
      </c>
      <c r="AI201" s="108" t="str">
        <f t="shared" si="93"/>
        <v>echo {"issue":{"subject":"","project_id":79,"tracker_id":40,"status_id":1,"priority_id":2,"assigned_to_id":23,"start_date":"2017-02-14","description":"","custom_fields":[{"id":1,"name":"Subdivision","value":"Other"},{"id":4,"name":"Milepost","value":"8.6379"},{"id":17,"name":"Train ID","value":"79-14"},{"id":16,"name":"Locomotive ID","value":"4044"},{"id":130,"name":"Impact","value":""},{"id":150,"name":"Time of Event (Mountain Time)","value":"19:24:09"},{"id":151,"name":"Denver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94"/>
        <v>start /low /b %USERPROFILE%\Documents\GitHub\eaglep3\Utilities\DownloadLogsFromS3.py --loco 4044 --day 2017-02-14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"%USERPROFILE%\AppData\Local\Temp\OnboardLogs"\RTDC4044\*4044*20170215* | grep -SE "(Enforcement Action)|(\[TIMEOUT)|(CHR.+\|PRM\|1\|D.+(SWITCH|SIGNAL).+UNKNOWN)" - &gt;&gt; 2017-02-14-UncaughtWiMAX.txt</v>
      </c>
    </row>
    <row r="202" spans="1:40" x14ac:dyDescent="0.25">
      <c r="A202" s="33" t="s">
        <v>637</v>
      </c>
      <c r="B202" s="7">
        <v>4043</v>
      </c>
      <c r="C202" s="21" t="s">
        <v>192</v>
      </c>
      <c r="D202" s="21" t="s">
        <v>817</v>
      </c>
      <c r="E202" s="13">
        <v>42781.013599537036</v>
      </c>
      <c r="F202" s="13">
        <v>42781.014918981484</v>
      </c>
      <c r="G202" s="7">
        <v>1</v>
      </c>
      <c r="H202" s="21" t="s">
        <v>818</v>
      </c>
      <c r="I202" s="13">
        <v>42781.022719907407</v>
      </c>
      <c r="J202" s="7">
        <v>0</v>
      </c>
      <c r="K202" s="98" t="str">
        <f t="shared" si="98"/>
        <v>4043/4044</v>
      </c>
      <c r="L202" s="21" t="str">
        <f>VLOOKUP(A202,'Trips&amp;Operators'!$C$1:$G$99999,5,FALSE)</f>
        <v>MAGEE KENYA</v>
      </c>
      <c r="M202" s="6">
        <f t="shared" si="99"/>
        <v>7.8009259232203476E-3</v>
      </c>
      <c r="N202" s="7">
        <f t="shared" si="111"/>
        <v>11.233333329437301</v>
      </c>
      <c r="O202" s="7"/>
      <c r="P202" s="7"/>
      <c r="Q202" s="22"/>
      <c r="R202" s="22"/>
      <c r="S202" s="31">
        <f t="shared" si="112"/>
        <v>0</v>
      </c>
      <c r="T202" s="46" t="e">
        <f t="shared" si="100"/>
        <v>#VALUE!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87" t="str">
        <f t="shared" si="101"/>
        <v>https://d0f6bd738d7f1b3e5a7ca70fe4ff75f0.us-east-1.aws.found.io/app/kibana#/discover/Steve-Slow-Train-Analysis-(2080s-and-2083s)?_g=(refreshInterval:(display:Off,pause:!f,section:0,value:0),time:(from:'2017-02-14T23:19:35-0700',mode:absolute,to:'2017-02-15T01:32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2" s="188" t="str">
        <f t="shared" si="102"/>
        <v>N</v>
      </c>
      <c r="X202" s="188" t="e">
        <f t="shared" si="110"/>
        <v>#VALUE!</v>
      </c>
      <c r="Y202" s="62">
        <f t="shared" si="103"/>
        <v>12.802</v>
      </c>
      <c r="Z202" s="62">
        <f t="shared" si="109"/>
        <v>6.7952000000000004</v>
      </c>
      <c r="AA202" s="62">
        <f t="shared" si="104"/>
        <v>6.0067999999999993</v>
      </c>
      <c r="AB202" s="59" t="e">
        <f>VLOOKUP(A202,Enforcements!$C$7:$K$14,8,0)</f>
        <v>#N/A</v>
      </c>
      <c r="AC202" s="55" t="e">
        <f>VLOOKUP(A202,Enforcements!$C$7:$E$14,3,0)</f>
        <v>#N/A</v>
      </c>
      <c r="AD202" s="56" t="str">
        <f t="shared" si="105"/>
        <v>84-14</v>
      </c>
      <c r="AE202" s="85" t="str">
        <f t="shared" si="106"/>
        <v>aws s3 cp s3://rtdc.mdm.uploadarchive.raw/RTDC4043/ "%USERPROFILE%\AppData\Local\Temp\OnboardLogs"\RTDC4043\2017-02-15 --exclude "*" --recursive --include "*20170215*" &amp; "%USERPROFILE%\Documents\GitHub\mrs-test-scripts\Headless Mode &amp; Sideloading\WalkAndUnGZ.bat" "%USERPROFILE%\AppData\Local\Temp\OnboardLogs"\RTDC4043\2017-02-15 &amp; aws s3 cp s3://rtdc.mdm.uploadarchive.raw/RTDC4043/ "%USERPROFILE%\AppData\Local\Temp\OnboardLogs"\RTDC4043\2017-02-16 --exclude "*" --recursive --include "*20170216*" &amp; "%USERPROFILE%\Documents\GitHub\mrs-test-scripts\Headless Mode &amp; Sideloading\WalkAndUnGZ.bat" "%USERPROFILE%\AppData\Local\Temp\OnboardLogs"\RTDC4043\2017-02-16</v>
      </c>
      <c r="AF202" s="82" t="str">
        <f t="shared" si="107"/>
        <v>"C:\Program Files (x86)\AstroGrep\AstroGrep.exe" /spath="%USERPROFILE%\AppData\Local\Temp\OnboardLogs" /stypes="app*4043*20170215*" /stext=" 07:.+((SYSTEM_STATE.+slice.+state.+changed )|(ment ac)|(multiple cpu faults)|(system.+state.+changed )|(\[timeout)|(PRM\|1\|D)|(kpr)|(kdp)|(\|lc)|(penalty)|(RTDC:00:00000204:00000036:00006526))" /e /r /s</v>
      </c>
      <c r="AG202" s="1" t="str">
        <f t="shared" si="108"/>
        <v>Other</v>
      </c>
      <c r="AH202" s="86" t="str">
        <f t="shared" si="92"/>
        <v>"%USERPROFILE%\Documents\GitHub\eaglep3\Utilities\RefineRTDCRunTimes.py" --tripid 84-14 --locoid 4043 --swversion DE.1.0.8.0 --startMP 204:128020 --initTime 2017-02-15T00:19:35 --startdatetime 2017-02-15T00:21:29 --delay 1 --endMP 204:67952 --enddatetime 2017-02-15T00:32:43 --enforcementcount 0 &gt;&gt;C:\Users\stu\Documents\GitHub\eaglep3-reporting\EC\2017-02-14-refined-times.txt</v>
      </c>
      <c r="AI202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{"issue":{"subject":"","project_id":79,"tracker_id":40,"status_id":1,"priority_id":2,"assigned_to_id":23,"start_date":"2017-02-15","description":"","custom_fields":[{"id":1,"name":"Subdivision","value":"Other"},{"id":4,"name":"Milepost","value":"6.7952"},{"id":17,"name":"Train ID","value":"84-14"},{"id":16,"name":"Locomotive ID","value":"4043"},{"id":130,"name":"Impact","value":""},{"id":150,"name":"Time of Event (Mountain Time)","value":"00:32:43"},{"id":151,"name":"Denver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94"/>
        <v>start /low /b %USERPROFILE%\Documents\GitHub\eaglep3\Utilities\DownloadLogsFromS3.py --loco 4043 --day 2017-02-15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"%USERPROFILE%\AppData\Local\Temp\OnboardLogs"\RTDC4043\*4043*20170215* | grep -SE "(Enforcement Action)|(\[TIMEOUT)|(CHR.+\|PRM\|1\|D.+(SWITCH|SIGNAL).+UNKNOWN)" - &gt;&gt; 2017-02-14-UncaughtWiMAX.txt</v>
      </c>
    </row>
    <row r="203" spans="1:40" x14ac:dyDescent="0.25">
      <c r="A203" s="33" t="s">
        <v>634</v>
      </c>
      <c r="B203" s="7">
        <v>4030</v>
      </c>
      <c r="C203" s="21" t="s">
        <v>192</v>
      </c>
      <c r="D203" s="21" t="s">
        <v>822</v>
      </c>
      <c r="E203" s="13">
        <v>42780.994039351855</v>
      </c>
      <c r="F203" s="13">
        <v>42780.995729166665</v>
      </c>
      <c r="G203" s="7">
        <v>2</v>
      </c>
      <c r="H203" s="21" t="s">
        <v>217</v>
      </c>
      <c r="I203" s="13">
        <v>42781.007303240738</v>
      </c>
      <c r="J203" s="7">
        <v>0</v>
      </c>
      <c r="K203" s="98" t="str">
        <f t="shared" si="98"/>
        <v>4029/4030</v>
      </c>
      <c r="L203" s="21" t="str">
        <f>VLOOKUP(A203,'Trips&amp;Operators'!$C$1:$G$99999,5,FALSE)</f>
        <v>STAMBAUGH JAMES</v>
      </c>
      <c r="M203" s="6">
        <f t="shared" si="99"/>
        <v>1.1574074072996154E-2</v>
      </c>
      <c r="N203" s="7">
        <f t="shared" si="111"/>
        <v>16.666666665114462</v>
      </c>
      <c r="O203" s="7"/>
      <c r="P203" s="7"/>
      <c r="Q203" s="22"/>
      <c r="R203" s="22"/>
      <c r="S203" s="31">
        <f t="shared" si="112"/>
        <v>0</v>
      </c>
      <c r="T203" s="46" t="e">
        <f t="shared" si="100"/>
        <v>#VALUE!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87" t="str">
        <f t="shared" si="101"/>
        <v>https://d0f6bd738d7f1b3e5a7ca70fe4ff75f0.us-east-1.aws.found.io/app/kibana#/discover/Steve-Slow-Train-Analysis-(2080s-and-2083s)?_g=(refreshInterval:(display:Off,pause:!f,section:0,value:0),time:(from:'2017-02-14T22:51:25-0700',mode:absolute,to:'2017-02-15T01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188" t="str">
        <f t="shared" si="102"/>
        <v>N</v>
      </c>
      <c r="X203" s="188" t="e">
        <f t="shared" si="110"/>
        <v>#VALUE!</v>
      </c>
      <c r="Y203" s="62">
        <f t="shared" si="103"/>
        <v>6.4184000000000001</v>
      </c>
      <c r="Z203" s="62">
        <f t="shared" si="109"/>
        <v>1.54E-2</v>
      </c>
      <c r="AA203" s="62">
        <f t="shared" si="104"/>
        <v>6.4030000000000005</v>
      </c>
      <c r="AB203" s="59" t="e">
        <f>VLOOKUP(A203,Enforcements!$C$7:$K$14,8,0)</f>
        <v>#N/A</v>
      </c>
      <c r="AC203" s="55" t="e">
        <f>VLOOKUP(A203,Enforcements!$C$7:$E$14,3,0)</f>
        <v>#N/A</v>
      </c>
      <c r="AD203" s="56" t="str">
        <f t="shared" si="105"/>
        <v>86-14</v>
      </c>
      <c r="AE203" s="85" t="str">
        <f t="shared" si="106"/>
        <v>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 &amp; aws s3 cp s3://rtdc.mdm.uploadarchive.raw/RTDC4030/ "%USERPROFILE%\AppData\Local\Temp\OnboardLogs"\RTDC4030\2017-02-15 --exclude "*" --recursive --include "*20170215*" &amp; "%USERPROFILE%\Documents\GitHub\mrs-test-scripts\Headless Mode &amp; Sideloading\WalkAndUnGZ.bat" "%USERPROFILE%\AppData\Local\Temp\OnboardLogs"\RTDC4030\2017-02-15</v>
      </c>
      <c r="AF203" s="82" t="str">
        <f t="shared" si="107"/>
        <v>"C:\Program Files (x86)\AstroGrep\AstroGrep.exe" /spath="%USERPROFILE%\AppData\Local\Temp\OnboardLogs" /stypes="app*4030*20170215*" /stext=" 07:.+((SYSTEM_STATE.+slice.+state.+changed )|(ment ac)|(multiple cpu faults)|(system.+state.+changed )|(\[timeout)|(PRM\|1\|D)|(kpr)|(kdp)|(\|lc)|(penalty)|(RTDC:00:00000204:00000036:00006526))" /e /r /s</v>
      </c>
      <c r="AG203" s="1" t="str">
        <f t="shared" si="108"/>
        <v>Other</v>
      </c>
      <c r="AH203" s="86" t="str">
        <f t="shared" si="92"/>
        <v>"%USERPROFILE%\Documents\GitHub\eaglep3\Utilities\RefineRTDCRunTimes.py" --tripid 86-14 --locoid 4030 --swversion DE.1.0.8.0 --startMP 204:64184 --initTime 2017-02-14T23:51:25 --startdatetime 2017-02-14T23:53:51 --delay 2 --endMP 204:154 --enddatetime 2017-02-15T00:10:31 --enforcementcount 0 &gt;&gt;C:\Users\stu\Documents\GitHub\eaglep3-reporting\EC\2017-02-14-refined-times.txt</v>
      </c>
      <c r="AI203" s="108" t="str">
        <f t="shared" si="93"/>
        <v>echo {"issue":{"subject":"","project_id":79,"tracker_id":40,"status_id":1,"priority_id":2,"assigned_to_id":23,"start_date":"2017-02-15","description":"","custom_fields":[{"id":1,"name":"Subdivision","value":"Other"},{"id":4,"name":"Milepost","value":"0.0154"},{"id":17,"name":"Train ID","value":"86-14"},{"id":16,"name":"Locomotive ID","value":"4030"},{"id":130,"name":"Impact","value":""},{"id":150,"name":"Time of Event (Mountain Time)","value":"00:10:31"},{"id":151,"name":"Denver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94"/>
        <v>start /low /b %USERPROFILE%\Documents\GitHub\eaglep3\Utilities\DownloadLogsFromS3.py --loco 4030 --day 2017-02-14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"%USERPROFILE%\AppData\Local\Temp\OnboardLogs"\RTDC4030\*4030*20170215* | grep -SE "(Enforcement Action)|(\[TIMEOUT)|(CHR.+\|PRM\|1\|D.+(SWITCH|SIGNAL).+UNKNOWN)" - &gt;&gt; 2017-02-14-UncaughtWiMAX.txt</v>
      </c>
    </row>
    <row r="204" spans="1:40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S204"/>
      <c r="U204"/>
      <c r="V204"/>
      <c r="W204"/>
      <c r="X204"/>
      <c r="Y204"/>
      <c r="Z204"/>
      <c r="AA204"/>
      <c r="AB204"/>
      <c r="AC204"/>
      <c r="AD204"/>
      <c r="AE204"/>
      <c r="AF204"/>
      <c r="AH204"/>
      <c r="AI204"/>
      <c r="AM204"/>
    </row>
    <row r="205" spans="1:40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S205"/>
      <c r="U205"/>
      <c r="V205"/>
      <c r="W205"/>
      <c r="X205"/>
      <c r="Y205"/>
      <c r="Z205"/>
      <c r="AA205"/>
      <c r="AB205"/>
      <c r="AC205"/>
      <c r="AD205"/>
      <c r="AE205"/>
      <c r="AF205"/>
      <c r="AH205"/>
      <c r="AI205"/>
      <c r="AM205"/>
    </row>
    <row r="206" spans="1:40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S206"/>
      <c r="U206"/>
      <c r="V206"/>
      <c r="W206"/>
      <c r="X206"/>
      <c r="Y206"/>
      <c r="Z206"/>
      <c r="AA206"/>
      <c r="AB206"/>
      <c r="AC206"/>
      <c r="AD206"/>
      <c r="AE206"/>
      <c r="AF206"/>
      <c r="AH206"/>
      <c r="AI206"/>
      <c r="AM206"/>
    </row>
    <row r="207" spans="1:40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S207"/>
      <c r="U207"/>
      <c r="V207"/>
      <c r="W207"/>
      <c r="X207"/>
      <c r="Y207"/>
      <c r="Z207"/>
      <c r="AA207"/>
      <c r="AB207"/>
      <c r="AC207"/>
      <c r="AD207"/>
      <c r="AE207"/>
      <c r="AF207"/>
      <c r="AH207"/>
      <c r="AI207"/>
      <c r="AM207"/>
    </row>
    <row r="208" spans="1:40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S208"/>
      <c r="U208"/>
      <c r="V208"/>
      <c r="W208"/>
      <c r="X208"/>
      <c r="Y208"/>
      <c r="Z208"/>
      <c r="AA208"/>
      <c r="AB208"/>
      <c r="AC208"/>
      <c r="AD208"/>
      <c r="AE208"/>
      <c r="AF208"/>
      <c r="AH208"/>
      <c r="AI208"/>
      <c r="AM208"/>
    </row>
    <row r="209" spans="1:39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S209"/>
      <c r="U209"/>
      <c r="V209"/>
      <c r="W209"/>
      <c r="X209"/>
      <c r="Y209"/>
      <c r="Z209"/>
      <c r="AA209"/>
      <c r="AB209"/>
      <c r="AC209"/>
      <c r="AD209"/>
      <c r="AE209"/>
      <c r="AF209"/>
      <c r="AH209"/>
      <c r="AI209"/>
      <c r="AM209"/>
    </row>
    <row r="210" spans="1:39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S210"/>
      <c r="U210"/>
      <c r="V210"/>
      <c r="W210"/>
      <c r="X210"/>
      <c r="Y210"/>
      <c r="Z210"/>
      <c r="AA210"/>
      <c r="AB210"/>
      <c r="AC210"/>
      <c r="AD210"/>
      <c r="AE210"/>
      <c r="AF210"/>
      <c r="AH210"/>
      <c r="AI210"/>
      <c r="AM210"/>
    </row>
    <row r="211" spans="1:39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S211"/>
      <c r="U211"/>
      <c r="V211"/>
      <c r="W211"/>
      <c r="X211"/>
      <c r="Y211"/>
      <c r="Z211"/>
      <c r="AA211"/>
      <c r="AB211"/>
      <c r="AC211"/>
      <c r="AD211"/>
      <c r="AE211"/>
      <c r="AF211"/>
      <c r="AH211"/>
      <c r="AI211"/>
      <c r="AM211"/>
    </row>
    <row r="212" spans="1:39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S212"/>
      <c r="U212"/>
      <c r="V212"/>
      <c r="W212"/>
      <c r="X212"/>
      <c r="Y212"/>
      <c r="Z212"/>
      <c r="AA212"/>
      <c r="AB212"/>
      <c r="AC212"/>
      <c r="AD212"/>
      <c r="AE212"/>
      <c r="AF212"/>
      <c r="AH212"/>
      <c r="AI212"/>
      <c r="AM212"/>
    </row>
    <row r="213" spans="1:39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S213"/>
      <c r="U213"/>
      <c r="V213"/>
      <c r="W213"/>
      <c r="X213"/>
      <c r="Y213"/>
      <c r="Z213"/>
      <c r="AA213"/>
      <c r="AB213"/>
      <c r="AC213"/>
      <c r="AD213"/>
      <c r="AE213"/>
      <c r="AF213"/>
      <c r="AH213"/>
      <c r="AI213"/>
      <c r="AM213"/>
    </row>
    <row r="214" spans="1:39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  <c r="AM214"/>
    </row>
    <row r="215" spans="1:39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  <c r="AM215"/>
    </row>
    <row r="216" spans="1:3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3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3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3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</sheetData>
  <autoFilter ref="A12:AG229"/>
  <sortState ref="A13:AH200">
    <sortCondition ref="AG13:AG200"/>
    <sortCondition ref="AD13:AD200"/>
  </sortState>
  <mergeCells count="1">
    <mergeCell ref="A11:P11"/>
  </mergeCells>
  <conditionalFormatting sqref="W11:W12 W253:X1048576 W13:X203">
    <cfRule type="cellIs" dxfId="10" priority="356" operator="equal">
      <formula>"Y"</formula>
    </cfRule>
  </conditionalFormatting>
  <conditionalFormatting sqref="X253:X1048576 X13:X203">
    <cfRule type="cellIs" dxfId="9" priority="339" operator="greaterThan">
      <formula>1</formula>
    </cfRule>
  </conditionalFormatting>
  <conditionalFormatting sqref="X253:X1048576 X12:X203">
    <cfRule type="cellIs" dxfId="8" priority="336" operator="equal">
      <formula>0</formula>
    </cfRule>
  </conditionalFormatting>
  <conditionalFormatting sqref="A13:S203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A13:S203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A13:S203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AK13:AK203</xm:sqref>
        </x14:dataValidation>
        <x14:dataValidation type="list" allowBlank="1" showInputMessage="1" showErrorMessage="1">
          <x14:formula1>
            <xm:f>'Redmine List Values'!$C$2:$C$15</xm:f>
          </x14:formula1>
          <xm:sqref>AL13:AL203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8"/>
  <sheetViews>
    <sheetView tabSelected="1" topLeftCell="A5" zoomScaleNormal="100" workbookViewId="0">
      <selection activeCell="P10" sqref="P1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COUNTIF($O$7:$O$317,"=Y")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COUNTA($O$7:$O$317)-O2</f>
        <v>28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- 2017-02-14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196</v>
      </c>
      <c r="AE6" s="155" t="s">
        <v>210</v>
      </c>
    </row>
    <row r="7" spans="1:32" s="1" customFormat="1" x14ac:dyDescent="0.25">
      <c r="A7" s="32">
        <v>42780.782858796294</v>
      </c>
      <c r="B7" s="30" t="s">
        <v>228</v>
      </c>
      <c r="C7" s="30" t="s">
        <v>493</v>
      </c>
      <c r="D7" s="30" t="s">
        <v>49</v>
      </c>
      <c r="E7" s="30" t="s">
        <v>198</v>
      </c>
      <c r="F7" s="43">
        <v>0</v>
      </c>
      <c r="G7" s="43">
        <v>300</v>
      </c>
      <c r="H7" s="43">
        <v>76722</v>
      </c>
      <c r="I7" s="43">
        <v>77316</v>
      </c>
      <c r="J7" s="30" t="s">
        <v>199</v>
      </c>
      <c r="K7" s="43">
        <v>78349</v>
      </c>
      <c r="L7" s="143" t="s">
        <v>50</v>
      </c>
      <c r="M7" s="144">
        <f t="shared" ref="M7:M35" si="0">CONVERT((I7-K7)/10000,"mi","ft")*IF(L7="Increasing Mileposts (1)",-1,1)</f>
        <v>545.42399999999998</v>
      </c>
      <c r="N7" s="145" t="str">
        <f>VLOOKUP(C7,'Trips&amp;Operators'!$C$1:$G$99999,5,FALSE)</f>
        <v>STORY SAMANTHA</v>
      </c>
      <c r="O7" s="194" t="s">
        <v>184</v>
      </c>
      <c r="P7" s="146" t="s">
        <v>860</v>
      </c>
      <c r="Q7" s="30"/>
      <c r="R7" s="89" t="str">
        <f>VLOOKUP(C7,'Train Runs'!$A$13:$AE$9957,31,0)</f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S7" s="92" t="str">
        <f>VLOOKUP(C7,'Train Runs'!$A$13:$AE$9957,22,0)</f>
        <v>https://d0f6bd738d7f1b3e5a7ca70fe4ff75f0.us-east-1.aws.found.io/app/kibana#/discover/Steve-Slow-Train-Analysis-(2080s-and-2083s)?_g=(refreshInterval:(display:Off,pause:!f,section:0,value:0),time:(from:'2017-02-14T17:23:39-0700',mode:absolute,to:'2017-02-14T19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94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/stypes="*4029*201702150*" /stext=" 01:.+((SYSTEM_STATE.+slice.+state.+changed )|(ment ac)|(multiple cpu faults)|(system.+state.+changed )|(\[timeout)|(PRM\|1\|D)|(kpr)|(kdp)|(\|lc)|(penalty)|(RTDC:00:00000204:00000036:00006526))" /e /r /s</v>
      </c>
      <c r="U7" s="9" t="str">
        <f t="shared" ref="U7:U35" si="2">MID(B7,13,4)</f>
        <v>4029</v>
      </c>
      <c r="V7" s="32">
        <f t="shared" ref="V7:V35" si="3">A7-utc_offset/24</f>
        <v>42781.074525462958</v>
      </c>
      <c r="W7" s="46" t="str">
        <f t="shared" ref="W7:W35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5" si="5">IF(AND(E7="TRACK WARRANT AUTHORITY",G7&lt;10),"OMIT","KEEP")</f>
        <v>KEEP</v>
      </c>
      <c r="Y7" s="108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C","project_id":79,"tracker_id":40,"status_id":1,"priority_id":2,"assigned_to_id":23,"start_date":"2017-02-14","description":"","custom_fields":[{"id":1,"name":"Subdivision","value":"EC"},{"id":4,"name":"Milepost","value":"7.8349"},{"id":17,"name":"Train ID","value":"219-14"},{"id":16,"name":"Locomotive ID","value":"4029"},{"id":130,"name":"Impact","value":""},{"id":150,"name":"Time of Event (Mountain Time)","value":"18:47:19"},{"id":151,"name":"Denver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5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"%USERPROFILE%\AppData\Local\Temp\OnboardLogs"\RTDC4029\*4029*201702150*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"%USERPROFILE%\AppData\Local\Temp\OnboardLogs"\RTDC4029\*4029*201702150* &gt;&gt; 2017-02-14-SliceDisagreementCheck.txt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4029 --day 2017-02-15</v>
      </c>
    </row>
    <row r="8" spans="1:32" s="1" customFormat="1" x14ac:dyDescent="0.25">
      <c r="A8" s="32">
        <v>42780.741296296299</v>
      </c>
      <c r="B8" s="30" t="s">
        <v>224</v>
      </c>
      <c r="C8" s="30" t="s">
        <v>492</v>
      </c>
      <c r="D8" s="30" t="s">
        <v>98</v>
      </c>
      <c r="E8" s="30" t="s">
        <v>213</v>
      </c>
      <c r="F8" s="43">
        <v>200</v>
      </c>
      <c r="G8" s="43">
        <v>259</v>
      </c>
      <c r="H8" s="43">
        <v>5320</v>
      </c>
      <c r="I8" s="43">
        <v>5867</v>
      </c>
      <c r="J8" s="30" t="s">
        <v>214</v>
      </c>
      <c r="K8" s="43">
        <v>4677</v>
      </c>
      <c r="L8" s="143" t="s">
        <v>50</v>
      </c>
      <c r="M8" s="144">
        <f t="shared" si="0"/>
        <v>-628.32000000000005</v>
      </c>
      <c r="N8" s="145" t="str">
        <f>VLOOKUP(C8,'Trips&amp;Operators'!$C$1:$G$99999,5,FALSE)</f>
        <v>CRAYTON QUNTRELL</v>
      </c>
      <c r="O8" s="194" t="s">
        <v>184</v>
      </c>
      <c r="P8" s="146"/>
      <c r="Q8" s="30"/>
      <c r="R8" s="89" t="str">
        <f>VLOOKUP(C8,'Train Runs'!$A$13:$AE$9957,31,0)</f>
        <v>aws s3 cp s3://rtdc.mdm.uploadarchive.raw/RTDC4027/ "%USERPROFILE%\AppData\Local\Temp\OnboardLogs"\RTDC4027\2017-02-14 --exclude "*" --recursive --include "*20170214*" &amp; "%USERPROFILE%\Documents\GitHub\mrs-test-scripts\Headless Mode &amp; Sideloading\WalkAndUnGZ.bat" "%USERPROFILE%\AppData\Local\Temp\OnboardLogs"\RTDC4027\2017-02-14 &amp; aws s3 cp s3://rtdc.mdm.uploadarchive.raw/RTDC4027/ "%USERPROFILE%\AppData\Local\Temp\OnboardLogs"\RTDC4027\2017-02-15 --exclude "*" --recursive --include "*20170215*" &amp; "%USERPROFILE%\Documents\GitHub\mrs-test-scripts\Headless Mode &amp; Sideloading\WalkAndUnGZ.bat" "%USERPROFILE%\AppData\Local\Temp\OnboardLogs"\RTDC4027\2017-02-15</v>
      </c>
      <c r="S8" s="92" t="str">
        <f>VLOOKUP(C8,'Train Runs'!$A$13:$AE$9957,22,0)</f>
        <v>https://d0f6bd738d7f1b3e5a7ca70fe4ff75f0.us-east-1.aws.found.io/app/kibana#/discover/Steve-Slow-Train-Analysis-(2080s-and-2083s)?_g=(refreshInterval:(display:Off,pause:!f,section:0,value:0),time:(from:'2017-02-14T16:36:32-0700',mode:absolute,to:'2017-02-14T19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94" t="str">
        <f t="shared" si="1"/>
        <v>"C:\Program Files (x86)\AstroGrep\AstroGrep.exe" /spath="%USERPROFILE%\AppData\Local\Temp\OnboardLogs" /stypes="*4027*201702150*" /stext=" 00:.+((SYSTEM_STATE.+slice.+state.+changed )|(ment ac)|(multiple cpu faults)|(system.+state.+changed )|(\[timeout)|(PRM\|1\|D)|(kpr)|(kdp)|(\|lc)|(penalty)|(RTDC:00:00000204:00000036:00006526))" /e /r /s</v>
      </c>
      <c r="U8" s="9" t="str">
        <f t="shared" si="2"/>
        <v>4027</v>
      </c>
      <c r="V8" s="32">
        <f t="shared" si="3"/>
        <v>42781.032962962963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{"issue":{"subject":"","project_id":79,"tracker_id":40,"status_id":1,"priority_id":2,"assigned_to_id":23,"start_date":"2017-02-14","description":"","custom_fields":[{"id":1,"name":"Subdivision","value":"EC"},{"id":4,"name":"Milepost","value":"0.4677"},{"id":17,"name":"Train ID","value":"213-14"},{"id":16,"name":"Locomotive ID","value":"4027"},{"id":130,"name":"Impact","value":""},{"id":150,"name":"Time of Event (Mountain Time)","value":"17:47:28"},{"id":151,"name":"Denver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"%USERPROFILE%\AppData\Local\Temp\OnboardLogs"\RTDC4027\*4027*201702150*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"%USERPROFILE%\AppData\Local\Temp\OnboardLogs"\RTDC4027\*4027*201702150* &gt;&gt; 2017-02-14-SliceDisagreementCheck.txt</v>
      </c>
      <c r="AE8" s="157" t="str">
        <f t="shared" ref="AE8:AE35" si="9">"start /low /b "&amp;dls3logs&amp;" --loco "&amp;U8&amp;" --day "&amp;TEXT(V8,"YYYY-MM-DD")</f>
        <v>start /low /b %USERPROFILE%\Documents\GitHub\eaglep3\Utilities\DownloadLogsFromS3.py --loco 4027 --day 2017-02-15</v>
      </c>
    </row>
    <row r="9" spans="1:32" s="1" customFormat="1" x14ac:dyDescent="0.25">
      <c r="A9" s="32">
        <v>42780.378935185188</v>
      </c>
      <c r="B9" s="30" t="s">
        <v>228</v>
      </c>
      <c r="C9" s="30" t="s">
        <v>478</v>
      </c>
      <c r="D9" s="30" t="s">
        <v>49</v>
      </c>
      <c r="E9" s="30" t="s">
        <v>185</v>
      </c>
      <c r="F9" s="43">
        <v>0</v>
      </c>
      <c r="G9" s="43">
        <v>142</v>
      </c>
      <c r="H9" s="43">
        <v>1240</v>
      </c>
      <c r="I9" s="43">
        <v>1324</v>
      </c>
      <c r="J9" s="30" t="s">
        <v>186</v>
      </c>
      <c r="K9" s="43">
        <v>1692</v>
      </c>
      <c r="L9" s="143" t="s">
        <v>50</v>
      </c>
      <c r="M9" s="144">
        <f t="shared" si="0"/>
        <v>194.304</v>
      </c>
      <c r="N9" s="145" t="str">
        <f>VLOOKUP(C9,'Trips&amp;Operators'!$C$1:$G$99999,5,FALSE)</f>
        <v>MAELZER KURT</v>
      </c>
      <c r="O9" s="194" t="s">
        <v>184</v>
      </c>
      <c r="P9" s="146" t="s">
        <v>861</v>
      </c>
      <c r="Q9" s="30"/>
      <c r="R9" s="89" t="str">
        <f>VLOOKUP(C9,'Train Runs'!$A$13:$AE$9957,31,0)</f>
        <v>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 &amp; aws s3 cp s3://rtdc.mdm.uploadarchive.raw/RTDC4029/ "%USERPROFILE%\AppData\Local\Temp\OnboardLogs"\RTDC4029\2017-02-15 --exclude "*" --recursive --include "*20170215*" &amp; "%USERPROFILE%\Documents\GitHub\mrs-test-scripts\Headless Mode &amp; Sideloading\WalkAndUnGZ.bat" "%USERPROFILE%\AppData\Local\Temp\OnboardLogs"\RTDC4029\2017-02-15</v>
      </c>
      <c r="S9" s="92" t="str">
        <f>VLOOKUP(C9,'Train Runs'!$A$13:$AE$9957,22,0)</f>
        <v>https://d0f6bd738d7f1b3e5a7ca70fe4ff75f0.us-east-1.aws.found.io/app/kibana#/discover/Steve-Slow-Train-Analysis-(2080s-and-2083s)?_g=(refreshInterval:(display:Off,pause:!f,section:0,value:0),time:(from:'2017-02-14T08:02:21-0700',mode:absolute,to:'2017-02-14T10:30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9" s="94" t="str">
        <f t="shared" si="1"/>
        <v>"C:\Program Files (x86)\AstroGrep\AstroGrep.exe" /spath="%USERPROFILE%\AppData\Local\Temp\OnboardLogs" /stypes="*4029*201702141*" /stext=" 16:.+((SYSTEM_STATE.+slice.+state.+changed )|(ment ac)|(multiple cpu faults)|(system.+state.+changed )|(\[timeout)|(PRM\|1\|D)|(kpr)|(kdp)|(\|lc)|(penalty)|(RTDC:00:00000204:00000036:00006526))" /e /r /s</v>
      </c>
      <c r="U9" s="9" t="str">
        <f t="shared" si="2"/>
        <v>4029</v>
      </c>
      <c r="V9" s="32">
        <f t="shared" si="3"/>
        <v>42780.670601851853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{"issue":{"subject":"DUS 4N STOP","project_id":79,"tracker_id":40,"status_id":1,"priority_id":2,"assigned_to_id":23,"start_date":"2017-02-14","description":"","custom_fields":[{"id":1,"name":"Subdivision","value":"EC"},{"id":4,"name":"Milepost","value":"0.1692"},{"id":17,"name":"Train ID","value":"143-14"},{"id":16,"name":"Locomotive ID","value":"4029"},{"id":130,"name":"Impact","value":""},{"id":150,"name":"Time of Event (Mountain Time)","value":"09:05:40"},{"id":151,"name":"Denver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"%USERPROFILE%\AppData\Local\Temp\OnboardLogs"\RTDC4029\*4029*201702141*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"%USERPROFILE%\AppData\Local\Temp\OnboardLogs"\RTDC4029\*4029*201702141* &gt;&gt; 2017-02-14-SliceDisagreementCheck.txt</v>
      </c>
      <c r="AE9" s="157" t="str">
        <f t="shared" si="9"/>
        <v>start /low /b %USERPROFILE%\Documents\GitHub\eaglep3\Utilities\DownloadLogsFromS3.py --loco 4029 --day 2017-02-14</v>
      </c>
    </row>
    <row r="10" spans="1:32" s="1" customFormat="1" x14ac:dyDescent="0.25">
      <c r="A10" s="32">
        <v>42780.235254629632</v>
      </c>
      <c r="B10" s="30" t="s">
        <v>377</v>
      </c>
      <c r="C10" s="30" t="s">
        <v>475</v>
      </c>
      <c r="D10" s="30" t="s">
        <v>49</v>
      </c>
      <c r="E10" s="30" t="s">
        <v>185</v>
      </c>
      <c r="F10" s="43">
        <v>0</v>
      </c>
      <c r="G10" s="43">
        <v>48</v>
      </c>
      <c r="H10" s="43">
        <v>82009</v>
      </c>
      <c r="I10" s="43">
        <v>81937</v>
      </c>
      <c r="J10" s="30" t="s">
        <v>186</v>
      </c>
      <c r="K10" s="43">
        <v>81751</v>
      </c>
      <c r="L10" s="143" t="s">
        <v>51</v>
      </c>
      <c r="M10" s="144">
        <f t="shared" si="0"/>
        <v>98.207999999999998</v>
      </c>
      <c r="N10" s="145" t="str">
        <f>VLOOKUP(C10,'Trips&amp;Operators'!$C$1:$G$99999,5,FALSE)</f>
        <v>STARKS ANGELINA</v>
      </c>
      <c r="O10" s="194" t="s">
        <v>184</v>
      </c>
      <c r="P10" s="146" t="s">
        <v>862</v>
      </c>
      <c r="Q10" s="30"/>
      <c r="R10" s="89" t="str">
        <f>VLOOKUP(C10,'Train Runs'!$A$13:$AE$9957,31,0)</f>
        <v>aws s3 cp s3://rtdc.mdm.uploadarchive.raw/RTDC4017/ "%USERPROFILE%\AppData\Local\Temp\OnboardLogs"\RTDC4017\2017-02-14 --exclude "*" --recursive --include "*20170214*" &amp; "%USERPROFILE%\Documents\GitHub\mrs-test-scripts\Headless Mode &amp; Sideloading\WalkAndUnGZ.bat" "%USERPROFILE%\AppData\Local\Temp\OnboardLogs"\RTDC4017\2017-02-14 &amp; 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</v>
      </c>
      <c r="S10" s="92" t="str">
        <f>VLOOKUP(C10,'Train Runs'!$A$13:$AE$9957,22,0)</f>
        <v>https://d0f6bd738d7f1b3e5a7ca70fe4ff75f0.us-east-1.aws.found.io/app/kibana#/discover/Steve-Slow-Train-Analysis-(2080s-and-2083s)?_g=(refreshInterval:(display:Off,pause:!f,section:0,value:0),time:(from:'2017-02-14T04:50:25-0700',mode:absolute,to:'2017-02-14T07:10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94" t="str">
        <f t="shared" si="1"/>
        <v>"C:\Program Files (x86)\AstroGrep\AstroGrep.exe" /spath="%USERPROFILE%\AppData\Local\Temp\OnboardLogs" /stypes="*4017*201702141*" /stext=" 12:.+((SYSTEM_STATE.+slice.+state.+changed )|(ment ac)|(multiple cpu faults)|(system.+state.+changed )|(\[timeout)|(PRM\|1\|D)|(kpr)|(kdp)|(\|lc)|(penalty)|(RTDC:00:00000204:00000036:00006526))" /e /r /s</v>
      </c>
      <c r="U10" s="9" t="str">
        <f t="shared" si="2"/>
        <v>4017</v>
      </c>
      <c r="V10" s="32">
        <f t="shared" si="3"/>
        <v>42780.526921296296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lock","project_id":79,"tracker_id":40,"status_id":1,"priority_id":2,"assigned_to_id":23,"start_date":"2017-02-14","description":"","custom_fields":[{"id":1,"name":"Subdivision","value":"EC"},{"id":4,"name":"Milepost","value":"8.1751"},{"id":17,"name":"Train ID","value":"106-14"},{"id":16,"name":"Locomotive ID","value":"4017"},{"id":130,"name":"Impact","value":""},{"id":150,"name":"Time of Event (Mountain Time)","value":"05:38:46"},{"id":151,"name":"Denver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"%USERPROFILE%\AppData\Local\Temp\OnboardLogs"\RTDC4017\*4017*201702141*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"%USERPROFILE%\AppData\Local\Temp\OnboardLogs"\RTDC4017\*4017*201702141* &gt;&gt; 2017-02-14-SliceDisagreementCheck.txt</v>
      </c>
      <c r="AE10" s="157" t="str">
        <f t="shared" si="9"/>
        <v>start /low /b %USERPROFILE%\Documents\GitHub\eaglep3\Utilities\DownloadLogsFromS3.py --loco 4017 --day 2017-02-14</v>
      </c>
    </row>
    <row r="11" spans="1:32" s="1" customFormat="1" x14ac:dyDescent="0.25">
      <c r="A11" s="32">
        <v>42780.355567129627</v>
      </c>
      <c r="B11" s="30" t="s">
        <v>375</v>
      </c>
      <c r="C11" s="30" t="s">
        <v>476</v>
      </c>
      <c r="D11" s="30" t="s">
        <v>49</v>
      </c>
      <c r="E11" s="30" t="s">
        <v>185</v>
      </c>
      <c r="F11" s="43">
        <v>0</v>
      </c>
      <c r="G11" s="43">
        <v>178</v>
      </c>
      <c r="H11" s="43">
        <v>82813</v>
      </c>
      <c r="I11" s="43">
        <v>82577</v>
      </c>
      <c r="J11" s="30" t="s">
        <v>186</v>
      </c>
      <c r="K11" s="43">
        <v>81751</v>
      </c>
      <c r="L11" s="143" t="s">
        <v>51</v>
      </c>
      <c r="M11" s="144">
        <f t="shared" si="0"/>
        <v>436.12799999999999</v>
      </c>
      <c r="N11" s="145" t="str">
        <f>VLOOKUP(C11,'Trips&amp;Operators'!$C$1:$G$99999,5,FALSE)</f>
        <v>COOLAHAN JOHN</v>
      </c>
      <c r="O11" s="194" t="s">
        <v>184</v>
      </c>
      <c r="P11" s="146" t="s">
        <v>862</v>
      </c>
      <c r="Q11" s="30"/>
      <c r="R11" s="89" t="str">
        <f>VLOOKUP(C11,'Train Runs'!$A$13:$AE$9957,31,0)</f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S11" s="92" t="str">
        <f>VLOOKUP(C11,'Train Runs'!$A$13:$AE$9957,22,0)</f>
        <v>https://d0f6bd738d7f1b3e5a7ca70fe4ff75f0.us-east-1.aws.found.io/app/kibana#/discover/Steve-Slow-Train-Analysis-(2080s-and-2083s)?_g=(refreshInterval:(display:Off,pause:!f,section:0,value:0),time:(from:'2017-02-14T07:40:39-0700',mode:absolute,to:'2017-02-14T10:00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1" s="94" t="str">
        <f t="shared" si="1"/>
        <v>"C:\Program Files (x86)\AstroGrep\AstroGrep.exe" /spath="%USERPROFILE%\AppData\Local\Temp\OnboardLogs" /stypes="*4008*201702141*" /stext=" 15:.+((SYSTEM_STATE.+slice.+state.+changed )|(ment ac)|(multiple cpu faults)|(system.+state.+changed )|(\[timeout)|(PRM\|1\|D)|(kpr)|(kdp)|(\|lc)|(penalty)|(RTDC:00:00000204:00000036:00006526))" /e /r /s</v>
      </c>
      <c r="U11" s="9" t="str">
        <f t="shared" si="2"/>
        <v>4008</v>
      </c>
      <c r="V11" s="32">
        <f t="shared" si="3"/>
        <v>42780.647233796291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{"issue":{"subject":"Operational decision based on signal-system traffic directionality lock","project_id":79,"tracker_id":40,"status_id":1,"priority_id":2,"assigned_to_id":23,"start_date":"2017-02-14","description":"","custom_fields":[{"id":1,"name":"Subdivision","value":"EC"},{"id":4,"name":"Milepost","value":"8.1751"},{"id":17,"name":"Train ID","value":"130-14"},{"id":16,"name":"Locomotive ID","value":"4008"},{"id":130,"name":"Impact","value":""},{"id":150,"name":"Time of Event (Mountain Time)","value":"08:32:01"},{"id":151,"name":"Denver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"%USERPROFILE%\AppData\Local\Temp\OnboardLogs"\RTDC4008\*4008*201702141*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"%USERPROFILE%\AppData\Local\Temp\OnboardLogs"\RTDC4008\*4008*201702141* &gt;&gt; 2017-02-14-SliceDisagreementCheck.txt</v>
      </c>
      <c r="AE11" s="157" t="str">
        <f t="shared" si="9"/>
        <v>start /low /b %USERPROFILE%\Documents\GitHub\eaglep3\Utilities\DownloadLogsFromS3.py --loco 4008 --day 2017-02-14</v>
      </c>
    </row>
    <row r="12" spans="1:32" s="1" customFormat="1" x14ac:dyDescent="0.25">
      <c r="A12" s="32">
        <v>42780.466423611113</v>
      </c>
      <c r="B12" s="30" t="s">
        <v>300</v>
      </c>
      <c r="C12" s="30" t="s">
        <v>482</v>
      </c>
      <c r="D12" s="30" t="s">
        <v>49</v>
      </c>
      <c r="E12" s="30" t="s">
        <v>187</v>
      </c>
      <c r="F12" s="43">
        <v>0</v>
      </c>
      <c r="G12" s="43">
        <v>39</v>
      </c>
      <c r="H12" s="43">
        <v>180</v>
      </c>
      <c r="I12" s="43">
        <v>147</v>
      </c>
      <c r="J12" s="30" t="s">
        <v>188</v>
      </c>
      <c r="K12" s="43">
        <v>1</v>
      </c>
      <c r="L12" s="143" t="s">
        <v>51</v>
      </c>
      <c r="M12" s="144">
        <f t="shared" si="0"/>
        <v>77.087999999999994</v>
      </c>
      <c r="N12" s="145" t="str">
        <f>VLOOKUP(C12,'Trips&amp;Operators'!$C$1:$G$99999,5,FALSE)</f>
        <v>CUSHING HARRY</v>
      </c>
      <c r="O12" s="194" t="s">
        <v>184</v>
      </c>
      <c r="P12" s="146"/>
      <c r="Q12" s="30"/>
      <c r="R12" s="89" t="str">
        <f>VLOOKUP(C12,'Train Runs'!$A$13:$AE$9957,31,0)</f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S12" s="92" t="str">
        <f>VLOOKUP(C12,'Train Runs'!$A$13:$AE$9957,22,0)</f>
        <v>https://d0f6bd738d7f1b3e5a7ca70fe4ff75f0.us-east-1.aws.found.io/app/kibana#/discover/Steve-Slow-Train-Analysis-(2080s-and-2083s)?_g=(refreshInterval:(display:Off,pause:!f,section:0,value:0),time:(from:'2017-02-14T09:53:03-0700',mode:absolute,to:'2017-02-14T12:11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94" t="str">
        <f t="shared" si="1"/>
        <v>"C:\Program Files (x86)\AstroGrep\AstroGrep.exe" /spath="%USERPROFILE%\AppData\Local\Temp\OnboardLogs" /stypes="*4032*201702141*" /stext=" 18:.+((SYSTEM_STATE.+slice.+state.+changed )|(ment ac)|(multiple cpu faults)|(system.+state.+changed )|(\[timeout)|(PRM\|1\|D)|(kpr)|(kdp)|(\|lc)|(penalty)|(RTDC:00:00000204:00000036:00006526))" /e /r /s</v>
      </c>
      <c r="U12" s="9" t="str">
        <f t="shared" si="2"/>
        <v>4032</v>
      </c>
      <c r="V12" s="32">
        <f t="shared" si="3"/>
        <v>42780.758090277777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{"issue":{"subject":"","project_id":79,"tracker_id":40,"status_id":1,"priority_id":2,"assigned_to_id":23,"start_date":"2017-02-14","description":"","custom_fields":[{"id":1,"name":"Subdivision","value":"EC"},{"id":4,"name":"Milepost","value":"0.0001"},{"id":17,"name":"Train ID","value":"148-14"},{"id":16,"name":"Locomotive ID","value":"4032"},{"id":130,"name":"Impact","value":""},{"id":150,"name":"Time of Event (Mountain Time)","value":"11:11:39"},{"id":151,"name":"Denver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"%USERPROFILE%\AppData\Local\Temp\OnboardLogs"\RTDC4032\*4032*201702141*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"%USERPROFILE%\AppData\Local\Temp\OnboardLogs"\RTDC4032\*4032*201702141* &gt;&gt; 2017-02-14-SliceDisagreementCheck.txt</v>
      </c>
      <c r="AE12" s="157" t="str">
        <f t="shared" si="9"/>
        <v>start /low /b %USERPROFILE%\Documents\GitHub\eaglep3\Utilities\DownloadLogsFromS3.py --loco 4032 --day 2017-02-14</v>
      </c>
    </row>
    <row r="13" spans="1:32" s="1" customFormat="1" x14ac:dyDescent="0.25">
      <c r="A13" s="32">
        <v>42780.502175925925</v>
      </c>
      <c r="B13" s="30" t="s">
        <v>285</v>
      </c>
      <c r="C13" s="30" t="s">
        <v>483</v>
      </c>
      <c r="D13" s="30" t="s">
        <v>49</v>
      </c>
      <c r="E13" s="30" t="s">
        <v>187</v>
      </c>
      <c r="F13" s="43">
        <v>0</v>
      </c>
      <c r="G13" s="43">
        <v>26</v>
      </c>
      <c r="H13" s="43">
        <v>103</v>
      </c>
      <c r="I13" s="43">
        <v>90</v>
      </c>
      <c r="J13" s="30" t="s">
        <v>188</v>
      </c>
      <c r="K13" s="43">
        <v>1</v>
      </c>
      <c r="L13" s="143" t="s">
        <v>51</v>
      </c>
      <c r="M13" s="144">
        <f t="shared" si="0"/>
        <v>46.991999999999997</v>
      </c>
      <c r="N13" s="145" t="str">
        <f>VLOOKUP(C13,'Trips&amp;Operators'!$C$1:$G$99999,5,FALSE)</f>
        <v>STEWART MICHAEL</v>
      </c>
      <c r="O13" s="194" t="s">
        <v>184</v>
      </c>
      <c r="P13" s="146"/>
      <c r="Q13" s="30"/>
      <c r="R13" s="89" t="str">
        <f>VLOOKUP(C13,'Train Runs'!$A$13:$AE$9957,31,0)</f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S13" s="92" t="str">
        <f>VLOOKUP(C13,'Train Runs'!$A$13:$AE$9957,22,0)</f>
        <v>https://d0f6bd738d7f1b3e5a7ca70fe4ff75f0.us-east-1.aws.found.io/app/kibana#/discover/Steve-Slow-Train-Analysis-(2080s-and-2083s)?_g=(refreshInterval:(display:Off,pause:!f,section:0,value:0),time:(from:'2017-02-14T10:44:16-0700',mode:absolute,to:'2017-02-14T13:04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3" s="94" t="str">
        <f t="shared" si="1"/>
        <v>"C:\Program Files (x86)\AstroGrep\AstroGrep.exe" /spath="%USERPROFILE%\AppData\Local\Temp\OnboardLogs" /stypes="*4019*201702141*" /stext=" 19:.+((SYSTEM_STATE.+slice.+state.+changed )|(ment ac)|(multiple cpu faults)|(system.+state.+changed )|(\[timeout)|(PRM\|1\|D)|(kpr)|(kdp)|(\|lc)|(penalty)|(RTDC:00:00000204:00000036:00006526))" /e /r /s</v>
      </c>
      <c r="U13" s="9" t="str">
        <f t="shared" si="2"/>
        <v>4019</v>
      </c>
      <c r="V13" s="32">
        <f t="shared" si="3"/>
        <v>42780.793842592589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{"issue":{"subject":"","project_id":79,"tracker_id":40,"status_id":1,"priority_id":2,"assigned_to_id":23,"start_date":"2017-02-14","description":"","custom_fields":[{"id":1,"name":"Subdivision","value":"EC"},{"id":4,"name":"Milepost","value":"0.0001"},{"id":17,"name":"Train ID","value":"154-14"},{"id":16,"name":"Locomotive ID","value":"4019"},{"id":130,"name":"Impact","value":""},{"id":150,"name":"Time of Event (Mountain Time)","value":"12:03:08"},{"id":151,"name":"Denver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"%USERPROFILE%\AppData\Local\Temp\OnboardLogs"\RTDC4019\*4019*201702141*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"%USERPROFILE%\AppData\Local\Temp\OnboardLogs"\RTDC4019\*4019*201702141* &gt;&gt; 2017-02-14-SliceDisagreementCheck.txt</v>
      </c>
      <c r="AE13" s="157" t="str">
        <f t="shared" si="9"/>
        <v>start /low /b %USERPROFILE%\Documents\GitHub\eaglep3\Utilities\DownloadLogsFromS3.py --loco 4019 --day 2017-02-14</v>
      </c>
    </row>
    <row r="14" spans="1:32" s="1" customFormat="1" x14ac:dyDescent="0.25">
      <c r="A14" s="32">
        <v>42780.727893518517</v>
      </c>
      <c r="B14" s="30" t="s">
        <v>383</v>
      </c>
      <c r="C14" s="30" t="s">
        <v>491</v>
      </c>
      <c r="D14" s="30" t="s">
        <v>49</v>
      </c>
      <c r="E14" s="30" t="s">
        <v>187</v>
      </c>
      <c r="F14" s="43">
        <v>0</v>
      </c>
      <c r="G14" s="43">
        <v>21</v>
      </c>
      <c r="H14" s="43">
        <v>39</v>
      </c>
      <c r="I14" s="43">
        <v>32</v>
      </c>
      <c r="J14" s="30" t="s">
        <v>188</v>
      </c>
      <c r="K14" s="43">
        <v>1</v>
      </c>
      <c r="L14" s="143" t="s">
        <v>51</v>
      </c>
      <c r="M14" s="144">
        <f t="shared" si="0"/>
        <v>16.367999999999999</v>
      </c>
      <c r="N14" s="145" t="str">
        <f>VLOOKUP(C14,'Trips&amp;Operators'!$C$1:$G$99999,5,FALSE)</f>
        <v>ROMERO CHAD</v>
      </c>
      <c r="O14" s="194" t="s">
        <v>184</v>
      </c>
      <c r="P14" s="146"/>
      <c r="Q14" s="30"/>
      <c r="R14" s="89" t="str">
        <f>VLOOKUP(C14,'Train Runs'!$A$13:$AE$9957,31,0)</f>
        <v>aws s3 cp s3://rtdc.mdm.uploadarchive.raw/RTDC4012/ "%USERPROFILE%\AppData\Local\Temp\OnboardLogs"\RTDC4012\2017-02-14 --exclude "*" --recursive --include "*20170214*" &amp; "%USERPROFILE%\Documents\GitHub\mrs-test-scripts\Headless Mode &amp; Sideloading\WalkAndUnGZ.bat" "%USERPROFILE%\AppData\Local\Temp\OnboardLogs"\RTDC4012\2017-02-14 &amp; aws s3 cp s3://rtdc.mdm.uploadarchive.raw/RTDC4012/ "%USERPROFILE%\AppData\Local\Temp\OnboardLogs"\RTDC4012\2017-02-15 --exclude "*" --recursive --include "*20170215*" &amp; "%USERPROFILE%\Documents\GitHub\mrs-test-scripts\Headless Mode &amp; Sideloading\WalkAndUnGZ.bat" "%USERPROFILE%\AppData\Local\Temp\OnboardLogs"\RTDC4012\2017-02-15</v>
      </c>
      <c r="S14" s="92" t="str">
        <f>VLOOKUP(C14,'Train Runs'!$A$13:$AE$9957,22,0)</f>
        <v>https://d0f6bd738d7f1b3e5a7ca70fe4ff75f0.us-east-1.aws.found.io/app/kibana#/discover/Steve-Slow-Train-Analysis-(2080s-and-2083s)?_g=(refreshInterval:(display:Off,pause:!f,section:0,value:0),time:(from:'2017-02-14T16:11:41-0700',mode:absolute,to:'2017-02-14T18:28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4" s="94" t="str">
        <f t="shared" si="1"/>
        <v>"C:\Program Files (x86)\AstroGrep\AstroGrep.exe" /spath="%USERPROFILE%\AppData\Local\Temp\OnboardLogs" /stypes="*4012*201702150*" /stext=" 00:.+((SYSTEM_STATE.+slice.+state.+changed )|(ment ac)|(multiple cpu faults)|(system.+state.+changed )|(\[timeout)|(PRM\|1\|D)|(kpr)|(kdp)|(\|lc)|(penalty)|(RTDC:00:00000204:00000036:00006526))" /e /r /s</v>
      </c>
      <c r="U14" s="9" t="str">
        <f t="shared" si="2"/>
        <v>4012</v>
      </c>
      <c r="V14" s="32">
        <f t="shared" si="3"/>
        <v>42781.019560185181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{"issue":{"subject":"","project_id":79,"tracker_id":40,"status_id":1,"priority_id":2,"assigned_to_id":23,"start_date":"2017-02-14","description":"","custom_fields":[{"id":1,"name":"Subdivision","value":"EC"},{"id":4,"name":"Milepost","value":"0.0001"},{"id":17,"name":"Train ID","value":"198-14"},{"id":16,"name":"Locomotive ID","value":"4012"},{"id":130,"name":"Impact","value":""},{"id":150,"name":"Time of Event (Mountain Time)","value":"17:28:10"},{"id":151,"name":"Denver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"%USERPROFILE%\AppData\Local\Temp\OnboardLogs"\RTDC4012\*4012*201702150*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"%USERPROFILE%\AppData\Local\Temp\OnboardLogs"\RTDC4012\*4012*201702150* &gt;&gt; 2017-02-14-SliceDisagreementCheck.txt</v>
      </c>
      <c r="AE14" s="157" t="str">
        <f t="shared" si="9"/>
        <v>start /low /b %USERPROFILE%\Documents\GitHub\eaglep3\Utilities\DownloadLogsFromS3.py --loco 4012 --day 2017-02-15</v>
      </c>
    </row>
    <row r="15" spans="1:32" x14ac:dyDescent="0.25">
      <c r="A15" s="32">
        <v>42780.833668981482</v>
      </c>
      <c r="B15" s="30" t="s">
        <v>285</v>
      </c>
      <c r="C15" s="30" t="s">
        <v>495</v>
      </c>
      <c r="D15" s="30" t="s">
        <v>49</v>
      </c>
      <c r="E15" s="30" t="s">
        <v>187</v>
      </c>
      <c r="F15" s="43">
        <v>0</v>
      </c>
      <c r="G15" s="43">
        <v>56</v>
      </c>
      <c r="H15" s="43">
        <v>218</v>
      </c>
      <c r="I15" s="43">
        <v>172</v>
      </c>
      <c r="J15" s="30" t="s">
        <v>188</v>
      </c>
      <c r="K15" s="43">
        <v>1</v>
      </c>
      <c r="L15" s="143" t="s">
        <v>51</v>
      </c>
      <c r="M15" s="144">
        <f t="shared" si="0"/>
        <v>90.287999999999997</v>
      </c>
      <c r="N15" s="145" t="str">
        <f>VLOOKUP(C15,'Trips&amp;Operators'!$C$1:$G$99999,5,FALSE)</f>
        <v>NELSON ARIANE</v>
      </c>
      <c r="O15" s="194" t="s">
        <v>184</v>
      </c>
      <c r="P15" s="146"/>
      <c r="Q15" s="30"/>
      <c r="R15" s="89" t="str">
        <f>VLOOKUP(C15,'Train Runs'!$A$13:$AE$9957,31,0)</f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S15" s="92" t="str">
        <f>VLOOKUP(C15,'Train Runs'!$A$13:$AE$9957,22,0)</f>
        <v>https://d0f6bd738d7f1b3e5a7ca70fe4ff75f0.us-east-1.aws.found.io/app/kibana#/discover/Steve-Slow-Train-Analysis-(2080s-and-2083s)?_g=(refreshInterval:(display:Off,pause:!f,section:0,value:0),time:(from:'2017-02-14T18:47:43-0700',mode:absolute,to:'2017-02-14T21:02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94" t="str">
        <f t="shared" si="1"/>
        <v>"C:\Program Files (x86)\AstroGrep\AstroGrep.exe" /spath="%USERPROFILE%\AppData\Local\Temp\OnboardLogs" /stypes="*4019*201702150*" /stext=" 03:.+((SYSTEM_STATE.+slice.+state.+changed )|(ment ac)|(multiple cpu faults)|(system.+state.+changed )|(\[timeout)|(PRM\|1\|D)|(kpr)|(kdp)|(\|lc)|(penalty)|(RTDC:00:00000204:00000036:00006526))" /e /r /s</v>
      </c>
      <c r="U15" s="9" t="str">
        <f t="shared" si="2"/>
        <v>4019</v>
      </c>
      <c r="V15" s="32">
        <f t="shared" si="3"/>
        <v>42781.125335648147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{"issue":{"subject":"","project_id":79,"tracker_id":40,"status_id":1,"priority_id":2,"assigned_to_id":23,"start_date":"2017-02-14","description":"","custom_fields":[{"id":1,"name":"Subdivision","value":"EC"},{"id":4,"name":"Milepost","value":"0.0001"},{"id":17,"name":"Train ID","value":"218-14"},{"id":16,"name":"Locomotive ID","value":"4019"},{"id":130,"name":"Impact","value":""},{"id":150,"name":"Time of Event (Mountain Time)","value":"20:00:29"},{"id":151,"name":"Denver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"%USERPROFILE%\AppData\Local\Temp\OnboardLogs"\RTDC4019\*4019*201702150*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"%USERPROFILE%\AppData\Local\Temp\OnboardLogs"\RTDC4019\*4019*201702150* &gt;&gt; 2017-02-14-SliceDisagreementCheck.txt</v>
      </c>
      <c r="AE15" s="157" t="str">
        <f t="shared" si="9"/>
        <v>start /low /b %USERPROFILE%\Documents\GitHub\eaglep3\Utilities\DownloadLogsFromS3.py --loco 4019 --day 2017-02-15</v>
      </c>
      <c r="AF15" s="1"/>
    </row>
    <row r="16" spans="1:32" x14ac:dyDescent="0.25">
      <c r="A16" s="32">
        <v>42780.834270833337</v>
      </c>
      <c r="B16" s="30" t="s">
        <v>285</v>
      </c>
      <c r="C16" s="30" t="s">
        <v>495</v>
      </c>
      <c r="D16" s="30" t="s">
        <v>49</v>
      </c>
      <c r="E16" s="30" t="s">
        <v>187</v>
      </c>
      <c r="F16" s="43">
        <v>0</v>
      </c>
      <c r="G16" s="43">
        <v>25</v>
      </c>
      <c r="H16" s="43">
        <v>154</v>
      </c>
      <c r="I16" s="43">
        <v>136</v>
      </c>
      <c r="J16" s="30" t="s">
        <v>188</v>
      </c>
      <c r="K16" s="43">
        <v>1</v>
      </c>
      <c r="L16" s="143" t="s">
        <v>51</v>
      </c>
      <c r="M16" s="144">
        <f t="shared" si="0"/>
        <v>71.28</v>
      </c>
      <c r="N16" s="145" t="str">
        <f>VLOOKUP(C16,'Trips&amp;Operators'!$C$1:$G$99999,5,FALSE)</f>
        <v>NELSON ARIANE</v>
      </c>
      <c r="O16" s="194" t="s">
        <v>184</v>
      </c>
      <c r="P16" s="146"/>
      <c r="Q16" s="30"/>
      <c r="R16" s="89" t="str">
        <f>VLOOKUP(C16,'Train Runs'!$A$13:$AE$9957,31,0)</f>
        <v>aws s3 cp s3://rtdc.mdm.uploadarchive.raw/RTDC4019/ "%USERPROFILE%\AppData\Local\Temp\OnboardLogs"\RTDC4019\2017-02-14 --exclude "*" --recursive --include "*20170214*" &amp; "%USERPROFILE%\Documents\GitHub\mrs-test-scripts\Headless Mode &amp; Sideloading\WalkAndUnGZ.bat" "%USERPROFILE%\AppData\Local\Temp\OnboardLogs"\RTDC4019\2017-02-14 &amp; aws s3 cp s3://rtdc.mdm.uploadarchive.raw/RTDC4019/ "%USERPROFILE%\AppData\Local\Temp\OnboardLogs"\RTDC4019\2017-02-15 --exclude "*" --recursive --include "*20170215*" &amp; "%USERPROFILE%\Documents\GitHub\mrs-test-scripts\Headless Mode &amp; Sideloading\WalkAndUnGZ.bat" "%USERPROFILE%\AppData\Local\Temp\OnboardLogs"\RTDC4019\2017-02-15</v>
      </c>
      <c r="S16" s="92" t="str">
        <f>VLOOKUP(C16,'Train Runs'!$A$13:$AE$9957,22,0)</f>
        <v>https://d0f6bd738d7f1b3e5a7ca70fe4ff75f0.us-east-1.aws.found.io/app/kibana#/discover/Steve-Slow-Train-Analysis-(2080s-and-2083s)?_g=(refreshInterval:(display:Off,pause:!f,section:0,value:0),time:(from:'2017-02-14T18:47:43-0700',mode:absolute,to:'2017-02-14T21:02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6" s="94" t="str">
        <f t="shared" si="1"/>
        <v>"C:\Program Files (x86)\AstroGrep\AstroGrep.exe" /spath="%USERPROFILE%\AppData\Local\Temp\OnboardLogs" /stypes="*4019*201702150*" /stext=" 03:.+((SYSTEM_STATE.+slice.+state.+changed )|(ment ac)|(multiple cpu faults)|(system.+state.+changed )|(\[timeout)|(PRM\|1\|D)|(kpr)|(kdp)|(\|lc)|(penalty)|(RTDC:00:00000204:00000036:00006526))" /e /r /s</v>
      </c>
      <c r="U16" s="9" t="str">
        <f t="shared" si="2"/>
        <v>4019</v>
      </c>
      <c r="V16" s="32">
        <f t="shared" si="3"/>
        <v>42781.125937500001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{"issue":{"subject":"","project_id":79,"tracker_id":40,"status_id":1,"priority_id":2,"assigned_to_id":23,"start_date":"2017-02-14","description":"","custom_fields":[{"id":1,"name":"Subdivision","value":"EC"},{"id":4,"name":"Milepost","value":"0.0001"},{"id":17,"name":"Train ID","value":"218-14"},{"id":16,"name":"Locomotive ID","value":"4019"},{"id":130,"name":"Impact","value":""},{"id":150,"name":"Time of Event (Mountain Time)","value":"20:01:21"},{"id":151,"name":"Denver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"%USERPROFILE%\AppData\Local\Temp\OnboardLogs"\RTDC4019\*4019*201702150*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"%USERPROFILE%\AppData\Local\Temp\OnboardLogs"\RTDC4019\*4019*201702150* &gt;&gt; 2017-02-14-SliceDisagreementCheck.txt</v>
      </c>
      <c r="AE16" s="157" t="str">
        <f t="shared" si="9"/>
        <v>start /low /b %USERPROFILE%\Documents\GitHub\eaglep3\Utilities\DownloadLogsFromS3.py --loco 4019 --day 2017-02-15</v>
      </c>
      <c r="AF16" s="1"/>
    </row>
    <row r="17" spans="1:32" x14ac:dyDescent="0.25">
      <c r="A17" s="32">
        <v>42780.635995370372</v>
      </c>
      <c r="B17" s="30" t="s">
        <v>375</v>
      </c>
      <c r="C17" s="30" t="s">
        <v>487</v>
      </c>
      <c r="D17" s="30" t="s">
        <v>49</v>
      </c>
      <c r="E17" s="30" t="s">
        <v>187</v>
      </c>
      <c r="F17" s="43">
        <v>0</v>
      </c>
      <c r="G17" s="43">
        <v>22</v>
      </c>
      <c r="H17" s="43">
        <v>928</v>
      </c>
      <c r="I17" s="43">
        <v>919</v>
      </c>
      <c r="J17" s="30" t="s">
        <v>188</v>
      </c>
      <c r="K17" s="43">
        <v>826</v>
      </c>
      <c r="L17" s="143" t="s">
        <v>51</v>
      </c>
      <c r="M17" s="144">
        <f t="shared" si="0"/>
        <v>49.103999999999999</v>
      </c>
      <c r="N17" s="145" t="str">
        <f>VLOOKUP(C17,'Trips&amp;Operators'!$C$1:$G$99999,5,FALSE)</f>
        <v>LEVERE CRAIG</v>
      </c>
      <c r="O17" s="194" t="s">
        <v>184</v>
      </c>
      <c r="P17" s="146"/>
      <c r="Q17" s="30"/>
      <c r="R17" s="89" t="str">
        <f>VLOOKUP(C17,'Train Runs'!$A$13:$AE$9957,31,0)</f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S17" s="92" t="str">
        <f>VLOOKUP(C17,'Train Runs'!$A$13:$AE$9957,22,0)</f>
        <v>https://d0f6bd738d7f1b3e5a7ca70fe4ff75f0.us-east-1.aws.found.io/app/kibana#/discover/Steve-Slow-Train-Analysis-(2080s-and-2083s)?_g=(refreshInterval:(display:Off,pause:!f,section:0,value:0),time:(from:'2017-02-14T13:57:07-0700',mode:absolute,to:'2017-02-14T16:16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7" s="94" t="str">
        <f t="shared" si="1"/>
        <v>"C:\Program Files (x86)\AstroGrep\AstroGrep.exe" /spath="%USERPROFILE%\AppData\Local\Temp\OnboardLogs" /stypes="*4008*201702142*" /stext=" 22:.+((SYSTEM_STATE.+slice.+state.+changed )|(ment ac)|(multiple cpu faults)|(system.+state.+changed )|(\[timeout)|(PRM\|1\|D)|(kpr)|(kdp)|(\|lc)|(penalty)|(RTDC:00:00000204:00000036:00006526))" /e /r /s</v>
      </c>
      <c r="U17" s="9" t="str">
        <f t="shared" si="2"/>
        <v>4008</v>
      </c>
      <c r="V17" s="32">
        <f t="shared" si="3"/>
        <v>42780.927662037036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{"issue":{"subject":"","project_id":79,"tracker_id":40,"status_id":1,"priority_id":2,"assigned_to_id":23,"start_date":"2017-02-14","description":"","custom_fields":[{"id":1,"name":"Subdivision","value":"EC"},{"id":4,"name":"Milepost","value":"0.0826"},{"id":17,"name":"Train ID","value":"180-14"},{"id":16,"name":"Locomotive ID","value":"4008"},{"id":130,"name":"Impact","value":""},{"id":150,"name":"Time of Event (Mountain Time)","value":"15:15:50"},{"id":151,"name":"Denver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"%USERPROFILE%\AppData\Local\Temp\OnboardLogs"\RTDC4008\*4008*201702142*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"%USERPROFILE%\AppData\Local\Temp\OnboardLogs"\RTDC4008\*4008*201702142* &gt;&gt; 2017-02-14-SliceDisagreementCheck.txt</v>
      </c>
      <c r="AE17" s="157" t="str">
        <f t="shared" si="9"/>
        <v>start /low /b %USERPROFILE%\Documents\GitHub\eaglep3\Utilities\DownloadLogsFromS3.py --loco 4008 --day 2017-02-14</v>
      </c>
      <c r="AF17" s="1"/>
    </row>
    <row r="18" spans="1:32" x14ac:dyDescent="0.25">
      <c r="A18" s="32">
        <v>42780.63652777778</v>
      </c>
      <c r="B18" s="30" t="s">
        <v>375</v>
      </c>
      <c r="C18" s="30" t="s">
        <v>487</v>
      </c>
      <c r="D18" s="30" t="s">
        <v>49</v>
      </c>
      <c r="E18" s="30" t="s">
        <v>187</v>
      </c>
      <c r="F18" s="43">
        <v>0</v>
      </c>
      <c r="G18" s="43">
        <v>15</v>
      </c>
      <c r="H18" s="43">
        <v>848</v>
      </c>
      <c r="I18" s="43">
        <v>845</v>
      </c>
      <c r="J18" s="30" t="s">
        <v>188</v>
      </c>
      <c r="K18" s="43">
        <v>826</v>
      </c>
      <c r="L18" s="143" t="s">
        <v>51</v>
      </c>
      <c r="M18" s="144">
        <f t="shared" si="0"/>
        <v>10.032</v>
      </c>
      <c r="N18" s="145" t="str">
        <f>VLOOKUP(C18,'Trips&amp;Operators'!$C$1:$G$99999,5,FALSE)</f>
        <v>LEVERE CRAIG</v>
      </c>
      <c r="O18" s="194" t="s">
        <v>184</v>
      </c>
      <c r="P18" s="146"/>
      <c r="Q18" s="30"/>
      <c r="R18" s="89" t="str">
        <f>VLOOKUP(C18,'Train Runs'!$A$13:$AE$9957,31,0)</f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S18" s="92" t="str">
        <f>VLOOKUP(C18,'Train Runs'!$A$13:$AE$9957,22,0)</f>
        <v>https://d0f6bd738d7f1b3e5a7ca70fe4ff75f0.us-east-1.aws.found.io/app/kibana#/discover/Steve-Slow-Train-Analysis-(2080s-and-2083s)?_g=(refreshInterval:(display:Off,pause:!f,section:0,value:0),time:(from:'2017-02-14T13:57:07-0700',mode:absolute,to:'2017-02-14T16:16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8" s="94" t="str">
        <f t="shared" si="1"/>
        <v>"C:\Program Files (x86)\AstroGrep\AstroGrep.exe" /spath="%USERPROFILE%\AppData\Local\Temp\OnboardLogs" /stypes="*4008*201702142*" /stext=" 22:.+((SYSTEM_STATE.+slice.+state.+changed )|(ment ac)|(multiple cpu faults)|(system.+state.+changed )|(\[timeout)|(PRM\|1\|D)|(kpr)|(kdp)|(\|lc)|(penalty)|(RTDC:00:00000204:00000036:00006526))" /e /r /s</v>
      </c>
      <c r="U18" s="9" t="str">
        <f t="shared" si="2"/>
        <v>4008</v>
      </c>
      <c r="V18" s="32">
        <f t="shared" si="3"/>
        <v>42780.928194444445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{"issue":{"subject":"","project_id":79,"tracker_id":40,"status_id":1,"priority_id":2,"assigned_to_id":23,"start_date":"2017-02-14","description":"","custom_fields":[{"id":1,"name":"Subdivision","value":"EC"},{"id":4,"name":"Milepost","value":"0.0826"},{"id":17,"name":"Train ID","value":"180-14"},{"id":16,"name":"Locomotive ID","value":"4008"},{"id":130,"name":"Impact","value":""},{"id":150,"name":"Time of Event (Mountain Time)","value":"15:16:36"},{"id":151,"name":"Denver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"%USERPROFILE%\AppData\Local\Temp\OnboardLogs"\RTDC4008\*4008*201702142*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"%USERPROFILE%\AppData\Local\Temp\OnboardLogs"\RTDC4008\*4008*201702142* &gt;&gt; 2017-02-14-SliceDisagreementCheck.txt</v>
      </c>
      <c r="AE18" s="157" t="str">
        <f t="shared" si="9"/>
        <v>start /low /b %USERPROFILE%\Documents\GitHub\eaglep3\Utilities\DownloadLogsFromS3.py --loco 4008 --day 2017-02-14</v>
      </c>
      <c r="AF18" s="1"/>
    </row>
    <row r="19" spans="1:32" ht="15" customHeight="1" x14ac:dyDescent="0.25">
      <c r="A19" s="32">
        <v>42780.391261574077</v>
      </c>
      <c r="B19" s="30" t="s">
        <v>258</v>
      </c>
      <c r="C19" s="30" t="s">
        <v>479</v>
      </c>
      <c r="D19" s="30" t="s">
        <v>98</v>
      </c>
      <c r="E19" s="30" t="s">
        <v>213</v>
      </c>
      <c r="F19" s="43">
        <v>150</v>
      </c>
      <c r="G19" s="43">
        <v>204</v>
      </c>
      <c r="H19" s="43">
        <v>5635</v>
      </c>
      <c r="I19" s="43">
        <v>5976</v>
      </c>
      <c r="J19" s="30" t="s">
        <v>214</v>
      </c>
      <c r="K19" s="43">
        <v>574</v>
      </c>
      <c r="L19" s="143" t="s">
        <v>50</v>
      </c>
      <c r="M19" s="144">
        <f t="shared" si="0"/>
        <v>-2852.2559999999999</v>
      </c>
      <c r="N19" s="145" t="str">
        <f>VLOOKUP(C19,'Trips&amp;Operators'!$C$1:$G$99999,5,FALSE)</f>
        <v>BROWN JACOB</v>
      </c>
      <c r="O19" s="194" t="s">
        <v>184</v>
      </c>
      <c r="P19" s="146"/>
      <c r="Q19" s="30"/>
      <c r="R19" s="89" t="str">
        <f>VLOOKUP(C19,'Train Runs'!$A$13:$AE$9957,31,0)</f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S19" s="92" t="str">
        <f>VLOOKUP(C19,'Train Runs'!$A$13:$AE$9957,22,0)</f>
        <v>https://d0f6bd738d7f1b3e5a7ca70fe4ff75f0.us-east-1.aws.found.io/app/kibana#/discover/Steve-Slow-Train-Analysis-(2080s-and-2083s)?_g=(refreshInterval:(display:Off,pause:!f,section:0,value:0),time:(from:'2017-02-14T08:03:00-0700',mode:absolute,to:'2017-02-14T10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9" s="94" t="str">
        <f t="shared" si="1"/>
        <v>"C:\Program Files (x86)\AstroGrep\AstroGrep.exe" /spath="%USERPROFILE%\AppData\Local\Temp\OnboardLogs" /stypes="*4003*201702141*" /stext=" 16:.+((SYSTEM_STATE.+slice.+state.+changed )|(ment ac)|(multiple cpu faults)|(system.+state.+changed )|(\[timeout)|(PRM\|1\|D)|(kpr)|(kdp)|(\|lc)|(penalty)|(RTDC:00:00000204:00000036:00006526))" /e /r /s</v>
      </c>
      <c r="U19" s="9" t="str">
        <f t="shared" si="2"/>
        <v>4003</v>
      </c>
      <c r="V19" s="32">
        <f t="shared" si="3"/>
        <v>42780.682928240742</v>
      </c>
      <c r="W19" s="46" t="str">
        <f t="shared" si="4"/>
        <v>NW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{"issue":{"subject":"","project_id":79,"tracker_id":40,"status_id":1,"priority_id":2,"assigned_to_id":23,"start_date":"2017-02-14","description":"","custom_fields":[{"id":1,"name":"Subdivision","value":"NW"},{"id":4,"name":"Milepost","value":"0.0574"},{"id":17,"name":"Train ID","value":"813-14"},{"id":16,"name":"Locomotive ID","value":"4003"},{"id":130,"name":"Impact","value":""},{"id":150,"name":"Time of Event (Mountain Time)","value":"09:23:25"},{"id":151,"name":"Denver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"%USERPROFILE%\AppData\Local\Temp\OnboardLogs"\RTDC4003\*4003*201702141*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"%USERPROFILE%\AppData\Local\Temp\OnboardLogs"\RTDC4003\*4003*201702141* &gt;&gt; 2017-02-14-SliceDisagreementCheck.txt</v>
      </c>
      <c r="AE19" s="157" t="str">
        <f t="shared" si="9"/>
        <v>start /low /b %USERPROFILE%\Documents\GitHub\eaglep3\Utilities\DownloadLogsFromS3.py --loco 4003 --day 2017-02-14</v>
      </c>
      <c r="AF19" s="1"/>
    </row>
    <row r="20" spans="1:32" x14ac:dyDescent="0.25">
      <c r="A20" s="32">
        <v>42780.446805555555</v>
      </c>
      <c r="B20" s="30" t="s">
        <v>259</v>
      </c>
      <c r="C20" s="30" t="s">
        <v>481</v>
      </c>
      <c r="D20" s="30" t="s">
        <v>98</v>
      </c>
      <c r="E20" s="30" t="s">
        <v>213</v>
      </c>
      <c r="F20" s="43">
        <v>150</v>
      </c>
      <c r="G20" s="43">
        <v>204</v>
      </c>
      <c r="H20" s="43">
        <v>56959</v>
      </c>
      <c r="I20" s="43">
        <v>56648</v>
      </c>
      <c r="J20" s="30" t="s">
        <v>214</v>
      </c>
      <c r="K20" s="43">
        <v>59050</v>
      </c>
      <c r="L20" s="143" t="s">
        <v>51</v>
      </c>
      <c r="M20" s="144">
        <f t="shared" si="0"/>
        <v>-1268.2560000000001</v>
      </c>
      <c r="N20" s="145" t="str">
        <f>VLOOKUP(C20,'Trips&amp;Operators'!$C$1:$G$99999,5,FALSE)</f>
        <v>BROWN JACOB</v>
      </c>
      <c r="O20" s="194" t="s">
        <v>184</v>
      </c>
      <c r="P20" s="146"/>
      <c r="Q20" s="30"/>
      <c r="R20" s="89" t="str">
        <f>VLOOKUP(C20,'Train Runs'!$A$13:$AE$9957,31,0)</f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S20" s="92" t="str">
        <f>VLOOKUP(C20,'Train Runs'!$A$13:$AE$9957,22,0)</f>
        <v>https://d0f6bd738d7f1b3e5a7ca70fe4ff75f0.us-east-1.aws.found.io/app/kibana#/discover/Steve-Slow-Train-Analysis-(2080s-and-2083s)?_g=(refreshInterval:(display:Off,pause:!f,section:0,value:0),time:(from:'2017-02-14T09:36:28-0700',mode:absolute,to:'2017-02-14T11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 t="shared" si="1"/>
        <v>"C:\Program Files (x86)\AstroGrep\AstroGrep.exe" /spath="%USERPROFILE%\AppData\Local\Temp\OnboardLogs" /stypes="*4004*201702141*" /stext=" 17:.+((SYSTEM_STATE.+slice.+state.+changed )|(ment ac)|(multiple cpu faults)|(system.+state.+changed )|(\[timeout)|(PRM\|1\|D)|(kpr)|(kdp)|(\|lc)|(penalty)|(RTDC:00:00000204:00000036:00006526))" /e /r /s</v>
      </c>
      <c r="U20" s="9" t="str">
        <f t="shared" si="2"/>
        <v>4004</v>
      </c>
      <c r="V20" s="32">
        <f t="shared" si="3"/>
        <v>42780.73847222222</v>
      </c>
      <c r="W20" s="46" t="str">
        <f t="shared" si="4"/>
        <v>NW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{"issue":{"subject":"","project_id":79,"tracker_id":40,"status_id":1,"priority_id":2,"assigned_to_id":23,"start_date":"2017-02-14","description":"","custom_fields":[{"id":1,"name":"Subdivision","value":"NW"},{"id":4,"name":"Milepost","value":"5.905"},{"id":17,"name":"Train ID","value":"816-14"},{"id":16,"name":"Locomotive ID","value":"4004"},{"id":130,"name":"Impact","value":""},{"id":150,"name":"Time of Event (Mountain Time)","value":"10:43:24"},{"id":151,"name":"Denver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"%USERPROFILE%\AppData\Local\Temp\OnboardLogs"\RTDC4004\*4004*201702141*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"%USERPROFILE%\AppData\Local\Temp\OnboardLogs"\RTDC4004\*4004*201702141* &gt;&gt; 2017-02-14-SliceDisagreementCheck.txt</v>
      </c>
      <c r="AE20" s="157" t="str">
        <f t="shared" si="9"/>
        <v>start /low /b %USERPROFILE%\Documents\GitHub\eaglep3\Utilities\DownloadLogsFromS3.py --loco 4004 --day 2017-02-14</v>
      </c>
      <c r="AF20" s="1"/>
    </row>
    <row r="21" spans="1:32" x14ac:dyDescent="0.25">
      <c r="A21" s="32">
        <v>42780.811400462961</v>
      </c>
      <c r="B21" s="30" t="s">
        <v>258</v>
      </c>
      <c r="C21" s="30" t="s">
        <v>494</v>
      </c>
      <c r="D21" s="30" t="s">
        <v>49</v>
      </c>
      <c r="E21" s="30" t="s">
        <v>185</v>
      </c>
      <c r="F21" s="43">
        <v>0</v>
      </c>
      <c r="G21" s="43">
        <v>304</v>
      </c>
      <c r="H21" s="43">
        <v>36526</v>
      </c>
      <c r="I21" s="43">
        <v>37477</v>
      </c>
      <c r="J21" s="30" t="s">
        <v>186</v>
      </c>
      <c r="K21" s="43">
        <v>37575</v>
      </c>
      <c r="L21" s="143" t="s">
        <v>50</v>
      </c>
      <c r="M21" s="144">
        <f t="shared" si="0"/>
        <v>51.744</v>
      </c>
      <c r="N21" s="145" t="str">
        <f>VLOOKUP(C21,'Trips&amp;Operators'!$C$1:$G$99999,5,FALSE)</f>
        <v>LEVIN SCOTT</v>
      </c>
      <c r="O21" s="194" t="s">
        <v>215</v>
      </c>
      <c r="P21" s="146" t="s">
        <v>382</v>
      </c>
      <c r="Q21" s="30"/>
      <c r="R21" s="89" t="str">
        <f>VLOOKUP(C21,'Train Runs'!$A$13:$AE$9957,31,0)</f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S21" s="92" t="str">
        <f>VLOOKUP(C21,'Train Runs'!$A$13:$AE$9957,22,0)</f>
        <v>https://d0f6bd738d7f1b3e5a7ca70fe4ff75f0.us-east-1.aws.found.io/app/kibana#/discover/Steve-Slow-Train-Analysis-(2080s-and-2083s)?_g=(refreshInterval:(display:Off,pause:!f,section:0,value:0),time:(from:'2017-02-14T18:17:54-0700',mode:absolute,to:'2017-02-14T20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94" t="str">
        <f t="shared" si="1"/>
        <v>"C:\Program Files (x86)\AstroGrep\AstroGrep.exe" /spath="%USERPROFILE%\AppData\Local\Temp\OnboardLogs" /stypes="*4003*201702150*" /stext=" 02:.+((SYSTEM_STATE.+slice.+state.+changed )|(ment ac)|(multiple cpu faults)|(system.+state.+changed )|(\[timeout)|(PRM\|1\|D)|(kpr)|(kdp)|(\|lc)|(penalty)|(RTDC:00:00000204:00000036:00006526))" /e /r /s</v>
      </c>
      <c r="U21" s="9" t="str">
        <f t="shared" si="2"/>
        <v>4003</v>
      </c>
      <c r="V21" s="32">
        <f t="shared" si="3"/>
        <v>42781.103067129625</v>
      </c>
      <c r="W21" s="46" t="str">
        <f t="shared" si="4"/>
        <v>NW</v>
      </c>
      <c r="X21" s="46" t="str">
        <f t="shared" si="5"/>
        <v>KEEP</v>
      </c>
      <c r="Y21" s="108" t="str">
        <f t="shared" si="6"/>
        <v>echo {"issue":{"subject":"Wi-MAX data drop","project_id":79,"tracker_id":40,"status_id":1,"priority_id":2,"assigned_to_id":23,"start_date":"2017-02-14","description":"","custom_fields":[{"id":1,"name":"Subdivision","value":"NW"},{"id":4,"name":"Milepost","value":"3.7575"},{"id":17,"name":"Train ID","value":"841-14"},{"id":16,"name":"Locomotive ID","value":"4003"},{"id":130,"name":"Impact","value":""},{"id":150,"name":"Time of Event (Mountain Time)","value":"19:28:25"},{"id":151,"name":"Denver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"%USERPROFILE%\AppData\Local\Temp\OnboardLogs"\RTDC4003\*4003*201702150*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"%USERPROFILE%\AppData\Local\Temp\OnboardLogs"\RTDC4003\*4003*201702150* &gt;&gt; 2017-02-14-SliceDisagreementCheck.txt</v>
      </c>
      <c r="AE21" s="157" t="str">
        <f t="shared" si="9"/>
        <v>start /low /b %USERPROFILE%\Documents\GitHub\eaglep3\Utilities\DownloadLogsFromS3.py --loco 4003 --day 2017-02-15</v>
      </c>
      <c r="AF21" s="1"/>
    </row>
    <row r="22" spans="1:32" x14ac:dyDescent="0.25">
      <c r="A22" s="32">
        <v>42780.621423611112</v>
      </c>
      <c r="B22" s="30" t="s">
        <v>259</v>
      </c>
      <c r="C22" s="30" t="s">
        <v>486</v>
      </c>
      <c r="D22" s="30" t="s">
        <v>49</v>
      </c>
      <c r="E22" s="30" t="s">
        <v>187</v>
      </c>
      <c r="F22" s="43">
        <v>0</v>
      </c>
      <c r="G22" s="43">
        <v>28</v>
      </c>
      <c r="H22" s="43">
        <v>633</v>
      </c>
      <c r="I22" s="43">
        <v>608</v>
      </c>
      <c r="J22" s="30" t="s">
        <v>188</v>
      </c>
      <c r="K22" s="43">
        <v>575</v>
      </c>
      <c r="L22" s="143" t="s">
        <v>51</v>
      </c>
      <c r="M22" s="144">
        <f t="shared" si="0"/>
        <v>17.423999999999999</v>
      </c>
      <c r="N22" s="145" t="str">
        <f>VLOOKUP(C22,'Trips&amp;Operators'!$C$1:$G$99999,5,FALSE)</f>
        <v>LEVIN SCOTT</v>
      </c>
      <c r="O22" s="194" t="s">
        <v>184</v>
      </c>
      <c r="P22" s="146"/>
      <c r="Q22" s="30"/>
      <c r="R22" s="89" t="str">
        <f>VLOOKUP(C22,'Train Runs'!$A$13:$AE$9957,31,0)</f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S22" s="92" t="str">
        <f>VLOOKUP(C22,'Train Runs'!$A$13:$AE$9957,22,0)</f>
        <v>https://d0f6bd738d7f1b3e5a7ca70fe4ff75f0.us-east-1.aws.found.io/app/kibana#/discover/Steve-Slow-Train-Analysis-(2080s-and-2083s)?_g=(refreshInterval:(display:Off,pause:!f,section:0,value:0),time:(from:'2017-02-14T13:35:31-0700',mode:absolute,to:'2017-02-14T15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94" t="str">
        <f t="shared" si="1"/>
        <v>"C:\Program Files (x86)\AstroGrep\AstroGrep.exe" /spath="%USERPROFILE%\AppData\Local\Temp\OnboardLogs" /stypes="*4004*201702142*" /stext=" 21:.+((SYSTEM_STATE.+slice.+state.+changed )|(ment ac)|(multiple cpu faults)|(system.+state.+changed )|(\[timeout)|(PRM\|1\|D)|(kpr)|(kdp)|(\|lc)|(penalty)|(RTDC:00:00000204:00000036:00006526))" /e /r /s</v>
      </c>
      <c r="U22" s="9" t="str">
        <f t="shared" si="2"/>
        <v>4004</v>
      </c>
      <c r="V22" s="32">
        <f t="shared" si="3"/>
        <v>42780.913090277776</v>
      </c>
      <c r="W22" s="46" t="str">
        <f t="shared" si="4"/>
        <v>NW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{"issue":{"subject":"","project_id":79,"tracker_id":40,"status_id":1,"priority_id":2,"assigned_to_id":23,"start_date":"2017-02-14","description":"","custom_fields":[{"id":1,"name":"Subdivision","value":"NW"},{"id":4,"name":"Milepost","value":"0.0575"},{"id":17,"name":"Train ID","value":"824-14"},{"id":16,"name":"Locomotive ID","value":"4004"},{"id":130,"name":"Impact","value":""},{"id":150,"name":"Time of Event (Mountain Time)","value":"14:54:51"},{"id":151,"name":"Denver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"%USERPROFILE%\AppData\Local\Temp\OnboardLogs"\RTDC4004\*4004*201702142*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"%USERPROFILE%\AppData\Local\Temp\OnboardLogs"\RTDC4004\*4004*201702142* &gt;&gt; 2017-02-14-SliceDisagreementCheck.txt</v>
      </c>
      <c r="AE22" s="157" t="str">
        <f t="shared" si="9"/>
        <v>start /low /b %USERPROFILE%\Documents\GitHub\eaglep3\Utilities\DownloadLogsFromS3.py --loco 4004 --day 2017-02-14</v>
      </c>
      <c r="AF22" s="1"/>
    </row>
    <row r="23" spans="1:32" x14ac:dyDescent="0.25">
      <c r="A23" s="32">
        <v>42780.684814814813</v>
      </c>
      <c r="B23" s="30" t="s">
        <v>227</v>
      </c>
      <c r="C23" s="30" t="s">
        <v>489</v>
      </c>
      <c r="D23" s="30" t="s">
        <v>49</v>
      </c>
      <c r="E23" s="30" t="s">
        <v>187</v>
      </c>
      <c r="F23" s="43">
        <v>0</v>
      </c>
      <c r="G23" s="43">
        <v>145</v>
      </c>
      <c r="H23" s="43">
        <v>1193</v>
      </c>
      <c r="I23" s="43">
        <v>1004</v>
      </c>
      <c r="J23" s="30" t="s">
        <v>188</v>
      </c>
      <c r="K23" s="43">
        <v>575</v>
      </c>
      <c r="L23" s="143" t="s">
        <v>51</v>
      </c>
      <c r="M23" s="144">
        <f t="shared" si="0"/>
        <v>226.512</v>
      </c>
      <c r="N23" s="145" t="str">
        <f>VLOOKUP(C23,'Trips&amp;Operators'!$C$1:$G$99999,5,FALSE)</f>
        <v>HILLS DUSTIN</v>
      </c>
      <c r="O23" s="194" t="s">
        <v>184</v>
      </c>
      <c r="P23" s="146"/>
      <c r="Q23" s="30"/>
      <c r="R23" s="89" t="str">
        <f>VLOOKUP(C23,'Train Runs'!$A$13:$AE$9957,31,0)</f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S23" s="92" t="str">
        <f>VLOOKUP(C23,'Train Runs'!$A$13:$AE$9957,22,0)</f>
        <v>https://d0f6bd738d7f1b3e5a7ca70fe4ff75f0.us-east-1.aws.found.io/app/kibana#/discover/Steve-Slow-Train-Analysis-(2080s-and-2083s)?_g=(refreshInterval:(display:Off,pause:!f,section:0,value:0),time:(from:'2017-02-14T15:07:39-0700',mode:absolute,to:'2017-02-14T17:26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3" s="94" t="str">
        <f t="shared" si="1"/>
        <v>"C:\Program Files (x86)\AstroGrep\AstroGrep.exe" /spath="%USERPROFILE%\AppData\Local\Temp\OnboardLogs" /stypes="*4015*201702142*" /stext=" 23:.+((SYSTEM_STATE.+slice.+state.+changed )|(ment ac)|(multiple cpu faults)|(system.+state.+changed )|(\[timeout)|(PRM\|1\|D)|(kpr)|(kdp)|(\|lc)|(penalty)|(RTDC:00:00000204:00000036:00006526))" /e /r /s</v>
      </c>
      <c r="U23" s="9" t="str">
        <f t="shared" si="2"/>
        <v>4015</v>
      </c>
      <c r="V23" s="32">
        <f t="shared" si="3"/>
        <v>42780.976481481477</v>
      </c>
      <c r="W23" s="46" t="str">
        <f t="shared" si="4"/>
        <v>NW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{"issue":{"subject":"","project_id":79,"tracker_id":40,"status_id":1,"priority_id":2,"assigned_to_id":23,"start_date":"2017-02-14","description":"","custom_fields":[{"id":1,"name":"Subdivision","value":"NW"},{"id":4,"name":"Milepost","value":"0.0575"},{"id":17,"name":"Train ID","value":"828-14"},{"id":16,"name":"Locomotive ID","value":"4015"},{"id":130,"name":"Impact","value":""},{"id":150,"name":"Time of Event (Mountain Time)","value":"16:26:08"},{"id":151,"name":"Denver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"%USERPROFILE%\AppData\Local\Temp\OnboardLogs"\RTDC4015\*4015*201702142*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"%USERPROFILE%\AppData\Local\Temp\OnboardLogs"\RTDC4015\*4015*201702142* &gt;&gt; 2017-02-14-SliceDisagreementCheck.txt</v>
      </c>
      <c r="AE23" s="157" t="str">
        <f t="shared" si="9"/>
        <v>start /low /b %USERPROFILE%\Documents\GitHub\eaglep3\Utilities\DownloadLogsFromS3.py --loco 4015 --day 2017-02-14</v>
      </c>
      <c r="AF23" s="1"/>
    </row>
    <row r="24" spans="1:32" x14ac:dyDescent="0.25">
      <c r="A24" s="32">
        <v>42780.685347222221</v>
      </c>
      <c r="B24" s="30" t="s">
        <v>227</v>
      </c>
      <c r="C24" s="30" t="s">
        <v>489</v>
      </c>
      <c r="D24" s="30" t="s">
        <v>49</v>
      </c>
      <c r="E24" s="30" t="s">
        <v>187</v>
      </c>
      <c r="F24" s="43">
        <v>0</v>
      </c>
      <c r="G24" s="43">
        <v>52</v>
      </c>
      <c r="H24" s="43">
        <v>773</v>
      </c>
      <c r="I24" s="43">
        <v>729</v>
      </c>
      <c r="J24" s="30" t="s">
        <v>188</v>
      </c>
      <c r="K24" s="43">
        <v>575</v>
      </c>
      <c r="L24" s="143" t="s">
        <v>51</v>
      </c>
      <c r="M24" s="144">
        <f t="shared" si="0"/>
        <v>81.311999999999998</v>
      </c>
      <c r="N24" s="145" t="str">
        <f>VLOOKUP(C24,'Trips&amp;Operators'!$C$1:$G$99999,5,FALSE)</f>
        <v>HILLS DUSTIN</v>
      </c>
      <c r="O24" s="194" t="s">
        <v>184</v>
      </c>
      <c r="P24" s="146"/>
      <c r="Q24" s="30"/>
      <c r="R24" s="89" t="str">
        <f>VLOOKUP(C24,'Train Runs'!$A$13:$AE$9957,31,0)</f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S24" s="92" t="str">
        <f>VLOOKUP(C24,'Train Runs'!$A$13:$AE$9957,22,0)</f>
        <v>https://d0f6bd738d7f1b3e5a7ca70fe4ff75f0.us-east-1.aws.found.io/app/kibana#/discover/Steve-Slow-Train-Analysis-(2080s-and-2083s)?_g=(refreshInterval:(display:Off,pause:!f,section:0,value:0),time:(from:'2017-02-14T15:07:39-0700',mode:absolute,to:'2017-02-14T17:26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4" s="94" t="str">
        <f t="shared" si="1"/>
        <v>"C:\Program Files (x86)\AstroGrep\AstroGrep.exe" /spath="%USERPROFILE%\AppData\Local\Temp\OnboardLogs" /stypes="*4015*201702142*" /stext=" 23:.+((SYSTEM_STATE.+slice.+state.+changed )|(ment ac)|(multiple cpu faults)|(system.+state.+changed )|(\[timeout)|(PRM\|1\|D)|(kpr)|(kdp)|(\|lc)|(penalty)|(RTDC:00:00000204:00000036:00006526))" /e /r /s</v>
      </c>
      <c r="U24" s="9" t="str">
        <f t="shared" si="2"/>
        <v>4015</v>
      </c>
      <c r="V24" s="32">
        <f t="shared" si="3"/>
        <v>42780.977013888885</v>
      </c>
      <c r="W24" s="46" t="str">
        <f t="shared" si="4"/>
        <v>NW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{"issue":{"subject":"","project_id":79,"tracker_id":40,"status_id":1,"priority_id":2,"assigned_to_id":23,"start_date":"2017-02-14","description":"","custom_fields":[{"id":1,"name":"Subdivision","value":"NW"},{"id":4,"name":"Milepost","value":"0.0575"},{"id":17,"name":"Train ID","value":"828-14"},{"id":16,"name":"Locomotive ID","value":"4015"},{"id":130,"name":"Impact","value":""},{"id":150,"name":"Time of Event (Mountain Time)","value":"16:26:54"},{"id":151,"name":"Denver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"%USERPROFILE%\AppData\Local\Temp\OnboardLogs"\RTDC4015\*4015*201702142*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"%USERPROFILE%\AppData\Local\Temp\OnboardLogs"\RTDC4015\*4015*201702142* &gt;&gt; 2017-02-14-SliceDisagreementCheck.txt</v>
      </c>
      <c r="AE24" s="157" t="str">
        <f t="shared" si="9"/>
        <v>start /low /b %USERPROFILE%\Documents\GitHub\eaglep3\Utilities\DownloadLogsFromS3.py --loco 4015 --day 2017-02-14</v>
      </c>
      <c r="AF24" s="1"/>
    </row>
    <row r="25" spans="1:32" x14ac:dyDescent="0.25">
      <c r="A25" s="32">
        <v>42780.727847222224</v>
      </c>
      <c r="B25" s="30" t="s">
        <v>227</v>
      </c>
      <c r="C25" s="30" t="s">
        <v>490</v>
      </c>
      <c r="D25" s="30" t="s">
        <v>49</v>
      </c>
      <c r="E25" s="30" t="s">
        <v>187</v>
      </c>
      <c r="F25" s="43">
        <v>0</v>
      </c>
      <c r="G25" s="43">
        <v>38</v>
      </c>
      <c r="H25" s="43">
        <v>673</v>
      </c>
      <c r="I25" s="43">
        <v>636</v>
      </c>
      <c r="J25" s="30" t="s">
        <v>188</v>
      </c>
      <c r="K25" s="43">
        <v>575</v>
      </c>
      <c r="L25" s="143" t="s">
        <v>51</v>
      </c>
      <c r="M25" s="144">
        <f t="shared" si="0"/>
        <v>32.207999999999998</v>
      </c>
      <c r="N25" s="145" t="str">
        <f>VLOOKUP(C25,'Trips&amp;Operators'!$C$1:$G$99999,5,FALSE)</f>
        <v>HILLS DUSTIN</v>
      </c>
      <c r="O25" s="194" t="s">
        <v>184</v>
      </c>
      <c r="P25" s="146"/>
      <c r="Q25" s="30"/>
      <c r="R25" s="89" t="str">
        <f>VLOOKUP(C25,'Train Runs'!$A$13:$AE$9957,31,0)</f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S25" s="92" t="str">
        <f>VLOOKUP(C25,'Train Runs'!$A$13:$AE$9957,22,0)</f>
        <v>https://d0f6bd738d7f1b3e5a7ca70fe4ff75f0.us-east-1.aws.found.io/app/kibana#/discover/Steve-Slow-Train-Analysis-(2080s-and-2083s)?_g=(refreshInterval:(display:Off,pause:!f,section:0,value:0),time:(from:'2017-02-14T16:07:19-0700',mode:absolute,to:'2017-02-14T18:28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5" s="94" t="str">
        <f t="shared" si="1"/>
        <v>"C:\Program Files (x86)\AstroGrep\AstroGrep.exe" /spath="%USERPROFILE%\AppData\Local\Temp\OnboardLogs" /stypes="*4015*201702150*" /stext=" 00:.+((SYSTEM_STATE.+slice.+state.+changed )|(ment ac)|(multiple cpu faults)|(system.+state.+changed )|(\[timeout)|(PRM\|1\|D)|(kpr)|(kdp)|(\|lc)|(penalty)|(RTDC:00:00000204:00000036:00006526))" /e /r /s</v>
      </c>
      <c r="U25" s="9" t="str">
        <f t="shared" si="2"/>
        <v>4015</v>
      </c>
      <c r="V25" s="32">
        <f t="shared" si="3"/>
        <v>42781.019513888888</v>
      </c>
      <c r="W25" s="46" t="str">
        <f t="shared" si="4"/>
        <v>NW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{"issue":{"subject":"","project_id":79,"tracker_id":40,"status_id":1,"priority_id":2,"assigned_to_id":23,"start_date":"2017-02-14","description":"","custom_fields":[{"id":1,"name":"Subdivision","value":"NW"},{"id":4,"name":"Milepost","value":"0.0575"},{"id":17,"name":"Train ID","value":"832-14"},{"id":16,"name":"Locomotive ID","value":"4015"},{"id":130,"name":"Impact","value":""},{"id":150,"name":"Time of Event (Mountain Time)","value":"17:28:06"},{"id":151,"name":"Denver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"%USERPROFILE%\AppData\Local\Temp\OnboardLogs"\RTDC4015\*4015*201702150*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"%USERPROFILE%\AppData\Local\Temp\OnboardLogs"\RTDC4015\*4015*201702150* &gt;&gt; 2017-02-14-SliceDisagreementCheck.txt</v>
      </c>
      <c r="AE25" s="157" t="str">
        <f t="shared" si="9"/>
        <v>start /low /b %USERPROFILE%\Documents\GitHub\eaglep3\Utilities\DownloadLogsFromS3.py --loco 4015 --day 2017-02-15</v>
      </c>
      <c r="AF25" s="1"/>
    </row>
    <row r="26" spans="1:32" x14ac:dyDescent="0.25">
      <c r="A26" s="32">
        <v>42780.912893518522</v>
      </c>
      <c r="B26" s="30" t="s">
        <v>259</v>
      </c>
      <c r="C26" s="30" t="s">
        <v>496</v>
      </c>
      <c r="D26" s="30" t="s">
        <v>49</v>
      </c>
      <c r="E26" s="30" t="s">
        <v>187</v>
      </c>
      <c r="F26" s="43">
        <v>0</v>
      </c>
      <c r="G26" s="43">
        <v>42</v>
      </c>
      <c r="H26" s="43">
        <v>696</v>
      </c>
      <c r="I26" s="43">
        <v>657</v>
      </c>
      <c r="J26" s="30" t="s">
        <v>188</v>
      </c>
      <c r="K26" s="43">
        <v>575</v>
      </c>
      <c r="L26" s="143" t="s">
        <v>51</v>
      </c>
      <c r="M26" s="144">
        <f t="shared" si="0"/>
        <v>43.296000000000006</v>
      </c>
      <c r="N26" s="145" t="str">
        <f>VLOOKUP(C26,'Trips&amp;Operators'!$C$1:$G$99999,5,FALSE)</f>
        <v>HILLS DUSTIN</v>
      </c>
      <c r="O26" s="194" t="s">
        <v>184</v>
      </c>
      <c r="P26" s="146"/>
      <c r="Q26" s="30"/>
      <c r="R26" s="89" t="str">
        <f>VLOOKUP(C26,'Train Runs'!$A$13:$AE$9957,31,0)</f>
        <v>aws s3 cp s3://rtdc.mdm.uploadarchive.raw/RTDC4004/ "%USERPROFILE%\AppData\Local\Temp\OnboardLogs"\RTDC4004\2017-02-14 --exclude "*" --recursive --include "*20170214*" &amp; "%USERPROFILE%\Documents\GitHub\mrs-test-scripts\Headless Mode &amp; Sideloading\WalkAndUnGZ.bat" "%USERPROFILE%\AppData\Local\Temp\OnboardLogs"\RTDC4004\2017-02-14 &amp; aws s3 cp s3://rtdc.mdm.uploadarchive.raw/RTDC4004/ "%USERPROFILE%\AppData\Local\Temp\OnboardLogs"\RTDC4004\2017-02-15 --exclude "*" --recursive --include "*20170215*" &amp; "%USERPROFILE%\Documents\GitHub\mrs-test-scripts\Headless Mode &amp; Sideloading\WalkAndUnGZ.bat" "%USERPROFILE%\AppData\Local\Temp\OnboardLogs"\RTDC4004\2017-02-15</v>
      </c>
      <c r="S26" s="92" t="str">
        <f>VLOOKUP(C26,'Train Runs'!$A$13:$AE$9957,22,0)</f>
        <v>https://d0f6bd738d7f1b3e5a7ca70fe4ff75f0.us-east-1.aws.found.io/app/kibana#/discover/Steve-Slow-Train-Analysis-(2080s-and-2083s)?_g=(refreshInterval:(display:Off,pause:!f,section:0,value:0),time:(from:'2017-02-14T20:37:15-0700',mode:absolute,to:'2017-02-14T22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6" s="94" t="str">
        <f t="shared" si="1"/>
        <v>"C:\Program Files (x86)\AstroGrep\AstroGrep.exe" /spath="%USERPROFILE%\AppData\Local\Temp\OnboardLogs" /stypes="*4004*201702150*" /stext=" 04:.+((SYSTEM_STATE.+slice.+state.+changed )|(ment ac)|(multiple cpu faults)|(system.+state.+changed )|(\[timeout)|(PRM\|1\|D)|(kpr)|(kdp)|(\|lc)|(penalty)|(RTDC:00:00000204:00000036:00006526))" /e /r /s</v>
      </c>
      <c r="U26" s="9" t="str">
        <f t="shared" si="2"/>
        <v>4004</v>
      </c>
      <c r="V26" s="32">
        <f t="shared" si="3"/>
        <v>42781.204560185186</v>
      </c>
      <c r="W26" s="46" t="str">
        <f t="shared" si="4"/>
        <v>NW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{"issue":{"subject":"","project_id":79,"tracker_id":40,"status_id":1,"priority_id":2,"assigned_to_id":23,"start_date":"2017-02-14","description":"","custom_fields":[{"id":1,"name":"Subdivision","value":"NW"},{"id":4,"name":"Milepost","value":"0.0575"},{"id":17,"name":"Train ID","value":"844-14"},{"id":16,"name":"Locomotive ID","value":"4004"},{"id":130,"name":"Impact","value":""},{"id":150,"name":"Time of Event (Mountain Time)","value":"21:54:34"},{"id":151,"name":"Denver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"%USERPROFILE%\AppData\Local\Temp\OnboardLogs"\RTDC4004\*4004*201702150*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"%USERPROFILE%\AppData\Local\Temp\OnboardLogs"\RTDC4004\*4004*201702150* &gt;&gt; 2017-02-14-SliceDisagreementCheck.txt</v>
      </c>
      <c r="AE26" s="157" t="str">
        <f t="shared" si="9"/>
        <v>start /low /b %USERPROFILE%\Documents\GitHub\eaglep3\Utilities\DownloadLogsFromS3.py --loco 4004 --day 2017-02-15</v>
      </c>
      <c r="AF26" s="1"/>
    </row>
    <row r="27" spans="1:32" x14ac:dyDescent="0.25">
      <c r="A27" s="32">
        <v>42780.399618055555</v>
      </c>
      <c r="B27" s="30" t="s">
        <v>258</v>
      </c>
      <c r="C27" s="30" t="s">
        <v>479</v>
      </c>
      <c r="D27" s="30" t="s">
        <v>49</v>
      </c>
      <c r="E27" s="30" t="s">
        <v>187</v>
      </c>
      <c r="F27" s="43">
        <v>0</v>
      </c>
      <c r="G27" s="43">
        <v>67</v>
      </c>
      <c r="H27" s="43">
        <v>58837</v>
      </c>
      <c r="I27" s="43">
        <v>58892</v>
      </c>
      <c r="J27" s="30" t="s">
        <v>188</v>
      </c>
      <c r="K27" s="43">
        <v>59048</v>
      </c>
      <c r="L27" s="143" t="s">
        <v>50</v>
      </c>
      <c r="M27" s="144">
        <f t="shared" si="0"/>
        <v>82.367999999999995</v>
      </c>
      <c r="N27" s="145" t="str">
        <f>VLOOKUP(C27,'Trips&amp;Operators'!$C$1:$G$99999,5,FALSE)</f>
        <v>BROWN JACOB</v>
      </c>
      <c r="O27" s="194" t="s">
        <v>184</v>
      </c>
      <c r="P27" s="146"/>
      <c r="Q27" s="30"/>
      <c r="R27" s="89" t="str">
        <f>VLOOKUP(C27,'Train Runs'!$A$13:$AE$9957,31,0)</f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S27" s="92" t="str">
        <f>VLOOKUP(C27,'Train Runs'!$A$13:$AE$9957,22,0)</f>
        <v>https://d0f6bd738d7f1b3e5a7ca70fe4ff75f0.us-east-1.aws.found.io/app/kibana#/discover/Steve-Slow-Train-Analysis-(2080s-and-2083s)?_g=(refreshInterval:(display:Off,pause:!f,section:0,value:0),time:(from:'2017-02-14T08:03:00-0700',mode:absolute,to:'2017-02-14T10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94" t="str">
        <f t="shared" si="1"/>
        <v>"C:\Program Files (x86)\AstroGrep\AstroGrep.exe" /spath="%USERPROFILE%\AppData\Local\Temp\OnboardLogs" /stypes="*4003*201702141*" /stext=" 16:.+((SYSTEM_STATE.+slice.+state.+changed )|(ment ac)|(multiple cpu faults)|(system.+state.+changed )|(\[timeout)|(PRM\|1\|D)|(kpr)|(kdp)|(\|lc)|(penalty)|(RTDC:00:00000204:00000036:00006526))" /e /r /s</v>
      </c>
      <c r="U27" s="9" t="str">
        <f t="shared" si="2"/>
        <v>4003</v>
      </c>
      <c r="V27" s="32">
        <f t="shared" si="3"/>
        <v>42780.691284722219</v>
      </c>
      <c r="W27" s="46" t="str">
        <f t="shared" si="4"/>
        <v>NW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{"issue":{"subject":"","project_id":79,"tracker_id":40,"status_id":1,"priority_id":2,"assigned_to_id":23,"start_date":"2017-02-14","description":"","custom_fields":[{"id":1,"name":"Subdivision","value":"NW"},{"id":4,"name":"Milepost","value":"5.9048"},{"id":17,"name":"Train ID","value":"813-14"},{"id":16,"name":"Locomotive ID","value":"4003"},{"id":130,"name":"Impact","value":""},{"id":150,"name":"Time of Event (Mountain Time)","value":"09:35:27"},{"id":151,"name":"Denver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"%USERPROFILE%\AppData\Local\Temp\OnboardLogs"\RTDC4003\*4003*201702141*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"%USERPROFILE%\AppData\Local\Temp\OnboardLogs"\RTDC4003\*4003*201702141* &gt;&gt; 2017-02-14-SliceDisagreementCheck.txt</v>
      </c>
      <c r="AE27" s="157" t="str">
        <f t="shared" si="9"/>
        <v>start /low /b %USERPROFILE%\Documents\GitHub\eaglep3\Utilities\DownloadLogsFromS3.py --loco 4003 --day 2017-02-14</v>
      </c>
      <c r="AF27" s="1"/>
    </row>
    <row r="28" spans="1:32" x14ac:dyDescent="0.25">
      <c r="A28" s="32">
        <v>42780.524571759262</v>
      </c>
      <c r="B28" s="30" t="s">
        <v>258</v>
      </c>
      <c r="C28" s="30" t="s">
        <v>484</v>
      </c>
      <c r="D28" s="30" t="s">
        <v>49</v>
      </c>
      <c r="E28" s="30" t="s">
        <v>187</v>
      </c>
      <c r="F28" s="43">
        <v>0</v>
      </c>
      <c r="G28" s="43">
        <v>53</v>
      </c>
      <c r="H28" s="43">
        <v>58918</v>
      </c>
      <c r="I28" s="43">
        <v>58999</v>
      </c>
      <c r="J28" s="30" t="s">
        <v>188</v>
      </c>
      <c r="K28" s="43">
        <v>59048</v>
      </c>
      <c r="L28" s="143" t="s">
        <v>50</v>
      </c>
      <c r="M28" s="144">
        <f t="shared" si="0"/>
        <v>25.872</v>
      </c>
      <c r="N28" s="145" t="str">
        <f>VLOOKUP(C28,'Trips&amp;Operators'!$C$1:$G$99999,5,FALSE)</f>
        <v>BROWN JACOB</v>
      </c>
      <c r="O28" s="194" t="s">
        <v>184</v>
      </c>
      <c r="P28" s="146"/>
      <c r="Q28" s="30"/>
      <c r="R28" s="89" t="str">
        <f>VLOOKUP(C28,'Train Runs'!$A$13:$AE$9957,31,0)</f>
        <v>aws s3 cp s3://rtdc.mdm.uploadarchive.raw/RTDC4003/ "%USERPROFILE%\AppData\Local\Temp\OnboardLogs"\RTDC4003\2017-02-14 --exclude "*" --recursive --include "*20170214*" &amp; "%USERPROFILE%\Documents\GitHub\mrs-test-scripts\Headless Mode &amp; Sideloading\WalkAndUnGZ.bat" "%USERPROFILE%\AppData\Local\Temp\OnboardLogs"\RTDC4003\2017-02-14 &amp; aws s3 cp s3://rtdc.mdm.uploadarchive.raw/RTDC4003/ "%USERPROFILE%\AppData\Local\Temp\OnboardLogs"\RTDC4003\2017-02-15 --exclude "*" --recursive --include "*20170215*" &amp; "%USERPROFILE%\Documents\GitHub\mrs-test-scripts\Headless Mode &amp; Sideloading\WalkAndUnGZ.bat" "%USERPROFILE%\AppData\Local\Temp\OnboardLogs"\RTDC4003\2017-02-15</v>
      </c>
      <c r="S28" s="92" t="str">
        <f>VLOOKUP(C28,'Train Runs'!$A$13:$AE$9957,22,0)</f>
        <v>https://d0f6bd738d7f1b3e5a7ca70fe4ff75f0.us-east-1.aws.found.io/app/kibana#/discover/Steve-Slow-Train-Analysis-(2080s-and-2083s)?_g=(refreshInterval:(display:Off,pause:!f,section:0,value:0),time:(from:'2017-02-14T11:17:57-0700',mode:absolute,to:'2017-02-14T13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8" s="94" t="str">
        <f t="shared" si="1"/>
        <v>"C:\Program Files (x86)\AstroGrep\AstroGrep.exe" /spath="%USERPROFILE%\AppData\Local\Temp\OnboardLogs" /stypes="*4003*201702141*" /stext=" 19:.+((SYSTEM_STATE.+slice.+state.+changed )|(ment ac)|(multiple cpu faults)|(system.+state.+changed )|(\[timeout)|(PRM\|1\|D)|(kpr)|(kdp)|(\|lc)|(penalty)|(RTDC:00:00000204:00000036:00006526))" /e /r /s</v>
      </c>
      <c r="U28" s="9" t="str">
        <f t="shared" si="2"/>
        <v>4003</v>
      </c>
      <c r="V28" s="32">
        <f t="shared" si="3"/>
        <v>42780.816238425927</v>
      </c>
      <c r="W28" s="46" t="str">
        <f t="shared" si="4"/>
        <v>NW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{"issue":{"subject":"","project_id":79,"tracker_id":40,"status_id":1,"priority_id":2,"assigned_to_id":23,"start_date":"2017-02-14","description":"","custom_fields":[{"id":1,"name":"Subdivision","value":"NW"},{"id":4,"name":"Milepost","value":"5.9048"},{"id":17,"name":"Train ID","value":"819-14"},{"id":16,"name":"Locomotive ID","value":"4003"},{"id":130,"name":"Impact","value":""},{"id":150,"name":"Time of Event (Mountain Time)","value":"12:35:23"},{"id":151,"name":"Denver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"%USERPROFILE%\AppData\Local\Temp\OnboardLogs"\RTDC4003\*4003*201702141*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"%USERPROFILE%\AppData\Local\Temp\OnboardLogs"\RTDC4003\*4003*201702141* &gt;&gt; 2017-02-14-SliceDisagreementCheck.txt</v>
      </c>
      <c r="AE28" s="157" t="str">
        <f t="shared" si="9"/>
        <v>start /low /b %USERPROFILE%\Documents\GitHub\eaglep3\Utilities\DownloadLogsFromS3.py --loco 4003 --day 2017-02-14</v>
      </c>
      <c r="AF28" s="1"/>
    </row>
    <row r="29" spans="1:32" x14ac:dyDescent="0.25">
      <c r="A29" s="32">
        <v>42780.166655092595</v>
      </c>
      <c r="B29" s="30" t="s">
        <v>377</v>
      </c>
      <c r="C29" s="30" t="s">
        <v>474</v>
      </c>
      <c r="D29" s="30" t="s">
        <v>49</v>
      </c>
      <c r="E29" s="30" t="s">
        <v>185</v>
      </c>
      <c r="F29" s="43">
        <v>0</v>
      </c>
      <c r="G29" s="43">
        <v>114</v>
      </c>
      <c r="H29" s="43">
        <v>24722</v>
      </c>
      <c r="I29" s="43">
        <v>24550</v>
      </c>
      <c r="J29" s="30" t="s">
        <v>186</v>
      </c>
      <c r="K29" s="43">
        <v>24235</v>
      </c>
      <c r="L29" s="143" t="s">
        <v>51</v>
      </c>
      <c r="M29" s="144">
        <f t="shared" si="0"/>
        <v>166.32</v>
      </c>
      <c r="N29" s="145" t="str">
        <f>VLOOKUP(C29,'Trips&amp;Operators'!$C$1:$G$99999,5,FALSE)</f>
        <v>STARKS ANGELINA</v>
      </c>
      <c r="O29" s="194" t="s">
        <v>184</v>
      </c>
      <c r="P29" s="146"/>
      <c r="Q29" s="30"/>
      <c r="R29" s="89" t="str">
        <f>VLOOKUP(C29,'Train Runs'!$A$13:$AE$9957,31,0)</f>
        <v>aws s3 cp s3://rtdc.mdm.uploadarchive.raw/RTDC4017/ "%USERPROFILE%\AppData\Local\Temp\OnboardLogs"\RTDC4017\2017-02-14 --exclude "*" --recursive --include "*20170214*" &amp; "%USERPROFILE%\Documents\GitHub\mrs-test-scripts\Headless Mode &amp; Sideloading\WalkAndUnGZ.bat" "%USERPROFILE%\AppData\Local\Temp\OnboardLogs"\RTDC4017\2017-02-14 &amp; aws s3 cp s3://rtdc.mdm.uploadarchive.raw/RTDC4017/ "%USERPROFILE%\AppData\Local\Temp\OnboardLogs"\RTDC4017\2017-02-15 --exclude "*" --recursive --include "*20170215*" &amp; "%USERPROFILE%\Documents\GitHub\mrs-test-scripts\Headless Mode &amp; Sideloading\WalkAndUnGZ.bat" "%USERPROFILE%\AppData\Local\Temp\OnboardLogs"\RTDC4017\2017-02-15</v>
      </c>
      <c r="S29" s="92" t="str">
        <f>VLOOKUP(C29,'Train Runs'!$A$13:$AE$9957,22,0)</f>
        <v>https://d0f6bd738d7f1b3e5a7ca70fe4ff75f0.us-east-1.aws.found.io/app/kibana#/discover/Steve-Slow-Train-Analysis-(2080s-and-2083s)?_g=(refreshInterval:(display:Off,pause:!f,section:0,value:0),time:(from:'2017-02-14T02:55:26-0700',mode:absolute,to:'2017-02-14T05:00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9" s="94" t="str">
        <f t="shared" si="1"/>
        <v>"C:\Program Files (x86)\AstroGrep\AstroGrep.exe" /spath="%USERPROFILE%\AppData\Local\Temp\OnboardLogs" /stypes="*4017*201702141*" /stext=" 10:.+((SYSTEM_STATE.+slice.+state.+changed )|(ment ac)|(multiple cpu faults)|(system.+state.+changed )|(\[timeout)|(PRM\|1\|D)|(kpr)|(kdp)|(\|lc)|(penalty)|(RTDC:00:00000204:00000036:00006526))" /e /r /s</v>
      </c>
      <c r="U29" s="9" t="str">
        <f t="shared" si="2"/>
        <v>4017</v>
      </c>
      <c r="V29" s="32">
        <f t="shared" si="3"/>
        <v>42780.458321759259</v>
      </c>
      <c r="W29" s="46" t="str">
        <f t="shared" si="4"/>
        <v>Other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{"issue":{"subject":"","project_id":79,"tracker_id":40,"status_id":1,"priority_id":2,"assigned_to_id":23,"start_date":"2017-02-14","description":"","custom_fields":[{"id":1,"name":"Subdivision","value":"Other"},{"id":4,"name":"Milepost","value":"2.4235"},{"id":17,"name":"Train ID","value":"306-14"},{"id":16,"name":"Locomotive ID","value":"4017"},{"id":130,"name":"Impact","value":""},{"id":150,"name":"Time of Event (Mountain Time)","value":"03:59:59"},{"id":151,"name":"Denver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"%USERPROFILE%\AppData\Local\Temp\OnboardLogs"\RTDC4017\*4017*201702141*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"%USERPROFILE%\AppData\Local\Temp\OnboardLogs"\RTDC4017\*4017*201702141* &gt;&gt; 2017-02-14-SliceDisagreementCheck.txt</v>
      </c>
      <c r="AE29" s="157" t="str">
        <f t="shared" si="9"/>
        <v>start /low /b %USERPROFILE%\Documents\GitHub\eaglep3\Utilities\DownloadLogsFromS3.py --loco 4017 --day 2017-02-14</v>
      </c>
      <c r="AF29" s="1"/>
    </row>
    <row r="30" spans="1:32" x14ac:dyDescent="0.25">
      <c r="A30" s="32">
        <v>42780.440046296295</v>
      </c>
      <c r="B30" s="30" t="s">
        <v>216</v>
      </c>
      <c r="C30" s="30" t="s">
        <v>480</v>
      </c>
      <c r="D30" s="30" t="s">
        <v>49</v>
      </c>
      <c r="E30" s="30" t="s">
        <v>187</v>
      </c>
      <c r="F30" s="43">
        <v>0</v>
      </c>
      <c r="G30" s="43">
        <v>40</v>
      </c>
      <c r="H30" s="43">
        <v>144</v>
      </c>
      <c r="I30" s="43">
        <v>102</v>
      </c>
      <c r="J30" s="30" t="s">
        <v>188</v>
      </c>
      <c r="K30" s="43">
        <v>1</v>
      </c>
      <c r="L30" s="143" t="s">
        <v>51</v>
      </c>
      <c r="M30" s="144">
        <f t="shared" si="0"/>
        <v>53.328000000000003</v>
      </c>
      <c r="N30" s="145" t="str">
        <f>VLOOKUP(C30,'Trips&amp;Operators'!$C$1:$G$99999,5,FALSE)</f>
        <v>STRICKLAND EVAN</v>
      </c>
      <c r="O30" s="194" t="s">
        <v>184</v>
      </c>
      <c r="P30" s="146"/>
      <c r="Q30" s="30"/>
      <c r="R30" s="89" t="str">
        <f>VLOOKUP(C30,'Train Runs'!$A$13:$AE$9957,31,0)</f>
        <v>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 &amp; 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</v>
      </c>
      <c r="S30" s="92" t="str">
        <f>VLOOKUP(C30,'Train Runs'!$A$13:$AE$9957,22,0)</f>
        <v>https://d0f6bd738d7f1b3e5a7ca70fe4ff75f0.us-east-1.aws.found.io/app/kibana#/discover/Steve-Slow-Train-Analysis-(2080s-and-2083s)?_g=(refreshInterval:(display:Off,pause:!f,section:0,value:0),time:(from:'2017-02-14T09:21:58-0700',mode:absolute,to:'2017-02-14T11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0" s="94" t="str">
        <f t="shared" si="1"/>
        <v>"C:\Program Files (x86)\AstroGrep\AstroGrep.exe" /spath="%USERPROFILE%\AppData\Local\Temp\OnboardLogs" /stypes="*4026*201702141*" /stext=" 17:.+((SYSTEM_STATE.+slice.+state.+changed )|(ment ac)|(multiple cpu faults)|(system.+state.+changed )|(\[timeout)|(PRM\|1\|D)|(kpr)|(kdp)|(\|lc)|(penalty)|(RTDC:00:00000204:00000036:00006526))" /e /r /s</v>
      </c>
      <c r="U30" s="9" t="str">
        <f t="shared" si="2"/>
        <v>4026</v>
      </c>
      <c r="V30" s="32">
        <f t="shared" si="3"/>
        <v>42780.731712962959</v>
      </c>
      <c r="W30" s="46" t="str">
        <f t="shared" si="4"/>
        <v>Other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{"issue":{"subject":"","project_id":79,"tracker_id":40,"status_id":1,"priority_id":2,"assigned_to_id":23,"start_date":"2017-02-14","description":"","custom_fields":[{"id":1,"name":"Subdivision","value":"Other"},{"id":4,"name":"Milepost","value":"0.0001"},{"id":17,"name":"Train ID","value":"58-14"},{"id":16,"name":"Locomotive ID","value":"4026"},{"id":130,"name":"Impact","value":""},{"id":150,"name":"Time of Event (Mountain Time)","value":"10:33:40"},{"id":151,"name":"Denver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"%USERPROFILE%\AppData\Local\Temp\OnboardLogs"\RTDC4026\*4026*201702141*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"%USERPROFILE%\AppData\Local\Temp\OnboardLogs"\RTDC4026\*4026*201702141* &gt;&gt; 2017-02-14-SliceDisagreementCheck.txt</v>
      </c>
      <c r="AE30" s="157" t="str">
        <f t="shared" si="9"/>
        <v>start /low /b %USERPROFILE%\Documents\GitHub\eaglep3\Utilities\DownloadLogsFromS3.py --loco 4026 --day 2017-02-14</v>
      </c>
      <c r="AF30" s="1"/>
    </row>
    <row r="31" spans="1:32" x14ac:dyDescent="0.25">
      <c r="A31" s="32">
        <v>42780.440555555557</v>
      </c>
      <c r="B31" s="30" t="s">
        <v>216</v>
      </c>
      <c r="C31" s="30" t="s">
        <v>480</v>
      </c>
      <c r="D31" s="30" t="s">
        <v>49</v>
      </c>
      <c r="E31" s="30" t="s">
        <v>187</v>
      </c>
      <c r="F31" s="43">
        <v>0</v>
      </c>
      <c r="G31" s="43">
        <v>7</v>
      </c>
      <c r="H31" s="43">
        <v>115</v>
      </c>
      <c r="I31" s="43">
        <v>88</v>
      </c>
      <c r="J31" s="30" t="s">
        <v>188</v>
      </c>
      <c r="K31" s="43">
        <v>1</v>
      </c>
      <c r="L31" s="143" t="s">
        <v>51</v>
      </c>
      <c r="M31" s="144">
        <f t="shared" si="0"/>
        <v>45.936</v>
      </c>
      <c r="N31" s="145" t="str">
        <f>VLOOKUP(C31,'Trips&amp;Operators'!$C$1:$G$99999,5,FALSE)</f>
        <v>STRICKLAND EVAN</v>
      </c>
      <c r="O31" s="194" t="s">
        <v>184</v>
      </c>
      <c r="P31" s="146"/>
      <c r="Q31" s="30"/>
      <c r="R31" s="89" t="str">
        <f>VLOOKUP(C31,'Train Runs'!$A$13:$AE$9957,31,0)</f>
        <v>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 &amp; 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</v>
      </c>
      <c r="S31" s="92" t="str">
        <f>VLOOKUP(C31,'Train Runs'!$A$13:$AE$9957,22,0)</f>
        <v>https://d0f6bd738d7f1b3e5a7ca70fe4ff75f0.us-east-1.aws.found.io/app/kibana#/discover/Steve-Slow-Train-Analysis-(2080s-and-2083s)?_g=(refreshInterval:(display:Off,pause:!f,section:0,value:0),time:(from:'2017-02-14T09:21:58-0700',mode:absolute,to:'2017-02-14T11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1" s="94" t="str">
        <f t="shared" si="1"/>
        <v>"C:\Program Files (x86)\AstroGrep\AstroGrep.exe" /spath="%USERPROFILE%\AppData\Local\Temp\OnboardLogs" /stypes="*4026*201702141*" /stext=" 17:.+((SYSTEM_STATE.+slice.+state.+changed )|(ment ac)|(multiple cpu faults)|(system.+state.+changed )|(\[timeout)|(PRM\|1\|D)|(kpr)|(kdp)|(\|lc)|(penalty)|(RTDC:00:00000204:00000036:00006526))" /e /r /s</v>
      </c>
      <c r="U31" s="9" t="str">
        <f t="shared" si="2"/>
        <v>4026</v>
      </c>
      <c r="V31" s="32">
        <f t="shared" si="3"/>
        <v>42780.732222222221</v>
      </c>
      <c r="W31" s="46" t="str">
        <f t="shared" si="4"/>
        <v>Other</v>
      </c>
      <c r="X31" s="46" t="str">
        <f t="shared" si="5"/>
        <v>OMIT</v>
      </c>
      <c r="Y31" s="108" t="str">
        <f t="shared" si="6"/>
        <v>echo {"issue":{"subject":"","project_id":79,"tracker_id":40,"status_id":1,"priority_id":2,"assigned_to_id":23,"start_date":"2017-02-14","description":"","custom_fields":[{"id":1,"name":"Subdivision","value":"Other"},{"id":4,"name":"Milepost","value":"0.0001"},{"id":17,"name":"Train ID","value":"58-14"},{"id":16,"name":"Locomotive ID","value":"4026"},{"id":130,"name":"Impact","value":""},{"id":150,"name":"Time of Event (Mountain Time)","value":"10:34:24"},{"id":151,"name":"Denver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"%USERPROFILE%\AppData\Local\Temp\OnboardLogs"\RTDC4026\*4026*201702141*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"%USERPROFILE%\AppData\Local\Temp\OnboardLogs"\RTDC4026\*4026*201702141* &gt;&gt; 2017-02-14-SliceDisagreementCheck.txt</v>
      </c>
      <c r="AE31" s="157" t="str">
        <f t="shared" si="9"/>
        <v>start /low /b %USERPROFILE%\Documents\GitHub\eaglep3\Utilities\DownloadLogsFromS3.py --loco 4026 --day 2017-02-14</v>
      </c>
      <c r="AF31" s="1"/>
    </row>
    <row r="32" spans="1:32" x14ac:dyDescent="0.25">
      <c r="A32" s="32">
        <v>42780.441018518519</v>
      </c>
      <c r="B32" s="30" t="s">
        <v>216</v>
      </c>
      <c r="C32" s="30" t="s">
        <v>480</v>
      </c>
      <c r="D32" s="30" t="s">
        <v>49</v>
      </c>
      <c r="E32" s="30" t="s">
        <v>187</v>
      </c>
      <c r="F32" s="43">
        <v>0</v>
      </c>
      <c r="G32" s="43">
        <v>11</v>
      </c>
      <c r="H32" s="43">
        <v>46</v>
      </c>
      <c r="I32" s="43">
        <v>37</v>
      </c>
      <c r="J32" s="30" t="s">
        <v>188</v>
      </c>
      <c r="K32" s="43">
        <v>1</v>
      </c>
      <c r="L32" s="143" t="s">
        <v>51</v>
      </c>
      <c r="M32" s="144">
        <f t="shared" si="0"/>
        <v>19.007999999999999</v>
      </c>
      <c r="N32" s="145" t="str">
        <f>VLOOKUP(C32,'Trips&amp;Operators'!$C$1:$G$99999,5,FALSE)</f>
        <v>STRICKLAND EVAN</v>
      </c>
      <c r="O32" s="194" t="s">
        <v>184</v>
      </c>
      <c r="P32" s="146"/>
      <c r="Q32" s="30"/>
      <c r="R32" s="89" t="str">
        <f>VLOOKUP(C32,'Train Runs'!$A$13:$AE$9957,31,0)</f>
        <v>aws s3 cp s3://rtdc.mdm.uploadarchive.raw/RTDC4026/ "%USERPROFILE%\AppData\Local\Temp\OnboardLogs"\RTDC4026\2017-02-14 --exclude "*" --recursive --include "*20170214*" &amp; "%USERPROFILE%\Documents\GitHub\mrs-test-scripts\Headless Mode &amp; Sideloading\WalkAndUnGZ.bat" "%USERPROFILE%\AppData\Local\Temp\OnboardLogs"\RTDC4026\2017-02-14 &amp; aws s3 cp s3://rtdc.mdm.uploadarchive.raw/RTDC4026/ "%USERPROFILE%\AppData\Local\Temp\OnboardLogs"\RTDC4026\2017-02-15 --exclude "*" --recursive --include "*20170215*" &amp; "%USERPROFILE%\Documents\GitHub\mrs-test-scripts\Headless Mode &amp; Sideloading\WalkAndUnGZ.bat" "%USERPROFILE%\AppData\Local\Temp\OnboardLogs"\RTDC4026\2017-02-15</v>
      </c>
      <c r="S32" s="92" t="str">
        <f>VLOOKUP(C32,'Train Runs'!$A$13:$AE$9957,22,0)</f>
        <v>https://d0f6bd738d7f1b3e5a7ca70fe4ff75f0.us-east-1.aws.found.io/app/kibana#/discover/Steve-Slow-Train-Analysis-(2080s-and-2083s)?_g=(refreshInterval:(display:Off,pause:!f,section:0,value:0),time:(from:'2017-02-14T09:21:58-0700',mode:absolute,to:'2017-02-14T11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2" s="94" t="str">
        <f t="shared" si="1"/>
        <v>"C:\Program Files (x86)\AstroGrep\AstroGrep.exe" /spath="%USERPROFILE%\AppData\Local\Temp\OnboardLogs" /stypes="*4026*201702141*" /stext=" 17:.+((SYSTEM_STATE.+slice.+state.+changed )|(ment ac)|(multiple cpu faults)|(system.+state.+changed )|(\[timeout)|(PRM\|1\|D)|(kpr)|(kdp)|(\|lc)|(penalty)|(RTDC:00:00000204:00000036:00006526))" /e /r /s</v>
      </c>
      <c r="U32" s="9" t="str">
        <f t="shared" si="2"/>
        <v>4026</v>
      </c>
      <c r="V32" s="32">
        <f t="shared" si="3"/>
        <v>42780.732685185183</v>
      </c>
      <c r="W32" s="46" t="str">
        <f t="shared" si="4"/>
        <v>Other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{"issue":{"subject":"","project_id":79,"tracker_id":40,"status_id":1,"priority_id":2,"assigned_to_id":23,"start_date":"2017-02-14","description":"","custom_fields":[{"id":1,"name":"Subdivision","value":"Other"},{"id":4,"name":"Milepost","value":"0.0001"},{"id":17,"name":"Train ID","value":"58-14"},{"id":16,"name":"Locomotive ID","value":"4026"},{"id":130,"name":"Impact","value":""},{"id":150,"name":"Time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"%USERPROFILE%\AppData\Local\Temp\OnboardLogs"\RTDC4026\*4026*201702141*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"%USERPROFILE%\AppData\Local\Temp\OnboardLogs"\RTDC4026\*4026*201702141* &gt;&gt; 2017-02-14-SliceDisagreementCheck.txt</v>
      </c>
      <c r="AE32" s="157" t="str">
        <f t="shared" si="9"/>
        <v>start /low /b %USERPROFILE%\Documents\GitHub\eaglep3\Utilities\DownloadLogsFromS3.py --loco 4026 --day 2017-02-14</v>
      </c>
      <c r="AF32" s="1"/>
    </row>
    <row r="33" spans="1:32" x14ac:dyDescent="0.25">
      <c r="A33" s="32">
        <v>42780.539664351854</v>
      </c>
      <c r="B33" s="30" t="s">
        <v>375</v>
      </c>
      <c r="C33" s="30" t="s">
        <v>485</v>
      </c>
      <c r="D33" s="30" t="s">
        <v>49</v>
      </c>
      <c r="E33" s="30" t="s">
        <v>187</v>
      </c>
      <c r="F33" s="43">
        <v>0</v>
      </c>
      <c r="G33" s="43">
        <v>34</v>
      </c>
      <c r="H33" s="43">
        <v>107</v>
      </c>
      <c r="I33" s="43">
        <v>87</v>
      </c>
      <c r="J33" s="30" t="s">
        <v>188</v>
      </c>
      <c r="K33" s="43">
        <v>1</v>
      </c>
      <c r="L33" s="143" t="s">
        <v>51</v>
      </c>
      <c r="M33" s="144">
        <f t="shared" si="0"/>
        <v>45.408000000000001</v>
      </c>
      <c r="N33" s="145" t="str">
        <f>VLOOKUP(C33,'Trips&amp;Operators'!$C$1:$G$99999,5,FALSE)</f>
        <v>ROMERO CHAD</v>
      </c>
      <c r="O33" s="194" t="s">
        <v>184</v>
      </c>
      <c r="P33" s="146"/>
      <c r="Q33" s="30"/>
      <c r="R33" s="89" t="str">
        <f>VLOOKUP(C33,'Train Runs'!$A$13:$AE$9957,31,0)</f>
        <v>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 &amp; aws s3 cp s3://rtdc.mdm.uploadarchive.raw/RTDC4008/ "%USERPROFILE%\AppData\Local\Temp\OnboardLogs"\RTDC4008\2017-02-15 --exclude "*" --recursive --include "*20170215*" &amp; "%USERPROFILE%\Documents\GitHub\mrs-test-scripts\Headless Mode &amp; Sideloading\WalkAndUnGZ.bat" "%USERPROFILE%\AppData\Local\Temp\OnboardLogs"\RTDC4008\2017-02-15</v>
      </c>
      <c r="S33" s="92" t="str">
        <f>VLOOKUP(C33,'Train Runs'!$A$13:$AE$9957,22,0)</f>
        <v>https://d0f6bd738d7f1b3e5a7ca70fe4ff75f0.us-east-1.aws.found.io/app/kibana#/discover/Steve-Slow-Train-Analysis-(2080s-and-2083s)?_g=(refreshInterval:(display:Off,pause:!f,section:0,value:0),time:(from:'2017-02-14T11:39:48-0700',mode:absolute,to:'2017-02-14T13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3" s="94" t="str">
        <f t="shared" si="1"/>
        <v>"C:\Program Files (x86)\AstroGrep\AstroGrep.exe" /spath="%USERPROFILE%\AppData\Local\Temp\OnboardLogs" /stypes="*4008*201702141*" /stext=" 19:.+((SYSTEM_STATE.+slice.+state.+changed )|(ment ac)|(multiple cpu faults)|(system.+state.+changed )|(\[timeout)|(PRM\|1\|D)|(kpr)|(kdp)|(\|lc)|(penalty)|(RTDC:00:00000204:00000036:00006526))" /e /r /s</v>
      </c>
      <c r="U33" s="9" t="str">
        <f t="shared" si="2"/>
        <v>4008</v>
      </c>
      <c r="V33" s="32">
        <f t="shared" si="3"/>
        <v>42780.831331018519</v>
      </c>
      <c r="W33" s="46" t="str">
        <f t="shared" si="4"/>
        <v>Other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{"issue":{"subject":"","project_id":79,"tracker_id":40,"status_id":1,"priority_id":2,"assigned_to_id":23,"start_date":"2017-02-14","description":"","custom_fields":[{"id":1,"name":"Subdivision","value":"Other"},{"id":4,"name":"Milepost","value":"0.0001"},{"id":17,"name":"Train ID","value":"62-14"},{"id":16,"name":"Locomotive ID","value":"4008"},{"id":130,"name":"Impact","value":""},{"id":150,"name":"Time of Event (Mountain Time)","value":"12:57:07"},{"id":151,"name":"Denver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"%USERPROFILE%\AppData\Local\Temp\OnboardLogs"\RTDC4008\*4008*201702141*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"%USERPROFILE%\AppData\Local\Temp\OnboardLogs"\RTDC4008\*4008*201702141* &gt;&gt; 2017-02-14-SliceDisagreementCheck.txt</v>
      </c>
      <c r="AE33" s="157" t="str">
        <f t="shared" si="9"/>
        <v>start /low /b %USERPROFILE%\Documents\GitHub\eaglep3\Utilities\DownloadLogsFromS3.py --loco 4008 --day 2017-02-14</v>
      </c>
      <c r="AF33" s="1"/>
    </row>
    <row r="34" spans="1:32" x14ac:dyDescent="0.25">
      <c r="A34" s="32">
        <v>42780.649664351855</v>
      </c>
      <c r="B34" s="30" t="s">
        <v>227</v>
      </c>
      <c r="C34" s="30" t="s">
        <v>488</v>
      </c>
      <c r="D34" s="30" t="s">
        <v>49</v>
      </c>
      <c r="E34" s="30" t="s">
        <v>187</v>
      </c>
      <c r="F34" s="43">
        <v>0</v>
      </c>
      <c r="G34" s="43">
        <v>33</v>
      </c>
      <c r="H34" s="43">
        <v>663</v>
      </c>
      <c r="I34" s="43">
        <v>619</v>
      </c>
      <c r="J34" s="30" t="s">
        <v>188</v>
      </c>
      <c r="K34" s="43">
        <v>575</v>
      </c>
      <c r="L34" s="143" t="s">
        <v>51</v>
      </c>
      <c r="M34" s="144">
        <f t="shared" si="0"/>
        <v>23.231999999999999</v>
      </c>
      <c r="N34" s="145" t="str">
        <f>VLOOKUP(C34,'Trips&amp;Operators'!$C$1:$G$99999,5,FALSE)</f>
        <v>HILLS DUSTIN</v>
      </c>
      <c r="O34" s="194" t="s">
        <v>184</v>
      </c>
      <c r="P34" s="146"/>
      <c r="Q34" s="30"/>
      <c r="R34" s="89" t="str">
        <f>VLOOKUP(C34,'Train Runs'!$A$13:$AE$9957,31,0)</f>
        <v>aws s3 cp s3://rtdc.mdm.uploadarchive.raw/RTDC4015/ "%USERPROFILE%\AppData\Local\Temp\OnboardLogs"\RTDC4015\2017-02-14 --exclude "*" --recursive --include "*20170214*" &amp; "%USERPROFILE%\Documents\GitHub\mrs-test-scripts\Headless Mode &amp; Sideloading\WalkAndUnGZ.bat" "%USERPROFILE%\AppData\Local\Temp\OnboardLogs"\RTDC4015\2017-02-14 &amp; aws s3 cp s3://rtdc.mdm.uploadarchive.raw/RTDC4015/ "%USERPROFILE%\AppData\Local\Temp\OnboardLogs"\RTDC4015\2017-02-15 --exclude "*" --recursive --include "*20170215*" &amp; "%USERPROFILE%\Documents\GitHub\mrs-test-scripts\Headless Mode &amp; Sideloading\WalkAndUnGZ.bat" "%USERPROFILE%\AppData\Local\Temp\OnboardLogs"\RTDC4015\2017-02-15</v>
      </c>
      <c r="S34" s="92" t="str">
        <f>VLOOKUP(C34,'Train Runs'!$A$13:$AE$9957,22,0)</f>
        <v>https://d0f6bd738d7f1b3e5a7ca70fe4ff75f0.us-east-1.aws.found.io/app/kibana#/discover/Steve-Slow-Train-Analysis-(2080s-and-2083s)?_g=(refreshInterval:(display:Off,pause:!f,section:0,value:0),time:(from:'2017-02-14T14:25:13-0700',mode:absolute,to:'2017-02-14T16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94" t="str">
        <f t="shared" si="1"/>
        <v>"C:\Program Files (x86)\AstroGrep\AstroGrep.exe" /spath="%USERPROFILE%\AppData\Local\Temp\OnboardLogs" /stypes="*4015*201702142*" /stext=" 22:.+((SYSTEM_STATE.+slice.+state.+changed )|(ment ac)|(multiple cpu faults)|(system.+state.+changed )|(\[timeout)|(PRM\|1\|D)|(kpr)|(kdp)|(\|lc)|(penalty)|(RTDC:00:00000204:00000036:00006526))" /e /r /s</v>
      </c>
      <c r="U34" s="9" t="str">
        <f t="shared" si="2"/>
        <v>4015</v>
      </c>
      <c r="V34" s="32">
        <f t="shared" si="3"/>
        <v>42780.941331018519</v>
      </c>
      <c r="W34" s="46" t="str">
        <f t="shared" si="4"/>
        <v>Other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{"issue":{"subject":"","project_id":79,"tracker_id":40,"status_id":1,"priority_id":2,"assigned_to_id":23,"start_date":"2017-02-14","description":"","custom_fields":[{"id":1,"name":"Subdivision","value":"Other"},{"id":4,"name":"Milepost","value":"0.0575"},{"id":17,"name":"Train ID","value":"904-14"},{"id":16,"name":"Locomotive ID","value":"4015"},{"id":130,"name":"Impact","value":""},{"id":150,"name":"Time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"%USERPROFILE%\AppData\Local\Temp\OnboardLogs"\RTDC4015\*4015*201702142*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"%USERPROFILE%\AppData\Local\Temp\OnboardLogs"\RTDC4015\*4015*201702142* &gt;&gt; 2017-02-14-SliceDisagreementCheck.txt</v>
      </c>
      <c r="AE34" s="157" t="str">
        <f t="shared" si="9"/>
        <v>start /low /b %USERPROFILE%\Documents\GitHub\eaglep3\Utilities\DownloadLogsFromS3.py --loco 4015 --day 2017-02-14</v>
      </c>
      <c r="AF34" s="1"/>
    </row>
    <row r="35" spans="1:32" x14ac:dyDescent="0.25">
      <c r="A35" s="32">
        <v>42780.358738425923</v>
      </c>
      <c r="B35" s="30" t="s">
        <v>300</v>
      </c>
      <c r="C35" s="30" t="s">
        <v>477</v>
      </c>
      <c r="D35" s="30" t="s">
        <v>49</v>
      </c>
      <c r="E35" s="30" t="s">
        <v>187</v>
      </c>
      <c r="F35" s="43">
        <v>0</v>
      </c>
      <c r="G35" s="43">
        <v>40</v>
      </c>
      <c r="H35" s="43">
        <v>994</v>
      </c>
      <c r="I35" s="43">
        <v>956</v>
      </c>
      <c r="J35" s="30" t="s">
        <v>188</v>
      </c>
      <c r="K35" s="43">
        <v>839</v>
      </c>
      <c r="L35" s="143" t="s">
        <v>51</v>
      </c>
      <c r="M35" s="144">
        <f t="shared" si="0"/>
        <v>61.776000000000003</v>
      </c>
      <c r="N35" s="145" t="str">
        <f>VLOOKUP(C35,'Trips&amp;Operators'!$C$1:$G$99999,5,FALSE)</f>
        <v>MAELZER KURT</v>
      </c>
      <c r="O35" s="194" t="s">
        <v>184</v>
      </c>
      <c r="P35" s="146"/>
      <c r="Q35" s="30"/>
      <c r="R35" s="89" t="str">
        <f>VLOOKUP(C35,'Train Runs'!$A$13:$AE$9957,31,0)</f>
        <v>aws s3 cp s3://rtdc.mdm.uploadarchive.raw/RTDC4032/ "%USERPROFILE%\AppData\Local\Temp\OnboardLogs"\RTDC4032\2017-02-14 --exclude "*" --recursive --include "*20170214*" &amp; "%USERPROFILE%\Documents\GitHub\mrs-test-scripts\Headless Mode &amp; Sideloading\WalkAndUnGZ.bat" "%USERPROFILE%\AppData\Local\Temp\OnboardLogs"\RTDC4032\2017-02-14 &amp; aws s3 cp s3://rtdc.mdm.uploadarchive.raw/RTDC4032/ "%USERPROFILE%\AppData\Local\Temp\OnboardLogs"\RTDC4032\2017-02-15 --exclude "*" --recursive --include "*20170215*" &amp; "%USERPROFILE%\Documents\GitHub\mrs-test-scripts\Headless Mode &amp; Sideloading\WalkAndUnGZ.bat" "%USERPROFILE%\AppData\Local\Temp\OnboardLogs"\RTDC4032\2017-02-15</v>
      </c>
      <c r="S35" s="92" t="str">
        <f>VLOOKUP(C35,'Train Runs'!$A$13:$AE$9957,22,0)</f>
        <v>https://d0f6bd738d7f1b3e5a7ca70fe4ff75f0.us-east-1.aws.found.io/app/kibana#/discover/Steve-Slow-Train-Analysis-(2080s-and-2083s)?_g=(refreshInterval:(display:Off,pause:!f,section:0,value:0),time:(from:'2017-02-14T07:27:33-0700',mode:absolute,to:'2017-02-14T09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5" s="94" t="str">
        <f t="shared" si="1"/>
        <v>"C:\Program Files (x86)\AstroGrep\AstroGrep.exe" /spath="%USERPROFILE%\AppData\Local\Temp\OnboardLogs" /stypes="*4032*201702141*" /stext=" 15:.+((SYSTEM_STATE.+slice.+state.+changed )|(ment ac)|(multiple cpu faults)|(system.+state.+changed )|(\[timeout)|(PRM\|1\|D)|(kpr)|(kdp)|(\|lc)|(penalty)|(RTDC:00:00000204:00000036:00006526))" /e /r /s</v>
      </c>
      <c r="U35" s="9" t="str">
        <f t="shared" si="2"/>
        <v>4032</v>
      </c>
      <c r="V35" s="32">
        <f t="shared" si="3"/>
        <v>42780.650405092587</v>
      </c>
      <c r="W35" s="46" t="str">
        <f t="shared" si="4"/>
        <v>Other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{"issue":{"subject":"","project_id":79,"tracker_id":40,"status_id":1,"priority_id":2,"assigned_to_id":23,"start_date":"2017-02-14","description":"","custom_fields":[{"id":1,"name":"Subdivision","value":"Other"},{"id":4,"name":"Milepost","value":"0.0839"},{"id":17,"name":"Train ID","value":"54-14"},{"id":16,"name":"Locomotive ID","value":"4032"},{"id":130,"name":"Impact","value":""},{"id":150,"name":"Time of Event (Mountain Time)","value":"08:36:35"},{"id":151,"name":"Denver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"%USERPROFILE%\AppData\Local\Temp\OnboardLogs"\RTDC4032\*4032*201702141*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"%USERPROFILE%\AppData\Local\Temp\OnboardLogs"\RTDC4032\*4032*201702141* &gt;&gt; 2017-02-14-SliceDisagreementCheck.txt</v>
      </c>
      <c r="AE35" s="157" t="str">
        <f t="shared" si="9"/>
        <v>start /low /b %USERPROFILE%\Documents\GitHub\eaglep3\Utilities\DownloadLogsFromS3.py --loco 4032 --day 2017-02-14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</sheetData>
  <autoFilter ref="A6:AC50">
    <sortState ref="A7:AC50">
      <sortCondition ref="W7:W35"/>
      <sortCondition ref="E7:E35"/>
      <sortCondition ref="K7:K35"/>
      <sortCondition ref="F7:F35"/>
    </sortState>
  </autoFilter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9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3"/>
  <sheetViews>
    <sheetView workbookViewId="0"/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6" t="str">
        <f>"Trips that did not appear in PTC Data "&amp;TEXT(Variables!$A$2,"YYYY-mm-dd")</f>
        <v>Trips that did not appear in PTC Data 2017-02-14</v>
      </c>
      <c r="C1" s="196"/>
      <c r="D1" s="196"/>
      <c r="E1" s="196"/>
      <c r="F1" s="196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s="20" customFormat="1" x14ac:dyDescent="0.25">
      <c r="A3" s="186">
        <v>102</v>
      </c>
      <c r="B3" s="43" t="str">
        <f>A3&amp;"-"&amp;IF(DAY(Variables!$A$2)&lt;10,0,"")&amp;DAY(Variables!$A$2)</f>
        <v>102-14</v>
      </c>
      <c r="C3" s="147"/>
      <c r="D3" s="165"/>
      <c r="E3" s="30" t="s">
        <v>856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22102-14%22)),sort:!(Time.ISO8601,asc))</v>
      </c>
      <c r="J3" s="30" t="e">
        <f>VLOOKUP(B3,'Train Runs'!$A$13:$A$99954,1,FALSE)</f>
        <v>#N/A</v>
      </c>
    </row>
    <row r="4" spans="1:10" x14ac:dyDescent="0.25">
      <c r="A4" s="186">
        <v>109</v>
      </c>
      <c r="B4" s="43" t="str">
        <f>A4&amp;"-"&amp;IF(DAY(Variables!$A$2)&lt;10,0,"")&amp;DAY(Variables!$A$2)</f>
        <v>109-14</v>
      </c>
      <c r="C4" s="147"/>
      <c r="D4" s="165"/>
      <c r="E4" s="30" t="s">
        <v>856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ref="I4:I4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22109-14%22)),sort:!(Time.ISO8601,asc))</v>
      </c>
      <c r="J4" s="30" t="e">
        <f>VLOOKUP(B4,'Train Runs'!$A$13:$A$99954,1,FALSE)</f>
        <v>#N/A</v>
      </c>
    </row>
    <row r="5" spans="1:10" x14ac:dyDescent="0.25">
      <c r="A5" s="186">
        <v>110</v>
      </c>
      <c r="B5" s="43" t="str">
        <f>A5&amp;"-"&amp;IF(DAY(Variables!$A$2)&lt;10,0,"")&amp;DAY(Variables!$A$2)</f>
        <v>110-14</v>
      </c>
      <c r="C5" s="147"/>
      <c r="D5" s="165"/>
      <c r="E5" s="30" t="s">
        <v>856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22110-14%22)),sort:!(Time.ISO8601,asc))</v>
      </c>
      <c r="J5" s="30" t="e">
        <f>VLOOKUP(B5,'Train Runs'!$A$13:$A$99954,1,FALSE)</f>
        <v>#N/A</v>
      </c>
    </row>
    <row r="6" spans="1:10" x14ac:dyDescent="0.25">
      <c r="A6" s="186">
        <v>111</v>
      </c>
      <c r="B6" s="43" t="str">
        <f>A6&amp;"-"&amp;IF(DAY(Variables!$A$2)&lt;10,0,"")&amp;DAY(Variables!$A$2)</f>
        <v>111-14</v>
      </c>
      <c r="C6" s="147"/>
      <c r="D6" s="165"/>
      <c r="E6" s="30" t="s">
        <v>856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22111-14%22)),sort:!(Time.ISO8601,asc))</v>
      </c>
      <c r="J6" s="30" t="e">
        <f>VLOOKUP(B6,'Train Runs'!$A$13:$A$99954,1,FALSE)</f>
        <v>#N/A</v>
      </c>
    </row>
    <row r="7" spans="1:10" x14ac:dyDescent="0.25">
      <c r="A7" s="186">
        <v>112</v>
      </c>
      <c r="B7" s="43" t="str">
        <f>A7&amp;"-"&amp;IF(DAY(Variables!$A$2)&lt;10,0,"")&amp;DAY(Variables!$A$2)</f>
        <v>112-14</v>
      </c>
      <c r="C7" s="147"/>
      <c r="D7" s="165"/>
      <c r="E7" s="30" t="s">
        <v>856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22112-14%22)),sort:!(Time.ISO8601,asc))</v>
      </c>
      <c r="J7" s="30" t="e">
        <f>VLOOKUP(B7,'Train Runs'!$A$13:$A$99954,1,FALSE)</f>
        <v>#N/A</v>
      </c>
    </row>
    <row r="8" spans="1:10" x14ac:dyDescent="0.25">
      <c r="A8" s="186">
        <v>113</v>
      </c>
      <c r="B8" s="43" t="str">
        <f>A8&amp;"-"&amp;IF(DAY(Variables!$A$2)&lt;10,0,"")&amp;DAY(Variables!$A$2)</f>
        <v>113-14</v>
      </c>
      <c r="C8" s="147"/>
      <c r="D8" s="165"/>
      <c r="E8" s="30" t="s">
        <v>856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22113-14%22)),sort:!(Time.ISO8601,asc))</v>
      </c>
      <c r="J8" s="30" t="e">
        <f>VLOOKUP(B8,'Train Runs'!$A$13:$A$99954,1,FALSE)</f>
        <v>#N/A</v>
      </c>
    </row>
    <row r="9" spans="1:10" x14ac:dyDescent="0.25">
      <c r="A9" s="186">
        <v>114</v>
      </c>
      <c r="B9" s="43" t="str">
        <f>A9&amp;"-"&amp;IF(DAY(Variables!$A$2)&lt;10,0,"")&amp;DAY(Variables!$A$2)</f>
        <v>114-14</v>
      </c>
      <c r="C9" s="147"/>
      <c r="D9" s="165"/>
      <c r="E9" s="30" t="s">
        <v>856</v>
      </c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22114-14%22)),sort:!(Time.ISO8601,asc))</v>
      </c>
      <c r="J9" s="30" t="e">
        <f>VLOOKUP(B9,'Train Runs'!$A$13:$A$99954,1,FALSE)</f>
        <v>#N/A</v>
      </c>
    </row>
    <row r="10" spans="1:10" x14ac:dyDescent="0.25">
      <c r="A10" s="186">
        <v>115</v>
      </c>
      <c r="B10" s="43" t="str">
        <f>A10&amp;"-"&amp;IF(DAY(Variables!$A$2)&lt;10,0,"")&amp;DAY(Variables!$A$2)</f>
        <v>115-14</v>
      </c>
      <c r="C10" s="147"/>
      <c r="D10" s="165"/>
      <c r="E10" s="30" t="s">
        <v>856</v>
      </c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22115-14%22)),sort:!(Time.ISO8601,asc))</v>
      </c>
      <c r="J10" s="30" t="e">
        <f>VLOOKUP(B10,'Train Runs'!$A$13:$A$99954,1,FALSE)</f>
        <v>#N/A</v>
      </c>
    </row>
    <row r="11" spans="1:10" x14ac:dyDescent="0.25">
      <c r="A11" s="186">
        <v>117</v>
      </c>
      <c r="B11" s="43" t="str">
        <f>A11&amp;"-"&amp;IF(DAY(Variables!$A$2)&lt;10,0,"")&amp;DAY(Variables!$A$2)</f>
        <v>117-14</v>
      </c>
      <c r="C11" s="147"/>
      <c r="D11" s="165"/>
      <c r="E11" s="30" t="s">
        <v>856</v>
      </c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22117-14%22)),sort:!(Time.ISO8601,asc))</v>
      </c>
      <c r="J11" s="30" t="e">
        <f>VLOOKUP(B11,'Train Runs'!$A$13:$A$99954,1,FALSE)</f>
        <v>#N/A</v>
      </c>
    </row>
    <row r="12" spans="1:10" x14ac:dyDescent="0.25">
      <c r="A12" s="186">
        <v>118</v>
      </c>
      <c r="B12" s="43" t="str">
        <f>A12&amp;"-"&amp;IF(DAY(Variables!$A$2)&lt;10,0,"")&amp;DAY(Variables!$A$2)</f>
        <v>118-14</v>
      </c>
      <c r="C12" s="147"/>
      <c r="D12" s="165"/>
      <c r="E12" s="30" t="s">
        <v>856</v>
      </c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22118-14%22)),sort:!(Time.ISO8601,asc))</v>
      </c>
      <c r="J12" s="30" t="e">
        <f>VLOOKUP(B12,'Train Runs'!$A$13:$A$99954,1,FALSE)</f>
        <v>#N/A</v>
      </c>
    </row>
    <row r="13" spans="1:10" x14ac:dyDescent="0.25">
      <c r="A13" s="186">
        <v>119</v>
      </c>
      <c r="B13" s="43" t="str">
        <f>A13&amp;"-"&amp;IF(DAY(Variables!$A$2)&lt;10,0,"")&amp;DAY(Variables!$A$2)</f>
        <v>119-14</v>
      </c>
      <c r="C13" s="147"/>
      <c r="D13" s="165"/>
      <c r="E13" s="30" t="s">
        <v>856</v>
      </c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22119-14%22)),sort:!(Time.ISO8601,asc))</v>
      </c>
      <c r="J13" s="30" t="e">
        <f>VLOOKUP(B13,'Train Runs'!$A$13:$A$99954,1,FALSE)</f>
        <v>#N/A</v>
      </c>
    </row>
    <row r="14" spans="1:10" x14ac:dyDescent="0.25">
      <c r="A14" s="186">
        <v>120</v>
      </c>
      <c r="B14" s="43" t="str">
        <f>A14&amp;"-"&amp;IF(DAY(Variables!$A$2)&lt;10,0,"")&amp;DAY(Variables!$A$2)</f>
        <v>120-14</v>
      </c>
      <c r="C14" s="147"/>
      <c r="D14" s="165"/>
      <c r="E14" s="30" t="s">
        <v>856</v>
      </c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22120-14%22)),sort:!(Time.ISO8601,asc))</v>
      </c>
      <c r="J14" s="30" t="e">
        <f>VLOOKUP(B14,'Train Runs'!$A$13:$A$99954,1,FALSE)</f>
        <v>#N/A</v>
      </c>
    </row>
    <row r="15" spans="1:10" x14ac:dyDescent="0.25">
      <c r="A15" s="186">
        <v>122</v>
      </c>
      <c r="B15" s="43" t="str">
        <f>A15&amp;"-"&amp;IF(DAY(Variables!$A$2)&lt;10,0,"")&amp;DAY(Variables!$A$2)</f>
        <v>122-14</v>
      </c>
      <c r="C15" s="147"/>
      <c r="D15" s="165"/>
      <c r="E15" s="30" t="s">
        <v>856</v>
      </c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22122-14%22)),sort:!(Time.ISO8601,asc))</v>
      </c>
      <c r="J15" s="30" t="e">
        <f>VLOOKUP(B15,'Train Runs'!$A$13:$A$99954,1,FALSE)</f>
        <v>#N/A</v>
      </c>
    </row>
    <row r="16" spans="1:10" x14ac:dyDescent="0.25">
      <c r="A16" s="186">
        <v>123</v>
      </c>
      <c r="B16" s="43" t="str">
        <f>A16&amp;"-"&amp;IF(DAY(Variables!$A$2)&lt;10,0,"")&amp;DAY(Variables!$A$2)</f>
        <v>123-14</v>
      </c>
      <c r="C16" s="147"/>
      <c r="D16" s="165"/>
      <c r="E16" s="30" t="s">
        <v>856</v>
      </c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22123-14%22)),sort:!(Time.ISO8601,asc))</v>
      </c>
      <c r="J16" s="30" t="e">
        <f>VLOOKUP(B16,'Train Runs'!$A$13:$A$99954,1,FALSE)</f>
        <v>#N/A</v>
      </c>
    </row>
    <row r="17" spans="1:10" x14ac:dyDescent="0.25">
      <c r="A17" s="186">
        <v>124</v>
      </c>
      <c r="B17" s="43" t="str">
        <f>A17&amp;"-"&amp;IF(DAY(Variables!$A$2)&lt;10,0,"")&amp;DAY(Variables!$A$2)</f>
        <v>124-14</v>
      </c>
      <c r="C17" s="147"/>
      <c r="D17" s="165"/>
      <c r="E17" s="30" t="s">
        <v>856</v>
      </c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22124-14%22)),sort:!(Time.ISO8601,asc))</v>
      </c>
      <c r="J17" s="30" t="e">
        <f>VLOOKUP(B17,'Train Runs'!$A$13:$A$99954,1,FALSE)</f>
        <v>#N/A</v>
      </c>
    </row>
    <row r="18" spans="1:10" x14ac:dyDescent="0.25">
      <c r="A18" s="186">
        <v>127</v>
      </c>
      <c r="B18" s="43" t="str">
        <f>A18&amp;"-"&amp;IF(DAY(Variables!$A$2)&lt;10,0,"")&amp;DAY(Variables!$A$2)</f>
        <v>127-14</v>
      </c>
      <c r="C18" s="147"/>
      <c r="D18" s="165"/>
      <c r="E18" s="30" t="s">
        <v>856</v>
      </c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22127-14%22)),sort:!(Time.ISO8601,asc))</v>
      </c>
      <c r="J18" s="30" t="e">
        <f>VLOOKUP(B18,'Train Runs'!$A$13:$A$99954,1,FALSE)</f>
        <v>#N/A</v>
      </c>
    </row>
    <row r="19" spans="1:10" x14ac:dyDescent="0.25">
      <c r="A19" s="186">
        <v>128</v>
      </c>
      <c r="B19" s="43" t="str">
        <f>A19&amp;"-"&amp;IF(DAY(Variables!$A$2)&lt;10,0,"")&amp;DAY(Variables!$A$2)</f>
        <v>128-14</v>
      </c>
      <c r="C19" s="147"/>
      <c r="D19" s="165"/>
      <c r="E19" s="30" t="s">
        <v>856</v>
      </c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22128-14%22)),sort:!(Time.ISO8601,asc))</v>
      </c>
      <c r="J19" s="30" t="e">
        <f>VLOOKUP(B19,'Train Runs'!$A$13:$A$99954,1,FALSE)</f>
        <v>#N/A</v>
      </c>
    </row>
    <row r="20" spans="1:10" x14ac:dyDescent="0.25">
      <c r="A20" s="186">
        <v>129</v>
      </c>
      <c r="B20" s="43" t="str">
        <f>A20&amp;"-"&amp;IF(DAY(Variables!$A$2)&lt;10,0,"")&amp;DAY(Variables!$A$2)</f>
        <v>129-14</v>
      </c>
      <c r="C20" s="147"/>
      <c r="D20" s="165"/>
      <c r="E20" s="30" t="s">
        <v>856</v>
      </c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22129-14%22)),sort:!(Time.ISO8601,asc))</v>
      </c>
      <c r="J20" s="30" t="e">
        <f>VLOOKUP(B20,'Train Runs'!$A$13:$A$99954,1,FALSE)</f>
        <v>#N/A</v>
      </c>
    </row>
    <row r="21" spans="1:10" x14ac:dyDescent="0.25">
      <c r="A21" s="186">
        <v>132</v>
      </c>
      <c r="B21" s="43" t="str">
        <f>A21&amp;"-"&amp;IF(DAY(Variables!$A$2)&lt;10,0,"")&amp;DAY(Variables!$A$2)</f>
        <v>132-14</v>
      </c>
      <c r="C21" s="147"/>
      <c r="D21" s="165"/>
      <c r="E21" s="30" t="s">
        <v>856</v>
      </c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22132-14%22)),sort:!(Time.ISO8601,asc))</v>
      </c>
      <c r="J21" s="30" t="e">
        <f>VLOOKUP(B21,'Train Runs'!$A$13:$A$99954,1,FALSE)</f>
        <v>#N/A</v>
      </c>
    </row>
    <row r="22" spans="1:10" x14ac:dyDescent="0.25">
      <c r="A22" s="186">
        <v>133</v>
      </c>
      <c r="B22" s="43" t="str">
        <f>A22&amp;"-"&amp;IF(DAY(Variables!$A$2)&lt;10,0,"")&amp;DAY(Variables!$A$2)</f>
        <v>133-14</v>
      </c>
      <c r="C22" s="147"/>
      <c r="D22" s="165"/>
      <c r="E22" s="30" t="s">
        <v>856</v>
      </c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22133-14%22)),sort:!(Time.ISO8601,asc))</v>
      </c>
      <c r="J22" s="30" t="e">
        <f>VLOOKUP(B22,'Train Runs'!$A$13:$A$99954,1,FALSE)</f>
        <v>#N/A</v>
      </c>
    </row>
    <row r="23" spans="1:10" x14ac:dyDescent="0.25">
      <c r="A23" s="186">
        <v>136</v>
      </c>
      <c r="B23" s="43" t="str">
        <f>A23&amp;"-"&amp;IF(DAY(Variables!$A$2)&lt;10,0,"")&amp;DAY(Variables!$A$2)</f>
        <v>136-14</v>
      </c>
      <c r="C23" s="147"/>
      <c r="D23" s="165"/>
      <c r="E23" s="30" t="s">
        <v>856</v>
      </c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22136-14%22)),sort:!(Time.ISO8601,asc))</v>
      </c>
      <c r="J23" s="30" t="e">
        <f>VLOOKUP(B23,'Train Runs'!$A$13:$A$99954,1,FALSE)</f>
        <v>#N/A</v>
      </c>
    </row>
    <row r="24" spans="1:10" x14ac:dyDescent="0.25">
      <c r="A24" s="186">
        <v>137</v>
      </c>
      <c r="B24" s="43" t="str">
        <f>A24&amp;"-"&amp;IF(DAY(Variables!$A$2)&lt;10,0,"")&amp;DAY(Variables!$A$2)</f>
        <v>137-14</v>
      </c>
      <c r="C24" s="147"/>
      <c r="D24" s="165"/>
      <c r="E24" s="30" t="s">
        <v>856</v>
      </c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22137-14%22)),sort:!(Time.ISO8601,asc))</v>
      </c>
      <c r="J24" s="30" t="e">
        <f>VLOOKUP(B24,'Train Runs'!$A$13:$A$99954,1,FALSE)</f>
        <v>#N/A</v>
      </c>
    </row>
    <row r="25" spans="1:10" x14ac:dyDescent="0.25">
      <c r="A25" s="186">
        <v>138</v>
      </c>
      <c r="B25" s="43" t="str">
        <f>A25&amp;"-"&amp;IF(DAY(Variables!$A$2)&lt;10,0,"")&amp;DAY(Variables!$A$2)</f>
        <v>138-14</v>
      </c>
      <c r="C25" s="147"/>
      <c r="D25" s="165"/>
      <c r="E25" s="30" t="s">
        <v>856</v>
      </c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22138-14%22)),sort:!(Time.ISO8601,asc))</v>
      </c>
      <c r="J25" s="30" t="e">
        <f>VLOOKUP(B25,'Train Runs'!$A$13:$A$99954,1,FALSE)</f>
        <v>#N/A</v>
      </c>
    </row>
    <row r="26" spans="1:10" x14ac:dyDescent="0.25">
      <c r="A26" s="186">
        <v>141</v>
      </c>
      <c r="B26" s="43" t="str">
        <f>A26&amp;"-"&amp;IF(DAY(Variables!$A$2)&lt;10,0,"")&amp;DAY(Variables!$A$2)</f>
        <v>141-14</v>
      </c>
      <c r="C26" s="147"/>
      <c r="D26" s="165"/>
      <c r="E26" s="30" t="s">
        <v>856</v>
      </c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22141-14%22)),sort:!(Time.ISO8601,asc))</v>
      </c>
      <c r="J26" s="30" t="e">
        <f>VLOOKUP(B26,'Train Runs'!$A$13:$A$99954,1,FALSE)</f>
        <v>#N/A</v>
      </c>
    </row>
    <row r="27" spans="1:10" x14ac:dyDescent="0.25">
      <c r="A27" s="186">
        <v>142</v>
      </c>
      <c r="B27" s="43" t="str">
        <f>A27&amp;"-"&amp;IF(DAY(Variables!$A$2)&lt;10,0,"")&amp;DAY(Variables!$A$2)</f>
        <v>142-14</v>
      </c>
      <c r="C27" s="147"/>
      <c r="D27" s="165"/>
      <c r="E27" s="30" t="s">
        <v>856</v>
      </c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22142-14%22)),sort:!(Time.ISO8601,asc))</v>
      </c>
      <c r="J27" s="30" t="e">
        <f>VLOOKUP(B27,'Train Runs'!$A$13:$A$99954,1,FALSE)</f>
        <v>#N/A</v>
      </c>
    </row>
    <row r="28" spans="1:10" x14ac:dyDescent="0.25">
      <c r="A28" s="186">
        <v>144</v>
      </c>
      <c r="B28" s="43" t="str">
        <f>A28&amp;"-"&amp;IF(DAY(Variables!$A$2)&lt;10,0,"")&amp;DAY(Variables!$A$2)</f>
        <v>144-14</v>
      </c>
      <c r="C28" s="147"/>
      <c r="D28" s="165"/>
      <c r="E28" s="30" t="s">
        <v>856</v>
      </c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22144-14%22)),sort:!(Time.ISO8601,asc))</v>
      </c>
      <c r="J28" s="30" t="e">
        <f>VLOOKUP(B28,'Train Runs'!$A$13:$A$99954,1,FALSE)</f>
        <v>#N/A</v>
      </c>
    </row>
    <row r="29" spans="1:10" x14ac:dyDescent="0.25">
      <c r="A29" s="186">
        <v>145</v>
      </c>
      <c r="B29" s="43" t="str">
        <f>A29&amp;"-"&amp;IF(DAY(Variables!$A$2)&lt;10,0,"")&amp;DAY(Variables!$A$2)</f>
        <v>145-14</v>
      </c>
      <c r="C29" s="147"/>
      <c r="D29" s="165"/>
      <c r="E29" s="30" t="s">
        <v>856</v>
      </c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22145-14%22)),sort:!(Time.ISO8601,asc))</v>
      </c>
      <c r="J29" s="30" t="e">
        <f>VLOOKUP(B29,'Train Runs'!$A$13:$A$99954,1,FALSE)</f>
        <v>#N/A</v>
      </c>
    </row>
    <row r="30" spans="1:10" x14ac:dyDescent="0.25">
      <c r="A30" s="186">
        <v>146</v>
      </c>
      <c r="B30" s="43" t="str">
        <f>A30&amp;"-"&amp;IF(DAY(Variables!$A$2)&lt;10,0,"")&amp;DAY(Variables!$A$2)</f>
        <v>146-14</v>
      </c>
      <c r="C30" s="147"/>
      <c r="D30" s="165"/>
      <c r="E30" s="30" t="s">
        <v>856</v>
      </c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22146-14%22)),sort:!(Time.ISO8601,asc))</v>
      </c>
      <c r="J30" s="30" t="e">
        <f>VLOOKUP(B30,'Train Runs'!$A$13:$A$99954,1,FALSE)</f>
        <v>#N/A</v>
      </c>
    </row>
    <row r="31" spans="1:10" x14ac:dyDescent="0.25">
      <c r="A31" s="186">
        <v>147</v>
      </c>
      <c r="B31" s="43" t="str">
        <f>A31&amp;"-"&amp;IF(DAY(Variables!$A$2)&lt;10,0,"")&amp;DAY(Variables!$A$2)</f>
        <v>147-14</v>
      </c>
      <c r="C31" s="147"/>
      <c r="D31" s="165"/>
      <c r="E31" s="30" t="s">
        <v>856</v>
      </c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22147-14%22)),sort:!(Time.ISO8601,asc))</v>
      </c>
      <c r="J31" s="30" t="e">
        <f>VLOOKUP(B31,'Train Runs'!$A$13:$A$99954,1,FALSE)</f>
        <v>#N/A</v>
      </c>
    </row>
    <row r="32" spans="1:10" x14ac:dyDescent="0.25">
      <c r="A32" s="186">
        <v>150</v>
      </c>
      <c r="B32" s="43" t="str">
        <f>A32&amp;"-"&amp;IF(DAY(Variables!$A$2)&lt;10,0,"")&amp;DAY(Variables!$A$2)</f>
        <v>150-14</v>
      </c>
      <c r="C32" s="147"/>
      <c r="D32" s="165"/>
      <c r="E32" s="30" t="s">
        <v>856</v>
      </c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22150-14%22)),sort:!(Time.ISO8601,asc))</v>
      </c>
      <c r="J32" s="30" t="e">
        <f>VLOOKUP(B32,'Train Runs'!$A$13:$A$99954,1,FALSE)</f>
        <v>#N/A</v>
      </c>
    </row>
    <row r="33" spans="1:10" x14ac:dyDescent="0.25">
      <c r="A33" s="186">
        <v>151</v>
      </c>
      <c r="B33" s="43" t="str">
        <f>A33&amp;"-"&amp;IF(DAY(Variables!$A$2)&lt;10,0,"")&amp;DAY(Variables!$A$2)</f>
        <v>151-14</v>
      </c>
      <c r="C33" s="147"/>
      <c r="D33" s="165"/>
      <c r="E33" s="30" t="s">
        <v>856</v>
      </c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22151-14%22)),sort:!(Time.ISO8601,asc))</v>
      </c>
      <c r="J33" s="30" t="e">
        <f>VLOOKUP(B33,'Train Runs'!$A$13:$A$99954,1,FALSE)</f>
        <v>#N/A</v>
      </c>
    </row>
    <row r="34" spans="1:10" x14ac:dyDescent="0.25">
      <c r="A34" s="186">
        <v>155</v>
      </c>
      <c r="B34" s="43" t="str">
        <f>A34&amp;"-"&amp;IF(DAY(Variables!$A$2)&lt;10,0,"")&amp;DAY(Variables!$A$2)</f>
        <v>155-14</v>
      </c>
      <c r="C34" s="147"/>
      <c r="D34" s="165"/>
      <c r="E34" s="30" t="s">
        <v>856</v>
      </c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22155-14%22)),sort:!(Time.ISO8601,asc))</v>
      </c>
      <c r="J34" s="30" t="e">
        <f>VLOOKUP(B34,'Train Runs'!$A$13:$A$99954,1,FALSE)</f>
        <v>#N/A</v>
      </c>
    </row>
    <row r="35" spans="1:10" x14ac:dyDescent="0.25">
      <c r="A35" s="186">
        <v>158</v>
      </c>
      <c r="B35" s="43" t="str">
        <f>A35&amp;"-"&amp;IF(DAY(Variables!$A$2)&lt;10,0,"")&amp;DAY(Variables!$A$2)</f>
        <v>158-14</v>
      </c>
      <c r="C35" s="147"/>
      <c r="D35" s="165"/>
      <c r="E35" s="30" t="s">
        <v>856</v>
      </c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22158-14%22)),sort:!(Time.ISO8601,asc))</v>
      </c>
      <c r="J35" s="30" t="e">
        <f>VLOOKUP(B35,'Train Runs'!$A$13:$A$99954,1,FALSE)</f>
        <v>#N/A</v>
      </c>
    </row>
    <row r="36" spans="1:10" x14ac:dyDescent="0.25">
      <c r="A36" s="186">
        <v>160</v>
      </c>
      <c r="B36" s="43" t="str">
        <f>A36&amp;"-"&amp;IF(DAY(Variables!$A$2)&lt;10,0,"")&amp;DAY(Variables!$A$2)</f>
        <v>160-14</v>
      </c>
      <c r="C36" s="147"/>
      <c r="D36" s="165"/>
      <c r="E36" s="30" t="s">
        <v>856</v>
      </c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22160-14%22)),sort:!(Time.ISO8601,asc))</v>
      </c>
      <c r="J36" s="30" t="e">
        <f>VLOOKUP(B36,'Train Runs'!$A$13:$A$99954,1,FALSE)</f>
        <v>#N/A</v>
      </c>
    </row>
    <row r="37" spans="1:10" x14ac:dyDescent="0.25">
      <c r="A37" s="186">
        <v>162</v>
      </c>
      <c r="B37" s="43" t="str">
        <f>A37&amp;"-"&amp;IF(DAY(Variables!$A$2)&lt;10,0,"")&amp;DAY(Variables!$A$2)</f>
        <v>162-14</v>
      </c>
      <c r="C37" s="147"/>
      <c r="D37" s="165"/>
      <c r="E37" s="30" t="s">
        <v>856</v>
      </c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22162-14%22)),sort:!(Time.ISO8601,asc))</v>
      </c>
      <c r="J37" s="30" t="e">
        <f>VLOOKUP(B37,'Train Runs'!$A$13:$A$99954,1,FALSE)</f>
        <v>#N/A</v>
      </c>
    </row>
    <row r="38" spans="1:10" x14ac:dyDescent="0.25">
      <c r="A38" s="186">
        <v>163</v>
      </c>
      <c r="B38" s="43" t="str">
        <f>A38&amp;"-"&amp;IF(DAY(Variables!$A$2)&lt;10,0,"")&amp;DAY(Variables!$A$2)</f>
        <v>163-14</v>
      </c>
      <c r="C38" s="147"/>
      <c r="D38" s="165"/>
      <c r="E38" s="30" t="s">
        <v>856</v>
      </c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22163-14%22)),sort:!(Time.ISO8601,asc))</v>
      </c>
      <c r="J38" s="30" t="e">
        <f>VLOOKUP(B38,'Train Runs'!$A$13:$A$99954,1,FALSE)</f>
        <v>#N/A</v>
      </c>
    </row>
    <row r="39" spans="1:10" x14ac:dyDescent="0.25">
      <c r="A39" s="186">
        <v>168</v>
      </c>
      <c r="B39" s="43" t="str">
        <f>A39&amp;"-"&amp;IF(DAY(Variables!$A$2)&lt;10,0,"")&amp;DAY(Variables!$A$2)</f>
        <v>168-14</v>
      </c>
      <c r="C39" s="147"/>
      <c r="D39" s="165"/>
      <c r="E39" s="30" t="s">
        <v>856</v>
      </c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22168-14%22)),sort:!(Time.ISO8601,asc))</v>
      </c>
      <c r="J39" s="30" t="e">
        <f>VLOOKUP(B39,'Train Runs'!$A$13:$A$99954,1,FALSE)</f>
        <v>#N/A</v>
      </c>
    </row>
    <row r="40" spans="1:10" x14ac:dyDescent="0.25">
      <c r="A40" s="186">
        <v>169</v>
      </c>
      <c r="B40" s="43" t="str">
        <f>A40&amp;"-"&amp;IF(DAY(Variables!$A$2)&lt;10,0,"")&amp;DAY(Variables!$A$2)</f>
        <v>169-14</v>
      </c>
      <c r="C40" s="147"/>
      <c r="D40" s="165"/>
      <c r="E40" s="30" t="s">
        <v>856</v>
      </c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22169-14%22)),sort:!(Time.ISO8601,asc))</v>
      </c>
      <c r="J40" s="30" t="e">
        <f>VLOOKUP(B40,'Train Runs'!$A$13:$A$99954,1,FALSE)</f>
        <v>#N/A</v>
      </c>
    </row>
    <row r="41" spans="1:10" x14ac:dyDescent="0.25">
      <c r="A41" s="186">
        <v>172</v>
      </c>
      <c r="B41" s="43" t="str">
        <f>A41&amp;"-"&amp;IF(DAY(Variables!$A$2)&lt;10,0,"")&amp;DAY(Variables!$A$2)</f>
        <v>172-14</v>
      </c>
      <c r="C41" s="147"/>
      <c r="D41" s="165"/>
      <c r="E41" s="30" t="s">
        <v>856</v>
      </c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22172-14%22)),sort:!(Time.ISO8601,asc))</v>
      </c>
      <c r="J41" s="30" t="e">
        <f>VLOOKUP(B41,'Train Runs'!$A$13:$A$99954,1,FALSE)</f>
        <v>#N/A</v>
      </c>
    </row>
    <row r="42" spans="1:10" x14ac:dyDescent="0.25">
      <c r="A42" s="186">
        <v>173</v>
      </c>
      <c r="B42" s="43" t="str">
        <f>A42&amp;"-"&amp;IF(DAY(Variables!$A$2)&lt;10,0,"")&amp;DAY(Variables!$A$2)</f>
        <v>173-14</v>
      </c>
      <c r="C42" s="147"/>
      <c r="D42" s="165"/>
      <c r="E42" s="30" t="s">
        <v>856</v>
      </c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22173-14%22)),sort:!(Time.ISO8601,asc))</v>
      </c>
      <c r="J42" s="30" t="e">
        <f>VLOOKUP(B42,'Train Runs'!$A$13:$A$99954,1,FALSE)</f>
        <v>#N/A</v>
      </c>
    </row>
    <row r="43" spans="1:10" x14ac:dyDescent="0.25">
      <c r="A43" s="186">
        <v>178</v>
      </c>
      <c r="B43" s="43" t="str">
        <f>A43&amp;"-"&amp;IF(DAY(Variables!$A$2)&lt;10,0,"")&amp;DAY(Variables!$A$2)</f>
        <v>178-14</v>
      </c>
      <c r="C43" s="147"/>
      <c r="D43" s="165"/>
      <c r="E43" s="30" t="s">
        <v>856</v>
      </c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22178-14%22)),sort:!(Time.ISO8601,asc))</v>
      </c>
      <c r="J43" s="30" t="e">
        <f>VLOOKUP(B43,'Train Runs'!$A$13:$A$99954,1,FALSE)</f>
        <v>#N/A</v>
      </c>
    </row>
    <row r="44" spans="1:10" x14ac:dyDescent="0.25">
      <c r="A44" s="186">
        <v>179</v>
      </c>
      <c r="B44" s="43" t="str">
        <f>A44&amp;"-"&amp;IF(DAY(Variables!$A$2)&lt;10,0,"")&amp;DAY(Variables!$A$2)</f>
        <v>179-14</v>
      </c>
      <c r="C44" s="147"/>
      <c r="D44" s="165"/>
      <c r="E44" s="30" t="s">
        <v>856</v>
      </c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22179-14%22)),sort:!(Time.ISO8601,asc))</v>
      </c>
      <c r="J44" s="30" t="e">
        <f>VLOOKUP(B44,'Train Runs'!$A$13:$A$99954,1,FALSE)</f>
        <v>#N/A</v>
      </c>
    </row>
    <row r="45" spans="1:10" x14ac:dyDescent="0.25">
      <c r="A45" s="186">
        <v>182</v>
      </c>
      <c r="B45" s="43" t="str">
        <f>A45&amp;"-"&amp;IF(DAY(Variables!$A$2)&lt;10,0,"")&amp;DAY(Variables!$A$2)</f>
        <v>182-14</v>
      </c>
      <c r="C45" s="147"/>
      <c r="D45" s="165"/>
      <c r="E45" s="30" t="s">
        <v>856</v>
      </c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22182-14%22)),sort:!(Time.ISO8601,asc))</v>
      </c>
      <c r="J45" s="30" t="e">
        <f>VLOOKUP(B45,'Train Runs'!$A$13:$A$99954,1,FALSE)</f>
        <v>#N/A</v>
      </c>
    </row>
    <row r="46" spans="1:10" x14ac:dyDescent="0.25">
      <c r="A46" s="186">
        <v>185</v>
      </c>
      <c r="B46" s="43" t="str">
        <f>A46&amp;"-"&amp;IF(DAY(Variables!$A$2)&lt;10,0,"")&amp;DAY(Variables!$A$2)</f>
        <v>185-14</v>
      </c>
      <c r="C46" s="147"/>
      <c r="D46" s="165"/>
      <c r="E46" s="30" t="s">
        <v>856</v>
      </c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22185-14%22)),sort:!(Time.ISO8601,asc))</v>
      </c>
      <c r="J46" s="30" t="e">
        <f>VLOOKUP(B46,'Train Runs'!$A$13:$A$99954,1,FALSE)</f>
        <v>#N/A</v>
      </c>
    </row>
    <row r="47" spans="1:10" x14ac:dyDescent="0.25">
      <c r="A47" s="186">
        <v>187</v>
      </c>
      <c r="B47" s="43" t="str">
        <f>A47&amp;"-"&amp;IF(DAY(Variables!$A$2)&lt;10,0,"")&amp;DAY(Variables!$A$2)</f>
        <v>187-14</v>
      </c>
      <c r="C47" s="147"/>
      <c r="D47" s="165"/>
      <c r="E47" s="30" t="s">
        <v>856</v>
      </c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22187-14%22)),sort:!(Time.ISO8601,asc))</v>
      </c>
      <c r="J47" s="30" t="e">
        <f>VLOOKUP(B47,'Train Runs'!$A$13:$A$99954,1,FALSE)</f>
        <v>#N/A</v>
      </c>
    </row>
    <row r="48" spans="1:10" x14ac:dyDescent="0.25">
      <c r="A48" s="186">
        <v>188</v>
      </c>
      <c r="B48" s="43" t="str">
        <f>A48&amp;"-"&amp;IF(DAY(Variables!$A$2)&lt;10,0,"")&amp;DAY(Variables!$A$2)</f>
        <v>188-14</v>
      </c>
      <c r="C48" s="147"/>
      <c r="D48" s="165"/>
      <c r="E48" s="30" t="s">
        <v>856</v>
      </c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22188-14%22)),sort:!(Time.ISO8601,asc))</v>
      </c>
      <c r="J48" s="30" t="e">
        <f>VLOOKUP(B48,'Train Runs'!$A$13:$A$99954,1,FALSE)</f>
        <v>#N/A</v>
      </c>
    </row>
    <row r="49" spans="1:10" x14ac:dyDescent="0.25">
      <c r="A49" s="186">
        <v>192</v>
      </c>
      <c r="B49" s="43" t="str">
        <f>A49&amp;"-"&amp;IF(DAY(Variables!$A$2)&lt;10,0,"")&amp;DAY(Variables!$A$2)</f>
        <v>192-14</v>
      </c>
      <c r="C49" s="147"/>
      <c r="D49" s="165"/>
      <c r="E49" s="30" t="s">
        <v>856</v>
      </c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ref="I49:I112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22192-14%22)),sort:!(Time.ISO8601,asc))</v>
      </c>
      <c r="J49" s="30" t="e">
        <f>VLOOKUP(B49,'Train Runs'!$A$13:$A$99954,1,FALSE)</f>
        <v>#N/A</v>
      </c>
    </row>
    <row r="50" spans="1:10" x14ac:dyDescent="0.25">
      <c r="A50" s="186">
        <v>194</v>
      </c>
      <c r="B50" s="43" t="str">
        <f>A50&amp;"-"&amp;IF(DAY(Variables!$A$2)&lt;10,0,"")&amp;DAY(Variables!$A$2)</f>
        <v>194-14</v>
      </c>
      <c r="C50" s="147"/>
      <c r="D50" s="165"/>
      <c r="E50" s="30" t="s">
        <v>856</v>
      </c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22194-14%22)),sort:!(Time.ISO8601,asc))</v>
      </c>
      <c r="J50" s="30" t="e">
        <f>VLOOKUP(B50,'Train Runs'!$A$13:$A$99954,1,FALSE)</f>
        <v>#N/A</v>
      </c>
    </row>
    <row r="51" spans="1:10" x14ac:dyDescent="0.25">
      <c r="A51" s="186">
        <v>195</v>
      </c>
      <c r="B51" s="43" t="str">
        <f>A51&amp;"-"&amp;IF(DAY(Variables!$A$2)&lt;10,0,"")&amp;DAY(Variables!$A$2)</f>
        <v>195-14</v>
      </c>
      <c r="C51" s="147"/>
      <c r="D51" s="165"/>
      <c r="E51" s="30" t="s">
        <v>856</v>
      </c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22195-14%22)),sort:!(Time.ISO8601,asc))</v>
      </c>
      <c r="J51" s="30" t="e">
        <f>VLOOKUP(B51,'Train Runs'!$A$13:$A$99954,1,FALSE)</f>
        <v>#N/A</v>
      </c>
    </row>
    <row r="52" spans="1:10" x14ac:dyDescent="0.25">
      <c r="A52" s="186">
        <v>197</v>
      </c>
      <c r="B52" s="43" t="str">
        <f>A52&amp;"-"&amp;IF(DAY(Variables!$A$2)&lt;10,0,"")&amp;DAY(Variables!$A$2)</f>
        <v>197-14</v>
      </c>
      <c r="C52" s="147"/>
      <c r="D52" s="165"/>
      <c r="E52" s="30" t="s">
        <v>856</v>
      </c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22197-14%22)),sort:!(Time.ISO8601,asc))</v>
      </c>
      <c r="J52" s="30" t="e">
        <f>VLOOKUP(B52,'Train Runs'!$A$13:$A$99954,1,FALSE)</f>
        <v>#N/A</v>
      </c>
    </row>
    <row r="53" spans="1:10" x14ac:dyDescent="0.25">
      <c r="A53" s="186">
        <v>200</v>
      </c>
      <c r="B53" s="43" t="str">
        <f>A53&amp;"-"&amp;IF(DAY(Variables!$A$2)&lt;10,0,"")&amp;DAY(Variables!$A$2)</f>
        <v>200-14</v>
      </c>
      <c r="C53" s="147"/>
      <c r="D53" s="165"/>
      <c r="E53" s="30" t="s">
        <v>856</v>
      </c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22200-14%22)),sort:!(Time.ISO8601,asc))</v>
      </c>
      <c r="J53" s="30" t="e">
        <f>VLOOKUP(B53,'Train Runs'!$A$13:$A$99954,1,FALSE)</f>
        <v>#N/A</v>
      </c>
    </row>
    <row r="54" spans="1:10" x14ac:dyDescent="0.25">
      <c r="A54" s="186">
        <v>202</v>
      </c>
      <c r="B54" s="43" t="str">
        <f>A54&amp;"-"&amp;IF(DAY(Variables!$A$2)&lt;10,0,"")&amp;DAY(Variables!$A$2)</f>
        <v>202-14</v>
      </c>
      <c r="C54" s="147"/>
      <c r="D54" s="165"/>
      <c r="E54" s="30" t="s">
        <v>856</v>
      </c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22202-14%22)),sort:!(Time.ISO8601,asc))</v>
      </c>
      <c r="J54" s="30" t="e">
        <f>VLOOKUP(B54,'Train Runs'!$A$13:$A$99954,1,FALSE)</f>
        <v>#N/A</v>
      </c>
    </row>
    <row r="55" spans="1:10" x14ac:dyDescent="0.25">
      <c r="A55" s="186">
        <v>203</v>
      </c>
      <c r="B55" s="43" t="str">
        <f>A55&amp;"-"&amp;IF(DAY(Variables!$A$2)&lt;10,0,"")&amp;DAY(Variables!$A$2)</f>
        <v>203-14</v>
      </c>
      <c r="C55" s="147"/>
      <c r="D55" s="165"/>
      <c r="E55" s="30" t="s">
        <v>856</v>
      </c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22203-14%22)),sort:!(Time.ISO8601,asc))</v>
      </c>
      <c r="J55" s="30" t="e">
        <f>VLOOKUP(B55,'Train Runs'!$A$13:$A$99954,1,FALSE)</f>
        <v>#N/A</v>
      </c>
    </row>
    <row r="56" spans="1:10" x14ac:dyDescent="0.25">
      <c r="A56" s="186">
        <v>205</v>
      </c>
      <c r="B56" s="43" t="str">
        <f>A56&amp;"-"&amp;IF(DAY(Variables!$A$2)&lt;10,0,"")&amp;DAY(Variables!$A$2)</f>
        <v>205-14</v>
      </c>
      <c r="C56" s="147"/>
      <c r="D56" s="165"/>
      <c r="E56" s="30" t="s">
        <v>856</v>
      </c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22205-14%22)),sort:!(Time.ISO8601,asc))</v>
      </c>
      <c r="J56" s="30" t="e">
        <f>VLOOKUP(B56,'Train Runs'!$A$13:$A$99954,1,FALSE)</f>
        <v>#N/A</v>
      </c>
    </row>
    <row r="57" spans="1:10" x14ac:dyDescent="0.25">
      <c r="A57" s="186">
        <v>206</v>
      </c>
      <c r="B57" s="43" t="str">
        <f>A57&amp;"-"&amp;IF(DAY(Variables!$A$2)&lt;10,0,"")&amp;DAY(Variables!$A$2)</f>
        <v>206-14</v>
      </c>
      <c r="C57" s="147"/>
      <c r="D57" s="165"/>
      <c r="E57" s="30" t="s">
        <v>856</v>
      </c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22206-14%22)),sort:!(Time.ISO8601,asc))</v>
      </c>
      <c r="J57" s="30" t="e">
        <f>VLOOKUP(B57,'Train Runs'!$A$13:$A$99954,1,FALSE)</f>
        <v>#N/A</v>
      </c>
    </row>
    <row r="58" spans="1:10" x14ac:dyDescent="0.25">
      <c r="A58" s="186">
        <v>209</v>
      </c>
      <c r="B58" s="43" t="str">
        <f>A58&amp;"-"&amp;IF(DAY(Variables!$A$2)&lt;10,0,"")&amp;DAY(Variables!$A$2)</f>
        <v>209-14</v>
      </c>
      <c r="C58" s="147"/>
      <c r="D58" s="165"/>
      <c r="E58" s="30" t="s">
        <v>856</v>
      </c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22209-14%22)),sort:!(Time.ISO8601,asc))</v>
      </c>
      <c r="J58" s="30" t="e">
        <f>VLOOKUP(B58,'Train Runs'!$A$13:$A$99954,1,FALSE)</f>
        <v>#N/A</v>
      </c>
    </row>
    <row r="59" spans="1:10" x14ac:dyDescent="0.25">
      <c r="A59" s="186">
        <v>212</v>
      </c>
      <c r="B59" s="43" t="str">
        <f>A59&amp;"-"&amp;IF(DAY(Variables!$A$2)&lt;10,0,"")&amp;DAY(Variables!$A$2)</f>
        <v>212-14</v>
      </c>
      <c r="C59" s="147"/>
      <c r="D59" s="165"/>
      <c r="E59" s="30" t="s">
        <v>856</v>
      </c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22212-14%22)),sort:!(Time.ISO8601,asc))</v>
      </c>
      <c r="J59" s="30" t="e">
        <f>VLOOKUP(B59,'Train Runs'!$A$13:$A$99954,1,FALSE)</f>
        <v>#N/A</v>
      </c>
    </row>
    <row r="60" spans="1:10" x14ac:dyDescent="0.25">
      <c r="A60" s="186">
        <v>214</v>
      </c>
      <c r="B60" s="43" t="str">
        <f>A60&amp;"-"&amp;IF(DAY(Variables!$A$2)&lt;10,0,"")&amp;DAY(Variables!$A$2)</f>
        <v>214-14</v>
      </c>
      <c r="C60" s="147"/>
      <c r="D60" s="165"/>
      <c r="E60" s="30" t="s">
        <v>856</v>
      </c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22214-14%22)),sort:!(Time.ISO8601,asc))</v>
      </c>
      <c r="J60" s="30" t="e">
        <f>VLOOKUP(B60,'Train Runs'!$A$13:$A$99954,1,FALSE)</f>
        <v>#N/A</v>
      </c>
    </row>
    <row r="61" spans="1:10" x14ac:dyDescent="0.25">
      <c r="A61" s="186">
        <v>215</v>
      </c>
      <c r="B61" s="43" t="str">
        <f>A61&amp;"-"&amp;IF(DAY(Variables!$A$2)&lt;10,0,"")&amp;DAY(Variables!$A$2)</f>
        <v>215-14</v>
      </c>
      <c r="C61" s="147"/>
      <c r="D61" s="165"/>
      <c r="E61" s="30" t="s">
        <v>856</v>
      </c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22215-14%22)),sort:!(Time.ISO8601,asc))</v>
      </c>
      <c r="J61" s="30" t="e">
        <f>VLOOKUP(B61,'Train Runs'!$A$13:$A$99954,1,FALSE)</f>
        <v>#N/A</v>
      </c>
    </row>
    <row r="62" spans="1:10" x14ac:dyDescent="0.25">
      <c r="A62" s="186">
        <v>217</v>
      </c>
      <c r="B62" s="43" t="str">
        <f>A62&amp;"-"&amp;IF(DAY(Variables!$A$2)&lt;10,0,"")&amp;DAY(Variables!$A$2)</f>
        <v>217-14</v>
      </c>
      <c r="C62" s="147"/>
      <c r="D62" s="165"/>
      <c r="E62" s="30" t="s">
        <v>856</v>
      </c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22217-14%22)),sort:!(Time.ISO8601,asc))</v>
      </c>
      <c r="J62" s="30" t="e">
        <f>VLOOKUP(B62,'Train Runs'!$A$13:$A$99954,1,FALSE)</f>
        <v>#N/A</v>
      </c>
    </row>
    <row r="63" spans="1:10" x14ac:dyDescent="0.25">
      <c r="A63" s="186">
        <v>220</v>
      </c>
      <c r="B63" s="43" t="str">
        <f>A63&amp;"-"&amp;IF(DAY(Variables!$A$2)&lt;10,0,"")&amp;DAY(Variables!$A$2)</f>
        <v>220-14</v>
      </c>
      <c r="C63" s="147"/>
      <c r="D63" s="165"/>
      <c r="E63" s="30" t="s">
        <v>856</v>
      </c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22220-14%22)),sort:!(Time.ISO8601,asc))</v>
      </c>
      <c r="J63" s="30" t="e">
        <f>VLOOKUP(B63,'Train Runs'!$A$13:$A$99954,1,FALSE)</f>
        <v>#N/A</v>
      </c>
    </row>
    <row r="64" spans="1:10" x14ac:dyDescent="0.25">
      <c r="A64" s="186">
        <v>221</v>
      </c>
      <c r="B64" s="43" t="str">
        <f>A64&amp;"-"&amp;IF(DAY(Variables!$A$2)&lt;10,0,"")&amp;DAY(Variables!$A$2)</f>
        <v>221-14</v>
      </c>
      <c r="C64" s="147"/>
      <c r="D64" s="165"/>
      <c r="E64" s="30" t="s">
        <v>856</v>
      </c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22221-14%22)),sort:!(Time.ISO8601,asc))</v>
      </c>
      <c r="J64" s="30" t="e">
        <f>VLOOKUP(B64,'Train Runs'!$A$13:$A$99954,1,FALSE)</f>
        <v>#N/A</v>
      </c>
    </row>
    <row r="65" spans="1:10" x14ac:dyDescent="0.25">
      <c r="A65" s="186">
        <v>236</v>
      </c>
      <c r="B65" s="43" t="str">
        <f>A65&amp;"-"&amp;IF(DAY(Variables!$A$2)&lt;10,0,"")&amp;DAY(Variables!$A$2)</f>
        <v>236-14</v>
      </c>
      <c r="C65" s="147"/>
      <c r="D65" s="165"/>
      <c r="E65" s="30" t="s">
        <v>856</v>
      </c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22236-14%22)),sort:!(Time.ISO8601,asc))</v>
      </c>
      <c r="J65" s="30" t="e">
        <f>VLOOKUP(B65,'Train Runs'!$A$13:$A$99954,1,FALSE)</f>
        <v>#N/A</v>
      </c>
    </row>
    <row r="66" spans="1:10" x14ac:dyDescent="0.25">
      <c r="A66" s="186"/>
      <c r="B66" s="43" t="str">
        <f>A66&amp;"-"&amp;IF(DAY(Variables!$A$2)&lt;10,0,"")&amp;DAY(Variables!$A$2)</f>
        <v>-14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6" s="30" t="e">
        <f>VLOOKUP(B66,'Train Runs'!$A$13:$A$99954,1,FALSE)</f>
        <v>#N/A</v>
      </c>
    </row>
    <row r="67" spans="1:10" x14ac:dyDescent="0.25">
      <c r="A67" s="186"/>
      <c r="B67" s="43" t="str">
        <f>A67&amp;"-"&amp;IF(DAY(Variables!$A$2)&lt;10,0,"")&amp;DAY(Variables!$A$2)</f>
        <v>-14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7" s="30" t="e">
        <f>VLOOKUP(B67,'Train Runs'!$A$13:$A$99954,1,FALSE)</f>
        <v>#N/A</v>
      </c>
    </row>
    <row r="68" spans="1:10" x14ac:dyDescent="0.25">
      <c r="A68" s="186"/>
      <c r="B68" s="43" t="str">
        <f>A68&amp;"-"&amp;IF(DAY(Variables!$A$2)&lt;10,0,"")&amp;DAY(Variables!$A$2)</f>
        <v>-14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8" s="30" t="e">
        <f>VLOOKUP(B68,'Train Runs'!$A$13:$A$99954,1,FALSE)</f>
        <v>#N/A</v>
      </c>
    </row>
    <row r="69" spans="1:10" x14ac:dyDescent="0.25">
      <c r="A69" s="186"/>
      <c r="B69" s="43" t="str">
        <f>A69&amp;"-"&amp;IF(DAY(Variables!$A$2)&lt;10,0,"")&amp;DAY(Variables!$A$2)</f>
        <v>-14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9" s="30" t="e">
        <f>VLOOKUP(B69,'Train Runs'!$A$13:$A$99954,1,FALSE)</f>
        <v>#N/A</v>
      </c>
    </row>
    <row r="70" spans="1:10" x14ac:dyDescent="0.25">
      <c r="A70" s="186"/>
      <c r="B70" s="43" t="str">
        <f>A70&amp;"-"&amp;IF(DAY(Variables!$A$2)&lt;10,0,"")&amp;DAY(Variables!$A$2)</f>
        <v>-14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0" s="30" t="e">
        <f>VLOOKUP(B70,'Train Runs'!$A$13:$A$99954,1,FALSE)</f>
        <v>#N/A</v>
      </c>
    </row>
    <row r="71" spans="1:10" x14ac:dyDescent="0.25">
      <c r="A71" s="186"/>
      <c r="B71" s="43" t="str">
        <f>A71&amp;"-"&amp;IF(DAY(Variables!$A$2)&lt;10,0,"")&amp;DAY(Variables!$A$2)</f>
        <v>-14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1" s="30" t="e">
        <f>VLOOKUP(B71,'Train Runs'!$A$13:$A$99954,1,FALSE)</f>
        <v>#N/A</v>
      </c>
    </row>
    <row r="72" spans="1:10" x14ac:dyDescent="0.25">
      <c r="A72" s="186"/>
      <c r="B72" s="43" t="str">
        <f>A72&amp;"-"&amp;IF(DAY(Variables!$A$2)&lt;10,0,"")&amp;DAY(Variables!$A$2)</f>
        <v>-14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2" s="30" t="e">
        <f>VLOOKUP(B72,'Train Runs'!$A$13:$A$99954,1,FALSE)</f>
        <v>#N/A</v>
      </c>
    </row>
    <row r="73" spans="1:10" x14ac:dyDescent="0.25">
      <c r="A73" s="186"/>
      <c r="B73" s="43" t="str">
        <f>A73&amp;"-"&amp;IF(DAY(Variables!$A$2)&lt;10,0,"")&amp;DAY(Variables!$A$2)</f>
        <v>-14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3" s="30" t="e">
        <f>VLOOKUP(B73,'Train Runs'!$A$13:$A$99954,1,FALSE)</f>
        <v>#N/A</v>
      </c>
    </row>
    <row r="74" spans="1:10" x14ac:dyDescent="0.25">
      <c r="A74" s="186"/>
      <c r="B74" s="43" t="str">
        <f>A74&amp;"-"&amp;IF(DAY(Variables!$A$2)&lt;10,0,"")&amp;DAY(Variables!$A$2)</f>
        <v>-14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4" s="30" t="e">
        <f>VLOOKUP(B74,'Train Runs'!$A$13:$A$99954,1,FALSE)</f>
        <v>#N/A</v>
      </c>
    </row>
    <row r="75" spans="1:10" x14ac:dyDescent="0.25">
      <c r="A75" s="186"/>
      <c r="B75" s="43" t="str">
        <f>A75&amp;"-"&amp;IF(DAY(Variables!$A$2)&lt;10,0,"")&amp;DAY(Variables!$A$2)</f>
        <v>-14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5" s="30" t="e">
        <f>VLOOKUP(B75,'Train Runs'!$A$13:$A$99954,1,FALSE)</f>
        <v>#N/A</v>
      </c>
    </row>
    <row r="76" spans="1:10" x14ac:dyDescent="0.25">
      <c r="A76" s="186"/>
      <c r="B76" s="43" t="str">
        <f>A76&amp;"-"&amp;IF(DAY(Variables!$A$2)&lt;10,0,"")&amp;DAY(Variables!$A$2)</f>
        <v>-14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6" s="30" t="e">
        <f>VLOOKUP(B76,'Train Runs'!$A$13:$A$99954,1,FALSE)</f>
        <v>#N/A</v>
      </c>
    </row>
    <row r="77" spans="1:10" x14ac:dyDescent="0.25">
      <c r="A77" s="186"/>
      <c r="B77" s="43" t="str">
        <f>A77&amp;"-"&amp;IF(DAY(Variables!$A$2)&lt;10,0,"")&amp;DAY(Variables!$A$2)</f>
        <v>-14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7" s="30" t="e">
        <f>VLOOKUP(B77,'Train Runs'!$A$13:$A$99954,1,FALSE)</f>
        <v>#N/A</v>
      </c>
    </row>
    <row r="78" spans="1:10" x14ac:dyDescent="0.25">
      <c r="A78" s="186"/>
      <c r="B78" s="43" t="str">
        <f>A78&amp;"-"&amp;IF(DAY(Variables!$A$2)&lt;10,0,"")&amp;DAY(Variables!$A$2)</f>
        <v>-14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8" s="30" t="e">
        <f>VLOOKUP(B78,'Train Runs'!$A$13:$A$99954,1,FALSE)</f>
        <v>#N/A</v>
      </c>
    </row>
    <row r="79" spans="1:10" x14ac:dyDescent="0.25">
      <c r="A79" s="186"/>
      <c r="B79" s="43" t="str">
        <f>A79&amp;"-"&amp;IF(DAY(Variables!$A$2)&lt;10,0,"")&amp;DAY(Variables!$A$2)</f>
        <v>-14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9" s="30" t="e">
        <f>VLOOKUP(B79,'Train Runs'!$A$13:$A$99954,1,FALSE)</f>
        <v>#N/A</v>
      </c>
    </row>
    <row r="80" spans="1:10" x14ac:dyDescent="0.25">
      <c r="A80" s="186"/>
      <c r="B80" s="43" t="str">
        <f>A80&amp;"-"&amp;IF(DAY(Variables!$A$2)&lt;10,0,"")&amp;DAY(Variables!$A$2)</f>
        <v>-14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0" s="30" t="e">
        <f>VLOOKUP(B80,'Train Runs'!$A$13:$A$99954,1,FALSE)</f>
        <v>#N/A</v>
      </c>
    </row>
    <row r="81" spans="1:10" x14ac:dyDescent="0.25">
      <c r="A81" s="186"/>
      <c r="B81" s="43" t="str">
        <f>A81&amp;"-"&amp;IF(DAY(Variables!$A$2)&lt;10,0,"")&amp;DAY(Variables!$A$2)</f>
        <v>-14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1" s="30" t="e">
        <f>VLOOKUP(B81,'Train Runs'!$A$13:$A$99954,1,FALSE)</f>
        <v>#N/A</v>
      </c>
    </row>
    <row r="82" spans="1:10" x14ac:dyDescent="0.25">
      <c r="A82" s="186"/>
      <c r="B82" s="43" t="str">
        <f>A82&amp;"-"&amp;IF(DAY(Variables!$A$2)&lt;10,0,"")&amp;DAY(Variables!$A$2)</f>
        <v>-14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2" s="30" t="e">
        <f>VLOOKUP(B82,'Train Runs'!$A$13:$A$99954,1,FALSE)</f>
        <v>#N/A</v>
      </c>
    </row>
    <row r="83" spans="1:10" x14ac:dyDescent="0.25">
      <c r="A83" s="186"/>
      <c r="B83" s="43" t="str">
        <f>A83&amp;"-"&amp;IF(DAY(Variables!$A$2)&lt;10,0,"")&amp;DAY(Variables!$A$2)</f>
        <v>-14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3" s="30" t="e">
        <f>VLOOKUP(B83,'Train Runs'!$A$13:$A$99954,1,FALSE)</f>
        <v>#N/A</v>
      </c>
    </row>
    <row r="84" spans="1:10" x14ac:dyDescent="0.25">
      <c r="A84" s="186"/>
      <c r="B84" s="43" t="str">
        <f>A84&amp;"-"&amp;IF(DAY(Variables!$A$2)&lt;10,0,"")&amp;DAY(Variables!$A$2)</f>
        <v>-14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4" s="30" t="e">
        <f>VLOOKUP(B84,'Train Runs'!$A$13:$A$99954,1,FALSE)</f>
        <v>#N/A</v>
      </c>
    </row>
    <row r="85" spans="1:10" x14ac:dyDescent="0.25">
      <c r="A85" s="186"/>
      <c r="B85" s="43" t="str">
        <f>A85&amp;"-"&amp;IF(DAY(Variables!$A$2)&lt;10,0,"")&amp;DAY(Variables!$A$2)</f>
        <v>-14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5" s="30" t="e">
        <f>VLOOKUP(B85,'Train Runs'!$A$13:$A$99954,1,FALSE)</f>
        <v>#N/A</v>
      </c>
    </row>
    <row r="86" spans="1:10" x14ac:dyDescent="0.25">
      <c r="A86" s="186"/>
      <c r="B86" s="43" t="str">
        <f>A86&amp;"-"&amp;IF(DAY(Variables!$A$2)&lt;10,0,"")&amp;DAY(Variables!$A$2)</f>
        <v>-14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6" s="30" t="e">
        <f>VLOOKUP(B86,'Train Runs'!$A$13:$A$99954,1,FALSE)</f>
        <v>#N/A</v>
      </c>
    </row>
    <row r="87" spans="1:10" x14ac:dyDescent="0.25">
      <c r="A87" s="186"/>
      <c r="B87" s="43" t="str">
        <f>A87&amp;"-"&amp;IF(DAY(Variables!$A$2)&lt;10,0,"")&amp;DAY(Variables!$A$2)</f>
        <v>-14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7" s="30" t="e">
        <f>VLOOKUP(B87,'Train Runs'!$A$13:$A$99954,1,FALSE)</f>
        <v>#N/A</v>
      </c>
    </row>
    <row r="88" spans="1:10" x14ac:dyDescent="0.25">
      <c r="A88" s="186"/>
      <c r="B88" s="43" t="str">
        <f>A88&amp;"-"&amp;IF(DAY(Variables!$A$2)&lt;10,0,"")&amp;DAY(Variables!$A$2)</f>
        <v>-14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8" s="30" t="e">
        <f>VLOOKUP(B88,'Train Runs'!$A$13:$A$99954,1,FALSE)</f>
        <v>#N/A</v>
      </c>
    </row>
    <row r="89" spans="1:10" x14ac:dyDescent="0.25">
      <c r="A89" s="186"/>
      <c r="B89" s="43" t="str">
        <f>A89&amp;"-"&amp;IF(DAY(Variables!$A$2)&lt;10,0,"")&amp;DAY(Variables!$A$2)</f>
        <v>-14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9" s="30" t="e">
        <f>VLOOKUP(B89,'Train Runs'!$A$13:$A$99954,1,FALSE)</f>
        <v>#N/A</v>
      </c>
    </row>
    <row r="90" spans="1:10" x14ac:dyDescent="0.25">
      <c r="A90" s="186"/>
      <c r="B90" s="43" t="str">
        <f>A90&amp;"-"&amp;IF(DAY(Variables!$A$2)&lt;10,0,"")&amp;DAY(Variables!$A$2)</f>
        <v>-14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0" s="30" t="e">
        <f>VLOOKUP(B90,'Train Runs'!$A$13:$A$99954,1,FALSE)</f>
        <v>#N/A</v>
      </c>
    </row>
    <row r="91" spans="1:10" x14ac:dyDescent="0.25">
      <c r="A91" s="186"/>
      <c r="B91" s="43" t="str">
        <f>A91&amp;"-"&amp;IF(DAY(Variables!$A$2)&lt;10,0,"")&amp;DAY(Variables!$A$2)</f>
        <v>-14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1" s="30" t="e">
        <f>VLOOKUP(B91,'Train Runs'!$A$13:$A$99954,1,FALSE)</f>
        <v>#N/A</v>
      </c>
    </row>
    <row r="92" spans="1:10" x14ac:dyDescent="0.25">
      <c r="A92" s="186"/>
      <c r="B92" s="43" t="str">
        <f>A92&amp;"-"&amp;IF(DAY(Variables!$A$2)&lt;10,0,"")&amp;DAY(Variables!$A$2)</f>
        <v>-14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2" s="30" t="e">
        <f>VLOOKUP(B92,'Train Runs'!$A$13:$A$99954,1,FALSE)</f>
        <v>#N/A</v>
      </c>
    </row>
    <row r="93" spans="1:10" x14ac:dyDescent="0.25">
      <c r="A93" s="186"/>
      <c r="B93" s="43" t="str">
        <f>A93&amp;"-"&amp;IF(DAY(Variables!$A$2)&lt;10,0,"")&amp;DAY(Variables!$A$2)</f>
        <v>-14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3" s="30" t="e">
        <f>VLOOKUP(B93,'Train Runs'!$A$13:$A$99954,1,FALSE)</f>
        <v>#N/A</v>
      </c>
    </row>
    <row r="94" spans="1:10" x14ac:dyDescent="0.25">
      <c r="A94" s="186"/>
      <c r="B94" s="43" t="str">
        <f>A94&amp;"-"&amp;IF(DAY(Variables!$A$2)&lt;10,0,"")&amp;DAY(Variables!$A$2)</f>
        <v>-14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4" s="30" t="e">
        <f>VLOOKUP(B94,'Train Runs'!$A$13:$A$99954,1,FALSE)</f>
        <v>#N/A</v>
      </c>
    </row>
    <row r="95" spans="1:10" x14ac:dyDescent="0.25">
      <c r="A95" s="186"/>
      <c r="B95" s="43" t="str">
        <f>A95&amp;"-"&amp;IF(DAY(Variables!$A$2)&lt;10,0,"")&amp;DAY(Variables!$A$2)</f>
        <v>-14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5" s="30" t="e">
        <f>VLOOKUP(B95,'Train Runs'!$A$13:$A$99954,1,FALSE)</f>
        <v>#N/A</v>
      </c>
    </row>
    <row r="96" spans="1:10" x14ac:dyDescent="0.25">
      <c r="A96" s="186"/>
      <c r="B96" s="43" t="str">
        <f>A96&amp;"-"&amp;IF(DAY(Variables!$A$2)&lt;10,0,"")&amp;DAY(Variables!$A$2)</f>
        <v>-14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6" s="30" t="e">
        <f>VLOOKUP(B96,'Train Runs'!$A$13:$A$99954,1,FALSE)</f>
        <v>#N/A</v>
      </c>
    </row>
    <row r="97" spans="1:10" x14ac:dyDescent="0.25">
      <c r="A97" s="186"/>
      <c r="B97" s="43" t="str">
        <f>A97&amp;"-"&amp;IF(DAY(Variables!$A$2)&lt;10,0,"")&amp;DAY(Variables!$A$2)</f>
        <v>-14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7" s="30" t="e">
        <f>VLOOKUP(B97,'Train Runs'!$A$13:$A$99954,1,FALSE)</f>
        <v>#N/A</v>
      </c>
    </row>
    <row r="98" spans="1:10" x14ac:dyDescent="0.25">
      <c r="A98" s="186"/>
      <c r="B98" s="43" t="str">
        <f>A98&amp;"-"&amp;IF(DAY(Variables!$A$2)&lt;10,0,"")&amp;DAY(Variables!$A$2)</f>
        <v>-14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8" s="30" t="e">
        <f>VLOOKUP(B98,'Train Runs'!$A$13:$A$99954,1,FALSE)</f>
        <v>#N/A</v>
      </c>
    </row>
    <row r="99" spans="1:10" x14ac:dyDescent="0.25">
      <c r="A99" s="186"/>
      <c r="B99" s="43" t="str">
        <f>A99&amp;"-"&amp;IF(DAY(Variables!$A$2)&lt;10,0,"")&amp;DAY(Variables!$A$2)</f>
        <v>-14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9" s="30" t="e">
        <f>VLOOKUP(B99,'Train Runs'!$A$13:$A$99954,1,FALSE)</f>
        <v>#N/A</v>
      </c>
    </row>
    <row r="100" spans="1:10" x14ac:dyDescent="0.25">
      <c r="A100" s="186"/>
      <c r="B100" s="43" t="str">
        <f>A100&amp;"-"&amp;IF(DAY(Variables!$A$2)&lt;10,0,"")&amp;DAY(Variables!$A$2)</f>
        <v>-14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0" s="30" t="e">
        <f>VLOOKUP(B100,'Train Runs'!$A$13:$A$99954,1,FALSE)</f>
        <v>#N/A</v>
      </c>
    </row>
    <row r="101" spans="1:10" x14ac:dyDescent="0.25">
      <c r="A101" s="186"/>
      <c r="B101" s="43" t="str">
        <f>A101&amp;"-"&amp;IF(DAY(Variables!$A$2)&lt;10,0,"")&amp;DAY(Variables!$A$2)</f>
        <v>-14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1" s="30" t="e">
        <f>VLOOKUP(B101,'Train Runs'!$A$13:$A$99954,1,FALSE)</f>
        <v>#N/A</v>
      </c>
    </row>
    <row r="102" spans="1:10" x14ac:dyDescent="0.25">
      <c r="A102" s="186"/>
      <c r="B102" s="43" t="str">
        <f>A102&amp;"-"&amp;IF(DAY(Variables!$A$2)&lt;10,0,"")&amp;DAY(Variables!$A$2)</f>
        <v>-14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2" s="30" t="e">
        <f>VLOOKUP(B102,'Train Runs'!$A$13:$A$99954,1,FALSE)</f>
        <v>#N/A</v>
      </c>
    </row>
    <row r="103" spans="1:10" x14ac:dyDescent="0.25">
      <c r="A103" s="186"/>
      <c r="B103" s="43" t="str">
        <f>A103&amp;"-"&amp;IF(DAY(Variables!$A$2)&lt;10,0,"")&amp;DAY(Variables!$A$2)</f>
        <v>-14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3" s="30" t="e">
        <f>VLOOKUP(B103,'Train Runs'!$A$13:$A$99954,1,FALSE)</f>
        <v>#N/A</v>
      </c>
    </row>
    <row r="104" spans="1:10" x14ac:dyDescent="0.25">
      <c r="A104" s="186"/>
      <c r="B104" s="43" t="str">
        <f>A104&amp;"-"&amp;IF(DAY(Variables!$A$2)&lt;10,0,"")&amp;DAY(Variables!$A$2)</f>
        <v>-14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4" s="30" t="e">
        <f>VLOOKUP(B104,'Train Runs'!$A$13:$A$99954,1,FALSE)</f>
        <v>#N/A</v>
      </c>
    </row>
    <row r="105" spans="1:10" x14ac:dyDescent="0.25">
      <c r="A105" s="186"/>
      <c r="B105" s="43" t="str">
        <f>A105&amp;"-"&amp;IF(DAY(Variables!$A$2)&lt;10,0,"")&amp;DAY(Variables!$A$2)</f>
        <v>-14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5" s="30" t="e">
        <f>VLOOKUP(B105,'Train Runs'!$A$13:$A$99954,1,FALSE)</f>
        <v>#N/A</v>
      </c>
    </row>
    <row r="106" spans="1:10" x14ac:dyDescent="0.25">
      <c r="A106" s="186"/>
      <c r="B106" s="43" t="str">
        <f>A106&amp;"-"&amp;IF(DAY(Variables!$A$2)&lt;10,0,"")&amp;DAY(Variables!$A$2)</f>
        <v>-14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6" s="30" t="e">
        <f>VLOOKUP(B106,'Train Runs'!$A$13:$A$99954,1,FALSE)</f>
        <v>#N/A</v>
      </c>
    </row>
    <row r="107" spans="1:10" x14ac:dyDescent="0.25">
      <c r="A107" s="186"/>
      <c r="B107" s="43" t="str">
        <f>A107&amp;"-"&amp;IF(DAY(Variables!$A$2)&lt;10,0,"")&amp;DAY(Variables!$A$2)</f>
        <v>-14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7" s="30" t="e">
        <f>VLOOKUP(B107,'Train Runs'!$A$13:$A$99954,1,FALSE)</f>
        <v>#N/A</v>
      </c>
    </row>
    <row r="108" spans="1:10" x14ac:dyDescent="0.25">
      <c r="A108" s="186"/>
      <c r="B108" s="43" t="str">
        <f>A108&amp;"-"&amp;IF(DAY(Variables!$A$2)&lt;10,0,"")&amp;DAY(Variables!$A$2)</f>
        <v>-14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8" s="30" t="e">
        <f>VLOOKUP(B108,'Train Runs'!$A$13:$A$99954,1,FALSE)</f>
        <v>#N/A</v>
      </c>
    </row>
    <row r="109" spans="1:10" x14ac:dyDescent="0.25">
      <c r="A109" s="186"/>
      <c r="B109" s="43" t="str">
        <f>A109&amp;"-"&amp;IF(DAY(Variables!$A$2)&lt;10,0,"")&amp;DAY(Variables!$A$2)</f>
        <v>-14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9" s="30" t="e">
        <f>VLOOKUP(B109,'Train Runs'!$A$13:$A$99954,1,FALSE)</f>
        <v>#N/A</v>
      </c>
    </row>
    <row r="110" spans="1:10" x14ac:dyDescent="0.25">
      <c r="A110" s="186"/>
      <c r="B110" s="43" t="str">
        <f>A110&amp;"-"&amp;IF(DAY(Variables!$A$2)&lt;10,0,"")&amp;DAY(Variables!$A$2)</f>
        <v>-14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0" s="30" t="e">
        <f>VLOOKUP(B110,'Train Runs'!$A$13:$A$99954,1,FALSE)</f>
        <v>#N/A</v>
      </c>
    </row>
    <row r="111" spans="1:10" x14ac:dyDescent="0.25">
      <c r="A111" s="186"/>
      <c r="B111" s="43" t="str">
        <f>A111&amp;"-"&amp;IF(DAY(Variables!$A$2)&lt;10,0,"")&amp;DAY(Variables!$A$2)</f>
        <v>-14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1" s="30" t="e">
        <f>VLOOKUP(B111,'Train Runs'!$A$13:$A$99954,1,FALSE)</f>
        <v>#N/A</v>
      </c>
    </row>
    <row r="112" spans="1:10" x14ac:dyDescent="0.25">
      <c r="A112" s="186"/>
      <c r="B112" s="43" t="str">
        <f>A112&amp;"-"&amp;IF(DAY(Variables!$A$2)&lt;10,0,"")&amp;DAY(Variables!$A$2)</f>
        <v>-14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2" s="30" t="e">
        <f>VLOOKUP(B112,'Train Runs'!$A$13:$A$99954,1,FALSE)</f>
        <v>#N/A</v>
      </c>
    </row>
    <row r="113" spans="1:10" x14ac:dyDescent="0.25">
      <c r="A113" s="186"/>
      <c r="B113" s="43" t="str">
        <f>A113&amp;"-"&amp;IF(DAY(Variables!$A$2)&lt;10,0,"")&amp;DAY(Variables!$A$2)</f>
        <v>-14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ref="I113:I119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3" s="30" t="e">
        <f>VLOOKUP(B113,'Train Runs'!$A$13:$A$99954,1,FALSE)</f>
        <v>#N/A</v>
      </c>
    </row>
    <row r="114" spans="1:10" x14ac:dyDescent="0.25">
      <c r="A114" s="186"/>
      <c r="B114" s="43" t="str">
        <f>A114&amp;"-"&amp;IF(DAY(Variables!$A$2)&lt;10,0,"")&amp;DAY(Variables!$A$2)</f>
        <v>-14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4" s="30" t="e">
        <f>VLOOKUP(B114,'Train Runs'!$A$13:$A$99954,1,FALSE)</f>
        <v>#N/A</v>
      </c>
    </row>
    <row r="115" spans="1:10" x14ac:dyDescent="0.25">
      <c r="A115" s="186"/>
      <c r="B115" s="43" t="str">
        <f>A115&amp;"-"&amp;IF(DAY(Variables!$A$2)&lt;10,0,"")&amp;DAY(Variables!$A$2)</f>
        <v>-14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5" s="30" t="e">
        <f>VLOOKUP(B115,'Train Runs'!$A$13:$A$99954,1,FALSE)</f>
        <v>#N/A</v>
      </c>
    </row>
    <row r="116" spans="1:10" x14ac:dyDescent="0.25">
      <c r="A116" s="186"/>
      <c r="B116" s="43" t="str">
        <f>A116&amp;"-"&amp;IF(DAY(Variables!$A$2)&lt;10,0,"")&amp;DAY(Variables!$A$2)</f>
        <v>-14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6" s="30" t="e">
        <f>VLOOKUP(B116,'Train Runs'!$A$13:$A$99954,1,FALSE)</f>
        <v>#N/A</v>
      </c>
    </row>
    <row r="117" spans="1:10" x14ac:dyDescent="0.25">
      <c r="A117" s="186"/>
      <c r="B117" s="43" t="str">
        <f>A117&amp;"-"&amp;IF(DAY(Variables!$A$2)&lt;10,0,"")&amp;DAY(Variables!$A$2)</f>
        <v>-14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7" s="30" t="e">
        <f>VLOOKUP(B117,'Train Runs'!$A$13:$A$99954,1,FALSE)</f>
        <v>#N/A</v>
      </c>
    </row>
    <row r="118" spans="1:10" x14ac:dyDescent="0.25">
      <c r="A118" s="186"/>
      <c r="B118" s="43" t="str">
        <f>A118&amp;"-"&amp;IF(DAY(Variables!$A$2)&lt;10,0,"")&amp;DAY(Variables!$A$2)</f>
        <v>-14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8" s="30" t="e">
        <f>VLOOKUP(B118,'Train Runs'!$A$13:$A$99954,1,FALSE)</f>
        <v>#N/A</v>
      </c>
    </row>
    <row r="119" spans="1:10" x14ac:dyDescent="0.25">
      <c r="A119" s="186"/>
      <c r="B119" s="43" t="str">
        <f>A119&amp;"-"&amp;IF(DAY(Variables!$A$2)&lt;10,0,"")&amp;DAY(Variables!$A$2)</f>
        <v>-14</v>
      </c>
      <c r="C119" s="147"/>
      <c r="D119" s="165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9" s="30" t="e">
        <f>VLOOKUP(B119,'Train Runs'!$A$13:$A$99954,1,FALSE)</f>
        <v>#N/A</v>
      </c>
    </row>
    <row r="120" spans="1:10" x14ac:dyDescent="0.25">
      <c r="A120" s="186"/>
      <c r="B120" s="43" t="str">
        <f>A120&amp;"-"&amp;IF(DAY(Variables!$A$2)&lt;10,0,"")&amp;DAY(Variables!$A$2)</f>
        <v>-14</v>
      </c>
      <c r="C120" s="147"/>
      <c r="D120" s="165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ref="I120:I145" si="4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0" s="30" t="e">
        <f>VLOOKUP(B120,'Train Runs'!$A$13:$A$99954,1,FALSE)</f>
        <v>#N/A</v>
      </c>
    </row>
    <row r="121" spans="1:10" x14ac:dyDescent="0.25">
      <c r="A121" s="186"/>
      <c r="B121" s="43" t="str">
        <f>A121&amp;"-"&amp;IF(DAY(Variables!$A$2)&lt;10,0,"")&amp;DAY(Variables!$A$2)</f>
        <v>-14</v>
      </c>
      <c r="C121" s="147"/>
      <c r="D121" s="165"/>
      <c r="E121" s="30"/>
      <c r="F121" s="21" t="e">
        <f>VLOOKUP(B121,'Trips&amp;Operators'!$C$2:$E$10000,3,FALSE)</f>
        <v>#N/A</v>
      </c>
      <c r="G121" s="21" t="e">
        <f>VLOOKUP(B121,'Trips&amp;Operators'!$C$1:$F$10000,4,FALSE)</f>
        <v>#N/A</v>
      </c>
      <c r="H121" s="29" t="e">
        <f>VLOOKUP(B121,'Trips&amp;Operators'!$C$1:$H$10000,5,FALSE)</f>
        <v>#N/A</v>
      </c>
      <c r="I121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1" s="30" t="e">
        <f>VLOOKUP(B121,'Train Runs'!$A$13:$A$99954,1,FALSE)</f>
        <v>#N/A</v>
      </c>
    </row>
    <row r="122" spans="1:10" x14ac:dyDescent="0.25">
      <c r="A122" s="186"/>
      <c r="B122" s="43" t="str">
        <f>A122&amp;"-"&amp;IF(DAY(Variables!$A$2)&lt;10,0,"")&amp;DAY(Variables!$A$2)</f>
        <v>-14</v>
      </c>
      <c r="C122" s="147"/>
      <c r="D122" s="165"/>
      <c r="E122" s="30"/>
      <c r="F122" s="21" t="e">
        <f>VLOOKUP(B122,'Trips&amp;Operators'!$C$2:$E$10000,3,FALSE)</f>
        <v>#N/A</v>
      </c>
      <c r="G122" s="21" t="e">
        <f>VLOOKUP(B122,'Trips&amp;Operators'!$C$1:$F$10000,4,FALSE)</f>
        <v>#N/A</v>
      </c>
      <c r="H122" s="29" t="e">
        <f>VLOOKUP(B122,'Trips&amp;Operators'!$C$1:$H$10000,5,FALSE)</f>
        <v>#N/A</v>
      </c>
      <c r="I122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2" s="30" t="e">
        <f>VLOOKUP(B122,'Train Runs'!$A$13:$A$99954,1,FALSE)</f>
        <v>#N/A</v>
      </c>
    </row>
    <row r="123" spans="1:10" x14ac:dyDescent="0.25">
      <c r="A123" s="186"/>
      <c r="B123" s="43" t="str">
        <f>A123&amp;"-"&amp;IF(DAY(Variables!$A$2)&lt;10,0,"")&amp;DAY(Variables!$A$2)</f>
        <v>-14</v>
      </c>
      <c r="C123" s="147"/>
      <c r="D123" s="165"/>
      <c r="E123" s="30"/>
      <c r="F123" s="21" t="e">
        <f>VLOOKUP(B123,'Trips&amp;Operators'!$C$2:$E$10000,3,FALSE)</f>
        <v>#N/A</v>
      </c>
      <c r="G123" s="21" t="e">
        <f>VLOOKUP(B123,'Trips&amp;Operators'!$C$1:$F$10000,4,FALSE)</f>
        <v>#N/A</v>
      </c>
      <c r="H123" s="29" t="e">
        <f>VLOOKUP(B123,'Trips&amp;Operators'!$C$1:$H$10000,5,FALSE)</f>
        <v>#N/A</v>
      </c>
      <c r="I123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3" s="30" t="e">
        <f>VLOOKUP(B123,'Train Runs'!$A$13:$A$99954,1,FALSE)</f>
        <v>#N/A</v>
      </c>
    </row>
    <row r="124" spans="1:10" x14ac:dyDescent="0.25">
      <c r="A124" s="186"/>
      <c r="B124" s="43" t="str">
        <f>A124&amp;"-"&amp;IF(DAY(Variables!$A$2)&lt;10,0,"")&amp;DAY(Variables!$A$2)</f>
        <v>-14</v>
      </c>
      <c r="C124" s="147"/>
      <c r="D124" s="165"/>
      <c r="E124" s="30"/>
      <c r="F124" s="21" t="e">
        <f>VLOOKUP(B124,'Trips&amp;Operators'!$C$2:$E$10000,3,FALSE)</f>
        <v>#N/A</v>
      </c>
      <c r="G124" s="21" t="e">
        <f>VLOOKUP(B124,'Trips&amp;Operators'!$C$1:$F$10000,4,FALSE)</f>
        <v>#N/A</v>
      </c>
      <c r="H124" s="29" t="e">
        <f>VLOOKUP(B124,'Trips&amp;Operators'!$C$1:$H$10000,5,FALSE)</f>
        <v>#N/A</v>
      </c>
      <c r="I124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4" s="30" t="e">
        <f>VLOOKUP(B124,'Train Runs'!$A$13:$A$99954,1,FALSE)</f>
        <v>#N/A</v>
      </c>
    </row>
    <row r="125" spans="1:10" x14ac:dyDescent="0.25">
      <c r="A125" s="186"/>
      <c r="B125" s="43" t="str">
        <f>A125&amp;"-"&amp;IF(DAY(Variables!$A$2)&lt;10,0,"")&amp;DAY(Variables!$A$2)</f>
        <v>-14</v>
      </c>
      <c r="C125" s="147"/>
      <c r="D125" s="165"/>
      <c r="E125" s="30"/>
      <c r="F125" s="21" t="e">
        <f>VLOOKUP(B125,'Trips&amp;Operators'!$C$2:$E$10000,3,FALSE)</f>
        <v>#N/A</v>
      </c>
      <c r="G125" s="21" t="e">
        <f>VLOOKUP(B125,'Trips&amp;Operators'!$C$1:$F$10000,4,FALSE)</f>
        <v>#N/A</v>
      </c>
      <c r="H125" s="29" t="e">
        <f>VLOOKUP(B125,'Trips&amp;Operators'!$C$1:$H$10000,5,FALSE)</f>
        <v>#N/A</v>
      </c>
      <c r="I125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5" s="30" t="e">
        <f>VLOOKUP(B125,'Train Runs'!$A$13:$A$99954,1,FALSE)</f>
        <v>#N/A</v>
      </c>
    </row>
    <row r="126" spans="1:10" x14ac:dyDescent="0.25">
      <c r="A126" s="186"/>
      <c r="B126" s="43" t="str">
        <f>A126&amp;"-"&amp;IF(DAY(Variables!$A$2)&lt;10,0,"")&amp;DAY(Variables!$A$2)</f>
        <v>-14</v>
      </c>
      <c r="C126" s="147"/>
      <c r="D126" s="165"/>
      <c r="E126" s="30"/>
      <c r="F126" s="21" t="e">
        <f>VLOOKUP(B126,'Trips&amp;Operators'!$C$2:$E$10000,3,FALSE)</f>
        <v>#N/A</v>
      </c>
      <c r="G126" s="21" t="e">
        <f>VLOOKUP(B126,'Trips&amp;Operators'!$C$1:$F$10000,4,FALSE)</f>
        <v>#N/A</v>
      </c>
      <c r="H126" s="29" t="e">
        <f>VLOOKUP(B126,'Trips&amp;Operators'!$C$1:$H$10000,5,FALSE)</f>
        <v>#N/A</v>
      </c>
      <c r="I126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6" s="30" t="e">
        <f>VLOOKUP(B126,'Train Runs'!$A$13:$A$99954,1,FALSE)</f>
        <v>#N/A</v>
      </c>
    </row>
    <row r="127" spans="1:10" x14ac:dyDescent="0.25">
      <c r="A127" s="186"/>
      <c r="B127" s="43" t="str">
        <f>A127&amp;"-"&amp;IF(DAY(Variables!$A$2)&lt;10,0,"")&amp;DAY(Variables!$A$2)</f>
        <v>-14</v>
      </c>
      <c r="C127" s="147"/>
      <c r="D127" s="165"/>
      <c r="E127" s="30"/>
      <c r="F127" s="21" t="e">
        <f>VLOOKUP(B127,'Trips&amp;Operators'!$C$2:$E$10000,3,FALSE)</f>
        <v>#N/A</v>
      </c>
      <c r="G127" s="21" t="e">
        <f>VLOOKUP(B127,'Trips&amp;Operators'!$C$1:$F$10000,4,FALSE)</f>
        <v>#N/A</v>
      </c>
      <c r="H127" s="29" t="e">
        <f>VLOOKUP(B127,'Trips&amp;Operators'!$C$1:$H$10000,5,FALSE)</f>
        <v>#N/A</v>
      </c>
      <c r="I127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7" s="30" t="e">
        <f>VLOOKUP(B127,'Train Runs'!$A$13:$A$99954,1,FALSE)</f>
        <v>#N/A</v>
      </c>
    </row>
    <row r="128" spans="1:10" x14ac:dyDescent="0.25">
      <c r="A128" s="186"/>
      <c r="B128" s="43" t="str">
        <f>A128&amp;"-"&amp;IF(DAY(Variables!$A$2)&lt;10,0,"")&amp;DAY(Variables!$A$2)</f>
        <v>-14</v>
      </c>
      <c r="C128" s="147"/>
      <c r="D128" s="165"/>
      <c r="E128" s="30"/>
      <c r="F128" s="21" t="e">
        <f>VLOOKUP(B128,'Trips&amp;Operators'!$C$2:$E$10000,3,FALSE)</f>
        <v>#N/A</v>
      </c>
      <c r="G128" s="21" t="e">
        <f>VLOOKUP(B128,'Trips&amp;Operators'!$C$1:$F$10000,4,FALSE)</f>
        <v>#N/A</v>
      </c>
      <c r="H128" s="29" t="e">
        <f>VLOOKUP(B128,'Trips&amp;Operators'!$C$1:$H$10000,5,FALSE)</f>
        <v>#N/A</v>
      </c>
      <c r="I128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8" s="30" t="e">
        <f>VLOOKUP(B128,'Train Runs'!$A$13:$A$99954,1,FALSE)</f>
        <v>#N/A</v>
      </c>
    </row>
    <row r="129" spans="1:10" x14ac:dyDescent="0.25">
      <c r="A129" s="186"/>
      <c r="B129" s="43" t="str">
        <f>A129&amp;"-"&amp;IF(DAY(Variables!$A$2)&lt;10,0,"")&amp;DAY(Variables!$A$2)</f>
        <v>-14</v>
      </c>
      <c r="C129" s="147"/>
      <c r="D129" s="165"/>
      <c r="E129" s="30"/>
      <c r="F129" s="21" t="e">
        <f>VLOOKUP(B129,'Trips&amp;Operators'!$C$2:$E$10000,3,FALSE)</f>
        <v>#N/A</v>
      </c>
      <c r="G129" s="21" t="e">
        <f>VLOOKUP(B129,'Trips&amp;Operators'!$C$1:$F$10000,4,FALSE)</f>
        <v>#N/A</v>
      </c>
      <c r="H129" s="29" t="e">
        <f>VLOOKUP(B129,'Trips&amp;Operators'!$C$1:$H$10000,5,FALSE)</f>
        <v>#N/A</v>
      </c>
      <c r="I129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9" s="30" t="e">
        <f>VLOOKUP(B129,'Train Runs'!$A$13:$A$99954,1,FALSE)</f>
        <v>#N/A</v>
      </c>
    </row>
    <row r="130" spans="1:10" x14ac:dyDescent="0.25">
      <c r="A130" s="186"/>
      <c r="B130" s="43" t="str">
        <f>A130&amp;"-"&amp;IF(DAY(Variables!$A$2)&lt;10,0,"")&amp;DAY(Variables!$A$2)</f>
        <v>-14</v>
      </c>
      <c r="C130" s="147"/>
      <c r="D130" s="165"/>
      <c r="E130" s="30"/>
      <c r="F130" s="21" t="e">
        <f>VLOOKUP(B130,'Trips&amp;Operators'!$C$2:$E$10000,3,FALSE)</f>
        <v>#N/A</v>
      </c>
      <c r="G130" s="21" t="e">
        <f>VLOOKUP(B130,'Trips&amp;Operators'!$C$1:$F$10000,4,FALSE)</f>
        <v>#N/A</v>
      </c>
      <c r="H130" s="29" t="e">
        <f>VLOOKUP(B130,'Trips&amp;Operators'!$C$1:$H$10000,5,FALSE)</f>
        <v>#N/A</v>
      </c>
      <c r="I130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0" s="30" t="e">
        <f>VLOOKUP(B130,'Train Runs'!$A$13:$A$99954,1,FALSE)</f>
        <v>#N/A</v>
      </c>
    </row>
    <row r="131" spans="1:10" x14ac:dyDescent="0.25">
      <c r="A131" s="186"/>
      <c r="B131" s="43" t="str">
        <f>A131&amp;"-"&amp;IF(DAY(Variables!$A$2)&lt;10,0,"")&amp;DAY(Variables!$A$2)</f>
        <v>-14</v>
      </c>
      <c r="C131" s="147"/>
      <c r="D131" s="165"/>
      <c r="E131" s="30"/>
      <c r="F131" s="21" t="e">
        <f>VLOOKUP(B131,'Trips&amp;Operators'!$C$2:$E$10000,3,FALSE)</f>
        <v>#N/A</v>
      </c>
      <c r="G131" s="21" t="e">
        <f>VLOOKUP(B131,'Trips&amp;Operators'!$C$1:$F$10000,4,FALSE)</f>
        <v>#N/A</v>
      </c>
      <c r="H131" s="29" t="e">
        <f>VLOOKUP(B131,'Trips&amp;Operators'!$C$1:$H$10000,5,FALSE)</f>
        <v>#N/A</v>
      </c>
      <c r="I131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1" s="30" t="e">
        <f>VLOOKUP(B131,'Train Runs'!$A$13:$A$99954,1,FALSE)</f>
        <v>#N/A</v>
      </c>
    </row>
    <row r="132" spans="1:10" x14ac:dyDescent="0.25">
      <c r="A132" s="186"/>
      <c r="B132" s="43" t="str">
        <f>A132&amp;"-"&amp;IF(DAY(Variables!$A$2)&lt;10,0,"")&amp;DAY(Variables!$A$2)</f>
        <v>-14</v>
      </c>
      <c r="C132" s="147"/>
      <c r="D132" s="165"/>
      <c r="E132" s="30"/>
      <c r="F132" s="21" t="e">
        <f>VLOOKUP(B132,'Trips&amp;Operators'!$C$2:$E$10000,3,FALSE)</f>
        <v>#N/A</v>
      </c>
      <c r="G132" s="21" t="e">
        <f>VLOOKUP(B132,'Trips&amp;Operators'!$C$1:$F$10000,4,FALSE)</f>
        <v>#N/A</v>
      </c>
      <c r="H132" s="29" t="e">
        <f>VLOOKUP(B132,'Trips&amp;Operators'!$C$1:$H$10000,5,FALSE)</f>
        <v>#N/A</v>
      </c>
      <c r="I132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2" s="30" t="e">
        <f>VLOOKUP(B132,'Train Runs'!$A$13:$A$99954,1,FALSE)</f>
        <v>#N/A</v>
      </c>
    </row>
    <row r="133" spans="1:10" x14ac:dyDescent="0.25">
      <c r="A133" s="186"/>
      <c r="B133" s="43" t="str">
        <f>A133&amp;"-"&amp;IF(DAY(Variables!$A$2)&lt;10,0,"")&amp;DAY(Variables!$A$2)</f>
        <v>-14</v>
      </c>
      <c r="C133" s="147"/>
      <c r="D133" s="165"/>
      <c r="E133" s="30"/>
      <c r="F133" s="21" t="e">
        <f>VLOOKUP(B133,'Trips&amp;Operators'!$C$2:$E$10000,3,FALSE)</f>
        <v>#N/A</v>
      </c>
      <c r="G133" s="21" t="e">
        <f>VLOOKUP(B133,'Trips&amp;Operators'!$C$1:$F$10000,4,FALSE)</f>
        <v>#N/A</v>
      </c>
      <c r="H133" s="29" t="e">
        <f>VLOOKUP(B133,'Trips&amp;Operators'!$C$1:$H$10000,5,FALSE)</f>
        <v>#N/A</v>
      </c>
      <c r="I133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3" s="30" t="e">
        <f>VLOOKUP(B133,'Train Runs'!$A$13:$A$99954,1,FALSE)</f>
        <v>#N/A</v>
      </c>
    </row>
    <row r="134" spans="1:10" x14ac:dyDescent="0.25">
      <c r="A134" s="186"/>
      <c r="B134" s="43" t="str">
        <f>A134&amp;"-"&amp;IF(DAY(Variables!$A$2)&lt;10,0,"")&amp;DAY(Variables!$A$2)</f>
        <v>-14</v>
      </c>
      <c r="C134" s="147"/>
      <c r="D134" s="165"/>
      <c r="E134" s="30"/>
      <c r="F134" s="21" t="e">
        <f>VLOOKUP(B134,'Trips&amp;Operators'!$C$2:$E$10000,3,FALSE)</f>
        <v>#N/A</v>
      </c>
      <c r="G134" s="21" t="e">
        <f>VLOOKUP(B134,'Trips&amp;Operators'!$C$1:$F$10000,4,FALSE)</f>
        <v>#N/A</v>
      </c>
      <c r="H134" s="29" t="e">
        <f>VLOOKUP(B134,'Trips&amp;Operators'!$C$1:$H$10000,5,FALSE)</f>
        <v>#N/A</v>
      </c>
      <c r="I134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4" s="30" t="e">
        <f>VLOOKUP(B134,'Train Runs'!$A$13:$A$99954,1,FALSE)</f>
        <v>#N/A</v>
      </c>
    </row>
    <row r="135" spans="1:10" x14ac:dyDescent="0.25">
      <c r="A135" s="186"/>
      <c r="B135" s="43" t="str">
        <f>A135&amp;"-"&amp;IF(DAY(Variables!$A$2)&lt;10,0,"")&amp;DAY(Variables!$A$2)</f>
        <v>-14</v>
      </c>
      <c r="C135" s="147"/>
      <c r="D135" s="165"/>
      <c r="E135" s="30"/>
      <c r="F135" s="21" t="e">
        <f>VLOOKUP(B135,'Trips&amp;Operators'!$C$2:$E$10000,3,FALSE)</f>
        <v>#N/A</v>
      </c>
      <c r="G135" s="21" t="e">
        <f>VLOOKUP(B135,'Trips&amp;Operators'!$C$1:$F$10000,4,FALSE)</f>
        <v>#N/A</v>
      </c>
      <c r="H135" s="29" t="e">
        <f>VLOOKUP(B135,'Trips&amp;Operators'!$C$1:$H$10000,5,FALSE)</f>
        <v>#N/A</v>
      </c>
      <c r="I135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5" s="30" t="e">
        <f>VLOOKUP(B135,'Train Runs'!$A$13:$A$99954,1,FALSE)</f>
        <v>#N/A</v>
      </c>
    </row>
    <row r="136" spans="1:10" x14ac:dyDescent="0.25">
      <c r="A136" s="186"/>
      <c r="B136" s="43" t="str">
        <f>A136&amp;"-"&amp;IF(DAY(Variables!$A$2)&lt;10,0,"")&amp;DAY(Variables!$A$2)</f>
        <v>-14</v>
      </c>
      <c r="C136" s="147"/>
      <c r="D136" s="165"/>
      <c r="E136" s="30"/>
      <c r="F136" s="21" t="e">
        <f>VLOOKUP(B136,'Trips&amp;Operators'!$C$2:$E$10000,3,FALSE)</f>
        <v>#N/A</v>
      </c>
      <c r="G136" s="21" t="e">
        <f>VLOOKUP(B136,'Trips&amp;Operators'!$C$1:$F$10000,4,FALSE)</f>
        <v>#N/A</v>
      </c>
      <c r="H136" s="29" t="e">
        <f>VLOOKUP(B136,'Trips&amp;Operators'!$C$1:$H$10000,5,FALSE)</f>
        <v>#N/A</v>
      </c>
      <c r="I136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6" s="30" t="e">
        <f>VLOOKUP(B136,'Train Runs'!$A$13:$A$99954,1,FALSE)</f>
        <v>#N/A</v>
      </c>
    </row>
    <row r="137" spans="1:10" x14ac:dyDescent="0.25">
      <c r="A137" s="186"/>
      <c r="B137" s="43" t="str">
        <f>A137&amp;"-"&amp;IF(DAY(Variables!$A$2)&lt;10,0,"")&amp;DAY(Variables!$A$2)</f>
        <v>-14</v>
      </c>
      <c r="C137" s="147"/>
      <c r="D137" s="165"/>
      <c r="E137" s="30"/>
      <c r="F137" s="21" t="e">
        <f>VLOOKUP(B137,'Trips&amp;Operators'!$C$2:$E$10000,3,FALSE)</f>
        <v>#N/A</v>
      </c>
      <c r="G137" s="21" t="e">
        <f>VLOOKUP(B137,'Trips&amp;Operators'!$C$1:$F$10000,4,FALSE)</f>
        <v>#N/A</v>
      </c>
      <c r="H137" s="29" t="e">
        <f>VLOOKUP(B137,'Trips&amp;Operators'!$C$1:$H$10000,5,FALSE)</f>
        <v>#N/A</v>
      </c>
      <c r="I137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7" s="30" t="e">
        <f>VLOOKUP(B137,'Train Runs'!$A$13:$A$99954,1,FALSE)</f>
        <v>#N/A</v>
      </c>
    </row>
    <row r="138" spans="1:10" x14ac:dyDescent="0.25">
      <c r="A138" s="186"/>
      <c r="B138" s="43" t="str">
        <f>A138&amp;"-"&amp;IF(DAY(Variables!$A$2)&lt;10,0,"")&amp;DAY(Variables!$A$2)</f>
        <v>-14</v>
      </c>
      <c r="C138" s="147"/>
      <c r="D138" s="165"/>
      <c r="E138" s="30"/>
      <c r="F138" s="21" t="e">
        <f>VLOOKUP(B138,'Trips&amp;Operators'!$C$2:$E$10000,3,FALSE)</f>
        <v>#N/A</v>
      </c>
      <c r="G138" s="21" t="e">
        <f>VLOOKUP(B138,'Trips&amp;Operators'!$C$1:$F$10000,4,FALSE)</f>
        <v>#N/A</v>
      </c>
      <c r="H138" s="29" t="e">
        <f>VLOOKUP(B138,'Trips&amp;Operators'!$C$1:$H$10000,5,FALSE)</f>
        <v>#N/A</v>
      </c>
      <c r="I138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8" s="30" t="e">
        <f>VLOOKUP(B138,'Train Runs'!$A$13:$A$99954,1,FALSE)</f>
        <v>#N/A</v>
      </c>
    </row>
    <row r="139" spans="1:10" x14ac:dyDescent="0.25">
      <c r="A139" s="186"/>
      <c r="B139" s="43" t="str">
        <f>A139&amp;"-"&amp;IF(DAY(Variables!$A$2)&lt;10,0,"")&amp;DAY(Variables!$A$2)</f>
        <v>-14</v>
      </c>
      <c r="C139" s="147"/>
      <c r="D139" s="165"/>
      <c r="E139" s="30"/>
      <c r="F139" s="21" t="e">
        <f>VLOOKUP(B139,'Trips&amp;Operators'!$C$2:$E$10000,3,FALSE)</f>
        <v>#N/A</v>
      </c>
      <c r="G139" s="21" t="e">
        <f>VLOOKUP(B139,'Trips&amp;Operators'!$C$1:$F$10000,4,FALSE)</f>
        <v>#N/A</v>
      </c>
      <c r="H139" s="29" t="e">
        <f>VLOOKUP(B139,'Trips&amp;Operators'!$C$1:$H$10000,5,FALSE)</f>
        <v>#N/A</v>
      </c>
      <c r="I139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9" s="30" t="e">
        <f>VLOOKUP(B139,'Train Runs'!$A$13:$A$99954,1,FALSE)</f>
        <v>#N/A</v>
      </c>
    </row>
    <row r="140" spans="1:10" x14ac:dyDescent="0.25">
      <c r="A140" s="186"/>
      <c r="B140" s="43" t="str">
        <f>A140&amp;"-"&amp;IF(DAY(Variables!$A$2)&lt;10,0,"")&amp;DAY(Variables!$A$2)</f>
        <v>-14</v>
      </c>
      <c r="C140" s="147"/>
      <c r="D140" s="165"/>
      <c r="E140" s="30"/>
      <c r="F140" s="21" t="e">
        <f>VLOOKUP(B140,'Trips&amp;Operators'!$C$2:$E$10000,3,FALSE)</f>
        <v>#N/A</v>
      </c>
      <c r="G140" s="21" t="e">
        <f>VLOOKUP(B140,'Trips&amp;Operators'!$C$1:$F$10000,4,FALSE)</f>
        <v>#N/A</v>
      </c>
      <c r="H140" s="29" t="e">
        <f>VLOOKUP(B140,'Trips&amp;Operators'!$C$1:$H$10000,5,FALSE)</f>
        <v>#N/A</v>
      </c>
      <c r="I140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0" s="30" t="e">
        <f>VLOOKUP(B140,'Train Runs'!$A$13:$A$99954,1,FALSE)</f>
        <v>#N/A</v>
      </c>
    </row>
    <row r="141" spans="1:10" x14ac:dyDescent="0.25">
      <c r="A141" s="186"/>
      <c r="B141" s="43" t="str">
        <f>A141&amp;"-"&amp;IF(DAY(Variables!$A$2)&lt;10,0,"")&amp;DAY(Variables!$A$2)</f>
        <v>-14</v>
      </c>
      <c r="C141" s="147"/>
      <c r="D141" s="165"/>
      <c r="E141" s="30"/>
      <c r="F141" s="21" t="e">
        <f>VLOOKUP(B141,'Trips&amp;Operators'!$C$2:$E$10000,3,FALSE)</f>
        <v>#N/A</v>
      </c>
      <c r="G141" s="21" t="e">
        <f>VLOOKUP(B141,'Trips&amp;Operators'!$C$1:$F$10000,4,FALSE)</f>
        <v>#N/A</v>
      </c>
      <c r="H141" s="29" t="e">
        <f>VLOOKUP(B141,'Trips&amp;Operators'!$C$1:$H$10000,5,FALSE)</f>
        <v>#N/A</v>
      </c>
      <c r="I141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1" s="30" t="e">
        <f>VLOOKUP(B141,'Train Runs'!$A$13:$A$99954,1,FALSE)</f>
        <v>#N/A</v>
      </c>
    </row>
    <row r="142" spans="1:10" x14ac:dyDescent="0.25">
      <c r="A142" s="186"/>
      <c r="B142" s="43" t="str">
        <f>A142&amp;"-"&amp;IF(DAY(Variables!$A$2)&lt;10,0,"")&amp;DAY(Variables!$A$2)</f>
        <v>-14</v>
      </c>
      <c r="C142" s="147"/>
      <c r="D142" s="165"/>
      <c r="E142" s="30"/>
      <c r="F142" s="21" t="e">
        <f>VLOOKUP(B142,'Trips&amp;Operators'!$C$2:$E$10000,3,FALSE)</f>
        <v>#N/A</v>
      </c>
      <c r="G142" s="21" t="e">
        <f>VLOOKUP(B142,'Trips&amp;Operators'!$C$1:$F$10000,4,FALSE)</f>
        <v>#N/A</v>
      </c>
      <c r="H142" s="29" t="e">
        <f>VLOOKUP(B142,'Trips&amp;Operators'!$C$1:$H$10000,5,FALSE)</f>
        <v>#N/A</v>
      </c>
      <c r="I142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2" s="30" t="e">
        <f>VLOOKUP(B142,'Train Runs'!$A$13:$A$99954,1,FALSE)</f>
        <v>#N/A</v>
      </c>
    </row>
    <row r="143" spans="1:10" x14ac:dyDescent="0.25">
      <c r="A143" s="186"/>
      <c r="B143" s="43" t="str">
        <f>A143&amp;"-"&amp;IF(DAY(Variables!$A$2)&lt;10,0,"")&amp;DAY(Variables!$A$2)</f>
        <v>-14</v>
      </c>
      <c r="C143" s="147"/>
      <c r="D143" s="165"/>
      <c r="E143" s="30"/>
      <c r="F143" s="21" t="e">
        <f>VLOOKUP(B143,'Trips&amp;Operators'!$C$2:$E$10000,3,FALSE)</f>
        <v>#N/A</v>
      </c>
      <c r="G143" s="21" t="e">
        <f>VLOOKUP(B143,'Trips&amp;Operators'!$C$1:$F$10000,4,FALSE)</f>
        <v>#N/A</v>
      </c>
      <c r="H143" s="29" t="e">
        <f>VLOOKUP(B143,'Trips&amp;Operators'!$C$1:$H$10000,5,FALSE)</f>
        <v>#N/A</v>
      </c>
      <c r="I143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3" s="30" t="e">
        <f>VLOOKUP(B143,'Train Runs'!$A$13:$A$99954,1,FALSE)</f>
        <v>#N/A</v>
      </c>
    </row>
    <row r="144" spans="1:10" x14ac:dyDescent="0.25">
      <c r="A144" s="186"/>
      <c r="B144" s="43" t="str">
        <f>A144&amp;"-"&amp;IF(DAY(Variables!$A$2)&lt;10,0,"")&amp;DAY(Variables!$A$2)</f>
        <v>-14</v>
      </c>
      <c r="C144" s="147"/>
      <c r="D144" s="165"/>
      <c r="E144" s="30"/>
      <c r="F144" s="21" t="e">
        <f>VLOOKUP(B144,'Trips&amp;Operators'!$C$2:$E$10000,3,FALSE)</f>
        <v>#N/A</v>
      </c>
      <c r="G144" s="21" t="e">
        <f>VLOOKUP(B144,'Trips&amp;Operators'!$C$1:$F$10000,4,FALSE)</f>
        <v>#N/A</v>
      </c>
      <c r="H144" s="29" t="e">
        <f>VLOOKUP(B144,'Trips&amp;Operators'!$C$1:$H$10000,5,FALSE)</f>
        <v>#N/A</v>
      </c>
      <c r="I144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4" s="30" t="e">
        <f>VLOOKUP(B144,'Train Runs'!$A$13:$A$99954,1,FALSE)</f>
        <v>#N/A</v>
      </c>
    </row>
    <row r="145" spans="1:10" x14ac:dyDescent="0.25">
      <c r="A145" s="186"/>
      <c r="B145" s="43" t="str">
        <f>A145&amp;"-"&amp;IF(DAY(Variables!$A$2)&lt;10,0,"")&amp;DAY(Variables!$A$2)</f>
        <v>-14</v>
      </c>
      <c r="C145" s="147"/>
      <c r="D145" s="165"/>
      <c r="E145" s="30"/>
      <c r="F145" s="21" t="e">
        <f>VLOOKUP(B145,'Trips&amp;Operators'!$C$2:$E$10000,3,FALSE)</f>
        <v>#N/A</v>
      </c>
      <c r="G145" s="21" t="e">
        <f>VLOOKUP(B145,'Trips&amp;Operators'!$C$1:$F$10000,4,FALSE)</f>
        <v>#N/A</v>
      </c>
      <c r="H145" s="29" t="e">
        <f>VLOOKUP(B145,'Trips&amp;Operators'!$C$1:$H$10000,5,FALSE)</f>
        <v>#N/A</v>
      </c>
      <c r="I145" s="46" t="str">
        <f t="shared" si="4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5" s="30" t="e">
        <f>VLOOKUP(B145,'Train Runs'!$A$13:$A$99954,1,FALSE)</f>
        <v>#N/A</v>
      </c>
    </row>
    <row r="146" spans="1:10" x14ac:dyDescent="0.25">
      <c r="A146" s="186"/>
    </row>
    <row r="147" spans="1:10" x14ac:dyDescent="0.25">
      <c r="A147" s="186"/>
    </row>
    <row r="148" spans="1:10" x14ac:dyDescent="0.25">
      <c r="A148" s="186"/>
    </row>
    <row r="149" spans="1:10" x14ac:dyDescent="0.25">
      <c r="A149" s="186"/>
    </row>
    <row r="150" spans="1:10" x14ac:dyDescent="0.25">
      <c r="A150" s="186"/>
    </row>
    <row r="151" spans="1:10" x14ac:dyDescent="0.25">
      <c r="A151" s="186"/>
    </row>
    <row r="152" spans="1:10" x14ac:dyDescent="0.25">
      <c r="A152" s="186"/>
    </row>
    <row r="153" spans="1:10" x14ac:dyDescent="0.25">
      <c r="A153" s="186"/>
    </row>
  </sheetData>
  <autoFilter ref="A2:J145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1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202</v>
      </c>
      <c r="G1" s="8" t="s">
        <v>201</v>
      </c>
    </row>
    <row r="2" spans="1:7" x14ac:dyDescent="0.25">
      <c r="A2" s="8">
        <v>42780.038495370369</v>
      </c>
      <c r="B2" s="20" t="s">
        <v>216</v>
      </c>
      <c r="C2" s="20" t="s">
        <v>423</v>
      </c>
      <c r="D2" s="150">
        <v>2000000</v>
      </c>
      <c r="E2" s="20" t="s">
        <v>251</v>
      </c>
      <c r="F2" s="20" t="s">
        <v>200</v>
      </c>
      <c r="G2" s="8" t="str">
        <f>E2&amp;" "&amp;F2</f>
        <v>STAMBAUGH JAMES</v>
      </c>
    </row>
    <row r="3" spans="1:7" x14ac:dyDescent="0.25">
      <c r="A3" s="8">
        <v>42780.048518518517</v>
      </c>
      <c r="B3" s="20" t="s">
        <v>191</v>
      </c>
      <c r="C3" s="20" t="s">
        <v>449</v>
      </c>
      <c r="D3" s="150">
        <v>2230000</v>
      </c>
      <c r="E3" s="20" t="s">
        <v>388</v>
      </c>
      <c r="F3" s="20" t="s">
        <v>203</v>
      </c>
      <c r="G3" s="8" t="str">
        <f t="shared" ref="G3:G66" si="0">E3&amp;" "&amp;F3</f>
        <v>SMITH MICHAEL</v>
      </c>
    </row>
    <row r="4" spans="1:7" x14ac:dyDescent="0.25">
      <c r="A4" s="8">
        <v>42780.051655092589</v>
      </c>
      <c r="B4" s="20" t="s">
        <v>223</v>
      </c>
      <c r="C4" s="20" t="s">
        <v>450</v>
      </c>
      <c r="D4" s="150">
        <v>1740000</v>
      </c>
      <c r="E4" s="20" t="s">
        <v>229</v>
      </c>
      <c r="F4" s="20" t="s">
        <v>230</v>
      </c>
      <c r="G4" s="8" t="str">
        <f t="shared" si="0"/>
        <v>STORY SAMANTHA</v>
      </c>
    </row>
    <row r="5" spans="1:7" x14ac:dyDescent="0.25">
      <c r="A5" s="8">
        <v>42780.070567129631</v>
      </c>
      <c r="B5" s="20" t="s">
        <v>234</v>
      </c>
      <c r="C5" s="20" t="s">
        <v>451</v>
      </c>
      <c r="D5" s="150">
        <v>2000000</v>
      </c>
      <c r="E5" s="20" t="s">
        <v>251</v>
      </c>
      <c r="F5" s="20" t="s">
        <v>200</v>
      </c>
      <c r="G5" s="8" t="str">
        <f t="shared" si="0"/>
        <v>STAMBAUGH JAMES</v>
      </c>
    </row>
    <row r="6" spans="1:7" x14ac:dyDescent="0.25">
      <c r="A6" s="8">
        <v>42780.089895833335</v>
      </c>
      <c r="B6" s="20" t="s">
        <v>224</v>
      </c>
      <c r="C6" s="20" t="s">
        <v>452</v>
      </c>
      <c r="D6" s="150">
        <v>1740000</v>
      </c>
      <c r="E6" s="20" t="s">
        <v>229</v>
      </c>
      <c r="F6" s="20" t="s">
        <v>230</v>
      </c>
      <c r="G6" s="8" t="str">
        <f t="shared" si="0"/>
        <v>STORY SAMANTHA</v>
      </c>
    </row>
    <row r="7" spans="1:7" x14ac:dyDescent="0.25">
      <c r="A7" s="8">
        <v>42780.122407407405</v>
      </c>
      <c r="B7" s="20" t="s">
        <v>378</v>
      </c>
      <c r="C7" s="20" t="s">
        <v>497</v>
      </c>
      <c r="D7" s="150">
        <v>2110000</v>
      </c>
      <c r="E7" s="20" t="s">
        <v>424</v>
      </c>
      <c r="F7" s="20" t="s">
        <v>425</v>
      </c>
      <c r="G7" s="8" t="str">
        <f t="shared" si="0"/>
        <v>OUN ZACK</v>
      </c>
    </row>
    <row r="8" spans="1:7" x14ac:dyDescent="0.25">
      <c r="A8" s="8">
        <v>42780.132245370369</v>
      </c>
      <c r="B8" s="20" t="s">
        <v>195</v>
      </c>
      <c r="C8" s="20" t="s">
        <v>498</v>
      </c>
      <c r="D8" s="150">
        <v>2110000</v>
      </c>
      <c r="E8" s="20" t="s">
        <v>424</v>
      </c>
      <c r="F8" s="20" t="s">
        <v>425</v>
      </c>
      <c r="G8" s="8" t="str">
        <f t="shared" si="0"/>
        <v>OUN ZACK</v>
      </c>
    </row>
    <row r="9" spans="1:7" ht="15.75" thickBot="1" x14ac:dyDescent="0.3">
      <c r="A9" s="24">
        <v>42780.142372685186</v>
      </c>
      <c r="B9" s="20" t="s">
        <v>300</v>
      </c>
      <c r="C9" s="20" t="s">
        <v>499</v>
      </c>
      <c r="D9" s="150">
        <v>2010000</v>
      </c>
      <c r="E9" s="20" t="s">
        <v>402</v>
      </c>
      <c r="F9" s="20" t="s">
        <v>403</v>
      </c>
      <c r="G9" s="8" t="str">
        <f t="shared" si="0"/>
        <v>MAELZER KURT</v>
      </c>
    </row>
    <row r="10" spans="1:7" x14ac:dyDescent="0.25">
      <c r="A10" s="8">
        <v>42780.15284722222</v>
      </c>
      <c r="B10" s="20" t="s">
        <v>228</v>
      </c>
      <c r="C10" s="20" t="s">
        <v>500</v>
      </c>
      <c r="D10" s="150">
        <v>2010000</v>
      </c>
      <c r="E10" s="20" t="s">
        <v>402</v>
      </c>
      <c r="F10" s="20" t="s">
        <v>403</v>
      </c>
      <c r="G10" s="8" t="str">
        <f t="shared" si="0"/>
        <v>MAELZER KURT</v>
      </c>
    </row>
    <row r="11" spans="1:7" x14ac:dyDescent="0.25">
      <c r="A11" s="8">
        <v>42780.1641087963</v>
      </c>
      <c r="B11" s="20" t="s">
        <v>377</v>
      </c>
      <c r="C11" s="20" t="s">
        <v>474</v>
      </c>
      <c r="D11" s="150">
        <v>1110000</v>
      </c>
      <c r="E11" s="20" t="s">
        <v>426</v>
      </c>
      <c r="F11" s="20" t="s">
        <v>427</v>
      </c>
      <c r="G11" s="8" t="str">
        <f t="shared" si="0"/>
        <v>STARKS ANGELINA</v>
      </c>
    </row>
    <row r="12" spans="1:7" x14ac:dyDescent="0.25">
      <c r="A12" s="8">
        <v>42780.180995370371</v>
      </c>
      <c r="B12" s="20" t="s">
        <v>303</v>
      </c>
      <c r="C12" s="20" t="s">
        <v>501</v>
      </c>
      <c r="D12" s="150">
        <v>1110000</v>
      </c>
      <c r="E12" s="20" t="s">
        <v>426</v>
      </c>
      <c r="F12" s="20" t="s">
        <v>427</v>
      </c>
      <c r="G12" s="8" t="str">
        <f t="shared" si="0"/>
        <v>STARKS ANGELINA</v>
      </c>
    </row>
    <row r="13" spans="1:7" x14ac:dyDescent="0.25">
      <c r="A13" s="8">
        <v>42780.18546296296</v>
      </c>
      <c r="B13" s="20" t="s">
        <v>301</v>
      </c>
      <c r="C13" s="20" t="s">
        <v>502</v>
      </c>
      <c r="D13" s="150">
        <v>940000</v>
      </c>
      <c r="E13" s="20" t="s">
        <v>428</v>
      </c>
      <c r="F13" s="20" t="s">
        <v>429</v>
      </c>
      <c r="G13" s="8" t="str">
        <f t="shared" si="0"/>
        <v>BONDS REYNALDO</v>
      </c>
    </row>
    <row r="14" spans="1:7" x14ac:dyDescent="0.25">
      <c r="A14" s="8">
        <v>42780.187708333331</v>
      </c>
      <c r="B14" s="20" t="s">
        <v>250</v>
      </c>
      <c r="C14" s="20" t="s">
        <v>503</v>
      </c>
      <c r="D14" s="150">
        <v>1340000</v>
      </c>
      <c r="E14" s="20" t="s">
        <v>504</v>
      </c>
      <c r="F14" s="20" t="s">
        <v>505</v>
      </c>
      <c r="G14" s="8" t="str">
        <f t="shared" si="0"/>
        <v>BEAM ROSS</v>
      </c>
    </row>
    <row r="15" spans="1:7" x14ac:dyDescent="0.25">
      <c r="A15" s="8">
        <v>42780.194039351853</v>
      </c>
      <c r="B15" s="20" t="s">
        <v>430</v>
      </c>
      <c r="C15" s="20" t="s">
        <v>506</v>
      </c>
      <c r="D15" s="150">
        <v>940000</v>
      </c>
      <c r="E15" s="20" t="s">
        <v>428</v>
      </c>
      <c r="F15" s="20" t="s">
        <v>429</v>
      </c>
      <c r="G15" s="8" t="str">
        <f t="shared" si="0"/>
        <v>BONDS REYNALDO</v>
      </c>
    </row>
    <row r="16" spans="1:7" x14ac:dyDescent="0.25">
      <c r="A16" s="8">
        <v>42780.204143518517</v>
      </c>
      <c r="B16" s="20" t="s">
        <v>279</v>
      </c>
      <c r="C16" s="20" t="s">
        <v>507</v>
      </c>
      <c r="D16" s="150">
        <v>1830000</v>
      </c>
      <c r="E16" s="20" t="s">
        <v>385</v>
      </c>
      <c r="F16" s="20" t="s">
        <v>386</v>
      </c>
      <c r="G16" s="8" t="str">
        <f t="shared" si="0"/>
        <v>YORK EDGAR</v>
      </c>
    </row>
    <row r="17" spans="1:7" x14ac:dyDescent="0.25">
      <c r="A17" s="8">
        <v>42780.211562500001</v>
      </c>
      <c r="B17" s="20" t="s">
        <v>227</v>
      </c>
      <c r="C17" s="20" t="s">
        <v>508</v>
      </c>
      <c r="D17" s="150">
        <v>1830000</v>
      </c>
      <c r="E17" s="20" t="s">
        <v>385</v>
      </c>
      <c r="F17" s="20" t="s">
        <v>386</v>
      </c>
      <c r="G17" s="8" t="str">
        <f t="shared" si="0"/>
        <v>YORK EDGAR</v>
      </c>
    </row>
    <row r="18" spans="1:7" x14ac:dyDescent="0.25">
      <c r="A18" s="8">
        <v>42780.21297453704</v>
      </c>
      <c r="B18" s="20" t="s">
        <v>300</v>
      </c>
      <c r="C18" s="20" t="s">
        <v>509</v>
      </c>
      <c r="D18" s="150">
        <v>2010000</v>
      </c>
      <c r="E18" s="20" t="s">
        <v>402</v>
      </c>
      <c r="F18" s="20" t="s">
        <v>403</v>
      </c>
      <c r="G18" s="8" t="str">
        <f t="shared" si="0"/>
        <v>MAELZER KURT</v>
      </c>
    </row>
    <row r="19" spans="1:7" x14ac:dyDescent="0.25">
      <c r="A19" s="8">
        <v>42780.216782407406</v>
      </c>
      <c r="B19" s="20" t="s">
        <v>377</v>
      </c>
      <c r="C19" s="20" t="s">
        <v>475</v>
      </c>
      <c r="D19" s="150">
        <v>1110000</v>
      </c>
      <c r="E19" s="20" t="s">
        <v>426</v>
      </c>
      <c r="F19" s="20" t="s">
        <v>427</v>
      </c>
      <c r="G19" s="8" t="str">
        <f t="shared" si="0"/>
        <v>STARKS ANGELINA</v>
      </c>
    </row>
    <row r="20" spans="1:7" x14ac:dyDescent="0.25">
      <c r="A20" s="8">
        <v>42780.24322916667</v>
      </c>
      <c r="B20" s="20" t="s">
        <v>279</v>
      </c>
      <c r="C20" s="20" t="s">
        <v>510</v>
      </c>
      <c r="D20" s="150">
        <v>1830000</v>
      </c>
      <c r="E20" s="20" t="s">
        <v>385</v>
      </c>
      <c r="F20" s="20" t="s">
        <v>386</v>
      </c>
      <c r="G20" s="8" t="str">
        <f t="shared" si="0"/>
        <v>YORK EDGAR</v>
      </c>
    </row>
    <row r="21" spans="1:7" x14ac:dyDescent="0.25">
      <c r="A21" s="8">
        <v>42780.243738425925</v>
      </c>
      <c r="B21" s="20" t="s">
        <v>377</v>
      </c>
      <c r="C21" s="20" t="s">
        <v>475</v>
      </c>
      <c r="D21" s="150">
        <v>1110000</v>
      </c>
      <c r="E21" s="20" t="s">
        <v>426</v>
      </c>
      <c r="F21" s="20" t="s">
        <v>427</v>
      </c>
      <c r="G21" s="8" t="str">
        <f t="shared" si="0"/>
        <v>STARKS ANGELINA</v>
      </c>
    </row>
    <row r="22" spans="1:7" x14ac:dyDescent="0.25">
      <c r="A22" s="26">
        <v>42780.245706018519</v>
      </c>
      <c r="B22" s="20" t="s">
        <v>259</v>
      </c>
      <c r="C22" s="20" t="s">
        <v>511</v>
      </c>
      <c r="D22" s="150">
        <v>2270000</v>
      </c>
      <c r="E22" s="20" t="s">
        <v>232</v>
      </c>
      <c r="F22" s="20" t="s">
        <v>233</v>
      </c>
      <c r="G22" s="8" t="str">
        <f t="shared" si="0"/>
        <v>BROWN JACOB</v>
      </c>
    </row>
    <row r="23" spans="1:7" x14ac:dyDescent="0.25">
      <c r="A23" s="8">
        <v>42780.248043981483</v>
      </c>
      <c r="B23" s="20" t="s">
        <v>301</v>
      </c>
      <c r="C23" s="20" t="s">
        <v>512</v>
      </c>
      <c r="D23" s="150">
        <v>940000</v>
      </c>
      <c r="E23" s="20" t="s">
        <v>428</v>
      </c>
      <c r="F23" s="20" t="s">
        <v>429</v>
      </c>
      <c r="G23" s="8" t="str">
        <f t="shared" si="0"/>
        <v>BONDS REYNALDO</v>
      </c>
    </row>
    <row r="24" spans="1:7" x14ac:dyDescent="0.25">
      <c r="A24" s="8">
        <v>42780.250833333332</v>
      </c>
      <c r="B24" s="20" t="s">
        <v>228</v>
      </c>
      <c r="C24" s="20" t="s">
        <v>513</v>
      </c>
      <c r="D24" s="150">
        <v>2010000</v>
      </c>
      <c r="E24" s="20" t="s">
        <v>402</v>
      </c>
      <c r="F24" s="20" t="s">
        <v>403</v>
      </c>
      <c r="G24" s="8" t="str">
        <f t="shared" si="0"/>
        <v>MAELZER KURT</v>
      </c>
    </row>
    <row r="25" spans="1:7" x14ac:dyDescent="0.25">
      <c r="A25" s="8">
        <v>42780.254131944443</v>
      </c>
      <c r="B25" s="20" t="s">
        <v>227</v>
      </c>
      <c r="C25" s="20" t="s">
        <v>514</v>
      </c>
      <c r="D25" s="150">
        <v>1830000</v>
      </c>
      <c r="E25" s="20" t="s">
        <v>385</v>
      </c>
      <c r="F25" s="20" t="s">
        <v>386</v>
      </c>
      <c r="G25" s="8" t="str">
        <f t="shared" si="0"/>
        <v>YORK EDGAR</v>
      </c>
    </row>
    <row r="26" spans="1:7" x14ac:dyDescent="0.25">
      <c r="A26" s="8">
        <v>42780.258900462963</v>
      </c>
      <c r="B26" s="20" t="s">
        <v>301</v>
      </c>
      <c r="C26" s="20" t="s">
        <v>512</v>
      </c>
      <c r="D26" s="150">
        <v>940000</v>
      </c>
      <c r="E26" s="20" t="s">
        <v>428</v>
      </c>
      <c r="F26" s="20" t="s">
        <v>429</v>
      </c>
      <c r="G26" s="8" t="str">
        <f t="shared" si="0"/>
        <v>BONDS REYNALDO</v>
      </c>
    </row>
    <row r="27" spans="1:7" x14ac:dyDescent="0.25">
      <c r="A27" s="8">
        <v>42780.261412037034</v>
      </c>
      <c r="B27" s="20" t="s">
        <v>303</v>
      </c>
      <c r="C27" s="20" t="s">
        <v>515</v>
      </c>
      <c r="D27" s="150">
        <v>1110000</v>
      </c>
      <c r="E27" s="20" t="s">
        <v>426</v>
      </c>
      <c r="F27" s="20" t="s">
        <v>427</v>
      </c>
      <c r="G27" s="8" t="str">
        <f t="shared" si="0"/>
        <v>STARKS ANGELINA</v>
      </c>
    </row>
    <row r="28" spans="1:7" x14ac:dyDescent="0.25">
      <c r="A28" s="8">
        <v>42780.262465277781</v>
      </c>
      <c r="B28" s="20" t="s">
        <v>258</v>
      </c>
      <c r="C28" s="20" t="s">
        <v>516</v>
      </c>
      <c r="D28" s="150">
        <v>2270000</v>
      </c>
      <c r="E28" s="20" t="s">
        <v>232</v>
      </c>
      <c r="F28" s="20" t="s">
        <v>233</v>
      </c>
      <c r="G28" s="8" t="str">
        <f t="shared" si="0"/>
        <v>BROWN JACOB</v>
      </c>
    </row>
    <row r="29" spans="1:7" x14ac:dyDescent="0.25">
      <c r="A29" s="8">
        <v>42780.269502314812</v>
      </c>
      <c r="B29" s="20" t="s">
        <v>279</v>
      </c>
      <c r="C29" s="20" t="s">
        <v>517</v>
      </c>
      <c r="D29" s="150">
        <v>1830000</v>
      </c>
      <c r="E29" s="20" t="s">
        <v>385</v>
      </c>
      <c r="F29" s="20" t="s">
        <v>386</v>
      </c>
      <c r="G29" s="8" t="str">
        <f t="shared" si="0"/>
        <v>YORK EDGAR</v>
      </c>
    </row>
    <row r="30" spans="1:7" x14ac:dyDescent="0.25">
      <c r="A30" s="8">
        <v>42780.275729166664</v>
      </c>
      <c r="B30" s="20" t="s">
        <v>259</v>
      </c>
      <c r="C30" s="20" t="s">
        <v>518</v>
      </c>
      <c r="D30" s="150">
        <v>2270000</v>
      </c>
      <c r="E30" s="20" t="s">
        <v>232</v>
      </c>
      <c r="F30" s="20" t="s">
        <v>233</v>
      </c>
      <c r="G30" s="8" t="str">
        <f t="shared" si="0"/>
        <v>BROWN JACOB</v>
      </c>
    </row>
    <row r="31" spans="1:7" x14ac:dyDescent="0.25">
      <c r="A31" s="8">
        <v>42780.278437499997</v>
      </c>
      <c r="B31" s="20" t="s">
        <v>430</v>
      </c>
      <c r="C31" s="20" t="s">
        <v>519</v>
      </c>
      <c r="D31" s="150">
        <v>940000</v>
      </c>
      <c r="E31" s="20" t="s">
        <v>428</v>
      </c>
      <c r="F31" s="20" t="s">
        <v>429</v>
      </c>
      <c r="G31" s="8" t="str">
        <f t="shared" si="0"/>
        <v>BONDS REYNALDO</v>
      </c>
    </row>
    <row r="32" spans="1:7" x14ac:dyDescent="0.25">
      <c r="A32" s="8">
        <v>42780.279641203706</v>
      </c>
      <c r="B32" s="20" t="s">
        <v>377</v>
      </c>
      <c r="C32" s="20" t="s">
        <v>520</v>
      </c>
      <c r="D32" s="150">
        <v>1110000</v>
      </c>
      <c r="E32" s="20" t="s">
        <v>426</v>
      </c>
      <c r="F32" s="20" t="s">
        <v>427</v>
      </c>
      <c r="G32" s="8" t="str">
        <f t="shared" si="0"/>
        <v>STARKS ANGELINA</v>
      </c>
    </row>
    <row r="33" spans="1:7" x14ac:dyDescent="0.25">
      <c r="A33" s="8">
        <v>42780.281608796293</v>
      </c>
      <c r="B33" s="20" t="s">
        <v>377</v>
      </c>
      <c r="C33" s="20" t="s">
        <v>520</v>
      </c>
      <c r="D33" s="150">
        <v>1110000</v>
      </c>
      <c r="E33" s="20" t="s">
        <v>426</v>
      </c>
      <c r="F33" s="20" t="s">
        <v>427</v>
      </c>
      <c r="G33" s="8" t="str">
        <f t="shared" si="0"/>
        <v>STARKS ANGELINA</v>
      </c>
    </row>
    <row r="34" spans="1:7" x14ac:dyDescent="0.25">
      <c r="A34" s="8">
        <v>42780.296388888892</v>
      </c>
      <c r="B34" s="20" t="s">
        <v>227</v>
      </c>
      <c r="C34" s="20" t="s">
        <v>521</v>
      </c>
      <c r="D34" s="150">
        <v>1830000</v>
      </c>
      <c r="E34" s="20" t="s">
        <v>385</v>
      </c>
      <c r="F34" s="20" t="s">
        <v>386</v>
      </c>
      <c r="G34" s="8" t="str">
        <f t="shared" si="0"/>
        <v>YORK EDGAR</v>
      </c>
    </row>
    <row r="35" spans="1:7" x14ac:dyDescent="0.25">
      <c r="A35" s="8">
        <v>42780.302604166667</v>
      </c>
      <c r="B35" s="20" t="s">
        <v>258</v>
      </c>
      <c r="C35" s="20" t="s">
        <v>522</v>
      </c>
      <c r="D35" s="150">
        <v>2270000</v>
      </c>
      <c r="E35" s="20" t="s">
        <v>232</v>
      </c>
      <c r="F35" s="20" t="s">
        <v>233</v>
      </c>
      <c r="G35" s="8" t="str">
        <f t="shared" si="0"/>
        <v>BROWN JACOB</v>
      </c>
    </row>
    <row r="36" spans="1:7" x14ac:dyDescent="0.25">
      <c r="A36" s="8">
        <v>42780.310972222222</v>
      </c>
      <c r="B36" s="20" t="s">
        <v>279</v>
      </c>
      <c r="C36" s="20" t="s">
        <v>523</v>
      </c>
      <c r="D36" s="150">
        <v>1830000</v>
      </c>
      <c r="E36" s="20" t="s">
        <v>385</v>
      </c>
      <c r="F36" s="20" t="s">
        <v>386</v>
      </c>
      <c r="G36" s="8" t="str">
        <f t="shared" si="0"/>
        <v>YORK EDGAR</v>
      </c>
    </row>
    <row r="37" spans="1:7" x14ac:dyDescent="0.25">
      <c r="A37" s="8">
        <v>42780.3122337963</v>
      </c>
      <c r="B37" s="20" t="s">
        <v>375</v>
      </c>
      <c r="C37" s="20" t="s">
        <v>524</v>
      </c>
      <c r="D37" s="150">
        <v>1290000</v>
      </c>
      <c r="E37" s="20" t="s">
        <v>525</v>
      </c>
      <c r="F37" s="20" t="s">
        <v>384</v>
      </c>
      <c r="G37" s="8" t="str">
        <f t="shared" si="0"/>
        <v>COOLAHAN JOHN</v>
      </c>
    </row>
    <row r="38" spans="1:7" x14ac:dyDescent="0.25">
      <c r="A38" s="8">
        <v>42780.312581018516</v>
      </c>
      <c r="B38" s="20" t="s">
        <v>303</v>
      </c>
      <c r="C38" s="20" t="s">
        <v>526</v>
      </c>
      <c r="D38" s="150">
        <v>1230000</v>
      </c>
      <c r="E38" s="20" t="s">
        <v>527</v>
      </c>
      <c r="F38" s="20" t="s">
        <v>528</v>
      </c>
      <c r="G38" s="8" t="str">
        <f t="shared" si="0"/>
        <v>YANAI IAN</v>
      </c>
    </row>
    <row r="39" spans="1:7" x14ac:dyDescent="0.25">
      <c r="A39" s="8">
        <v>42780.317372685182</v>
      </c>
      <c r="B39" s="20" t="s">
        <v>259</v>
      </c>
      <c r="C39" s="20" t="s">
        <v>529</v>
      </c>
      <c r="D39" s="150">
        <v>2270000</v>
      </c>
      <c r="E39" s="20" t="s">
        <v>232</v>
      </c>
      <c r="F39" s="20" t="s">
        <v>233</v>
      </c>
      <c r="G39" s="8" t="str">
        <f t="shared" si="0"/>
        <v>BROWN JACOB</v>
      </c>
    </row>
    <row r="40" spans="1:7" x14ac:dyDescent="0.25">
      <c r="A40" s="8">
        <v>42780.32534722222</v>
      </c>
      <c r="B40" s="25" t="s">
        <v>430</v>
      </c>
      <c r="C40" s="20" t="s">
        <v>530</v>
      </c>
      <c r="D40" s="150">
        <v>940000</v>
      </c>
      <c r="E40" s="20" t="s">
        <v>428</v>
      </c>
      <c r="F40" s="20" t="s">
        <v>429</v>
      </c>
      <c r="G40" s="8" t="str">
        <f t="shared" si="0"/>
        <v>BONDS REYNALDO</v>
      </c>
    </row>
    <row r="41" spans="1:7" x14ac:dyDescent="0.25">
      <c r="A41" s="8">
        <v>42780.32885416667</v>
      </c>
      <c r="B41" s="20" t="s">
        <v>377</v>
      </c>
      <c r="C41" s="20" t="s">
        <v>531</v>
      </c>
      <c r="D41" s="150">
        <v>1200000</v>
      </c>
      <c r="E41" s="20" t="s">
        <v>532</v>
      </c>
      <c r="F41" s="20" t="s">
        <v>533</v>
      </c>
      <c r="G41" s="8" t="str">
        <f t="shared" si="0"/>
        <v>CUSHING HARRY</v>
      </c>
    </row>
    <row r="42" spans="1:7" x14ac:dyDescent="0.25">
      <c r="A42" s="8">
        <v>42780.336921296293</v>
      </c>
      <c r="B42" s="20" t="s">
        <v>227</v>
      </c>
      <c r="C42" s="20" t="s">
        <v>534</v>
      </c>
      <c r="D42" s="150">
        <v>1830000</v>
      </c>
      <c r="E42" s="20" t="s">
        <v>385</v>
      </c>
      <c r="F42" s="20" t="s">
        <v>386</v>
      </c>
      <c r="G42" s="8" t="str">
        <f t="shared" si="0"/>
        <v>YORK EDGAR</v>
      </c>
    </row>
    <row r="43" spans="1:7" x14ac:dyDescent="0.25">
      <c r="A43" s="8">
        <v>42780.345567129632</v>
      </c>
      <c r="B43" s="20" t="s">
        <v>258</v>
      </c>
      <c r="C43" s="20" t="s">
        <v>535</v>
      </c>
      <c r="D43" s="150">
        <v>2270000</v>
      </c>
      <c r="E43" s="20" t="s">
        <v>232</v>
      </c>
      <c r="F43" s="20" t="s">
        <v>233</v>
      </c>
      <c r="G43" s="8" t="str">
        <f t="shared" si="0"/>
        <v>BROWN JACOB</v>
      </c>
    </row>
    <row r="44" spans="1:7" x14ac:dyDescent="0.25">
      <c r="A44" s="8">
        <v>42780.34851851852</v>
      </c>
      <c r="B44" s="20" t="s">
        <v>300</v>
      </c>
      <c r="C44" s="20" t="s">
        <v>477</v>
      </c>
      <c r="D44" s="150">
        <v>2010000</v>
      </c>
      <c r="E44" s="20" t="s">
        <v>402</v>
      </c>
      <c r="F44" s="20" t="s">
        <v>403</v>
      </c>
      <c r="G44" s="8" t="str">
        <f t="shared" si="0"/>
        <v>MAELZER KURT</v>
      </c>
    </row>
    <row r="45" spans="1:7" x14ac:dyDescent="0.25">
      <c r="A45" s="8">
        <v>42780.352129629631</v>
      </c>
      <c r="B45" s="20" t="s">
        <v>279</v>
      </c>
      <c r="C45" s="20" t="s">
        <v>536</v>
      </c>
      <c r="D45" s="150">
        <v>1830000</v>
      </c>
      <c r="E45" s="20" t="s">
        <v>385</v>
      </c>
      <c r="F45" s="20" t="s">
        <v>386</v>
      </c>
      <c r="G45" s="8" t="str">
        <f t="shared" si="0"/>
        <v>YORK EDGAR</v>
      </c>
    </row>
    <row r="46" spans="1:7" x14ac:dyDescent="0.25">
      <c r="A46" s="8">
        <v>42780.352754629632</v>
      </c>
      <c r="B46" s="20" t="s">
        <v>300</v>
      </c>
      <c r="C46" s="20" t="s">
        <v>477</v>
      </c>
      <c r="D46" s="150">
        <v>2010000</v>
      </c>
      <c r="E46" s="20" t="s">
        <v>402</v>
      </c>
      <c r="F46" s="20" t="s">
        <v>403</v>
      </c>
      <c r="G46" s="8" t="str">
        <f t="shared" si="0"/>
        <v>MAELZER KURT</v>
      </c>
    </row>
    <row r="47" spans="1:7" x14ac:dyDescent="0.25">
      <c r="A47" s="8">
        <v>42780.353055555555</v>
      </c>
      <c r="B47" s="20" t="s">
        <v>375</v>
      </c>
      <c r="C47" s="20" t="s">
        <v>476</v>
      </c>
      <c r="D47" s="150">
        <v>1290000</v>
      </c>
      <c r="E47" s="20" t="s">
        <v>525</v>
      </c>
      <c r="F47" s="20" t="s">
        <v>384</v>
      </c>
      <c r="G47" s="8" t="str">
        <f t="shared" si="0"/>
        <v>COOLAHAN JOHN</v>
      </c>
    </row>
    <row r="48" spans="1:7" x14ac:dyDescent="0.25">
      <c r="A48" s="8">
        <v>42780.358796296299</v>
      </c>
      <c r="B48" s="20" t="s">
        <v>259</v>
      </c>
      <c r="C48" s="20" t="s">
        <v>537</v>
      </c>
      <c r="D48" s="150">
        <v>2270000</v>
      </c>
      <c r="E48" s="20" t="s">
        <v>232</v>
      </c>
      <c r="F48" s="20" t="s">
        <v>233</v>
      </c>
      <c r="G48" s="8" t="str">
        <f t="shared" si="0"/>
        <v>BROWN JACOB</v>
      </c>
    </row>
    <row r="49" spans="1:7" x14ac:dyDescent="0.25">
      <c r="A49" s="8">
        <v>42780.36037037037</v>
      </c>
      <c r="B49" s="20" t="s">
        <v>306</v>
      </c>
      <c r="C49" s="20" t="s">
        <v>538</v>
      </c>
      <c r="D49" s="150">
        <v>1230000</v>
      </c>
      <c r="E49" s="20" t="s">
        <v>527</v>
      </c>
      <c r="F49" s="20" t="s">
        <v>528</v>
      </c>
      <c r="G49" s="8" t="str">
        <f t="shared" si="0"/>
        <v>YANAI IAN</v>
      </c>
    </row>
    <row r="50" spans="1:7" x14ac:dyDescent="0.25">
      <c r="A50" s="8">
        <v>42780.361840277779</v>
      </c>
      <c r="B50" s="20" t="s">
        <v>375</v>
      </c>
      <c r="C50" s="20" t="s">
        <v>476</v>
      </c>
      <c r="D50" s="150">
        <v>1290000</v>
      </c>
      <c r="E50" s="20" t="s">
        <v>525</v>
      </c>
      <c r="F50" s="20" t="s">
        <v>384</v>
      </c>
      <c r="G50" s="8" t="str">
        <f t="shared" si="0"/>
        <v>COOLAHAN JOHN</v>
      </c>
    </row>
    <row r="51" spans="1:7" x14ac:dyDescent="0.25">
      <c r="A51" s="8">
        <v>42780.374699074076</v>
      </c>
      <c r="B51" s="20" t="s">
        <v>285</v>
      </c>
      <c r="C51" s="20" t="s">
        <v>539</v>
      </c>
      <c r="D51" s="150">
        <v>890000</v>
      </c>
      <c r="E51" s="20" t="s">
        <v>540</v>
      </c>
      <c r="F51" s="20" t="s">
        <v>541</v>
      </c>
      <c r="G51" s="8" t="str">
        <f t="shared" si="0"/>
        <v>LOZA FIDEL</v>
      </c>
    </row>
    <row r="52" spans="1:7" x14ac:dyDescent="0.25">
      <c r="A52" s="8">
        <v>42780.377418981479</v>
      </c>
      <c r="B52" s="20" t="s">
        <v>228</v>
      </c>
      <c r="C52" s="20" t="s">
        <v>478</v>
      </c>
      <c r="D52" s="150">
        <v>2010000</v>
      </c>
      <c r="E52" s="20" t="s">
        <v>402</v>
      </c>
      <c r="F52" s="20" t="s">
        <v>403</v>
      </c>
      <c r="G52" s="8" t="str">
        <f t="shared" si="0"/>
        <v>MAELZER KURT</v>
      </c>
    </row>
    <row r="53" spans="1:7" x14ac:dyDescent="0.25">
      <c r="A53" s="8">
        <v>42780.377418981479</v>
      </c>
      <c r="B53" s="20" t="s">
        <v>258</v>
      </c>
      <c r="C53" s="20" t="s">
        <v>479</v>
      </c>
      <c r="D53" s="150">
        <v>2270000</v>
      </c>
      <c r="E53" s="20" t="s">
        <v>232</v>
      </c>
      <c r="F53" s="20" t="s">
        <v>233</v>
      </c>
      <c r="G53" s="8" t="str">
        <f t="shared" si="0"/>
        <v>BROWN JACOB</v>
      </c>
    </row>
    <row r="54" spans="1:7" x14ac:dyDescent="0.25">
      <c r="A54" s="8">
        <v>42780.377789351849</v>
      </c>
      <c r="B54" s="20" t="s">
        <v>376</v>
      </c>
      <c r="C54" s="20" t="s">
        <v>542</v>
      </c>
      <c r="D54" s="150">
        <v>1340000</v>
      </c>
      <c r="E54" s="20" t="s">
        <v>504</v>
      </c>
      <c r="F54" s="20" t="s">
        <v>505</v>
      </c>
      <c r="G54" s="8" t="str">
        <f t="shared" si="0"/>
        <v>BEAM ROSS</v>
      </c>
    </row>
    <row r="55" spans="1:7" x14ac:dyDescent="0.25">
      <c r="A55" s="8">
        <v>42780.385474537034</v>
      </c>
      <c r="B55" s="20" t="s">
        <v>376</v>
      </c>
      <c r="C55" s="20" t="s">
        <v>543</v>
      </c>
      <c r="D55" s="150">
        <v>1340000</v>
      </c>
      <c r="E55" s="20" t="s">
        <v>504</v>
      </c>
      <c r="F55" s="20" t="s">
        <v>505</v>
      </c>
      <c r="G55" s="8" t="str">
        <f t="shared" si="0"/>
        <v>BEAM ROSS</v>
      </c>
    </row>
    <row r="56" spans="1:7" x14ac:dyDescent="0.25">
      <c r="A56" s="8">
        <v>42780.398310185185</v>
      </c>
      <c r="B56" s="20" t="s">
        <v>300</v>
      </c>
      <c r="C56" s="20" t="s">
        <v>544</v>
      </c>
      <c r="D56" s="150">
        <v>1110000</v>
      </c>
      <c r="E56" s="20" t="s">
        <v>426</v>
      </c>
      <c r="F56" s="20" t="s">
        <v>427</v>
      </c>
      <c r="G56" s="8" t="str">
        <f t="shared" si="0"/>
        <v>STARKS ANGELINA</v>
      </c>
    </row>
    <row r="57" spans="1:7" x14ac:dyDescent="0.25">
      <c r="A57" s="8">
        <v>42780.40152777778</v>
      </c>
      <c r="B57" s="20" t="s">
        <v>259</v>
      </c>
      <c r="C57" s="20" t="s">
        <v>545</v>
      </c>
      <c r="D57" s="150">
        <v>2270000</v>
      </c>
      <c r="E57" s="20" t="s">
        <v>232</v>
      </c>
      <c r="F57" s="20" t="s">
        <v>233</v>
      </c>
      <c r="G57" s="8" t="str">
        <f t="shared" si="0"/>
        <v>BROWN JACOB</v>
      </c>
    </row>
    <row r="58" spans="1:7" x14ac:dyDescent="0.25">
      <c r="A58" s="8">
        <v>42780.407800925925</v>
      </c>
      <c r="B58" s="20" t="s">
        <v>306</v>
      </c>
      <c r="C58" s="20" t="s">
        <v>546</v>
      </c>
      <c r="D58" s="150">
        <v>900000</v>
      </c>
      <c r="E58" s="20" t="s">
        <v>431</v>
      </c>
      <c r="F58" s="20" t="s">
        <v>432</v>
      </c>
      <c r="G58" s="8" t="str">
        <f t="shared" si="0"/>
        <v>ROCHA YAOTL</v>
      </c>
    </row>
    <row r="59" spans="1:7" x14ac:dyDescent="0.25">
      <c r="A59" s="8">
        <v>42780.411423611113</v>
      </c>
      <c r="B59" s="20" t="s">
        <v>300</v>
      </c>
      <c r="C59" s="20" t="s">
        <v>544</v>
      </c>
      <c r="D59" s="150">
        <v>1110000</v>
      </c>
      <c r="E59" s="20" t="s">
        <v>426</v>
      </c>
      <c r="F59" s="20" t="s">
        <v>427</v>
      </c>
      <c r="G59" s="8" t="str">
        <f t="shared" si="0"/>
        <v>STARKS ANGELINA</v>
      </c>
    </row>
    <row r="60" spans="1:7" x14ac:dyDescent="0.25">
      <c r="A60" s="8">
        <v>42780.416527777779</v>
      </c>
      <c r="B60" s="20" t="s">
        <v>300</v>
      </c>
      <c r="C60" s="20" t="s">
        <v>544</v>
      </c>
      <c r="D60" s="150">
        <v>1110000</v>
      </c>
      <c r="E60" s="20" t="s">
        <v>426</v>
      </c>
      <c r="F60" s="20" t="s">
        <v>427</v>
      </c>
      <c r="G60" s="8" t="str">
        <f t="shared" si="0"/>
        <v>STARKS ANGELINA</v>
      </c>
    </row>
    <row r="61" spans="1:7" x14ac:dyDescent="0.25">
      <c r="A61" s="8">
        <v>42780.41915509259</v>
      </c>
      <c r="B61" s="20" t="s">
        <v>258</v>
      </c>
      <c r="C61" s="20" t="s">
        <v>547</v>
      </c>
      <c r="D61" s="150">
        <v>2270000</v>
      </c>
      <c r="E61" s="20" t="s">
        <v>232</v>
      </c>
      <c r="F61" s="20" t="s">
        <v>233</v>
      </c>
      <c r="G61" s="8" t="str">
        <f t="shared" si="0"/>
        <v>BROWN JACOB</v>
      </c>
    </row>
    <row r="62" spans="1:7" x14ac:dyDescent="0.25">
      <c r="A62" s="8">
        <v>42780.426435185182</v>
      </c>
      <c r="B62" s="20" t="s">
        <v>228</v>
      </c>
      <c r="C62" s="20" t="s">
        <v>548</v>
      </c>
      <c r="D62" s="150">
        <v>1290000</v>
      </c>
      <c r="E62" s="20" t="s">
        <v>525</v>
      </c>
      <c r="F62" s="20" t="s">
        <v>384</v>
      </c>
      <c r="G62" s="8" t="str">
        <f t="shared" si="0"/>
        <v>COOLAHAN JOHN</v>
      </c>
    </row>
    <row r="63" spans="1:7" x14ac:dyDescent="0.25">
      <c r="A63" s="8">
        <v>42780.427858796298</v>
      </c>
      <c r="B63" s="20" t="s">
        <v>228</v>
      </c>
      <c r="C63" s="20" t="s">
        <v>548</v>
      </c>
      <c r="D63" s="150">
        <v>1290000</v>
      </c>
      <c r="E63" s="20" t="s">
        <v>525</v>
      </c>
      <c r="F63" s="20" t="s">
        <v>384</v>
      </c>
      <c r="G63" s="8" t="str">
        <f t="shared" si="0"/>
        <v>COOLAHAN JOHN</v>
      </c>
    </row>
    <row r="64" spans="1:7" x14ac:dyDescent="0.25">
      <c r="A64" s="26">
        <v>42780.433935185189</v>
      </c>
      <c r="B64" s="20" t="s">
        <v>216</v>
      </c>
      <c r="C64" s="20" t="s">
        <v>480</v>
      </c>
      <c r="D64" s="150">
        <v>1760000</v>
      </c>
      <c r="E64" s="20" t="s">
        <v>549</v>
      </c>
      <c r="F64" s="20" t="s">
        <v>550</v>
      </c>
      <c r="G64" s="8" t="str">
        <f t="shared" si="0"/>
        <v>STRICKLAND EVAN</v>
      </c>
    </row>
    <row r="65" spans="1:7" x14ac:dyDescent="0.25">
      <c r="A65" s="8">
        <v>42780.435555555552</v>
      </c>
      <c r="B65" s="20" t="s">
        <v>285</v>
      </c>
      <c r="C65" s="20" t="s">
        <v>551</v>
      </c>
      <c r="D65" s="150">
        <v>890000</v>
      </c>
      <c r="E65" s="20" t="s">
        <v>540</v>
      </c>
      <c r="F65" s="20" t="s">
        <v>541</v>
      </c>
      <c r="G65" s="8" t="str">
        <f t="shared" si="0"/>
        <v>LOZA FIDEL</v>
      </c>
    </row>
    <row r="66" spans="1:7" x14ac:dyDescent="0.25">
      <c r="A66" s="8">
        <v>42780.442326388889</v>
      </c>
      <c r="B66" s="20" t="s">
        <v>259</v>
      </c>
      <c r="C66" s="20" t="s">
        <v>481</v>
      </c>
      <c r="D66" s="150">
        <v>2270000</v>
      </c>
      <c r="E66" s="20" t="s">
        <v>232</v>
      </c>
      <c r="F66" s="20" t="s">
        <v>233</v>
      </c>
      <c r="G66" s="8" t="str">
        <f t="shared" si="0"/>
        <v>BROWN JACOB</v>
      </c>
    </row>
    <row r="67" spans="1:7" x14ac:dyDescent="0.25">
      <c r="A67" s="8">
        <v>42780.443703703706</v>
      </c>
      <c r="B67" s="20" t="s">
        <v>430</v>
      </c>
      <c r="C67" s="20" t="s">
        <v>552</v>
      </c>
      <c r="D67" s="150">
        <v>1230000</v>
      </c>
      <c r="E67" s="20" t="s">
        <v>527</v>
      </c>
      <c r="F67" s="20" t="s">
        <v>528</v>
      </c>
      <c r="G67" s="8" t="str">
        <f t="shared" ref="G67:G130" si="1">E67&amp;" "&amp;F67</f>
        <v>YANAI IAN</v>
      </c>
    </row>
    <row r="68" spans="1:7" x14ac:dyDescent="0.25">
      <c r="A68" s="8">
        <v>42780.452430555553</v>
      </c>
      <c r="B68" s="20" t="s">
        <v>306</v>
      </c>
      <c r="C68" s="20" t="s">
        <v>553</v>
      </c>
      <c r="D68" s="150">
        <v>920000</v>
      </c>
      <c r="E68" s="20" t="s">
        <v>404</v>
      </c>
      <c r="F68" s="20" t="s">
        <v>203</v>
      </c>
      <c r="G68" s="8" t="str">
        <f t="shared" si="1"/>
        <v>DAVIS MICHAEL</v>
      </c>
    </row>
    <row r="69" spans="1:7" x14ac:dyDescent="0.25">
      <c r="A69" s="8">
        <v>42780.454085648147</v>
      </c>
      <c r="B69" s="20" t="s">
        <v>300</v>
      </c>
      <c r="C69" s="20" t="s">
        <v>482</v>
      </c>
      <c r="D69" s="150">
        <v>1200000</v>
      </c>
      <c r="E69" s="20" t="s">
        <v>532</v>
      </c>
      <c r="F69" s="20" t="s">
        <v>533</v>
      </c>
      <c r="G69" s="8" t="str">
        <f t="shared" si="1"/>
        <v>CUSHING HARRY</v>
      </c>
    </row>
    <row r="70" spans="1:7" x14ac:dyDescent="0.25">
      <c r="A70" s="8">
        <v>42780.455138888887</v>
      </c>
      <c r="B70" s="20" t="s">
        <v>306</v>
      </c>
      <c r="C70" s="20" t="s">
        <v>553</v>
      </c>
      <c r="D70" s="150">
        <v>920000</v>
      </c>
      <c r="E70" s="20" t="s">
        <v>404</v>
      </c>
      <c r="F70" s="20" t="s">
        <v>203</v>
      </c>
      <c r="G70" s="8" t="str">
        <f t="shared" si="1"/>
        <v>DAVIS MICHAEL</v>
      </c>
    </row>
    <row r="71" spans="1:7" x14ac:dyDescent="0.25">
      <c r="A71" s="8">
        <v>42780.465567129628</v>
      </c>
      <c r="B71" s="20" t="s">
        <v>375</v>
      </c>
      <c r="C71" s="20" t="s">
        <v>554</v>
      </c>
      <c r="D71" s="150">
        <v>2040000</v>
      </c>
      <c r="E71" s="20" t="s">
        <v>304</v>
      </c>
      <c r="F71" s="20" t="s">
        <v>305</v>
      </c>
      <c r="G71" s="8" t="str">
        <f t="shared" si="1"/>
        <v>MOSES BRADLEY</v>
      </c>
    </row>
    <row r="72" spans="1:7" x14ac:dyDescent="0.25">
      <c r="A72" s="8">
        <v>42780.470868055556</v>
      </c>
      <c r="B72" s="20" t="s">
        <v>228</v>
      </c>
      <c r="C72" s="20" t="s">
        <v>555</v>
      </c>
      <c r="D72" s="150">
        <v>930000</v>
      </c>
      <c r="E72" s="20" t="s">
        <v>433</v>
      </c>
      <c r="F72" s="20" t="s">
        <v>434</v>
      </c>
      <c r="G72" s="8" t="str">
        <f t="shared" si="1"/>
        <v>CLARK KATHLEEN</v>
      </c>
    </row>
    <row r="73" spans="1:7" x14ac:dyDescent="0.25">
      <c r="A73" s="8">
        <v>42780.472141203703</v>
      </c>
      <c r="B73" s="20" t="s">
        <v>258</v>
      </c>
      <c r="C73" s="20" t="s">
        <v>556</v>
      </c>
      <c r="D73" s="150">
        <v>2270000</v>
      </c>
      <c r="E73" s="20" t="s">
        <v>232</v>
      </c>
      <c r="F73" s="20" t="s">
        <v>233</v>
      </c>
      <c r="G73" s="8" t="str">
        <f t="shared" si="1"/>
        <v>BROWN JACOB</v>
      </c>
    </row>
    <row r="74" spans="1:7" x14ac:dyDescent="0.25">
      <c r="A74" s="8">
        <v>42780.476851851854</v>
      </c>
      <c r="B74" s="20" t="s">
        <v>375</v>
      </c>
      <c r="C74" s="20" t="s">
        <v>554</v>
      </c>
      <c r="D74" s="150">
        <v>2040000</v>
      </c>
      <c r="E74" s="20" t="s">
        <v>304</v>
      </c>
      <c r="F74" s="20" t="s">
        <v>305</v>
      </c>
      <c r="G74" s="8" t="str">
        <f t="shared" si="1"/>
        <v>MOSES BRADLEY</v>
      </c>
    </row>
    <row r="75" spans="1:7" x14ac:dyDescent="0.25">
      <c r="A75" s="8">
        <v>42780.477731481478</v>
      </c>
      <c r="B75" s="20" t="s">
        <v>285</v>
      </c>
      <c r="C75" s="20" t="s">
        <v>483</v>
      </c>
      <c r="D75" s="150">
        <v>880000</v>
      </c>
      <c r="E75" s="20" t="s">
        <v>405</v>
      </c>
      <c r="F75" s="20" t="s">
        <v>203</v>
      </c>
      <c r="G75" s="8" t="str">
        <f t="shared" si="1"/>
        <v>STEWART MICHAEL</v>
      </c>
    </row>
    <row r="76" spans="1:7" x14ac:dyDescent="0.25">
      <c r="A76" s="8">
        <v>42780.48400462963</v>
      </c>
      <c r="B76" s="20" t="s">
        <v>259</v>
      </c>
      <c r="C76" s="20" t="s">
        <v>557</v>
      </c>
      <c r="D76" s="150">
        <v>2270000</v>
      </c>
      <c r="E76" s="20" t="s">
        <v>232</v>
      </c>
      <c r="F76" s="20" t="s">
        <v>233</v>
      </c>
      <c r="G76" s="8" t="str">
        <f t="shared" si="1"/>
        <v>BROWN JACOB</v>
      </c>
    </row>
    <row r="77" spans="1:7" x14ac:dyDescent="0.25">
      <c r="A77" s="8">
        <v>42780.48946759259</v>
      </c>
      <c r="B77" s="20" t="s">
        <v>300</v>
      </c>
      <c r="C77" s="20" t="s">
        <v>558</v>
      </c>
      <c r="D77" s="150">
        <v>1180000</v>
      </c>
      <c r="E77" s="20" t="s">
        <v>435</v>
      </c>
      <c r="F77" s="20" t="s">
        <v>436</v>
      </c>
      <c r="G77" s="8" t="str">
        <f t="shared" si="1"/>
        <v>LEVERE CRAIG</v>
      </c>
    </row>
    <row r="78" spans="1:7" x14ac:dyDescent="0.25">
      <c r="A78" s="8">
        <v>42780.489548611113</v>
      </c>
      <c r="B78" s="20" t="s">
        <v>285</v>
      </c>
      <c r="C78" s="20" t="s">
        <v>483</v>
      </c>
      <c r="D78" s="150">
        <v>880000</v>
      </c>
      <c r="E78" s="20" t="s">
        <v>405</v>
      </c>
      <c r="F78" s="20" t="s">
        <v>203</v>
      </c>
      <c r="G78" s="8" t="str">
        <f t="shared" si="1"/>
        <v>STEWART MICHAEL</v>
      </c>
    </row>
    <row r="79" spans="1:7" x14ac:dyDescent="0.25">
      <c r="A79" s="8">
        <v>42780.493437500001</v>
      </c>
      <c r="B79" s="20" t="s">
        <v>430</v>
      </c>
      <c r="C79" s="20" t="s">
        <v>559</v>
      </c>
      <c r="D79" s="150">
        <v>2250000</v>
      </c>
      <c r="E79" s="20" t="s">
        <v>389</v>
      </c>
      <c r="F79" s="20" t="s">
        <v>390</v>
      </c>
      <c r="G79" s="8" t="str">
        <f t="shared" si="1"/>
        <v>CRAYTON QUNTRELL</v>
      </c>
    </row>
    <row r="80" spans="1:7" x14ac:dyDescent="0.25">
      <c r="A80" s="8">
        <v>42780.500787037039</v>
      </c>
      <c r="B80" s="20" t="s">
        <v>300</v>
      </c>
      <c r="C80" s="20" t="s">
        <v>558</v>
      </c>
      <c r="D80" s="150">
        <v>1180000</v>
      </c>
      <c r="E80" s="20" t="s">
        <v>435</v>
      </c>
      <c r="F80" s="20" t="s">
        <v>436</v>
      </c>
      <c r="G80" s="8" t="str">
        <f t="shared" si="1"/>
        <v>LEVERE CRAIG</v>
      </c>
    </row>
    <row r="81" spans="1:7" x14ac:dyDescent="0.25">
      <c r="A81" s="8">
        <v>42780.505428240744</v>
      </c>
      <c r="B81" s="20" t="s">
        <v>306</v>
      </c>
      <c r="C81" s="20" t="s">
        <v>560</v>
      </c>
      <c r="D81" s="150">
        <v>920000</v>
      </c>
      <c r="E81" s="20" t="s">
        <v>404</v>
      </c>
      <c r="F81" s="20" t="s">
        <v>203</v>
      </c>
      <c r="G81" s="8" t="str">
        <f t="shared" si="1"/>
        <v>DAVIS MICHAEL</v>
      </c>
    </row>
    <row r="82" spans="1:7" x14ac:dyDescent="0.25">
      <c r="A82" s="8">
        <v>42780.512800925928</v>
      </c>
      <c r="B82" s="20" t="s">
        <v>258</v>
      </c>
      <c r="C82" s="20" t="s">
        <v>484</v>
      </c>
      <c r="D82" s="150">
        <v>2270000</v>
      </c>
      <c r="E82" s="20" t="s">
        <v>232</v>
      </c>
      <c r="F82" s="20" t="s">
        <v>233</v>
      </c>
      <c r="G82" s="8" t="str">
        <f t="shared" si="1"/>
        <v>BROWN JACOB</v>
      </c>
    </row>
    <row r="83" spans="1:7" x14ac:dyDescent="0.25">
      <c r="A83" s="8">
        <v>42780.518078703702</v>
      </c>
      <c r="B83" s="20" t="s">
        <v>228</v>
      </c>
      <c r="C83" s="20" t="s">
        <v>561</v>
      </c>
      <c r="D83" s="150">
        <v>930000</v>
      </c>
      <c r="E83" s="20" t="s">
        <v>433</v>
      </c>
      <c r="F83" s="20" t="s">
        <v>434</v>
      </c>
      <c r="G83" s="8" t="str">
        <f t="shared" si="1"/>
        <v>CLARK KATHLEEN</v>
      </c>
    </row>
    <row r="84" spans="1:7" x14ac:dyDescent="0.25">
      <c r="A84" s="8">
        <v>42780.518819444442</v>
      </c>
      <c r="B84" s="20" t="s">
        <v>375</v>
      </c>
      <c r="C84" s="20" t="s">
        <v>485</v>
      </c>
      <c r="D84" s="150">
        <v>2470000</v>
      </c>
      <c r="E84" s="20" t="s">
        <v>406</v>
      </c>
      <c r="F84" s="20" t="s">
        <v>407</v>
      </c>
      <c r="G84" s="8" t="str">
        <f t="shared" si="1"/>
        <v>ROMERO CHAD</v>
      </c>
    </row>
    <row r="85" spans="1:7" x14ac:dyDescent="0.25">
      <c r="A85" s="8">
        <v>42780.52685185185</v>
      </c>
      <c r="B85" s="20" t="s">
        <v>259</v>
      </c>
      <c r="C85" s="20" t="s">
        <v>562</v>
      </c>
      <c r="D85" s="150">
        <v>2270000</v>
      </c>
      <c r="E85" s="20" t="s">
        <v>232</v>
      </c>
      <c r="F85" s="20" t="s">
        <v>233</v>
      </c>
      <c r="G85" s="8" t="str">
        <f t="shared" si="1"/>
        <v>BROWN JACOB</v>
      </c>
    </row>
    <row r="86" spans="1:7" x14ac:dyDescent="0.25">
      <c r="A86" s="8">
        <v>42780.527812499997</v>
      </c>
      <c r="B86" s="20" t="s">
        <v>375</v>
      </c>
      <c r="C86" s="20" t="s">
        <v>485</v>
      </c>
      <c r="D86" s="150">
        <v>2470000</v>
      </c>
      <c r="E86" s="20" t="s">
        <v>406</v>
      </c>
      <c r="F86" s="20" t="s">
        <v>407</v>
      </c>
      <c r="G86" s="8" t="str">
        <f t="shared" si="1"/>
        <v>ROMERO CHAD</v>
      </c>
    </row>
    <row r="87" spans="1:7" x14ac:dyDescent="0.25">
      <c r="A87" s="8">
        <v>42780.539849537039</v>
      </c>
      <c r="B87" s="20" t="s">
        <v>300</v>
      </c>
      <c r="C87" s="20" t="s">
        <v>563</v>
      </c>
      <c r="D87" s="150">
        <v>1180000</v>
      </c>
      <c r="E87" s="20" t="s">
        <v>435</v>
      </c>
      <c r="F87" s="20" t="s">
        <v>436</v>
      </c>
      <c r="G87" s="8" t="str">
        <f t="shared" si="1"/>
        <v>LEVERE CRAIG</v>
      </c>
    </row>
    <row r="88" spans="1:7" x14ac:dyDescent="0.25">
      <c r="A88" s="8">
        <v>42780.540752314817</v>
      </c>
      <c r="B88" s="20" t="s">
        <v>430</v>
      </c>
      <c r="C88" s="20" t="s">
        <v>564</v>
      </c>
      <c r="D88" s="150">
        <v>2250000</v>
      </c>
      <c r="E88" s="20" t="s">
        <v>389</v>
      </c>
      <c r="F88" s="20" t="s">
        <v>390</v>
      </c>
      <c r="G88" s="8" t="str">
        <f t="shared" si="1"/>
        <v>CRAYTON QUNTRELL</v>
      </c>
    </row>
    <row r="89" spans="1:7" x14ac:dyDescent="0.25">
      <c r="A89" s="8">
        <v>42780.542928240742</v>
      </c>
      <c r="B89" s="20" t="s">
        <v>285</v>
      </c>
      <c r="C89" s="20" t="s">
        <v>565</v>
      </c>
      <c r="D89" s="150">
        <v>880000</v>
      </c>
      <c r="E89" s="20" t="s">
        <v>405</v>
      </c>
      <c r="F89" s="20" t="s">
        <v>203</v>
      </c>
      <c r="G89" s="8" t="str">
        <f t="shared" si="1"/>
        <v>STEWART MICHAEL</v>
      </c>
    </row>
    <row r="90" spans="1:7" x14ac:dyDescent="0.25">
      <c r="A90" s="8">
        <v>42780.549930555557</v>
      </c>
      <c r="B90" s="20" t="s">
        <v>258</v>
      </c>
      <c r="C90" s="20" t="s">
        <v>566</v>
      </c>
      <c r="D90" s="150">
        <v>1300000</v>
      </c>
      <c r="E90" s="20" t="s">
        <v>408</v>
      </c>
      <c r="F90" s="20" t="s">
        <v>409</v>
      </c>
      <c r="G90" s="8" t="str">
        <f t="shared" si="1"/>
        <v>LEVIN SCOTT</v>
      </c>
    </row>
    <row r="91" spans="1:7" x14ac:dyDescent="0.25">
      <c r="A91" s="8">
        <v>42780.550925925927</v>
      </c>
      <c r="B91" s="20" t="s">
        <v>300</v>
      </c>
      <c r="C91" s="20" t="s">
        <v>563</v>
      </c>
      <c r="D91" s="150">
        <v>1180000</v>
      </c>
      <c r="E91" s="20" t="s">
        <v>435</v>
      </c>
      <c r="F91" s="20" t="s">
        <v>436</v>
      </c>
      <c r="G91" s="8" t="str">
        <f t="shared" si="1"/>
        <v>LEVERE CRAIG</v>
      </c>
    </row>
    <row r="92" spans="1:7" x14ac:dyDescent="0.25">
      <c r="A92" s="8">
        <v>42780.555254629631</v>
      </c>
      <c r="B92" s="20" t="s">
        <v>306</v>
      </c>
      <c r="C92" s="20" t="s">
        <v>567</v>
      </c>
      <c r="D92" s="150">
        <v>1190000</v>
      </c>
      <c r="E92" s="20" t="s">
        <v>568</v>
      </c>
      <c r="F92" s="20" t="s">
        <v>569</v>
      </c>
      <c r="G92" s="8" t="str">
        <f t="shared" si="1"/>
        <v>BRANNON JEFFREY</v>
      </c>
    </row>
    <row r="93" spans="1:7" x14ac:dyDescent="0.25">
      <c r="A93" s="8">
        <v>42780.559155092589</v>
      </c>
      <c r="B93" s="20" t="s">
        <v>375</v>
      </c>
      <c r="C93" s="20" t="s">
        <v>570</v>
      </c>
      <c r="D93" s="150">
        <v>2470000</v>
      </c>
      <c r="E93" s="20" t="s">
        <v>406</v>
      </c>
      <c r="F93" s="20" t="s">
        <v>407</v>
      </c>
      <c r="G93" s="8" t="str">
        <f t="shared" si="1"/>
        <v>ROMERO CHAD</v>
      </c>
    </row>
    <row r="94" spans="1:7" x14ac:dyDescent="0.25">
      <c r="A94" s="8">
        <v>42780.567141203705</v>
      </c>
      <c r="B94" s="20" t="s">
        <v>259</v>
      </c>
      <c r="C94" s="20" t="s">
        <v>571</v>
      </c>
      <c r="D94" s="150">
        <v>1300000</v>
      </c>
      <c r="E94" s="20" t="s">
        <v>408</v>
      </c>
      <c r="F94" s="20" t="s">
        <v>409</v>
      </c>
      <c r="G94" s="8" t="str">
        <f t="shared" si="1"/>
        <v>LEVIN SCOTT</v>
      </c>
    </row>
    <row r="95" spans="1:7" x14ac:dyDescent="0.25">
      <c r="A95" s="8">
        <v>42780.567858796298</v>
      </c>
      <c r="B95" s="20" t="s">
        <v>228</v>
      </c>
      <c r="C95" s="20" t="s">
        <v>572</v>
      </c>
      <c r="D95" s="150">
        <v>920000</v>
      </c>
      <c r="E95" s="20" t="s">
        <v>404</v>
      </c>
      <c r="F95" s="20" t="s">
        <v>203</v>
      </c>
      <c r="G95" s="8" t="str">
        <f t="shared" si="1"/>
        <v>DAVIS MICHAEL</v>
      </c>
    </row>
    <row r="96" spans="1:7" x14ac:dyDescent="0.25">
      <c r="A96" s="8">
        <v>42780.570219907408</v>
      </c>
      <c r="B96" s="20" t="s">
        <v>375</v>
      </c>
      <c r="C96" s="20" t="s">
        <v>570</v>
      </c>
      <c r="D96" s="150">
        <v>2470000</v>
      </c>
      <c r="E96" s="20" t="s">
        <v>406</v>
      </c>
      <c r="F96" s="20" t="s">
        <v>407</v>
      </c>
      <c r="G96" s="8" t="str">
        <f t="shared" si="1"/>
        <v>ROMERO CHAD</v>
      </c>
    </row>
    <row r="97" spans="1:7" x14ac:dyDescent="0.25">
      <c r="A97" s="8">
        <v>42780.575173611112</v>
      </c>
      <c r="B97" s="20" t="s">
        <v>285</v>
      </c>
      <c r="C97" s="20" t="s">
        <v>573</v>
      </c>
      <c r="D97" s="150">
        <v>2150000</v>
      </c>
      <c r="E97" s="20" t="s">
        <v>400</v>
      </c>
      <c r="F97" s="20" t="s">
        <v>401</v>
      </c>
      <c r="G97" s="8" t="str">
        <f t="shared" si="1"/>
        <v>SWANSON BRYCE</v>
      </c>
    </row>
    <row r="98" spans="1:7" x14ac:dyDescent="0.25">
      <c r="A98" s="8">
        <v>42780.584421296298</v>
      </c>
      <c r="B98" s="20" t="s">
        <v>430</v>
      </c>
      <c r="C98" s="20" t="s">
        <v>574</v>
      </c>
      <c r="D98" s="150">
        <v>930000</v>
      </c>
      <c r="E98" s="20" t="s">
        <v>433</v>
      </c>
      <c r="F98" s="20" t="s">
        <v>434</v>
      </c>
      <c r="G98" s="8" t="str">
        <f t="shared" si="1"/>
        <v>CLARK KATHLEEN</v>
      </c>
    </row>
    <row r="99" spans="1:7" x14ac:dyDescent="0.25">
      <c r="A99" s="8">
        <v>42780.590381944443</v>
      </c>
      <c r="B99" s="20" t="s">
        <v>285</v>
      </c>
      <c r="C99" s="20" t="s">
        <v>573</v>
      </c>
      <c r="D99" s="150">
        <v>2150000</v>
      </c>
      <c r="E99" s="20" t="s">
        <v>400</v>
      </c>
      <c r="F99" s="20" t="s">
        <v>401</v>
      </c>
      <c r="G99" s="8" t="str">
        <f t="shared" si="1"/>
        <v>SWANSON BRYCE</v>
      </c>
    </row>
    <row r="100" spans="1:7" x14ac:dyDescent="0.25">
      <c r="A100" s="8">
        <v>42780.593969907408</v>
      </c>
      <c r="B100" s="20" t="s">
        <v>258</v>
      </c>
      <c r="C100" s="20" t="s">
        <v>575</v>
      </c>
      <c r="D100" s="150">
        <v>1300000</v>
      </c>
      <c r="E100" s="20" t="s">
        <v>408</v>
      </c>
      <c r="F100" s="20" t="s">
        <v>409</v>
      </c>
      <c r="G100" s="8" t="str">
        <f t="shared" si="1"/>
        <v>LEVIN SCOTT</v>
      </c>
    </row>
    <row r="101" spans="1:7" x14ac:dyDescent="0.25">
      <c r="A101" s="8">
        <v>42780.602175925924</v>
      </c>
      <c r="B101" s="20" t="s">
        <v>300</v>
      </c>
      <c r="C101" s="20" t="s">
        <v>576</v>
      </c>
      <c r="D101" s="150">
        <v>880000</v>
      </c>
      <c r="E101" s="20" t="s">
        <v>405</v>
      </c>
      <c r="F101" s="20" t="s">
        <v>203</v>
      </c>
      <c r="G101" s="8" t="str">
        <f t="shared" si="1"/>
        <v>STEWART MICHAEL</v>
      </c>
    </row>
    <row r="102" spans="1:7" x14ac:dyDescent="0.25">
      <c r="A102" s="8">
        <v>42780.604363425926</v>
      </c>
      <c r="B102" s="20" t="s">
        <v>306</v>
      </c>
      <c r="C102" s="20" t="s">
        <v>577</v>
      </c>
      <c r="D102" s="150">
        <v>2250000</v>
      </c>
      <c r="E102" s="20" t="s">
        <v>389</v>
      </c>
      <c r="F102" s="20" t="s">
        <v>390</v>
      </c>
      <c r="G102" s="8" t="str">
        <f t="shared" si="1"/>
        <v>CRAYTON QUNTRELL</v>
      </c>
    </row>
    <row r="103" spans="1:7" x14ac:dyDescent="0.25">
      <c r="A103" s="8">
        <v>42780.607824074075</v>
      </c>
      <c r="B103" s="20" t="s">
        <v>375</v>
      </c>
      <c r="C103" s="20" t="s">
        <v>487</v>
      </c>
      <c r="D103" s="150">
        <v>1180000</v>
      </c>
      <c r="E103" s="20" t="s">
        <v>435</v>
      </c>
      <c r="F103" s="20" t="s">
        <v>436</v>
      </c>
      <c r="G103" s="8" t="str">
        <f t="shared" si="1"/>
        <v>LEVERE CRAIG</v>
      </c>
    </row>
    <row r="104" spans="1:7" x14ac:dyDescent="0.25">
      <c r="A104" s="8">
        <v>42780.608391203707</v>
      </c>
      <c r="B104" s="20" t="s">
        <v>259</v>
      </c>
      <c r="C104" s="20" t="s">
        <v>486</v>
      </c>
      <c r="D104" s="150">
        <v>1300000</v>
      </c>
      <c r="E104" s="20" t="s">
        <v>408</v>
      </c>
      <c r="F104" s="20" t="s">
        <v>409</v>
      </c>
      <c r="G104" s="8" t="str">
        <f t="shared" si="1"/>
        <v>LEVIN SCOTT</v>
      </c>
    </row>
    <row r="105" spans="1:7" x14ac:dyDescent="0.25">
      <c r="A105" s="8">
        <v>42780.616608796299</v>
      </c>
      <c r="B105" s="20" t="s">
        <v>224</v>
      </c>
      <c r="C105" s="20" t="s">
        <v>578</v>
      </c>
      <c r="D105" s="150">
        <v>1190000</v>
      </c>
      <c r="E105" s="20" t="s">
        <v>568</v>
      </c>
      <c r="F105" s="20" t="s">
        <v>569</v>
      </c>
      <c r="G105" s="8" t="str">
        <f t="shared" si="1"/>
        <v>BRANNON JEFFREY</v>
      </c>
    </row>
    <row r="106" spans="1:7" x14ac:dyDescent="0.25">
      <c r="A106" s="8">
        <v>42780.623171296298</v>
      </c>
      <c r="B106" s="20" t="s">
        <v>375</v>
      </c>
      <c r="C106" s="20" t="s">
        <v>487</v>
      </c>
      <c r="D106" s="150">
        <v>1180000</v>
      </c>
      <c r="E106" s="20" t="s">
        <v>435</v>
      </c>
      <c r="F106" s="20" t="s">
        <v>436</v>
      </c>
      <c r="G106" s="8" t="str">
        <f t="shared" si="1"/>
        <v>LEVERE CRAIG</v>
      </c>
    </row>
    <row r="107" spans="1:7" x14ac:dyDescent="0.25">
      <c r="A107" s="8">
        <v>42780.634560185186</v>
      </c>
      <c r="B107" s="20" t="s">
        <v>228</v>
      </c>
      <c r="C107" s="20" t="s">
        <v>579</v>
      </c>
      <c r="D107" s="150">
        <v>920000</v>
      </c>
      <c r="E107" s="20" t="s">
        <v>404</v>
      </c>
      <c r="F107" s="20" t="s">
        <v>203</v>
      </c>
      <c r="G107" s="8" t="str">
        <f t="shared" si="1"/>
        <v>DAVIS MICHAEL</v>
      </c>
    </row>
    <row r="108" spans="1:7" x14ac:dyDescent="0.25">
      <c r="A108" s="8">
        <v>42780.634733796294</v>
      </c>
      <c r="B108" s="20" t="s">
        <v>285</v>
      </c>
      <c r="C108" s="20" t="s">
        <v>580</v>
      </c>
      <c r="D108" s="150">
        <v>2470000</v>
      </c>
      <c r="E108" s="20" t="s">
        <v>406</v>
      </c>
      <c r="F108" s="20" t="s">
        <v>407</v>
      </c>
      <c r="G108" s="8" t="str">
        <f t="shared" si="1"/>
        <v>ROMERO CHAD</v>
      </c>
    </row>
    <row r="109" spans="1:7" x14ac:dyDescent="0.25">
      <c r="A109" s="8">
        <v>42780.635833333334</v>
      </c>
      <c r="B109" s="20" t="s">
        <v>258</v>
      </c>
      <c r="C109" s="20" t="s">
        <v>581</v>
      </c>
      <c r="D109" s="150">
        <v>1300000</v>
      </c>
      <c r="E109" s="20" t="s">
        <v>408</v>
      </c>
      <c r="F109" s="20" t="s">
        <v>409</v>
      </c>
      <c r="G109" s="8" t="str">
        <f t="shared" si="1"/>
        <v>LEVIN SCOTT</v>
      </c>
    </row>
    <row r="110" spans="1:7" x14ac:dyDescent="0.25">
      <c r="A110" s="8">
        <v>42780.641238425924</v>
      </c>
      <c r="B110" s="20" t="s">
        <v>383</v>
      </c>
      <c r="C110" s="20" t="s">
        <v>582</v>
      </c>
      <c r="D110" s="150">
        <v>2150000</v>
      </c>
      <c r="E110" s="20" t="s">
        <v>400</v>
      </c>
      <c r="F110" s="20" t="s">
        <v>401</v>
      </c>
      <c r="G110" s="8" t="str">
        <f t="shared" si="1"/>
        <v>SWANSON BRYCE</v>
      </c>
    </row>
    <row r="111" spans="1:7" x14ac:dyDescent="0.25">
      <c r="A111" s="8">
        <v>42780.643078703702</v>
      </c>
      <c r="B111" s="20" t="s">
        <v>227</v>
      </c>
      <c r="C111" s="20" t="s">
        <v>488</v>
      </c>
      <c r="D111" s="150">
        <v>2220000</v>
      </c>
      <c r="E111" s="20" t="s">
        <v>218</v>
      </c>
      <c r="F111" s="20" t="s">
        <v>219</v>
      </c>
      <c r="G111" s="8" t="str">
        <f t="shared" si="1"/>
        <v>HILLS DUSTIN</v>
      </c>
    </row>
    <row r="112" spans="1:7" x14ac:dyDescent="0.25">
      <c r="A112" s="8">
        <v>42780.64340277778</v>
      </c>
      <c r="B112" s="20" t="s">
        <v>285</v>
      </c>
      <c r="C112" s="20" t="s">
        <v>580</v>
      </c>
      <c r="D112" s="150">
        <v>2470000</v>
      </c>
      <c r="E112" s="20" t="s">
        <v>406</v>
      </c>
      <c r="F112" s="20" t="s">
        <v>407</v>
      </c>
      <c r="G112" s="8" t="str">
        <f t="shared" si="1"/>
        <v>ROMERO CHAD</v>
      </c>
    </row>
    <row r="113" spans="1:7" x14ac:dyDescent="0.25">
      <c r="A113" s="8">
        <v>42780.650081018517</v>
      </c>
      <c r="B113" s="20" t="s">
        <v>259</v>
      </c>
      <c r="C113" s="20" t="s">
        <v>583</v>
      </c>
      <c r="D113" s="150">
        <v>1300000</v>
      </c>
      <c r="E113" s="20" t="s">
        <v>408</v>
      </c>
      <c r="F113" s="20" t="s">
        <v>409</v>
      </c>
      <c r="G113" s="8" t="str">
        <f t="shared" si="1"/>
        <v>LEVIN SCOTT</v>
      </c>
    </row>
    <row r="114" spans="1:7" x14ac:dyDescent="0.25">
      <c r="A114" s="8">
        <v>42780.652418981481</v>
      </c>
      <c r="B114" s="20" t="s">
        <v>279</v>
      </c>
      <c r="C114" s="20" t="s">
        <v>584</v>
      </c>
      <c r="D114" s="150">
        <v>2220000</v>
      </c>
      <c r="E114" s="20" t="s">
        <v>218</v>
      </c>
      <c r="F114" s="20" t="s">
        <v>219</v>
      </c>
      <c r="G114" s="8" t="str">
        <f t="shared" si="1"/>
        <v>HILLS DUSTIN</v>
      </c>
    </row>
    <row r="115" spans="1:7" x14ac:dyDescent="0.25">
      <c r="A115" s="8">
        <v>42780.656493055554</v>
      </c>
      <c r="B115" s="20" t="s">
        <v>383</v>
      </c>
      <c r="C115" s="20" t="s">
        <v>582</v>
      </c>
      <c r="D115" s="150">
        <v>2150000</v>
      </c>
      <c r="E115" s="20" t="s">
        <v>400</v>
      </c>
      <c r="F115" s="20" t="s">
        <v>401</v>
      </c>
      <c r="G115" s="8" t="str">
        <f t="shared" si="1"/>
        <v>SWANSON BRYCE</v>
      </c>
    </row>
    <row r="116" spans="1:7" x14ac:dyDescent="0.25">
      <c r="A116" s="8">
        <v>42780.659375000003</v>
      </c>
      <c r="B116" s="20" t="s">
        <v>306</v>
      </c>
      <c r="C116" s="20" t="s">
        <v>585</v>
      </c>
      <c r="D116" s="150">
        <v>930000</v>
      </c>
      <c r="E116" s="20" t="s">
        <v>433</v>
      </c>
      <c r="F116" s="20" t="s">
        <v>434</v>
      </c>
      <c r="G116" s="8" t="str">
        <f t="shared" si="1"/>
        <v>CLARK KATHLEEN</v>
      </c>
    </row>
    <row r="117" spans="1:7" x14ac:dyDescent="0.25">
      <c r="A117" s="8">
        <v>42780.670208333337</v>
      </c>
      <c r="B117" s="20" t="s">
        <v>224</v>
      </c>
      <c r="C117" s="20" t="s">
        <v>586</v>
      </c>
      <c r="D117" s="150">
        <v>2250000</v>
      </c>
      <c r="E117" s="20" t="s">
        <v>389</v>
      </c>
      <c r="F117" s="20" t="s">
        <v>390</v>
      </c>
      <c r="G117" s="8" t="str">
        <f t="shared" si="1"/>
        <v>CRAYTON QUNTRELL</v>
      </c>
    </row>
    <row r="118" spans="1:7" x14ac:dyDescent="0.25">
      <c r="A118" s="8">
        <v>42780.672500000001</v>
      </c>
      <c r="B118" s="20" t="s">
        <v>227</v>
      </c>
      <c r="C118" s="20" t="s">
        <v>489</v>
      </c>
      <c r="D118" s="150">
        <v>2220000</v>
      </c>
      <c r="E118" s="20" t="s">
        <v>218</v>
      </c>
      <c r="F118" s="20" t="s">
        <v>219</v>
      </c>
      <c r="G118" s="8" t="str">
        <f t="shared" si="1"/>
        <v>HILLS DUSTIN</v>
      </c>
    </row>
    <row r="119" spans="1:7" x14ac:dyDescent="0.25">
      <c r="A119" s="8">
        <v>42780.673773148148</v>
      </c>
      <c r="B119" s="20" t="s">
        <v>258</v>
      </c>
      <c r="C119" s="20" t="s">
        <v>587</v>
      </c>
      <c r="D119" s="150">
        <v>1300000</v>
      </c>
      <c r="E119" s="20" t="s">
        <v>408</v>
      </c>
      <c r="F119" s="20" t="s">
        <v>409</v>
      </c>
      <c r="G119" s="8" t="str">
        <f t="shared" si="1"/>
        <v>LEVIN SCOTT</v>
      </c>
    </row>
    <row r="120" spans="1:7" x14ac:dyDescent="0.25">
      <c r="A120" s="8">
        <v>42780.675185185188</v>
      </c>
      <c r="B120" s="20" t="s">
        <v>300</v>
      </c>
      <c r="C120" s="20" t="s">
        <v>588</v>
      </c>
      <c r="D120" s="150">
        <v>880000</v>
      </c>
      <c r="E120" s="20" t="s">
        <v>405</v>
      </c>
      <c r="F120" s="20" t="s">
        <v>203</v>
      </c>
      <c r="G120" s="8" t="str">
        <f t="shared" si="1"/>
        <v>STEWART MICHAEL</v>
      </c>
    </row>
    <row r="121" spans="1:7" x14ac:dyDescent="0.25">
      <c r="A121" s="8">
        <v>42780.687094907407</v>
      </c>
      <c r="B121" s="20" t="s">
        <v>279</v>
      </c>
      <c r="C121" s="20" t="s">
        <v>589</v>
      </c>
      <c r="D121" s="150">
        <v>2220000</v>
      </c>
      <c r="E121" s="20" t="s">
        <v>218</v>
      </c>
      <c r="F121" s="20" t="s">
        <v>219</v>
      </c>
      <c r="G121" s="8" t="str">
        <f t="shared" si="1"/>
        <v>HILLS DUSTIN</v>
      </c>
    </row>
    <row r="122" spans="1:7" x14ac:dyDescent="0.25">
      <c r="A122" s="8">
        <v>42780.688287037039</v>
      </c>
      <c r="B122" s="25" t="s">
        <v>285</v>
      </c>
      <c r="C122" s="20" t="s">
        <v>590</v>
      </c>
      <c r="D122" s="150">
        <v>1180000</v>
      </c>
      <c r="E122" s="20" t="s">
        <v>435</v>
      </c>
      <c r="F122" s="20" t="s">
        <v>436</v>
      </c>
      <c r="G122" s="8" t="str">
        <f t="shared" si="1"/>
        <v>LEVERE CRAIG</v>
      </c>
    </row>
    <row r="123" spans="1:7" x14ac:dyDescent="0.25">
      <c r="A123" s="8">
        <v>42780.692013888889</v>
      </c>
      <c r="B123" s="20" t="s">
        <v>259</v>
      </c>
      <c r="C123" s="20" t="s">
        <v>591</v>
      </c>
      <c r="D123" s="150">
        <v>1300000</v>
      </c>
      <c r="E123" s="20" t="s">
        <v>408</v>
      </c>
      <c r="F123" s="20" t="s">
        <v>409</v>
      </c>
      <c r="G123" s="8" t="str">
        <f t="shared" si="1"/>
        <v>LEVIN SCOTT</v>
      </c>
    </row>
    <row r="124" spans="1:7" x14ac:dyDescent="0.25">
      <c r="A124" s="8">
        <v>42780.701006944444</v>
      </c>
      <c r="B124" s="20" t="s">
        <v>383</v>
      </c>
      <c r="C124" s="20" t="s">
        <v>491</v>
      </c>
      <c r="D124" s="150">
        <v>2470000</v>
      </c>
      <c r="E124" s="20" t="s">
        <v>406</v>
      </c>
      <c r="F124" s="20" t="s">
        <v>407</v>
      </c>
      <c r="G124" s="8" t="str">
        <f t="shared" si="1"/>
        <v>ROMERO CHAD</v>
      </c>
    </row>
    <row r="125" spans="1:7" x14ac:dyDescent="0.25">
      <c r="A125" s="8">
        <v>42780.70517361111</v>
      </c>
      <c r="B125" s="20" t="s">
        <v>228</v>
      </c>
      <c r="C125" s="20" t="s">
        <v>592</v>
      </c>
      <c r="D125" s="150">
        <v>1190000</v>
      </c>
      <c r="E125" s="20" t="s">
        <v>568</v>
      </c>
      <c r="F125" s="20" t="s">
        <v>569</v>
      </c>
      <c r="G125" s="8" t="str">
        <f t="shared" si="1"/>
        <v>BRANNON JEFFREY</v>
      </c>
    </row>
    <row r="126" spans="1:7" x14ac:dyDescent="0.25">
      <c r="A126" s="8">
        <v>42780.706724537034</v>
      </c>
      <c r="B126" s="20" t="s">
        <v>285</v>
      </c>
      <c r="C126" s="20" t="s">
        <v>590</v>
      </c>
      <c r="D126" s="150">
        <v>1180000</v>
      </c>
      <c r="E126" s="20" t="s">
        <v>435</v>
      </c>
      <c r="F126" s="20" t="s">
        <v>436</v>
      </c>
      <c r="G126" s="8" t="str">
        <f t="shared" si="1"/>
        <v>LEVERE CRAIG</v>
      </c>
    </row>
    <row r="127" spans="1:7" x14ac:dyDescent="0.25">
      <c r="A127" s="8">
        <v>42780.713761574072</v>
      </c>
      <c r="B127" s="20" t="s">
        <v>227</v>
      </c>
      <c r="C127" s="20" t="s">
        <v>490</v>
      </c>
      <c r="D127" s="150">
        <v>2220000</v>
      </c>
      <c r="E127" s="20" t="s">
        <v>218</v>
      </c>
      <c r="F127" s="20" t="s">
        <v>219</v>
      </c>
      <c r="G127" s="8" t="str">
        <f t="shared" si="1"/>
        <v>HILLS DUSTIN</v>
      </c>
    </row>
    <row r="128" spans="1:7" x14ac:dyDescent="0.25">
      <c r="A128" s="8">
        <v>42780.716631944444</v>
      </c>
      <c r="B128" s="20" t="s">
        <v>383</v>
      </c>
      <c r="C128" s="20" t="s">
        <v>491</v>
      </c>
      <c r="D128" s="150">
        <v>2470000</v>
      </c>
      <c r="E128" s="20" t="s">
        <v>406</v>
      </c>
      <c r="F128" s="20" t="s">
        <v>407</v>
      </c>
      <c r="G128" s="8" t="str">
        <f t="shared" si="1"/>
        <v>ROMERO CHAD</v>
      </c>
    </row>
    <row r="129" spans="1:7" x14ac:dyDescent="0.25">
      <c r="A129" s="8">
        <v>42780.718402777777</v>
      </c>
      <c r="B129" s="20" t="s">
        <v>258</v>
      </c>
      <c r="C129" s="20" t="s">
        <v>593</v>
      </c>
      <c r="D129" s="150">
        <v>1300000</v>
      </c>
      <c r="E129" s="20" t="s">
        <v>408</v>
      </c>
      <c r="F129" s="20" t="s">
        <v>409</v>
      </c>
      <c r="G129" s="8" t="str">
        <f t="shared" si="1"/>
        <v>LEVIN SCOTT</v>
      </c>
    </row>
    <row r="130" spans="1:7" x14ac:dyDescent="0.25">
      <c r="A130" s="8">
        <v>42780.725682870368</v>
      </c>
      <c r="B130" s="20" t="s">
        <v>300</v>
      </c>
      <c r="C130" s="20" t="s">
        <v>594</v>
      </c>
      <c r="D130" s="150">
        <v>2150000</v>
      </c>
      <c r="E130" s="20" t="s">
        <v>400</v>
      </c>
      <c r="F130" s="20" t="s">
        <v>401</v>
      </c>
      <c r="G130" s="8" t="str">
        <f t="shared" si="1"/>
        <v>SWANSON BRYCE</v>
      </c>
    </row>
    <row r="131" spans="1:7" x14ac:dyDescent="0.25">
      <c r="A131" s="8">
        <v>42780.728194444448</v>
      </c>
      <c r="B131" s="20" t="s">
        <v>306</v>
      </c>
      <c r="C131" s="20" t="s">
        <v>595</v>
      </c>
      <c r="D131" s="150">
        <v>1800000</v>
      </c>
      <c r="E131" s="20" t="s">
        <v>260</v>
      </c>
      <c r="F131" s="20" t="s">
        <v>261</v>
      </c>
      <c r="G131" s="8" t="str">
        <f t="shared" ref="G131:G194" si="2">E131&amp;" "&amp;F131</f>
        <v>CHANDLER KELVIN</v>
      </c>
    </row>
    <row r="132" spans="1:7" x14ac:dyDescent="0.25">
      <c r="A132" s="8">
        <v>42780.729641203703</v>
      </c>
      <c r="B132" s="20" t="s">
        <v>279</v>
      </c>
      <c r="C132" s="20" t="s">
        <v>596</v>
      </c>
      <c r="D132" s="150">
        <v>2220000</v>
      </c>
      <c r="E132" s="20" t="s">
        <v>218</v>
      </c>
      <c r="F132" s="20" t="s">
        <v>219</v>
      </c>
      <c r="G132" s="8" t="str">
        <f t="shared" si="2"/>
        <v>HILLS DUSTIN</v>
      </c>
    </row>
    <row r="133" spans="1:7" x14ac:dyDescent="0.25">
      <c r="A133" s="8">
        <v>42780.73165509259</v>
      </c>
      <c r="B133" s="20" t="s">
        <v>224</v>
      </c>
      <c r="C133" s="20" t="s">
        <v>492</v>
      </c>
      <c r="D133" s="150">
        <v>2250000</v>
      </c>
      <c r="E133" s="20" t="s">
        <v>389</v>
      </c>
      <c r="F133" s="20" t="s">
        <v>390</v>
      </c>
      <c r="G133" s="8" t="str">
        <f t="shared" si="2"/>
        <v>CRAYTON QUNTRELL</v>
      </c>
    </row>
    <row r="134" spans="1:7" x14ac:dyDescent="0.25">
      <c r="A134" s="8">
        <v>42780.732303240744</v>
      </c>
      <c r="B134" s="20" t="s">
        <v>224</v>
      </c>
      <c r="C134" s="20" t="s">
        <v>492</v>
      </c>
      <c r="D134" s="150">
        <v>2250000</v>
      </c>
      <c r="E134" s="20" t="s">
        <v>389</v>
      </c>
      <c r="F134" s="20" t="s">
        <v>390</v>
      </c>
      <c r="G134" s="8" t="str">
        <f t="shared" si="2"/>
        <v>CRAYTON QUNTRELL</v>
      </c>
    </row>
    <row r="135" spans="1:7" x14ac:dyDescent="0.25">
      <c r="A135" s="8">
        <v>42780.734050925923</v>
      </c>
      <c r="B135" s="20" t="s">
        <v>224</v>
      </c>
      <c r="C135" s="20" t="s">
        <v>492</v>
      </c>
      <c r="D135" s="150">
        <v>2250000</v>
      </c>
      <c r="E135" s="20" t="s">
        <v>389</v>
      </c>
      <c r="F135" s="20" t="s">
        <v>390</v>
      </c>
      <c r="G135" s="8" t="str">
        <f t="shared" si="2"/>
        <v>CRAYTON QUNTRELL</v>
      </c>
    </row>
    <row r="136" spans="1:7" x14ac:dyDescent="0.25">
      <c r="A136" s="8">
        <v>42780.735046296293</v>
      </c>
      <c r="B136" s="20" t="s">
        <v>259</v>
      </c>
      <c r="C136" s="20" t="s">
        <v>597</v>
      </c>
      <c r="D136" s="150">
        <v>1300000</v>
      </c>
      <c r="E136" s="20" t="s">
        <v>408</v>
      </c>
      <c r="F136" s="20" t="s">
        <v>409</v>
      </c>
      <c r="G136" s="8" t="str">
        <f t="shared" si="2"/>
        <v>LEVIN SCOTT</v>
      </c>
    </row>
    <row r="137" spans="1:7" x14ac:dyDescent="0.25">
      <c r="A137" s="8">
        <v>42780.747152777774</v>
      </c>
      <c r="B137" s="20" t="s">
        <v>300</v>
      </c>
      <c r="C137" s="20" t="s">
        <v>594</v>
      </c>
      <c r="D137" s="150">
        <v>2150000</v>
      </c>
      <c r="E137" s="20" t="s">
        <v>400</v>
      </c>
      <c r="F137" s="20" t="s">
        <v>401</v>
      </c>
      <c r="G137" s="8" t="str">
        <f t="shared" si="2"/>
        <v>SWANSON BRYCE</v>
      </c>
    </row>
    <row r="138" spans="1:7" x14ac:dyDescent="0.25">
      <c r="A138" s="8">
        <v>42780.751539351855</v>
      </c>
      <c r="B138" s="20" t="s">
        <v>430</v>
      </c>
      <c r="C138" s="20" t="s">
        <v>598</v>
      </c>
      <c r="D138" s="150">
        <v>2040000</v>
      </c>
      <c r="E138" s="20" t="s">
        <v>304</v>
      </c>
      <c r="F138" s="20" t="s">
        <v>305</v>
      </c>
      <c r="G138" s="8" t="str">
        <f t="shared" si="2"/>
        <v>MOSES BRADLEY</v>
      </c>
    </row>
    <row r="139" spans="1:7" x14ac:dyDescent="0.25">
      <c r="A139" s="8">
        <v>42780.755960648145</v>
      </c>
      <c r="B139" s="20" t="s">
        <v>227</v>
      </c>
      <c r="C139" s="20" t="s">
        <v>599</v>
      </c>
      <c r="D139" s="150">
        <v>2220000</v>
      </c>
      <c r="E139" s="20" t="s">
        <v>218</v>
      </c>
      <c r="F139" s="20" t="s">
        <v>219</v>
      </c>
      <c r="G139" s="8" t="str">
        <f t="shared" si="2"/>
        <v>HILLS DUSTIN</v>
      </c>
    </row>
    <row r="140" spans="1:7" x14ac:dyDescent="0.25">
      <c r="A140" s="8">
        <v>42780.760162037041</v>
      </c>
      <c r="B140" s="20" t="s">
        <v>383</v>
      </c>
      <c r="C140" s="20" t="s">
        <v>600</v>
      </c>
      <c r="D140" s="150">
        <v>2600000</v>
      </c>
      <c r="E140" s="20" t="s">
        <v>437</v>
      </c>
      <c r="F140" s="20" t="s">
        <v>387</v>
      </c>
      <c r="G140" s="8" t="str">
        <f t="shared" si="2"/>
        <v>DAVIDSON DAVID</v>
      </c>
    </row>
    <row r="141" spans="1:7" x14ac:dyDescent="0.25">
      <c r="A141" s="8">
        <v>42780.762812499997</v>
      </c>
      <c r="B141" s="20" t="s">
        <v>258</v>
      </c>
      <c r="C141" s="20" t="s">
        <v>601</v>
      </c>
      <c r="D141" s="150">
        <v>1300000</v>
      </c>
      <c r="E141" s="20" t="s">
        <v>408</v>
      </c>
      <c r="F141" s="20" t="s">
        <v>409</v>
      </c>
      <c r="G141" s="8" t="str">
        <f t="shared" si="2"/>
        <v>LEVIN SCOTT</v>
      </c>
    </row>
    <row r="142" spans="1:7" x14ac:dyDescent="0.25">
      <c r="A142" s="8">
        <v>42780.767060185186</v>
      </c>
      <c r="B142" s="20" t="s">
        <v>228</v>
      </c>
      <c r="C142" s="20" t="s">
        <v>493</v>
      </c>
      <c r="D142" s="150">
        <v>1740000</v>
      </c>
      <c r="E142" s="20" t="s">
        <v>229</v>
      </c>
      <c r="F142" s="20" t="s">
        <v>230</v>
      </c>
      <c r="G142" s="8" t="str">
        <f t="shared" si="2"/>
        <v>STORY SAMANTHA</v>
      </c>
    </row>
    <row r="143" spans="1:7" x14ac:dyDescent="0.25">
      <c r="A143" s="8">
        <v>42780.767407407409</v>
      </c>
      <c r="B143" s="20" t="s">
        <v>234</v>
      </c>
      <c r="C143" s="20" t="s">
        <v>602</v>
      </c>
      <c r="D143" s="150">
        <v>1190000</v>
      </c>
      <c r="E143" s="20" t="s">
        <v>568</v>
      </c>
      <c r="F143" s="20" t="s">
        <v>569</v>
      </c>
      <c r="G143" s="8" t="str">
        <f t="shared" si="2"/>
        <v>BRANNON JEFFREY</v>
      </c>
    </row>
    <row r="144" spans="1:7" x14ac:dyDescent="0.25">
      <c r="A144" s="8">
        <v>42780.76835648148</v>
      </c>
      <c r="B144" s="20" t="s">
        <v>285</v>
      </c>
      <c r="C144" s="20" t="s">
        <v>603</v>
      </c>
      <c r="D144" s="150">
        <v>2450000</v>
      </c>
      <c r="E144" s="20" t="s">
        <v>236</v>
      </c>
      <c r="F144" s="20" t="s">
        <v>237</v>
      </c>
      <c r="G144" s="8" t="str">
        <f t="shared" si="2"/>
        <v>NELSON ARIANE</v>
      </c>
    </row>
    <row r="145" spans="1:7" x14ac:dyDescent="0.25">
      <c r="A145" s="8">
        <v>42780.769675925927</v>
      </c>
      <c r="B145" s="20" t="s">
        <v>279</v>
      </c>
      <c r="C145" s="20" t="s">
        <v>604</v>
      </c>
      <c r="D145" s="150">
        <v>2220000</v>
      </c>
      <c r="E145" s="20" t="s">
        <v>218</v>
      </c>
      <c r="F145" s="20" t="s">
        <v>219</v>
      </c>
      <c r="G145" s="8" t="str">
        <f t="shared" si="2"/>
        <v>HILLS DUSTIN</v>
      </c>
    </row>
    <row r="146" spans="1:7" x14ac:dyDescent="0.25">
      <c r="A146" s="8">
        <v>42780.776087962964</v>
      </c>
      <c r="B146" s="20" t="s">
        <v>259</v>
      </c>
      <c r="C146" s="20" t="s">
        <v>605</v>
      </c>
      <c r="D146" s="150">
        <v>1300000</v>
      </c>
      <c r="E146" s="20" t="s">
        <v>408</v>
      </c>
      <c r="F146" s="20" t="s">
        <v>409</v>
      </c>
      <c r="G146" s="8" t="str">
        <f t="shared" si="2"/>
        <v>LEVIN SCOTT</v>
      </c>
    </row>
    <row r="147" spans="1:7" x14ac:dyDescent="0.25">
      <c r="A147" s="8">
        <v>42780.779108796298</v>
      </c>
      <c r="B147" s="20" t="s">
        <v>383</v>
      </c>
      <c r="C147" s="20" t="s">
        <v>600</v>
      </c>
      <c r="D147" s="150">
        <v>2600000</v>
      </c>
      <c r="E147" s="20" t="s">
        <v>437</v>
      </c>
      <c r="F147" s="20" t="s">
        <v>387</v>
      </c>
      <c r="G147" s="8" t="str">
        <f t="shared" si="2"/>
        <v>DAVIDSON DAVID</v>
      </c>
    </row>
    <row r="148" spans="1:7" x14ac:dyDescent="0.25">
      <c r="A148" s="8">
        <v>42780.789490740739</v>
      </c>
      <c r="B148" s="20" t="s">
        <v>306</v>
      </c>
      <c r="C148" s="20" t="s">
        <v>606</v>
      </c>
      <c r="D148" s="150">
        <v>1800000</v>
      </c>
      <c r="E148" s="20" t="s">
        <v>260</v>
      </c>
      <c r="F148" s="20" t="s">
        <v>261</v>
      </c>
      <c r="G148" s="8" t="str">
        <f t="shared" si="2"/>
        <v>CHANDLER KELVIN</v>
      </c>
    </row>
    <row r="149" spans="1:7" x14ac:dyDescent="0.25">
      <c r="A149" s="8">
        <v>42780.797453703701</v>
      </c>
      <c r="B149" s="20" t="s">
        <v>227</v>
      </c>
      <c r="C149" s="20" t="s">
        <v>607</v>
      </c>
      <c r="D149" s="150">
        <v>2220000</v>
      </c>
      <c r="E149" s="20" t="s">
        <v>218</v>
      </c>
      <c r="F149" s="20" t="s">
        <v>219</v>
      </c>
      <c r="G149" s="8" t="str">
        <f t="shared" si="2"/>
        <v>HILLS DUSTIN</v>
      </c>
    </row>
    <row r="150" spans="1:7" x14ac:dyDescent="0.25">
      <c r="A150" s="8">
        <v>42780.798229166663</v>
      </c>
      <c r="B150" s="20" t="s">
        <v>224</v>
      </c>
      <c r="C150" s="20" t="s">
        <v>608</v>
      </c>
      <c r="D150" s="150">
        <v>2610000</v>
      </c>
      <c r="E150" s="20" t="s">
        <v>440</v>
      </c>
      <c r="F150" s="20" t="s">
        <v>441</v>
      </c>
      <c r="G150" s="8" t="str">
        <f t="shared" si="2"/>
        <v>MAGEE KENYA</v>
      </c>
    </row>
    <row r="151" spans="1:7" x14ac:dyDescent="0.25">
      <c r="A151" s="8">
        <v>42780.8044212963</v>
      </c>
      <c r="B151" s="20" t="s">
        <v>258</v>
      </c>
      <c r="C151" s="20" t="s">
        <v>494</v>
      </c>
      <c r="D151" s="150">
        <v>1300000</v>
      </c>
      <c r="E151" s="20" t="s">
        <v>408</v>
      </c>
      <c r="F151" s="20" t="s">
        <v>409</v>
      </c>
      <c r="G151" s="8" t="str">
        <f t="shared" si="2"/>
        <v>LEVIN SCOTT</v>
      </c>
    </row>
    <row r="152" spans="1:7" x14ac:dyDescent="0.25">
      <c r="A152" s="8">
        <v>42780.80976851852</v>
      </c>
      <c r="B152" s="20" t="s">
        <v>300</v>
      </c>
      <c r="C152" s="20" t="s">
        <v>609</v>
      </c>
      <c r="D152" s="150">
        <v>2000000</v>
      </c>
      <c r="E152" s="20" t="s">
        <v>251</v>
      </c>
      <c r="F152" s="20" t="s">
        <v>200</v>
      </c>
      <c r="G152" s="8" t="str">
        <f t="shared" si="2"/>
        <v>STAMBAUGH JAMES</v>
      </c>
    </row>
    <row r="153" spans="1:7" x14ac:dyDescent="0.25">
      <c r="A153" s="8">
        <v>42780.810636574075</v>
      </c>
      <c r="B153" s="20" t="s">
        <v>300</v>
      </c>
      <c r="C153" s="20" t="s">
        <v>609</v>
      </c>
      <c r="D153" s="150">
        <v>2000000</v>
      </c>
      <c r="E153" s="20" t="s">
        <v>251</v>
      </c>
      <c r="F153" s="20" t="s">
        <v>200</v>
      </c>
      <c r="G153" s="8" t="str">
        <f t="shared" si="2"/>
        <v>STAMBAUGH JAMES</v>
      </c>
    </row>
    <row r="154" spans="1:7" x14ac:dyDescent="0.25">
      <c r="A154" s="8">
        <v>42780.811145833337</v>
      </c>
      <c r="B154" s="20" t="s">
        <v>300</v>
      </c>
      <c r="C154" s="20" t="s">
        <v>609</v>
      </c>
      <c r="D154" s="150">
        <v>2000000</v>
      </c>
      <c r="E154" s="20" t="s">
        <v>251</v>
      </c>
      <c r="F154" s="20" t="s">
        <v>200</v>
      </c>
      <c r="G154" s="8" t="str">
        <f t="shared" si="2"/>
        <v>STAMBAUGH JAMES</v>
      </c>
    </row>
    <row r="155" spans="1:7" x14ac:dyDescent="0.25">
      <c r="A155" s="8">
        <v>42780.818124999998</v>
      </c>
      <c r="B155" s="20" t="s">
        <v>259</v>
      </c>
      <c r="C155" s="20" t="s">
        <v>610</v>
      </c>
      <c r="D155" s="150">
        <v>1300000</v>
      </c>
      <c r="E155" s="20" t="s">
        <v>408</v>
      </c>
      <c r="F155" s="20" t="s">
        <v>409</v>
      </c>
      <c r="G155" s="8" t="str">
        <f t="shared" si="2"/>
        <v>LEVIN SCOTT</v>
      </c>
    </row>
    <row r="156" spans="1:7" x14ac:dyDescent="0.25">
      <c r="A156" s="8">
        <v>42780.82508101852</v>
      </c>
      <c r="B156" s="20" t="s">
        <v>285</v>
      </c>
      <c r="C156" s="20" t="s">
        <v>495</v>
      </c>
      <c r="D156" s="150">
        <v>2450000</v>
      </c>
      <c r="E156" s="20" t="s">
        <v>236</v>
      </c>
      <c r="F156" s="20" t="s">
        <v>237</v>
      </c>
      <c r="G156" s="8" t="str">
        <f t="shared" si="2"/>
        <v>NELSON ARIANE</v>
      </c>
    </row>
    <row r="157" spans="1:7" x14ac:dyDescent="0.25">
      <c r="A157" s="8">
        <v>42780.830254629633</v>
      </c>
      <c r="B157" s="20" t="s">
        <v>228</v>
      </c>
      <c r="C157" s="20" t="s">
        <v>611</v>
      </c>
      <c r="D157" s="150">
        <v>1740000</v>
      </c>
      <c r="E157" s="20" t="s">
        <v>229</v>
      </c>
      <c r="F157" s="20" t="s">
        <v>230</v>
      </c>
      <c r="G157" s="8" t="str">
        <f t="shared" si="2"/>
        <v>STORY SAMANTHA</v>
      </c>
    </row>
    <row r="158" spans="1:7" x14ac:dyDescent="0.25">
      <c r="A158" s="8">
        <v>42780.831226851849</v>
      </c>
      <c r="B158" s="20" t="s">
        <v>228</v>
      </c>
      <c r="C158" s="20" t="s">
        <v>611</v>
      </c>
      <c r="D158" s="150">
        <v>1740000</v>
      </c>
      <c r="E158" s="20" t="s">
        <v>229</v>
      </c>
      <c r="F158" s="20" t="s">
        <v>230</v>
      </c>
      <c r="G158" s="8" t="str">
        <f t="shared" si="2"/>
        <v>STORY SAMANTHA</v>
      </c>
    </row>
    <row r="159" spans="1:7" x14ac:dyDescent="0.25">
      <c r="A159" s="8">
        <v>42780.832685185182</v>
      </c>
      <c r="B159" s="20" t="s">
        <v>383</v>
      </c>
      <c r="C159" s="20" t="s">
        <v>612</v>
      </c>
      <c r="D159" s="150">
        <v>2600000</v>
      </c>
      <c r="E159" s="20" t="s">
        <v>437</v>
      </c>
      <c r="F159" s="20" t="s">
        <v>387</v>
      </c>
      <c r="G159" s="8" t="str">
        <f t="shared" si="2"/>
        <v>DAVIDSON DAVID</v>
      </c>
    </row>
    <row r="160" spans="1:7" x14ac:dyDescent="0.25">
      <c r="A160" s="8">
        <v>42780.84511574074</v>
      </c>
      <c r="B160" s="20" t="s">
        <v>258</v>
      </c>
      <c r="C160" s="20" t="s">
        <v>613</v>
      </c>
      <c r="D160" s="150">
        <v>1300000</v>
      </c>
      <c r="E160" s="20" t="s">
        <v>408</v>
      </c>
      <c r="F160" s="20" t="s">
        <v>409</v>
      </c>
      <c r="G160" s="8" t="str">
        <f t="shared" si="2"/>
        <v>LEVIN SCOTT</v>
      </c>
    </row>
    <row r="161" spans="1:7" x14ac:dyDescent="0.25">
      <c r="A161" s="8">
        <v>42780.852326388886</v>
      </c>
      <c r="B161" s="20" t="s">
        <v>383</v>
      </c>
      <c r="C161" s="20" t="s">
        <v>612</v>
      </c>
      <c r="D161" s="150">
        <v>2600000</v>
      </c>
      <c r="E161" s="20" t="s">
        <v>437</v>
      </c>
      <c r="F161" s="20" t="s">
        <v>387</v>
      </c>
      <c r="G161" s="8" t="str">
        <f t="shared" si="2"/>
        <v>DAVIDSON DAVID</v>
      </c>
    </row>
    <row r="162" spans="1:7" x14ac:dyDescent="0.25">
      <c r="A162" s="8">
        <v>42780.858715277776</v>
      </c>
      <c r="B162" s="20" t="s">
        <v>303</v>
      </c>
      <c r="C162" s="20" t="s">
        <v>614</v>
      </c>
      <c r="D162" s="150">
        <v>1800000</v>
      </c>
      <c r="E162" s="20" t="s">
        <v>260</v>
      </c>
      <c r="F162" s="20" t="s">
        <v>261</v>
      </c>
      <c r="G162" s="8" t="str">
        <f t="shared" si="2"/>
        <v>CHANDLER KELVIN</v>
      </c>
    </row>
    <row r="163" spans="1:7" x14ac:dyDescent="0.25">
      <c r="A163" s="8">
        <v>42780.859270833331</v>
      </c>
      <c r="B163" s="20" t="s">
        <v>259</v>
      </c>
      <c r="C163" s="20" t="s">
        <v>615</v>
      </c>
      <c r="D163" s="150">
        <v>1300000</v>
      </c>
      <c r="E163" s="20" t="s">
        <v>408</v>
      </c>
      <c r="F163" s="20" t="s">
        <v>409</v>
      </c>
      <c r="G163" s="8" t="str">
        <f t="shared" si="2"/>
        <v>LEVIN SCOTT</v>
      </c>
    </row>
    <row r="164" spans="1:7" x14ac:dyDescent="0.25">
      <c r="A164" s="8">
        <v>42780.860150462962</v>
      </c>
      <c r="B164" s="20" t="s">
        <v>303</v>
      </c>
      <c r="C164" s="20" t="s">
        <v>614</v>
      </c>
      <c r="D164" s="150">
        <v>1800000</v>
      </c>
      <c r="E164" s="20" t="s">
        <v>260</v>
      </c>
      <c r="F164" s="20" t="s">
        <v>261</v>
      </c>
      <c r="G164" s="8" t="str">
        <f t="shared" si="2"/>
        <v>CHANDLER KELVIN</v>
      </c>
    </row>
    <row r="165" spans="1:7" x14ac:dyDescent="0.25">
      <c r="A165" s="8">
        <v>42780.873506944445</v>
      </c>
      <c r="B165" s="20" t="s">
        <v>300</v>
      </c>
      <c r="C165" s="20" t="s">
        <v>616</v>
      </c>
      <c r="D165" s="150">
        <v>2000000</v>
      </c>
      <c r="E165" s="20" t="s">
        <v>251</v>
      </c>
      <c r="F165" s="20" t="s">
        <v>200</v>
      </c>
      <c r="G165" s="8" t="str">
        <f t="shared" si="2"/>
        <v>STAMBAUGH JAMES</v>
      </c>
    </row>
    <row r="166" spans="1:7" x14ac:dyDescent="0.25">
      <c r="A166" s="8">
        <v>42780.874027777776</v>
      </c>
      <c r="B166" s="20" t="s">
        <v>300</v>
      </c>
      <c r="C166" s="20" t="s">
        <v>617</v>
      </c>
      <c r="D166" s="150">
        <v>2000000</v>
      </c>
      <c r="E166" s="20" t="s">
        <v>251</v>
      </c>
      <c r="F166" s="20" t="s">
        <v>200</v>
      </c>
      <c r="G166" s="8" t="str">
        <f t="shared" si="2"/>
        <v>STAMBAUGH JAMES</v>
      </c>
    </row>
    <row r="167" spans="1:7" x14ac:dyDescent="0.25">
      <c r="A167" s="8">
        <v>42780.876087962963</v>
      </c>
      <c r="B167" s="20" t="s">
        <v>224</v>
      </c>
      <c r="C167" s="20" t="s">
        <v>618</v>
      </c>
      <c r="D167" s="150">
        <v>2630000</v>
      </c>
      <c r="E167" s="20" t="s">
        <v>298</v>
      </c>
      <c r="F167" s="20" t="s">
        <v>299</v>
      </c>
      <c r="G167" s="8" t="str">
        <f t="shared" si="2"/>
        <v>SAFIEF AEIMEN</v>
      </c>
    </row>
    <row r="168" spans="1:7" x14ac:dyDescent="0.25">
      <c r="A168" s="8">
        <v>42780.876354166663</v>
      </c>
      <c r="B168" s="20" t="s">
        <v>258</v>
      </c>
      <c r="C168" s="20" t="s">
        <v>619</v>
      </c>
      <c r="D168" s="150">
        <v>2220000</v>
      </c>
      <c r="E168" s="20" t="s">
        <v>218</v>
      </c>
      <c r="F168" s="20" t="s">
        <v>219</v>
      </c>
      <c r="G168" s="8" t="str">
        <f t="shared" si="2"/>
        <v>HILLS DUSTIN</v>
      </c>
    </row>
    <row r="169" spans="1:7" x14ac:dyDescent="0.25">
      <c r="A169" s="8">
        <v>42780.889097222222</v>
      </c>
      <c r="B169" s="20" t="s">
        <v>285</v>
      </c>
      <c r="C169" s="20" t="s">
        <v>620</v>
      </c>
      <c r="D169" s="150">
        <v>1800000</v>
      </c>
      <c r="E169" s="20" t="s">
        <v>260</v>
      </c>
      <c r="F169" s="20" t="s">
        <v>261</v>
      </c>
      <c r="G169" s="8" t="str">
        <f t="shared" si="2"/>
        <v>CHANDLER KELVIN</v>
      </c>
    </row>
    <row r="170" spans="1:7" x14ac:dyDescent="0.25">
      <c r="A170" s="8">
        <v>42780.892476851855</v>
      </c>
      <c r="B170" s="20" t="s">
        <v>228</v>
      </c>
      <c r="C170" s="20" t="s">
        <v>621</v>
      </c>
      <c r="D170" s="150">
        <v>1740000</v>
      </c>
      <c r="E170" s="20" t="s">
        <v>229</v>
      </c>
      <c r="F170" s="20" t="s">
        <v>230</v>
      </c>
      <c r="G170" s="8" t="str">
        <f t="shared" si="2"/>
        <v>STORY SAMANTHA</v>
      </c>
    </row>
    <row r="171" spans="1:7" x14ac:dyDescent="0.25">
      <c r="A171" s="8">
        <v>42780.897488425922</v>
      </c>
      <c r="B171" s="20" t="s">
        <v>383</v>
      </c>
      <c r="C171" s="20" t="s">
        <v>616</v>
      </c>
      <c r="D171" s="150">
        <v>2600000</v>
      </c>
      <c r="E171" s="20" t="s">
        <v>437</v>
      </c>
      <c r="F171" s="20" t="s">
        <v>387</v>
      </c>
      <c r="G171" s="8" t="str">
        <f t="shared" si="2"/>
        <v>DAVIDSON DAVID</v>
      </c>
    </row>
    <row r="172" spans="1:7" x14ac:dyDescent="0.25">
      <c r="A172" s="8">
        <v>42780.89775462963</v>
      </c>
      <c r="B172" s="20" t="s">
        <v>285</v>
      </c>
      <c r="C172" s="20" t="s">
        <v>620</v>
      </c>
      <c r="D172" s="150">
        <v>1800000</v>
      </c>
      <c r="E172" s="20" t="s">
        <v>260</v>
      </c>
      <c r="F172" s="20" t="s">
        <v>261</v>
      </c>
      <c r="G172" s="8" t="str">
        <f t="shared" si="2"/>
        <v>CHANDLER KELVIN</v>
      </c>
    </row>
    <row r="173" spans="1:7" x14ac:dyDescent="0.25">
      <c r="A173" s="8">
        <v>42780.901562500003</v>
      </c>
      <c r="B173" s="20" t="s">
        <v>259</v>
      </c>
      <c r="C173" s="20" t="s">
        <v>496</v>
      </c>
      <c r="D173" s="150">
        <v>2220000</v>
      </c>
      <c r="E173" s="20" t="s">
        <v>218</v>
      </c>
      <c r="F173" s="20" t="s">
        <v>219</v>
      </c>
      <c r="G173" s="8" t="str">
        <f t="shared" si="2"/>
        <v>HILLS DUSTIN</v>
      </c>
    </row>
    <row r="174" spans="1:7" x14ac:dyDescent="0.25">
      <c r="A174" s="8">
        <v>42780.915127314816</v>
      </c>
      <c r="B174" s="20" t="s">
        <v>258</v>
      </c>
      <c r="C174" s="20" t="s">
        <v>622</v>
      </c>
      <c r="D174" s="150">
        <v>2220000</v>
      </c>
      <c r="E174" s="20" t="s">
        <v>218</v>
      </c>
      <c r="F174" s="20" t="s">
        <v>219</v>
      </c>
      <c r="G174" s="8" t="str">
        <f t="shared" si="2"/>
        <v>HILLS DUSTIN</v>
      </c>
    </row>
    <row r="175" spans="1:7" x14ac:dyDescent="0.25">
      <c r="A175" s="8">
        <v>42780.915567129632</v>
      </c>
      <c r="B175" s="20" t="s">
        <v>303</v>
      </c>
      <c r="C175" s="20" t="s">
        <v>623</v>
      </c>
      <c r="D175" s="150">
        <v>1800000</v>
      </c>
      <c r="E175" s="20" t="s">
        <v>260</v>
      </c>
      <c r="F175" s="20" t="s">
        <v>261</v>
      </c>
      <c r="G175" s="8" t="str">
        <f t="shared" si="2"/>
        <v>CHANDLER KELVIN</v>
      </c>
    </row>
    <row r="176" spans="1:7" x14ac:dyDescent="0.25">
      <c r="A176" s="8">
        <v>42780.915601851855</v>
      </c>
      <c r="B176" s="20" t="s">
        <v>383</v>
      </c>
      <c r="C176" s="20" t="s">
        <v>616</v>
      </c>
      <c r="D176" s="150">
        <v>2600000</v>
      </c>
      <c r="E176" s="20" t="s">
        <v>437</v>
      </c>
      <c r="F176" s="20" t="s">
        <v>387</v>
      </c>
      <c r="G176" s="8" t="str">
        <f t="shared" si="2"/>
        <v>DAVIDSON DAVID</v>
      </c>
    </row>
    <row r="177" spans="1:7" x14ac:dyDescent="0.25">
      <c r="A177" s="8">
        <v>42780.932349537034</v>
      </c>
      <c r="B177" s="20" t="s">
        <v>224</v>
      </c>
      <c r="C177" s="20" t="s">
        <v>624</v>
      </c>
      <c r="D177" s="150">
        <v>2630000</v>
      </c>
      <c r="E177" s="20" t="s">
        <v>298</v>
      </c>
      <c r="F177" s="20" t="s">
        <v>299</v>
      </c>
      <c r="G177" s="8" t="str">
        <f t="shared" si="2"/>
        <v>SAFIEF AEIMEN</v>
      </c>
    </row>
    <row r="178" spans="1:7" x14ac:dyDescent="0.25">
      <c r="A178" s="8">
        <v>42780.933912037035</v>
      </c>
      <c r="B178" s="20" t="s">
        <v>224</v>
      </c>
      <c r="C178" s="20" t="s">
        <v>624</v>
      </c>
      <c r="D178" s="150">
        <v>2630000</v>
      </c>
      <c r="E178" s="20" t="s">
        <v>298</v>
      </c>
      <c r="F178" s="20" t="s">
        <v>299</v>
      </c>
      <c r="G178" s="8" t="str">
        <f t="shared" si="2"/>
        <v>SAFIEF AEIMEN</v>
      </c>
    </row>
    <row r="179" spans="1:7" x14ac:dyDescent="0.25">
      <c r="A179" s="8">
        <v>42780.93577546296</v>
      </c>
      <c r="B179" s="20" t="s">
        <v>300</v>
      </c>
      <c r="C179" s="20" t="s">
        <v>625</v>
      </c>
      <c r="D179" s="150">
        <v>2000000</v>
      </c>
      <c r="E179" s="20" t="s">
        <v>251</v>
      </c>
      <c r="F179" s="20" t="s">
        <v>200</v>
      </c>
      <c r="G179" s="8" t="str">
        <f t="shared" si="2"/>
        <v>STAMBAUGH JAMES</v>
      </c>
    </row>
    <row r="180" spans="1:7" x14ac:dyDescent="0.25">
      <c r="A180" s="8">
        <v>42780.93645833333</v>
      </c>
      <c r="B180" s="20" t="s">
        <v>224</v>
      </c>
      <c r="C180" s="20" t="s">
        <v>624</v>
      </c>
      <c r="D180" s="150">
        <v>2630000</v>
      </c>
      <c r="E180" s="20" t="s">
        <v>298</v>
      </c>
      <c r="F180" s="20" t="s">
        <v>299</v>
      </c>
      <c r="G180" s="8" t="str">
        <f t="shared" si="2"/>
        <v>SAFIEF AEIMEN</v>
      </c>
    </row>
    <row r="181" spans="1:7" x14ac:dyDescent="0.25">
      <c r="A181" s="8">
        <v>42780.939166666663</v>
      </c>
      <c r="B181" s="20" t="s">
        <v>306</v>
      </c>
      <c r="C181" s="20" t="s">
        <v>626</v>
      </c>
      <c r="D181" s="150">
        <v>2730000</v>
      </c>
      <c r="E181" s="20" t="s">
        <v>438</v>
      </c>
      <c r="F181" s="20" t="s">
        <v>439</v>
      </c>
      <c r="G181" s="8" t="str">
        <f t="shared" si="2"/>
        <v>YANG JAN</v>
      </c>
    </row>
    <row r="182" spans="1:7" x14ac:dyDescent="0.25">
      <c r="A182" s="8">
        <v>42780.943067129629</v>
      </c>
      <c r="B182" s="20" t="s">
        <v>259</v>
      </c>
      <c r="C182" s="20" t="s">
        <v>627</v>
      </c>
      <c r="D182" s="150">
        <v>2220000</v>
      </c>
      <c r="E182" s="20" t="s">
        <v>218</v>
      </c>
      <c r="F182" s="20" t="s">
        <v>219</v>
      </c>
      <c r="G182" s="8" t="str">
        <f t="shared" si="2"/>
        <v>HILLS DUSTIN</v>
      </c>
    </row>
    <row r="183" spans="1:7" x14ac:dyDescent="0.25">
      <c r="A183" s="8">
        <v>42780.943379629629</v>
      </c>
      <c r="B183" s="20" t="s">
        <v>300</v>
      </c>
      <c r="C183" s="20" t="s">
        <v>625</v>
      </c>
      <c r="D183" s="150">
        <v>2000000</v>
      </c>
      <c r="E183" s="20" t="s">
        <v>251</v>
      </c>
      <c r="F183" s="20" t="s">
        <v>200</v>
      </c>
      <c r="G183" s="8" t="str">
        <f t="shared" si="2"/>
        <v>STAMBAUGH JAMES</v>
      </c>
    </row>
    <row r="184" spans="1:7" x14ac:dyDescent="0.25">
      <c r="A184" s="8">
        <v>42780.956180555557</v>
      </c>
      <c r="B184" s="20" t="s">
        <v>285</v>
      </c>
      <c r="C184" s="20" t="s">
        <v>628</v>
      </c>
      <c r="D184" s="150">
        <v>1800000</v>
      </c>
      <c r="E184" s="20" t="s">
        <v>260</v>
      </c>
      <c r="F184" s="20" t="s">
        <v>261</v>
      </c>
      <c r="G184" s="8" t="str">
        <f t="shared" si="2"/>
        <v>CHANDLER KELVIN</v>
      </c>
    </row>
    <row r="185" spans="1:7" x14ac:dyDescent="0.25">
      <c r="A185" s="8">
        <v>42780.961192129631</v>
      </c>
      <c r="B185" s="20" t="s">
        <v>228</v>
      </c>
      <c r="C185" s="20" t="s">
        <v>629</v>
      </c>
      <c r="D185" s="150">
        <v>1740000</v>
      </c>
      <c r="E185" s="20" t="s">
        <v>229</v>
      </c>
      <c r="F185" s="20" t="s">
        <v>230</v>
      </c>
      <c r="G185" s="8" t="str">
        <f t="shared" si="2"/>
        <v>STORY SAMANTHA</v>
      </c>
    </row>
    <row r="186" spans="1:7" x14ac:dyDescent="0.25">
      <c r="A186" s="8">
        <v>42780.969699074078</v>
      </c>
      <c r="B186" s="20" t="s">
        <v>383</v>
      </c>
      <c r="C186" s="20" t="s">
        <v>630</v>
      </c>
      <c r="D186" s="150">
        <v>2600000</v>
      </c>
      <c r="E186" s="20" t="s">
        <v>437</v>
      </c>
      <c r="F186" s="20" t="s">
        <v>387</v>
      </c>
      <c r="G186" s="8" t="str">
        <f t="shared" si="2"/>
        <v>DAVIDSON DAVID</v>
      </c>
    </row>
    <row r="187" spans="1:7" x14ac:dyDescent="0.25">
      <c r="A187" s="8">
        <v>42780.978356481479</v>
      </c>
      <c r="B187" s="20" t="s">
        <v>303</v>
      </c>
      <c r="C187" s="20" t="s">
        <v>631</v>
      </c>
      <c r="D187" s="150">
        <v>1800000</v>
      </c>
      <c r="E187" s="20" t="s">
        <v>260</v>
      </c>
      <c r="F187" s="20" t="s">
        <v>261</v>
      </c>
      <c r="G187" s="8" t="str">
        <f t="shared" si="2"/>
        <v>CHANDLER KELVIN</v>
      </c>
    </row>
    <row r="188" spans="1:7" x14ac:dyDescent="0.25">
      <c r="A188" s="8">
        <v>42780.984513888892</v>
      </c>
      <c r="B188" s="20" t="s">
        <v>250</v>
      </c>
      <c r="C188" s="20" t="s">
        <v>632</v>
      </c>
      <c r="D188" s="150">
        <v>2610000</v>
      </c>
      <c r="E188" s="20" t="s">
        <v>440</v>
      </c>
      <c r="F188" s="20" t="s">
        <v>441</v>
      </c>
      <c r="G188" s="8" t="str">
        <f t="shared" si="2"/>
        <v>MAGEE KENYA</v>
      </c>
    </row>
    <row r="189" spans="1:7" x14ac:dyDescent="0.25">
      <c r="A189" s="8">
        <v>42780.989675925928</v>
      </c>
      <c r="B189" s="20" t="s">
        <v>224</v>
      </c>
      <c r="C189" s="20" t="s">
        <v>633</v>
      </c>
      <c r="D189" s="150">
        <v>2630000</v>
      </c>
      <c r="E189" s="20" t="s">
        <v>298</v>
      </c>
      <c r="F189" s="20" t="s">
        <v>299</v>
      </c>
      <c r="G189" s="8" t="str">
        <f t="shared" si="2"/>
        <v>SAFIEF AEIMEN</v>
      </c>
    </row>
    <row r="190" spans="1:7" x14ac:dyDescent="0.25">
      <c r="A190" s="8">
        <v>42780.994652777779</v>
      </c>
      <c r="B190" s="20" t="s">
        <v>209</v>
      </c>
      <c r="C190" s="20" t="s">
        <v>634</v>
      </c>
      <c r="D190" s="150">
        <v>2000000</v>
      </c>
      <c r="E190" s="20" t="s">
        <v>251</v>
      </c>
      <c r="F190" s="20" t="s">
        <v>200</v>
      </c>
      <c r="G190" s="8" t="str">
        <f t="shared" si="2"/>
        <v>STAMBAUGH JAMES</v>
      </c>
    </row>
    <row r="191" spans="1:7" x14ac:dyDescent="0.25">
      <c r="A191" s="8">
        <v>42781.004143518519</v>
      </c>
      <c r="B191" s="20" t="s">
        <v>306</v>
      </c>
      <c r="C191" s="20" t="s">
        <v>626</v>
      </c>
      <c r="D191" s="150">
        <v>2730000</v>
      </c>
      <c r="E191" s="20" t="s">
        <v>438</v>
      </c>
      <c r="F191" s="20" t="s">
        <v>439</v>
      </c>
      <c r="G191" s="8" t="str">
        <f t="shared" si="2"/>
        <v>YANG JAN</v>
      </c>
    </row>
    <row r="192" spans="1:7" x14ac:dyDescent="0.25">
      <c r="A192" s="8">
        <v>42781.009328703702</v>
      </c>
      <c r="B192" s="20" t="s">
        <v>285</v>
      </c>
      <c r="C192" s="20" t="s">
        <v>635</v>
      </c>
      <c r="D192" s="150">
        <v>1800000</v>
      </c>
      <c r="E192" s="20" t="s">
        <v>260</v>
      </c>
      <c r="F192" s="20" t="s">
        <v>261</v>
      </c>
      <c r="G192" s="8" t="str">
        <f t="shared" si="2"/>
        <v>CHANDLER KELVIN</v>
      </c>
    </row>
    <row r="193" spans="1:7" x14ac:dyDescent="0.25">
      <c r="A193" s="8">
        <v>42781.013090277775</v>
      </c>
      <c r="B193" s="20" t="s">
        <v>228</v>
      </c>
      <c r="C193" s="20" t="s">
        <v>636</v>
      </c>
      <c r="D193" s="150">
        <v>1740000</v>
      </c>
      <c r="E193" s="20" t="s">
        <v>229</v>
      </c>
      <c r="F193" s="20" t="s">
        <v>230</v>
      </c>
      <c r="G193" s="8" t="str">
        <f t="shared" si="2"/>
        <v>STORY SAMANTHA</v>
      </c>
    </row>
    <row r="194" spans="1:7" x14ac:dyDescent="0.25">
      <c r="A194" s="8">
        <v>42781.013969907406</v>
      </c>
      <c r="B194" s="20" t="s">
        <v>250</v>
      </c>
      <c r="C194" s="20" t="s">
        <v>637</v>
      </c>
      <c r="D194" s="150">
        <v>2610000</v>
      </c>
      <c r="E194" s="20" t="s">
        <v>440</v>
      </c>
      <c r="F194" s="20" t="s">
        <v>441</v>
      </c>
      <c r="G194" s="8" t="str">
        <f t="shared" si="2"/>
        <v>MAGEE KENYA</v>
      </c>
    </row>
    <row r="195" spans="1:7" x14ac:dyDescent="0.25">
      <c r="A195" s="8">
        <v>42781.021377314813</v>
      </c>
      <c r="B195" s="20" t="s">
        <v>383</v>
      </c>
      <c r="C195" s="20" t="s">
        <v>638</v>
      </c>
      <c r="D195" s="150">
        <v>2600000</v>
      </c>
      <c r="E195" s="20" t="s">
        <v>437</v>
      </c>
      <c r="F195" s="20" t="s">
        <v>387</v>
      </c>
      <c r="G195" s="8" t="str">
        <f t="shared" ref="G195:G258" si="3">E195&amp;" "&amp;F195</f>
        <v>DAVIDSON DAVID</v>
      </c>
    </row>
    <row r="196" spans="1:7" x14ac:dyDescent="0.25">
      <c r="A196" s="8">
        <v>42781.023136574076</v>
      </c>
      <c r="B196" s="20" t="s">
        <v>306</v>
      </c>
      <c r="C196" s="20" t="s">
        <v>626</v>
      </c>
      <c r="D196" s="150">
        <v>2730000</v>
      </c>
      <c r="E196" s="20" t="s">
        <v>438</v>
      </c>
      <c r="F196" s="20" t="s">
        <v>439</v>
      </c>
      <c r="G196" s="8" t="str">
        <f t="shared" si="3"/>
        <v>YANG JAN</v>
      </c>
    </row>
    <row r="197" spans="1:7" x14ac:dyDescent="0.25">
      <c r="A197" s="8">
        <v>42781.026006944441</v>
      </c>
      <c r="B197" s="20" t="s">
        <v>303</v>
      </c>
      <c r="C197" s="20" t="s">
        <v>639</v>
      </c>
      <c r="D197" s="150">
        <v>1800000</v>
      </c>
      <c r="E197" s="20" t="s">
        <v>260</v>
      </c>
      <c r="F197" s="20" t="s">
        <v>261</v>
      </c>
      <c r="G197" s="8" t="str">
        <f t="shared" si="3"/>
        <v>CHANDLER KELVIN</v>
      </c>
    </row>
    <row r="198" spans="1:7" x14ac:dyDescent="0.25">
      <c r="A198" s="8">
        <v>42781.038981481484</v>
      </c>
      <c r="B198" s="20" t="s">
        <v>250</v>
      </c>
      <c r="C198" s="20" t="s">
        <v>626</v>
      </c>
      <c r="D198" s="150">
        <v>2730000</v>
      </c>
      <c r="E198" s="20" t="s">
        <v>438</v>
      </c>
      <c r="F198" s="20" t="s">
        <v>439</v>
      </c>
      <c r="G198" s="8" t="str">
        <f t="shared" si="3"/>
        <v>YANG JAN</v>
      </c>
    </row>
    <row r="199" spans="1:7" x14ac:dyDescent="0.25">
      <c r="A199" s="8">
        <v>42781.039074074077</v>
      </c>
      <c r="B199" s="20" t="s">
        <v>383</v>
      </c>
      <c r="C199" s="20" t="s">
        <v>638</v>
      </c>
      <c r="D199" s="150">
        <v>2600000</v>
      </c>
      <c r="E199" s="20" t="s">
        <v>437</v>
      </c>
      <c r="F199" s="20" t="s">
        <v>387</v>
      </c>
      <c r="G199" s="8" t="str">
        <f t="shared" si="3"/>
        <v>DAVIDSON DAVID</v>
      </c>
    </row>
    <row r="200" spans="1:7" x14ac:dyDescent="0.25">
      <c r="A200" s="8">
        <v>42781.049328703702</v>
      </c>
      <c r="B200" s="20" t="s">
        <v>209</v>
      </c>
      <c r="C200" s="20" t="s">
        <v>640</v>
      </c>
      <c r="D200" s="150">
        <v>1740000</v>
      </c>
      <c r="E200" s="20" t="s">
        <v>229</v>
      </c>
      <c r="F200" s="20" t="s">
        <v>230</v>
      </c>
      <c r="G200" s="8" t="str">
        <f t="shared" si="3"/>
        <v>STORY SAMANTHA</v>
      </c>
    </row>
    <row r="201" spans="1:7" x14ac:dyDescent="0.25">
      <c r="A201" s="8">
        <v>42781.051157407404</v>
      </c>
      <c r="B201" s="20" t="s">
        <v>306</v>
      </c>
      <c r="C201" s="20" t="s">
        <v>626</v>
      </c>
      <c r="D201" s="150">
        <v>2730000</v>
      </c>
      <c r="E201" s="20" t="s">
        <v>438</v>
      </c>
      <c r="F201" s="20" t="s">
        <v>439</v>
      </c>
      <c r="G201" s="8" t="str">
        <f t="shared" si="3"/>
        <v>YANG JAN</v>
      </c>
    </row>
    <row r="202" spans="1:7" x14ac:dyDescent="0.25">
      <c r="A202" s="26">
        <v>42781.056701388887</v>
      </c>
      <c r="B202" s="20" t="s">
        <v>224</v>
      </c>
      <c r="C202" s="20" t="s">
        <v>641</v>
      </c>
      <c r="D202" s="150">
        <v>2600000</v>
      </c>
      <c r="E202" s="20" t="s">
        <v>437</v>
      </c>
      <c r="F202" s="20" t="s">
        <v>387</v>
      </c>
      <c r="G202" s="8" t="str">
        <f t="shared" si="3"/>
        <v>DAVIDSON DAVID</v>
      </c>
    </row>
    <row r="203" spans="1:7" x14ac:dyDescent="0.25">
      <c r="A203" s="8">
        <v>42781.060659722221</v>
      </c>
      <c r="B203" s="20" t="s">
        <v>209</v>
      </c>
      <c r="C203" s="20" t="s">
        <v>640</v>
      </c>
      <c r="D203" s="150">
        <v>1740000</v>
      </c>
      <c r="E203" s="20" t="s">
        <v>229</v>
      </c>
      <c r="F203" s="20" t="s">
        <v>230</v>
      </c>
      <c r="G203" s="8" t="str">
        <f t="shared" si="3"/>
        <v>STORY SAMANTHA</v>
      </c>
    </row>
    <row r="204" spans="1:7" x14ac:dyDescent="0.25">
      <c r="A204" s="8">
        <v>42781.06521990741</v>
      </c>
      <c r="B204" s="20" t="s">
        <v>250</v>
      </c>
      <c r="C204" s="20" t="s">
        <v>626</v>
      </c>
      <c r="D204" s="150">
        <v>2730000</v>
      </c>
      <c r="E204" s="20" t="s">
        <v>438</v>
      </c>
      <c r="F204" s="20" t="s">
        <v>439</v>
      </c>
      <c r="G204" s="8" t="str">
        <f t="shared" si="3"/>
        <v>YANG JAN</v>
      </c>
    </row>
    <row r="205" spans="1:7" x14ac:dyDescent="0.25">
      <c r="A205" s="8">
        <v>42781.07439814815</v>
      </c>
      <c r="B205" s="20" t="s">
        <v>228</v>
      </c>
      <c r="C205" s="20" t="s">
        <v>642</v>
      </c>
      <c r="D205" s="150">
        <v>1740000</v>
      </c>
      <c r="E205" s="20" t="s">
        <v>229</v>
      </c>
      <c r="F205" s="20" t="s">
        <v>230</v>
      </c>
      <c r="G205" s="8" t="str">
        <f t="shared" si="3"/>
        <v>STORY SAMANTHA</v>
      </c>
    </row>
    <row r="206" spans="1:7" x14ac:dyDescent="0.25">
      <c r="A206" s="8">
        <v>42781.076319444444</v>
      </c>
      <c r="B206" s="20" t="s">
        <v>228</v>
      </c>
      <c r="C206" s="20" t="s">
        <v>642</v>
      </c>
      <c r="D206" s="150">
        <v>1740000</v>
      </c>
      <c r="E206" s="20" t="s">
        <v>229</v>
      </c>
      <c r="F206" s="20" t="s">
        <v>230</v>
      </c>
      <c r="G206" s="8" t="str">
        <f t="shared" si="3"/>
        <v>STORY SAMANTHA</v>
      </c>
    </row>
    <row r="207" spans="1:7" x14ac:dyDescent="0.25">
      <c r="A207" s="8">
        <v>42781.081886574073</v>
      </c>
      <c r="B207" s="20" t="s">
        <v>306</v>
      </c>
      <c r="C207" s="20" t="s">
        <v>626</v>
      </c>
      <c r="D207" s="150">
        <v>2730000</v>
      </c>
      <c r="E207" s="20" t="s">
        <v>438</v>
      </c>
      <c r="F207" s="20" t="s">
        <v>439</v>
      </c>
      <c r="G207" s="8" t="str">
        <f t="shared" si="3"/>
        <v>YANG JAN</v>
      </c>
    </row>
    <row r="208" spans="1:7" x14ac:dyDescent="0.25">
      <c r="A208" s="8">
        <v>42781.084085648145</v>
      </c>
      <c r="B208" s="20" t="s">
        <v>300</v>
      </c>
      <c r="C208" s="20" t="s">
        <v>643</v>
      </c>
      <c r="D208" s="150">
        <v>2000000</v>
      </c>
      <c r="E208" s="20" t="s">
        <v>251</v>
      </c>
      <c r="F208" s="20" t="s">
        <v>200</v>
      </c>
      <c r="G208" s="8" t="str">
        <f t="shared" si="3"/>
        <v>STAMBAUGH JAMES</v>
      </c>
    </row>
    <row r="209" spans="1:7" x14ac:dyDescent="0.25">
      <c r="A209" s="8">
        <v>42781.091458333336</v>
      </c>
      <c r="B209" s="20" t="s">
        <v>300</v>
      </c>
      <c r="C209" s="20" t="s">
        <v>643</v>
      </c>
      <c r="D209" s="150">
        <v>2000000</v>
      </c>
      <c r="E209" s="20" t="s">
        <v>251</v>
      </c>
      <c r="F209" s="20" t="s">
        <v>200</v>
      </c>
      <c r="G209" s="8" t="str">
        <f t="shared" si="3"/>
        <v>STAMBAUGH JAMES</v>
      </c>
    </row>
    <row r="210" spans="1:7" x14ac:dyDescent="0.25">
      <c r="A210" s="8">
        <v>42781.094560185185</v>
      </c>
      <c r="B210" s="20" t="s">
        <v>306</v>
      </c>
      <c r="C210" s="20" t="s">
        <v>626</v>
      </c>
      <c r="D210" s="150">
        <v>2730000</v>
      </c>
      <c r="E210" s="20" t="s">
        <v>438</v>
      </c>
      <c r="F210" s="20" t="s">
        <v>439</v>
      </c>
      <c r="G210" s="8" t="str">
        <f t="shared" si="3"/>
        <v>YANG JAN</v>
      </c>
    </row>
    <row r="211" spans="1:7" x14ac:dyDescent="0.25">
      <c r="A211" s="8">
        <v>42781.10365740741</v>
      </c>
      <c r="B211" s="20" t="s">
        <v>297</v>
      </c>
      <c r="C211" s="20" t="s">
        <v>644</v>
      </c>
      <c r="D211" s="150">
        <v>2000000</v>
      </c>
      <c r="E211" s="20" t="s">
        <v>251</v>
      </c>
      <c r="F211" s="20" t="s">
        <v>200</v>
      </c>
      <c r="G211" s="8" t="str">
        <f t="shared" si="3"/>
        <v>STAMBAUGH JAMES</v>
      </c>
    </row>
    <row r="212" spans="1:7" x14ac:dyDescent="0.25">
      <c r="A212" s="8">
        <v>42781.112870370373</v>
      </c>
      <c r="B212" s="20" t="s">
        <v>250</v>
      </c>
      <c r="C212" s="20" t="s">
        <v>626</v>
      </c>
      <c r="D212" s="150">
        <v>2730000</v>
      </c>
      <c r="E212" s="20" t="s">
        <v>438</v>
      </c>
      <c r="F212" s="20" t="s">
        <v>439</v>
      </c>
      <c r="G212" s="8" t="str">
        <f t="shared" si="3"/>
        <v>YANG JAN</v>
      </c>
    </row>
    <row r="213" spans="1:7" x14ac:dyDescent="0.25">
      <c r="A213" s="8">
        <v>42779.956076388888</v>
      </c>
      <c r="B213" s="20" t="s">
        <v>306</v>
      </c>
      <c r="C213" s="20" t="s">
        <v>442</v>
      </c>
      <c r="D213" s="150">
        <v>1800000</v>
      </c>
      <c r="E213" s="20" t="s">
        <v>260</v>
      </c>
      <c r="F213" s="20" t="s">
        <v>261</v>
      </c>
      <c r="G213" s="8" t="str">
        <f t="shared" si="3"/>
        <v>CHANDLER KELVIN</v>
      </c>
    </row>
    <row r="214" spans="1:7" x14ac:dyDescent="0.25">
      <c r="A214" s="8">
        <v>42779.967800925922</v>
      </c>
      <c r="B214" s="20" t="s">
        <v>223</v>
      </c>
      <c r="C214" s="20" t="s">
        <v>443</v>
      </c>
      <c r="D214" s="150">
        <v>1740000</v>
      </c>
      <c r="E214" s="20" t="s">
        <v>229</v>
      </c>
      <c r="F214" s="20" t="s">
        <v>230</v>
      </c>
      <c r="G214" s="8" t="str">
        <f t="shared" si="3"/>
        <v>STORY SAMANTHA</v>
      </c>
    </row>
    <row r="215" spans="1:7" x14ac:dyDescent="0.25">
      <c r="A215" s="8">
        <v>42779.968715277777</v>
      </c>
      <c r="B215" s="20" t="s">
        <v>191</v>
      </c>
      <c r="C215" s="20" t="s">
        <v>444</v>
      </c>
      <c r="D215" s="150">
        <v>2230000</v>
      </c>
      <c r="E215" s="20" t="s">
        <v>388</v>
      </c>
      <c r="F215" s="20" t="s">
        <v>203</v>
      </c>
      <c r="G215" s="8" t="str">
        <f t="shared" si="3"/>
        <v>SMITH MICHAEL</v>
      </c>
    </row>
    <row r="216" spans="1:7" x14ac:dyDescent="0.25">
      <c r="A216" s="8">
        <v>42779.984918981485</v>
      </c>
      <c r="B216" s="20" t="s">
        <v>234</v>
      </c>
      <c r="C216" s="20" t="s">
        <v>422</v>
      </c>
      <c r="D216" s="150">
        <v>2000000</v>
      </c>
      <c r="E216" s="20" t="s">
        <v>251</v>
      </c>
      <c r="F216" s="20" t="s">
        <v>200</v>
      </c>
      <c r="G216" s="8" t="str">
        <f t="shared" si="3"/>
        <v>STAMBAUGH JAMES</v>
      </c>
    </row>
    <row r="217" spans="1:7" x14ac:dyDescent="0.25">
      <c r="A217" s="8">
        <v>42779.996087962965</v>
      </c>
      <c r="B217" s="20" t="s">
        <v>250</v>
      </c>
      <c r="C217" s="20" t="s">
        <v>445</v>
      </c>
      <c r="D217" s="150">
        <v>1800000</v>
      </c>
      <c r="E217" s="20" t="s">
        <v>260</v>
      </c>
      <c r="F217" s="20" t="s">
        <v>261</v>
      </c>
      <c r="G217" s="8" t="str">
        <f t="shared" si="3"/>
        <v>CHANDLER KELVIN</v>
      </c>
    </row>
    <row r="218" spans="1:7" x14ac:dyDescent="0.25">
      <c r="A218" s="8">
        <v>42780.008217592593</v>
      </c>
      <c r="B218" s="20" t="s">
        <v>224</v>
      </c>
      <c r="C218" s="20" t="s">
        <v>446</v>
      </c>
      <c r="D218" s="150">
        <v>1740000</v>
      </c>
      <c r="E218" s="20" t="s">
        <v>229</v>
      </c>
      <c r="F218" s="20" t="s">
        <v>230</v>
      </c>
      <c r="G218" s="8" t="str">
        <f t="shared" si="3"/>
        <v>STORY SAMANTHA</v>
      </c>
    </row>
    <row r="219" spans="1:7" x14ac:dyDescent="0.25">
      <c r="A219" s="8">
        <v>42780.010671296295</v>
      </c>
      <c r="B219" s="20" t="s">
        <v>383</v>
      </c>
      <c r="C219" s="20" t="s">
        <v>447</v>
      </c>
      <c r="D219" s="150">
        <v>2230000</v>
      </c>
      <c r="E219" s="20" t="s">
        <v>388</v>
      </c>
      <c r="F219" s="20" t="s">
        <v>203</v>
      </c>
      <c r="G219" s="8" t="str">
        <f t="shared" si="3"/>
        <v>SMITH MICHAEL</v>
      </c>
    </row>
    <row r="220" spans="1:7" x14ac:dyDescent="0.25">
      <c r="A220" s="8">
        <v>42780.029143518521</v>
      </c>
      <c r="B220" s="20" t="s">
        <v>306</v>
      </c>
      <c r="C220" s="20" t="s">
        <v>448</v>
      </c>
      <c r="D220" s="150">
        <v>1800000</v>
      </c>
      <c r="E220" s="20" t="s">
        <v>260</v>
      </c>
      <c r="F220" s="20" t="s">
        <v>261</v>
      </c>
      <c r="G220" s="8" t="str">
        <f t="shared" si="3"/>
        <v>CHANDLER KELVIN</v>
      </c>
    </row>
    <row r="221" spans="1:7" x14ac:dyDescent="0.25">
      <c r="A221" s="8">
        <v>42780.038495370369</v>
      </c>
      <c r="B221" s="20" t="s">
        <v>216</v>
      </c>
      <c r="C221" s="20" t="s">
        <v>423</v>
      </c>
      <c r="D221" s="150">
        <v>2000000</v>
      </c>
      <c r="E221" s="20" t="s">
        <v>251</v>
      </c>
      <c r="F221" s="20" t="s">
        <v>200</v>
      </c>
      <c r="G221" s="8" t="str">
        <f t="shared" si="3"/>
        <v>STAMBAUGH JAMES</v>
      </c>
    </row>
    <row r="222" spans="1:7" x14ac:dyDescent="0.25">
      <c r="A222" s="8">
        <v>42780.048518518517</v>
      </c>
      <c r="B222" s="20" t="s">
        <v>191</v>
      </c>
      <c r="C222" s="20" t="s">
        <v>449</v>
      </c>
      <c r="D222" s="150">
        <v>2230000</v>
      </c>
      <c r="E222" s="20" t="s">
        <v>388</v>
      </c>
      <c r="F222" s="20" t="s">
        <v>203</v>
      </c>
      <c r="G222" s="8" t="str">
        <f t="shared" si="3"/>
        <v>SMITH MICHAEL</v>
      </c>
    </row>
    <row r="223" spans="1:7" x14ac:dyDescent="0.25">
      <c r="A223" s="8">
        <v>42780.051655092589</v>
      </c>
      <c r="B223" s="20" t="s">
        <v>223</v>
      </c>
      <c r="C223" s="20" t="s">
        <v>450</v>
      </c>
      <c r="D223" s="150">
        <v>1740000</v>
      </c>
      <c r="E223" s="20" t="s">
        <v>229</v>
      </c>
      <c r="F223" s="20" t="s">
        <v>230</v>
      </c>
      <c r="G223" s="8" t="str">
        <f t="shared" si="3"/>
        <v>STORY SAMANTHA</v>
      </c>
    </row>
    <row r="224" spans="1:7" x14ac:dyDescent="0.25">
      <c r="A224" s="8">
        <v>42780.070567129631</v>
      </c>
      <c r="B224" t="s">
        <v>234</v>
      </c>
      <c r="C224" t="s">
        <v>451</v>
      </c>
      <c r="D224" s="150">
        <v>2000000</v>
      </c>
      <c r="E224" t="s">
        <v>251</v>
      </c>
      <c r="F224" s="20" t="s">
        <v>200</v>
      </c>
      <c r="G224" s="8" t="str">
        <f t="shared" si="3"/>
        <v>STAMBAUGH JAMES</v>
      </c>
    </row>
    <row r="225" spans="1:7" x14ac:dyDescent="0.25">
      <c r="A225" s="8">
        <v>42780.089895833335</v>
      </c>
      <c r="B225" t="s">
        <v>224</v>
      </c>
      <c r="C225" t="s">
        <v>452</v>
      </c>
      <c r="D225" s="150">
        <v>1740000</v>
      </c>
      <c r="E225" t="s">
        <v>229</v>
      </c>
      <c r="F225" s="20" t="s">
        <v>230</v>
      </c>
      <c r="G225" s="8" t="str">
        <f t="shared" si="3"/>
        <v>STORY SAMANTHA</v>
      </c>
    </row>
    <row r="226" spans="1:7" x14ac:dyDescent="0.25">
      <c r="A226" s="8">
        <v>42776.046770833331</v>
      </c>
      <c r="B226" t="s">
        <v>228</v>
      </c>
      <c r="C226" t="s">
        <v>391</v>
      </c>
      <c r="D226" s="150">
        <v>2370000</v>
      </c>
      <c r="E226" t="s">
        <v>379</v>
      </c>
      <c r="F226" s="20" t="s">
        <v>380</v>
      </c>
      <c r="G226" s="8" t="str">
        <f t="shared" si="3"/>
        <v>DELGADO DIANAH</v>
      </c>
    </row>
    <row r="227" spans="1:7" x14ac:dyDescent="0.25">
      <c r="A227" s="8">
        <v>42776.047465277778</v>
      </c>
      <c r="B227" t="s">
        <v>250</v>
      </c>
      <c r="C227" t="s">
        <v>392</v>
      </c>
      <c r="D227" s="150">
        <v>2220000</v>
      </c>
      <c r="E227" t="s">
        <v>218</v>
      </c>
      <c r="F227" s="20" t="s">
        <v>219</v>
      </c>
      <c r="G227" s="8" t="str">
        <f t="shared" si="3"/>
        <v>HILLS DUSTIN</v>
      </c>
    </row>
    <row r="228" spans="1:7" x14ac:dyDescent="0.25">
      <c r="A228" s="8">
        <v>42776.069826388892</v>
      </c>
      <c r="B228" t="s">
        <v>297</v>
      </c>
      <c r="C228" t="s">
        <v>393</v>
      </c>
      <c r="D228" s="150">
        <v>2270000</v>
      </c>
      <c r="E228" t="s">
        <v>232</v>
      </c>
      <c r="F228" s="20" t="s">
        <v>233</v>
      </c>
      <c r="G228" s="8" t="str">
        <f t="shared" si="3"/>
        <v>BROWN JACOB</v>
      </c>
    </row>
    <row r="229" spans="1:7" x14ac:dyDescent="0.25">
      <c r="A229" s="8">
        <v>42776.087337962963</v>
      </c>
      <c r="B229" t="s">
        <v>306</v>
      </c>
      <c r="C229" t="s">
        <v>394</v>
      </c>
      <c r="D229" s="150">
        <v>2220000</v>
      </c>
      <c r="E229" t="s">
        <v>218</v>
      </c>
      <c r="F229" s="20" t="s">
        <v>219</v>
      </c>
      <c r="G229" s="8" t="str">
        <f t="shared" si="3"/>
        <v>HILLS DUSTIN</v>
      </c>
    </row>
    <row r="230" spans="1:7" x14ac:dyDescent="0.25">
      <c r="A230" s="8">
        <v>42774.010520833333</v>
      </c>
      <c r="B230" t="s">
        <v>300</v>
      </c>
      <c r="C230" t="s">
        <v>309</v>
      </c>
      <c r="D230" s="150">
        <v>2630000</v>
      </c>
      <c r="E230" t="s">
        <v>298</v>
      </c>
      <c r="F230" s="20" t="s">
        <v>299</v>
      </c>
      <c r="G230" s="8" t="str">
        <f t="shared" si="3"/>
        <v>SAFIEF AEIMEN</v>
      </c>
    </row>
    <row r="231" spans="1:7" x14ac:dyDescent="0.25">
      <c r="A231" s="8">
        <v>42774.031064814815</v>
      </c>
      <c r="B231" t="s">
        <v>221</v>
      </c>
      <c r="C231" t="s">
        <v>310</v>
      </c>
      <c r="D231" s="150">
        <v>1740000</v>
      </c>
      <c r="E231" t="s">
        <v>229</v>
      </c>
      <c r="F231" s="20" t="s">
        <v>230</v>
      </c>
      <c r="G231" s="8" t="str">
        <f t="shared" si="3"/>
        <v>STORY SAMANTHA</v>
      </c>
    </row>
    <row r="232" spans="1:7" x14ac:dyDescent="0.25">
      <c r="A232" s="8">
        <v>42774.03429398148</v>
      </c>
      <c r="B232" t="s">
        <v>308</v>
      </c>
      <c r="C232" t="s">
        <v>311</v>
      </c>
      <c r="D232" s="150">
        <v>1800000</v>
      </c>
      <c r="E232" t="s">
        <v>260</v>
      </c>
      <c r="F232" s="20" t="s">
        <v>261</v>
      </c>
      <c r="G232" s="8" t="str">
        <f t="shared" si="3"/>
        <v>CHANDLER KELVIN</v>
      </c>
    </row>
    <row r="233" spans="1:7" x14ac:dyDescent="0.25">
      <c r="A233" s="8">
        <v>42774.047974537039</v>
      </c>
      <c r="B233" t="s">
        <v>297</v>
      </c>
      <c r="C233" t="s">
        <v>312</v>
      </c>
      <c r="D233" s="150">
        <v>2630000</v>
      </c>
      <c r="E233" t="s">
        <v>298</v>
      </c>
      <c r="F233" s="20" t="s">
        <v>299</v>
      </c>
      <c r="G233" s="8" t="str">
        <f t="shared" si="3"/>
        <v>SAFIEF AEIMEN</v>
      </c>
    </row>
    <row r="234" spans="1:7" x14ac:dyDescent="0.25">
      <c r="A234" s="8">
        <v>42774.059432870374</v>
      </c>
      <c r="B234" t="s">
        <v>301</v>
      </c>
      <c r="C234" t="s">
        <v>307</v>
      </c>
      <c r="D234" s="150">
        <v>2000000</v>
      </c>
      <c r="E234" t="s">
        <v>251</v>
      </c>
      <c r="F234" s="20" t="s">
        <v>200</v>
      </c>
      <c r="G234" s="8" t="str">
        <f t="shared" si="3"/>
        <v>STAMBAUGH JAMES</v>
      </c>
    </row>
    <row r="235" spans="1:7" x14ac:dyDescent="0.25">
      <c r="A235" s="8">
        <v>42769.048842592594</v>
      </c>
      <c r="B235" t="s">
        <v>279</v>
      </c>
      <c r="C235" t="s">
        <v>292</v>
      </c>
      <c r="D235" s="150">
        <v>1810000</v>
      </c>
      <c r="E235" t="s">
        <v>206</v>
      </c>
      <c r="F235" s="20" t="s">
        <v>200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266</v>
      </c>
      <c r="C236" t="s">
        <v>293</v>
      </c>
      <c r="D236" s="150">
        <v>2220000</v>
      </c>
      <c r="E236" t="s">
        <v>218</v>
      </c>
      <c r="F236" s="20" t="s">
        <v>219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280</v>
      </c>
      <c r="C237" t="s">
        <v>291</v>
      </c>
      <c r="D237" s="150">
        <v>2710000</v>
      </c>
      <c r="E237" t="s">
        <v>289</v>
      </c>
      <c r="F237" s="20" t="s">
        <v>290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191</v>
      </c>
      <c r="C238" t="s">
        <v>294</v>
      </c>
      <c r="D238" s="150">
        <v>2560000</v>
      </c>
      <c r="E238" t="s">
        <v>287</v>
      </c>
      <c r="F238" s="20" t="s">
        <v>288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265</v>
      </c>
      <c r="C239" t="s">
        <v>295</v>
      </c>
      <c r="D239" s="150">
        <v>2220000</v>
      </c>
      <c r="E239" t="s">
        <v>218</v>
      </c>
      <c r="F239" s="20" t="s">
        <v>219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281</v>
      </c>
      <c r="C240" t="s">
        <v>286</v>
      </c>
      <c r="D240" s="150">
        <v>2710000</v>
      </c>
      <c r="E240" t="s">
        <v>289</v>
      </c>
      <c r="F240" s="20" t="s">
        <v>290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195</v>
      </c>
      <c r="C241" t="s">
        <v>282</v>
      </c>
      <c r="D241" s="150">
        <v>1740000</v>
      </c>
      <c r="E241" t="s">
        <v>229</v>
      </c>
      <c r="F241" s="20" t="s">
        <v>230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263</v>
      </c>
      <c r="C242" t="s">
        <v>283</v>
      </c>
      <c r="D242" s="150">
        <v>2270000</v>
      </c>
      <c r="E242" t="s">
        <v>232</v>
      </c>
      <c r="F242" s="20" t="s">
        <v>233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220</v>
      </c>
      <c r="C243" t="s">
        <v>284</v>
      </c>
      <c r="D243" s="150">
        <v>2540000</v>
      </c>
      <c r="E243" t="s">
        <v>225</v>
      </c>
      <c r="F243" s="20" t="s">
        <v>226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265</v>
      </c>
      <c r="C244" t="s">
        <v>269</v>
      </c>
      <c r="D244" s="150">
        <v>1810000</v>
      </c>
      <c r="E244" t="s">
        <v>206</v>
      </c>
      <c r="F244" s="20" t="s">
        <v>200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258</v>
      </c>
      <c r="C245" t="s">
        <v>267</v>
      </c>
      <c r="D245" s="150">
        <v>2270000</v>
      </c>
      <c r="E245" t="s">
        <v>232</v>
      </c>
      <c r="F245" s="20" t="s">
        <v>233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221</v>
      </c>
      <c r="C246" t="s">
        <v>270</v>
      </c>
      <c r="D246" s="150">
        <v>1800000</v>
      </c>
      <c r="E246" t="s">
        <v>260</v>
      </c>
      <c r="F246" s="20" t="s">
        <v>261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263</v>
      </c>
      <c r="C247" t="s">
        <v>271</v>
      </c>
      <c r="D247" s="150">
        <v>2220000</v>
      </c>
      <c r="E247" t="s">
        <v>218</v>
      </c>
      <c r="F247" s="20" t="s">
        <v>219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266</v>
      </c>
      <c r="C248" t="s">
        <v>272</v>
      </c>
      <c r="D248" s="150">
        <v>1810000</v>
      </c>
      <c r="E248" t="s">
        <v>206</v>
      </c>
      <c r="F248" s="20" t="s">
        <v>200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220</v>
      </c>
      <c r="C249" t="s">
        <v>273</v>
      </c>
      <c r="D249" s="150">
        <v>1800000</v>
      </c>
      <c r="E249" t="s">
        <v>260</v>
      </c>
      <c r="F249" s="20" t="s">
        <v>261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259</v>
      </c>
      <c r="C250" t="s">
        <v>268</v>
      </c>
      <c r="D250" s="150">
        <v>2270000</v>
      </c>
      <c r="E250" t="s">
        <v>232</v>
      </c>
      <c r="F250" s="20" t="s">
        <v>233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265</v>
      </c>
      <c r="C251" t="s">
        <v>274</v>
      </c>
      <c r="D251" s="150">
        <v>1810000</v>
      </c>
      <c r="E251" t="s">
        <v>206</v>
      </c>
      <c r="F251" s="20" t="s">
        <v>200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262</v>
      </c>
      <c r="C252" t="s">
        <v>275</v>
      </c>
      <c r="D252" s="150">
        <v>2220000</v>
      </c>
      <c r="E252" t="s">
        <v>218</v>
      </c>
      <c r="F252" s="20" t="s">
        <v>219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262</v>
      </c>
      <c r="C253" t="s">
        <v>275</v>
      </c>
      <c r="D253" s="150">
        <v>2220000</v>
      </c>
      <c r="E253" t="s">
        <v>218</v>
      </c>
      <c r="F253" s="20" t="s">
        <v>219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258</v>
      </c>
      <c r="C254" t="s">
        <v>276</v>
      </c>
      <c r="D254" s="150">
        <v>2270000</v>
      </c>
      <c r="E254" t="s">
        <v>232</v>
      </c>
      <c r="F254" s="20" t="s">
        <v>233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263</v>
      </c>
      <c r="C255" t="s">
        <v>277</v>
      </c>
      <c r="D255" s="150">
        <v>2220000</v>
      </c>
      <c r="E255" t="s">
        <v>218</v>
      </c>
      <c r="F255" s="20" t="s">
        <v>219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209</v>
      </c>
      <c r="C256" t="s">
        <v>252</v>
      </c>
      <c r="D256" s="150">
        <v>2220000</v>
      </c>
      <c r="E256" t="s">
        <v>218</v>
      </c>
      <c r="F256" s="20" t="s">
        <v>219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195</v>
      </c>
      <c r="C257" t="s">
        <v>253</v>
      </c>
      <c r="D257" s="150">
        <v>2000000</v>
      </c>
      <c r="E257" t="s">
        <v>251</v>
      </c>
      <c r="F257" s="20" t="s">
        <v>200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228</v>
      </c>
      <c r="C258" t="s">
        <v>254</v>
      </c>
      <c r="D258" s="150">
        <v>2220000</v>
      </c>
      <c r="E258" t="s">
        <v>218</v>
      </c>
      <c r="F258" s="20" t="s">
        <v>219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250</v>
      </c>
      <c r="C259" t="s">
        <v>255</v>
      </c>
      <c r="D259" s="150">
        <v>1360000</v>
      </c>
      <c r="E259" t="s">
        <v>256</v>
      </c>
      <c r="F259" s="20" t="s">
        <v>257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234</v>
      </c>
      <c r="C260" t="s">
        <v>240</v>
      </c>
      <c r="D260" s="150">
        <v>2450000</v>
      </c>
      <c r="E260" t="s">
        <v>236</v>
      </c>
      <c r="F260" s="20" t="s">
        <v>237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223</v>
      </c>
      <c r="C261" t="s">
        <v>247</v>
      </c>
      <c r="D261" s="150">
        <v>1810000</v>
      </c>
      <c r="E261" t="s">
        <v>206</v>
      </c>
      <c r="F261" s="20" t="s">
        <v>200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241</v>
      </c>
      <c r="C262" t="s">
        <v>245</v>
      </c>
      <c r="D262" s="150">
        <v>2670000</v>
      </c>
      <c r="E262" t="s">
        <v>243</v>
      </c>
      <c r="F262" s="20" t="s">
        <v>244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220</v>
      </c>
      <c r="C263" t="s">
        <v>239</v>
      </c>
      <c r="D263" s="150">
        <v>2540000</v>
      </c>
      <c r="E263" t="s">
        <v>225</v>
      </c>
      <c r="F263" s="20" t="s">
        <v>226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216</v>
      </c>
      <c r="C264" t="s">
        <v>235</v>
      </c>
      <c r="D264" s="150">
        <v>2450000</v>
      </c>
      <c r="E264" t="s">
        <v>236</v>
      </c>
      <c r="F264" s="20" t="s">
        <v>237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231</v>
      </c>
      <c r="C265" t="s">
        <v>248</v>
      </c>
      <c r="D265" s="150">
        <v>2270000</v>
      </c>
      <c r="E265" t="s">
        <v>232</v>
      </c>
      <c r="F265" s="20" t="s">
        <v>233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221</v>
      </c>
      <c r="C266" t="s">
        <v>238</v>
      </c>
      <c r="D266" s="150">
        <v>2540000</v>
      </c>
      <c r="E266" t="s">
        <v>225</v>
      </c>
      <c r="F266" s="20" t="s">
        <v>226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234</v>
      </c>
      <c r="C267" t="s">
        <v>240</v>
      </c>
      <c r="D267" s="150">
        <v>2450000</v>
      </c>
      <c r="E267" t="s">
        <v>236</v>
      </c>
      <c r="F267" s="20" t="s">
        <v>237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231</v>
      </c>
      <c r="C268" t="s">
        <v>248</v>
      </c>
      <c r="D268" s="150">
        <v>2270000</v>
      </c>
      <c r="E268" t="s">
        <v>232</v>
      </c>
      <c r="F268" s="20" t="s">
        <v>233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220</v>
      </c>
      <c r="C269" t="s">
        <v>239</v>
      </c>
      <c r="D269" s="150">
        <v>2540000</v>
      </c>
      <c r="E269" t="s">
        <v>225</v>
      </c>
      <c r="F269" s="20" t="s">
        <v>226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224</v>
      </c>
      <c r="C270" t="s">
        <v>249</v>
      </c>
      <c r="D270" s="150">
        <v>1810000</v>
      </c>
      <c r="E270" t="s">
        <v>206</v>
      </c>
      <c r="F270" s="20" t="s">
        <v>200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246</v>
      </c>
      <c r="C271" t="s">
        <v>242</v>
      </c>
      <c r="D271" s="150">
        <v>2670000</v>
      </c>
      <c r="E271" t="s">
        <v>243</v>
      </c>
      <c r="F271" s="20" t="s">
        <v>244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216</v>
      </c>
      <c r="C272" t="s">
        <v>235</v>
      </c>
      <c r="D272" s="150">
        <v>2450000</v>
      </c>
      <c r="E272" t="s">
        <v>236</v>
      </c>
      <c r="F272" s="20" t="s">
        <v>237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221</v>
      </c>
      <c r="C273" t="s">
        <v>238</v>
      </c>
      <c r="D273" s="150">
        <v>2540000</v>
      </c>
      <c r="E273" t="s">
        <v>225</v>
      </c>
      <c r="F273" s="20" t="s">
        <v>226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163</v>
      </c>
      <c r="K1" s="166" t="s">
        <v>161</v>
      </c>
      <c r="L1" s="166" t="s">
        <v>156</v>
      </c>
      <c r="M1" s="166" t="s">
        <v>166</v>
      </c>
      <c r="N1" s="166" t="s">
        <v>160</v>
      </c>
      <c r="O1" s="166" t="s">
        <v>167</v>
      </c>
      <c r="P1" s="166" t="s">
        <v>164</v>
      </c>
      <c r="Q1"/>
      <c r="R1"/>
    </row>
    <row r="2" spans="1:18" x14ac:dyDescent="0.25">
      <c r="A2" s="167">
        <v>35.909999999999997</v>
      </c>
      <c r="B2" s="167">
        <v>0.37</v>
      </c>
      <c r="C2" s="167">
        <v>13.43</v>
      </c>
      <c r="D2" s="8">
        <v>42780</v>
      </c>
      <c r="E2" s="167">
        <v>0.39</v>
      </c>
      <c r="F2" s="167" t="s">
        <v>645</v>
      </c>
      <c r="G2" s="167">
        <v>321.16000000000003</v>
      </c>
      <c r="H2" s="167">
        <v>0</v>
      </c>
      <c r="I2" s="167">
        <v>0</v>
      </c>
      <c r="J2" s="167">
        <v>1025.69</v>
      </c>
      <c r="K2" s="167" t="s">
        <v>646</v>
      </c>
      <c r="L2" s="167">
        <v>35.909999999999997</v>
      </c>
      <c r="M2" s="167">
        <v>1487055600</v>
      </c>
      <c r="N2" s="167">
        <v>1.1000000000000001</v>
      </c>
      <c r="O2" s="167">
        <v>333</v>
      </c>
      <c r="P2" s="167">
        <v>2.79</v>
      </c>
      <c r="Q2"/>
      <c r="R2"/>
    </row>
    <row r="3" spans="1:18" x14ac:dyDescent="0.25">
      <c r="A3" s="167">
        <v>32.65</v>
      </c>
      <c r="B3" s="167">
        <v>0.3</v>
      </c>
      <c r="C3" s="167">
        <v>12.67</v>
      </c>
      <c r="D3" s="8">
        <v>42780.041666666664</v>
      </c>
      <c r="E3" s="167">
        <v>0.43</v>
      </c>
      <c r="F3" s="167" t="s">
        <v>645</v>
      </c>
      <c r="G3" s="167">
        <v>322.62</v>
      </c>
      <c r="H3" s="167">
        <v>0</v>
      </c>
      <c r="I3" s="167">
        <v>0</v>
      </c>
      <c r="J3" s="167">
        <v>1026</v>
      </c>
      <c r="K3" s="167" t="s">
        <v>646</v>
      </c>
      <c r="L3" s="167">
        <v>32.65</v>
      </c>
      <c r="M3" s="167">
        <v>1487059200</v>
      </c>
      <c r="N3" s="167">
        <v>1.1000000000000001</v>
      </c>
      <c r="O3" s="167">
        <v>352</v>
      </c>
      <c r="P3" s="167">
        <v>0.92</v>
      </c>
      <c r="Q3"/>
      <c r="R3"/>
    </row>
    <row r="4" spans="1:18" x14ac:dyDescent="0.25">
      <c r="A4" s="167">
        <v>30.81</v>
      </c>
      <c r="B4" s="167">
        <v>0.26</v>
      </c>
      <c r="C4" s="167">
        <v>13.62</v>
      </c>
      <c r="D4" s="8">
        <v>42780.083333333336</v>
      </c>
      <c r="E4" s="167">
        <v>0.48</v>
      </c>
      <c r="F4" s="167" t="s">
        <v>645</v>
      </c>
      <c r="G4" s="167">
        <v>324.08</v>
      </c>
      <c r="H4" s="167">
        <v>0</v>
      </c>
      <c r="I4" s="167">
        <v>0</v>
      </c>
      <c r="J4" s="167">
        <v>1026.31</v>
      </c>
      <c r="K4" s="167" t="s">
        <v>646</v>
      </c>
      <c r="L4" s="167">
        <v>30.81</v>
      </c>
      <c r="M4" s="167">
        <v>1487062800</v>
      </c>
      <c r="N4" s="167">
        <v>1.1000000000000001</v>
      </c>
      <c r="O4" s="167">
        <v>305</v>
      </c>
      <c r="P4" s="167">
        <v>1.1599999999999999</v>
      </c>
      <c r="Q4"/>
      <c r="R4"/>
    </row>
    <row r="5" spans="1:18" x14ac:dyDescent="0.25">
      <c r="A5" s="167">
        <v>29.94</v>
      </c>
      <c r="B5" s="167">
        <v>0.23</v>
      </c>
      <c r="C5" s="167">
        <v>13.33</v>
      </c>
      <c r="D5" s="8">
        <v>42780.125</v>
      </c>
      <c r="E5" s="167">
        <v>0.49</v>
      </c>
      <c r="F5" s="167" t="s">
        <v>645</v>
      </c>
      <c r="G5" s="167">
        <v>326.93</v>
      </c>
      <c r="H5" s="167">
        <v>0</v>
      </c>
      <c r="I5" s="167">
        <v>0</v>
      </c>
      <c r="J5" s="167">
        <v>1026.8800000000001</v>
      </c>
      <c r="K5" s="167" t="s">
        <v>646</v>
      </c>
      <c r="L5" s="167">
        <v>29.94</v>
      </c>
      <c r="M5" s="167">
        <v>1487066400</v>
      </c>
      <c r="N5" s="167">
        <v>1.1000000000000001</v>
      </c>
      <c r="O5" s="167">
        <v>258</v>
      </c>
      <c r="P5" s="167">
        <v>0.56000000000000005</v>
      </c>
      <c r="Q5"/>
      <c r="R5"/>
    </row>
    <row r="6" spans="1:18" x14ac:dyDescent="0.25">
      <c r="A6" s="167">
        <v>28.42</v>
      </c>
      <c r="B6" s="167">
        <v>0.2</v>
      </c>
      <c r="C6" s="167">
        <v>14.28</v>
      </c>
      <c r="D6" s="8">
        <v>42780.166666666664</v>
      </c>
      <c r="E6" s="167">
        <v>0.55000000000000004</v>
      </c>
      <c r="F6" s="167" t="s">
        <v>645</v>
      </c>
      <c r="G6" s="167">
        <v>330.34</v>
      </c>
      <c r="H6" s="167">
        <v>0</v>
      </c>
      <c r="I6" s="167">
        <v>0</v>
      </c>
      <c r="J6" s="167">
        <v>1027.52</v>
      </c>
      <c r="K6" s="167" t="s">
        <v>646</v>
      </c>
      <c r="L6" s="167">
        <v>28.42</v>
      </c>
      <c r="M6" s="167">
        <v>1487070000</v>
      </c>
      <c r="N6" s="167">
        <v>1.1000000000000001</v>
      </c>
      <c r="O6" s="167">
        <v>267</v>
      </c>
      <c r="P6" s="167">
        <v>1.49</v>
      </c>
      <c r="Q6"/>
      <c r="R6"/>
    </row>
    <row r="7" spans="1:18" x14ac:dyDescent="0.25">
      <c r="A7" s="167">
        <v>27.74</v>
      </c>
      <c r="B7" s="167">
        <v>0.16</v>
      </c>
      <c r="C7" s="167">
        <v>15.13</v>
      </c>
      <c r="D7" s="8">
        <v>42780.208333333336</v>
      </c>
      <c r="E7" s="167">
        <v>0.59</v>
      </c>
      <c r="F7" s="167" t="s">
        <v>645</v>
      </c>
      <c r="G7" s="167">
        <v>333.47</v>
      </c>
      <c r="H7" s="167">
        <v>0</v>
      </c>
      <c r="I7" s="167">
        <v>0</v>
      </c>
      <c r="J7" s="167">
        <v>1027.95</v>
      </c>
      <c r="K7" s="167" t="s">
        <v>646</v>
      </c>
      <c r="L7" s="167">
        <v>27.74</v>
      </c>
      <c r="M7" s="167">
        <v>1487073600</v>
      </c>
      <c r="N7" s="167">
        <v>1.1000000000000001</v>
      </c>
      <c r="O7" s="167">
        <v>269</v>
      </c>
      <c r="P7" s="167">
        <v>1.45</v>
      </c>
      <c r="Q7"/>
      <c r="R7"/>
    </row>
    <row r="8" spans="1:18" x14ac:dyDescent="0.25">
      <c r="A8" s="167">
        <v>26.89</v>
      </c>
      <c r="B8" s="167">
        <v>0.11</v>
      </c>
      <c r="C8" s="167">
        <v>15.71</v>
      </c>
      <c r="D8" s="8">
        <v>42780.25</v>
      </c>
      <c r="E8" s="167">
        <v>0.62</v>
      </c>
      <c r="F8" s="167" t="s">
        <v>647</v>
      </c>
      <c r="G8" s="167">
        <v>336.17</v>
      </c>
      <c r="H8" s="167">
        <v>0</v>
      </c>
      <c r="I8" s="167">
        <v>0</v>
      </c>
      <c r="J8" s="167">
        <v>1027.95</v>
      </c>
      <c r="K8" s="167" t="s">
        <v>648</v>
      </c>
      <c r="L8" s="167">
        <v>26.89</v>
      </c>
      <c r="M8" s="167">
        <v>1487077200</v>
      </c>
      <c r="N8" s="167"/>
      <c r="O8" s="167">
        <v>253</v>
      </c>
      <c r="P8" s="167">
        <v>1.07</v>
      </c>
      <c r="Q8"/>
      <c r="R8"/>
    </row>
    <row r="9" spans="1:18" x14ac:dyDescent="0.25">
      <c r="A9" s="167">
        <v>27.17</v>
      </c>
      <c r="B9" s="167">
        <v>0.14000000000000001</v>
      </c>
      <c r="C9" s="167">
        <v>16.05</v>
      </c>
      <c r="D9" s="8">
        <v>42780.291666666664</v>
      </c>
      <c r="E9" s="167">
        <v>0.62</v>
      </c>
      <c r="F9" s="167" t="s">
        <v>645</v>
      </c>
      <c r="G9" s="167">
        <v>338.6</v>
      </c>
      <c r="H9" s="167">
        <v>0</v>
      </c>
      <c r="I9" s="167">
        <v>0</v>
      </c>
      <c r="J9" s="167">
        <v>1027.78</v>
      </c>
      <c r="K9" s="167" t="s">
        <v>646</v>
      </c>
      <c r="L9" s="167">
        <v>27.17</v>
      </c>
      <c r="M9" s="167">
        <v>1487080800</v>
      </c>
      <c r="N9" s="167">
        <v>1.1000000000000001</v>
      </c>
      <c r="O9" s="167">
        <v>246</v>
      </c>
      <c r="P9" s="167">
        <v>1.72</v>
      </c>
      <c r="Q9"/>
      <c r="R9"/>
    </row>
    <row r="10" spans="1:18" x14ac:dyDescent="0.25">
      <c r="A10" s="167">
        <v>28.11</v>
      </c>
      <c r="B10" s="167">
        <v>0.11</v>
      </c>
      <c r="C10" s="167">
        <v>16.579999999999998</v>
      </c>
      <c r="D10" s="8">
        <v>42780.333333333336</v>
      </c>
      <c r="E10" s="167">
        <v>0.61</v>
      </c>
      <c r="F10" s="167" t="s">
        <v>645</v>
      </c>
      <c r="G10" s="167">
        <v>340.31</v>
      </c>
      <c r="H10" s="167">
        <v>0</v>
      </c>
      <c r="I10" s="167">
        <v>0</v>
      </c>
      <c r="J10" s="167">
        <v>1027.32</v>
      </c>
      <c r="K10" s="167" t="s">
        <v>646</v>
      </c>
      <c r="L10" s="167">
        <v>28.11</v>
      </c>
      <c r="M10" s="167">
        <v>1487084400</v>
      </c>
      <c r="N10" s="167">
        <v>1.1000000000000001</v>
      </c>
      <c r="O10" s="167">
        <v>219</v>
      </c>
      <c r="P10" s="167">
        <v>1.01</v>
      </c>
      <c r="Q10"/>
      <c r="R10"/>
    </row>
    <row r="11" spans="1:18" x14ac:dyDescent="0.25">
      <c r="A11" s="167">
        <v>33.369999999999997</v>
      </c>
      <c r="B11" s="167">
        <v>0.03</v>
      </c>
      <c r="C11" s="167">
        <v>19.23</v>
      </c>
      <c r="D11" s="8">
        <v>42780.375</v>
      </c>
      <c r="E11" s="167">
        <v>0.56000000000000005</v>
      </c>
      <c r="F11" s="167" t="s">
        <v>645</v>
      </c>
      <c r="G11" s="167">
        <v>340.95</v>
      </c>
      <c r="H11" s="167">
        <v>0</v>
      </c>
      <c r="I11" s="167">
        <v>0</v>
      </c>
      <c r="J11" s="167">
        <v>1026.46</v>
      </c>
      <c r="K11" s="167" t="s">
        <v>646</v>
      </c>
      <c r="L11" s="167">
        <v>33.369999999999997</v>
      </c>
      <c r="M11" s="167">
        <v>1487088000</v>
      </c>
      <c r="N11" s="167">
        <v>1.1000000000000001</v>
      </c>
      <c r="O11" s="167">
        <v>337</v>
      </c>
      <c r="P11" s="167">
        <v>0.85</v>
      </c>
      <c r="Q11"/>
      <c r="R11"/>
    </row>
    <row r="12" spans="1:18" x14ac:dyDescent="0.25">
      <c r="A12" s="167">
        <v>39.79</v>
      </c>
      <c r="B12" s="167">
        <v>0.03</v>
      </c>
      <c r="C12" s="167">
        <v>16.41</v>
      </c>
      <c r="D12" s="8">
        <v>42780.416666666664</v>
      </c>
      <c r="E12" s="167">
        <v>0.38</v>
      </c>
      <c r="F12" s="167" t="s">
        <v>645</v>
      </c>
      <c r="G12" s="167">
        <v>340.88</v>
      </c>
      <c r="H12" s="167">
        <v>0</v>
      </c>
      <c r="I12" s="167">
        <v>0</v>
      </c>
      <c r="J12" s="167">
        <v>1025.32</v>
      </c>
      <c r="K12" s="167" t="s">
        <v>646</v>
      </c>
      <c r="L12" s="167">
        <v>39.79</v>
      </c>
      <c r="M12" s="167">
        <v>1487091600</v>
      </c>
      <c r="N12" s="167">
        <v>1.1000000000000001</v>
      </c>
      <c r="O12" s="167">
        <v>346</v>
      </c>
      <c r="P12" s="167">
        <v>1.84</v>
      </c>
      <c r="Q12"/>
      <c r="R12"/>
    </row>
    <row r="13" spans="1:18" x14ac:dyDescent="0.25">
      <c r="A13" s="167">
        <v>40.14</v>
      </c>
      <c r="B13" s="167">
        <v>0.06</v>
      </c>
      <c r="C13" s="167">
        <v>17.16</v>
      </c>
      <c r="D13" s="8">
        <v>42780.458333333336</v>
      </c>
      <c r="E13" s="167">
        <v>0.37</v>
      </c>
      <c r="F13" s="167" t="s">
        <v>649</v>
      </c>
      <c r="G13" s="167">
        <v>340.72</v>
      </c>
      <c r="H13" s="167">
        <v>0</v>
      </c>
      <c r="I13" s="167">
        <v>0</v>
      </c>
      <c r="J13" s="167">
        <v>1024.28</v>
      </c>
      <c r="K13" s="167" t="s">
        <v>648</v>
      </c>
      <c r="L13" s="167">
        <v>41.75</v>
      </c>
      <c r="M13" s="167">
        <v>1487095200</v>
      </c>
      <c r="N13" s="167"/>
      <c r="O13" s="167">
        <v>349</v>
      </c>
      <c r="P13" s="167">
        <v>3.18</v>
      </c>
      <c r="Q13"/>
      <c r="R13"/>
    </row>
    <row r="14" spans="1:18" x14ac:dyDescent="0.25">
      <c r="A14" s="167">
        <v>42.82</v>
      </c>
      <c r="B14" s="167">
        <v>0.06</v>
      </c>
      <c r="C14" s="167">
        <v>15.93</v>
      </c>
      <c r="D14" s="8">
        <v>42780.5</v>
      </c>
      <c r="E14" s="167">
        <v>0.31</v>
      </c>
      <c r="F14" s="167" t="s">
        <v>645</v>
      </c>
      <c r="G14" s="167">
        <v>341.03</v>
      </c>
      <c r="H14" s="167">
        <v>0</v>
      </c>
      <c r="I14" s="167">
        <v>0</v>
      </c>
      <c r="J14" s="167">
        <v>1023.43</v>
      </c>
      <c r="K14" s="167" t="s">
        <v>646</v>
      </c>
      <c r="L14" s="167">
        <v>44.59</v>
      </c>
      <c r="M14" s="167">
        <v>1487098800</v>
      </c>
      <c r="N14" s="167">
        <v>1.1000000000000001</v>
      </c>
      <c r="O14" s="167">
        <v>1</v>
      </c>
      <c r="P14" s="167">
        <v>3.78</v>
      </c>
      <c r="Q14"/>
      <c r="R14"/>
    </row>
    <row r="15" spans="1:18" x14ac:dyDescent="0.25">
      <c r="A15" s="167">
        <v>44.41</v>
      </c>
      <c r="B15" s="167">
        <v>0.11</v>
      </c>
      <c r="C15" s="167">
        <v>15.13</v>
      </c>
      <c r="D15" s="8">
        <v>42780.541666666664</v>
      </c>
      <c r="E15" s="167">
        <v>0.27</v>
      </c>
      <c r="F15" s="167" t="s">
        <v>645</v>
      </c>
      <c r="G15" s="167">
        <v>341.25</v>
      </c>
      <c r="H15" s="167">
        <v>0</v>
      </c>
      <c r="I15" s="167">
        <v>0</v>
      </c>
      <c r="J15" s="167">
        <v>1022.61</v>
      </c>
      <c r="K15" s="167" t="s">
        <v>646</v>
      </c>
      <c r="L15" s="167">
        <v>47.27</v>
      </c>
      <c r="M15" s="167">
        <v>1487102400</v>
      </c>
      <c r="N15" s="167">
        <v>1.1000000000000001</v>
      </c>
      <c r="O15" s="167">
        <v>3</v>
      </c>
      <c r="P15" s="167">
        <v>6.01</v>
      </c>
      <c r="Q15"/>
      <c r="R15"/>
    </row>
    <row r="16" spans="1:18" x14ac:dyDescent="0.25">
      <c r="A16" s="167">
        <v>44.83</v>
      </c>
      <c r="B16" s="167">
        <v>0.08</v>
      </c>
      <c r="C16" s="167">
        <v>16.3</v>
      </c>
      <c r="D16" s="8">
        <v>42780.583333333336</v>
      </c>
      <c r="E16" s="167">
        <v>0.27</v>
      </c>
      <c r="F16" s="167" t="s">
        <v>649</v>
      </c>
      <c r="G16" s="167">
        <v>340.43</v>
      </c>
      <c r="H16" s="167">
        <v>0</v>
      </c>
      <c r="I16" s="167">
        <v>0</v>
      </c>
      <c r="J16" s="167">
        <v>1021.99</v>
      </c>
      <c r="K16" s="167" t="s">
        <v>648</v>
      </c>
      <c r="L16" s="167">
        <v>48.41</v>
      </c>
      <c r="M16" s="167">
        <v>1487106000</v>
      </c>
      <c r="N16" s="167">
        <v>3.03</v>
      </c>
      <c r="O16" s="167">
        <v>5</v>
      </c>
      <c r="P16" s="167">
        <v>8</v>
      </c>
      <c r="Q16"/>
      <c r="R16"/>
    </row>
    <row r="17" spans="1:18" x14ac:dyDescent="0.25">
      <c r="A17" s="167">
        <v>45.57</v>
      </c>
      <c r="B17" s="167">
        <v>0.05</v>
      </c>
      <c r="C17" s="167">
        <v>16.850000000000001</v>
      </c>
      <c r="D17" s="8">
        <v>42780.625</v>
      </c>
      <c r="E17" s="167">
        <v>0.27</v>
      </c>
      <c r="F17" s="167" t="s">
        <v>649</v>
      </c>
      <c r="G17" s="167">
        <v>337.45</v>
      </c>
      <c r="H17" s="167">
        <v>0</v>
      </c>
      <c r="I17" s="167">
        <v>0</v>
      </c>
      <c r="J17" s="167">
        <v>1021.58</v>
      </c>
      <c r="K17" s="167" t="s">
        <v>648</v>
      </c>
      <c r="L17" s="167">
        <v>49.28</v>
      </c>
      <c r="M17" s="167">
        <v>1487109600</v>
      </c>
      <c r="N17" s="167">
        <v>3.08</v>
      </c>
      <c r="O17" s="167">
        <v>8</v>
      </c>
      <c r="P17" s="167">
        <v>8.81</v>
      </c>
      <c r="Q17"/>
      <c r="R17"/>
    </row>
    <row r="18" spans="1:18" x14ac:dyDescent="0.25">
      <c r="A18" s="167">
        <v>45.82</v>
      </c>
      <c r="B18" s="167">
        <v>0.05</v>
      </c>
      <c r="C18" s="167">
        <v>17.079999999999998</v>
      </c>
      <c r="D18" s="8">
        <v>42780.666666666664</v>
      </c>
      <c r="E18" s="167">
        <v>0.28000000000000003</v>
      </c>
      <c r="F18" s="167" t="s">
        <v>649</v>
      </c>
      <c r="G18" s="167">
        <v>333.42</v>
      </c>
      <c r="H18" s="167">
        <v>0</v>
      </c>
      <c r="I18" s="167">
        <v>0</v>
      </c>
      <c r="J18" s="167">
        <v>1021.24</v>
      </c>
      <c r="K18" s="167" t="s">
        <v>648</v>
      </c>
      <c r="L18" s="167">
        <v>49.06</v>
      </c>
      <c r="M18" s="167">
        <v>1487113200</v>
      </c>
      <c r="N18" s="167">
        <v>5.61</v>
      </c>
      <c r="O18" s="167">
        <v>11</v>
      </c>
      <c r="P18" s="167">
        <v>7.53</v>
      </c>
      <c r="Q18"/>
      <c r="R18"/>
    </row>
    <row r="19" spans="1:18" x14ac:dyDescent="0.25">
      <c r="A19" s="167">
        <v>44.62</v>
      </c>
      <c r="B19" s="167">
        <v>7.0000000000000007E-2</v>
      </c>
      <c r="C19" s="167">
        <v>16.43</v>
      </c>
      <c r="D19" s="8">
        <v>42780.708333333336</v>
      </c>
      <c r="E19" s="167">
        <v>0.28000000000000003</v>
      </c>
      <c r="F19" s="167" t="s">
        <v>649</v>
      </c>
      <c r="G19" s="167">
        <v>330.62</v>
      </c>
      <c r="H19" s="167">
        <v>0</v>
      </c>
      <c r="I19" s="167">
        <v>0</v>
      </c>
      <c r="J19" s="167">
        <v>1021.25</v>
      </c>
      <c r="K19" s="167" t="s">
        <v>648</v>
      </c>
      <c r="L19" s="167">
        <v>47.85</v>
      </c>
      <c r="M19" s="167">
        <v>1487116800</v>
      </c>
      <c r="N19" s="167">
        <v>5.96</v>
      </c>
      <c r="O19" s="167">
        <v>17</v>
      </c>
      <c r="P19" s="167">
        <v>6.97</v>
      </c>
      <c r="Q19"/>
      <c r="R19"/>
    </row>
    <row r="20" spans="1:18" x14ac:dyDescent="0.25">
      <c r="A20" s="167">
        <v>41.55</v>
      </c>
      <c r="B20" s="167">
        <v>0.06</v>
      </c>
      <c r="C20" s="167">
        <v>14.96</v>
      </c>
      <c r="D20" s="8">
        <v>42780.75</v>
      </c>
      <c r="E20" s="167">
        <v>0.31</v>
      </c>
      <c r="F20" s="167" t="s">
        <v>647</v>
      </c>
      <c r="G20" s="167">
        <v>330.08</v>
      </c>
      <c r="H20" s="167">
        <v>0</v>
      </c>
      <c r="I20" s="167">
        <v>0</v>
      </c>
      <c r="J20" s="167">
        <v>1021.94</v>
      </c>
      <c r="K20" s="167" t="s">
        <v>648</v>
      </c>
      <c r="L20" s="167">
        <v>43.81</v>
      </c>
      <c r="M20" s="167">
        <v>1487120400</v>
      </c>
      <c r="N20" s="167">
        <v>6.74</v>
      </c>
      <c r="O20" s="167">
        <v>14</v>
      </c>
      <c r="P20" s="167">
        <v>4.1900000000000004</v>
      </c>
      <c r="Q20"/>
      <c r="R20"/>
    </row>
    <row r="21" spans="1:18" x14ac:dyDescent="0.25">
      <c r="A21" s="167">
        <v>41.32</v>
      </c>
      <c r="B21" s="167">
        <v>0.1</v>
      </c>
      <c r="C21" s="167">
        <v>15.39</v>
      </c>
      <c r="D21" s="8">
        <v>42780.791666666664</v>
      </c>
      <c r="E21" s="167">
        <v>0.34</v>
      </c>
      <c r="F21" s="167" t="s">
        <v>647</v>
      </c>
      <c r="G21" s="167">
        <v>330.78</v>
      </c>
      <c r="H21" s="167">
        <v>0</v>
      </c>
      <c r="I21" s="167">
        <v>0</v>
      </c>
      <c r="J21" s="167">
        <v>1023.23</v>
      </c>
      <c r="K21" s="167" t="s">
        <v>648</v>
      </c>
      <c r="L21" s="167">
        <v>41.32</v>
      </c>
      <c r="M21" s="167">
        <v>1487124000</v>
      </c>
      <c r="N21" s="167">
        <v>7.4</v>
      </c>
      <c r="O21" s="167">
        <v>89</v>
      </c>
      <c r="P21" s="167">
        <v>1.78</v>
      </c>
      <c r="Q21"/>
      <c r="R21"/>
    </row>
    <row r="22" spans="1:18" x14ac:dyDescent="0.25">
      <c r="A22" s="167">
        <v>37.979999999999997</v>
      </c>
      <c r="B22" s="167">
        <v>0.06</v>
      </c>
      <c r="C22" s="167">
        <v>14.71</v>
      </c>
      <c r="D22" s="8">
        <v>42780.833333333336</v>
      </c>
      <c r="E22" s="167">
        <v>0.38</v>
      </c>
      <c r="F22" s="167" t="s">
        <v>647</v>
      </c>
      <c r="G22" s="167">
        <v>331.89</v>
      </c>
      <c r="H22" s="167">
        <v>0</v>
      </c>
      <c r="I22" s="167">
        <v>0</v>
      </c>
      <c r="J22" s="167">
        <v>1024.3800000000001</v>
      </c>
      <c r="K22" s="167" t="s">
        <v>648</v>
      </c>
      <c r="L22" s="167">
        <v>37.979999999999997</v>
      </c>
      <c r="M22" s="167">
        <v>1487127600</v>
      </c>
      <c r="N22" s="167">
        <v>7.03</v>
      </c>
      <c r="O22" s="167">
        <v>303</v>
      </c>
      <c r="P22" s="167">
        <v>0.51</v>
      </c>
      <c r="Q22"/>
      <c r="R22"/>
    </row>
    <row r="23" spans="1:18" x14ac:dyDescent="0.25">
      <c r="A23" s="167">
        <v>35.36</v>
      </c>
      <c r="B23" s="167">
        <v>0.1</v>
      </c>
      <c r="C23" s="167">
        <v>14.22</v>
      </c>
      <c r="D23" s="8">
        <v>42780.875</v>
      </c>
      <c r="E23" s="167">
        <v>0.41</v>
      </c>
      <c r="F23" s="167" t="s">
        <v>647</v>
      </c>
      <c r="G23" s="167">
        <v>333.13</v>
      </c>
      <c r="H23" s="167">
        <v>0</v>
      </c>
      <c r="I23" s="167">
        <v>0</v>
      </c>
      <c r="J23" s="167">
        <v>1025.17</v>
      </c>
      <c r="K23" s="167" t="s">
        <v>648</v>
      </c>
      <c r="L23" s="167">
        <v>35.36</v>
      </c>
      <c r="M23" s="167">
        <v>1487131200</v>
      </c>
      <c r="N23" s="167">
        <v>6.76</v>
      </c>
      <c r="O23" s="167">
        <v>147</v>
      </c>
      <c r="P23" s="167">
        <v>0.62</v>
      </c>
      <c r="Q23"/>
      <c r="R23"/>
    </row>
    <row r="24" spans="1:18" x14ac:dyDescent="0.25">
      <c r="A24" s="167">
        <v>33.79</v>
      </c>
      <c r="B24" s="167">
        <v>0.09</v>
      </c>
      <c r="C24" s="167">
        <v>13.97</v>
      </c>
      <c r="D24" s="8">
        <v>42780.916666666664</v>
      </c>
      <c r="E24" s="167">
        <v>0.44</v>
      </c>
      <c r="F24" s="167" t="s">
        <v>647</v>
      </c>
      <c r="G24" s="167">
        <v>334.79</v>
      </c>
      <c r="H24" s="167">
        <v>0</v>
      </c>
      <c r="I24" s="167">
        <v>0</v>
      </c>
      <c r="J24" s="167">
        <v>1025.79</v>
      </c>
      <c r="K24" s="167" t="s">
        <v>648</v>
      </c>
      <c r="L24" s="167">
        <v>33.79</v>
      </c>
      <c r="M24" s="167">
        <v>1487134800</v>
      </c>
      <c r="N24" s="167">
        <v>7.09</v>
      </c>
      <c r="O24" s="167">
        <v>259</v>
      </c>
      <c r="P24" s="167">
        <v>1.21</v>
      </c>
      <c r="Q24"/>
      <c r="R24"/>
    </row>
    <row r="25" spans="1:18" x14ac:dyDescent="0.25">
      <c r="A25" s="167">
        <v>32.159999999999997</v>
      </c>
      <c r="B25" s="167">
        <v>0.11</v>
      </c>
      <c r="C25" s="167">
        <v>14.58</v>
      </c>
      <c r="D25" s="8">
        <v>42780.958333333336</v>
      </c>
      <c r="E25" s="167">
        <v>0.48</v>
      </c>
      <c r="F25" s="167" t="s">
        <v>647</v>
      </c>
      <c r="G25" s="167">
        <v>336.9</v>
      </c>
      <c r="H25" s="167">
        <v>0</v>
      </c>
      <c r="I25" s="167">
        <v>0</v>
      </c>
      <c r="J25" s="167">
        <v>1026.22</v>
      </c>
      <c r="K25" s="167" t="s">
        <v>648</v>
      </c>
      <c r="L25" s="167">
        <v>32.159999999999997</v>
      </c>
      <c r="M25" s="167">
        <v>1487138400</v>
      </c>
      <c r="N25" s="167">
        <v>7.58</v>
      </c>
      <c r="O25" s="167">
        <v>224</v>
      </c>
      <c r="P25" s="167">
        <v>1.63</v>
      </c>
      <c r="Q25"/>
      <c r="R25"/>
    </row>
    <row r="26" spans="1:18" x14ac:dyDescent="0.25">
      <c r="A26" s="167">
        <v>31.29</v>
      </c>
      <c r="B26" s="167">
        <v>0.17</v>
      </c>
      <c r="C26" s="167">
        <v>14.63</v>
      </c>
      <c r="D26" s="8">
        <v>42781</v>
      </c>
      <c r="E26" s="167">
        <v>0.5</v>
      </c>
      <c r="F26" s="167" t="s">
        <v>647</v>
      </c>
      <c r="G26" s="167">
        <v>339.94</v>
      </c>
      <c r="H26" s="167">
        <v>0</v>
      </c>
      <c r="I26" s="167">
        <v>0</v>
      </c>
      <c r="J26" s="167">
        <v>1026.28</v>
      </c>
      <c r="K26" s="167" t="s">
        <v>648</v>
      </c>
      <c r="L26" s="167">
        <v>31.29</v>
      </c>
      <c r="M26" s="167">
        <v>1487142000</v>
      </c>
      <c r="N26" s="167">
        <v>8</v>
      </c>
      <c r="O26" s="167">
        <v>216</v>
      </c>
      <c r="P26" s="167">
        <v>2.15</v>
      </c>
      <c r="Q26"/>
      <c r="R26"/>
    </row>
    <row r="27" spans="1:18" x14ac:dyDescent="0.25">
      <c r="A27" s="167">
        <v>30.16</v>
      </c>
      <c r="B27" s="167">
        <v>0.1</v>
      </c>
      <c r="C27" s="167">
        <v>13.69</v>
      </c>
      <c r="D27" s="8">
        <v>42781.041666666664</v>
      </c>
      <c r="E27" s="167">
        <v>0.5</v>
      </c>
      <c r="F27" s="167" t="s">
        <v>647</v>
      </c>
      <c r="G27" s="167">
        <v>342.98</v>
      </c>
      <c r="H27" s="167">
        <v>0</v>
      </c>
      <c r="I27" s="167">
        <v>0</v>
      </c>
      <c r="J27" s="167">
        <v>1026.31</v>
      </c>
      <c r="K27" s="167" t="s">
        <v>648</v>
      </c>
      <c r="L27" s="167">
        <v>30.16</v>
      </c>
      <c r="M27" s="167">
        <v>1487145600</v>
      </c>
      <c r="N27" s="167">
        <v>8.1199999999999992</v>
      </c>
      <c r="O27" s="167">
        <v>217</v>
      </c>
      <c r="P27" s="167">
        <v>2.74</v>
      </c>
      <c r="Q27"/>
      <c r="R27"/>
    </row>
    <row r="28" spans="1:18" x14ac:dyDescent="0.25">
      <c r="A28" s="167">
        <v>26.58</v>
      </c>
      <c r="B28" s="167">
        <v>0.15</v>
      </c>
      <c r="C28" s="167">
        <v>13.11</v>
      </c>
      <c r="D28" s="8">
        <v>42781.083333333336</v>
      </c>
      <c r="E28" s="167">
        <v>0.5</v>
      </c>
      <c r="F28" s="167" t="s">
        <v>647</v>
      </c>
      <c r="G28" s="167">
        <v>346.02</v>
      </c>
      <c r="H28" s="167">
        <v>0</v>
      </c>
      <c r="I28" s="167">
        <v>0</v>
      </c>
      <c r="J28" s="167">
        <v>1026.32</v>
      </c>
      <c r="K28" s="167" t="s">
        <v>648</v>
      </c>
      <c r="L28" s="167">
        <v>29.65</v>
      </c>
      <c r="M28" s="167">
        <v>1487149200</v>
      </c>
      <c r="N28" s="167">
        <v>6.81</v>
      </c>
      <c r="O28" s="167">
        <v>215</v>
      </c>
      <c r="P28" s="167">
        <v>3.05</v>
      </c>
      <c r="Q28"/>
      <c r="R28"/>
    </row>
    <row r="29" spans="1:18" x14ac:dyDescent="0.25">
      <c r="A29" s="167">
        <v>23.27</v>
      </c>
      <c r="B29" s="167">
        <v>0.13</v>
      </c>
      <c r="C29" s="167">
        <v>12.6</v>
      </c>
      <c r="D29" s="8">
        <v>42781.125</v>
      </c>
      <c r="E29" s="167">
        <v>0.53</v>
      </c>
      <c r="F29" s="167" t="s">
        <v>647</v>
      </c>
      <c r="G29" s="167">
        <v>348.61</v>
      </c>
      <c r="H29" s="167">
        <v>0</v>
      </c>
      <c r="I29" s="167">
        <v>0</v>
      </c>
      <c r="J29" s="167">
        <v>1026.22</v>
      </c>
      <c r="K29" s="167" t="s">
        <v>648</v>
      </c>
      <c r="L29" s="167">
        <v>27.5</v>
      </c>
      <c r="M29" s="167">
        <v>1487152800</v>
      </c>
      <c r="N29" s="167">
        <v>8.24</v>
      </c>
      <c r="O29" s="167">
        <v>227</v>
      </c>
      <c r="P29" s="167">
        <v>3.69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189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8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42780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190</v>
      </c>
      <c r="J17" s="160"/>
      <c r="K17" s="161"/>
      <c r="L17" s="161"/>
    </row>
    <row r="18" spans="3:13" x14ac:dyDescent="0.25">
      <c r="C18" t="s">
        <v>841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835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837</v>
      </c>
      <c r="J20" s="152" t="s">
        <v>87</v>
      </c>
      <c r="M20" s="152" t="s">
        <v>857</v>
      </c>
    </row>
    <row r="21" spans="3:13" x14ac:dyDescent="0.25">
      <c r="C21" t="s">
        <v>838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839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840</v>
      </c>
      <c r="J23" s="162" t="s">
        <v>95</v>
      </c>
      <c r="M23" s="152" t="str">
        <f>"-07"</f>
        <v>-07</v>
      </c>
    </row>
    <row r="24" spans="3:13" x14ac:dyDescent="0.25">
      <c r="C24" t="s">
        <v>836</v>
      </c>
      <c r="J24" s="152" t="s">
        <v>108</v>
      </c>
      <c r="M24" s="152" t="s">
        <v>110</v>
      </c>
    </row>
    <row r="25" spans="3:13" x14ac:dyDescent="0.25">
      <c r="C25" t="s">
        <v>473</v>
      </c>
      <c r="J25" s="152" t="s">
        <v>150</v>
      </c>
      <c r="M25" s="152" t="b">
        <v>1</v>
      </c>
    </row>
    <row r="26" spans="3:13" x14ac:dyDescent="0.25">
      <c r="C26" t="s">
        <v>834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C:\Users\stu\Documents\GitHub\eaglep3-reporting\EC\2017-02-14-refined-times.txt</v>
      </c>
    </row>
    <row r="27" spans="3:13" x14ac:dyDescent="0.25">
      <c r="C27" t="s">
        <v>842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C:\Users\stu\Documents\GitHub\eaglep3-reporting\EC\2017-02-14-Enforcements.txt</v>
      </c>
    </row>
    <row r="28" spans="3:13" x14ac:dyDescent="0.25">
      <c r="C28" t="s">
        <v>843</v>
      </c>
      <c r="J28" s="152" t="s">
        <v>181</v>
      </c>
      <c r="M28" s="152" t="str">
        <f>"C:\Users\stu\Documents\GitHub\eaglep3-reporting\EC\"&amp;TEXT(A2,"YYYY-MM-DD")&amp;"-Runs.txt"</f>
        <v>C:\Users\stu\Documents\GitHub\eaglep3-reporting\EC\2017-02-14-Runs.txt</v>
      </c>
    </row>
    <row r="29" spans="3:13" x14ac:dyDescent="0.25">
      <c r="C29" t="s">
        <v>845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C:\Users\stu\Documents\GitHub\eaglep3-reporting\EC\2017-02-14-Trips.txt</v>
      </c>
    </row>
    <row r="30" spans="3:13" x14ac:dyDescent="0.25">
      <c r="C30" t="s">
        <v>847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C:\Users\stu\Documents\GitHub\eaglep3-reporting\EC\2017-02-14-Weather.txt</v>
      </c>
    </row>
    <row r="31" spans="3:13" x14ac:dyDescent="0.25">
      <c r="C31" t="s">
        <v>846</v>
      </c>
      <c r="J31" s="152" t="s">
        <v>211</v>
      </c>
      <c r="M31" s="152" t="s">
        <v>212</v>
      </c>
    </row>
    <row r="32" spans="3:13" x14ac:dyDescent="0.25">
      <c r="C32" t="s">
        <v>844</v>
      </c>
    </row>
    <row r="33" spans="3:3" x14ac:dyDescent="0.25">
      <c r="C33" t="s">
        <v>848</v>
      </c>
    </row>
    <row r="34" spans="3:3" x14ac:dyDescent="0.25">
      <c r="C34" t="s">
        <v>849</v>
      </c>
    </row>
    <row r="35" spans="3:3" x14ac:dyDescent="0.25">
      <c r="C35" t="s">
        <v>850</v>
      </c>
    </row>
    <row r="36" spans="3:3" x14ac:dyDescent="0.25">
      <c r="C36" t="s">
        <v>851</v>
      </c>
    </row>
    <row r="37" spans="3:3" x14ac:dyDescent="0.25">
      <c r="C37" t="s">
        <v>852</v>
      </c>
    </row>
    <row r="38" spans="3:3" x14ac:dyDescent="0.25">
      <c r="C38" t="s">
        <v>853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O17" sqref="O1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313</v>
      </c>
      <c r="B1" t="str">
        <f t="shared" ref="B1:B30" si="0">MID(A1,6,23)</f>
        <v>2017/02/07 12:00:56.685</v>
      </c>
      <c r="C1" t="e">
        <f>ABS(B1-#REF!)</f>
        <v>#REF!</v>
      </c>
    </row>
    <row r="2" spans="1:3" x14ac:dyDescent="0.25">
      <c r="A2" t="s">
        <v>314</v>
      </c>
      <c r="B2" s="20" t="str">
        <f t="shared" si="0"/>
        <v>2017/02/07 13:55:01.354</v>
      </c>
      <c r="C2">
        <f>ABS(B2-B1)</f>
        <v>7.9220706022169907E-2</v>
      </c>
    </row>
    <row r="3" spans="1:3" x14ac:dyDescent="0.25">
      <c r="A3" t="s">
        <v>315</v>
      </c>
      <c r="B3" s="20" t="str">
        <f t="shared" si="0"/>
        <v>2017/02/07 13:55:01.553</v>
      </c>
      <c r="C3" s="20">
        <f t="shared" ref="C3:C30" si="1">ABS(B3-B2)</f>
        <v>2.3032407625578344E-6</v>
      </c>
    </row>
    <row r="4" spans="1:3" x14ac:dyDescent="0.25">
      <c r="A4" t="s">
        <v>316</v>
      </c>
      <c r="B4" s="20" t="str">
        <f t="shared" si="0"/>
        <v>2017/02/07 13:55:51.548</v>
      </c>
      <c r="C4" s="20">
        <f t="shared" si="1"/>
        <v>5.7864583504851907E-4</v>
      </c>
    </row>
    <row r="5" spans="1:3" x14ac:dyDescent="0.25">
      <c r="A5" t="s">
        <v>317</v>
      </c>
      <c r="B5" s="20" t="str">
        <f t="shared" si="0"/>
        <v>2017/02/07 13:55:55.355</v>
      </c>
      <c r="C5" s="20">
        <f t="shared" si="1"/>
        <v>4.4062493543606251E-5</v>
      </c>
    </row>
    <row r="6" spans="1:3" x14ac:dyDescent="0.25">
      <c r="A6" t="s">
        <v>318</v>
      </c>
      <c r="B6" s="20" t="str">
        <f t="shared" si="0"/>
        <v>2017/02/07 14:47:08.050</v>
      </c>
      <c r="C6" s="20">
        <f t="shared" si="1"/>
        <v>3.5563599543820601E-2</v>
      </c>
    </row>
    <row r="7" spans="1:3" x14ac:dyDescent="0.25">
      <c r="A7" t="s">
        <v>319</v>
      </c>
      <c r="B7" s="20" t="str">
        <f t="shared" si="0"/>
        <v>2017/02/07 14:47:11.537</v>
      </c>
      <c r="C7" s="20">
        <f t="shared" si="1"/>
        <v>4.035879101138562E-5</v>
      </c>
    </row>
    <row r="8" spans="1:3" x14ac:dyDescent="0.25">
      <c r="A8" t="s">
        <v>320</v>
      </c>
      <c r="B8" s="20" t="str">
        <f t="shared" si="0"/>
        <v>2017/02/07 15:36:46.745</v>
      </c>
      <c r="C8" s="20">
        <f t="shared" si="1"/>
        <v>3.443527778290445E-2</v>
      </c>
    </row>
    <row r="9" spans="1:3" x14ac:dyDescent="0.25">
      <c r="A9" t="s">
        <v>321</v>
      </c>
      <c r="B9" s="20" t="str">
        <f t="shared" si="0"/>
        <v>2017/02/07 15:36:46.852</v>
      </c>
      <c r="C9" s="20">
        <f t="shared" si="1"/>
        <v>1.2384189176373184E-6</v>
      </c>
    </row>
    <row r="10" spans="1:3" x14ac:dyDescent="0.25">
      <c r="A10" t="s">
        <v>322</v>
      </c>
      <c r="B10" s="20" t="str">
        <f t="shared" si="0"/>
        <v>2017/02/07 15:36:46.859</v>
      </c>
      <c r="C10" s="20">
        <f t="shared" si="1"/>
        <v>8.1025063991546631E-8</v>
      </c>
    </row>
    <row r="11" spans="1:3" x14ac:dyDescent="0.25">
      <c r="A11" t="s">
        <v>323</v>
      </c>
      <c r="B11" s="20" t="str">
        <f t="shared" si="0"/>
        <v>2017/02/07 16:06:13.604</v>
      </c>
      <c r="C11" s="20">
        <f t="shared" si="1"/>
        <v>2.0448437498998828E-2</v>
      </c>
    </row>
    <row r="12" spans="1:3" x14ac:dyDescent="0.25">
      <c r="A12" t="s">
        <v>324</v>
      </c>
      <c r="B12" s="20" t="str">
        <f t="shared" si="0"/>
        <v>2017/02/07 16:06:14.075</v>
      </c>
      <c r="C12" s="20">
        <f t="shared" si="1"/>
        <v>5.4513875511474907E-6</v>
      </c>
    </row>
    <row r="13" spans="1:3" x14ac:dyDescent="0.25">
      <c r="A13" t="s">
        <v>325</v>
      </c>
      <c r="B13" s="20" t="str">
        <f t="shared" si="0"/>
        <v>2017/02/07 16:06:15.192</v>
      </c>
      <c r="C13" s="20">
        <f t="shared" si="1"/>
        <v>1.2928241631016135E-5</v>
      </c>
    </row>
    <row r="14" spans="1:3" x14ac:dyDescent="0.25">
      <c r="A14" t="s">
        <v>326</v>
      </c>
      <c r="B14" s="20" t="str">
        <f t="shared" si="0"/>
        <v>2017/02/07 16:30:46.483</v>
      </c>
      <c r="C14" s="20">
        <f t="shared" si="1"/>
        <v>1.7028831018251367E-2</v>
      </c>
    </row>
    <row r="15" spans="1:3" x14ac:dyDescent="0.25">
      <c r="A15" t="s">
        <v>327</v>
      </c>
      <c r="B15" s="20" t="str">
        <f t="shared" si="0"/>
        <v>2017/02/07 17:34:23.659</v>
      </c>
      <c r="C15" s="20">
        <f t="shared" si="1"/>
        <v>4.4180277778650634E-2</v>
      </c>
    </row>
    <row r="16" spans="1:3" x14ac:dyDescent="0.25">
      <c r="A16" t="s">
        <v>328</v>
      </c>
      <c r="B16" s="20" t="str">
        <f t="shared" si="0"/>
        <v>2017/02/07 17:45:09.428</v>
      </c>
      <c r="C16" s="20">
        <f t="shared" si="1"/>
        <v>7.4741782373166643E-3</v>
      </c>
    </row>
    <row r="17" spans="1:3" x14ac:dyDescent="0.25">
      <c r="A17" t="s">
        <v>329</v>
      </c>
      <c r="B17" s="20" t="str">
        <f t="shared" si="0"/>
        <v>2017/02/07 17:45:10.066</v>
      </c>
      <c r="C17" s="20">
        <f t="shared" si="1"/>
        <v>7.3842602432705462E-6</v>
      </c>
    </row>
    <row r="18" spans="1:3" x14ac:dyDescent="0.25">
      <c r="A18" t="s">
        <v>330</v>
      </c>
      <c r="B18" s="20" t="str">
        <f t="shared" si="0"/>
        <v>2017/02/07 18:34:46.658</v>
      </c>
      <c r="C18" s="20">
        <f t="shared" si="1"/>
        <v>3.4451296298357192E-2</v>
      </c>
    </row>
    <row r="19" spans="1:3" x14ac:dyDescent="0.25">
      <c r="A19" t="s">
        <v>331</v>
      </c>
      <c r="B19" s="20" t="str">
        <f t="shared" si="0"/>
        <v>2017/02/07 18:34:47.434</v>
      </c>
      <c r="C19" s="20">
        <f t="shared" si="1"/>
        <v>8.9814784587360919E-6</v>
      </c>
    </row>
    <row r="20" spans="1:3" x14ac:dyDescent="0.25">
      <c r="A20" t="s">
        <v>332</v>
      </c>
      <c r="B20" s="20" t="str">
        <f t="shared" si="0"/>
        <v>2017/02/07 18:55:06.290</v>
      </c>
      <c r="C20" s="20">
        <f t="shared" si="1"/>
        <v>1.4107129631156567E-2</v>
      </c>
    </row>
    <row r="21" spans="1:3" x14ac:dyDescent="0.25">
      <c r="A21" t="s">
        <v>333</v>
      </c>
      <c r="B21" s="20" t="str">
        <f t="shared" si="0"/>
        <v>2017/02/07 18:55:06.899</v>
      </c>
      <c r="C21" s="20">
        <f t="shared" si="1"/>
        <v>7.0486130425706506E-6</v>
      </c>
    </row>
    <row r="22" spans="1:3" x14ac:dyDescent="0.25">
      <c r="A22" t="s">
        <v>334</v>
      </c>
      <c r="B22" s="20" t="str">
        <f t="shared" si="0"/>
        <v>2017/02/07 20:05:48.057</v>
      </c>
      <c r="C22" s="20">
        <f t="shared" si="1"/>
        <v>4.9087476851127576E-2</v>
      </c>
    </row>
    <row r="23" spans="1:3" x14ac:dyDescent="0.25">
      <c r="A23" t="s">
        <v>335</v>
      </c>
      <c r="B23" s="20" t="str">
        <f t="shared" si="0"/>
        <v>2017/02/07 20:05:48.181</v>
      </c>
      <c r="C23" s="20">
        <f t="shared" si="1"/>
        <v>1.4351826393976808E-6</v>
      </c>
    </row>
    <row r="24" spans="1:3" x14ac:dyDescent="0.25">
      <c r="A24" t="s">
        <v>336</v>
      </c>
      <c r="B24" s="20" t="str">
        <f t="shared" si="0"/>
        <v>2017/02/07 20:34:23.331</v>
      </c>
      <c r="C24" s="20">
        <f t="shared" si="1"/>
        <v>1.9851273151289206E-2</v>
      </c>
    </row>
    <row r="25" spans="1:3" x14ac:dyDescent="0.25">
      <c r="A25" t="s">
        <v>337</v>
      </c>
      <c r="B25" s="20" t="str">
        <f t="shared" si="0"/>
        <v>2017/02/07 20:36:24.264</v>
      </c>
      <c r="C25" s="20">
        <f t="shared" si="1"/>
        <v>1.3996874986332841E-3</v>
      </c>
    </row>
    <row r="26" spans="1:3" x14ac:dyDescent="0.25">
      <c r="A26" t="s">
        <v>338</v>
      </c>
      <c r="B26" s="20" t="str">
        <f t="shared" si="0"/>
        <v>2017/02/07 20:36:24.468</v>
      </c>
      <c r="C26" s="20">
        <f t="shared" si="1"/>
        <v>2.3611137294210494E-6</v>
      </c>
    </row>
    <row r="27" spans="1:3" x14ac:dyDescent="0.25">
      <c r="A27" t="s">
        <v>339</v>
      </c>
      <c r="B27" s="20" t="str">
        <f t="shared" si="0"/>
        <v>2017/02/07 20:36:24.508</v>
      </c>
      <c r="C27" s="20">
        <f t="shared" si="1"/>
        <v>4.6296190703287721E-7</v>
      </c>
    </row>
    <row r="28" spans="1:3" x14ac:dyDescent="0.25">
      <c r="A28" t="s">
        <v>340</v>
      </c>
      <c r="B28" s="20" t="str">
        <f t="shared" si="0"/>
        <v>2017/02/07 22:35:57.811</v>
      </c>
      <c r="C28" s="20">
        <f t="shared" si="1"/>
        <v>8.3024340274278075E-2</v>
      </c>
    </row>
    <row r="29" spans="1:3" x14ac:dyDescent="0.25">
      <c r="A29" t="s">
        <v>341</v>
      </c>
      <c r="B29" s="20" t="str">
        <f t="shared" si="0"/>
        <v>2017/02/07 22:35:57.849</v>
      </c>
      <c r="C29" s="20">
        <f t="shared" si="1"/>
        <v>4.3981708586215973E-7</v>
      </c>
    </row>
    <row r="30" spans="1:3" x14ac:dyDescent="0.25">
      <c r="A30" t="s">
        <v>342</v>
      </c>
      <c r="B30" s="20" t="str">
        <f t="shared" si="0"/>
        <v>2017/02/07 22:35:57.963</v>
      </c>
      <c r="C30" s="20">
        <f t="shared" si="1"/>
        <v>1.319443981628865E-6</v>
      </c>
    </row>
    <row r="31" spans="1:3" x14ac:dyDescent="0.25">
      <c r="A31" t="s">
        <v>343</v>
      </c>
      <c r="B31" s="20" t="str">
        <f t="shared" ref="B31:B32" si="2">MID(A31,6,23)</f>
        <v>2017/02/07 23:09:55.846</v>
      </c>
      <c r="C31" s="20">
        <f t="shared" ref="C31:C32" si="3">ABS(B31-B30)</f>
        <v>2.3586608796904329E-2</v>
      </c>
    </row>
    <row r="32" spans="1:3" x14ac:dyDescent="0.25">
      <c r="A32" t="s">
        <v>344</v>
      </c>
      <c r="B32" s="20" t="str">
        <f t="shared" si="2"/>
        <v>2017/02/07 23:09:57.307</v>
      </c>
      <c r="C32" s="20">
        <f t="shared" si="3"/>
        <v>1.6909718397073448E-5</v>
      </c>
    </row>
    <row r="33" spans="1:3" x14ac:dyDescent="0.25">
      <c r="A33" t="s">
        <v>345</v>
      </c>
      <c r="B33" s="20" t="str">
        <f t="shared" ref="B33:B49" si="4">MID(A33,6,23)</f>
        <v>2017/02/07 23:09:58.017</v>
      </c>
      <c r="C33" s="20">
        <f t="shared" ref="C33:C49" si="5">ABS(B33-B32)</f>
        <v>8.2175974966958165E-6</v>
      </c>
    </row>
    <row r="34" spans="1:3" x14ac:dyDescent="0.25">
      <c r="A34" t="s">
        <v>346</v>
      </c>
      <c r="B34" s="20" t="str">
        <f t="shared" si="4"/>
        <v>2017/02/07 23:26:24.807</v>
      </c>
      <c r="C34" s="20">
        <f t="shared" si="5"/>
        <v>1.1421180555771571E-2</v>
      </c>
    </row>
    <row r="35" spans="1:3" x14ac:dyDescent="0.25">
      <c r="A35" t="s">
        <v>347</v>
      </c>
      <c r="B35" s="20" t="str">
        <f t="shared" si="4"/>
        <v>2017/02/07 23:26:24.850</v>
      </c>
      <c r="C35" s="20">
        <f t="shared" si="5"/>
        <v>4.9768277676776052E-7</v>
      </c>
    </row>
    <row r="36" spans="1:3" x14ac:dyDescent="0.25">
      <c r="A36" t="s">
        <v>348</v>
      </c>
      <c r="B36" s="20" t="str">
        <f t="shared" si="4"/>
        <v>2017/02/07 23:26:24.964</v>
      </c>
      <c r="C36" s="20">
        <f t="shared" si="5"/>
        <v>1.319443981628865E-6</v>
      </c>
    </row>
    <row r="37" spans="1:3" x14ac:dyDescent="0.25">
      <c r="A37" t="s">
        <v>349</v>
      </c>
      <c r="B37" s="20" t="str">
        <f t="shared" si="4"/>
        <v>2017/02/08 00:04:18.849</v>
      </c>
      <c r="C37" s="20">
        <f t="shared" si="5"/>
        <v>2.6318113428715151E-2</v>
      </c>
    </row>
    <row r="38" spans="1:3" x14ac:dyDescent="0.25">
      <c r="A38" t="s">
        <v>350</v>
      </c>
      <c r="B38" s="20" t="str">
        <f t="shared" si="4"/>
        <v>2017/02/08 00:04:19.016</v>
      </c>
      <c r="C38" s="20">
        <f t="shared" si="5"/>
        <v>1.9328654161654413E-6</v>
      </c>
    </row>
    <row r="39" spans="1:3" x14ac:dyDescent="0.25">
      <c r="A39" t="s">
        <v>351</v>
      </c>
      <c r="B39" s="20" t="str">
        <f t="shared" si="4"/>
        <v>2017/02/08 00:04:19.306</v>
      </c>
      <c r="C39" s="20">
        <f t="shared" si="5"/>
        <v>3.3564865589141846E-6</v>
      </c>
    </row>
    <row r="40" spans="1:3" x14ac:dyDescent="0.25">
      <c r="A40" t="s">
        <v>352</v>
      </c>
      <c r="B40" s="20" t="str">
        <f t="shared" si="4"/>
        <v>2017/02/08 00:05:21.847</v>
      </c>
      <c r="C40" s="20">
        <f t="shared" si="5"/>
        <v>7.2385416569886729E-4</v>
      </c>
    </row>
    <row r="41" spans="1:3" x14ac:dyDescent="0.25">
      <c r="A41" t="s">
        <v>353</v>
      </c>
      <c r="B41" s="20" t="str">
        <f t="shared" si="4"/>
        <v>2017/02/08 00:05:22.014</v>
      </c>
      <c r="C41" s="20">
        <f t="shared" si="5"/>
        <v>1.9328654161654413E-6</v>
      </c>
    </row>
    <row r="42" spans="1:3" x14ac:dyDescent="0.25">
      <c r="A42" t="s">
        <v>354</v>
      </c>
      <c r="B42" s="20" t="str">
        <f t="shared" si="4"/>
        <v>2017/02/08 00:05:22.303</v>
      </c>
      <c r="C42" s="20">
        <f t="shared" si="5"/>
        <v>3.3449105103500187E-6</v>
      </c>
    </row>
    <row r="43" spans="1:3" x14ac:dyDescent="0.25">
      <c r="A43" t="s">
        <v>355</v>
      </c>
      <c r="B43" s="20" t="str">
        <f t="shared" si="4"/>
        <v>2017/02/08 00:23:05.855</v>
      </c>
      <c r="C43" s="20">
        <f t="shared" si="5"/>
        <v>1.2309629630181007E-2</v>
      </c>
    </row>
    <row r="44" spans="1:3" x14ac:dyDescent="0.25">
      <c r="A44" t="s">
        <v>356</v>
      </c>
      <c r="B44" s="20" t="str">
        <f t="shared" si="4"/>
        <v>2017/02/08 00:23:05.963</v>
      </c>
      <c r="C44" s="20">
        <f t="shared" si="5"/>
        <v>1.2500022421590984E-6</v>
      </c>
    </row>
    <row r="45" spans="1:3" x14ac:dyDescent="0.25">
      <c r="A45" t="s">
        <v>357</v>
      </c>
      <c r="B45" s="20" t="str">
        <f t="shared" si="4"/>
        <v>2017/02/08 00:23:06.816</v>
      </c>
      <c r="C45" s="20">
        <f t="shared" si="5"/>
        <v>9.872681403066963E-6</v>
      </c>
    </row>
    <row r="46" spans="1:3" x14ac:dyDescent="0.25">
      <c r="A46" t="s">
        <v>358</v>
      </c>
      <c r="B46" s="20" t="str">
        <f t="shared" si="4"/>
        <v>2017/02/08 00:25:34.816</v>
      </c>
      <c r="C46" s="20">
        <f t="shared" si="5"/>
        <v>1.7129629632108845E-3</v>
      </c>
    </row>
    <row r="47" spans="1:3" x14ac:dyDescent="0.25">
      <c r="A47" t="s">
        <v>359</v>
      </c>
      <c r="B47" s="20" t="str">
        <f t="shared" si="4"/>
        <v>2017/02/08 00:25:34.849</v>
      </c>
      <c r="C47" s="20">
        <f t="shared" si="5"/>
        <v>3.8194411899894476E-7</v>
      </c>
    </row>
    <row r="48" spans="1:3" x14ac:dyDescent="0.25">
      <c r="A48" t="s">
        <v>360</v>
      </c>
      <c r="B48" s="20" t="str">
        <f t="shared" si="4"/>
        <v>2017/02/08 00:25:34.957</v>
      </c>
      <c r="C48" s="20">
        <f t="shared" si="5"/>
        <v>1.2500022421590984E-6</v>
      </c>
    </row>
    <row r="49" spans="1:3" x14ac:dyDescent="0.25">
      <c r="A49" t="s">
        <v>361</v>
      </c>
      <c r="B49" s="20" t="str">
        <f t="shared" si="4"/>
        <v>2017/02/08 01:15:29.705</v>
      </c>
      <c r="C49" s="20">
        <f t="shared" si="5"/>
        <v>3.4661435187445022E-2</v>
      </c>
    </row>
    <row r="50" spans="1:3" x14ac:dyDescent="0.25">
      <c r="A50" t="s">
        <v>362</v>
      </c>
      <c r="B50" s="20" t="str">
        <f t="shared" ref="B50:B54" si="6">MID(A50,6,23)</f>
        <v>2017/02/08 01:37:02.029</v>
      </c>
      <c r="C50" s="20">
        <f t="shared" ref="C50:C54" si="7">ABS(B50-B49)</f>
        <v>1.4957453699025791E-2</v>
      </c>
    </row>
    <row r="51" spans="1:3" x14ac:dyDescent="0.25">
      <c r="A51" t="s">
        <v>363</v>
      </c>
      <c r="B51" s="20" t="str">
        <f t="shared" si="6"/>
        <v>2017/02/08 02:06:00.018</v>
      </c>
      <c r="C51" s="20">
        <f t="shared" si="7"/>
        <v>2.0115613428060897E-2</v>
      </c>
    </row>
    <row r="52" spans="1:3" x14ac:dyDescent="0.25">
      <c r="A52" t="s">
        <v>364</v>
      </c>
      <c r="B52" s="20" t="str">
        <f t="shared" si="6"/>
        <v>2017/02/08 02:06:01.465</v>
      </c>
      <c r="C52" s="20">
        <f t="shared" si="7"/>
        <v>1.6747682821005583E-5</v>
      </c>
    </row>
    <row r="53" spans="1:3" x14ac:dyDescent="0.25">
      <c r="A53" t="s">
        <v>365</v>
      </c>
      <c r="B53" s="20" t="str">
        <f t="shared" si="6"/>
        <v>2017/02/08 02:06:01.888</v>
      </c>
      <c r="C53" s="20">
        <f t="shared" si="7"/>
        <v>4.8958318075165153E-6</v>
      </c>
    </row>
    <row r="54" spans="1:3" x14ac:dyDescent="0.25">
      <c r="A54" t="s">
        <v>366</v>
      </c>
      <c r="B54" s="20" t="str">
        <f t="shared" si="6"/>
        <v>2017/02/08 02:06:02.284</v>
      </c>
      <c r="C54" s="20">
        <f t="shared" si="7"/>
        <v>4.5833367039449513E-6</v>
      </c>
    </row>
    <row r="55" spans="1:3" x14ac:dyDescent="0.25">
      <c r="A55" t="s">
        <v>367</v>
      </c>
      <c r="B55" s="20" t="str">
        <f t="shared" ref="B55:B62" si="8">MID(A55,6,23)</f>
        <v>2017/02/08 02:06:41.308</v>
      </c>
      <c r="C55" s="20">
        <f t="shared" ref="C55:C62" si="9">ABS(B55-B54)</f>
        <v>4.5166666677687317E-4</v>
      </c>
    </row>
    <row r="56" spans="1:3" x14ac:dyDescent="0.25">
      <c r="A56" t="s">
        <v>368</v>
      </c>
      <c r="B56" s="20" t="str">
        <f t="shared" si="8"/>
        <v>2017/02/08 02:06:41.848</v>
      </c>
      <c r="C56" s="20">
        <f t="shared" si="9"/>
        <v>6.2499966588802636E-6</v>
      </c>
    </row>
    <row r="57" spans="1:3" x14ac:dyDescent="0.25">
      <c r="A57" t="s">
        <v>369</v>
      </c>
      <c r="B57" s="20" t="str">
        <f t="shared" si="8"/>
        <v>2017/02/08 02:06:42.018</v>
      </c>
      <c r="C57" s="20">
        <f t="shared" si="9"/>
        <v>1.9675935618579388E-6</v>
      </c>
    </row>
    <row r="58" spans="1:3" x14ac:dyDescent="0.25">
      <c r="A58" t="s">
        <v>370</v>
      </c>
      <c r="B58" s="20" t="str">
        <f t="shared" si="8"/>
        <v>2017/02/08 02:41:52.549</v>
      </c>
      <c r="C58" s="20">
        <f t="shared" si="9"/>
        <v>2.4427442134765442E-2</v>
      </c>
    </row>
    <row r="59" spans="1:3" x14ac:dyDescent="0.25">
      <c r="A59" t="s">
        <v>371</v>
      </c>
      <c r="B59" s="20" t="str">
        <f t="shared" si="8"/>
        <v>2017/02/08 02:41:52.827</v>
      </c>
      <c r="C59" s="20">
        <f t="shared" si="9"/>
        <v>3.217588528059423E-6</v>
      </c>
    </row>
    <row r="60" spans="1:3" x14ac:dyDescent="0.25">
      <c r="A60" t="s">
        <v>372</v>
      </c>
      <c r="B60" s="20" t="str">
        <f t="shared" si="8"/>
        <v>2017/02/08 02:41:53.183</v>
      </c>
      <c r="C60" s="20">
        <f t="shared" si="9"/>
        <v>4.1203747969120741E-6</v>
      </c>
    </row>
    <row r="61" spans="1:3" x14ac:dyDescent="0.25">
      <c r="A61" t="s">
        <v>373</v>
      </c>
      <c r="B61" s="20" t="str">
        <f t="shared" si="8"/>
        <v>2017/02/08 08:41:20.651</v>
      </c>
      <c r="C61" s="20">
        <f t="shared" si="9"/>
        <v>0.24962347222026438</v>
      </c>
    </row>
    <row r="62" spans="1:3" x14ac:dyDescent="0.25">
      <c r="A62" t="s">
        <v>374</v>
      </c>
      <c r="B62" s="20" t="str">
        <f t="shared" si="8"/>
        <v>2017/02/08 08:41:20.659</v>
      </c>
      <c r="C62" s="20">
        <f t="shared" si="9"/>
        <v>9.2593836598098278E-8</v>
      </c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2017-02-17T21:22:50Z</dcterms:modified>
</cp:coreProperties>
</file>