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3040" windowHeight="91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</externalReferences>
  <definedNames>
    <definedName name="_xlnm._FilterDatabase" localSheetId="1" hidden="1">Enforcements!$A$6:$AC$16</definedName>
    <definedName name="_xlnm._FilterDatabase" localSheetId="2" hidden="1">'Missing Trips'!$A$2:$J$26</definedName>
    <definedName name="_xlnm._FilterDatabase" localSheetId="0" hidden="1">'Train Runs'!$A$12:$AG$494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Runs'!$A$12:$J$75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04" i="1" l="1"/>
  <c r="L204" i="1"/>
  <c r="M204" i="1"/>
  <c r="N204" i="1" s="1"/>
  <c r="V204" i="1"/>
  <c r="AA204" i="1"/>
  <c r="AB204" i="1"/>
  <c r="AC204" i="1"/>
  <c r="AD204" i="1"/>
  <c r="T204" i="1" s="1"/>
  <c r="AE204" i="1"/>
  <c r="AF204" i="1"/>
  <c r="AH204" i="1"/>
  <c r="AM204" i="1"/>
  <c r="AN204" i="1"/>
  <c r="AO204" i="1"/>
  <c r="K196" i="1"/>
  <c r="L196" i="1"/>
  <c r="M196" i="1"/>
  <c r="N196" i="1" s="1"/>
  <c r="V196" i="1"/>
  <c r="AA196" i="1"/>
  <c r="AB196" i="1"/>
  <c r="AC196" i="1"/>
  <c r="AD196" i="1"/>
  <c r="T196" i="1" s="1"/>
  <c r="AE196" i="1"/>
  <c r="AF196" i="1"/>
  <c r="AH196" i="1"/>
  <c r="AM196" i="1"/>
  <c r="AN196" i="1"/>
  <c r="AO196" i="1"/>
  <c r="K188" i="1"/>
  <c r="L188" i="1"/>
  <c r="M188" i="1"/>
  <c r="N188" i="1" s="1"/>
  <c r="V188" i="1"/>
  <c r="AA188" i="1"/>
  <c r="AB188" i="1"/>
  <c r="AC188" i="1"/>
  <c r="AD188" i="1"/>
  <c r="X188" i="1" s="1"/>
  <c r="AE188" i="1"/>
  <c r="AF188" i="1"/>
  <c r="AH188" i="1"/>
  <c r="AM188" i="1"/>
  <c r="AN188" i="1"/>
  <c r="AO188" i="1"/>
  <c r="P42" i="1"/>
  <c r="K38" i="1"/>
  <c r="L38" i="1"/>
  <c r="M38" i="1"/>
  <c r="N38" i="1" s="1"/>
  <c r="V38" i="1"/>
  <c r="AA38" i="1"/>
  <c r="AB38" i="1"/>
  <c r="AC38" i="1"/>
  <c r="AD38" i="1"/>
  <c r="T38" i="1" s="1"/>
  <c r="AE38" i="1"/>
  <c r="AF38" i="1"/>
  <c r="AH38" i="1"/>
  <c r="AM38" i="1"/>
  <c r="AN38" i="1"/>
  <c r="AO38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AO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AO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AM16" i="1"/>
  <c r="AN16" i="1"/>
  <c r="AO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AO17" i="1"/>
  <c r="K18" i="1"/>
  <c r="L18" i="1"/>
  <c r="M18" i="1"/>
  <c r="N18" i="1" s="1"/>
  <c r="V18" i="1"/>
  <c r="S19" i="3" s="1"/>
  <c r="Y18" i="1"/>
  <c r="Z18" i="1"/>
  <c r="AB18" i="1"/>
  <c r="AC18" i="1"/>
  <c r="AD18" i="1"/>
  <c r="T18" i="1" s="1"/>
  <c r="AE18" i="1"/>
  <c r="AF18" i="1"/>
  <c r="AH18" i="1"/>
  <c r="AM18" i="1"/>
  <c r="AN18" i="1"/>
  <c r="AO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AO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AF20" i="1"/>
  <c r="AH20" i="1"/>
  <c r="AM20" i="1"/>
  <c r="AN20" i="1"/>
  <c r="AO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AO21" i="1"/>
  <c r="K22" i="1"/>
  <c r="L22" i="1"/>
  <c r="M22" i="1"/>
  <c r="P22" i="1" s="1"/>
  <c r="V22" i="1"/>
  <c r="Y22" i="1"/>
  <c r="Z22" i="1"/>
  <c r="AB22" i="1"/>
  <c r="AC22" i="1"/>
  <c r="AD22" i="1"/>
  <c r="T22" i="1" s="1"/>
  <c r="AE22" i="1"/>
  <c r="R20" i="3" s="1"/>
  <c r="AF22" i="1"/>
  <c r="AH22" i="1"/>
  <c r="AM22" i="1"/>
  <c r="AN22" i="1"/>
  <c r="AO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AO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AM24" i="1"/>
  <c r="AN24" i="1"/>
  <c r="AO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AO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AM26" i="1"/>
  <c r="AN26" i="1"/>
  <c r="AO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AN27" i="1"/>
  <c r="AO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AM28" i="1"/>
  <c r="AN28" i="1"/>
  <c r="AO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AO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AM30" i="1"/>
  <c r="AN30" i="1"/>
  <c r="AO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AO31" i="1"/>
  <c r="K32" i="1"/>
  <c r="L32" i="1"/>
  <c r="M32" i="1"/>
  <c r="N32" i="1" s="1"/>
  <c r="V32" i="1"/>
  <c r="S9" i="3" s="1"/>
  <c r="Y32" i="1"/>
  <c r="Z32" i="1"/>
  <c r="AB32" i="1"/>
  <c r="AC32" i="1"/>
  <c r="AD32" i="1"/>
  <c r="AE32" i="1"/>
  <c r="R9" i="3" s="1"/>
  <c r="AF32" i="1"/>
  <c r="AH32" i="1"/>
  <c r="AM32" i="1"/>
  <c r="AN32" i="1"/>
  <c r="AO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AO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AM34" i="1"/>
  <c r="AN34" i="1"/>
  <c r="AO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AM35" i="1"/>
  <c r="AN35" i="1"/>
  <c r="AO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AM36" i="1"/>
  <c r="AN36" i="1"/>
  <c r="AO36" i="1"/>
  <c r="K37" i="1"/>
  <c r="L37" i="1"/>
  <c r="M37" i="1"/>
  <c r="N37" i="1" s="1"/>
  <c r="V37" i="1"/>
  <c r="Y37" i="1"/>
  <c r="Z37" i="1"/>
  <c r="AA37" i="1" s="1"/>
  <c r="AB37" i="1"/>
  <c r="AC37" i="1"/>
  <c r="AD37" i="1"/>
  <c r="AE37" i="1"/>
  <c r="AF37" i="1"/>
  <c r="AH37" i="1"/>
  <c r="AM37" i="1"/>
  <c r="AN37" i="1"/>
  <c r="AO37" i="1"/>
  <c r="K39" i="1"/>
  <c r="L39" i="1"/>
  <c r="M39" i="1"/>
  <c r="N39" i="1" s="1"/>
  <c r="V39" i="1"/>
  <c r="Y39" i="1"/>
  <c r="Z39" i="1"/>
  <c r="AB39" i="1"/>
  <c r="AC39" i="1"/>
  <c r="AD39" i="1"/>
  <c r="X39" i="1" s="1"/>
  <c r="AE39" i="1"/>
  <c r="AF39" i="1"/>
  <c r="AH39" i="1"/>
  <c r="AM39" i="1"/>
  <c r="AN39" i="1"/>
  <c r="AO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AM40" i="1"/>
  <c r="AN40" i="1"/>
  <c r="AO40" i="1"/>
  <c r="K41" i="1"/>
  <c r="L41" i="1"/>
  <c r="M41" i="1"/>
  <c r="V41" i="1"/>
  <c r="Y41" i="1"/>
  <c r="Z41" i="1"/>
  <c r="AB41" i="1"/>
  <c r="AC41" i="1"/>
  <c r="AD41" i="1"/>
  <c r="AE41" i="1"/>
  <c r="AF41" i="1"/>
  <c r="AH41" i="1"/>
  <c r="AM41" i="1"/>
  <c r="AN41" i="1"/>
  <c r="AO41" i="1"/>
  <c r="K42" i="1"/>
  <c r="L42" i="1"/>
  <c r="M42" i="1"/>
  <c r="V42" i="1"/>
  <c r="Y42" i="1"/>
  <c r="Z42" i="1"/>
  <c r="AA42" i="1" s="1"/>
  <c r="AB42" i="1"/>
  <c r="AC42" i="1"/>
  <c r="AD42" i="1"/>
  <c r="AE42" i="1"/>
  <c r="AF42" i="1"/>
  <c r="AH42" i="1"/>
  <c r="AM42" i="1"/>
  <c r="AN42" i="1"/>
  <c r="AO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AM43" i="1"/>
  <c r="AN43" i="1"/>
  <c r="AO43" i="1"/>
  <c r="K44" i="1"/>
  <c r="L44" i="1"/>
  <c r="M44" i="1"/>
  <c r="N44" i="1"/>
  <c r="V44" i="1"/>
  <c r="Y44" i="1"/>
  <c r="AA44" i="1" s="1"/>
  <c r="Z44" i="1"/>
  <c r="AB44" i="1"/>
  <c r="AC44" i="1"/>
  <c r="AD44" i="1"/>
  <c r="AE44" i="1"/>
  <c r="AF44" i="1"/>
  <c r="AH44" i="1"/>
  <c r="AM44" i="1"/>
  <c r="AN44" i="1"/>
  <c r="AO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AM45" i="1"/>
  <c r="AN45" i="1"/>
  <c r="AO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AM46" i="1"/>
  <c r="AN46" i="1"/>
  <c r="AO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AH47" i="1"/>
  <c r="AM47" i="1"/>
  <c r="AN47" i="1"/>
  <c r="AO47" i="1"/>
  <c r="K48" i="1"/>
  <c r="L48" i="1"/>
  <c r="M48" i="1"/>
  <c r="N48" i="1" s="1"/>
  <c r="V48" i="1"/>
  <c r="Y48" i="1"/>
  <c r="AA48" i="1" s="1"/>
  <c r="Z48" i="1"/>
  <c r="AB48" i="1"/>
  <c r="AC48" i="1"/>
  <c r="AD48" i="1"/>
  <c r="AE48" i="1"/>
  <c r="AF48" i="1"/>
  <c r="AH48" i="1"/>
  <c r="AM48" i="1"/>
  <c r="AN48" i="1"/>
  <c r="AO48" i="1"/>
  <c r="K49" i="1"/>
  <c r="L49" i="1"/>
  <c r="M49" i="1"/>
  <c r="N49" i="1" s="1"/>
  <c r="V49" i="1"/>
  <c r="Y49" i="1"/>
  <c r="Z49" i="1"/>
  <c r="AA49" i="1" s="1"/>
  <c r="AB49" i="1"/>
  <c r="AC49" i="1"/>
  <c r="AD49" i="1"/>
  <c r="AE49" i="1"/>
  <c r="AF49" i="1"/>
  <c r="AH49" i="1"/>
  <c r="AM49" i="1"/>
  <c r="AN49" i="1"/>
  <c r="AO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AM50" i="1"/>
  <c r="AN50" i="1"/>
  <c r="AO50" i="1"/>
  <c r="K51" i="1"/>
  <c r="L51" i="1"/>
  <c r="M51" i="1"/>
  <c r="N51" i="1" s="1"/>
  <c r="V51" i="1"/>
  <c r="Y51" i="1"/>
  <c r="Z51" i="1"/>
  <c r="AA51" i="1" s="1"/>
  <c r="AB51" i="1"/>
  <c r="AC51" i="1"/>
  <c r="AD51" i="1"/>
  <c r="AE51" i="1"/>
  <c r="AF51" i="1"/>
  <c r="AH51" i="1"/>
  <c r="AM51" i="1"/>
  <c r="AN51" i="1"/>
  <c r="AO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AH52" i="1"/>
  <c r="AM52" i="1"/>
  <c r="AN52" i="1"/>
  <c r="AO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AH53" i="1"/>
  <c r="AM53" i="1"/>
  <c r="AN53" i="1"/>
  <c r="AO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AM54" i="1"/>
  <c r="AN54" i="1"/>
  <c r="AO54" i="1"/>
  <c r="K55" i="1"/>
  <c r="L55" i="1"/>
  <c r="M55" i="1"/>
  <c r="N55" i="1" s="1"/>
  <c r="V55" i="1"/>
  <c r="S15" i="3" s="1"/>
  <c r="Y55" i="1"/>
  <c r="Z55" i="1"/>
  <c r="AB55" i="1"/>
  <c r="AC55" i="1"/>
  <c r="AD55" i="1"/>
  <c r="AE55" i="1"/>
  <c r="R15" i="3" s="1"/>
  <c r="AF55" i="1"/>
  <c r="AH55" i="1"/>
  <c r="AM55" i="1"/>
  <c r="AN55" i="1"/>
  <c r="AO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AH56" i="1"/>
  <c r="AM56" i="1"/>
  <c r="AN56" i="1"/>
  <c r="AO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AM57" i="1"/>
  <c r="AN57" i="1"/>
  <c r="AO57" i="1"/>
  <c r="K58" i="1"/>
  <c r="L58" i="1"/>
  <c r="M58" i="1"/>
  <c r="N58" i="1" s="1"/>
  <c r="V58" i="1"/>
  <c r="Y58" i="1"/>
  <c r="Z58" i="1"/>
  <c r="AB58" i="1"/>
  <c r="AC58" i="1"/>
  <c r="AD58" i="1"/>
  <c r="AE58" i="1"/>
  <c r="AF58" i="1"/>
  <c r="AH58" i="1"/>
  <c r="AM58" i="1"/>
  <c r="AN58" i="1"/>
  <c r="AO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AO59" i="1"/>
  <c r="K60" i="1"/>
  <c r="L60" i="1"/>
  <c r="M60" i="1"/>
  <c r="N60" i="1" s="1"/>
  <c r="V60" i="1"/>
  <c r="Y60" i="1"/>
  <c r="Z60" i="1"/>
  <c r="AB60" i="1"/>
  <c r="AC60" i="1"/>
  <c r="AD60" i="1"/>
  <c r="AE60" i="1"/>
  <c r="AF60" i="1"/>
  <c r="AH60" i="1"/>
  <c r="AM60" i="1"/>
  <c r="AN60" i="1"/>
  <c r="AO60" i="1"/>
  <c r="K61" i="1"/>
  <c r="L61" i="1"/>
  <c r="M61" i="1"/>
  <c r="N61" i="1" s="1"/>
  <c r="V61" i="1"/>
  <c r="Y61" i="1"/>
  <c r="AB61" i="1"/>
  <c r="AC61" i="1"/>
  <c r="AD61" i="1"/>
  <c r="T61" i="1" s="1"/>
  <c r="AE61" i="1"/>
  <c r="AF61" i="1"/>
  <c r="AH61" i="1"/>
  <c r="AM61" i="1"/>
  <c r="AN61" i="1"/>
  <c r="AO61" i="1"/>
  <c r="K62" i="1"/>
  <c r="L62" i="1"/>
  <c r="M62" i="1"/>
  <c r="N62" i="1" s="1"/>
  <c r="V62" i="1"/>
  <c r="Y62" i="1"/>
  <c r="Z62" i="1"/>
  <c r="AB62" i="1"/>
  <c r="AC62" i="1"/>
  <c r="AD62" i="1"/>
  <c r="AE62" i="1"/>
  <c r="AF62" i="1"/>
  <c r="AH62" i="1"/>
  <c r="AM62" i="1"/>
  <c r="AN62" i="1"/>
  <c r="AO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AO63" i="1"/>
  <c r="K64" i="1"/>
  <c r="L64" i="1"/>
  <c r="M64" i="1"/>
  <c r="N64" i="1" s="1"/>
  <c r="V64" i="1"/>
  <c r="Y64" i="1"/>
  <c r="Z64" i="1"/>
  <c r="AB64" i="1"/>
  <c r="AC64" i="1"/>
  <c r="AD64" i="1"/>
  <c r="AE64" i="1"/>
  <c r="AF64" i="1"/>
  <c r="AH64" i="1"/>
  <c r="AM64" i="1"/>
  <c r="AN64" i="1"/>
  <c r="AO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AO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AO66" i="1"/>
  <c r="K67" i="1"/>
  <c r="L67" i="1"/>
  <c r="M67" i="1"/>
  <c r="N67" i="1" s="1"/>
  <c r="V67" i="1"/>
  <c r="S18" i="3" s="1"/>
  <c r="Y67" i="1"/>
  <c r="Z67" i="1"/>
  <c r="AB67" i="1"/>
  <c r="AC67" i="1"/>
  <c r="AD67" i="1"/>
  <c r="T67" i="1" s="1"/>
  <c r="AE67" i="1"/>
  <c r="R18" i="3" s="1"/>
  <c r="AF67" i="1"/>
  <c r="AH67" i="1"/>
  <c r="AM67" i="1"/>
  <c r="AN67" i="1"/>
  <c r="AO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AO68" i="1"/>
  <c r="K69" i="1"/>
  <c r="L69" i="1"/>
  <c r="M69" i="1"/>
  <c r="N69" i="1" s="1"/>
  <c r="V69" i="1"/>
  <c r="S12" i="3" s="1"/>
  <c r="Y69" i="1"/>
  <c r="Z69" i="1"/>
  <c r="AB69" i="1"/>
  <c r="AC69" i="1"/>
  <c r="AD69" i="1"/>
  <c r="T69" i="1" s="1"/>
  <c r="AE69" i="1"/>
  <c r="AF69" i="1"/>
  <c r="AH69" i="1"/>
  <c r="AM69" i="1"/>
  <c r="AN69" i="1"/>
  <c r="AO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AM70" i="1"/>
  <c r="AN70" i="1"/>
  <c r="AO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AM71" i="1"/>
  <c r="AN71" i="1"/>
  <c r="AO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AM72" i="1"/>
  <c r="AN72" i="1"/>
  <c r="AO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AM73" i="1"/>
  <c r="AN73" i="1"/>
  <c r="AO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AO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AM75" i="1"/>
  <c r="AN75" i="1"/>
  <c r="AO75" i="1"/>
  <c r="K76" i="1"/>
  <c r="L76" i="1"/>
  <c r="M76" i="1"/>
  <c r="N76" i="1" s="1"/>
  <c r="V76" i="1"/>
  <c r="Y76" i="1"/>
  <c r="Z76" i="1"/>
  <c r="AB76" i="1"/>
  <c r="AC76" i="1"/>
  <c r="AD76" i="1"/>
  <c r="AE76" i="1"/>
  <c r="AF76" i="1"/>
  <c r="AH76" i="1"/>
  <c r="AM76" i="1"/>
  <c r="AN76" i="1"/>
  <c r="AO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AH77" i="1"/>
  <c r="AM77" i="1"/>
  <c r="AN77" i="1"/>
  <c r="AO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AM78" i="1"/>
  <c r="AN78" i="1"/>
  <c r="AO78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AH79" i="1"/>
  <c r="AM79" i="1"/>
  <c r="AN79" i="1"/>
  <c r="AO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AM80" i="1"/>
  <c r="AN80" i="1"/>
  <c r="AO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AM81" i="1"/>
  <c r="AN81" i="1"/>
  <c r="AO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AH82" i="1"/>
  <c r="AM82" i="1"/>
  <c r="AN82" i="1"/>
  <c r="AO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AM83" i="1"/>
  <c r="AN83" i="1"/>
  <c r="AO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AM84" i="1"/>
  <c r="AN84" i="1"/>
  <c r="AO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AM85" i="1"/>
  <c r="AN85" i="1"/>
  <c r="AO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AH86" i="1"/>
  <c r="AM86" i="1"/>
  <c r="AN86" i="1"/>
  <c r="AO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AH87" i="1"/>
  <c r="AM87" i="1"/>
  <c r="AN87" i="1"/>
  <c r="AO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AM88" i="1"/>
  <c r="AN88" i="1"/>
  <c r="AO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AH89" i="1"/>
  <c r="AM89" i="1"/>
  <c r="AN89" i="1"/>
  <c r="AO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AH90" i="1"/>
  <c r="AM90" i="1"/>
  <c r="AN90" i="1"/>
  <c r="AO90" i="1"/>
  <c r="K91" i="1"/>
  <c r="L91" i="1"/>
  <c r="M91" i="1"/>
  <c r="N91" i="1" s="1"/>
  <c r="V91" i="1"/>
  <c r="Y91" i="1"/>
  <c r="Z91" i="1"/>
  <c r="AB91" i="1"/>
  <c r="AC91" i="1"/>
  <c r="AD91" i="1"/>
  <c r="AE91" i="1"/>
  <c r="AF91" i="1"/>
  <c r="AH91" i="1"/>
  <c r="AM91" i="1"/>
  <c r="AN91" i="1"/>
  <c r="AO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AM92" i="1"/>
  <c r="AN92" i="1"/>
  <c r="AO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93" i="1"/>
  <c r="AM93" i="1"/>
  <c r="AN93" i="1"/>
  <c r="AO93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AH94" i="1"/>
  <c r="AM94" i="1"/>
  <c r="AN94" i="1"/>
  <c r="AO94" i="1"/>
  <c r="K95" i="1"/>
  <c r="L95" i="1"/>
  <c r="M95" i="1"/>
  <c r="N95" i="1" s="1"/>
  <c r="V95" i="1"/>
  <c r="Y95" i="1"/>
  <c r="Z95" i="1"/>
  <c r="AB95" i="1"/>
  <c r="AC95" i="1"/>
  <c r="AD95" i="1"/>
  <c r="AE95" i="1"/>
  <c r="R21" i="3" s="1"/>
  <c r="AF95" i="1"/>
  <c r="AH95" i="1"/>
  <c r="AM95" i="1"/>
  <c r="AN95" i="1"/>
  <c r="AO95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96" i="1"/>
  <c r="AM96" i="1"/>
  <c r="AN96" i="1"/>
  <c r="AO96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AH97" i="1"/>
  <c r="AM97" i="1"/>
  <c r="AN97" i="1"/>
  <c r="AO97" i="1"/>
  <c r="K98" i="1"/>
  <c r="L98" i="1"/>
  <c r="M98" i="1"/>
  <c r="N98" i="1" s="1"/>
  <c r="V98" i="1"/>
  <c r="Y98" i="1"/>
  <c r="AA98" i="1" s="1"/>
  <c r="Z98" i="1"/>
  <c r="AB98" i="1"/>
  <c r="AC98" i="1"/>
  <c r="AD98" i="1"/>
  <c r="AE98" i="1"/>
  <c r="AF98" i="1"/>
  <c r="AH98" i="1"/>
  <c r="AM98" i="1"/>
  <c r="AN98" i="1"/>
  <c r="AO98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AH99" i="1"/>
  <c r="AM99" i="1"/>
  <c r="AN99" i="1"/>
  <c r="AO99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00" i="1"/>
  <c r="AM100" i="1"/>
  <c r="AN100" i="1"/>
  <c r="AO100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01" i="1"/>
  <c r="AM101" i="1"/>
  <c r="AN101" i="1"/>
  <c r="AO101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02" i="1"/>
  <c r="AM102" i="1"/>
  <c r="AN102" i="1"/>
  <c r="AO102" i="1"/>
  <c r="K103" i="1"/>
  <c r="L103" i="1"/>
  <c r="M103" i="1"/>
  <c r="N103" i="1" s="1"/>
  <c r="V103" i="1"/>
  <c r="S16" i="3" s="1"/>
  <c r="Y103" i="1"/>
  <c r="Z103" i="1"/>
  <c r="AB103" i="1"/>
  <c r="AC103" i="1"/>
  <c r="AD103" i="1"/>
  <c r="AE103" i="1"/>
  <c r="R16" i="3" s="1"/>
  <c r="AF103" i="1"/>
  <c r="AH103" i="1"/>
  <c r="AM103" i="1"/>
  <c r="AN103" i="1"/>
  <c r="AO103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04" i="1"/>
  <c r="AM104" i="1"/>
  <c r="AN104" i="1"/>
  <c r="AO104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AH105" i="1"/>
  <c r="AM105" i="1"/>
  <c r="AN105" i="1"/>
  <c r="AO105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AH106" i="1"/>
  <c r="AM106" i="1"/>
  <c r="AN106" i="1"/>
  <c r="AO106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AH107" i="1"/>
  <c r="AM107" i="1"/>
  <c r="AN107" i="1"/>
  <c r="AO107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08" i="1"/>
  <c r="AM108" i="1"/>
  <c r="AN108" i="1"/>
  <c r="AO108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AH109" i="1"/>
  <c r="AM109" i="1"/>
  <c r="AN109" i="1"/>
  <c r="AO109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10" i="1"/>
  <c r="AM110" i="1"/>
  <c r="AN110" i="1"/>
  <c r="AO110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H111" i="1"/>
  <c r="AM111" i="1"/>
  <c r="AN111" i="1"/>
  <c r="AO111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AH112" i="1"/>
  <c r="AM112" i="1"/>
  <c r="AN112" i="1"/>
  <c r="AO112" i="1"/>
  <c r="K113" i="1"/>
  <c r="L113" i="1"/>
  <c r="M113" i="1"/>
  <c r="N113" i="1" s="1"/>
  <c r="V113" i="1"/>
  <c r="Y113" i="1"/>
  <c r="AA113" i="1" s="1"/>
  <c r="Z113" i="1"/>
  <c r="AB113" i="1"/>
  <c r="AC113" i="1"/>
  <c r="AD113" i="1"/>
  <c r="AE113" i="1"/>
  <c r="AF113" i="1"/>
  <c r="AH113" i="1"/>
  <c r="AM113" i="1"/>
  <c r="AN113" i="1"/>
  <c r="AO113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AH114" i="1"/>
  <c r="AM114" i="1"/>
  <c r="AN114" i="1"/>
  <c r="AO114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AH115" i="1"/>
  <c r="AM115" i="1"/>
  <c r="AN115" i="1"/>
  <c r="AO115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16" i="1"/>
  <c r="AM116" i="1"/>
  <c r="AN116" i="1"/>
  <c r="AO116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17" i="1"/>
  <c r="AM117" i="1"/>
  <c r="AN117" i="1"/>
  <c r="AO117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AH118" i="1"/>
  <c r="AM118" i="1"/>
  <c r="AN118" i="1"/>
  <c r="AO118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H119" i="1"/>
  <c r="AM119" i="1"/>
  <c r="AN119" i="1"/>
  <c r="AO11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20" i="1"/>
  <c r="AM120" i="1"/>
  <c r="AN120" i="1"/>
  <c r="AO12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21" i="1"/>
  <c r="AM121" i="1"/>
  <c r="AN121" i="1"/>
  <c r="AO121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AH122" i="1"/>
  <c r="AM122" i="1"/>
  <c r="AN122" i="1"/>
  <c r="AO122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23" i="1"/>
  <c r="AM123" i="1"/>
  <c r="AN123" i="1"/>
  <c r="AO123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AH124" i="1"/>
  <c r="AM124" i="1"/>
  <c r="AN124" i="1"/>
  <c r="AO124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AH125" i="1"/>
  <c r="AM125" i="1"/>
  <c r="AN125" i="1"/>
  <c r="AO125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AH126" i="1"/>
  <c r="AM126" i="1"/>
  <c r="AN126" i="1"/>
  <c r="AO126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AH127" i="1"/>
  <c r="AM127" i="1"/>
  <c r="AN127" i="1"/>
  <c r="AO127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AH128" i="1"/>
  <c r="AM128" i="1"/>
  <c r="AN128" i="1"/>
  <c r="AO128" i="1"/>
  <c r="K129" i="1"/>
  <c r="L129" i="1"/>
  <c r="M129" i="1"/>
  <c r="N129" i="1" s="1"/>
  <c r="V129" i="1"/>
  <c r="Y129" i="1"/>
  <c r="Z129" i="1"/>
  <c r="AB129" i="1"/>
  <c r="AC129" i="1"/>
  <c r="AD129" i="1"/>
  <c r="AE129" i="1"/>
  <c r="AF129" i="1"/>
  <c r="AH129" i="1"/>
  <c r="AM129" i="1"/>
  <c r="AN129" i="1"/>
  <c r="AO129" i="1"/>
  <c r="K130" i="1"/>
  <c r="L130" i="1"/>
  <c r="M130" i="1"/>
  <c r="N130" i="1" s="1"/>
  <c r="V130" i="1"/>
  <c r="Y130" i="1"/>
  <c r="Z130" i="1"/>
  <c r="AA130" i="1" s="1"/>
  <c r="AB130" i="1"/>
  <c r="AC130" i="1"/>
  <c r="AD130" i="1"/>
  <c r="AE130" i="1"/>
  <c r="AF130" i="1"/>
  <c r="AH130" i="1"/>
  <c r="AM130" i="1"/>
  <c r="AN130" i="1"/>
  <c r="AO130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AH131" i="1"/>
  <c r="AM131" i="1"/>
  <c r="AN131" i="1"/>
  <c r="AO131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AH132" i="1"/>
  <c r="AM132" i="1"/>
  <c r="AN132" i="1"/>
  <c r="AO132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AH133" i="1"/>
  <c r="AM133" i="1"/>
  <c r="AN133" i="1"/>
  <c r="AO133" i="1"/>
  <c r="K134" i="1"/>
  <c r="L134" i="1"/>
  <c r="M134" i="1"/>
  <c r="N134" i="1" s="1"/>
  <c r="V134" i="1"/>
  <c r="S22" i="3" s="1"/>
  <c r="Y134" i="1"/>
  <c r="Z134" i="1"/>
  <c r="AB134" i="1"/>
  <c r="AC134" i="1"/>
  <c r="AD134" i="1"/>
  <c r="AE134" i="1"/>
  <c r="AF134" i="1"/>
  <c r="AH134" i="1"/>
  <c r="AM134" i="1"/>
  <c r="AN134" i="1"/>
  <c r="AO134" i="1"/>
  <c r="K135" i="1"/>
  <c r="L135" i="1"/>
  <c r="M135" i="1"/>
  <c r="N135" i="1" s="1"/>
  <c r="V135" i="1"/>
  <c r="S8" i="3" s="1"/>
  <c r="Y135" i="1"/>
  <c r="Z135" i="1"/>
  <c r="AB135" i="1"/>
  <c r="AC135" i="1"/>
  <c r="AD135" i="1"/>
  <c r="AE135" i="1"/>
  <c r="R8" i="3" s="1"/>
  <c r="AF135" i="1"/>
  <c r="AH135" i="1"/>
  <c r="AM135" i="1"/>
  <c r="AN135" i="1"/>
  <c r="AO135" i="1"/>
  <c r="K136" i="1"/>
  <c r="L136" i="1"/>
  <c r="M136" i="1"/>
  <c r="N136" i="1" s="1"/>
  <c r="V136" i="1"/>
  <c r="Y136" i="1"/>
  <c r="Z136" i="1"/>
  <c r="AA136" i="1" s="1"/>
  <c r="AB136" i="1"/>
  <c r="AC136" i="1"/>
  <c r="AD136" i="1"/>
  <c r="T136" i="1" s="1"/>
  <c r="AE136" i="1"/>
  <c r="AF136" i="1"/>
  <c r="AH136" i="1"/>
  <c r="AM136" i="1"/>
  <c r="AN136" i="1"/>
  <c r="AO136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H137" i="1"/>
  <c r="AM137" i="1"/>
  <c r="AN137" i="1"/>
  <c r="AO137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38" i="1"/>
  <c r="AM138" i="1"/>
  <c r="AN138" i="1"/>
  <c r="AO138" i="1"/>
  <c r="K139" i="1"/>
  <c r="L139" i="1"/>
  <c r="M139" i="1"/>
  <c r="N139" i="1" s="1"/>
  <c r="V139" i="1"/>
  <c r="Y139" i="1"/>
  <c r="AA139" i="1" s="1"/>
  <c r="Z139" i="1"/>
  <c r="AB139" i="1"/>
  <c r="AC139" i="1"/>
  <c r="AD139" i="1"/>
  <c r="T139" i="1" s="1"/>
  <c r="AE139" i="1"/>
  <c r="AF139" i="1"/>
  <c r="AH139" i="1"/>
  <c r="AM139" i="1"/>
  <c r="AN139" i="1"/>
  <c r="AO139" i="1"/>
  <c r="K140" i="1"/>
  <c r="L140" i="1"/>
  <c r="M140" i="1"/>
  <c r="N140" i="1"/>
  <c r="V140" i="1"/>
  <c r="Y140" i="1"/>
  <c r="Z140" i="1"/>
  <c r="AB140" i="1"/>
  <c r="AC140" i="1"/>
  <c r="AD140" i="1"/>
  <c r="X140" i="1" s="1"/>
  <c r="AE140" i="1"/>
  <c r="AF140" i="1"/>
  <c r="AH140" i="1"/>
  <c r="AM140" i="1"/>
  <c r="AN140" i="1"/>
  <c r="AO140" i="1"/>
  <c r="K141" i="1"/>
  <c r="L141" i="1"/>
  <c r="M141" i="1"/>
  <c r="N141" i="1" s="1"/>
  <c r="V141" i="1"/>
  <c r="Y141" i="1"/>
  <c r="Z141" i="1"/>
  <c r="AA141" i="1" s="1"/>
  <c r="AB141" i="1"/>
  <c r="AC141" i="1"/>
  <c r="AD141" i="1"/>
  <c r="T141" i="1" s="1"/>
  <c r="AE141" i="1"/>
  <c r="AF141" i="1"/>
  <c r="AH141" i="1"/>
  <c r="AM141" i="1"/>
  <c r="AN141" i="1"/>
  <c r="AO141" i="1"/>
  <c r="K142" i="1"/>
  <c r="L142" i="1"/>
  <c r="M142" i="1"/>
  <c r="N142" i="1" s="1"/>
  <c r="V142" i="1"/>
  <c r="Y142" i="1"/>
  <c r="Z142" i="1"/>
  <c r="AB142" i="1"/>
  <c r="AC142" i="1"/>
  <c r="AD142" i="1"/>
  <c r="AE142" i="1"/>
  <c r="AF142" i="1"/>
  <c r="AH142" i="1"/>
  <c r="AM142" i="1"/>
  <c r="AN142" i="1"/>
  <c r="AO142" i="1"/>
  <c r="K143" i="1"/>
  <c r="L143" i="1"/>
  <c r="M143" i="1"/>
  <c r="N143" i="1"/>
  <c r="V143" i="1"/>
  <c r="Y143" i="1"/>
  <c r="Z143" i="1"/>
  <c r="AB143" i="1"/>
  <c r="AC143" i="1"/>
  <c r="AD143" i="1"/>
  <c r="T143" i="1" s="1"/>
  <c r="AE143" i="1"/>
  <c r="AF143" i="1"/>
  <c r="AH143" i="1"/>
  <c r="AM143" i="1"/>
  <c r="AN143" i="1"/>
  <c r="AO143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44" i="1"/>
  <c r="AM144" i="1"/>
  <c r="AN144" i="1"/>
  <c r="AO144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45" i="1"/>
  <c r="AM145" i="1"/>
  <c r="AN145" i="1"/>
  <c r="AO145" i="1"/>
  <c r="K146" i="1"/>
  <c r="L146" i="1"/>
  <c r="M146" i="1"/>
  <c r="N146" i="1" s="1"/>
  <c r="V146" i="1"/>
  <c r="Y146" i="1"/>
  <c r="AA146" i="1" s="1"/>
  <c r="Z146" i="1"/>
  <c r="AB146" i="1"/>
  <c r="AC146" i="1"/>
  <c r="AD146" i="1"/>
  <c r="T146" i="1" s="1"/>
  <c r="AE146" i="1"/>
  <c r="AF146" i="1"/>
  <c r="AH146" i="1"/>
  <c r="AM146" i="1"/>
  <c r="AN146" i="1"/>
  <c r="AO14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47" i="1"/>
  <c r="AM147" i="1"/>
  <c r="AN147" i="1"/>
  <c r="AO147" i="1"/>
  <c r="K148" i="1"/>
  <c r="L148" i="1"/>
  <c r="M148" i="1"/>
  <c r="N148" i="1" s="1"/>
  <c r="V148" i="1"/>
  <c r="Y148" i="1"/>
  <c r="Z148" i="1"/>
  <c r="AB148" i="1"/>
  <c r="AC148" i="1"/>
  <c r="AD148" i="1"/>
  <c r="X148" i="1" s="1"/>
  <c r="AE148" i="1"/>
  <c r="AF148" i="1"/>
  <c r="AH148" i="1"/>
  <c r="AM148" i="1"/>
  <c r="AN148" i="1"/>
  <c r="AO148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49" i="1"/>
  <c r="AM149" i="1"/>
  <c r="AN149" i="1"/>
  <c r="AO149" i="1"/>
  <c r="K150" i="1"/>
  <c r="L150" i="1"/>
  <c r="M150" i="1"/>
  <c r="N150" i="1" s="1"/>
  <c r="V150" i="1"/>
  <c r="S7" i="3" s="1"/>
  <c r="Y150" i="1"/>
  <c r="Z150" i="1"/>
  <c r="AB150" i="1"/>
  <c r="AC150" i="1"/>
  <c r="AD150" i="1"/>
  <c r="AE150" i="1"/>
  <c r="R7" i="3" s="1"/>
  <c r="AF150" i="1"/>
  <c r="AH150" i="1"/>
  <c r="AM150" i="1"/>
  <c r="AN150" i="1"/>
  <c r="AO150" i="1"/>
  <c r="K151" i="1"/>
  <c r="L151" i="1"/>
  <c r="M151" i="1"/>
  <c r="N151" i="1" s="1"/>
  <c r="V151" i="1"/>
  <c r="Y151" i="1"/>
  <c r="Z151" i="1"/>
  <c r="AB151" i="1"/>
  <c r="AC151" i="1"/>
  <c r="AD151" i="1"/>
  <c r="X151" i="1" s="1"/>
  <c r="AE151" i="1"/>
  <c r="AF151" i="1"/>
  <c r="AH151" i="1"/>
  <c r="AM151" i="1"/>
  <c r="AN151" i="1"/>
  <c r="AO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52" i="1"/>
  <c r="AM152" i="1"/>
  <c r="AN152" i="1"/>
  <c r="AO152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53" i="1"/>
  <c r="AM153" i="1"/>
  <c r="AN153" i="1"/>
  <c r="AO153" i="1"/>
  <c r="K154" i="1"/>
  <c r="L154" i="1"/>
  <c r="M154" i="1"/>
  <c r="N154" i="1" s="1"/>
  <c r="V154" i="1"/>
  <c r="S11" i="3" s="1"/>
  <c r="Y154" i="1"/>
  <c r="Z154" i="1"/>
  <c r="AB154" i="1"/>
  <c r="AC154" i="1"/>
  <c r="AD154" i="1"/>
  <c r="T154" i="1" s="1"/>
  <c r="AE154" i="1"/>
  <c r="R11" i="3" s="1"/>
  <c r="AF154" i="1"/>
  <c r="AH154" i="1"/>
  <c r="AM154" i="1"/>
  <c r="AN154" i="1"/>
  <c r="AO154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55" i="1"/>
  <c r="AM155" i="1"/>
  <c r="AN155" i="1"/>
  <c r="AO155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56" i="1"/>
  <c r="AM156" i="1"/>
  <c r="AN156" i="1"/>
  <c r="AO156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57" i="1"/>
  <c r="AM157" i="1"/>
  <c r="AN157" i="1"/>
  <c r="AO157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158" i="1"/>
  <c r="AM158" i="1"/>
  <c r="AN158" i="1"/>
  <c r="AO158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159" i="1"/>
  <c r="AM159" i="1"/>
  <c r="AN159" i="1"/>
  <c r="AO159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160" i="1"/>
  <c r="AM160" i="1"/>
  <c r="AN160" i="1"/>
  <c r="AO160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161" i="1"/>
  <c r="AM161" i="1"/>
  <c r="AN161" i="1"/>
  <c r="AO161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162" i="1"/>
  <c r="AM162" i="1"/>
  <c r="AN162" i="1"/>
  <c r="AO162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163" i="1"/>
  <c r="AM163" i="1"/>
  <c r="AN163" i="1"/>
  <c r="AO163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164" i="1"/>
  <c r="AM164" i="1"/>
  <c r="AN164" i="1"/>
  <c r="AO164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165" i="1"/>
  <c r="AM165" i="1"/>
  <c r="AN165" i="1"/>
  <c r="AO165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166" i="1"/>
  <c r="AM166" i="1"/>
  <c r="AN166" i="1"/>
  <c r="AO166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167" i="1"/>
  <c r="AM167" i="1"/>
  <c r="AN167" i="1"/>
  <c r="AO167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K225" i="1"/>
  <c r="L225" i="1"/>
  <c r="M225" i="1"/>
  <c r="N225" i="1" s="1"/>
  <c r="V225" i="1"/>
  <c r="Y225" i="1"/>
  <c r="Z225" i="1"/>
  <c r="AB225" i="1"/>
  <c r="AC225" i="1"/>
  <c r="AD225" i="1"/>
  <c r="T225" i="1" s="1"/>
  <c r="AE225" i="1"/>
  <c r="AF225" i="1"/>
  <c r="AH168" i="1"/>
  <c r="AM168" i="1"/>
  <c r="AN168" i="1"/>
  <c r="AO168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AH169" i="1"/>
  <c r="AM169" i="1"/>
  <c r="AN169" i="1"/>
  <c r="AO169" i="1"/>
  <c r="K227" i="1"/>
  <c r="L227" i="1"/>
  <c r="M227" i="1"/>
  <c r="N227" i="1" s="1"/>
  <c r="V227" i="1"/>
  <c r="Y227" i="1"/>
  <c r="Z227" i="1"/>
  <c r="AB227" i="1"/>
  <c r="AC227" i="1"/>
  <c r="AD227" i="1"/>
  <c r="T227" i="1" s="1"/>
  <c r="AE227" i="1"/>
  <c r="AF227" i="1"/>
  <c r="AH170" i="1"/>
  <c r="AM170" i="1"/>
  <c r="AN170" i="1"/>
  <c r="AO170" i="1"/>
  <c r="K228" i="1"/>
  <c r="L228" i="1"/>
  <c r="M228" i="1"/>
  <c r="N228" i="1"/>
  <c r="V228" i="1"/>
  <c r="X228" i="1"/>
  <c r="Y228" i="1"/>
  <c r="Z228" i="1"/>
  <c r="AB228" i="1"/>
  <c r="AC228" i="1"/>
  <c r="AD228" i="1"/>
  <c r="T228" i="1" s="1"/>
  <c r="AE228" i="1"/>
  <c r="AF228" i="1"/>
  <c r="AH171" i="1"/>
  <c r="AM171" i="1"/>
  <c r="AN171" i="1"/>
  <c r="AO171" i="1"/>
  <c r="K229" i="1"/>
  <c r="L229" i="1"/>
  <c r="M229" i="1"/>
  <c r="N229" i="1" s="1"/>
  <c r="V229" i="1"/>
  <c r="Y229" i="1"/>
  <c r="Z229" i="1"/>
  <c r="AB229" i="1"/>
  <c r="AC229" i="1"/>
  <c r="AD229" i="1"/>
  <c r="T229" i="1" s="1"/>
  <c r="AE229" i="1"/>
  <c r="AF229" i="1"/>
  <c r="AH172" i="1"/>
  <c r="AM172" i="1"/>
  <c r="AN172" i="1"/>
  <c r="AO172" i="1"/>
  <c r="K230" i="1"/>
  <c r="L230" i="1"/>
  <c r="M230" i="1"/>
  <c r="N230" i="1" s="1"/>
  <c r="V230" i="1"/>
  <c r="Y230" i="1"/>
  <c r="Z230" i="1"/>
  <c r="AA230" i="1" s="1"/>
  <c r="AB230" i="1"/>
  <c r="AC230" i="1"/>
  <c r="AD230" i="1"/>
  <c r="T230" i="1" s="1"/>
  <c r="AE230" i="1"/>
  <c r="AF230" i="1"/>
  <c r="AH173" i="1"/>
  <c r="AM173" i="1"/>
  <c r="AN173" i="1"/>
  <c r="AO173" i="1"/>
  <c r="K231" i="1"/>
  <c r="L231" i="1"/>
  <c r="M231" i="1"/>
  <c r="N231" i="1" s="1"/>
  <c r="V231" i="1"/>
  <c r="Y231" i="1"/>
  <c r="Z231" i="1"/>
  <c r="AA231" i="1"/>
  <c r="AB231" i="1"/>
  <c r="AC231" i="1"/>
  <c r="AD231" i="1"/>
  <c r="T231" i="1" s="1"/>
  <c r="AE231" i="1"/>
  <c r="AF231" i="1"/>
  <c r="AH174" i="1"/>
  <c r="AM174" i="1"/>
  <c r="AN174" i="1"/>
  <c r="AO174" i="1"/>
  <c r="K232" i="1"/>
  <c r="L232" i="1"/>
  <c r="M232" i="1"/>
  <c r="N232" i="1" s="1"/>
  <c r="V232" i="1"/>
  <c r="Y232" i="1"/>
  <c r="AA232" i="1" s="1"/>
  <c r="Z232" i="1"/>
  <c r="AB232" i="1"/>
  <c r="AC232" i="1"/>
  <c r="AD232" i="1"/>
  <c r="T232" i="1" s="1"/>
  <c r="AE232" i="1"/>
  <c r="AF232" i="1"/>
  <c r="AH175" i="1"/>
  <c r="AM175" i="1"/>
  <c r="AN175" i="1"/>
  <c r="AO175" i="1"/>
  <c r="K233" i="1"/>
  <c r="L233" i="1"/>
  <c r="M233" i="1"/>
  <c r="N233" i="1"/>
  <c r="V233" i="1"/>
  <c r="Y233" i="1"/>
  <c r="Z233" i="1"/>
  <c r="AB233" i="1"/>
  <c r="AC233" i="1"/>
  <c r="AD233" i="1"/>
  <c r="T233" i="1" s="1"/>
  <c r="AE233" i="1"/>
  <c r="AF233" i="1"/>
  <c r="AH176" i="1"/>
  <c r="AM176" i="1"/>
  <c r="AN176" i="1"/>
  <c r="AO176" i="1"/>
  <c r="K234" i="1"/>
  <c r="L234" i="1"/>
  <c r="M234" i="1"/>
  <c r="N234" i="1"/>
  <c r="V234" i="1"/>
  <c r="Y234" i="1"/>
  <c r="AA234" i="1" s="1"/>
  <c r="Z234" i="1"/>
  <c r="AB234" i="1"/>
  <c r="AC234" i="1"/>
  <c r="AD234" i="1"/>
  <c r="T234" i="1" s="1"/>
  <c r="AE234" i="1"/>
  <c r="AF234" i="1"/>
  <c r="AH177" i="1"/>
  <c r="AM177" i="1"/>
  <c r="AN177" i="1"/>
  <c r="AO177" i="1"/>
  <c r="K235" i="1"/>
  <c r="L235" i="1"/>
  <c r="M235" i="1"/>
  <c r="N235" i="1" s="1"/>
  <c r="V235" i="1"/>
  <c r="Y235" i="1"/>
  <c r="Z235" i="1"/>
  <c r="AB235" i="1"/>
  <c r="AC235" i="1"/>
  <c r="AD235" i="1"/>
  <c r="T235" i="1" s="1"/>
  <c r="AE235" i="1"/>
  <c r="AF235" i="1"/>
  <c r="AH178" i="1"/>
  <c r="AM178" i="1"/>
  <c r="AN178" i="1"/>
  <c r="AO178" i="1"/>
  <c r="K236" i="1"/>
  <c r="L236" i="1"/>
  <c r="M236" i="1"/>
  <c r="N236" i="1" s="1"/>
  <c r="V236" i="1"/>
  <c r="Y236" i="1"/>
  <c r="Z236" i="1"/>
  <c r="AB236" i="1"/>
  <c r="AC236" i="1"/>
  <c r="AD236" i="1"/>
  <c r="T236" i="1" s="1"/>
  <c r="AE236" i="1"/>
  <c r="AF236" i="1"/>
  <c r="AH179" i="1"/>
  <c r="AM179" i="1"/>
  <c r="AN179" i="1"/>
  <c r="AO179" i="1"/>
  <c r="K237" i="1"/>
  <c r="L237" i="1"/>
  <c r="M237" i="1"/>
  <c r="N237" i="1" s="1"/>
  <c r="V237" i="1"/>
  <c r="Y237" i="1"/>
  <c r="Z237" i="1"/>
  <c r="AB237" i="1"/>
  <c r="AC237" i="1"/>
  <c r="AD237" i="1"/>
  <c r="T237" i="1" s="1"/>
  <c r="AE237" i="1"/>
  <c r="AF237" i="1"/>
  <c r="AH180" i="1"/>
  <c r="AM180" i="1"/>
  <c r="AN180" i="1"/>
  <c r="AO180" i="1"/>
  <c r="K238" i="1"/>
  <c r="L238" i="1"/>
  <c r="M238" i="1"/>
  <c r="N238" i="1" s="1"/>
  <c r="V238" i="1"/>
  <c r="Y238" i="1"/>
  <c r="Z238" i="1"/>
  <c r="AB238" i="1"/>
  <c r="AC238" i="1"/>
  <c r="AD238" i="1"/>
  <c r="T238" i="1" s="1"/>
  <c r="AE238" i="1"/>
  <c r="AF238" i="1"/>
  <c r="AH181" i="1"/>
  <c r="AM181" i="1"/>
  <c r="AN181" i="1"/>
  <c r="AO181" i="1"/>
  <c r="K239" i="1"/>
  <c r="L239" i="1"/>
  <c r="M239" i="1"/>
  <c r="N239" i="1" s="1"/>
  <c r="V239" i="1"/>
  <c r="Y239" i="1"/>
  <c r="Z239" i="1"/>
  <c r="AB239" i="1"/>
  <c r="AC239" i="1"/>
  <c r="AD239" i="1"/>
  <c r="T239" i="1" s="1"/>
  <c r="AE239" i="1"/>
  <c r="AF239" i="1"/>
  <c r="AH182" i="1"/>
  <c r="AM182" i="1"/>
  <c r="AN182" i="1"/>
  <c r="AO182" i="1"/>
  <c r="K158" i="1"/>
  <c r="L158" i="1"/>
  <c r="M158" i="1"/>
  <c r="N158" i="1" s="1"/>
  <c r="V158" i="1"/>
  <c r="Y158" i="1"/>
  <c r="Z158" i="1"/>
  <c r="AB158" i="1"/>
  <c r="AC158" i="1"/>
  <c r="AD158" i="1"/>
  <c r="AE158" i="1"/>
  <c r="AF158" i="1"/>
  <c r="AH183" i="1"/>
  <c r="AM183" i="1"/>
  <c r="AN183" i="1"/>
  <c r="AO183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AH184" i="1"/>
  <c r="AM184" i="1"/>
  <c r="AN184" i="1"/>
  <c r="AO184" i="1"/>
  <c r="K160" i="1"/>
  <c r="L160" i="1"/>
  <c r="M160" i="1"/>
  <c r="N160" i="1" s="1"/>
  <c r="T160" i="1"/>
  <c r="V160" i="1"/>
  <c r="Y160" i="1"/>
  <c r="Z160" i="1"/>
  <c r="AB160" i="1"/>
  <c r="AC160" i="1"/>
  <c r="AD160" i="1"/>
  <c r="AE160" i="1"/>
  <c r="AF160" i="1"/>
  <c r="AH185" i="1"/>
  <c r="AM185" i="1"/>
  <c r="AN185" i="1"/>
  <c r="AO185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186" i="1"/>
  <c r="AM186" i="1"/>
  <c r="AN186" i="1"/>
  <c r="AO186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187" i="1"/>
  <c r="AM187" i="1"/>
  <c r="AN187" i="1"/>
  <c r="AO187" i="1"/>
  <c r="K163" i="1"/>
  <c r="L163" i="1"/>
  <c r="M163" i="1"/>
  <c r="P163" i="1" s="1"/>
  <c r="V163" i="1"/>
  <c r="S26" i="3" s="1"/>
  <c r="Y163" i="1"/>
  <c r="Z163" i="1"/>
  <c r="AB163" i="1"/>
  <c r="AC163" i="1"/>
  <c r="AD163" i="1"/>
  <c r="AE163" i="1"/>
  <c r="R26" i="3" s="1"/>
  <c r="AF163" i="1"/>
  <c r="AH189" i="1"/>
  <c r="AM189" i="1"/>
  <c r="AN189" i="1"/>
  <c r="AO189" i="1"/>
  <c r="K164" i="1"/>
  <c r="L164" i="1"/>
  <c r="M164" i="1"/>
  <c r="V164" i="1"/>
  <c r="Y164" i="1"/>
  <c r="Z164" i="1"/>
  <c r="AB164" i="1"/>
  <c r="AC164" i="1"/>
  <c r="AD164" i="1"/>
  <c r="T164" i="1" s="1"/>
  <c r="AE164" i="1"/>
  <c r="AF164" i="1"/>
  <c r="AH190" i="1"/>
  <c r="AM190" i="1"/>
  <c r="AN190" i="1"/>
  <c r="AO190" i="1"/>
  <c r="K165" i="1"/>
  <c r="L165" i="1"/>
  <c r="M165" i="1"/>
  <c r="N165" i="1" s="1"/>
  <c r="V165" i="1"/>
  <c r="Y165" i="1"/>
  <c r="Z165" i="1"/>
  <c r="AB165" i="1"/>
  <c r="AC165" i="1"/>
  <c r="AD165" i="1"/>
  <c r="AE165" i="1"/>
  <c r="AF165" i="1"/>
  <c r="AH191" i="1"/>
  <c r="AM191" i="1"/>
  <c r="AN191" i="1"/>
  <c r="AO191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192" i="1"/>
  <c r="AM192" i="1"/>
  <c r="AN192" i="1"/>
  <c r="AO192" i="1"/>
  <c r="K167" i="1"/>
  <c r="L167" i="1"/>
  <c r="M167" i="1"/>
  <c r="N167" i="1" s="1"/>
  <c r="V167" i="1"/>
  <c r="Y167" i="1"/>
  <c r="Z167" i="1"/>
  <c r="AB167" i="1"/>
  <c r="AC167" i="1"/>
  <c r="AD167" i="1"/>
  <c r="X167" i="1" s="1"/>
  <c r="AE167" i="1"/>
  <c r="AF167" i="1"/>
  <c r="AH193" i="1"/>
  <c r="AM193" i="1"/>
  <c r="AN193" i="1"/>
  <c r="AO193" i="1"/>
  <c r="AH194" i="1"/>
  <c r="AM194" i="1"/>
  <c r="AN194" i="1"/>
  <c r="AO194" i="1"/>
  <c r="K168" i="1"/>
  <c r="L168" i="1"/>
  <c r="M168" i="1"/>
  <c r="N168" i="1"/>
  <c r="V168" i="1"/>
  <c r="Y168" i="1"/>
  <c r="Z168" i="1"/>
  <c r="AB168" i="1"/>
  <c r="AC168" i="1"/>
  <c r="AD168" i="1"/>
  <c r="X168" i="1" s="1"/>
  <c r="AE168" i="1"/>
  <c r="AF168" i="1"/>
  <c r="AH195" i="1"/>
  <c r="AM195" i="1"/>
  <c r="AN195" i="1"/>
  <c r="AO195" i="1"/>
  <c r="K169" i="1"/>
  <c r="L169" i="1"/>
  <c r="M169" i="1"/>
  <c r="N169" i="1"/>
  <c r="V169" i="1"/>
  <c r="S28" i="3" s="1"/>
  <c r="Y169" i="1"/>
  <c r="Z169" i="1"/>
  <c r="AB169" i="1"/>
  <c r="AC169" i="1"/>
  <c r="AD169" i="1"/>
  <c r="T169" i="1" s="1"/>
  <c r="AE169" i="1"/>
  <c r="R29" i="3" s="1"/>
  <c r="AF169" i="1"/>
  <c r="AH197" i="1"/>
  <c r="AM197" i="1"/>
  <c r="AN197" i="1"/>
  <c r="AO197" i="1"/>
  <c r="K170" i="1"/>
  <c r="L170" i="1"/>
  <c r="M170" i="1"/>
  <c r="N170" i="1"/>
  <c r="V170" i="1"/>
  <c r="Y170" i="1"/>
  <c r="Z170" i="1"/>
  <c r="AB170" i="1"/>
  <c r="AC170" i="1"/>
  <c r="AD170" i="1"/>
  <c r="X170" i="1" s="1"/>
  <c r="AE170" i="1"/>
  <c r="AF170" i="1"/>
  <c r="AH198" i="1"/>
  <c r="AM198" i="1"/>
  <c r="AN198" i="1"/>
  <c r="AO198" i="1"/>
  <c r="K171" i="1"/>
  <c r="L171" i="1"/>
  <c r="M171" i="1"/>
  <c r="N171" i="1"/>
  <c r="V171" i="1"/>
  <c r="Y171" i="1"/>
  <c r="Z171" i="1"/>
  <c r="AB171" i="1"/>
  <c r="AC171" i="1"/>
  <c r="AD171" i="1"/>
  <c r="T171" i="1" s="1"/>
  <c r="AE171" i="1"/>
  <c r="AF171" i="1"/>
  <c r="AH199" i="1"/>
  <c r="AM199" i="1"/>
  <c r="AN199" i="1"/>
  <c r="AO199" i="1"/>
  <c r="K172" i="1"/>
  <c r="L172" i="1"/>
  <c r="M172" i="1"/>
  <c r="N172" i="1"/>
  <c r="V172" i="1"/>
  <c r="Y172" i="1"/>
  <c r="Z172" i="1"/>
  <c r="AB172" i="1"/>
  <c r="AC172" i="1"/>
  <c r="AD172" i="1"/>
  <c r="X172" i="1" s="1"/>
  <c r="AE172" i="1"/>
  <c r="AF172" i="1"/>
  <c r="AH200" i="1"/>
  <c r="AM200" i="1"/>
  <c r="AN200" i="1"/>
  <c r="AO200" i="1"/>
  <c r="K173" i="1"/>
  <c r="L173" i="1"/>
  <c r="M173" i="1"/>
  <c r="N173" i="1"/>
  <c r="V173" i="1"/>
  <c r="Y173" i="1"/>
  <c r="Z173" i="1"/>
  <c r="AB173" i="1"/>
  <c r="AC173" i="1"/>
  <c r="AD173" i="1"/>
  <c r="T173" i="1" s="1"/>
  <c r="AE173" i="1"/>
  <c r="AF173" i="1"/>
  <c r="AH201" i="1"/>
  <c r="AM201" i="1"/>
  <c r="AN201" i="1"/>
  <c r="AO201" i="1"/>
  <c r="K174" i="1"/>
  <c r="L174" i="1"/>
  <c r="M174" i="1"/>
  <c r="N174" i="1" s="1"/>
  <c r="V174" i="1"/>
  <c r="Y174" i="1"/>
  <c r="Z174" i="1"/>
  <c r="AB174" i="1"/>
  <c r="AC174" i="1"/>
  <c r="AD174" i="1"/>
  <c r="AE174" i="1"/>
  <c r="AF174" i="1"/>
  <c r="AH202" i="1"/>
  <c r="AM202" i="1"/>
  <c r="AN202" i="1"/>
  <c r="AO202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203" i="1"/>
  <c r="AM203" i="1"/>
  <c r="AN203" i="1"/>
  <c r="AO203" i="1"/>
  <c r="K176" i="1"/>
  <c r="L176" i="1"/>
  <c r="M176" i="1"/>
  <c r="N176" i="1"/>
  <c r="V176" i="1"/>
  <c r="Y176" i="1"/>
  <c r="Z176" i="1"/>
  <c r="AB176" i="1"/>
  <c r="AC176" i="1"/>
  <c r="AD176" i="1"/>
  <c r="X176" i="1" s="1"/>
  <c r="AE176" i="1"/>
  <c r="AF176" i="1"/>
  <c r="AH205" i="1"/>
  <c r="AM205" i="1"/>
  <c r="AN205" i="1"/>
  <c r="AO205" i="1"/>
  <c r="K177" i="1"/>
  <c r="L177" i="1"/>
  <c r="M177" i="1"/>
  <c r="N177" i="1"/>
  <c r="V177" i="1"/>
  <c r="S30" i="3" s="1"/>
  <c r="Y177" i="1"/>
  <c r="Z177" i="1"/>
  <c r="AB177" i="1"/>
  <c r="AC177" i="1"/>
  <c r="AD177" i="1"/>
  <c r="T177" i="1" s="1"/>
  <c r="AE177" i="1"/>
  <c r="R30" i="3" s="1"/>
  <c r="AF177" i="1"/>
  <c r="AH206" i="1"/>
  <c r="AM206" i="1"/>
  <c r="AN206" i="1"/>
  <c r="AO206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AH207" i="1"/>
  <c r="AM207" i="1"/>
  <c r="AN207" i="1"/>
  <c r="AO207" i="1"/>
  <c r="K179" i="1"/>
  <c r="L179" i="1"/>
  <c r="M179" i="1"/>
  <c r="N179" i="1" s="1"/>
  <c r="V179" i="1"/>
  <c r="S24" i="3" s="1"/>
  <c r="Y179" i="1"/>
  <c r="Z179" i="1"/>
  <c r="AB179" i="1"/>
  <c r="AC179" i="1"/>
  <c r="AD179" i="1"/>
  <c r="T179" i="1" s="1"/>
  <c r="AE179" i="1"/>
  <c r="R24" i="3" s="1"/>
  <c r="AF179" i="1"/>
  <c r="AH208" i="1"/>
  <c r="AM208" i="1"/>
  <c r="AN208" i="1"/>
  <c r="AO208" i="1"/>
  <c r="K180" i="1"/>
  <c r="L180" i="1"/>
  <c r="M180" i="1"/>
  <c r="N180" i="1" s="1"/>
  <c r="V180" i="1"/>
  <c r="S23" i="3" s="1"/>
  <c r="Y180" i="1"/>
  <c r="Z180" i="1"/>
  <c r="AA180" i="1" s="1"/>
  <c r="AB180" i="1"/>
  <c r="AC180" i="1"/>
  <c r="AD180" i="1"/>
  <c r="AE180" i="1"/>
  <c r="R23" i="3" s="1"/>
  <c r="AF180" i="1"/>
  <c r="AH209" i="1"/>
  <c r="AM209" i="1"/>
  <c r="AN209" i="1"/>
  <c r="AO209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210" i="1"/>
  <c r="AM210" i="1"/>
  <c r="AN210" i="1"/>
  <c r="AO210" i="1"/>
  <c r="K182" i="1"/>
  <c r="L182" i="1"/>
  <c r="M182" i="1"/>
  <c r="N182" i="1" s="1"/>
  <c r="V182" i="1"/>
  <c r="Y182" i="1"/>
  <c r="Z182" i="1"/>
  <c r="AB182" i="1"/>
  <c r="AC182" i="1"/>
  <c r="AD182" i="1"/>
  <c r="AE182" i="1"/>
  <c r="AF182" i="1"/>
  <c r="AH211" i="1"/>
  <c r="AM211" i="1"/>
  <c r="AN211" i="1"/>
  <c r="AO211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212" i="1"/>
  <c r="AM212" i="1"/>
  <c r="AN212" i="1"/>
  <c r="AO212" i="1"/>
  <c r="K184" i="1"/>
  <c r="L184" i="1"/>
  <c r="M184" i="1"/>
  <c r="N184" i="1" s="1"/>
  <c r="V184" i="1"/>
  <c r="Y184" i="1"/>
  <c r="Z184" i="1"/>
  <c r="AB184" i="1"/>
  <c r="AC184" i="1"/>
  <c r="AD184" i="1"/>
  <c r="AE184" i="1"/>
  <c r="AF184" i="1"/>
  <c r="AH213" i="1"/>
  <c r="AM213" i="1"/>
  <c r="AN213" i="1"/>
  <c r="AO213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214" i="1"/>
  <c r="AM214" i="1"/>
  <c r="AN214" i="1"/>
  <c r="AO214" i="1"/>
  <c r="K186" i="1"/>
  <c r="L186" i="1"/>
  <c r="M186" i="1"/>
  <c r="N186" i="1" s="1"/>
  <c r="V186" i="1"/>
  <c r="S25" i="3" s="1"/>
  <c r="Y186" i="1"/>
  <c r="Z186" i="1"/>
  <c r="AB186" i="1"/>
  <c r="AC186" i="1"/>
  <c r="AD186" i="1"/>
  <c r="AE186" i="1"/>
  <c r="R25" i="3" s="1"/>
  <c r="AF186" i="1"/>
  <c r="AH215" i="1"/>
  <c r="AM215" i="1"/>
  <c r="AN215" i="1"/>
  <c r="AO215" i="1"/>
  <c r="K187" i="1"/>
  <c r="L187" i="1"/>
  <c r="M187" i="1"/>
  <c r="V187" i="1"/>
  <c r="Y187" i="1"/>
  <c r="Z187" i="1"/>
  <c r="AB187" i="1"/>
  <c r="AC187" i="1"/>
  <c r="AD187" i="1"/>
  <c r="T187" i="1" s="1"/>
  <c r="AE187" i="1"/>
  <c r="AF187" i="1"/>
  <c r="AH216" i="1"/>
  <c r="AM216" i="1"/>
  <c r="AN216" i="1"/>
  <c r="AO216" i="1"/>
  <c r="K189" i="1"/>
  <c r="L189" i="1"/>
  <c r="M189" i="1"/>
  <c r="N189" i="1" s="1"/>
  <c r="V189" i="1"/>
  <c r="Y189" i="1"/>
  <c r="Z189" i="1"/>
  <c r="AA189" i="1" s="1"/>
  <c r="AB189" i="1"/>
  <c r="AC189" i="1"/>
  <c r="AD189" i="1"/>
  <c r="X189" i="1" s="1"/>
  <c r="AE189" i="1"/>
  <c r="AF189" i="1"/>
  <c r="AH217" i="1"/>
  <c r="AM217" i="1"/>
  <c r="AN217" i="1"/>
  <c r="AO217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218" i="1"/>
  <c r="AM218" i="1"/>
  <c r="AN218" i="1"/>
  <c r="AO218" i="1"/>
  <c r="K191" i="1"/>
  <c r="L191" i="1"/>
  <c r="M191" i="1"/>
  <c r="N191" i="1" s="1"/>
  <c r="V191" i="1"/>
  <c r="Y191" i="1"/>
  <c r="Z191" i="1"/>
  <c r="AB191" i="1"/>
  <c r="AC191" i="1"/>
  <c r="AD191" i="1"/>
  <c r="X191" i="1" s="1"/>
  <c r="AE191" i="1"/>
  <c r="AF191" i="1"/>
  <c r="AH219" i="1"/>
  <c r="AM219" i="1"/>
  <c r="AN219" i="1"/>
  <c r="AO219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220" i="1"/>
  <c r="AM220" i="1"/>
  <c r="AN220" i="1"/>
  <c r="AO220" i="1"/>
  <c r="K193" i="1"/>
  <c r="L193" i="1"/>
  <c r="M193" i="1"/>
  <c r="N193" i="1" s="1"/>
  <c r="V193" i="1"/>
  <c r="Y193" i="1"/>
  <c r="Z193" i="1"/>
  <c r="AB193" i="1"/>
  <c r="AC193" i="1"/>
  <c r="AD193" i="1"/>
  <c r="AE193" i="1"/>
  <c r="AF193" i="1"/>
  <c r="AH221" i="1"/>
  <c r="AM221" i="1"/>
  <c r="AN221" i="1"/>
  <c r="AO221" i="1"/>
  <c r="K194" i="1"/>
  <c r="L194" i="1"/>
  <c r="M194" i="1"/>
  <c r="N194" i="1" s="1"/>
  <c r="V194" i="1"/>
  <c r="Y194" i="1"/>
  <c r="Z194" i="1"/>
  <c r="AA194" i="1" s="1"/>
  <c r="AB194" i="1"/>
  <c r="AC194" i="1"/>
  <c r="AD194" i="1"/>
  <c r="T194" i="1" s="1"/>
  <c r="AE194" i="1"/>
  <c r="AF194" i="1"/>
  <c r="AH222" i="1"/>
  <c r="AM222" i="1"/>
  <c r="AN222" i="1"/>
  <c r="AO222" i="1"/>
  <c r="K195" i="1"/>
  <c r="L195" i="1"/>
  <c r="M195" i="1"/>
  <c r="N195" i="1" s="1"/>
  <c r="V195" i="1"/>
  <c r="Y195" i="1"/>
  <c r="Z195" i="1"/>
  <c r="AB195" i="1"/>
  <c r="AC195" i="1"/>
  <c r="AD195" i="1"/>
  <c r="AE195" i="1"/>
  <c r="AF195" i="1"/>
  <c r="AH223" i="1"/>
  <c r="AM223" i="1"/>
  <c r="AN223" i="1"/>
  <c r="AO223" i="1"/>
  <c r="K197" i="1"/>
  <c r="L197" i="1"/>
  <c r="M197" i="1"/>
  <c r="N197" i="1" s="1"/>
  <c r="V197" i="1"/>
  <c r="Y197" i="1"/>
  <c r="Z197" i="1"/>
  <c r="AA197" i="1" s="1"/>
  <c r="AB197" i="1"/>
  <c r="AC197" i="1"/>
  <c r="AD197" i="1"/>
  <c r="T197" i="1" s="1"/>
  <c r="AE197" i="1"/>
  <c r="AF197" i="1"/>
  <c r="AH224" i="1"/>
  <c r="AM224" i="1"/>
  <c r="AN224" i="1"/>
  <c r="AO224" i="1"/>
  <c r="K198" i="1"/>
  <c r="L198" i="1"/>
  <c r="M198" i="1"/>
  <c r="N198" i="1" s="1"/>
  <c r="V198" i="1"/>
  <c r="Y198" i="1"/>
  <c r="Z198" i="1"/>
  <c r="AB198" i="1"/>
  <c r="AC198" i="1"/>
  <c r="AD198" i="1"/>
  <c r="X198" i="1" s="1"/>
  <c r="AE198" i="1"/>
  <c r="AF198" i="1"/>
  <c r="AH225" i="1"/>
  <c r="AM225" i="1"/>
  <c r="AN225" i="1"/>
  <c r="AO225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26" i="1"/>
  <c r="AM226" i="1"/>
  <c r="AN226" i="1"/>
  <c r="AO226" i="1"/>
  <c r="K200" i="1"/>
  <c r="L200" i="1"/>
  <c r="M200" i="1"/>
  <c r="N200" i="1" s="1"/>
  <c r="V200" i="1"/>
  <c r="Y200" i="1"/>
  <c r="Z200" i="1"/>
  <c r="AB200" i="1"/>
  <c r="AC200" i="1"/>
  <c r="AD200" i="1"/>
  <c r="X200" i="1" s="1"/>
  <c r="AE200" i="1"/>
  <c r="AF200" i="1"/>
  <c r="AH227" i="1"/>
  <c r="AM227" i="1"/>
  <c r="AN227" i="1"/>
  <c r="AO227" i="1"/>
  <c r="K201" i="1"/>
  <c r="L201" i="1"/>
  <c r="M201" i="1"/>
  <c r="N201" i="1" s="1"/>
  <c r="V201" i="1"/>
  <c r="Y201" i="1"/>
  <c r="Z201" i="1"/>
  <c r="AA201" i="1" s="1"/>
  <c r="AB201" i="1"/>
  <c r="AC201" i="1"/>
  <c r="AD201" i="1"/>
  <c r="T201" i="1" s="1"/>
  <c r="AE201" i="1"/>
  <c r="AF201" i="1"/>
  <c r="AH228" i="1"/>
  <c r="AM228" i="1"/>
  <c r="AN228" i="1"/>
  <c r="AO228" i="1"/>
  <c r="K202" i="1"/>
  <c r="L202" i="1"/>
  <c r="M202" i="1"/>
  <c r="N202" i="1" s="1"/>
  <c r="V202" i="1"/>
  <c r="Y202" i="1"/>
  <c r="Z202" i="1"/>
  <c r="AB202" i="1"/>
  <c r="AC202" i="1"/>
  <c r="AD202" i="1"/>
  <c r="AE202" i="1"/>
  <c r="AF202" i="1"/>
  <c r="AH229" i="1"/>
  <c r="AM229" i="1"/>
  <c r="AN229" i="1"/>
  <c r="AO229" i="1"/>
  <c r="K203" i="1"/>
  <c r="L203" i="1"/>
  <c r="M203" i="1"/>
  <c r="N203" i="1" s="1"/>
  <c r="T203" i="1"/>
  <c r="V203" i="1"/>
  <c r="Y203" i="1"/>
  <c r="Z203" i="1"/>
  <c r="AA203" i="1"/>
  <c r="AB203" i="1"/>
  <c r="AC203" i="1"/>
  <c r="AD203" i="1"/>
  <c r="AE203" i="1"/>
  <c r="AF203" i="1"/>
  <c r="AH230" i="1"/>
  <c r="AM230" i="1"/>
  <c r="AN230" i="1"/>
  <c r="AO230" i="1"/>
  <c r="K205" i="1"/>
  <c r="L205" i="1"/>
  <c r="M205" i="1"/>
  <c r="N205" i="1" s="1"/>
  <c r="V205" i="1"/>
  <c r="Y205" i="1"/>
  <c r="Z205" i="1"/>
  <c r="AB205" i="1"/>
  <c r="AC205" i="1"/>
  <c r="AD205" i="1"/>
  <c r="X205" i="1" s="1"/>
  <c r="AE205" i="1"/>
  <c r="AF205" i="1"/>
  <c r="AH231" i="1"/>
  <c r="AM231" i="1"/>
  <c r="AN231" i="1"/>
  <c r="AO231" i="1"/>
  <c r="K206" i="1"/>
  <c r="L206" i="1"/>
  <c r="M206" i="1"/>
  <c r="N206" i="1"/>
  <c r="V206" i="1"/>
  <c r="S27" i="3" s="1"/>
  <c r="Y206" i="1"/>
  <c r="Z206" i="1"/>
  <c r="AB206" i="1"/>
  <c r="AC206" i="1"/>
  <c r="AD206" i="1"/>
  <c r="T206" i="1" s="1"/>
  <c r="AE206" i="1"/>
  <c r="R27" i="3" s="1"/>
  <c r="AF206" i="1"/>
  <c r="AH232" i="1"/>
  <c r="AM232" i="1"/>
  <c r="AN232" i="1"/>
  <c r="AO232" i="1"/>
  <c r="K207" i="1"/>
  <c r="L207" i="1"/>
  <c r="M207" i="1"/>
  <c r="N207" i="1" s="1"/>
  <c r="V207" i="1"/>
  <c r="Y207" i="1"/>
  <c r="Z207" i="1"/>
  <c r="AB207" i="1"/>
  <c r="AC207" i="1"/>
  <c r="AD207" i="1"/>
  <c r="AE207" i="1"/>
  <c r="AF207" i="1"/>
  <c r="AH233" i="1"/>
  <c r="AM233" i="1"/>
  <c r="AN233" i="1"/>
  <c r="AO233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234" i="1"/>
  <c r="AM234" i="1"/>
  <c r="AN234" i="1"/>
  <c r="AO234" i="1"/>
  <c r="K220" i="1"/>
  <c r="L220" i="1"/>
  <c r="M220" i="1"/>
  <c r="N220" i="1" s="1"/>
  <c r="V220" i="1"/>
  <c r="Y220" i="1"/>
  <c r="Z220" i="1"/>
  <c r="AB220" i="1"/>
  <c r="AC220" i="1"/>
  <c r="AD220" i="1"/>
  <c r="AE220" i="1"/>
  <c r="AF220" i="1"/>
  <c r="AH235" i="1"/>
  <c r="AM235" i="1"/>
  <c r="AN235" i="1"/>
  <c r="AO235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236" i="1"/>
  <c r="AM236" i="1"/>
  <c r="AN236" i="1"/>
  <c r="AO236" i="1"/>
  <c r="K222" i="1"/>
  <c r="L222" i="1"/>
  <c r="M222" i="1"/>
  <c r="N222" i="1" s="1"/>
  <c r="V222" i="1"/>
  <c r="Y222" i="1"/>
  <c r="Z222" i="1"/>
  <c r="AB222" i="1"/>
  <c r="AC222" i="1"/>
  <c r="AD222" i="1"/>
  <c r="AE222" i="1"/>
  <c r="AF222" i="1"/>
  <c r="AH237" i="1"/>
  <c r="AM237" i="1"/>
  <c r="AN237" i="1"/>
  <c r="AO237" i="1"/>
  <c r="K223" i="1"/>
  <c r="L223" i="1"/>
  <c r="M223" i="1"/>
  <c r="N223" i="1" s="1"/>
  <c r="T223" i="1"/>
  <c r="V223" i="1"/>
  <c r="Y223" i="1"/>
  <c r="Z223" i="1"/>
  <c r="AB223" i="1"/>
  <c r="AC223" i="1"/>
  <c r="AD223" i="1"/>
  <c r="AE223" i="1"/>
  <c r="AF223" i="1"/>
  <c r="AH238" i="1"/>
  <c r="AM238" i="1"/>
  <c r="AN238" i="1"/>
  <c r="AO238" i="1"/>
  <c r="K224" i="1"/>
  <c r="L224" i="1"/>
  <c r="M224" i="1"/>
  <c r="N224" i="1" s="1"/>
  <c r="V224" i="1"/>
  <c r="Y224" i="1"/>
  <c r="Z224" i="1"/>
  <c r="AB224" i="1"/>
  <c r="AC224" i="1"/>
  <c r="AD224" i="1"/>
  <c r="AE224" i="1"/>
  <c r="AF224" i="1"/>
  <c r="AH239" i="1"/>
  <c r="AM239" i="1"/>
  <c r="AN239" i="1"/>
  <c r="AO239" i="1"/>
  <c r="M20" i="3"/>
  <c r="U20" i="3"/>
  <c r="T20" i="3" s="1"/>
  <c r="V20" i="3"/>
  <c r="X20" i="3"/>
  <c r="M26" i="3"/>
  <c r="U26" i="3"/>
  <c r="T26" i="3" s="1"/>
  <c r="V26" i="3"/>
  <c r="X26" i="3"/>
  <c r="M9" i="3"/>
  <c r="U9" i="3"/>
  <c r="AD9" i="3" s="1"/>
  <c r="V9" i="3"/>
  <c r="X9" i="3"/>
  <c r="M14" i="3"/>
  <c r="U14" i="3"/>
  <c r="T14" i="3" s="1"/>
  <c r="V14" i="3"/>
  <c r="X14" i="3"/>
  <c r="M28" i="3"/>
  <c r="U28" i="3"/>
  <c r="V28" i="3"/>
  <c r="X28" i="3"/>
  <c r="M29" i="3"/>
  <c r="U29" i="3"/>
  <c r="T29" i="3" s="1"/>
  <c r="V29" i="3"/>
  <c r="X29" i="3"/>
  <c r="M15" i="3"/>
  <c r="U15" i="3"/>
  <c r="T15" i="3" s="1"/>
  <c r="V15" i="3"/>
  <c r="X15" i="3"/>
  <c r="M13" i="3"/>
  <c r="U13" i="3"/>
  <c r="V13" i="3"/>
  <c r="X13" i="3"/>
  <c r="M10" i="3"/>
  <c r="U10" i="3"/>
  <c r="T10" i="3" s="1"/>
  <c r="V10" i="3"/>
  <c r="X10" i="3"/>
  <c r="M18" i="3"/>
  <c r="U18" i="3"/>
  <c r="T18" i="3" s="1"/>
  <c r="V18" i="3"/>
  <c r="X18" i="3"/>
  <c r="M12" i="3"/>
  <c r="U12" i="3"/>
  <c r="AC12" i="3" s="1"/>
  <c r="V12" i="3"/>
  <c r="X12" i="3"/>
  <c r="M30" i="3"/>
  <c r="U30" i="3"/>
  <c r="T30" i="3" s="1"/>
  <c r="V30" i="3"/>
  <c r="X30" i="3"/>
  <c r="M24" i="3"/>
  <c r="U24" i="3"/>
  <c r="T24" i="3" s="1"/>
  <c r="V24" i="3"/>
  <c r="X24" i="3"/>
  <c r="M23" i="3"/>
  <c r="U23" i="3"/>
  <c r="T23" i="3" s="1"/>
  <c r="V23" i="3"/>
  <c r="X23" i="3"/>
  <c r="M21" i="3"/>
  <c r="U21" i="3"/>
  <c r="V21" i="3"/>
  <c r="X21" i="3"/>
  <c r="M25" i="3"/>
  <c r="U25" i="3"/>
  <c r="AC25" i="3" s="1"/>
  <c r="V25" i="3"/>
  <c r="X25" i="3"/>
  <c r="M16" i="3"/>
  <c r="U16" i="3"/>
  <c r="V16" i="3"/>
  <c r="X16" i="3"/>
  <c r="M17" i="3"/>
  <c r="R17" i="3"/>
  <c r="S17" i="3"/>
  <c r="U17" i="3"/>
  <c r="T17" i="3" s="1"/>
  <c r="V17" i="3"/>
  <c r="X17" i="3"/>
  <c r="M22" i="3"/>
  <c r="U22" i="3"/>
  <c r="AD22" i="3" s="1"/>
  <c r="V22" i="3"/>
  <c r="X22" i="3"/>
  <c r="M8" i="3"/>
  <c r="U8" i="3"/>
  <c r="T8" i="3" s="1"/>
  <c r="V8" i="3"/>
  <c r="X8" i="3"/>
  <c r="M27" i="3"/>
  <c r="U27" i="3"/>
  <c r="T27" i="3" s="1"/>
  <c r="V27" i="3"/>
  <c r="X27" i="3"/>
  <c r="M7" i="3"/>
  <c r="U7" i="3"/>
  <c r="V7" i="3"/>
  <c r="X7" i="3"/>
  <c r="M11" i="3"/>
  <c r="U11" i="3"/>
  <c r="T11" i="3" s="1"/>
  <c r="V11" i="3"/>
  <c r="X11" i="3"/>
  <c r="R19" i="3"/>
  <c r="S20" i="3"/>
  <c r="S14" i="3"/>
  <c r="R14" i="3"/>
  <c r="S13" i="3"/>
  <c r="R13" i="3"/>
  <c r="S10" i="3"/>
  <c r="R10" i="3"/>
  <c r="R12" i="3"/>
  <c r="S21" i="3"/>
  <c r="R22" i="3"/>
  <c r="M19" i="3"/>
  <c r="U19" i="3"/>
  <c r="V19" i="3"/>
  <c r="X19" i="3"/>
  <c r="AG204" i="1"/>
  <c r="AG196" i="1"/>
  <c r="AG188" i="1"/>
  <c r="AG38" i="1"/>
  <c r="AG17" i="1"/>
  <c r="AG21" i="1"/>
  <c r="AG25" i="1"/>
  <c r="AG29" i="1"/>
  <c r="AG33" i="1"/>
  <c r="AG37" i="1"/>
  <c r="AG42" i="1"/>
  <c r="AG46" i="1"/>
  <c r="AG50" i="1"/>
  <c r="AG54" i="1"/>
  <c r="AG58" i="1"/>
  <c r="AG62" i="1"/>
  <c r="AG69" i="1"/>
  <c r="AG80" i="1"/>
  <c r="AG88" i="1"/>
  <c r="AG96" i="1"/>
  <c r="AG66" i="1"/>
  <c r="AG71" i="1"/>
  <c r="AG81" i="1"/>
  <c r="AG89" i="1"/>
  <c r="AG97" i="1"/>
  <c r="AG72" i="1"/>
  <c r="AG117" i="1"/>
  <c r="AG121" i="1"/>
  <c r="AG125" i="1"/>
  <c r="AG129" i="1"/>
  <c r="AG133" i="1"/>
  <c r="AG137" i="1"/>
  <c r="AG141" i="1"/>
  <c r="AG145" i="1"/>
  <c r="AG149" i="1"/>
  <c r="AG109" i="1"/>
  <c r="AG104" i="1"/>
  <c r="AG112" i="1"/>
  <c r="AG154" i="1"/>
  <c r="AG209" i="1"/>
  <c r="AG213" i="1"/>
  <c r="AG217" i="1"/>
  <c r="AG226" i="1"/>
  <c r="AG230" i="1"/>
  <c r="AG234" i="1"/>
  <c r="AG238" i="1"/>
  <c r="AG160" i="1"/>
  <c r="AG164" i="1"/>
  <c r="AG171" i="1"/>
  <c r="AG175" i="1"/>
  <c r="AG179" i="1"/>
  <c r="AG183" i="1"/>
  <c r="AG187" i="1"/>
  <c r="AG192" i="1"/>
  <c r="AG197" i="1"/>
  <c r="AG201" i="1"/>
  <c r="AG206" i="1"/>
  <c r="AG221" i="1"/>
  <c r="AG98" i="1"/>
  <c r="AG118" i="1"/>
  <c r="AG130" i="1"/>
  <c r="AG138" i="1"/>
  <c r="AG142" i="1"/>
  <c r="AG150" i="1"/>
  <c r="AG108" i="1"/>
  <c r="AG155" i="1"/>
  <c r="AG214" i="1"/>
  <c r="AG218" i="1"/>
  <c r="AG231" i="1"/>
  <c r="AG239" i="1"/>
  <c r="AG161" i="1"/>
  <c r="AG168" i="1"/>
  <c r="AG176" i="1"/>
  <c r="AG180" i="1"/>
  <c r="AG189" i="1"/>
  <c r="AG198" i="1"/>
  <c r="AG207" i="1"/>
  <c r="AG16" i="1"/>
  <c r="AG20" i="1"/>
  <c r="AG24" i="1"/>
  <c r="AG32" i="1"/>
  <c r="AG36" i="1"/>
  <c r="AG45" i="1"/>
  <c r="AG53" i="1"/>
  <c r="AG61" i="1"/>
  <c r="AG78" i="1"/>
  <c r="AG102" i="1"/>
  <c r="AG87" i="1"/>
  <c r="AG68" i="1"/>
  <c r="AG124" i="1"/>
  <c r="AG136" i="1"/>
  <c r="AG144" i="1"/>
  <c r="AG115" i="1"/>
  <c r="AG153" i="1"/>
  <c r="AG216" i="1"/>
  <c r="AG233" i="1"/>
  <c r="AG159" i="1"/>
  <c r="AG174" i="1"/>
  <c r="AG191" i="1"/>
  <c r="AG205" i="1"/>
  <c r="AG224" i="1"/>
  <c r="AG14" i="1"/>
  <c r="AG18" i="1"/>
  <c r="AG22" i="1"/>
  <c r="AG26" i="1"/>
  <c r="AG30" i="1"/>
  <c r="AG34" i="1"/>
  <c r="AG39" i="1"/>
  <c r="AG43" i="1"/>
  <c r="AG47" i="1"/>
  <c r="AG51" i="1"/>
  <c r="AG55" i="1"/>
  <c r="AG59" i="1"/>
  <c r="AG63" i="1"/>
  <c r="AG73" i="1"/>
  <c r="AG82" i="1"/>
  <c r="AG90" i="1"/>
  <c r="AG70" i="1"/>
  <c r="AG75" i="1"/>
  <c r="AG83" i="1"/>
  <c r="AG91" i="1"/>
  <c r="AG99" i="1"/>
  <c r="AG106" i="1"/>
  <c r="AG122" i="1"/>
  <c r="AG126" i="1"/>
  <c r="AG134" i="1"/>
  <c r="AG146" i="1"/>
  <c r="AG111" i="1"/>
  <c r="AG114" i="1"/>
  <c r="AG210" i="1"/>
  <c r="AG227" i="1"/>
  <c r="AG235" i="1"/>
  <c r="AG165" i="1"/>
  <c r="AG172" i="1"/>
  <c r="AG184" i="1"/>
  <c r="AG193" i="1"/>
  <c r="AG202" i="1"/>
  <c r="AG222" i="1"/>
  <c r="AG28" i="1"/>
  <c r="AG41" i="1"/>
  <c r="AG49" i="1"/>
  <c r="AG65" i="1"/>
  <c r="AG94" i="1"/>
  <c r="AG79" i="1"/>
  <c r="AG116" i="1"/>
  <c r="AG132" i="1"/>
  <c r="AG148" i="1"/>
  <c r="AG157" i="1"/>
  <c r="AG225" i="1"/>
  <c r="AG237" i="1"/>
  <c r="AG167" i="1"/>
  <c r="AG178" i="1"/>
  <c r="AG195" i="1"/>
  <c r="AG15" i="1"/>
  <c r="AG19" i="1"/>
  <c r="AG23" i="1"/>
  <c r="AG27" i="1"/>
  <c r="AG31" i="1"/>
  <c r="AG35" i="1"/>
  <c r="AG40" i="1"/>
  <c r="AG44" i="1"/>
  <c r="AG48" i="1"/>
  <c r="AG52" i="1"/>
  <c r="AG56" i="1"/>
  <c r="AG60" i="1"/>
  <c r="AG64" i="1"/>
  <c r="AG76" i="1"/>
  <c r="AG84" i="1"/>
  <c r="AG92" i="1"/>
  <c r="AG100" i="1"/>
  <c r="AG74" i="1"/>
  <c r="AG77" i="1"/>
  <c r="AG85" i="1"/>
  <c r="AG93" i="1"/>
  <c r="AG101" i="1"/>
  <c r="AG110" i="1"/>
  <c r="AG119" i="1"/>
  <c r="AG123" i="1"/>
  <c r="AG127" i="1"/>
  <c r="AG131" i="1"/>
  <c r="AG135" i="1"/>
  <c r="AG139" i="1"/>
  <c r="AG143" i="1"/>
  <c r="AG147" i="1"/>
  <c r="AG151" i="1"/>
  <c r="AG113" i="1"/>
  <c r="AG103" i="1"/>
  <c r="AG152" i="1"/>
  <c r="AG156" i="1"/>
  <c r="AG211" i="1"/>
  <c r="AG215" i="1"/>
  <c r="AG219" i="1"/>
  <c r="AG228" i="1"/>
  <c r="AG232" i="1"/>
  <c r="AG236" i="1"/>
  <c r="AG158" i="1"/>
  <c r="AG162" i="1"/>
  <c r="AG166" i="1"/>
  <c r="AG169" i="1"/>
  <c r="AG173" i="1"/>
  <c r="AG177" i="1"/>
  <c r="AG181" i="1"/>
  <c r="AG185" i="1"/>
  <c r="AG190" i="1"/>
  <c r="AG194" i="1"/>
  <c r="AG199" i="1"/>
  <c r="AG203" i="1"/>
  <c r="AG208" i="1"/>
  <c r="AG223" i="1"/>
  <c r="AG57" i="1"/>
  <c r="AG86" i="1"/>
  <c r="AG67" i="1"/>
  <c r="AG95" i="1"/>
  <c r="AG120" i="1"/>
  <c r="AG128" i="1"/>
  <c r="AG140" i="1"/>
  <c r="AG105" i="1"/>
  <c r="AG107" i="1"/>
  <c r="AG212" i="1"/>
  <c r="AG229" i="1"/>
  <c r="AG163" i="1"/>
  <c r="AG170" i="1"/>
  <c r="AG186" i="1"/>
  <c r="AG200" i="1"/>
  <c r="AG220" i="1"/>
  <c r="AG182" i="1"/>
  <c r="W28" i="3"/>
  <c r="W18" i="3"/>
  <c r="W9" i="3"/>
  <c r="W30" i="3"/>
  <c r="W15" i="3"/>
  <c r="W17" i="3"/>
  <c r="W12" i="3"/>
  <c r="W16" i="3"/>
  <c r="W10" i="3"/>
  <c r="W11" i="3"/>
  <c r="W20" i="3"/>
  <c r="W26" i="3"/>
  <c r="W21" i="3"/>
  <c r="W23" i="3"/>
  <c r="W24" i="3"/>
  <c r="W29" i="3"/>
  <c r="W22" i="3"/>
  <c r="W14" i="3"/>
  <c r="W25" i="3"/>
  <c r="W27" i="3"/>
  <c r="W8" i="3"/>
  <c r="W13" i="3"/>
  <c r="W7" i="3"/>
  <c r="W19" i="3"/>
  <c r="X169" i="1" l="1"/>
  <c r="X192" i="1"/>
  <c r="AA221" i="1"/>
  <c r="AA206" i="1"/>
  <c r="AA198" i="1"/>
  <c r="AA190" i="1"/>
  <c r="AA185" i="1"/>
  <c r="AA181" i="1"/>
  <c r="W181" i="1" s="1"/>
  <c r="AA175" i="1"/>
  <c r="AA164" i="1"/>
  <c r="X163" i="1"/>
  <c r="AA158" i="1"/>
  <c r="W158" i="1" s="1"/>
  <c r="AA239" i="1"/>
  <c r="AA218" i="1"/>
  <c r="AA217" i="1"/>
  <c r="AA213" i="1"/>
  <c r="W213" i="1" s="1"/>
  <c r="AA209" i="1"/>
  <c r="AA154" i="1"/>
  <c r="AA151" i="1"/>
  <c r="X149" i="1"/>
  <c r="X147" i="1"/>
  <c r="AA133" i="1"/>
  <c r="AA96" i="1"/>
  <c r="AA88" i="1"/>
  <c r="W88" i="1" s="1"/>
  <c r="AA76" i="1"/>
  <c r="AA75" i="1"/>
  <c r="AA67" i="1"/>
  <c r="X59" i="1"/>
  <c r="AA34" i="1"/>
  <c r="AA30" i="1"/>
  <c r="AA26" i="1"/>
  <c r="AA22" i="1"/>
  <c r="W22" i="1" s="1"/>
  <c r="AA18" i="1"/>
  <c r="AA14" i="1"/>
  <c r="X187" i="1"/>
  <c r="X199" i="1"/>
  <c r="X158" i="1"/>
  <c r="T148" i="1"/>
  <c r="X190" i="1"/>
  <c r="AA223" i="1"/>
  <c r="W223" i="1" s="1"/>
  <c r="AA208" i="1"/>
  <c r="AA192" i="1"/>
  <c r="AA187" i="1"/>
  <c r="AA179" i="1"/>
  <c r="AA171" i="1"/>
  <c r="X165" i="1"/>
  <c r="AA162" i="1"/>
  <c r="AA160" i="1"/>
  <c r="W160" i="1" s="1"/>
  <c r="AA238" i="1"/>
  <c r="X236" i="1"/>
  <c r="AA226" i="1"/>
  <c r="AA219" i="1"/>
  <c r="AA215" i="1"/>
  <c r="AA211" i="1"/>
  <c r="AA156" i="1"/>
  <c r="AA152" i="1"/>
  <c r="W152" i="1" s="1"/>
  <c r="AA149" i="1"/>
  <c r="AA144" i="1"/>
  <c r="AA131" i="1"/>
  <c r="AA86" i="1"/>
  <c r="W86" i="1" s="1"/>
  <c r="AA85" i="1"/>
  <c r="AA82" i="1"/>
  <c r="AA81" i="1"/>
  <c r="AA69" i="1"/>
  <c r="AA54" i="1"/>
  <c r="X197" i="1"/>
  <c r="X204" i="1"/>
  <c r="AI204" i="1"/>
  <c r="U204" i="1"/>
  <c r="S204" i="1" s="1"/>
  <c r="W204" i="1"/>
  <c r="AI196" i="1"/>
  <c r="U196" i="1"/>
  <c r="S196" i="1" s="1"/>
  <c r="W196" i="1"/>
  <c r="X196" i="1"/>
  <c r="T188" i="1"/>
  <c r="U188" i="1"/>
  <c r="S188" i="1" s="1"/>
  <c r="AI188" i="1"/>
  <c r="W188" i="1"/>
  <c r="X186" i="1"/>
  <c r="X184" i="1"/>
  <c r="X180" i="1"/>
  <c r="X178" i="1"/>
  <c r="X174" i="1"/>
  <c r="AA169" i="1"/>
  <c r="W169" i="1" s="1"/>
  <c r="AA168" i="1"/>
  <c r="AA166" i="1"/>
  <c r="AA159" i="1"/>
  <c r="AA237" i="1"/>
  <c r="AA235" i="1"/>
  <c r="X145" i="1"/>
  <c r="AA140" i="1"/>
  <c r="AA138" i="1"/>
  <c r="X137" i="1"/>
  <c r="AA135" i="1"/>
  <c r="AA111" i="1"/>
  <c r="AA92" i="1"/>
  <c r="W92" i="1" s="1"/>
  <c r="AA80" i="1"/>
  <c r="AA56" i="1"/>
  <c r="AA50" i="1"/>
  <c r="AA46" i="1"/>
  <c r="W46" i="1" s="1"/>
  <c r="AA40" i="1"/>
  <c r="X195" i="1"/>
  <c r="X193" i="1"/>
  <c r="AD30" i="3"/>
  <c r="AA207" i="1"/>
  <c r="AA199" i="1"/>
  <c r="AA183" i="1"/>
  <c r="X182" i="1"/>
  <c r="AA177" i="1"/>
  <c r="AA176" i="1"/>
  <c r="AA173" i="1"/>
  <c r="AA172" i="1"/>
  <c r="X235" i="1"/>
  <c r="AA229" i="1"/>
  <c r="AA227" i="1"/>
  <c r="AA148" i="1"/>
  <c r="W148" i="1" s="1"/>
  <c r="X146" i="1"/>
  <c r="AA143" i="1"/>
  <c r="AA108" i="1"/>
  <c r="AA100" i="1"/>
  <c r="W100" i="1" s="1"/>
  <c r="X38" i="1"/>
  <c r="AI38" i="1"/>
  <c r="U38" i="1"/>
  <c r="S38" i="1" s="1"/>
  <c r="W38" i="1"/>
  <c r="AA165" i="1"/>
  <c r="AA161" i="1"/>
  <c r="X239" i="1"/>
  <c r="AA236" i="1"/>
  <c r="X232" i="1"/>
  <c r="AA225" i="1"/>
  <c r="AA216" i="1"/>
  <c r="AA212" i="1"/>
  <c r="W212" i="1" s="1"/>
  <c r="AA157" i="1"/>
  <c r="AA153" i="1"/>
  <c r="AA150" i="1"/>
  <c r="AA147" i="1"/>
  <c r="AA134" i="1"/>
  <c r="AA132" i="1"/>
  <c r="AA115" i="1"/>
  <c r="AA114" i="1"/>
  <c r="AA94" i="1"/>
  <c r="AA93" i="1"/>
  <c r="AA90" i="1"/>
  <c r="AA89" i="1"/>
  <c r="AA84" i="1"/>
  <c r="AA70" i="1"/>
  <c r="AA60" i="1"/>
  <c r="AA43" i="1"/>
  <c r="W43" i="1" s="1"/>
  <c r="AA41" i="1"/>
  <c r="AA32" i="1"/>
  <c r="AA28" i="1"/>
  <c r="AA24" i="1"/>
  <c r="AA20" i="1"/>
  <c r="AA16" i="1"/>
  <c r="AA224" i="1"/>
  <c r="AA205" i="1"/>
  <c r="W205" i="1" s="1"/>
  <c r="AA195" i="1"/>
  <c r="AA186" i="1"/>
  <c r="X227" i="1"/>
  <c r="AA47" i="1"/>
  <c r="W47" i="1" s="1"/>
  <c r="AA45" i="1"/>
  <c r="AA33" i="1"/>
  <c r="AA29" i="1"/>
  <c r="AA25" i="1"/>
  <c r="W25" i="1" s="1"/>
  <c r="AA21" i="1"/>
  <c r="AA17" i="1"/>
  <c r="AA222" i="1"/>
  <c r="AA202" i="1"/>
  <c r="W202" i="1" s="1"/>
  <c r="AA193" i="1"/>
  <c r="AA184" i="1"/>
  <c r="AA178" i="1"/>
  <c r="AA174" i="1"/>
  <c r="W174" i="1" s="1"/>
  <c r="AA170" i="1"/>
  <c r="AA167" i="1"/>
  <c r="AA163" i="1"/>
  <c r="AA233" i="1"/>
  <c r="W233" i="1" s="1"/>
  <c r="X231" i="1"/>
  <c r="AA228" i="1"/>
  <c r="X219" i="1"/>
  <c r="AA214" i="1"/>
  <c r="AA210" i="1"/>
  <c r="AA155" i="1"/>
  <c r="T151" i="1"/>
  <c r="T140" i="1"/>
  <c r="U140" i="1" s="1"/>
  <c r="S140" i="1" s="1"/>
  <c r="X139" i="1"/>
  <c r="AA129" i="1"/>
  <c r="AA101" i="1"/>
  <c r="AA78" i="1"/>
  <c r="W78" i="1" s="1"/>
  <c r="AA77" i="1"/>
  <c r="AA73" i="1"/>
  <c r="AA72" i="1"/>
  <c r="AA65" i="1"/>
  <c r="W65" i="1" s="1"/>
  <c r="AA220" i="1"/>
  <c r="AA200" i="1"/>
  <c r="AA191" i="1"/>
  <c r="AA182" i="1"/>
  <c r="W182" i="1" s="1"/>
  <c r="AA106" i="1"/>
  <c r="AA59" i="1"/>
  <c r="AA55" i="1"/>
  <c r="AA53" i="1"/>
  <c r="W53" i="1" s="1"/>
  <c r="AA52" i="1"/>
  <c r="AA39" i="1"/>
  <c r="AA36" i="1"/>
  <c r="AA35" i="1"/>
  <c r="AA31" i="1"/>
  <c r="AA27" i="1"/>
  <c r="AA23" i="1"/>
  <c r="AA19" i="1"/>
  <c r="W19" i="1" s="1"/>
  <c r="AA15" i="1"/>
  <c r="X222" i="1"/>
  <c r="T222" i="1"/>
  <c r="X207" i="1"/>
  <c r="T207" i="1"/>
  <c r="U207" i="1" s="1"/>
  <c r="S207" i="1" s="1"/>
  <c r="X202" i="1"/>
  <c r="T202" i="1"/>
  <c r="X224" i="1"/>
  <c r="T224" i="1"/>
  <c r="U224" i="1" s="1"/>
  <c r="S224" i="1" s="1"/>
  <c r="X220" i="1"/>
  <c r="T220" i="1"/>
  <c r="T205" i="1"/>
  <c r="U205" i="1" s="1"/>
  <c r="S205" i="1" s="1"/>
  <c r="T200" i="1"/>
  <c r="U200" i="1" s="1"/>
  <c r="S200" i="1" s="1"/>
  <c r="X223" i="1"/>
  <c r="X221" i="1"/>
  <c r="X208" i="1"/>
  <c r="X206" i="1"/>
  <c r="X203" i="1"/>
  <c r="X201" i="1"/>
  <c r="X194" i="1"/>
  <c r="X185" i="1"/>
  <c r="X183" i="1"/>
  <c r="X181" i="1"/>
  <c r="X179" i="1"/>
  <c r="X177" i="1"/>
  <c r="X175" i="1"/>
  <c r="X173" i="1"/>
  <c r="X171" i="1"/>
  <c r="X166" i="1"/>
  <c r="X164" i="1"/>
  <c r="X162" i="1"/>
  <c r="X161" i="1"/>
  <c r="X237" i="1"/>
  <c r="X233" i="1"/>
  <c r="X229" i="1"/>
  <c r="X225" i="1"/>
  <c r="AA145" i="1"/>
  <c r="X143" i="1"/>
  <c r="X141" i="1"/>
  <c r="X138" i="1"/>
  <c r="AA107" i="1"/>
  <c r="AA103" i="1"/>
  <c r="T198" i="1"/>
  <c r="T195" i="1"/>
  <c r="U195" i="1" s="1"/>
  <c r="S195" i="1" s="1"/>
  <c r="T193" i="1"/>
  <c r="U193" i="1" s="1"/>
  <c r="S193" i="1" s="1"/>
  <c r="T191" i="1"/>
  <c r="T189" i="1"/>
  <c r="T186" i="1"/>
  <c r="U186" i="1" s="1"/>
  <c r="S186" i="1" s="1"/>
  <c r="T184" i="1"/>
  <c r="T182" i="1"/>
  <c r="T180" i="1"/>
  <c r="T178" i="1"/>
  <c r="U178" i="1" s="1"/>
  <c r="S178" i="1" s="1"/>
  <c r="T176" i="1"/>
  <c r="T174" i="1"/>
  <c r="T172" i="1"/>
  <c r="T170" i="1"/>
  <c r="U170" i="1" s="1"/>
  <c r="S170" i="1" s="1"/>
  <c r="T168" i="1"/>
  <c r="T167" i="1"/>
  <c r="T165" i="1"/>
  <c r="T163" i="1"/>
  <c r="U163" i="1" s="1"/>
  <c r="S163" i="1" s="1"/>
  <c r="X160" i="1"/>
  <c r="X159" i="1"/>
  <c r="T158" i="1"/>
  <c r="X238" i="1"/>
  <c r="X234" i="1"/>
  <c r="X230" i="1"/>
  <c r="X226" i="1"/>
  <c r="X218" i="1"/>
  <c r="X152" i="1"/>
  <c r="X150" i="1"/>
  <c r="T150" i="1"/>
  <c r="AA142" i="1"/>
  <c r="W142" i="1" s="1"/>
  <c r="AA137" i="1"/>
  <c r="T137" i="1"/>
  <c r="X142" i="1"/>
  <c r="T142" i="1"/>
  <c r="U142" i="1" s="1"/>
  <c r="S142" i="1" s="1"/>
  <c r="X116" i="1"/>
  <c r="AA102" i="1"/>
  <c r="X144" i="1"/>
  <c r="X136" i="1"/>
  <c r="AA128" i="1"/>
  <c r="AA127" i="1"/>
  <c r="AA126" i="1"/>
  <c r="AA125" i="1"/>
  <c r="W125" i="1" s="1"/>
  <c r="AA124" i="1"/>
  <c r="AA123" i="1"/>
  <c r="AA122" i="1"/>
  <c r="AA121" i="1"/>
  <c r="W121" i="1" s="1"/>
  <c r="AA120" i="1"/>
  <c r="AA119" i="1"/>
  <c r="AA118" i="1"/>
  <c r="AA117" i="1"/>
  <c r="W117" i="1" s="1"/>
  <c r="AA116" i="1"/>
  <c r="AA112" i="1"/>
  <c r="AA110" i="1"/>
  <c r="AA105" i="1"/>
  <c r="W105" i="1" s="1"/>
  <c r="AA99" i="1"/>
  <c r="AA91" i="1"/>
  <c r="AA83" i="1"/>
  <c r="AA74" i="1"/>
  <c r="W74" i="1" s="1"/>
  <c r="AA68" i="1"/>
  <c r="AA64" i="1"/>
  <c r="AA63" i="1"/>
  <c r="AA62" i="1"/>
  <c r="W62" i="1" s="1"/>
  <c r="AA61" i="1"/>
  <c r="W61" i="1" s="1"/>
  <c r="X57" i="1"/>
  <c r="AA95" i="1"/>
  <c r="AA87" i="1"/>
  <c r="W87" i="1" s="1"/>
  <c r="AA79" i="1"/>
  <c r="AA71" i="1"/>
  <c r="AA66" i="1"/>
  <c r="X61" i="1"/>
  <c r="AA58" i="1"/>
  <c r="AA57" i="1"/>
  <c r="AA109" i="1"/>
  <c r="AA104" i="1"/>
  <c r="W104" i="1" s="1"/>
  <c r="AA97" i="1"/>
  <c r="AI239" i="1"/>
  <c r="U223" i="1"/>
  <c r="S223" i="1" s="1"/>
  <c r="AI238" i="1"/>
  <c r="U222" i="1"/>
  <c r="S222" i="1" s="1"/>
  <c r="AI237" i="1"/>
  <c r="U221" i="1"/>
  <c r="S221" i="1" s="1"/>
  <c r="AI236" i="1"/>
  <c r="U220" i="1"/>
  <c r="S220" i="1" s="1"/>
  <c r="AI235" i="1"/>
  <c r="U208" i="1"/>
  <c r="S208" i="1" s="1"/>
  <c r="AI234" i="1"/>
  <c r="AI233" i="1"/>
  <c r="U206" i="1"/>
  <c r="S206" i="1" s="1"/>
  <c r="AI232" i="1"/>
  <c r="AI231" i="1"/>
  <c r="U203" i="1"/>
  <c r="S203" i="1" s="1"/>
  <c r="AI230" i="1"/>
  <c r="U202" i="1"/>
  <c r="S202" i="1" s="1"/>
  <c r="AI229" i="1"/>
  <c r="U201" i="1"/>
  <c r="S201" i="1" s="1"/>
  <c r="AI228" i="1"/>
  <c r="AI227" i="1"/>
  <c r="U199" i="1"/>
  <c r="S199" i="1" s="1"/>
  <c r="AI226" i="1"/>
  <c r="U198" i="1"/>
  <c r="S198" i="1" s="1"/>
  <c r="AI225" i="1"/>
  <c r="U197" i="1"/>
  <c r="S197" i="1" s="1"/>
  <c r="AI224" i="1"/>
  <c r="AI223" i="1"/>
  <c r="U194" i="1"/>
  <c r="S194" i="1" s="1"/>
  <c r="AI222" i="1"/>
  <c r="AI221" i="1"/>
  <c r="U192" i="1"/>
  <c r="S192" i="1" s="1"/>
  <c r="AI220" i="1"/>
  <c r="U191" i="1"/>
  <c r="S191" i="1" s="1"/>
  <c r="AI219" i="1"/>
  <c r="U190" i="1"/>
  <c r="S190" i="1" s="1"/>
  <c r="AI218" i="1"/>
  <c r="U189" i="1"/>
  <c r="S189" i="1" s="1"/>
  <c r="AI217" i="1"/>
  <c r="U187" i="1"/>
  <c r="AI216" i="1"/>
  <c r="AI215" i="1"/>
  <c r="U185" i="1"/>
  <c r="S185" i="1" s="1"/>
  <c r="AI214" i="1"/>
  <c r="U184" i="1"/>
  <c r="S184" i="1" s="1"/>
  <c r="AI213" i="1"/>
  <c r="U183" i="1"/>
  <c r="S183" i="1" s="1"/>
  <c r="AI212" i="1"/>
  <c r="U182" i="1"/>
  <c r="S182" i="1" s="1"/>
  <c r="AI211" i="1"/>
  <c r="U181" i="1"/>
  <c r="S181" i="1" s="1"/>
  <c r="AI210" i="1"/>
  <c r="U180" i="1"/>
  <c r="S180" i="1" s="1"/>
  <c r="AI209" i="1"/>
  <c r="U179" i="1"/>
  <c r="S179" i="1" s="1"/>
  <c r="AI208" i="1"/>
  <c r="AI207" i="1"/>
  <c r="U177" i="1"/>
  <c r="S177" i="1" s="1"/>
  <c r="AI206" i="1"/>
  <c r="U176" i="1"/>
  <c r="S176" i="1" s="1"/>
  <c r="AI205" i="1"/>
  <c r="U175" i="1"/>
  <c r="S175" i="1" s="1"/>
  <c r="AI203" i="1"/>
  <c r="U174" i="1"/>
  <c r="S174" i="1" s="1"/>
  <c r="AI202" i="1"/>
  <c r="U173" i="1"/>
  <c r="S173" i="1" s="1"/>
  <c r="AI201" i="1"/>
  <c r="U172" i="1"/>
  <c r="S172" i="1" s="1"/>
  <c r="AI200" i="1"/>
  <c r="U171" i="1"/>
  <c r="S171" i="1" s="1"/>
  <c r="AI199" i="1"/>
  <c r="AI198" i="1"/>
  <c r="U169" i="1"/>
  <c r="S169" i="1" s="1"/>
  <c r="AI197" i="1"/>
  <c r="U168" i="1"/>
  <c r="S168" i="1" s="1"/>
  <c r="AI195" i="1"/>
  <c r="AI194" i="1"/>
  <c r="U167" i="1"/>
  <c r="S167" i="1" s="1"/>
  <c r="AI193" i="1"/>
  <c r="U166" i="1"/>
  <c r="S166" i="1" s="1"/>
  <c r="AI192" i="1"/>
  <c r="U165" i="1"/>
  <c r="S165" i="1" s="1"/>
  <c r="AI191" i="1"/>
  <c r="U164" i="1"/>
  <c r="AI190" i="1"/>
  <c r="AI189" i="1"/>
  <c r="U162" i="1"/>
  <c r="S162" i="1" s="1"/>
  <c r="AI187" i="1"/>
  <c r="U161" i="1"/>
  <c r="S161" i="1" s="1"/>
  <c r="AI186" i="1"/>
  <c r="U160" i="1"/>
  <c r="S160" i="1" s="1"/>
  <c r="AI185" i="1"/>
  <c r="U159" i="1"/>
  <c r="S159" i="1" s="1"/>
  <c r="AI184" i="1"/>
  <c r="U158" i="1"/>
  <c r="S158" i="1" s="1"/>
  <c r="AI183" i="1"/>
  <c r="U239" i="1"/>
  <c r="S239" i="1" s="1"/>
  <c r="AI182" i="1"/>
  <c r="U238" i="1"/>
  <c r="S238" i="1" s="1"/>
  <c r="AI181" i="1"/>
  <c r="U237" i="1"/>
  <c r="S237" i="1" s="1"/>
  <c r="AI180" i="1"/>
  <c r="U236" i="1"/>
  <c r="S236" i="1" s="1"/>
  <c r="AI179" i="1"/>
  <c r="U235" i="1"/>
  <c r="S235" i="1" s="1"/>
  <c r="AI178" i="1"/>
  <c r="U234" i="1"/>
  <c r="S234" i="1" s="1"/>
  <c r="AI177" i="1"/>
  <c r="U233" i="1"/>
  <c r="S233" i="1" s="1"/>
  <c r="AI176" i="1"/>
  <c r="U232" i="1"/>
  <c r="S232" i="1" s="1"/>
  <c r="AI175" i="1"/>
  <c r="AI174" i="1"/>
  <c r="U231" i="1"/>
  <c r="S231" i="1" s="1"/>
  <c r="AI173" i="1"/>
  <c r="U230" i="1"/>
  <c r="S230" i="1" s="1"/>
  <c r="AI172" i="1"/>
  <c r="U229" i="1"/>
  <c r="S229" i="1" s="1"/>
  <c r="AI171" i="1"/>
  <c r="U228" i="1"/>
  <c r="S228" i="1" s="1"/>
  <c r="AI170" i="1"/>
  <c r="U227" i="1"/>
  <c r="S227" i="1" s="1"/>
  <c r="AI169" i="1"/>
  <c r="U226" i="1"/>
  <c r="S226" i="1" s="1"/>
  <c r="AI168" i="1"/>
  <c r="U225" i="1"/>
  <c r="S225" i="1" s="1"/>
  <c r="U219" i="1"/>
  <c r="S219" i="1" s="1"/>
  <c r="AI167" i="1"/>
  <c r="U218" i="1"/>
  <c r="S218" i="1" s="1"/>
  <c r="AI166" i="1"/>
  <c r="U217" i="1"/>
  <c r="S217" i="1" s="1"/>
  <c r="AI165" i="1"/>
  <c r="U216" i="1"/>
  <c r="S216" i="1" s="1"/>
  <c r="AI164" i="1"/>
  <c r="U215" i="1"/>
  <c r="S215" i="1" s="1"/>
  <c r="AI163" i="1"/>
  <c r="U214" i="1"/>
  <c r="S214" i="1" s="1"/>
  <c r="AI162" i="1"/>
  <c r="U213" i="1"/>
  <c r="S213" i="1" s="1"/>
  <c r="AI161" i="1"/>
  <c r="U212" i="1"/>
  <c r="S212" i="1" s="1"/>
  <c r="AI160" i="1"/>
  <c r="U211" i="1"/>
  <c r="S211" i="1" s="1"/>
  <c r="AI159" i="1"/>
  <c r="U210" i="1"/>
  <c r="S210" i="1" s="1"/>
  <c r="AI158" i="1"/>
  <c r="U209" i="1"/>
  <c r="S209" i="1" s="1"/>
  <c r="AI157" i="1"/>
  <c r="U157" i="1"/>
  <c r="S157" i="1" s="1"/>
  <c r="AI156" i="1"/>
  <c r="U156" i="1"/>
  <c r="S156" i="1" s="1"/>
  <c r="AI155" i="1"/>
  <c r="U155" i="1"/>
  <c r="S155" i="1" s="1"/>
  <c r="AI154" i="1"/>
  <c r="U154" i="1"/>
  <c r="S154" i="1" s="1"/>
  <c r="AI153" i="1"/>
  <c r="U153" i="1"/>
  <c r="S153" i="1" s="1"/>
  <c r="U152" i="1"/>
  <c r="S152" i="1" s="1"/>
  <c r="AI152" i="1"/>
  <c r="AI114" i="1"/>
  <c r="AI112" i="1"/>
  <c r="AI107" i="1"/>
  <c r="AI103" i="1"/>
  <c r="AI108" i="1"/>
  <c r="AI104" i="1"/>
  <c r="AI115" i="1"/>
  <c r="AI113" i="1"/>
  <c r="AI111" i="1"/>
  <c r="AI109" i="1"/>
  <c r="AI105" i="1"/>
  <c r="U151" i="1"/>
  <c r="S151" i="1" s="1"/>
  <c r="AI151" i="1"/>
  <c r="U150" i="1"/>
  <c r="S150" i="1" s="1"/>
  <c r="AI150" i="1"/>
  <c r="U149" i="1"/>
  <c r="S149" i="1" s="1"/>
  <c r="AI149" i="1"/>
  <c r="U148" i="1"/>
  <c r="S148" i="1" s="1"/>
  <c r="AI148" i="1"/>
  <c r="U147" i="1"/>
  <c r="S147" i="1" s="1"/>
  <c r="AI147" i="1"/>
  <c r="U146" i="1"/>
  <c r="S146" i="1" s="1"/>
  <c r="AI146" i="1"/>
  <c r="U145" i="1"/>
  <c r="S145" i="1" s="1"/>
  <c r="AI145" i="1"/>
  <c r="U144" i="1"/>
  <c r="S144" i="1" s="1"/>
  <c r="AI144" i="1"/>
  <c r="U143" i="1"/>
  <c r="S143" i="1" s="1"/>
  <c r="AI143" i="1"/>
  <c r="AI142" i="1"/>
  <c r="U141" i="1"/>
  <c r="S141" i="1" s="1"/>
  <c r="AI141" i="1"/>
  <c r="AI140" i="1"/>
  <c r="U139" i="1"/>
  <c r="S139" i="1" s="1"/>
  <c r="AI139" i="1"/>
  <c r="U138" i="1"/>
  <c r="S138" i="1" s="1"/>
  <c r="AI138" i="1"/>
  <c r="U137" i="1"/>
  <c r="S137" i="1" s="1"/>
  <c r="AI137" i="1"/>
  <c r="U136" i="1"/>
  <c r="S136" i="1" s="1"/>
  <c r="AI136" i="1"/>
  <c r="AI135" i="1"/>
  <c r="AI134" i="1"/>
  <c r="AI133" i="1"/>
  <c r="AI132" i="1"/>
  <c r="W131" i="1"/>
  <c r="AI131" i="1"/>
  <c r="W130" i="1"/>
  <c r="AI130" i="1"/>
  <c r="W129" i="1"/>
  <c r="AI129" i="1"/>
  <c r="AI128" i="1"/>
  <c r="AI127" i="1"/>
  <c r="AI126" i="1"/>
  <c r="AI125" i="1"/>
  <c r="AI124" i="1"/>
  <c r="AI123" i="1"/>
  <c r="AI122" i="1"/>
  <c r="U121" i="1"/>
  <c r="S121" i="1" s="1"/>
  <c r="AI121" i="1"/>
  <c r="U120" i="1"/>
  <c r="S120" i="1" s="1"/>
  <c r="AI120" i="1"/>
  <c r="U119" i="1"/>
  <c r="S119" i="1" s="1"/>
  <c r="AI119" i="1"/>
  <c r="U118" i="1"/>
  <c r="S118" i="1" s="1"/>
  <c r="AI118" i="1"/>
  <c r="U117" i="1"/>
  <c r="S117" i="1" s="1"/>
  <c r="AI117" i="1"/>
  <c r="U116" i="1"/>
  <c r="S116" i="1" s="1"/>
  <c r="AI116" i="1"/>
  <c r="AI110" i="1"/>
  <c r="AI106" i="1"/>
  <c r="U72" i="1"/>
  <c r="S72" i="1" s="1"/>
  <c r="AI72" i="1"/>
  <c r="U68" i="1"/>
  <c r="S68" i="1" s="1"/>
  <c r="AI68" i="1"/>
  <c r="AI101" i="1"/>
  <c r="AI99" i="1"/>
  <c r="AI97" i="1"/>
  <c r="AI95" i="1"/>
  <c r="AI93" i="1"/>
  <c r="AI91" i="1"/>
  <c r="AI89" i="1"/>
  <c r="AI87" i="1"/>
  <c r="AI85" i="1"/>
  <c r="AI83" i="1"/>
  <c r="AI81" i="1"/>
  <c r="AI79" i="1"/>
  <c r="AI77" i="1"/>
  <c r="AI75" i="1"/>
  <c r="U75" i="1"/>
  <c r="S75" i="1" s="1"/>
  <c r="AI71" i="1"/>
  <c r="U71" i="1"/>
  <c r="S71" i="1" s="1"/>
  <c r="AI67" i="1"/>
  <c r="U67" i="1"/>
  <c r="S67" i="1" s="1"/>
  <c r="U74" i="1"/>
  <c r="S74" i="1" s="1"/>
  <c r="AI74" i="1"/>
  <c r="U70" i="1"/>
  <c r="S70" i="1" s="1"/>
  <c r="AI70" i="1"/>
  <c r="U66" i="1"/>
  <c r="S66" i="1" s="1"/>
  <c r="AI66" i="1"/>
  <c r="AI102" i="1"/>
  <c r="AI100" i="1"/>
  <c r="AI98" i="1"/>
  <c r="AI96" i="1"/>
  <c r="AI94" i="1"/>
  <c r="AI92" i="1"/>
  <c r="AI90" i="1"/>
  <c r="AI88" i="1"/>
  <c r="AI86" i="1"/>
  <c r="AI84" i="1"/>
  <c r="AI82" i="1"/>
  <c r="AI80" i="1"/>
  <c r="AI78" i="1"/>
  <c r="AI76" i="1"/>
  <c r="U73" i="1"/>
  <c r="S73" i="1" s="1"/>
  <c r="AI73" i="1"/>
  <c r="U69" i="1"/>
  <c r="S69" i="1" s="1"/>
  <c r="AI69" i="1"/>
  <c r="U65" i="1"/>
  <c r="S65" i="1" s="1"/>
  <c r="AI65" i="1"/>
  <c r="AI64" i="1"/>
  <c r="U63" i="1"/>
  <c r="S63" i="1" s="1"/>
  <c r="AI63" i="1"/>
  <c r="AI62" i="1"/>
  <c r="U61" i="1"/>
  <c r="S61" i="1" s="1"/>
  <c r="AI61" i="1"/>
  <c r="AI60" i="1"/>
  <c r="U59" i="1"/>
  <c r="S59" i="1" s="1"/>
  <c r="AI59" i="1"/>
  <c r="AI58" i="1"/>
  <c r="U57" i="1"/>
  <c r="S57" i="1" s="1"/>
  <c r="AI57" i="1"/>
  <c r="AI56" i="1"/>
  <c r="AI55" i="1"/>
  <c r="AI54" i="1"/>
  <c r="AI53" i="1"/>
  <c r="AI52" i="1"/>
  <c r="AI51" i="1"/>
  <c r="AI50" i="1"/>
  <c r="AI49" i="1"/>
  <c r="AI48" i="1"/>
  <c r="AI47" i="1"/>
  <c r="AI46" i="1"/>
  <c r="AI45" i="1"/>
  <c r="AI44" i="1"/>
  <c r="AI43" i="1"/>
  <c r="AI42" i="1"/>
  <c r="AI41" i="1"/>
  <c r="AI40" i="1"/>
  <c r="AI39" i="1"/>
  <c r="AI37" i="1"/>
  <c r="W37" i="1"/>
  <c r="AI36" i="1"/>
  <c r="W36" i="1"/>
  <c r="AI35" i="1"/>
  <c r="W35" i="1"/>
  <c r="AI34" i="1"/>
  <c r="W34" i="1"/>
  <c r="AI33" i="1"/>
  <c r="AI32" i="1"/>
  <c r="AI31" i="1"/>
  <c r="AI30" i="1"/>
  <c r="AI29" i="1"/>
  <c r="AI28" i="1"/>
  <c r="AI27" i="1"/>
  <c r="AI26" i="1"/>
  <c r="AI25" i="1"/>
  <c r="AI24" i="1"/>
  <c r="AI23" i="1"/>
  <c r="U23" i="1"/>
  <c r="S23" i="1" s="1"/>
  <c r="AI22" i="1"/>
  <c r="U22" i="1"/>
  <c r="S22" i="1" s="1"/>
  <c r="AI21" i="1"/>
  <c r="U21" i="1"/>
  <c r="S21" i="1" s="1"/>
  <c r="AI20" i="1"/>
  <c r="U20" i="1"/>
  <c r="S20" i="1" s="1"/>
  <c r="AI19" i="1"/>
  <c r="U19" i="1"/>
  <c r="S19" i="1" s="1"/>
  <c r="AI18" i="1"/>
  <c r="U18" i="1"/>
  <c r="S18" i="1" s="1"/>
  <c r="AI17" i="1"/>
  <c r="U17" i="1"/>
  <c r="S17" i="1" s="1"/>
  <c r="AI16" i="1"/>
  <c r="U16" i="1"/>
  <c r="S16" i="1" s="1"/>
  <c r="AI15" i="1"/>
  <c r="U15" i="1"/>
  <c r="S15" i="1" s="1"/>
  <c r="AI14" i="1"/>
  <c r="U14" i="1"/>
  <c r="S14" i="1" s="1"/>
  <c r="W224" i="1"/>
  <c r="W222" i="1"/>
  <c r="W220" i="1"/>
  <c r="W207" i="1"/>
  <c r="W200" i="1"/>
  <c r="W198" i="1"/>
  <c r="W195" i="1"/>
  <c r="W193" i="1"/>
  <c r="W191" i="1"/>
  <c r="W189" i="1"/>
  <c r="W186" i="1"/>
  <c r="W184" i="1"/>
  <c r="W180" i="1"/>
  <c r="W178" i="1"/>
  <c r="W176" i="1"/>
  <c r="W172" i="1"/>
  <c r="W170" i="1"/>
  <c r="W168" i="1"/>
  <c r="W167" i="1"/>
  <c r="W165" i="1"/>
  <c r="W163" i="1"/>
  <c r="W161" i="1"/>
  <c r="W237" i="1"/>
  <c r="W159" i="1"/>
  <c r="W238" i="1"/>
  <c r="W234" i="1"/>
  <c r="W221" i="1"/>
  <c r="W208" i="1"/>
  <c r="W206" i="1"/>
  <c r="W203" i="1"/>
  <c r="W201" i="1"/>
  <c r="W199" i="1"/>
  <c r="W197" i="1"/>
  <c r="W194" i="1"/>
  <c r="W192" i="1"/>
  <c r="W190" i="1"/>
  <c r="W187" i="1"/>
  <c r="W185" i="1"/>
  <c r="W183" i="1"/>
  <c r="W179" i="1"/>
  <c r="W177" i="1"/>
  <c r="W175" i="1"/>
  <c r="W173" i="1"/>
  <c r="W171" i="1"/>
  <c r="W166" i="1"/>
  <c r="W164" i="1"/>
  <c r="W162" i="1"/>
  <c r="W239" i="1"/>
  <c r="W235" i="1"/>
  <c r="W236" i="1"/>
  <c r="W229" i="1"/>
  <c r="W225" i="1"/>
  <c r="W150" i="1"/>
  <c r="W145" i="1"/>
  <c r="W137" i="1"/>
  <c r="W132" i="1"/>
  <c r="W230" i="1"/>
  <c r="W226" i="1"/>
  <c r="W218" i="1"/>
  <c r="W151" i="1"/>
  <c r="W143" i="1"/>
  <c r="W140" i="1"/>
  <c r="W135" i="1"/>
  <c r="W231" i="1"/>
  <c r="W227" i="1"/>
  <c r="W149" i="1"/>
  <c r="W146" i="1"/>
  <c r="W141" i="1"/>
  <c r="W138" i="1"/>
  <c r="W134" i="1"/>
  <c r="W232" i="1"/>
  <c r="W228" i="1"/>
  <c r="W219" i="1"/>
  <c r="W217" i="1"/>
  <c r="W216" i="1"/>
  <c r="W215" i="1"/>
  <c r="W214" i="1"/>
  <c r="W211" i="1"/>
  <c r="W210" i="1"/>
  <c r="W209" i="1"/>
  <c r="W157" i="1"/>
  <c r="W156" i="1"/>
  <c r="W155" i="1"/>
  <c r="W154" i="1"/>
  <c r="W153" i="1"/>
  <c r="W147" i="1"/>
  <c r="W144" i="1"/>
  <c r="W139" i="1"/>
  <c r="W136" i="1"/>
  <c r="W133" i="1"/>
  <c r="W128" i="1"/>
  <c r="W127" i="1"/>
  <c r="W126" i="1"/>
  <c r="W124" i="1"/>
  <c r="W123" i="1"/>
  <c r="W122" i="1"/>
  <c r="W120" i="1"/>
  <c r="W119" i="1"/>
  <c r="W118" i="1"/>
  <c r="W116" i="1"/>
  <c r="W115" i="1"/>
  <c r="W112" i="1"/>
  <c r="W110" i="1"/>
  <c r="X217" i="1"/>
  <c r="X216" i="1"/>
  <c r="X215" i="1"/>
  <c r="X214" i="1"/>
  <c r="X213" i="1"/>
  <c r="X212" i="1"/>
  <c r="X211" i="1"/>
  <c r="X210" i="1"/>
  <c r="X209" i="1"/>
  <c r="X157" i="1"/>
  <c r="X156" i="1"/>
  <c r="X155" i="1"/>
  <c r="X154" i="1"/>
  <c r="X153" i="1"/>
  <c r="T135" i="1"/>
  <c r="U135" i="1" s="1"/>
  <c r="S135" i="1" s="1"/>
  <c r="X135" i="1"/>
  <c r="T134" i="1"/>
  <c r="U134" i="1" s="1"/>
  <c r="S134" i="1" s="1"/>
  <c r="X134" i="1"/>
  <c r="T133" i="1"/>
  <c r="U133" i="1" s="1"/>
  <c r="S133" i="1" s="1"/>
  <c r="X133" i="1"/>
  <c r="T132" i="1"/>
  <c r="U132" i="1" s="1"/>
  <c r="S132" i="1" s="1"/>
  <c r="X132" i="1"/>
  <c r="T131" i="1"/>
  <c r="U131" i="1" s="1"/>
  <c r="S131" i="1" s="1"/>
  <c r="X131" i="1"/>
  <c r="T130" i="1"/>
  <c r="U130" i="1" s="1"/>
  <c r="S130" i="1" s="1"/>
  <c r="X130" i="1"/>
  <c r="T129" i="1"/>
  <c r="U129" i="1" s="1"/>
  <c r="S129" i="1" s="1"/>
  <c r="X129" i="1"/>
  <c r="T128" i="1"/>
  <c r="U128" i="1" s="1"/>
  <c r="S128" i="1" s="1"/>
  <c r="X128" i="1"/>
  <c r="T127" i="1"/>
  <c r="U127" i="1" s="1"/>
  <c r="S127" i="1" s="1"/>
  <c r="X127" i="1"/>
  <c r="T126" i="1"/>
  <c r="U126" i="1" s="1"/>
  <c r="S126" i="1" s="1"/>
  <c r="X126" i="1"/>
  <c r="T125" i="1"/>
  <c r="U125" i="1" s="1"/>
  <c r="S125" i="1" s="1"/>
  <c r="X125" i="1"/>
  <c r="T124" i="1"/>
  <c r="U124" i="1" s="1"/>
  <c r="S124" i="1" s="1"/>
  <c r="X124" i="1"/>
  <c r="T123" i="1"/>
  <c r="U123" i="1" s="1"/>
  <c r="S123" i="1" s="1"/>
  <c r="X123" i="1"/>
  <c r="T122" i="1"/>
  <c r="U122" i="1" s="1"/>
  <c r="S122" i="1" s="1"/>
  <c r="X122" i="1"/>
  <c r="W114" i="1"/>
  <c r="W106" i="1"/>
  <c r="W111" i="1"/>
  <c r="W107" i="1"/>
  <c r="W103" i="1"/>
  <c r="W113" i="1"/>
  <c r="W109" i="1"/>
  <c r="X121" i="1"/>
  <c r="X120" i="1"/>
  <c r="X119" i="1"/>
  <c r="X118" i="1"/>
  <c r="X117" i="1"/>
  <c r="W102" i="1"/>
  <c r="W99" i="1"/>
  <c r="W94" i="1"/>
  <c r="W91" i="1"/>
  <c r="W83" i="1"/>
  <c r="W76" i="1"/>
  <c r="W68" i="1"/>
  <c r="T115" i="1"/>
  <c r="U115" i="1" s="1"/>
  <c r="S115" i="1" s="1"/>
  <c r="X115" i="1"/>
  <c r="T113" i="1"/>
  <c r="U113" i="1" s="1"/>
  <c r="S113" i="1" s="1"/>
  <c r="X113" i="1"/>
  <c r="W101" i="1"/>
  <c r="W96" i="1"/>
  <c r="W93" i="1"/>
  <c r="W85" i="1"/>
  <c r="W80" i="1"/>
  <c r="W77" i="1"/>
  <c r="W75" i="1"/>
  <c r="W70" i="1"/>
  <c r="W98" i="1"/>
  <c r="W95" i="1"/>
  <c r="W90" i="1"/>
  <c r="W82" i="1"/>
  <c r="W79" i="1"/>
  <c r="W73" i="1"/>
  <c r="W71" i="1"/>
  <c r="W66" i="1"/>
  <c r="T114" i="1"/>
  <c r="U114" i="1" s="1"/>
  <c r="S114" i="1" s="1"/>
  <c r="X114" i="1"/>
  <c r="T112" i="1"/>
  <c r="U112" i="1" s="1"/>
  <c r="S112" i="1" s="1"/>
  <c r="X112" i="1"/>
  <c r="W108" i="1"/>
  <c r="W97" i="1"/>
  <c r="W89" i="1"/>
  <c r="W84" i="1"/>
  <c r="W81" i="1"/>
  <c r="W72" i="1"/>
  <c r="W69" i="1"/>
  <c r="W67" i="1"/>
  <c r="T111" i="1"/>
  <c r="U111" i="1" s="1"/>
  <c r="S111" i="1" s="1"/>
  <c r="X111" i="1"/>
  <c r="T109" i="1"/>
  <c r="U109" i="1" s="1"/>
  <c r="S109" i="1" s="1"/>
  <c r="X109" i="1"/>
  <c r="T107" i="1"/>
  <c r="U107" i="1" s="1"/>
  <c r="S107" i="1" s="1"/>
  <c r="X107" i="1"/>
  <c r="T105" i="1"/>
  <c r="U105" i="1" s="1"/>
  <c r="S105" i="1" s="1"/>
  <c r="X105" i="1"/>
  <c r="T103" i="1"/>
  <c r="U103" i="1" s="1"/>
  <c r="S103" i="1" s="1"/>
  <c r="X103" i="1"/>
  <c r="T101" i="1"/>
  <c r="U101" i="1" s="1"/>
  <c r="S101" i="1" s="1"/>
  <c r="X101" i="1"/>
  <c r="T99" i="1"/>
  <c r="U99" i="1" s="1"/>
  <c r="S99" i="1" s="1"/>
  <c r="X99" i="1"/>
  <c r="T97" i="1"/>
  <c r="U97" i="1" s="1"/>
  <c r="S97" i="1" s="1"/>
  <c r="X97" i="1"/>
  <c r="T95" i="1"/>
  <c r="U95" i="1" s="1"/>
  <c r="S95" i="1" s="1"/>
  <c r="X95" i="1"/>
  <c r="T93" i="1"/>
  <c r="U93" i="1" s="1"/>
  <c r="S93" i="1" s="1"/>
  <c r="X93" i="1"/>
  <c r="T91" i="1"/>
  <c r="U91" i="1" s="1"/>
  <c r="S91" i="1" s="1"/>
  <c r="X91" i="1"/>
  <c r="T89" i="1"/>
  <c r="U89" i="1" s="1"/>
  <c r="S89" i="1" s="1"/>
  <c r="X89" i="1"/>
  <c r="T87" i="1"/>
  <c r="U87" i="1" s="1"/>
  <c r="S87" i="1" s="1"/>
  <c r="X87" i="1"/>
  <c r="T85" i="1"/>
  <c r="U85" i="1" s="1"/>
  <c r="S85" i="1" s="1"/>
  <c r="X85" i="1"/>
  <c r="T83" i="1"/>
  <c r="U83" i="1" s="1"/>
  <c r="S83" i="1" s="1"/>
  <c r="X83" i="1"/>
  <c r="T81" i="1"/>
  <c r="U81" i="1" s="1"/>
  <c r="S81" i="1" s="1"/>
  <c r="X81" i="1"/>
  <c r="T79" i="1"/>
  <c r="U79" i="1" s="1"/>
  <c r="S79" i="1" s="1"/>
  <c r="X79" i="1"/>
  <c r="T77" i="1"/>
  <c r="U77" i="1" s="1"/>
  <c r="S77" i="1" s="1"/>
  <c r="X77" i="1"/>
  <c r="X60" i="1"/>
  <c r="T60" i="1"/>
  <c r="U60" i="1" s="1"/>
  <c r="S60" i="1" s="1"/>
  <c r="W55" i="1"/>
  <c r="W51" i="1"/>
  <c r="W39" i="1"/>
  <c r="W64" i="1"/>
  <c r="W63" i="1"/>
  <c r="X62" i="1"/>
  <c r="T62" i="1"/>
  <c r="U62" i="1" s="1"/>
  <c r="S62" i="1" s="1"/>
  <c r="W54" i="1"/>
  <c r="W50" i="1"/>
  <c r="W42" i="1"/>
  <c r="T110" i="1"/>
  <c r="U110" i="1" s="1"/>
  <c r="S110" i="1" s="1"/>
  <c r="X110" i="1"/>
  <c r="T108" i="1"/>
  <c r="U108" i="1" s="1"/>
  <c r="S108" i="1" s="1"/>
  <c r="X108" i="1"/>
  <c r="T106" i="1"/>
  <c r="U106" i="1" s="1"/>
  <c r="S106" i="1" s="1"/>
  <c r="X106" i="1"/>
  <c r="T104" i="1"/>
  <c r="U104" i="1" s="1"/>
  <c r="S104" i="1" s="1"/>
  <c r="X104" i="1"/>
  <c r="T102" i="1"/>
  <c r="U102" i="1" s="1"/>
  <c r="S102" i="1" s="1"/>
  <c r="X102" i="1"/>
  <c r="T100" i="1"/>
  <c r="U100" i="1" s="1"/>
  <c r="S100" i="1" s="1"/>
  <c r="X100" i="1"/>
  <c r="T98" i="1"/>
  <c r="U98" i="1" s="1"/>
  <c r="S98" i="1" s="1"/>
  <c r="X98" i="1"/>
  <c r="T96" i="1"/>
  <c r="U96" i="1" s="1"/>
  <c r="S96" i="1" s="1"/>
  <c r="X96" i="1"/>
  <c r="T94" i="1"/>
  <c r="U94" i="1" s="1"/>
  <c r="S94" i="1" s="1"/>
  <c r="X94" i="1"/>
  <c r="T92" i="1"/>
  <c r="U92" i="1" s="1"/>
  <c r="S92" i="1" s="1"/>
  <c r="X92" i="1"/>
  <c r="T90" i="1"/>
  <c r="U90" i="1" s="1"/>
  <c r="S90" i="1" s="1"/>
  <c r="X90" i="1"/>
  <c r="T88" i="1"/>
  <c r="U88" i="1" s="1"/>
  <c r="S88" i="1" s="1"/>
  <c r="X88" i="1"/>
  <c r="T86" i="1"/>
  <c r="U86" i="1" s="1"/>
  <c r="S86" i="1" s="1"/>
  <c r="X86" i="1"/>
  <c r="T84" i="1"/>
  <c r="U84" i="1" s="1"/>
  <c r="S84" i="1" s="1"/>
  <c r="X84" i="1"/>
  <c r="T82" i="1"/>
  <c r="U82" i="1" s="1"/>
  <c r="S82" i="1" s="1"/>
  <c r="X82" i="1"/>
  <c r="T80" i="1"/>
  <c r="U80" i="1" s="1"/>
  <c r="S80" i="1" s="1"/>
  <c r="X80" i="1"/>
  <c r="T78" i="1"/>
  <c r="U78" i="1" s="1"/>
  <c r="S78" i="1" s="1"/>
  <c r="X78" i="1"/>
  <c r="T76" i="1"/>
  <c r="U76" i="1" s="1"/>
  <c r="S76" i="1" s="1"/>
  <c r="X76" i="1"/>
  <c r="X64" i="1"/>
  <c r="T64" i="1"/>
  <c r="U64" i="1" s="1"/>
  <c r="S64" i="1" s="1"/>
  <c r="W58" i="1"/>
  <c r="W57" i="1"/>
  <c r="W49" i="1"/>
  <c r="W45" i="1"/>
  <c r="W41" i="1"/>
  <c r="X63" i="1"/>
  <c r="W60" i="1"/>
  <c r="W59" i="1"/>
  <c r="X58" i="1"/>
  <c r="T58" i="1"/>
  <c r="U58" i="1" s="1"/>
  <c r="S58" i="1" s="1"/>
  <c r="W56" i="1"/>
  <c r="W52" i="1"/>
  <c r="W48" i="1"/>
  <c r="W44" i="1"/>
  <c r="W40" i="1"/>
  <c r="W33" i="1"/>
  <c r="W32" i="1"/>
  <c r="W31" i="1"/>
  <c r="W30" i="1"/>
  <c r="W29" i="1"/>
  <c r="W28" i="1"/>
  <c r="W27" i="1"/>
  <c r="W26" i="1"/>
  <c r="W24" i="1"/>
  <c r="W23" i="1"/>
  <c r="W21" i="1"/>
  <c r="W20" i="1"/>
  <c r="W18" i="1"/>
  <c r="W17" i="1"/>
  <c r="W16" i="1"/>
  <c r="W15" i="1"/>
  <c r="W14" i="1"/>
  <c r="X75" i="1"/>
  <c r="X74" i="1"/>
  <c r="X73" i="1"/>
  <c r="X72" i="1"/>
  <c r="X71" i="1"/>
  <c r="X70" i="1"/>
  <c r="X69" i="1"/>
  <c r="X68" i="1"/>
  <c r="X67" i="1"/>
  <c r="X66" i="1"/>
  <c r="X65" i="1"/>
  <c r="T56" i="1"/>
  <c r="U56" i="1" s="1"/>
  <c r="S56" i="1" s="1"/>
  <c r="X56" i="1"/>
  <c r="T55" i="1"/>
  <c r="U55" i="1" s="1"/>
  <c r="S55" i="1" s="1"/>
  <c r="X55" i="1"/>
  <c r="T54" i="1"/>
  <c r="U54" i="1" s="1"/>
  <c r="S54" i="1" s="1"/>
  <c r="X54" i="1"/>
  <c r="T53" i="1"/>
  <c r="U53" i="1" s="1"/>
  <c r="S53" i="1" s="1"/>
  <c r="X53" i="1"/>
  <c r="T52" i="1"/>
  <c r="U52" i="1" s="1"/>
  <c r="S52" i="1" s="1"/>
  <c r="X52" i="1"/>
  <c r="T51" i="1"/>
  <c r="U51" i="1" s="1"/>
  <c r="S51" i="1" s="1"/>
  <c r="X51" i="1"/>
  <c r="T50" i="1"/>
  <c r="U50" i="1" s="1"/>
  <c r="S50" i="1" s="1"/>
  <c r="X50" i="1"/>
  <c r="T49" i="1"/>
  <c r="U49" i="1" s="1"/>
  <c r="S49" i="1" s="1"/>
  <c r="X49" i="1"/>
  <c r="T48" i="1"/>
  <c r="U48" i="1" s="1"/>
  <c r="S48" i="1" s="1"/>
  <c r="X48" i="1"/>
  <c r="T47" i="1"/>
  <c r="U47" i="1" s="1"/>
  <c r="S47" i="1" s="1"/>
  <c r="X47" i="1"/>
  <c r="T46" i="1"/>
  <c r="U46" i="1" s="1"/>
  <c r="S46" i="1" s="1"/>
  <c r="X46" i="1"/>
  <c r="T45" i="1"/>
  <c r="U45" i="1" s="1"/>
  <c r="S45" i="1" s="1"/>
  <c r="X45" i="1"/>
  <c r="T44" i="1"/>
  <c r="U44" i="1" s="1"/>
  <c r="S44" i="1" s="1"/>
  <c r="X44" i="1"/>
  <c r="T43" i="1"/>
  <c r="U43" i="1" s="1"/>
  <c r="S43" i="1" s="1"/>
  <c r="X43" i="1"/>
  <c r="T42" i="1"/>
  <c r="U42" i="1" s="1"/>
  <c r="S42" i="1" s="1"/>
  <c r="X42" i="1"/>
  <c r="T41" i="1"/>
  <c r="U41" i="1" s="1"/>
  <c r="X41" i="1"/>
  <c r="T40" i="1"/>
  <c r="U40" i="1" s="1"/>
  <c r="S40" i="1" s="1"/>
  <c r="X40" i="1"/>
  <c r="T39" i="1"/>
  <c r="U39" i="1" s="1"/>
  <c r="S39" i="1" s="1"/>
  <c r="T37" i="1"/>
  <c r="U37" i="1" s="1"/>
  <c r="S37" i="1" s="1"/>
  <c r="X37" i="1"/>
  <c r="T36" i="1"/>
  <c r="U36" i="1" s="1"/>
  <c r="S36" i="1" s="1"/>
  <c r="X36" i="1"/>
  <c r="T35" i="1"/>
  <c r="U35" i="1" s="1"/>
  <c r="S35" i="1" s="1"/>
  <c r="X35" i="1"/>
  <c r="T34" i="1"/>
  <c r="U34" i="1" s="1"/>
  <c r="S34" i="1" s="1"/>
  <c r="X34" i="1"/>
  <c r="T33" i="1"/>
  <c r="U33" i="1" s="1"/>
  <c r="S33" i="1" s="1"/>
  <c r="X33" i="1"/>
  <c r="T32" i="1"/>
  <c r="U32" i="1" s="1"/>
  <c r="S32" i="1" s="1"/>
  <c r="X32" i="1"/>
  <c r="T31" i="1"/>
  <c r="U31" i="1" s="1"/>
  <c r="S31" i="1" s="1"/>
  <c r="X31" i="1"/>
  <c r="T30" i="1"/>
  <c r="U30" i="1" s="1"/>
  <c r="S30" i="1" s="1"/>
  <c r="X30" i="1"/>
  <c r="T29" i="1"/>
  <c r="U29" i="1" s="1"/>
  <c r="S29" i="1" s="1"/>
  <c r="X29" i="1"/>
  <c r="T28" i="1"/>
  <c r="U28" i="1" s="1"/>
  <c r="S28" i="1" s="1"/>
  <c r="X28" i="1"/>
  <c r="T27" i="1"/>
  <c r="U27" i="1" s="1"/>
  <c r="S27" i="1" s="1"/>
  <c r="X27" i="1"/>
  <c r="T26" i="1"/>
  <c r="U26" i="1" s="1"/>
  <c r="S26" i="1" s="1"/>
  <c r="X26" i="1"/>
  <c r="T25" i="1"/>
  <c r="U25" i="1" s="1"/>
  <c r="S25" i="1" s="1"/>
  <c r="X25" i="1"/>
  <c r="T24" i="1"/>
  <c r="U24" i="1" s="1"/>
  <c r="S24" i="1" s="1"/>
  <c r="X24" i="1"/>
  <c r="X23" i="1"/>
  <c r="X22" i="1"/>
  <c r="X21" i="1"/>
  <c r="X20" i="1"/>
  <c r="X19" i="1"/>
  <c r="X18" i="1"/>
  <c r="X17" i="1"/>
  <c r="X16" i="1"/>
  <c r="X15" i="1"/>
  <c r="AC22" i="3"/>
  <c r="AD29" i="3"/>
  <c r="AE29" i="3"/>
  <c r="AC27" i="3"/>
  <c r="AC8" i="3"/>
  <c r="AD20" i="3"/>
  <c r="AD14" i="3"/>
  <c r="AC15" i="3"/>
  <c r="S29" i="3"/>
  <c r="R28" i="3"/>
  <c r="AC26" i="3"/>
  <c r="AD26" i="3"/>
  <c r="AE9" i="3"/>
  <c r="AD27" i="3"/>
  <c r="AE25" i="3"/>
  <c r="AC23" i="3"/>
  <c r="AE22" i="3"/>
  <c r="AD18" i="3"/>
  <c r="AD11" i="3"/>
  <c r="AD25" i="3"/>
  <c r="AE17" i="3"/>
  <c r="AD10" i="3"/>
  <c r="AD23" i="3"/>
  <c r="AC24" i="3"/>
  <c r="AD17" i="3"/>
  <c r="AD15" i="3"/>
  <c r="AE13" i="3"/>
  <c r="AD13" i="3"/>
  <c r="AE28" i="3"/>
  <c r="AC16" i="3"/>
  <c r="T16" i="3"/>
  <c r="AC21" i="3"/>
  <c r="AE20" i="3"/>
  <c r="AC28" i="3"/>
  <c r="T28" i="3"/>
  <c r="AC9" i="3"/>
  <c r="AE8" i="3"/>
  <c r="AC7" i="3"/>
  <c r="AC17" i="3"/>
  <c r="AC18" i="3"/>
  <c r="AC13" i="3"/>
  <c r="AC29" i="3"/>
  <c r="Y27" i="3"/>
  <c r="Y23" i="3"/>
  <c r="Y11" i="3"/>
  <c r="Y25" i="3"/>
  <c r="Y30" i="3"/>
  <c r="Y10" i="3"/>
  <c r="Y14" i="3"/>
  <c r="Y20" i="3"/>
  <c r="Y16" i="3"/>
  <c r="Y7" i="3"/>
  <c r="Y22" i="3"/>
  <c r="Y21" i="3"/>
  <c r="Y12" i="3"/>
  <c r="Y13" i="3"/>
  <c r="Y9" i="3"/>
  <c r="Y29" i="3"/>
  <c r="Y26" i="3"/>
  <c r="Y17" i="3"/>
  <c r="Y8" i="3"/>
  <c r="Y24" i="3"/>
  <c r="Y18" i="3"/>
  <c r="Y15" i="3"/>
  <c r="Y28" i="3"/>
  <c r="AE24" i="3"/>
  <c r="T25" i="3"/>
  <c r="AE21" i="3"/>
  <c r="AD28" i="3"/>
  <c r="AE27" i="3"/>
  <c r="T22" i="3"/>
  <c r="AD24" i="3"/>
  <c r="AD21" i="3"/>
  <c r="T12" i="3"/>
  <c r="AD19" i="3"/>
  <c r="T13" i="3"/>
  <c r="AD16" i="3"/>
  <c r="AE15" i="3"/>
  <c r="AD12" i="3"/>
  <c r="AE11" i="3"/>
  <c r="T9" i="3"/>
  <c r="AD8" i="3"/>
  <c r="T7" i="3"/>
  <c r="AE23" i="3"/>
  <c r="T21" i="3"/>
  <c r="AC11" i="3"/>
  <c r="AE30" i="3"/>
  <c r="AE26" i="3"/>
  <c r="AC30" i="3"/>
  <c r="AC10" i="3"/>
  <c r="AE18" i="3"/>
  <c r="AE14" i="3"/>
  <c r="AC14" i="3"/>
  <c r="AE10" i="3"/>
  <c r="AC20" i="3"/>
  <c r="AE19" i="3"/>
  <c r="AE16" i="3"/>
  <c r="AE12" i="3"/>
  <c r="AC19" i="3"/>
  <c r="T19" i="3"/>
  <c r="Y19" i="3"/>
  <c r="V13" i="1" l="1"/>
  <c r="M23" i="5" l="1"/>
  <c r="H274" i="4" l="1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M30" i="5" l="1"/>
  <c r="M29" i="5"/>
  <c r="M28" i="5"/>
  <c r="M27" i="5"/>
  <c r="M26" i="5"/>
  <c r="B3" i="6" l="1"/>
  <c r="B5" i="6" l="1"/>
  <c r="D5" i="6" s="1"/>
  <c r="B4" i="6" l="1"/>
  <c r="H3" i="4" l="1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D4" i="6" s="1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G251" i="4"/>
  <c r="G252" i="4"/>
  <c r="G253" i="4"/>
  <c r="G254" i="4"/>
  <c r="G255" i="4"/>
  <c r="G256" i="4"/>
  <c r="G257" i="4"/>
  <c r="G258" i="4"/>
  <c r="G259" i="4"/>
  <c r="G260" i="4"/>
  <c r="G224" i="4" l="1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N27" i="3" l="1"/>
  <c r="N11" i="3"/>
  <c r="N7" i="3"/>
  <c r="K13" i="1"/>
  <c r="M13" i="1"/>
  <c r="N13" i="1" s="1"/>
  <c r="Y13" i="1"/>
  <c r="Z13" i="1"/>
  <c r="AB13" i="1"/>
  <c r="AC13" i="1"/>
  <c r="AD13" i="1"/>
  <c r="X14" i="1" s="1"/>
  <c r="AE13" i="1"/>
  <c r="AM13" i="1"/>
  <c r="AG13" i="1"/>
  <c r="AI13" i="1" l="1"/>
  <c r="AA13" i="1"/>
  <c r="W13" i="1" s="1"/>
  <c r="T13" i="1"/>
  <c r="U13" i="1" s="1"/>
  <c r="S13" i="1" s="1"/>
  <c r="X13" i="1"/>
  <c r="O2" i="3" l="1"/>
  <c r="AO13" i="1" l="1"/>
  <c r="AN13" i="1"/>
  <c r="AD7" i="3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N17" i="3" s="1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" i="4"/>
  <c r="N25" i="3" l="1"/>
  <c r="N20" i="3"/>
  <c r="N19" i="3"/>
  <c r="N8" i="3"/>
  <c r="N22" i="3"/>
  <c r="N16" i="3"/>
  <c r="N21" i="3"/>
  <c r="N30" i="3"/>
  <c r="N12" i="3"/>
  <c r="N18" i="3"/>
  <c r="N13" i="3"/>
  <c r="N9" i="3"/>
  <c r="N23" i="3"/>
  <c r="N15" i="3"/>
  <c r="N28" i="3"/>
  <c r="N29" i="3"/>
  <c r="N14" i="3"/>
  <c r="N24" i="3"/>
  <c r="N10" i="3"/>
  <c r="N26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V5" i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F4" i="6" l="1"/>
  <c r="G4" i="6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D3" i="6" l="1"/>
  <c r="I5" i="6"/>
  <c r="G5" i="6"/>
  <c r="F5" i="6"/>
  <c r="H5" i="6"/>
  <c r="J5" i="6"/>
  <c r="G3" i="6" l="1"/>
  <c r="F3" i="6"/>
  <c r="H3" i="6"/>
  <c r="I3" i="6"/>
  <c r="J3" i="6"/>
  <c r="B6" i="6"/>
  <c r="D6" i="6" s="1"/>
  <c r="H6" i="6" l="1"/>
  <c r="J6" i="6"/>
  <c r="F6" i="6"/>
  <c r="G6" i="6"/>
  <c r="I6" i="6"/>
  <c r="B7" i="6"/>
  <c r="D7" i="6" s="1"/>
  <c r="B8" i="6" l="1"/>
  <c r="D8" i="6" s="1"/>
  <c r="F7" i="6"/>
  <c r="G7" i="6"/>
  <c r="I7" i="6"/>
  <c r="H7" i="6"/>
  <c r="J7" i="6"/>
  <c r="F8" i="6" l="1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<sst xmlns="http://schemas.openxmlformats.org/spreadsheetml/2006/main" count="2806" uniqueCount="1100">
  <si>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</si>
  <si>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</si>
  <si>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</si>
  <si>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</si>
  <si>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</si>
  <si>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</si>
  <si>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</si>
  <si>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</si>
  <si>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</si>
  <si>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</si>
  <si>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</si>
  <si>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</si>
  <si>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</si>
  <si>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</si>
  <si>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</si>
  <si>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</si>
  <si>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</si>
  <si>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</si>
  <si>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</si>
  <si>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</si>
  <si>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</si>
  <si>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</si>
  <si>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</si>
  <si>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</si>
  <si>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</si>
  <si>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</si>
  <si>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</si>
  <si>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</si>
  <si>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</si>
  <si>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</si>
  <si>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</si>
  <si>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</si>
  <si>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</si>
  <si>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</si>
  <si>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</si>
  <si>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</si>
  <si>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</si>
  <si>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</si>
  <si>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</si>
  <si>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</si>
  <si>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</si>
  <si>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</si>
  <si>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</si>
  <si>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</si>
  <si>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</si>
  <si>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</si>
  <si>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</si>
  <si>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</si>
  <si>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</si>
  <si>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</si>
  <si>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</si>
  <si>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</si>
  <si>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</si>
  <si>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</si>
  <si>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</si>
  <si>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</si>
  <si>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</si>
  <si>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</si>
  <si>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</si>
  <si>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</si>
  <si>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</si>
  <si>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</si>
  <si>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</si>
  <si>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</si>
  <si>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</si>
  <si>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</si>
  <si>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</si>
  <si>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</si>
  <si>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</si>
  <si>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</si>
  <si>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</si>
  <si>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</si>
  <si>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</si>
  <si>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</si>
  <si>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</si>
  <si>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</si>
  <si>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</si>
  <si>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</si>
  <si>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</si>
  <si>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</si>
  <si>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</si>
  <si>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</si>
  <si>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</si>
  <si>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</si>
  <si>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</si>
  <si>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</si>
  <si>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</si>
  <si>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</si>
  <si>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</si>
  <si>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</si>
  <si>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</si>
  <si>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</si>
  <si>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</si>
  <si>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</si>
  <si>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</si>
  <si>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</si>
  <si>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</si>
  <si>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</si>
  <si>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</si>
  <si>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</si>
  <si>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</si>
  <si>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</si>
  <si>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</si>
  <si>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</si>
  <si>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</si>
  <si>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</si>
  <si>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</si>
  <si>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</si>
  <si>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</si>
  <si>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</si>
  <si>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</si>
  <si>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</si>
  <si>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</si>
  <si>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</si>
  <si>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</si>
  <si>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</si>
  <si>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</si>
  <si>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</si>
  <si>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</si>
  <si>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</si>
  <si>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</si>
  <si>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</si>
  <si>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</si>
  <si>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</si>
  <si>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</si>
  <si>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</si>
  <si>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</si>
  <si>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</si>
  <si>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</si>
  <si>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</si>
  <si>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</si>
  <si>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</si>
  <si>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</si>
  <si>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</si>
  <si>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</si>
  <si>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</si>
  <si>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</si>
  <si>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</si>
  <si>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</si>
  <si>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</si>
  <si>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</si>
  <si>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</si>
  <si>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</si>
  <si>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</si>
  <si>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</si>
  <si>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</si>
  <si>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</si>
  <si>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</si>
  <si>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</si>
  <si>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</si>
  <si>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</si>
  <si>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</si>
  <si>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</si>
  <si>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</si>
  <si>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</si>
  <si>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</si>
  <si>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</si>
  <si>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</si>
  <si>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</si>
  <si>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</si>
  <si>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</si>
  <si>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</si>
  <si>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</si>
  <si>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</si>
  <si>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</si>
  <si>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</si>
  <si>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</si>
  <si>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</si>
  <si>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</si>
  <si>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</si>
  <si>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</si>
  <si>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</si>
  <si>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</si>
  <si>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</si>
  <si>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</si>
  <si>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</si>
  <si>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</si>
  <si>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</si>
  <si>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</si>
  <si>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</si>
  <si>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</si>
  <si>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</si>
  <si>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</si>
  <si>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</si>
  <si>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</si>
  <si>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</si>
  <si>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</si>
  <si>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</si>
  <si>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</si>
  <si>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</si>
  <si>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</si>
  <si>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</si>
  <si>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</si>
  <si>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</si>
  <si>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</si>
  <si>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</si>
  <si>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</si>
  <si>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</si>
  <si>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</si>
  <si>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</si>
  <si>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</si>
  <si>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</si>
  <si>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</si>
  <si>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</si>
  <si>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</si>
  <si>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</si>
  <si>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</si>
  <si>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</si>
  <si>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</si>
  <si>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</si>
  <si>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</si>
  <si>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</si>
  <si>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</si>
  <si>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</si>
  <si>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</si>
  <si>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</si>
  <si>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</si>
  <si>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</si>
  <si>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</si>
  <si>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</si>
  <si>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</si>
  <si>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</si>
  <si>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</si>
  <si>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</si>
  <si>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</si>
  <si>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</si>
  <si>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</si>
  <si>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</si>
  <si>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</si>
  <si>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</si>
  <si>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</si>
  <si>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</si>
  <si>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</si>
  <si>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</si>
  <si>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</si>
  <si>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</si>
  <si>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</si>
  <si>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</si>
  <si>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</si>
  <si>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</si>
  <si>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</si>
  <si>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</si>
  <si>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</si>
  <si>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</si>
  <si>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</si>
  <si>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</si>
  <si>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</si>
  <si>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</si>
  <si>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</si>
  <si>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</si>
  <si>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</si>
  <si>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</si>
  <si>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</si>
  <si>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</si>
  <si>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</si>
  <si>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</si>
  <si>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</si>
  <si>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</si>
  <si>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</si>
  <si>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</si>
  <si>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</si>
  <si>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</si>
  <si>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</si>
  <si>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</si>
  <si>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</si>
  <si>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</si>
  <si>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</si>
  <si>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</si>
  <si>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</si>
  <si>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</si>
  <si>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</si>
  <si>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</si>
  <si>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</si>
  <si>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</si>
  <si>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</si>
  <si>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</si>
  <si>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</si>
  <si>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</si>
  <si>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</si>
  <si>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</si>
  <si>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</si>
  <si>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</si>
  <si>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</si>
  <si>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</si>
  <si>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</si>
  <si>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</si>
  <si>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</si>
  <si>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</si>
  <si>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</si>
  <si>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</si>
  <si>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</si>
  <si>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</si>
  <si>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</si>
  <si>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</si>
  <si>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</si>
  <si>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</si>
  <si>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</si>
  <si>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</si>
  <si>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</si>
  <si>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</si>
  <si>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</si>
  <si>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</si>
  <si>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</si>
  <si>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</si>
  <si>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</si>
  <si>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</si>
  <si>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</si>
  <si>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</si>
  <si>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</si>
  <si>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</si>
  <si>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</si>
  <si>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</si>
  <si>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</si>
  <si>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</si>
  <si>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</si>
  <si>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</si>
  <si>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</si>
  <si>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</si>
  <si>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</si>
  <si>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</si>
  <si>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</si>
  <si>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</si>
  <si>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</si>
  <si>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</si>
  <si>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</si>
  <si>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</si>
  <si>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</si>
  <si>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</si>
  <si>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</si>
  <si>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</si>
  <si>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</si>
  <si>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</si>
  <si>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:.+((SYSTEM_STATE.+slice.+state.+changed )|(ment ac)|(multiple cpu faults)|(system.+state.+changed )|(\[timeout)|(PRM\|1\|D)|(kpr)|(kdp)|(train st.+moving)|(\|lc)|(penalty))</t>
  </si>
  <si>
    <t>M - F = 49 trips</t>
  </si>
  <si>
    <t>uvIndex</t>
  </si>
  <si>
    <t>windGust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</si>
  <si>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</si>
  <si>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</si>
  <si>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</si>
  <si>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</si>
  <si>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</si>
  <si>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</si>
  <si>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</si>
  <si>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</si>
  <si>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Early Arrival</t>
  </si>
  <si>
    <t>LOZA</t>
  </si>
  <si>
    <t>FIDEL</t>
  </si>
  <si>
    <t>YORK</t>
  </si>
  <si>
    <t>EDGAR</t>
  </si>
  <si>
    <t>Y</t>
  </si>
  <si>
    <t>Sat - Sun = 36 Trips</t>
  </si>
  <si>
    <t>"Summary View"</t>
  </si>
  <si>
    <t>rtdc.l.rtdc.4055:itc</t>
  </si>
  <si>
    <t>MICHAEL</t>
  </si>
  <si>
    <t>%REDMINEAPIKEY%</t>
  </si>
  <si>
    <t>SIGNAL</t>
  </si>
  <si>
    <t>Signal based authority (5)</t>
  </si>
  <si>
    <t>rtdc.l.rtdc.4008:itc</t>
  </si>
  <si>
    <t>rtdc.l.rtdc.4060:itc</t>
  </si>
  <si>
    <t>rtdc.l.rtdc.4018:itc</t>
  </si>
  <si>
    <t>rtdc.l.rtdc.4007:itc</t>
  </si>
  <si>
    <t>rtdc.l.rtdc.4017:itc</t>
  </si>
  <si>
    <t>NICHOLSON</t>
  </si>
  <si>
    <t>WESLEY</t>
  </si>
  <si>
    <t>300-20</t>
  </si>
  <si>
    <t>rtdc.l.rtdc.4036:itc</t>
  </si>
  <si>
    <t>rtdc.l.rtdc.4035:itc</t>
  </si>
  <si>
    <t>WILLIAMS</t>
  </si>
  <si>
    <t>rtdc.l.rtdc.4012:itc</t>
  </si>
  <si>
    <t>rtdc.l.rtdc.4011:itc</t>
  </si>
  <si>
    <t>SAFIEF</t>
  </si>
  <si>
    <t>AEIMEN</t>
  </si>
  <si>
    <t>GUZMAN</t>
  </si>
  <si>
    <t>DANNY</t>
  </si>
  <si>
    <t>GUNTHIER</t>
  </si>
  <si>
    <t>ERIC</t>
  </si>
  <si>
    <t>RESPASS</t>
  </si>
  <si>
    <t>AARON</t>
  </si>
  <si>
    <t>ANDREA</t>
  </si>
  <si>
    <t>rtdc.l.rtdc.4062:itc</t>
  </si>
  <si>
    <t>rtdc.l.rtdc.4022:itc</t>
  </si>
  <si>
    <t>rtdc.l.rtdc.4061:itc</t>
  </si>
  <si>
    <t>rtdc.l.rtdc.4029:itc</t>
  </si>
  <si>
    <t>232-31</t>
  </si>
  <si>
    <t>238-31</t>
  </si>
  <si>
    <t>rtdc.l.rtdc.4059:itc</t>
  </si>
  <si>
    <t>rtdc.l.rtdc.4030:itc</t>
  </si>
  <si>
    <t>SMITH</t>
  </si>
  <si>
    <t>STAMBAUGH</t>
  </si>
  <si>
    <t>JAMES</t>
  </si>
  <si>
    <t>MOSES</t>
  </si>
  <si>
    <t>BRADLEY</t>
  </si>
  <si>
    <t>228-31</t>
  </si>
  <si>
    <t>844-31</t>
  </si>
  <si>
    <t>233-31</t>
  </si>
  <si>
    <t>230-31</t>
  </si>
  <si>
    <t>847-31</t>
  </si>
  <si>
    <t>235-31</t>
  </si>
  <si>
    <t>846-31</t>
  </si>
  <si>
    <t>237-31</t>
  </si>
  <si>
    <t>234-31</t>
  </si>
  <si>
    <t>849-31</t>
  </si>
  <si>
    <t>239-31</t>
  </si>
  <si>
    <t>236-31</t>
  </si>
  <si>
    <t>908-31</t>
  </si>
  <si>
    <t>241-31</t>
  </si>
  <si>
    <t>240-31</t>
  </si>
  <si>
    <t>243-31</t>
  </si>
  <si>
    <t>313-31</t>
  </si>
  <si>
    <t>242-31</t>
  </si>
  <si>
    <t>307-31</t>
  </si>
  <si>
    <t>244-31</t>
  </si>
  <si>
    <t>309-31</t>
  </si>
  <si>
    <t>311-31</t>
  </si>
  <si>
    <t>204:232977</t>
  </si>
  <si>
    <t>204:214</t>
  </si>
  <si>
    <t>204:207</t>
  </si>
  <si>
    <t>204:528</t>
  </si>
  <si>
    <t>204:227</t>
  </si>
  <si>
    <t>SWITCH UNKNOWN</t>
  </si>
  <si>
    <t>Track device (7)</t>
  </si>
  <si>
    <t>Clear</t>
  </si>
  <si>
    <t>clear-night</t>
  </si>
  <si>
    <t>204:524</t>
  </si>
  <si>
    <t>ELBAUM</t>
  </si>
  <si>
    <t>MIKE</t>
  </si>
  <si>
    <t>MACDONALD</t>
  </si>
  <si>
    <t>THOMAS</t>
  </si>
  <si>
    <t>DAVID</t>
  </si>
  <si>
    <t>204:502</t>
  </si>
  <si>
    <t>204:232959</t>
  </si>
  <si>
    <t>204:220</t>
  </si>
  <si>
    <t>204:232979</t>
  </si>
  <si>
    <t>204:211</t>
  </si>
  <si>
    <t>204:233295</t>
  </si>
  <si>
    <t>204:526</t>
  </si>
  <si>
    <t>204:234</t>
  </si>
  <si>
    <t>204:212</t>
  </si>
  <si>
    <t>rtdc.l.rtdc.4041:itc</t>
  </si>
  <si>
    <t>204:154</t>
  </si>
  <si>
    <t>204:232934</t>
  </si>
  <si>
    <t>204:240</t>
  </si>
  <si>
    <t>204:535</t>
  </si>
  <si>
    <t>300:58924</t>
  </si>
  <si>
    <t>rtdc.l.rtdc.4056:itc</t>
  </si>
  <si>
    <t>rtdc.l.rtdc.4054:itc</t>
  </si>
  <si>
    <t>rtdc.l.rtdc.4053:itc</t>
  </si>
  <si>
    <t>STEWART</t>
  </si>
  <si>
    <t>DAVIS</t>
  </si>
  <si>
    <t>204:480</t>
  </si>
  <si>
    <t>204:161</t>
  </si>
  <si>
    <t>204:232996</t>
  </si>
  <si>
    <t>204:508</t>
  </si>
  <si>
    <t>204:165</t>
  </si>
  <si>
    <t>204:511</t>
  </si>
  <si>
    <t>rtdc.l.rtdc.4014:itc</t>
  </si>
  <si>
    <t>rtdc.l.rtdc.4013:itc</t>
  </si>
  <si>
    <t>204:141</t>
  </si>
  <si>
    <t>204:469</t>
  </si>
  <si>
    <t>204:229</t>
  </si>
  <si>
    <t>204:482</t>
  </si>
  <si>
    <t>204:475</t>
  </si>
  <si>
    <t>204:218</t>
  </si>
  <si>
    <t>204:546</t>
  </si>
  <si>
    <t>204:232904</t>
  </si>
  <si>
    <t>204:221</t>
  </si>
  <si>
    <t>204:233278</t>
  </si>
  <si>
    <t>204:233261</t>
  </si>
  <si>
    <t>204:232932</t>
  </si>
  <si>
    <t>204:201</t>
  </si>
  <si>
    <t>204:233280</t>
  </si>
  <si>
    <t>204:540</t>
  </si>
  <si>
    <t>204:232938</t>
  </si>
  <si>
    <t>204:149</t>
  </si>
  <si>
    <t>204:453</t>
  </si>
  <si>
    <t>300:58611</t>
  </si>
  <si>
    <t>300:58931</t>
  </si>
  <si>
    <t>rtdc.l.rtdc.4025:itc</t>
  </si>
  <si>
    <t>rtdc.l.rtdc.4026:itc</t>
  </si>
  <si>
    <t>DONTE</t>
  </si>
  <si>
    <t>LAMAR</t>
  </si>
  <si>
    <t>NEKESHA</t>
  </si>
  <si>
    <t>BIRENBAUM</t>
  </si>
  <si>
    <t>KILLION</t>
  </si>
  <si>
    <t>clear-day</t>
  </si>
  <si>
    <t>204:194</t>
  </si>
  <si>
    <t>204:156</t>
  </si>
  <si>
    <t>204:457</t>
  </si>
  <si>
    <t>204:233293</t>
  </si>
  <si>
    <t>204:232984</t>
  </si>
  <si>
    <t>204:205</t>
  </si>
  <si>
    <t>204:223</t>
  </si>
  <si>
    <t>204:489</t>
  </si>
  <si>
    <t>204:232919</t>
  </si>
  <si>
    <t>204:180</t>
  </si>
  <si>
    <t>204:233232</t>
  </si>
  <si>
    <t>204:233299</t>
  </si>
  <si>
    <t>204:187</t>
  </si>
  <si>
    <t>204:176</t>
  </si>
  <si>
    <t>300:58926</t>
  </si>
  <si>
    <t>204:845</t>
  </si>
  <si>
    <t>204:1125</t>
  </si>
  <si>
    <t>204:232946</t>
  </si>
  <si>
    <t>204:232980</t>
  </si>
  <si>
    <t>300:23301</t>
  </si>
  <si>
    <t>204:570</t>
  </si>
  <si>
    <t>300:23346</t>
  </si>
  <si>
    <t>rtdc.l.rtdc.4044:itc</t>
  </si>
  <si>
    <t>222-27</t>
  </si>
  <si>
    <t>843-27</t>
  </si>
  <si>
    <t>229-27</t>
  </si>
  <si>
    <t>rtdc.l.rtdc.4043:itc</t>
  </si>
  <si>
    <t>226-27</t>
  </si>
  <si>
    <t>847-27</t>
  </si>
  <si>
    <t>307-27</t>
  </si>
  <si>
    <t>ROCHA</t>
  </si>
  <si>
    <t>YAOTL</t>
  </si>
  <si>
    <t>rtdc.l.rtdc.4021:itc</t>
  </si>
  <si>
    <t>NICHOLAS</t>
  </si>
  <si>
    <t>PLOYSA</t>
  </si>
  <si>
    <t>BEAM</t>
  </si>
  <si>
    <t>ROSS</t>
  </si>
  <si>
    <t>SPECTOR</t>
  </si>
  <si>
    <t>rtdc.l.rtdc.4063:itc</t>
  </si>
  <si>
    <t>DAVIDSON</t>
  </si>
  <si>
    <t>rtdc.l.rtdc.4019:itc</t>
  </si>
  <si>
    <t>rtdc.l.rtdc.4064:itc</t>
  </si>
  <si>
    <t>LONG</t>
  </si>
  <si>
    <t>FULLER</t>
  </si>
  <si>
    <t>LORI</t>
  </si>
  <si>
    <t>SANTOS</t>
  </si>
  <si>
    <t>216-27</t>
  </si>
  <si>
    <t>221-27</t>
  </si>
  <si>
    <t>906-27</t>
  </si>
  <si>
    <t>841-27</t>
  </si>
  <si>
    <t>218-27</t>
  </si>
  <si>
    <t>303-27</t>
  </si>
  <si>
    <t>220-27</t>
  </si>
  <si>
    <t>223-27</t>
  </si>
  <si>
    <t>840-27</t>
  </si>
  <si>
    <t>305-27</t>
  </si>
  <si>
    <t>225-27</t>
  </si>
  <si>
    <t>227-27</t>
  </si>
  <si>
    <t>224-27</t>
  </si>
  <si>
    <t>842-27</t>
  </si>
  <si>
    <t>845-27</t>
  </si>
  <si>
    <t>231-27</t>
  </si>
  <si>
    <t>228-27</t>
  </si>
  <si>
    <t>844-27</t>
  </si>
  <si>
    <t>230-27</t>
  </si>
  <si>
    <t>233-27</t>
  </si>
  <si>
    <t>235-27</t>
  </si>
  <si>
    <t>232-27</t>
  </si>
  <si>
    <t>846-27</t>
  </si>
  <si>
    <t>237-27</t>
  </si>
  <si>
    <t>234-27</t>
  </si>
  <si>
    <t>849-27</t>
  </si>
  <si>
    <t>239-27</t>
  </si>
  <si>
    <t>236-27</t>
  </si>
  <si>
    <t>908-27</t>
  </si>
  <si>
    <t>238-27</t>
  </si>
  <si>
    <t>241-27</t>
  </si>
  <si>
    <t>240-27</t>
  </si>
  <si>
    <t>243-27</t>
  </si>
  <si>
    <t>313-27</t>
  </si>
  <si>
    <t>242-27</t>
  </si>
  <si>
    <t>244-27</t>
  </si>
  <si>
    <t>309-27</t>
  </si>
  <si>
    <t>311-27</t>
  </si>
  <si>
    <t>precipType</t>
  </si>
  <si>
    <t>partly-cloudy-night</t>
  </si>
  <si>
    <t>Mostly Cloudy</t>
  </si>
  <si>
    <t>cloudy</t>
  </si>
  <si>
    <t>Overcast</t>
  </si>
  <si>
    <t>204:150</t>
  </si>
  <si>
    <t>204:233319</t>
  </si>
  <si>
    <t>204:232998</t>
  </si>
  <si>
    <t>204:233268</t>
  </si>
  <si>
    <t>204:446</t>
  </si>
  <si>
    <t>204:233289</t>
  </si>
  <si>
    <t>204:471</t>
  </si>
  <si>
    <t>204:233000</t>
  </si>
  <si>
    <t>204:143</t>
  </si>
  <si>
    <t>204:232945</t>
  </si>
  <si>
    <t>204:477</t>
  </si>
  <si>
    <t>204:233310</t>
  </si>
  <si>
    <t>204:232985</t>
  </si>
  <si>
    <t>204:451</t>
  </si>
  <si>
    <t>204:232896</t>
  </si>
  <si>
    <t>204:232915</t>
  </si>
  <si>
    <t>204:231</t>
  </si>
  <si>
    <t>204:455</t>
  </si>
  <si>
    <t>204:232972</t>
  </si>
  <si>
    <t>204:225</t>
  </si>
  <si>
    <t>204:233220</t>
  </si>
  <si>
    <t>204:232894</t>
  </si>
  <si>
    <t>204:233189</t>
  </si>
  <si>
    <t>204:506</t>
  </si>
  <si>
    <t>204:533</t>
  </si>
  <si>
    <t>204:233227</t>
  </si>
  <si>
    <t>204:529</t>
  </si>
  <si>
    <t>204:232940</t>
  </si>
  <si>
    <t>204:537</t>
  </si>
  <si>
    <t>204:233218</t>
  </si>
  <si>
    <t>204:252</t>
  </si>
  <si>
    <t>204:232906</t>
  </si>
  <si>
    <t>204:233244</t>
  </si>
  <si>
    <t>204:233240</t>
  </si>
  <si>
    <t>204:509</t>
  </si>
  <si>
    <t>204:263</t>
  </si>
  <si>
    <t>204:192</t>
  </si>
  <si>
    <t>204:249</t>
  </si>
  <si>
    <t>204:233246</t>
  </si>
  <si>
    <t>204:233272</t>
  </si>
  <si>
    <t>204:559</t>
  </si>
  <si>
    <t>300:23306</t>
  </si>
  <si>
    <t>300:22387</t>
  </si>
  <si>
    <t>300:23314</t>
  </si>
  <si>
    <t>300:58613</t>
  </si>
  <si>
    <t>204:1137</t>
  </si>
  <si>
    <t>300:58615</t>
  </si>
  <si>
    <t>300:58939</t>
  </si>
  <si>
    <t>300:58929</t>
  </si>
  <si>
    <t>204:1119</t>
  </si>
  <si>
    <t>300:58937</t>
  </si>
  <si>
    <t>300:58626</t>
  </si>
  <si>
    <t>204:144</t>
  </si>
  <si>
    <t>204:450</t>
  </si>
  <si>
    <t>204:967</t>
  </si>
  <si>
    <t>204:152</t>
  </si>
  <si>
    <t>300:24231</t>
  </si>
  <si>
    <t>Wi-MAX data drop</t>
  </si>
  <si>
    <t>106-28</t>
  </si>
  <si>
    <t>rtdc.l.rtdc.4039:itc</t>
  </si>
  <si>
    <t>110-28</t>
  </si>
  <si>
    <t>rtdc.l.rtdc.4002:itc</t>
  </si>
  <si>
    <t>803-28</t>
  </si>
  <si>
    <t>TRACK WARRANT AUTHORITY</t>
  </si>
  <si>
    <t>Form based authority (4)</t>
  </si>
  <si>
    <t>805-28</t>
  </si>
  <si>
    <t>120-28</t>
  </si>
  <si>
    <t>129-28</t>
  </si>
  <si>
    <t>810-28</t>
  </si>
  <si>
    <t>811-28</t>
  </si>
  <si>
    <t>134-28</t>
  </si>
  <si>
    <t>rtdc.l.rtdc.4033:itc</t>
  </si>
  <si>
    <t>142-28</t>
  </si>
  <si>
    <t>140-28</t>
  </si>
  <si>
    <t>148-28</t>
  </si>
  <si>
    <t>150-28</t>
  </si>
  <si>
    <t>154-28</t>
  </si>
  <si>
    <t>156-28</t>
  </si>
  <si>
    <t>rtdc.l.rtdc.4001:itc</t>
  </si>
  <si>
    <t>818-28</t>
  </si>
  <si>
    <t>820-28</t>
  </si>
  <si>
    <t>821-28</t>
  </si>
  <si>
    <t>182-28</t>
  </si>
  <si>
    <t>827-28</t>
  </si>
  <si>
    <t>190-28</t>
  </si>
  <si>
    <t>204-28</t>
  </si>
  <si>
    <t>rtdc.l.rtdc.4042:itc</t>
  </si>
  <si>
    <t>221-28</t>
  </si>
  <si>
    <t>222-28</t>
  </si>
  <si>
    <t>846-28</t>
  </si>
  <si>
    <t>237-28</t>
  </si>
  <si>
    <t>241-28</t>
  </si>
  <si>
    <t>300-28</t>
  </si>
  <si>
    <t>51-28</t>
  </si>
  <si>
    <t>ACKERMAN</t>
  </si>
  <si>
    <t>JARED</t>
  </si>
  <si>
    <t>rtdc.l.rtdc.4058:itc</t>
  </si>
  <si>
    <t>101-28</t>
  </si>
  <si>
    <t>52-28</t>
  </si>
  <si>
    <t>302-28</t>
  </si>
  <si>
    <t>103-28</t>
  </si>
  <si>
    <t>304-28</t>
  </si>
  <si>
    <t>THOMPSON</t>
  </si>
  <si>
    <t>LESTER</t>
  </si>
  <si>
    <t>306-28</t>
  </si>
  <si>
    <t>105-28</t>
  </si>
  <si>
    <t>rtdc.l.rtdc.4057:itc</t>
  </si>
  <si>
    <t>102-28</t>
  </si>
  <si>
    <t>107-28</t>
  </si>
  <si>
    <t>LANGERAK</t>
  </si>
  <si>
    <t>WILLIAM</t>
  </si>
  <si>
    <t>308-28</t>
  </si>
  <si>
    <t>104-28</t>
  </si>
  <si>
    <t>rtdc.l.rtdc.4040:itc</t>
  </si>
  <si>
    <t>109-28</t>
  </si>
  <si>
    <t>310-28</t>
  </si>
  <si>
    <t>YANAI</t>
  </si>
  <si>
    <t>IAN</t>
  </si>
  <si>
    <t>901-28</t>
  </si>
  <si>
    <t>111-28</t>
  </si>
  <si>
    <t>rtdc.l.rtdc.4034:itc</t>
  </si>
  <si>
    <t>113-28</t>
  </si>
  <si>
    <t>800-28</t>
  </si>
  <si>
    <t>108-28</t>
  </si>
  <si>
    <t>rtdc.l.rtdc.4049:itc</t>
  </si>
  <si>
    <t>312-28</t>
  </si>
  <si>
    <t>115-28</t>
  </si>
  <si>
    <t>801-28</t>
  </si>
  <si>
    <t>rtdc.l.rtdc.4050:itc</t>
  </si>
  <si>
    <t>117-28</t>
  </si>
  <si>
    <t>902-28</t>
  </si>
  <si>
    <t>114-28</t>
  </si>
  <si>
    <t>112-28</t>
  </si>
  <si>
    <t>802-28</t>
  </si>
  <si>
    <t>119-28</t>
  </si>
  <si>
    <t>121-28</t>
  </si>
  <si>
    <t>116-28</t>
  </si>
  <si>
    <t>123-28</t>
  </si>
  <si>
    <t>804-28</t>
  </si>
  <si>
    <t>118-28</t>
  </si>
  <si>
    <t>125-28</t>
  </si>
  <si>
    <t>127-28</t>
  </si>
  <si>
    <t>122-28</t>
  </si>
  <si>
    <t>806-28</t>
  </si>
  <si>
    <t>807-28</t>
  </si>
  <si>
    <t>60-28</t>
  </si>
  <si>
    <t>124-28</t>
  </si>
  <si>
    <t>131-28</t>
  </si>
  <si>
    <t>808-28</t>
  </si>
  <si>
    <t>809-28</t>
  </si>
  <si>
    <t>126-28</t>
  </si>
  <si>
    <t>128-28</t>
  </si>
  <si>
    <t>133-28</t>
  </si>
  <si>
    <t>135-28</t>
  </si>
  <si>
    <t>130-28</t>
  </si>
  <si>
    <t>137-28</t>
  </si>
  <si>
    <t>132-28</t>
  </si>
  <si>
    <t>812-28</t>
  </si>
  <si>
    <t>903-28</t>
  </si>
  <si>
    <t>139-28</t>
  </si>
  <si>
    <t>61-28</t>
  </si>
  <si>
    <t>141-28</t>
  </si>
  <si>
    <t>136-28</t>
  </si>
  <si>
    <t>143-28</t>
  </si>
  <si>
    <t>813-28</t>
  </si>
  <si>
    <t>145-28</t>
  </si>
  <si>
    <t>138-28</t>
  </si>
  <si>
    <t>147-28</t>
  </si>
  <si>
    <t>814-28</t>
  </si>
  <si>
    <t>149-28</t>
  </si>
  <si>
    <t>144-28</t>
  </si>
  <si>
    <t>151-28</t>
  </si>
  <si>
    <t>815-28</t>
  </si>
  <si>
    <t>153-28</t>
  </si>
  <si>
    <t>146-28</t>
  </si>
  <si>
    <t>155-28</t>
  </si>
  <si>
    <t>816-28</t>
  </si>
  <si>
    <t>157-28</t>
  </si>
  <si>
    <t>54-28</t>
  </si>
  <si>
    <t>152-28</t>
  </si>
  <si>
    <t>159-28</t>
  </si>
  <si>
    <t>817-28</t>
  </si>
  <si>
    <t>161-28</t>
  </si>
  <si>
    <t>BRUDER</t>
  </si>
  <si>
    <t>RICHARD</t>
  </si>
  <si>
    <t>55-28</t>
  </si>
  <si>
    <t>163-28</t>
  </si>
  <si>
    <t>165-28</t>
  </si>
  <si>
    <t>LEVIN</t>
  </si>
  <si>
    <t>SCOTT</t>
  </si>
  <si>
    <t>158-28</t>
  </si>
  <si>
    <t>160-28</t>
  </si>
  <si>
    <t>167-28</t>
  </si>
  <si>
    <t>819-28</t>
  </si>
  <si>
    <t>162-28</t>
  </si>
  <si>
    <t>169-28</t>
  </si>
  <si>
    <t>164-28</t>
  </si>
  <si>
    <t>171-28</t>
  </si>
  <si>
    <t>166-28</t>
  </si>
  <si>
    <t>ROBINSON</t>
  </si>
  <si>
    <t>KADDIBA</t>
  </si>
  <si>
    <t>62-28</t>
  </si>
  <si>
    <t>173-28</t>
  </si>
  <si>
    <t>168-28</t>
  </si>
  <si>
    <t>170-28</t>
  </si>
  <si>
    <t>175-28</t>
  </si>
  <si>
    <t>NEWELL</t>
  </si>
  <si>
    <t>177-28</t>
  </si>
  <si>
    <t>172-28</t>
  </si>
  <si>
    <t>822-28</t>
  </si>
  <si>
    <t>179-28</t>
  </si>
  <si>
    <t>174-28</t>
  </si>
  <si>
    <t>181-28</t>
  </si>
  <si>
    <t>176-28</t>
  </si>
  <si>
    <t>183-28</t>
  </si>
  <si>
    <t>823-28</t>
  </si>
  <si>
    <t>178-28</t>
  </si>
  <si>
    <t>185-28</t>
  </si>
  <si>
    <t>180-28</t>
  </si>
  <si>
    <t>187-28</t>
  </si>
  <si>
    <t>824-28</t>
  </si>
  <si>
    <t>184-28</t>
  </si>
  <si>
    <t>189-28</t>
  </si>
  <si>
    <t>191-28</t>
  </si>
  <si>
    <t>825-28</t>
  </si>
  <si>
    <t>193-28</t>
  </si>
  <si>
    <t>186-28</t>
  </si>
  <si>
    <t>188-28</t>
  </si>
  <si>
    <t>904-28</t>
  </si>
  <si>
    <t>195-28</t>
  </si>
  <si>
    <t>826-28</t>
  </si>
  <si>
    <t>197-28</t>
  </si>
  <si>
    <t>192-28</t>
  </si>
  <si>
    <t>199-28</t>
  </si>
  <si>
    <t>829-28</t>
  </si>
  <si>
    <t>828-28</t>
  </si>
  <si>
    <t>194-28</t>
  </si>
  <si>
    <t>201-28</t>
  </si>
  <si>
    <t>196-28</t>
  </si>
  <si>
    <t>198-28</t>
  </si>
  <si>
    <t>203-28</t>
  </si>
  <si>
    <t>830-28</t>
  </si>
  <si>
    <t>831-28</t>
  </si>
  <si>
    <t>205-28</t>
  </si>
  <si>
    <t>832-28</t>
  </si>
  <si>
    <t>200-28</t>
  </si>
  <si>
    <t>207-28</t>
  </si>
  <si>
    <t>202-28</t>
  </si>
  <si>
    <t>833-28</t>
  </si>
  <si>
    <t>209-28</t>
  </si>
  <si>
    <t>77-28</t>
  </si>
  <si>
    <t>211-28</t>
  </si>
  <si>
    <t>834-28</t>
  </si>
  <si>
    <t>835-28</t>
  </si>
  <si>
    <t>206-28</t>
  </si>
  <si>
    <t>213-28</t>
  </si>
  <si>
    <t>208-28</t>
  </si>
  <si>
    <t>76-28</t>
  </si>
  <si>
    <t>WEST</t>
  </si>
  <si>
    <t>BRYAN</t>
  </si>
  <si>
    <t>215-28</t>
  </si>
  <si>
    <t>836-28</t>
  </si>
  <si>
    <t>210-28</t>
  </si>
  <si>
    <t>837-28</t>
  </si>
  <si>
    <t>217-28</t>
  </si>
  <si>
    <t>212-28</t>
  </si>
  <si>
    <t>838-28</t>
  </si>
  <si>
    <t>219-28</t>
  </si>
  <si>
    <t>ANDERS</t>
  </si>
  <si>
    <t>STEVEN</t>
  </si>
  <si>
    <t>839-28</t>
  </si>
  <si>
    <t>214-28</t>
  </si>
  <si>
    <t>301-28</t>
  </si>
  <si>
    <t>216-28</t>
  </si>
  <si>
    <t>906-28</t>
  </si>
  <si>
    <t>841-28</t>
  </si>
  <si>
    <t>218-28</t>
  </si>
  <si>
    <t>303-28</t>
  </si>
  <si>
    <t>220-28</t>
  </si>
  <si>
    <t>223-28</t>
  </si>
  <si>
    <t>840-28</t>
  </si>
  <si>
    <t>305-28</t>
  </si>
  <si>
    <t>225-28</t>
  </si>
  <si>
    <t>843-28</t>
  </si>
  <si>
    <t>227-28</t>
  </si>
  <si>
    <t>ZEWDU</t>
  </si>
  <si>
    <t>DEREJE</t>
  </si>
  <si>
    <t>224-28</t>
  </si>
  <si>
    <t>842-28</t>
  </si>
  <si>
    <t>226-28</t>
  </si>
  <si>
    <t>229-28</t>
  </si>
  <si>
    <t>845-28</t>
  </si>
  <si>
    <t>231-28</t>
  </si>
  <si>
    <t>844-28</t>
  </si>
  <si>
    <t>228-28</t>
  </si>
  <si>
    <t>233-28</t>
  </si>
  <si>
    <t>230-28</t>
  </si>
  <si>
    <t>847-28</t>
  </si>
  <si>
    <t>232-28</t>
  </si>
  <si>
    <t>235-28</t>
  </si>
  <si>
    <t>234-28</t>
  </si>
  <si>
    <t>849-28</t>
  </si>
  <si>
    <t>236-28</t>
  </si>
  <si>
    <t>239-28</t>
  </si>
  <si>
    <t>908-28</t>
  </si>
  <si>
    <t>238-28</t>
  </si>
  <si>
    <t>243-28</t>
  </si>
  <si>
    <t>240-28</t>
  </si>
  <si>
    <t>313-28</t>
  </si>
  <si>
    <t>242-28</t>
  </si>
  <si>
    <t>244-28</t>
  </si>
  <si>
    <t>309-28</t>
  </si>
  <si>
    <t>rain</t>
  </si>
  <si>
    <t>partly-cloudy-day</t>
  </si>
  <si>
    <t>Partly Cloudy</t>
  </si>
  <si>
    <t>204:766</t>
  </si>
  <si>
    <t>204:233349</t>
  </si>
  <si>
    <t>204:233047</t>
  </si>
  <si>
    <t>204:145</t>
  </si>
  <si>
    <t>204:203</t>
  </si>
  <si>
    <t>204:478</t>
  </si>
  <si>
    <t>204:233259</t>
  </si>
  <si>
    <t>204:232957</t>
  </si>
  <si>
    <t>204:462</t>
  </si>
  <si>
    <t>204:232955</t>
  </si>
  <si>
    <t>204:232962</t>
  </si>
  <si>
    <t>204:435</t>
  </si>
  <si>
    <t>204:232978</t>
  </si>
  <si>
    <t>204:232892</t>
  </si>
  <si>
    <t>204:473</t>
  </si>
  <si>
    <t>204:232967</t>
  </si>
  <si>
    <t>204:233302</t>
  </si>
  <si>
    <t>204:172</t>
  </si>
  <si>
    <t>204:464</t>
  </si>
  <si>
    <t>204:138</t>
  </si>
  <si>
    <t>204:498</t>
  </si>
  <si>
    <t>204:6475</t>
  </si>
  <si>
    <t>204:19132</t>
  </si>
  <si>
    <t>204:232963</t>
  </si>
  <si>
    <t>204:1295</t>
  </si>
  <si>
    <t>204:233193</t>
  </si>
  <si>
    <t>204:232875</t>
  </si>
  <si>
    <t>204:216</t>
  </si>
  <si>
    <t>204:170</t>
  </si>
  <si>
    <t>204:466</t>
  </si>
  <si>
    <t>204:233307</t>
  </si>
  <si>
    <t>204:1164</t>
  </si>
  <si>
    <t>204:233317</t>
  </si>
  <si>
    <t>204:233216</t>
  </si>
  <si>
    <t>204:232909</t>
  </si>
  <si>
    <t>204:233270</t>
  </si>
  <si>
    <t>204:181236</t>
  </si>
  <si>
    <t>204:233304</t>
  </si>
  <si>
    <t>204:232942</t>
  </si>
  <si>
    <t>204:158</t>
  </si>
  <si>
    <t>204:232965</t>
  </si>
  <si>
    <t>204:200</t>
  </si>
  <si>
    <t>204:548</t>
  </si>
  <si>
    <t>204:233145</t>
  </si>
  <si>
    <t>204:232826</t>
  </si>
  <si>
    <t>204:233209</t>
  </si>
  <si>
    <t>204:232884</t>
  </si>
  <si>
    <t>204:493</t>
  </si>
  <si>
    <t>204:233249</t>
  </si>
  <si>
    <t>204:198</t>
  </si>
  <si>
    <t>204:178</t>
  </si>
  <si>
    <t>204:232913</t>
  </si>
  <si>
    <t>204:467</t>
  </si>
  <si>
    <t>204:233222</t>
  </si>
  <si>
    <t>204:233257</t>
  </si>
  <si>
    <t>204:233215</t>
  </si>
  <si>
    <t>204:233203</t>
  </si>
  <si>
    <t>204:232873</t>
  </si>
  <si>
    <t>204:233298</t>
  </si>
  <si>
    <t>204:232989</t>
  </si>
  <si>
    <t>204:232902</t>
  </si>
  <si>
    <t>204:344</t>
  </si>
  <si>
    <t>204:557</t>
  </si>
  <si>
    <t>204:258</t>
  </si>
  <si>
    <t>204:233205</t>
  </si>
  <si>
    <t>204:232882</t>
  </si>
  <si>
    <t>204:251</t>
  </si>
  <si>
    <t>204:233223</t>
  </si>
  <si>
    <t>204:183</t>
  </si>
  <si>
    <t>204:631</t>
  </si>
  <si>
    <t>204:243</t>
  </si>
  <si>
    <t>204:233207</t>
  </si>
  <si>
    <t>204:232888</t>
  </si>
  <si>
    <t>204:544</t>
  </si>
  <si>
    <t>204:233212</t>
  </si>
  <si>
    <t>204:233228</t>
  </si>
  <si>
    <t>204:233225</t>
  </si>
  <si>
    <t>204:232925</t>
  </si>
  <si>
    <t>204:566</t>
  </si>
  <si>
    <t>204:233208</t>
  </si>
  <si>
    <t>204:233247</t>
  </si>
  <si>
    <t>204:551</t>
  </si>
  <si>
    <t>204:520</t>
  </si>
  <si>
    <t>204:233185</t>
  </si>
  <si>
    <t>204:232921</t>
  </si>
  <si>
    <t>204:236</t>
  </si>
  <si>
    <t>204:575</t>
  </si>
  <si>
    <t>204:269</t>
  </si>
  <si>
    <t>204:232960</t>
  </si>
  <si>
    <t>204:232881</t>
  </si>
  <si>
    <t>204:539</t>
  </si>
  <si>
    <t>204:274</t>
  </si>
  <si>
    <t>204:233285</t>
  </si>
  <si>
    <t>204:233195</t>
  </si>
  <si>
    <t>300:23374</t>
  </si>
  <si>
    <t>204:517</t>
  </si>
  <si>
    <t>300:23304</t>
  </si>
  <si>
    <t>300:23481</t>
  </si>
  <si>
    <t>300:23299</t>
  </si>
  <si>
    <t>300:21668</t>
  </si>
  <si>
    <t>300:22322</t>
  </si>
  <si>
    <t>300:23728</t>
  </si>
  <si>
    <t>300:23535</t>
  </si>
  <si>
    <t>204:3469</t>
  </si>
  <si>
    <t>204:1162</t>
  </si>
  <si>
    <t>204:3134</t>
  </si>
  <si>
    <t>204:1169</t>
  </si>
  <si>
    <t>300:20430</t>
  </si>
  <si>
    <t>204:129</t>
  </si>
  <si>
    <t>204:413</t>
  </si>
  <si>
    <t>300:24220</t>
  </si>
  <si>
    <t>300:4929</t>
  </si>
  <si>
    <t>204:755</t>
  </si>
  <si>
    <t>204:1488</t>
  </si>
  <si>
    <t>300:5256</t>
  </si>
  <si>
    <t>204:958</t>
  </si>
  <si>
    <t>300:24281</t>
  </si>
  <si>
    <t>204:3201</t>
  </si>
  <si>
    <t>204:1207</t>
  </si>
  <si>
    <t>204:3542</t>
  </si>
  <si>
    <t>204:938</t>
  </si>
  <si>
    <t>300:58967</t>
  </si>
  <si>
    <t>300:23694</t>
  </si>
  <si>
    <t>204:645</t>
  </si>
  <si>
    <t>300:23485</t>
  </si>
  <si>
    <t>204:1532</t>
  </si>
  <si>
    <t>204:1235</t>
  </si>
  <si>
    <t>204:762</t>
  </si>
  <si>
    <t>204:1069</t>
  </si>
  <si>
    <t>300:58944</t>
  </si>
  <si>
    <t>300:58623</t>
  </si>
  <si>
    <t>204:748</t>
  </si>
  <si>
    <t>204:1133</t>
  </si>
  <si>
    <t>204:829</t>
  </si>
  <si>
    <t>204:1020</t>
  </si>
  <si>
    <t>204:3579</t>
  </si>
  <si>
    <t>204:3561</t>
  </si>
  <si>
    <t>204:4563</t>
  </si>
  <si>
    <t>204:913</t>
  </si>
  <si>
    <t>300:58965</t>
  </si>
  <si>
    <t>300:58638</t>
  </si>
  <si>
    <t>204:801</t>
  </si>
  <si>
    <t>300:58645</t>
  </si>
  <si>
    <t>204:1032</t>
  </si>
  <si>
    <t>204:4425</t>
  </si>
  <si>
    <t>204:1104</t>
  </si>
  <si>
    <t>300:58655</t>
  </si>
  <si>
    <t>204:843</t>
  </si>
  <si>
    <t>204:1114</t>
  </si>
  <si>
    <t>300:58971</t>
  </si>
  <si>
    <t>300:58656</t>
  </si>
  <si>
    <t>204:888</t>
  </si>
  <si>
    <t>204:1083</t>
  </si>
  <si>
    <t>300:58624</t>
  </si>
  <si>
    <t>204:4558</t>
  </si>
  <si>
    <t>204:1135</t>
  </si>
  <si>
    <t>300:58941</t>
  </si>
  <si>
    <t>204:838</t>
  </si>
  <si>
    <t>300:58617</t>
  </si>
  <si>
    <t>204:880</t>
  </si>
  <si>
    <t>204:1130</t>
  </si>
  <si>
    <t>204:789</t>
  </si>
  <si>
    <t>204:1076</t>
  </si>
  <si>
    <t>204:804</t>
  </si>
  <si>
    <t>204:1818</t>
  </si>
  <si>
    <t>300:58948</t>
  </si>
  <si>
    <t>204:1627</t>
  </si>
  <si>
    <t>204:1819</t>
  </si>
  <si>
    <t>204:146</t>
  </si>
  <si>
    <t>204:979</t>
  </si>
  <si>
    <t>300:58632</t>
  </si>
  <si>
    <t>204:128</t>
  </si>
  <si>
    <t>204:153</t>
  </si>
  <si>
    <t>300:58619</t>
  </si>
  <si>
    <t>204:142</t>
  </si>
  <si>
    <t>204:442</t>
  </si>
  <si>
    <t>204:439</t>
  </si>
  <si>
    <t>204:459</t>
  </si>
  <si>
    <t>300:58933</t>
  </si>
  <si>
    <t>204:4358</t>
  </si>
  <si>
    <t>204:976</t>
  </si>
  <si>
    <t>300:30188</t>
  </si>
  <si>
    <t>300:23798</t>
  </si>
  <si>
    <t>300:23436</t>
  </si>
  <si>
    <t>204:682</t>
  </si>
  <si>
    <t>300:28765</t>
  </si>
  <si>
    <t>start /low /b %USERPROFILE%\Documents\GitHub\eaglep3\Utilities\DownloadLogsFromS3.py --loco 4008 --day 2017-11-28</t>
  </si>
  <si>
    <t>start /low /b %USERPROFILE%\Documents\GitHub\eaglep3\Utilities\DownloadLogsFromS3.py --loco 4059 --day 2017-11-28</t>
  </si>
  <si>
    <t>start /low /b %USERPROFILE%\Documents\GitHub\eaglep3\Utilities\DownloadLogsFromS3.py --loco 4030 --day 2017-11-28</t>
  </si>
  <si>
    <t>start /low /b %USERPROFILE%\Documents\GitHub\eaglep3\Utilities\DownloadLogsFromS3.py --loco 4035 --day 2017-11-28</t>
  </si>
  <si>
    <t>start /low /b %USERPROFILE%\Documents\GitHub\eaglep3\Utilities\DownloadLogsFromS3.py --loco 4001 --day 2017-11-28</t>
  </si>
  <si>
    <t>start /low /b %USERPROFILE%\Documents\GitHub\eaglep3\Utilities\DownloadLogsFromS3.py --loco 4036 --day 2017-11-28</t>
  </si>
  <si>
    <t>start /low /b %USERPROFILE%\Documents\GitHub\eaglep3\Utilities\DownloadLogsFromS3.py --loco 4042 --day 2017-11-29</t>
  </si>
  <si>
    <t>start /low /b %USERPROFILE%\Documents\GitHub\eaglep3\Utilities\DownloadLogsFromS3.py --loco 4041 --day 2017-11-29</t>
  </si>
  <si>
    <t>start /low /b %USERPROFILE%\Documents\GitHub\eaglep3\Utilities\DownloadLogsFromS3.py --loco 4055 --day 2017-11-28</t>
  </si>
  <si>
    <t>start /low /b %USERPROFILE%\Documents\GitHub\eaglep3\Utilities\DownloadLogsFromS3.py --loco 4060 --day 2017-11-29</t>
  </si>
  <si>
    <t>start /low /b %USERPROFILE%\Documents\GitHub\eaglep3\Utilities\DownloadLogsFromS3.py --loco 4033 --day 2017-11-28</t>
  </si>
  <si>
    <t>start /low /b %USERPROFILE%\Documents\GitHub\eaglep3\Utilities\DownloadLogsFromS3.py --loco 4059 --day 2017-11-29</t>
  </si>
  <si>
    <t>start /low /b %USERPROFILE%\Documents\GitHub\eaglep3\Utilities\DownloadLogsFromS3.py --loco 4041 --day 2017-11-28</t>
  </si>
  <si>
    <t>start /low /b %USERPROFILE%\Documents\GitHub\eaglep3\Utilities\DownloadLogsFromS3.py --loco 4039 --day 2017-11-28</t>
  </si>
  <si>
    <t>start /low /b %USERPROFILE%\Documents\GitHub\eaglep3\Utilities\DownloadLogsFromS3.py --loco 4002 --day 2017-11-28</t>
  </si>
  <si>
    <t>start /low /b %USERPROFILE%\Documents\GitHub\eaglep3\Utilities\DownloadLogsFromS3.py --loco 4001 --day 2017-11-29</t>
  </si>
  <si>
    <t>204:242</t>
  </si>
  <si>
    <t>204:233204</t>
  </si>
  <si>
    <t>204:232874</t>
  </si>
  <si>
    <t>204:232879</t>
  </si>
  <si>
    <t>204:669</t>
  </si>
  <si>
    <t>Poor GPS @ DUS</t>
  </si>
  <si>
    <t>Poor GPS @ Wewatta</t>
  </si>
  <si>
    <t>Delayed by Poor GPS @ DUS</t>
  </si>
  <si>
    <t>Observed brief Wi-MAX data drop, caused brief red fence and unhealthy banner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</si>
</sst>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53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2" fillId="0" borderId="5" xfId="0" applyNumberFormat="1" applyFont="1" applyFill="1" applyBorder="1" applyAlignment="1">
      <alignment horizontal="center" vertical="center" wrapText="1"/>
    </xf>
    <xf numFmtId="169" fontId="12" fillId="0" borderId="5" xfId="0" applyFont="1" applyFill="1" applyBorder="1" applyAlignment="1">
      <alignment horizontal="center" vertical="center" wrapText="1"/>
    </xf>
    <xf numFmtId="1" fontId="12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/>
    <xf numFmtId="169" fontId="14" fillId="6" borderId="5" xfId="0" applyFont="1" applyFill="1" applyBorder="1" applyAlignment="1">
      <alignment horizontal="center" vertical="center" wrapText="1"/>
    </xf>
    <xf numFmtId="169" fontId="14" fillId="8" borderId="5" xfId="0" applyFont="1" applyFill="1" applyBorder="1" applyAlignment="1">
      <alignment horizontal="center" vertical="center" wrapText="1"/>
    </xf>
    <xf numFmtId="169" fontId="14" fillId="5" borderId="5" xfId="0" applyFon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15" fillId="9" borderId="0" xfId="0" applyFont="1" applyFill="1" applyBorder="1" applyAlignment="1">
      <alignment horizontal="center" vertical="center" wrapText="1"/>
    </xf>
    <xf numFmtId="169" fontId="15" fillId="0" borderId="0" xfId="0" applyFont="1" applyBorder="1" applyAlignment="1">
      <alignment horizontal="center" vertical="center" wrapText="1"/>
    </xf>
    <xf numFmtId="169" fontId="13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2" fillId="0" borderId="5" xfId="0" applyNumberFormat="1" applyFont="1" applyFill="1" applyBorder="1" applyAlignment="1">
      <alignment horizontal="center" vertical="center" wrapText="1"/>
    </xf>
    <xf numFmtId="169" fontId="16" fillId="6" borderId="0" xfId="0" applyFont="1" applyFill="1"/>
    <xf numFmtId="169" fontId="17" fillId="0" borderId="0" xfId="0" applyFont="1" applyFill="1"/>
    <xf numFmtId="169" fontId="17" fillId="0" borderId="0" xfId="0" applyFont="1" applyFill="1" applyAlignment="1">
      <alignment horizontal="center" vertical="center"/>
    </xf>
    <xf numFmtId="169" fontId="18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2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5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3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1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0" applyNumberFormat="1" applyFill="1" applyAlignment="1">
      <alignment horizontal="left" wrapText="1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9" fillId="8" borderId="0" xfId="0" applyNumberFormat="1" applyFont="1" applyFill="1" applyBorder="1" applyAlignment="1">
      <alignment horizontal="center" vertical="center" wrapText="1"/>
    </xf>
    <xf numFmtId="0" fontId="9" fillId="8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9" fontId="0" fillId="0" borderId="0" xfId="2" applyNumberFormat="1" applyFont="1"/>
    <xf numFmtId="9" fontId="1" fillId="0" borderId="5" xfId="2" applyNumberFormat="1" applyFont="1" applyBorder="1" applyAlignment="1">
      <alignment horizontal="center" vertical="center" wrapText="1"/>
    </xf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0" fillId="0" borderId="0" xfId="0" applyNumberFormat="1" applyBorder="1"/>
    <xf numFmtId="0" fontId="0" fillId="0" borderId="5" xfId="0" applyNumberFormat="1" applyBorder="1" applyAlignment="1">
      <alignment horizontal="left"/>
    </xf>
    <xf numFmtId="169" fontId="0" fillId="0" borderId="0" xfId="0"/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5" xfId="0" applyNumberFormat="1" applyFill="1" applyBorder="1" applyAlignment="1">
      <alignment horizontal="left"/>
    </xf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22" fontId="0" fillId="0" borderId="5" xfId="0" applyNumberFormat="1" applyFill="1" applyBorder="1" applyAlignment="1">
      <alignment horizontal="left"/>
    </xf>
    <xf numFmtId="169" fontId="0" fillId="0" borderId="0" xfId="0" applyNumberFormat="1"/>
    <xf numFmtId="169" fontId="9" fillId="0" borderId="0" xfId="0" applyFont="1" applyFill="1"/>
    <xf numFmtId="170" fontId="9" fillId="0" borderId="0" xfId="0" applyNumberFormat="1" applyFont="1" applyFill="1" applyBorder="1" applyAlignment="1">
      <alignment horizontal="left"/>
    </xf>
    <xf numFmtId="1" fontId="9" fillId="0" borderId="0" xfId="0" applyNumberFormat="1" applyFont="1" applyFill="1" applyBorder="1" applyAlignment="1">
      <alignment horizontal="left"/>
    </xf>
    <xf numFmtId="169" fontId="9" fillId="5" borderId="0" xfId="0" applyFont="1" applyFill="1"/>
    <xf numFmtId="169" fontId="9" fillId="6" borderId="0" xfId="0" applyFont="1" applyFill="1"/>
    <xf numFmtId="169" fontId="9" fillId="7" borderId="0" xfId="0" applyFont="1" applyFill="1"/>
    <xf numFmtId="169" fontId="0" fillId="0" borderId="17" xfId="0" applyFill="1" applyBorder="1" applyAlignment="1">
      <alignment horizontal="left"/>
    </xf>
    <xf numFmtId="169" fontId="9" fillId="9" borderId="0" xfId="0" applyFont="1" applyFill="1"/>
    <xf numFmtId="169" fontId="0" fillId="0" borderId="5" xfId="0" applyFill="1" applyBorder="1" applyAlignment="1">
      <alignment vertical="center"/>
    </xf>
    <xf numFmtId="169" fontId="6" fillId="0" borderId="0" xfId="0" applyFont="1"/>
    <xf numFmtId="169" fontId="9" fillId="0" borderId="0" xfId="0" applyFont="1"/>
    <xf numFmtId="169" fontId="0" fillId="0" borderId="5" xfId="0" applyNumberFormat="1" applyFill="1" applyBorder="1"/>
    <xf numFmtId="1" fontId="9" fillId="0" borderId="0" xfId="0" applyNumberFormat="1" applyFont="1" applyFill="1"/>
    <xf numFmtId="169" fontId="0" fillId="0" borderId="0" xfId="0" applyNumberFormat="1" applyFill="1"/>
    <xf numFmtId="169" fontId="0" fillId="0" borderId="5" xfId="0" applyNumberFormat="1" applyFill="1" applyBorder="1" applyAlignment="1">
      <alignment horizontal="left"/>
    </xf>
    <xf numFmtId="0" fontId="0" fillId="0" borderId="5" xfId="0" applyNumberFormat="1" applyFill="1" applyBorder="1"/>
    <xf numFmtId="0" fontId="9" fillId="0" borderId="0" xfId="0" applyNumberFormat="1" applyFont="1" applyFill="1" applyBorder="1"/>
    <xf numFmtId="0" fontId="9" fillId="8" borderId="0" xfId="0" applyNumberFormat="1" applyFont="1" applyFill="1" applyBorder="1"/>
    <xf numFmtId="9" fontId="0" fillId="0" borderId="5" xfId="2" applyNumberFormat="1" applyFon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499"/>
  <sheetViews>
    <sheetView tabSelected="1" zoomScaleNormal="100" workbookViewId="0"/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168" customWidth="1"/>
    <col min="13" max="13" width="7.42578125" style="35" customWidth="1"/>
    <col min="14" max="14" width="3" style="36" customWidth="1"/>
    <col min="15" max="15" width="3" style="2" customWidth="1"/>
    <col min="16" max="16" width="2.85546875" style="2" customWidth="1"/>
    <col min="17" max="17" width="3.7109375" hidden="1" customWidth="1"/>
    <col min="18" max="18" width="28.42578125" style="160" customWidth="1"/>
    <col min="19" max="19" width="6" style="218" customWidth="1"/>
    <col min="20" max="20" width="3.85546875" style="167" customWidth="1"/>
    <col min="21" max="21" width="5" style="195" customWidth="1"/>
    <col min="22" max="22" width="5.7109375" style="216" customWidth="1"/>
    <col min="23" max="23" width="3.85546875" style="201" customWidth="1"/>
    <col min="24" max="24" width="6.5703125" style="201" customWidth="1"/>
    <col min="25" max="25" width="8.85546875" style="201" customWidth="1"/>
    <col min="26" max="26" width="7.28515625" style="201" customWidth="1"/>
    <col min="27" max="27" width="9.140625" style="201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67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1"/>
    <col min="41" max="41" width="3.7109375" style="167" customWidth="1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68"/>
      <c r="M1" s="35"/>
      <c r="N1" s="36"/>
      <c r="O1" s="2"/>
      <c r="P1" s="2"/>
      <c r="R1" s="159" t="s">
        <v>103</v>
      </c>
      <c r="S1" s="123"/>
      <c r="T1" s="168"/>
      <c r="U1" s="191"/>
      <c r="V1" s="207"/>
      <c r="W1" s="191"/>
      <c r="X1" s="195"/>
      <c r="Y1" s="201"/>
      <c r="Z1" s="201"/>
      <c r="AA1" s="201"/>
      <c r="AB1" s="52"/>
      <c r="AC1" s="49"/>
      <c r="AD1" s="2"/>
      <c r="AE1" s="1"/>
      <c r="AF1" s="1"/>
      <c r="AG1" s="181"/>
      <c r="AH1" s="47"/>
      <c r="AI1" s="1"/>
      <c r="AM1" s="141"/>
      <c r="AO1" s="167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43067</v>
      </c>
      <c r="J2" s="58"/>
      <c r="K2" s="59"/>
      <c r="L2" s="169"/>
      <c r="M2" s="60" t="s">
        <v>8</v>
      </c>
      <c r="N2" s="61"/>
      <c r="O2" s="62"/>
      <c r="P2" s="2"/>
      <c r="R2" s="57">
        <f>Variables!$A$2</f>
        <v>43067</v>
      </c>
      <c r="S2" s="204"/>
      <c r="T2" s="169"/>
      <c r="U2" s="192"/>
      <c r="V2" s="208" t="s">
        <v>8</v>
      </c>
      <c r="W2" s="209"/>
      <c r="X2" s="198"/>
      <c r="Y2" s="201"/>
      <c r="Z2" s="201"/>
      <c r="AA2" s="201"/>
      <c r="AB2" s="52"/>
      <c r="AC2" s="49"/>
      <c r="AD2" s="2"/>
      <c r="AE2" s="1"/>
      <c r="AF2" s="1"/>
      <c r="AG2" s="181"/>
      <c r="AH2" s="47"/>
      <c r="AI2" s="1"/>
      <c r="AM2" s="141"/>
      <c r="AO2" s="167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70"/>
      <c r="M3" s="37" t="s">
        <v>11</v>
      </c>
      <c r="N3" s="38" t="s">
        <v>12</v>
      </c>
      <c r="O3" s="3" t="s">
        <v>13</v>
      </c>
      <c r="P3" s="2"/>
      <c r="R3" s="161" t="s">
        <v>10</v>
      </c>
      <c r="S3" s="205"/>
      <c r="T3" s="170"/>
      <c r="U3" s="193"/>
      <c r="V3" s="210" t="s">
        <v>11</v>
      </c>
      <c r="W3" s="211" t="s">
        <v>12</v>
      </c>
      <c r="X3" s="199" t="s">
        <v>13</v>
      </c>
      <c r="Y3" s="201"/>
      <c r="Z3" s="201"/>
      <c r="AA3" s="201"/>
      <c r="AB3" s="52"/>
      <c r="AC3" s="49"/>
      <c r="AD3" s="2"/>
      <c r="AE3" s="1"/>
      <c r="AF3" s="1"/>
      <c r="AG3" s="181"/>
      <c r="AH3" s="47"/>
      <c r="AI3" s="1"/>
      <c r="AM3" s="141"/>
      <c r="AO3" s="167"/>
    </row>
    <row r="4" spans="1:91" s="20" customFormat="1" ht="15.75" thickBot="1" x14ac:dyDescent="0.3">
      <c r="A4" s="34"/>
      <c r="B4" s="36"/>
      <c r="C4" s="27"/>
      <c r="D4" s="27"/>
      <c r="E4" s="33"/>
      <c r="F4" s="159"/>
      <c r="G4" s="36"/>
      <c r="H4" s="33"/>
      <c r="I4" s="66" t="s">
        <v>14</v>
      </c>
      <c r="J4" s="48">
        <f>SUM(J5:J7)</f>
        <v>144</v>
      </c>
      <c r="K4" s="39"/>
      <c r="L4" s="171"/>
      <c r="M4" s="40" t="s">
        <v>15</v>
      </c>
      <c r="N4" s="38" t="s">
        <v>15</v>
      </c>
      <c r="O4" s="3" t="s">
        <v>15</v>
      </c>
      <c r="P4" s="2"/>
      <c r="R4" s="162" t="s">
        <v>14</v>
      </c>
      <c r="S4" s="206">
        <f>SUM(S5:S7)</f>
        <v>49</v>
      </c>
      <c r="T4" s="171"/>
      <c r="U4" s="194"/>
      <c r="V4" s="210" t="s">
        <v>15</v>
      </c>
      <c r="W4" s="211" t="s">
        <v>15</v>
      </c>
      <c r="X4" s="199" t="s">
        <v>15</v>
      </c>
      <c r="Y4" s="201"/>
      <c r="Z4" s="201"/>
      <c r="AA4" s="201"/>
      <c r="AB4" s="52"/>
      <c r="AC4" s="49"/>
      <c r="AD4" s="2"/>
      <c r="AE4" s="1"/>
      <c r="AF4" s="1"/>
      <c r="AG4" s="181"/>
      <c r="AH4" s="47"/>
      <c r="AI4" s="1"/>
      <c r="AM4" s="141"/>
      <c r="AO4" s="167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COUNTIFS($N$13:$N$9542,"&gt;0",$AG$13:$AG$9542,I1)</f>
        <v>142</v>
      </c>
      <c r="K5" s="39"/>
      <c r="L5" s="171"/>
      <c r="M5" s="40">
        <f>AVERAGEIFS($N$13:$N$9542,$AG$13:$AG$9542,I1)</f>
        <v>37.10352112724393</v>
      </c>
      <c r="N5" s="38">
        <f t="array" ref="N5">MIN(IF($AG$13:$AG$9542=I1,IF(ISNUMBER($N$13:$N$9542),IF($N$13:$N$9542&gt;0,$N$13:$N$9542))))</f>
        <v>33.950000004842877</v>
      </c>
      <c r="O5" s="3">
        <f t="array" ref="O5">MAX(IF($AG$13:$AG$9542=I1,IF(ISNUMBER($N$13:$N$9542),IF($N$13:$N$9542&gt;0,$N$13:$N$9542))))</f>
        <v>44.216666672145948</v>
      </c>
      <c r="P5" s="2"/>
      <c r="R5" s="162" t="s">
        <v>17</v>
      </c>
      <c r="S5" s="206">
        <f>COUNTIFS($N$13:$N$9542,"&gt;0",$AG$13:$AG$9542,R1)</f>
        <v>48</v>
      </c>
      <c r="T5" s="171"/>
      <c r="U5" s="194"/>
      <c r="V5" s="210">
        <f>AVERAGEIFS($N$13:$N$9542,$AG$13:$AG$9542,R1)</f>
        <v>13.638194443919929</v>
      </c>
      <c r="W5" s="211">
        <f t="array" ref="W5">MIN(IF($AG$13:$AG$9542=R1,IF(ISNUMBER($N$13:$N$9542),IF($N$13:$N$9542&gt;0,$N$13:$N$9542))))</f>
        <v>10.38333332980983</v>
      </c>
      <c r="X5" s="199">
        <f t="array" ref="X5">MAX(IF($AG$13:$AG$9542=R1,IF(ISNUMBER($N$13:$N$9542),IF($N$13:$N$9542&gt;0,$N$13:$N$9542))))</f>
        <v>19.083333341404796</v>
      </c>
      <c r="Y5" s="201"/>
      <c r="Z5" s="201"/>
      <c r="AA5" s="201"/>
      <c r="AB5" s="52"/>
      <c r="AC5" s="49"/>
      <c r="AD5" s="2"/>
      <c r="AE5" s="1"/>
      <c r="AF5" s="1"/>
      <c r="AG5" s="181"/>
      <c r="AH5" s="47"/>
      <c r="AI5" s="1"/>
      <c r="AM5" s="141"/>
      <c r="AO5" s="167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COUNT($O$13:$O$300)</f>
        <v>0</v>
      </c>
      <c r="K6" s="39"/>
      <c r="L6" s="171"/>
      <c r="M6" s="40">
        <f>IFERROR(AVERAGE($O$13:$O$300),0)</f>
        <v>0</v>
      </c>
      <c r="N6" s="38">
        <f>MIN($O$13:$O$300)</f>
        <v>0</v>
      </c>
      <c r="O6" s="3">
        <f>MAX($O$13:$O$300)</f>
        <v>0</v>
      </c>
      <c r="P6" s="2"/>
      <c r="R6" s="163" t="s">
        <v>43</v>
      </c>
      <c r="S6" s="206">
        <f>COUNT($O$13:$O$300)</f>
        <v>0</v>
      </c>
      <c r="T6" s="171"/>
      <c r="U6" s="194"/>
      <c r="V6" s="210">
        <f>IFERROR(AVERAGE($O$13:$O$300),0)</f>
        <v>0</v>
      </c>
      <c r="W6" s="211">
        <f>MIN($O$13:$O$300)</f>
        <v>0</v>
      </c>
      <c r="X6" s="199">
        <f>MAX($O$13:$O$300)</f>
        <v>0</v>
      </c>
      <c r="Y6" s="201"/>
      <c r="Z6" s="201"/>
      <c r="AA6" s="201"/>
      <c r="AB6" s="52"/>
      <c r="AC6" s="49"/>
      <c r="AD6" s="2"/>
      <c r="AE6" s="1"/>
      <c r="AF6" s="1"/>
      <c r="AG6" s="181"/>
      <c r="AH6" s="47"/>
      <c r="AI6" s="1"/>
      <c r="AM6" s="141"/>
      <c r="AO6" s="167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COUNTIFS($P$13:$P$9542,"&gt;0",$AG$13:$AG$9542,I1)</f>
        <v>2</v>
      </c>
      <c r="K7" s="39"/>
      <c r="L7" s="171"/>
      <c r="M7" s="38" t="s">
        <v>15</v>
      </c>
      <c r="N7" s="38" t="s">
        <v>15</v>
      </c>
      <c r="O7" s="3" t="s">
        <v>15</v>
      </c>
      <c r="P7" s="2"/>
      <c r="R7" s="164" t="s">
        <v>9</v>
      </c>
      <c r="S7" s="206">
        <f>COUNTIFS($P$13:$P$9542,"&gt;0",$AG$13:$AG$9542,R1)</f>
        <v>1</v>
      </c>
      <c r="T7" s="171"/>
      <c r="U7" s="194"/>
      <c r="V7" s="210" t="s">
        <v>15</v>
      </c>
      <c r="W7" s="211" t="s">
        <v>15</v>
      </c>
      <c r="X7" s="199" t="s">
        <v>15</v>
      </c>
      <c r="Y7" s="201"/>
      <c r="Z7" s="201"/>
      <c r="AA7" s="201"/>
      <c r="AB7" s="52"/>
      <c r="AC7" s="49"/>
      <c r="AD7" s="2"/>
      <c r="AE7" s="1"/>
      <c r="AF7" s="1"/>
      <c r="AG7" s="181"/>
      <c r="AH7" s="47"/>
      <c r="AI7" s="1"/>
      <c r="AM7" s="141"/>
      <c r="AO7" s="167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142</v>
      </c>
      <c r="K8" s="39"/>
      <c r="L8" s="171"/>
      <c r="M8" s="40">
        <f>M5</f>
        <v>37.10352112724393</v>
      </c>
      <c r="N8" s="38">
        <f>N5</f>
        <v>33.950000004842877</v>
      </c>
      <c r="O8" s="3">
        <f>O5</f>
        <v>44.216666672145948</v>
      </c>
      <c r="P8" s="2"/>
      <c r="R8" s="162" t="s">
        <v>16</v>
      </c>
      <c r="S8" s="206">
        <f>S5</f>
        <v>48</v>
      </c>
      <c r="T8" s="171"/>
      <c r="U8" s="194"/>
      <c r="V8" s="210">
        <f>V5</f>
        <v>13.638194443919929</v>
      </c>
      <c r="W8" s="211">
        <f>W5</f>
        <v>10.38333332980983</v>
      </c>
      <c r="X8" s="199">
        <f>X5</f>
        <v>19.083333341404796</v>
      </c>
      <c r="Y8" s="201"/>
      <c r="Z8" s="201"/>
      <c r="AA8" s="201"/>
      <c r="AB8" s="52"/>
      <c r="AC8" s="49"/>
      <c r="AD8" s="2"/>
      <c r="AE8" s="1"/>
      <c r="AF8" s="1"/>
      <c r="AG8" s="181"/>
      <c r="AH8" s="47"/>
      <c r="AI8" s="1"/>
      <c r="AM8" s="141"/>
      <c r="AO8" s="167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0.98611111111111116</v>
      </c>
      <c r="K9" s="41"/>
      <c r="L9" s="168"/>
      <c r="M9" s="69"/>
      <c r="N9" s="36"/>
      <c r="O9" s="70"/>
      <c r="P9" s="2"/>
      <c r="R9" s="162" t="s">
        <v>19</v>
      </c>
      <c r="S9" s="123">
        <f>S8/S4</f>
        <v>0.97959183673469385</v>
      </c>
      <c r="T9" s="168"/>
      <c r="U9" s="191"/>
      <c r="V9" s="212"/>
      <c r="W9" s="191"/>
      <c r="X9" s="200"/>
      <c r="Y9" s="201"/>
      <c r="Z9" s="201"/>
      <c r="AA9" s="201"/>
      <c r="AB9" s="52"/>
      <c r="AC9" s="49"/>
      <c r="AD9" s="2"/>
      <c r="AE9" s="1"/>
      <c r="AF9" s="1"/>
      <c r="AG9" s="181"/>
      <c r="AH9" s="47"/>
      <c r="AI9" s="1"/>
      <c r="AM9" s="141"/>
      <c r="AO9" s="167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8"/>
      <c r="M10" s="35"/>
      <c r="N10" s="36"/>
      <c r="O10" s="2"/>
      <c r="P10" s="2"/>
      <c r="R10" s="160"/>
      <c r="S10" s="218"/>
      <c r="T10" s="167"/>
      <c r="U10" s="195"/>
      <c r="V10" s="213"/>
      <c r="W10" s="201"/>
      <c r="X10" s="201"/>
      <c r="Y10" s="201"/>
      <c r="Z10" s="201"/>
      <c r="AA10" s="201"/>
      <c r="AB10" s="52"/>
      <c r="AC10" s="49"/>
      <c r="AD10" s="2"/>
      <c r="AE10" s="1"/>
      <c r="AF10" s="1"/>
      <c r="AG10" s="181"/>
      <c r="AH10" s="47"/>
      <c r="AI10" s="1"/>
      <c r="AM10" s="141"/>
      <c r="AO10" s="167"/>
    </row>
    <row r="11" spans="1:91" ht="16.5" thickBot="1" x14ac:dyDescent="0.3">
      <c r="A11" s="251" t="str">
        <f>"Eagle P3 System Performance - "&amp;TEXT(Variables!A2,"yyyy-mm-dd")</f>
        <v>Eagle P3 System Performance - 2017-11-28</v>
      </c>
      <c r="B11" s="251"/>
      <c r="C11" s="251"/>
      <c r="D11" s="251"/>
      <c r="E11" s="251"/>
      <c r="F11" s="251"/>
      <c r="G11" s="251"/>
      <c r="H11" s="251"/>
      <c r="I11" s="251"/>
      <c r="J11" s="251"/>
      <c r="K11" s="251"/>
      <c r="L11" s="251"/>
      <c r="M11" s="251"/>
      <c r="N11" s="251"/>
      <c r="O11" s="251"/>
      <c r="P11" s="251"/>
      <c r="S11" s="218">
        <f>AVERAGE(S13:S127)</f>
        <v>1</v>
      </c>
      <c r="V11" s="213"/>
      <c r="AE11" s="1"/>
      <c r="AF11" s="1"/>
      <c r="AG11" s="181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83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5" t="s">
        <v>24</v>
      </c>
      <c r="S12" s="219" t="s">
        <v>63</v>
      </c>
      <c r="T12" s="172" t="s">
        <v>64</v>
      </c>
      <c r="U12" s="196" t="s">
        <v>65</v>
      </c>
      <c r="V12" s="214" t="s">
        <v>45</v>
      </c>
      <c r="W12" s="202" t="s">
        <v>23</v>
      </c>
      <c r="X12" s="202" t="s">
        <v>48</v>
      </c>
      <c r="Y12" s="202" t="s">
        <v>20</v>
      </c>
      <c r="Z12" s="202" t="s">
        <v>21</v>
      </c>
      <c r="AA12" s="202" t="s">
        <v>22</v>
      </c>
      <c r="AB12" s="53" t="s">
        <v>39</v>
      </c>
      <c r="AC12" s="50" t="s">
        <v>40</v>
      </c>
      <c r="AD12" s="177" t="s">
        <v>82</v>
      </c>
      <c r="AE12" s="76" t="s">
        <v>89</v>
      </c>
      <c r="AF12" s="73" t="s">
        <v>93</v>
      </c>
      <c r="AG12" s="176" t="s">
        <v>104</v>
      </c>
      <c r="AH12" s="79" t="s">
        <v>106</v>
      </c>
      <c r="AI12" s="95" t="s">
        <v>141</v>
      </c>
      <c r="AJ12" s="46" t="s">
        <v>142</v>
      </c>
      <c r="AK12" s="46" t="s">
        <v>115</v>
      </c>
      <c r="AL12" s="46" t="s">
        <v>143</v>
      </c>
      <c r="AM12" s="142" t="s">
        <v>187</v>
      </c>
      <c r="AN12" s="46" t="s">
        <v>329</v>
      </c>
      <c r="AO12" s="176" t="s">
        <v>351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671</v>
      </c>
      <c r="B13" s="7">
        <v>4058</v>
      </c>
      <c r="C13" s="21" t="s">
        <v>192</v>
      </c>
      <c r="D13" s="21" t="s">
        <v>889</v>
      </c>
      <c r="E13" s="13">
        <v>43067.129780092589</v>
      </c>
      <c r="F13" s="13">
        <v>43067.135752314818</v>
      </c>
      <c r="G13" s="7">
        <v>64</v>
      </c>
      <c r="H13" s="21" t="s">
        <v>890</v>
      </c>
      <c r="I13" s="13">
        <v>43067.160243055558</v>
      </c>
      <c r="J13" s="7">
        <v>0</v>
      </c>
      <c r="K13" s="89" t="str">
        <f t="shared" ref="K13:K76" si="0">IF(ISEVEN(B13),(B13-1)&amp;"/"&amp;B13,B13&amp;"/"&amp;(B13+1))</f>
        <v>4057/4058</v>
      </c>
      <c r="L13" s="184" t="str">
        <f>VLOOKUP(A13,'Trips&amp;Operators'!$C$1:$G$99911,5,FALSE)</f>
        <v>ROCHA YAOTL</v>
      </c>
      <c r="M13" s="6">
        <f t="shared" ref="M13:M76" si="1">I13-F13</f>
        <v>2.4490740739565808E-2</v>
      </c>
      <c r="N13" s="7">
        <f t="shared" ref="N13:N21" si="2">24*60*SUM($M13:$M13)</f>
        <v>35.266666664974764</v>
      </c>
      <c r="O13" s="7"/>
      <c r="P13" s="7"/>
      <c r="Q13" s="22"/>
      <c r="R13" s="166"/>
      <c r="S13" s="250">
        <f t="shared" ref="S13:S40" si="3">1/IF(AG13="EC",12,1)*SUM(U13:U13)</f>
        <v>1</v>
      </c>
      <c r="T13" s="173" t="str">
        <f t="shared" ref="T13:T76" si="4">IF(ISEVEN(LEFT(AD13,4)),"Southbound","NorthBound")</f>
        <v>NorthBound</v>
      </c>
      <c r="U13" s="197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15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-11-28T02:06:53-0700',mode:absolute,to:'2017-11-28T04:50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3" s="203" t="str">
        <f>IF(AA13&lt;VLOOKUP(AG13,Variables!$AC$3:$AD$8,2,FALSE),"Y","N")</f>
        <v>N</v>
      </c>
      <c r="X13" s="203" t="e">
        <f t="shared" ref="X13:X44" si="6">VALUE(LEFT(AD13,4))-VALUE(LEFT(AD12,4))</f>
        <v>#VALUE!</v>
      </c>
      <c r="Y13" s="203">
        <f t="shared" ref="Y13:Y37" si="7">RIGHT(D13,LEN(D13)-4)/10000</f>
        <v>7.6600000000000001E-2</v>
      </c>
      <c r="Z13" s="203">
        <f t="shared" ref="Z13:Z37" si="8">RIGHT(H13,LEN(H13)-4)/10000</f>
        <v>23.334900000000001</v>
      </c>
      <c r="AA13" s="203">
        <f t="shared" ref="AA13:AA76" si="9">ABS(Z13-Y13)</f>
        <v>23.258300000000002</v>
      </c>
      <c r="AB13" s="54" t="e">
        <f>VLOOKUP(A13,Enforcements!$C$7:$K$9,8,0)</f>
        <v>#N/A</v>
      </c>
      <c r="AC13" s="51" t="e">
        <f>VLOOKUP(A13,Enforcements!$C$7:$E$9,3,0)</f>
        <v>#N/A</v>
      </c>
      <c r="AD13" s="178">
        <f t="shared" ref="AD13:AD76" si="10">VALUE(LEFT(A13,LEN(A13)-3))</f>
        <v>101</v>
      </c>
      <c r="AE13" s="77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s3://rtdc.mdm.uploadarchive.raw/RTDC4058/ "%USERPROFILE%\AppData\Local\Temp\OnboardLogs"\RTDC4058\2017-11-28 --exclude "*" --recursive --include "*20171128*" &amp; "%USERPROFILE%\Documents\GitHub\mrs-test-scripts\Headless Mode &amp; Sideloading\WalkAndUnGZ.bat" "%USERPROFILE%\AppData\Local\Temp\OnboardLogs"\RTDC4058\2017-11-28 &amp; aws s3 cp s3://rtdc.mdm.uploadarchive.raw/RTDC4058/ "%USERPROFILE%\AppData\Local\Temp\OnboardLogs"\RTDC4058\2017-11-29 --exclude "*" --recursive --include "*20171129*" &amp; "%USERPROFILE%\Documents\GitHub\mrs-test-scripts\Headless Mode &amp; Sideloading\WalkAndUnGZ.bat" "%USERPROFILE%\AppData\Local\Temp\OnboardLogs"\RTDC4058\2017-11-29</v>
      </c>
      <c r="AF13" s="74" t="str">
        <f t="shared" ref="AF13:AF76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/stypes="app*4058*20171128*" /stext=" 10:.+((SYSTEM_STATE.+slice.+state.+changed )|(ment ac)|(multiple cpu faults)|(system.+state.+changed )|(\[timeout)|(PRM\|1\|D)|(kpr)|(kdp)|(train st.+moving)|(\|lc)|(penalty))"</v>
      </c>
      <c r="AG13" s="181" t="str">
        <f t="shared" ref="AG13:AG76" si="13">DetSubdiv(A13)</f>
        <v>EC</v>
      </c>
      <c r="AH13" s="78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101-28 --locoid 4058 --swversion DE.1.0.9.0 --startMP 204:766 --initTime 2017-11-28T03:06:53 --startdatetime 2017-11-28T03:15:29 --delay 64 --endMP 204:233349 --enddatetime 2017-11-28T03:50:45 --enforcementcount 0 &gt;&gt;%USERPROFILE%\Documents\GitHub\eaglep3-reporting\EC\2017-11-28-refined-times.txt</v>
      </c>
      <c r="AI13" s="96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{"issue":{"subject":"","project_id":79,"tracker_id":40,"status_id":1,"priority_id":2,"assigned_to_id":338,"start_date":"2017-11-28","description":"","custom_fields":[{"id":1,"name":"Subdivision","value":"EC"},{"id":4,"name":"Milepost","value":"23.3349"},{"id":17,"name":"Train ID","value":"101-28"},{"id":16,"name":"Locomotive ID","value":"4058"},{"id":130,"name":"Impact","value":""},{"id":150,"name":"Time of Event (Mountain Time)","value":"03:50:45"},{"id":151,"name":"Denver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" s="20"/>
      <c r="AK13" s="47"/>
      <c r="AL13" s="47"/>
      <c r="AM13" s="141" t="str">
        <f t="shared" ref="AM13" si="16">"start /low /b "&amp;dls3logs&amp;" --loco "&amp;B13&amp;" --day "&amp;TEXT(F13,"YYYY-MM-DD")</f>
        <v>start /low /b %USERPROFILE%\Documents\GitHub\eaglep3\Utilities\DownloadLogsFromS3.py --loco 4058 --day 2017-11-28</v>
      </c>
      <c r="AN13" s="150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10:50:45"},{"id":29,"name":"Sharepoint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7" t="str">
        <f t="shared" ref="AO13" si="18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-11-28T02:06:53-0700',mode:absolute,to:'2017-11-28T04:50:45-0700'))&amp;_a=(columns:!('Message%20ID',Summary),filters:!(),index:'emp_*',interval:auto,query:(query_string:(analyze_wildcard:!t,query:'%22rtdc.l.rtdc.4058%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230" t="s">
        <v>681</v>
      </c>
      <c r="B14" s="226">
        <v>4057</v>
      </c>
      <c r="C14" s="228" t="s">
        <v>192</v>
      </c>
      <c r="D14" s="228" t="s">
        <v>891</v>
      </c>
      <c r="E14" s="227">
        <v>43067.174016203702</v>
      </c>
      <c r="F14" s="227">
        <v>43067.175532407404</v>
      </c>
      <c r="G14" s="226">
        <v>60</v>
      </c>
      <c r="H14" s="228" t="s">
        <v>892</v>
      </c>
      <c r="I14" s="227">
        <v>43067.201307870368</v>
      </c>
      <c r="J14" s="226">
        <v>0</v>
      </c>
      <c r="K14" s="238" t="str">
        <f t="shared" si="0"/>
        <v>4057/4058</v>
      </c>
      <c r="L14" s="246" t="str">
        <f>VLOOKUP(A14,'Trips&amp;Operators'!$C$1:$G$99911,5,FALSE)</f>
        <v>ROCHA YAOTL</v>
      </c>
      <c r="M14" s="225">
        <f t="shared" si="1"/>
        <v>2.5775462963792961E-2</v>
      </c>
      <c r="N14" s="226">
        <f t="shared" si="2"/>
        <v>37.116666667861864</v>
      </c>
      <c r="O14" s="226"/>
      <c r="P14" s="226"/>
      <c r="Q14" s="229"/>
      <c r="R14" s="243"/>
      <c r="S14" s="250">
        <f t="shared" si="3"/>
        <v>1</v>
      </c>
      <c r="T14" s="243" t="str">
        <f t="shared" si="4"/>
        <v>Southbound</v>
      </c>
      <c r="U14" s="247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49" t="str">
        <f t="shared" si="5"/>
        <v>https://d0f6bd738d7f1b3e5a7ca70fe4ff75f0.us-east-1.aws.found.io/app/kibana#/discover/Steve-Slow-Train-Analysis-(2080s-and-2083s)?_g=(refreshInterval:(display:Off,pause:!f,section:0,value:0),time:(from:'2017-11-28T03:10:35-0700',mode:absolute,to:'2017-11-28T05:49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4" s="248" t="str">
        <f>IF(AA14&lt;VLOOKUP(AG14,Variables!$AC$3:$AD$8,2,FALSE),"Y","N")</f>
        <v>N</v>
      </c>
      <c r="X14" s="248">
        <f t="shared" si="6"/>
        <v>1</v>
      </c>
      <c r="Y14" s="248">
        <f t="shared" si="7"/>
        <v>23.3047</v>
      </c>
      <c r="Z14" s="248">
        <f t="shared" si="8"/>
        <v>1.4500000000000001E-2</v>
      </c>
      <c r="AA14" s="248">
        <f t="shared" si="9"/>
        <v>23.290199999999999</v>
      </c>
      <c r="AB14" s="234" t="e">
        <f>VLOOKUP(A14,Enforcements!$C$7:$K$9,8,0)</f>
        <v>#N/A</v>
      </c>
      <c r="AC14" s="233" t="e">
        <f>VLOOKUP(A14,Enforcements!$C$7:$E$9,3,0)</f>
        <v>#N/A</v>
      </c>
      <c r="AD14" s="244">
        <f t="shared" si="10"/>
        <v>102</v>
      </c>
      <c r="AE14" s="236" t="str">
        <f t="shared" si="11"/>
        <v>aws s3 cp s3://rtdc.mdm.uploadarchive.raw/RTDC4057/ "%USERPROFILE%\AppData\Local\Temp\OnboardLogs"\RTDC4057\2017-11-28 --exclude "*" --recursive --include "*20171128*" &amp; "%USERPROFILE%\Documents\GitHub\mrs-test-scripts\Headless Mode &amp; Sideloading\WalkAndUnGZ.bat" "%USERPROFILE%\AppData\Local\Temp\OnboardLogs"\RTDC4057\2017-11-28 &amp; aws s3 cp s3://rtdc.mdm.uploadarchive.raw/RTDC4057/ "%USERPROFILE%\AppData\Local\Temp\OnboardLogs"\RTDC4057\2017-11-29 --exclude "*" --recursive --include "*20171129*" &amp; "%USERPROFILE%\Documents\GitHub\mrs-test-scripts\Headless Mode &amp; Sideloading\WalkAndUnGZ.bat" "%USERPROFILE%\AppData\Local\Temp\OnboardLogs"\RTDC4057\2017-11-29</v>
      </c>
      <c r="AF14" s="235" t="str">
        <f t="shared" si="12"/>
        <v>"C:\Program Files (x86)\AstroGrep\AstroGrep.exe" /e /r /s /spath="%USERPROFILE%\AppData\Local\Temp\OnboardLogs" /stypes="app*4057*20171128*" /stext=" 11:.+((SYSTEM_STATE.+slice.+state.+changed )|(ment ac)|(multiple cpu faults)|(system.+state.+changed )|(\[timeout)|(PRM\|1\|D)|(kpr)|(kdp)|(train st.+moving)|(\|lc)|(penalty))"</v>
      </c>
      <c r="AG14" s="245" t="str">
        <f t="shared" si="13"/>
        <v>EC</v>
      </c>
      <c r="AH14" s="237" t="str">
        <f t="shared" ref="AH14:AH78" si="19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102-28 --locoid 4057 --swversion DE.1.0.9.0 --startMP 204:233047 --initTime 2017-11-28T04:10:35 --startdatetime 2017-11-28T04:12:46 --delay 60 --endMP 204:145 --enddatetime 2017-11-28T04:49:53 --enforcementcount 0 &gt;&gt;%USERPROFILE%\Documents\GitHub\eaglep3-reporting\EC\2017-11-28-refined-times.txt</v>
      </c>
      <c r="AI14" s="239" t="str">
        <f t="shared" ref="AI14:AI78" si="20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{"issue":{"subject":"","project_id":79,"tracker_id":40,"status_id":1,"priority_id":2,"assigned_to_id":338,"start_date":"2017-11-28","description":"","custom_fields":[{"id":1,"name":"Subdivision","value":"EC"},{"id":4,"name":"Milepost","value":"0.0145"},{"id":17,"name":"Train ID","value":"102-28"},{"id":16,"name":"Locomotive ID","value":"4057"},{"id":130,"name":"Impact","value":""},{"id":150,"name":"Time of Event (Mountain Time)","value":"04:49:53"},{"id":151,"name":"Denver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" s="224"/>
      <c r="AK14" s="232"/>
      <c r="AL14" s="232"/>
      <c r="AM14" s="241" t="str">
        <f t="shared" ref="AM14:AM78" si="21">"start /low /b "&amp;dls3logs&amp;" --loco "&amp;B14&amp;" --day "&amp;TEXT(F14,"YYYY-MM-DD")</f>
        <v>start /low /b %USERPROFILE%\Documents\GitHub\eaglep3\Utilities\DownloadLogsFromS3.py --loco 4057 --day 2017-11-28</v>
      </c>
      <c r="AN14" s="242" t="str">
        <f t="shared" ref="AN14:AN78" si="22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11:49:53"},{"id":29,"name":"Sharepoint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231" t="str">
        <f t="shared" ref="AO14:AO78" si="23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-11-28T03:10:35-0700',mode:absolute,to:'2017-11-28T05:49:53-0700'))&amp;_a=(columns:!('Message%20ID',Summary),filters:!(),index:'emp_*',interval:auto,query:(query_string:(analyze_wildcard:!t,query:'%22rtdc.l.rtdc.4057%22')),sort:!(Time.ISO8601,asc))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230" t="s">
        <v>674</v>
      </c>
      <c r="B15" s="226">
        <v>4008</v>
      </c>
      <c r="C15" s="228" t="s">
        <v>192</v>
      </c>
      <c r="D15" s="228" t="s">
        <v>417</v>
      </c>
      <c r="E15" s="227">
        <v>43067.152326388888</v>
      </c>
      <c r="F15" s="227">
        <v>43067.156458333331</v>
      </c>
      <c r="G15" s="226">
        <v>88</v>
      </c>
      <c r="H15" s="228" t="s">
        <v>579</v>
      </c>
      <c r="I15" s="227">
        <v>43067.182638888888</v>
      </c>
      <c r="J15" s="226">
        <v>0</v>
      </c>
      <c r="K15" s="238" t="str">
        <f t="shared" si="0"/>
        <v>4007/4008</v>
      </c>
      <c r="L15" s="246" t="str">
        <f>VLOOKUP(A15,'Trips&amp;Operators'!$C$1:$G$99911,5,FALSE)</f>
        <v>NICHOLAS PLOYSA</v>
      </c>
      <c r="M15" s="225">
        <f t="shared" si="1"/>
        <v>2.6180555556493346E-2</v>
      </c>
      <c r="N15" s="226">
        <f t="shared" si="2"/>
        <v>37.700000001350418</v>
      </c>
      <c r="O15" s="226"/>
      <c r="P15" s="226"/>
      <c r="Q15" s="229"/>
      <c r="R15" s="243"/>
      <c r="S15" s="250">
        <f t="shared" si="3"/>
        <v>1</v>
      </c>
      <c r="T15" s="243" t="str">
        <f t="shared" si="4"/>
        <v>NorthBound</v>
      </c>
      <c r="U15" s="247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49" t="str">
        <f t="shared" si="5"/>
        <v>https://d0f6bd738d7f1b3e5a7ca70fe4ff75f0.us-east-1.aws.found.io/app/kibana#/discover/Steve-Slow-Train-Analysis-(2080s-and-2083s)?_g=(refreshInterval:(display:Off,pause:!f,section:0,value:0),time:(from:'2017-11-28T02:39:21-0700',mode:absolute,to:'2017-11-28T05:23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5" s="248" t="str">
        <f>IF(AA15&lt;VLOOKUP(AG15,Variables!$AC$3:$AD$8,2,FALSE),"Y","N")</f>
        <v>N</v>
      </c>
      <c r="X15" s="248">
        <f t="shared" si="6"/>
        <v>1</v>
      </c>
      <c r="Y15" s="248">
        <f t="shared" si="7"/>
        <v>5.28E-2</v>
      </c>
      <c r="Z15" s="248">
        <f t="shared" si="8"/>
        <v>23.328900000000001</v>
      </c>
      <c r="AA15" s="248">
        <f t="shared" si="9"/>
        <v>23.2761</v>
      </c>
      <c r="AB15" s="234" t="e">
        <f>VLOOKUP(A15,Enforcements!$C$7:$K$9,8,0)</f>
        <v>#N/A</v>
      </c>
      <c r="AC15" s="233" t="e">
        <f>VLOOKUP(A15,Enforcements!$C$7:$E$9,3,0)</f>
        <v>#N/A</v>
      </c>
      <c r="AD15" s="244">
        <f t="shared" si="10"/>
        <v>103</v>
      </c>
      <c r="AE15" s="236" t="str">
        <f t="shared" si="11"/>
        <v>aws s3 cp s3://rtdc.mdm.uploadarchive.raw/RTDC4008/ "%USERPROFILE%\AppData\Local\Temp\OnboardLogs"\RTDC4008\2017-11-28 --exclude "*" --recursive --include "*20171128*" &amp; "%USERPROFILE%\Documents\GitHub\mrs-test-scripts\Headless Mode &amp; Sideloading\WalkAndUnGZ.bat" "%USERPROFILE%\AppData\Local\Temp\OnboardLogs"\RTDC4008\2017-11-28 &amp; aws s3 cp s3://rtdc.mdm.uploadarchive.raw/RTDC4008/ "%USERPROFILE%\AppData\Local\Temp\OnboardLogs"\RTDC4008\2017-11-29 --exclude "*" --recursive --include "*20171129*" &amp; "%USERPROFILE%\Documents\GitHub\mrs-test-scripts\Headless Mode &amp; Sideloading\WalkAndUnGZ.bat" "%USERPROFILE%\AppData\Local\Temp\OnboardLogs"\RTDC4008\2017-11-29</v>
      </c>
      <c r="AF15" s="235" t="str">
        <f t="shared" si="12"/>
        <v>"C:\Program Files (x86)\AstroGrep\AstroGrep.exe" /e /r /s /spath="%USERPROFILE%\AppData\Local\Temp\OnboardLogs" /stypes="app*4008*20171128*" /stext=" 11:.+((SYSTEM_STATE.+slice.+state.+changed )|(ment ac)|(multiple cpu faults)|(system.+state.+changed )|(\[timeout)|(PRM\|1\|D)|(kpr)|(kdp)|(train st.+moving)|(\|lc)|(penalty))"</v>
      </c>
      <c r="AG15" s="245" t="str">
        <f t="shared" si="13"/>
        <v>EC</v>
      </c>
      <c r="AH15" s="237" t="str">
        <f t="shared" si="19"/>
        <v>"%USERPROFILE%\Documents\GitHub\eaglep3\Utilities\RefineRTDCRunTimes.py" --tripid 103-28 --locoid 4008 --swversion DE.1.0.9.0 --startMP 204:528 --initTime 2017-11-28T03:39:21 --startdatetime 2017-11-28T03:45:18 --delay 88 --endMP 204:233289 --enddatetime 2017-11-28T04:23:00 --enforcementcount 0 &gt;&gt;%USERPROFILE%\Documents\GitHub\eaglep3-reporting\EC\2017-11-28-refined-times.txt</v>
      </c>
      <c r="AI15" s="239" t="str">
        <f t="shared" si="20"/>
        <v>echo {"issue":{"subject":"","project_id":79,"tracker_id":40,"status_id":1,"priority_id":2,"assigned_to_id":338,"start_date":"2017-11-28","description":"","custom_fields":[{"id":1,"name":"Subdivision","value":"EC"},{"id":4,"name":"Milepost","value":"23.3289"},{"id":17,"name":"Train ID","value":"103-28"},{"id":16,"name":"Locomotive ID","value":"4008"},{"id":130,"name":"Impact","value":""},{"id":150,"name":"Time of Event (Mountain Time)","value":"04:23:00"},{"id":151,"name":"Denver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" s="224"/>
      <c r="AK15" s="232"/>
      <c r="AL15" s="232"/>
      <c r="AM15" s="241" t="str">
        <f t="shared" si="21"/>
        <v>start /low /b %USERPROFILE%\Documents\GitHub\eaglep3\Utilities\DownloadLogsFromS3.py --loco 4008 --day 2017-11-28</v>
      </c>
      <c r="AN15" s="242" t="str">
        <f t="shared" si="2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11:23:00"},{"id":29,"name":"Sharepoint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231" t="str">
        <f t="shared" si="23"/>
        <v>https://d0f6bd738d7f1b3e5a7ca70fe4ff75f0.us-east-1.aws.found.io/app/kibana#/discover/Steve-Slow-Train-Analysis-(2080s-and-2083s)?_g=(refreshInterval:(display:Off,pause:!f,section:0,value:0),time:(from:'2017-11-28T02:39:21-0700',mode:absolute,to:'2017-11-28T05:23:00-0700'))&amp;_a=(columns:!('Message%20ID',Summary),filters:!(),index:'emp_*',interval:auto,query:(query_string:(analyze_wildcard:!t,query:'%22rtdc.l.rtdc.4008%22')),sort:!(Time.ISO8601,asc))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230" t="s">
        <v>686</v>
      </c>
      <c r="B16" s="226">
        <v>4007</v>
      </c>
      <c r="C16" s="228" t="s">
        <v>192</v>
      </c>
      <c r="D16" s="228" t="s">
        <v>592</v>
      </c>
      <c r="E16" s="227">
        <v>43067.19226851852</v>
      </c>
      <c r="F16" s="227">
        <v>43067.19599537037</v>
      </c>
      <c r="G16" s="226">
        <v>63</v>
      </c>
      <c r="H16" s="228" t="s">
        <v>893</v>
      </c>
      <c r="I16" s="227">
        <v>43067.222280092596</v>
      </c>
      <c r="J16" s="226">
        <v>0</v>
      </c>
      <c r="K16" s="238" t="str">
        <f t="shared" si="0"/>
        <v>4007/4008</v>
      </c>
      <c r="L16" s="246" t="str">
        <f>VLOOKUP(A16,'Trips&amp;Operators'!$C$1:$G$99911,5,FALSE)</f>
        <v>NICHOLAS PLOYSA</v>
      </c>
      <c r="M16" s="225">
        <f t="shared" si="1"/>
        <v>2.6284722225682344E-2</v>
      </c>
      <c r="N16" s="226">
        <f t="shared" si="2"/>
        <v>37.850000004982576</v>
      </c>
      <c r="O16" s="226"/>
      <c r="P16" s="226"/>
      <c r="Q16" s="229"/>
      <c r="R16" s="243"/>
      <c r="S16" s="250">
        <f t="shared" si="3"/>
        <v>1</v>
      </c>
      <c r="T16" s="243" t="str">
        <f t="shared" si="4"/>
        <v>Southbound</v>
      </c>
      <c r="U16" s="247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49" t="str">
        <f t="shared" si="5"/>
        <v>https://d0f6bd738d7f1b3e5a7ca70fe4ff75f0.us-east-1.aws.found.io/app/kibana#/discover/Steve-Slow-Train-Analysis-(2080s-and-2083s)?_g=(refreshInterval:(display:Off,pause:!f,section:0,value:0),time:(from:'2017-11-28T03:36:52-0700',mode:absolute,to:'2017-11-28T06:20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6" s="248" t="str">
        <f>IF(AA16&lt;VLOOKUP(AG16,Variables!$AC$3:$AD$8,2,FALSE),"Y","N")</f>
        <v>N</v>
      </c>
      <c r="X16" s="248">
        <f t="shared" si="6"/>
        <v>1</v>
      </c>
      <c r="Y16" s="248">
        <f t="shared" si="7"/>
        <v>23.2972</v>
      </c>
      <c r="Z16" s="248">
        <f t="shared" si="8"/>
        <v>2.0299999999999999E-2</v>
      </c>
      <c r="AA16" s="248">
        <f t="shared" si="9"/>
        <v>23.276900000000001</v>
      </c>
      <c r="AB16" s="234" t="e">
        <f>VLOOKUP(A16,Enforcements!$C$7:$K$9,8,0)</f>
        <v>#N/A</v>
      </c>
      <c r="AC16" s="233" t="e">
        <f>VLOOKUP(A16,Enforcements!$C$7:$E$9,3,0)</f>
        <v>#N/A</v>
      </c>
      <c r="AD16" s="244">
        <f t="shared" si="10"/>
        <v>104</v>
      </c>
      <c r="AE16" s="236" t="str">
        <f t="shared" si="11"/>
        <v>aws s3 cp s3://rtdc.mdm.uploadarchive.raw/RTDC4007/ "%USERPROFILE%\AppData\Local\Temp\OnboardLogs"\RTDC4007\2017-11-28 --exclude "*" --recursive --include "*20171128*" &amp; "%USERPROFILE%\Documents\GitHub\mrs-test-scripts\Headless Mode &amp; Sideloading\WalkAndUnGZ.bat" "%USERPROFILE%\AppData\Local\Temp\OnboardLogs"\RTDC4007\2017-11-28 &amp; aws s3 cp s3://rtdc.mdm.uploadarchive.raw/RTDC4007/ "%USERPROFILE%\AppData\Local\Temp\OnboardLogs"\RTDC4007\2017-11-29 --exclude "*" --recursive --include "*20171129*" &amp; "%USERPROFILE%\Documents\GitHub\mrs-test-scripts\Headless Mode &amp; Sideloading\WalkAndUnGZ.bat" "%USERPROFILE%\AppData\Local\Temp\OnboardLogs"\RTDC4007\2017-11-29</v>
      </c>
      <c r="AF16" s="235" t="str">
        <f t="shared" si="12"/>
        <v>"C:\Program Files (x86)\AstroGrep\AstroGrep.exe" /e /r /s /spath="%USERPROFILE%\AppData\Local\Temp\OnboardLogs" /stypes="app*4007*20171128*" /stext=" 12:.+((SYSTEM_STATE.+slice.+state.+changed )|(ment ac)|(multiple cpu faults)|(system.+state.+changed )|(\[timeout)|(PRM\|1\|D)|(kpr)|(kdp)|(train st.+moving)|(\|lc)|(penalty))"</v>
      </c>
      <c r="AG16" s="245" t="str">
        <f t="shared" si="13"/>
        <v>EC</v>
      </c>
      <c r="AH16" s="237" t="str">
        <f t="shared" si="19"/>
        <v>"%USERPROFILE%\Documents\GitHub\eaglep3\Utilities\RefineRTDCRunTimes.py" --tripid 104-28 --locoid 4007 --swversion DE.1.0.9.0 --startMP 204:232972 --initTime 2017-11-28T04:36:52 --startdatetime 2017-11-28T04:42:14 --delay 63 --endMP 204:203 --enddatetime 2017-11-28T05:20:05 --enforcementcount 0 &gt;&gt;%USERPROFILE%\Documents\GitHub\eaglep3-reporting\EC\2017-11-28-refined-times.txt</v>
      </c>
      <c r="AI16" s="239" t="str">
        <f t="shared" si="20"/>
        <v>echo {"issue":{"subject":"","project_id":79,"tracker_id":40,"status_id":1,"priority_id":2,"assigned_to_id":338,"start_date":"2017-11-28","description":"","custom_fields":[{"id":1,"name":"Subdivision","value":"EC"},{"id":4,"name":"Milepost","value":"0.0203"},{"id":17,"name":"Train ID","value":"104-28"},{"id":16,"name":"Locomotive ID","value":"4007"},{"id":130,"name":"Impact","value":""},{"id":150,"name":"Time of Event (Mountain Time)","value":"05:20:05"},{"id":151,"name":"Denver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" s="224"/>
      <c r="AK16" s="232"/>
      <c r="AL16" s="232"/>
      <c r="AM16" s="241" t="str">
        <f t="shared" si="21"/>
        <v>start /low /b %USERPROFILE%\Documents\GitHub\eaglep3\Utilities\DownloadLogsFromS3.py --loco 4007 --day 2017-11-28</v>
      </c>
      <c r="AN16" s="242" t="str">
        <f t="shared" si="2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12:20:05"},{"id":29,"name":"Sharepoint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231" t="str">
        <f t="shared" si="23"/>
        <v>https://d0f6bd738d7f1b3e5a7ca70fe4ff75f0.us-east-1.aws.found.io/app/kibana#/discover/Steve-Slow-Train-Analysis-(2080s-and-2083s)?_g=(refreshInterval:(display:Off,pause:!f,section:0,value:0),time:(from:'2017-11-28T03:36:52-0700',mode:absolute,to:'2017-11-28T06:20:05-0700'))&amp;_a=(columns:!('Message%20ID',Summary),filters:!(),index:'emp_*',interval:auto,query:(query_string:(analyze_wildcard:!t,query:'%22rtdc.l.rtdc.4007%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230" t="s">
        <v>679</v>
      </c>
      <c r="B17" s="226">
        <v>4060</v>
      </c>
      <c r="C17" s="228" t="s">
        <v>192</v>
      </c>
      <c r="D17" s="228" t="s">
        <v>894</v>
      </c>
      <c r="E17" s="227">
        <v>43067.171365740738</v>
      </c>
      <c r="F17" s="227">
        <v>43067.177349537036</v>
      </c>
      <c r="G17" s="226">
        <v>124</v>
      </c>
      <c r="H17" s="228" t="s">
        <v>895</v>
      </c>
      <c r="I17" s="227">
        <v>43067.202372685184</v>
      </c>
      <c r="J17" s="226">
        <v>0</v>
      </c>
      <c r="K17" s="238" t="str">
        <f t="shared" si="0"/>
        <v>4059/4060</v>
      </c>
      <c r="L17" s="246" t="str">
        <f>VLOOKUP(A17,'Trips&amp;Operators'!$C$1:$G$99911,5,FALSE)</f>
        <v>THOMPSON LESTER</v>
      </c>
      <c r="M17" s="225">
        <f t="shared" si="1"/>
        <v>2.5023148147738539E-2</v>
      </c>
      <c r="N17" s="226">
        <f t="shared" si="2"/>
        <v>36.033333332743496</v>
      </c>
      <c r="O17" s="226"/>
      <c r="P17" s="226"/>
      <c r="Q17" s="229"/>
      <c r="R17" s="243"/>
      <c r="S17" s="250">
        <f t="shared" si="3"/>
        <v>1</v>
      </c>
      <c r="T17" s="243" t="str">
        <f t="shared" si="4"/>
        <v>NorthBound</v>
      </c>
      <c r="U17" s="247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49" t="str">
        <f t="shared" si="5"/>
        <v>https://d0f6bd738d7f1b3e5a7ca70fe4ff75f0.us-east-1.aws.found.io/app/kibana#/discover/Steve-Slow-Train-Analysis-(2080s-and-2083s)?_g=(refreshInterval:(display:Off,pause:!f,section:0,value:0),time:(from:'2017-11-28T03:06:46-0700',mode:absolute,to:'2017-11-28T05:51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7" s="248" t="str">
        <f>IF(AA17&lt;VLOOKUP(AG17,Variables!$AC$3:$AD$8,2,FALSE),"Y","N")</f>
        <v>N</v>
      </c>
      <c r="X17" s="248">
        <f t="shared" si="6"/>
        <v>1</v>
      </c>
      <c r="Y17" s="248">
        <f t="shared" si="7"/>
        <v>4.7800000000000002E-2</v>
      </c>
      <c r="Z17" s="248">
        <f t="shared" si="8"/>
        <v>23.325900000000001</v>
      </c>
      <c r="AA17" s="248">
        <f t="shared" si="9"/>
        <v>23.278100000000002</v>
      </c>
      <c r="AB17" s="234" t="e">
        <f>VLOOKUP(A17,Enforcements!$C$7:$K$9,8,0)</f>
        <v>#N/A</v>
      </c>
      <c r="AC17" s="233" t="e">
        <f>VLOOKUP(A17,Enforcements!$C$7:$E$9,3,0)</f>
        <v>#N/A</v>
      </c>
      <c r="AD17" s="244">
        <f t="shared" si="10"/>
        <v>105</v>
      </c>
      <c r="AE17" s="236" t="str">
        <f t="shared" si="11"/>
        <v>aws s3 cp s3://rtdc.mdm.uploadarchive.raw/RTDC4060/ "%USERPROFILE%\AppData\Local\Temp\OnboardLogs"\RTDC4060\2017-11-28 --exclude "*" --recursive --include "*20171128*" &amp; "%USERPROFILE%\Documents\GitHub\mrs-test-scripts\Headless Mode &amp; Sideloading\WalkAndUnGZ.bat" "%USERPROFILE%\AppData\Local\Temp\OnboardLogs"\RTDC4060\2017-11-28 &amp; aws s3 cp s3://rtdc.mdm.uploadarchive.raw/RTDC4060/ "%USERPROFILE%\AppData\Local\Temp\OnboardLogs"\RTDC4060\2017-11-29 --exclude "*" --recursive --include "*20171129*" &amp; "%USERPROFILE%\Documents\GitHub\mrs-test-scripts\Headless Mode &amp; Sideloading\WalkAndUnGZ.bat" "%USERPROFILE%\AppData\Local\Temp\OnboardLogs"\RTDC4060\2017-11-29</v>
      </c>
      <c r="AF17" s="235" t="str">
        <f t="shared" si="12"/>
        <v>"C:\Program Files (x86)\AstroGrep\AstroGrep.exe" /e /r /s /spath="%USERPROFILE%\AppData\Local\Temp\OnboardLogs" /stypes="app*4060*20171128*" /stext=" 11:.+((SYSTEM_STATE.+slice.+state.+changed )|(ment ac)|(multiple cpu faults)|(system.+state.+changed )|(\[timeout)|(PRM\|1\|D)|(kpr)|(kdp)|(train st.+moving)|(\|lc)|(penalty))"</v>
      </c>
      <c r="AG17" s="245" t="str">
        <f t="shared" si="13"/>
        <v>EC</v>
      </c>
      <c r="AH17" s="237" t="str">
        <f t="shared" si="19"/>
        <v>"%USERPROFILE%\Documents\GitHub\eaglep3\Utilities\RefineRTDCRunTimes.py" --tripid 105-28 --locoid 4060 --swversion DE.1.0.9.0 --startMP 204:478 --initTime 2017-11-28T04:06:46 --startdatetime 2017-11-28T04:15:23 --delay 124 --endMP 204:233259 --enddatetime 2017-11-28T04:51:25 --enforcementcount 0 &gt;&gt;%USERPROFILE%\Documents\GitHub\eaglep3-reporting\EC\2017-11-28-refined-times.txt</v>
      </c>
      <c r="AI17" s="239" t="str">
        <f t="shared" si="20"/>
        <v>echo {"issue":{"subject":"","project_id":79,"tracker_id":40,"status_id":1,"priority_id":2,"assigned_to_id":338,"start_date":"2017-11-28","description":"","custom_fields":[{"id":1,"name":"Subdivision","value":"EC"},{"id":4,"name":"Milepost","value":"23.3259"},{"id":17,"name":"Train ID","value":"105-28"},{"id":16,"name":"Locomotive ID","value":"4060"},{"id":130,"name":"Impact","value":""},{"id":150,"name":"Time of Event (Mountain Time)","value":"04:51:25"},{"id":151,"name":"Denver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" s="224"/>
      <c r="AK17" s="232"/>
      <c r="AL17" s="232"/>
      <c r="AM17" s="241" t="str">
        <f t="shared" si="21"/>
        <v>start /low /b %USERPROFILE%\Documents\GitHub\eaglep3\Utilities\DownloadLogsFromS3.py --loco 4060 --day 2017-11-28</v>
      </c>
      <c r="AN17" s="242" t="str">
        <f t="shared" si="2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11:51:25"},{"id":29,"name":"Sharepoint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231" t="str">
        <f t="shared" si="23"/>
        <v>https://d0f6bd738d7f1b3e5a7ca70fe4ff75f0.us-east-1.aws.found.io/app/kibana#/discover/Steve-Slow-Train-Analysis-(2080s-and-2083s)?_g=(refreshInterval:(display:Off,pause:!f,section:0,value:0),time:(from:'2017-11-28T03:06:46-0700',mode:absolute,to:'2017-11-28T05:51:25-0700'))&amp;_a=(columns:!('Message%20ID',Summary),filters:!(),index:'emp_*',interval:auto,query:(query_string:(analyze_wildcard:!t,query:'%22rtdc.l.rtdc.4060%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230" t="s">
        <v>632</v>
      </c>
      <c r="B18" s="226">
        <v>4059</v>
      </c>
      <c r="C18" s="228" t="s">
        <v>192</v>
      </c>
      <c r="D18" s="228" t="s">
        <v>440</v>
      </c>
      <c r="E18" s="227">
        <v>43067.214270833334</v>
      </c>
      <c r="F18" s="227">
        <v>43067.216898148145</v>
      </c>
      <c r="G18" s="226">
        <v>55</v>
      </c>
      <c r="H18" s="228" t="s">
        <v>486</v>
      </c>
      <c r="I18" s="227">
        <v>43067.244351851848</v>
      </c>
      <c r="J18" s="226">
        <v>0</v>
      </c>
      <c r="K18" s="238" t="str">
        <f t="shared" si="0"/>
        <v>4059/4060</v>
      </c>
      <c r="L18" s="246" t="str">
        <f>VLOOKUP(A18,'Trips&amp;Operators'!$C$1:$G$99911,5,FALSE)</f>
        <v>THOMPSON LESTER</v>
      </c>
      <c r="M18" s="225">
        <f t="shared" si="1"/>
        <v>2.7453703703940846E-2</v>
      </c>
      <c r="N18" s="226">
        <f t="shared" si="2"/>
        <v>39.533333333674818</v>
      </c>
      <c r="O18" s="226"/>
      <c r="P18" s="226"/>
      <c r="Q18" s="229"/>
      <c r="R18" s="243"/>
      <c r="S18" s="250">
        <f t="shared" si="3"/>
        <v>1</v>
      </c>
      <c r="T18" s="243" t="str">
        <f t="shared" si="4"/>
        <v>Southbound</v>
      </c>
      <c r="U18" s="247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49" t="str">
        <f t="shared" si="5"/>
        <v>https://d0f6bd738d7f1b3e5a7ca70fe4ff75f0.us-east-1.aws.found.io/app/kibana#/discover/Steve-Slow-Train-Analysis-(2080s-and-2083s)?_g=(refreshInterval:(display:Off,pause:!f,section:0,value:0),time:(from:'2017-11-28T04:08:33-0700',mode:absolute,to:'2017-11-28T06:51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8" s="248" t="str">
        <f>IF(AA18&lt;VLOOKUP(AG18,Variables!$AC$3:$AD$8,2,FALSE),"Y","N")</f>
        <v>N</v>
      </c>
      <c r="X18" s="248">
        <f t="shared" si="6"/>
        <v>1</v>
      </c>
      <c r="Y18" s="248">
        <f t="shared" si="7"/>
        <v>23.293399999999998</v>
      </c>
      <c r="Z18" s="248">
        <f t="shared" si="8"/>
        <v>1.5599999999999999E-2</v>
      </c>
      <c r="AA18" s="248">
        <f t="shared" si="9"/>
        <v>23.277799999999999</v>
      </c>
      <c r="AB18" s="234" t="e">
        <f>VLOOKUP(A18,Enforcements!$C$7:$K$9,8,0)</f>
        <v>#N/A</v>
      </c>
      <c r="AC18" s="233" t="e">
        <f>VLOOKUP(A18,Enforcements!$C$7:$E$9,3,0)</f>
        <v>#N/A</v>
      </c>
      <c r="AD18" s="244">
        <f t="shared" si="10"/>
        <v>106</v>
      </c>
      <c r="AE18" s="236" t="str">
        <f t="shared" si="11"/>
        <v>aws s3 cp s3://rtdc.mdm.uploadarchive.raw/RTDC4059/ "%USERPROFILE%\AppData\Local\Temp\OnboardLogs"\RTDC4059\2017-11-28 --exclude "*" --recursive --include "*20171128*" &amp; "%USERPROFILE%\Documents\GitHub\mrs-test-scripts\Headless Mode &amp; Sideloading\WalkAndUnGZ.bat" "%USERPROFILE%\AppData\Local\Temp\OnboardLogs"\RTDC4059\2017-11-28 &amp; aws s3 cp s3://rtdc.mdm.uploadarchive.raw/RTDC4059/ "%USERPROFILE%\AppData\Local\Temp\OnboardLogs"\RTDC4059\2017-11-29 --exclude "*" --recursive --include "*20171129*" &amp; "%USERPROFILE%\Documents\GitHub\mrs-test-scripts\Headless Mode &amp; Sideloading\WalkAndUnGZ.bat" "%USERPROFILE%\AppData\Local\Temp\OnboardLogs"\RTDC4059\2017-11-29</v>
      </c>
      <c r="AF18" s="235" t="str">
        <f t="shared" si="12"/>
        <v>"C:\Program Files (x86)\AstroGrep\AstroGrep.exe" /e /r /s /spath="%USERPROFILE%\AppData\Local\Temp\OnboardLogs" /stypes="app*4059*20171128*" /stext=" 12:.+((SYSTEM_STATE.+slice.+state.+changed )|(ment ac)|(multiple cpu faults)|(system.+state.+changed )|(\[timeout)|(PRM\|1\|D)|(kpr)|(kdp)|(train st.+moving)|(\|lc)|(penalty))"</v>
      </c>
      <c r="AG18" s="245" t="str">
        <f t="shared" si="13"/>
        <v>EC</v>
      </c>
      <c r="AH18" s="237" t="str">
        <f t="shared" si="19"/>
        <v>"%USERPROFILE%\Documents\GitHub\eaglep3\Utilities\RefineRTDCRunTimes.py" --tripid 106-28 --locoid 4059 --swversion DE.1.0.9.0 --startMP 204:232934 --initTime 2017-11-28T05:08:33 --startdatetime 2017-11-28T05:12:20 --delay 55 --endMP 204:156 --enddatetime 2017-11-28T05:51:52 --enforcementcount 0 &gt;&gt;%USERPROFILE%\Documents\GitHub\eaglep3-reporting\EC\2017-11-28-refined-times.txt</v>
      </c>
      <c r="AI18" s="239" t="str">
        <f t="shared" si="20"/>
        <v>echo {"issue":{"subject":"","project_id":79,"tracker_id":40,"status_id":1,"priority_id":2,"assigned_to_id":338,"start_date":"2017-11-28","description":"","custom_fields":[{"id":1,"name":"Subdivision","value":"EC"},{"id":4,"name":"Milepost","value":"0.0156"},{"id":17,"name":"Train ID","value":"106-28"},{"id":16,"name":"Locomotive ID","value":"4059"},{"id":130,"name":"Impact","value":""},{"id":150,"name":"Time of Event (Mountain Time)","value":"05:51:52"},{"id":151,"name":"Denver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" s="224"/>
      <c r="AK18" s="232"/>
      <c r="AL18" s="232"/>
      <c r="AM18" s="241" t="str">
        <f t="shared" si="21"/>
        <v>start /low /b %USERPROFILE%\Documents\GitHub\eaglep3\Utilities\DownloadLogsFromS3.py --loco 4059 --day 2017-11-28</v>
      </c>
      <c r="AN18" s="242" t="str">
        <f t="shared" si="2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12:51:52"},{"id":29,"name":"Sharepoint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231" t="str">
        <f t="shared" si="23"/>
        <v>https://d0f6bd738d7f1b3e5a7ca70fe4ff75f0.us-east-1.aws.found.io/app/kibana#/discover/Steve-Slow-Train-Analysis-(2080s-and-2083s)?_g=(refreshInterval:(display:Off,pause:!f,section:0,value:0),time:(from:'2017-11-28T04:08:33-0700',mode:absolute,to:'2017-11-28T06:51:52-0700'))&amp;_a=(columns:!('Message%20ID',Summary),filters:!(),index:'emp_*',interval:auto,query:(query_string:(analyze_wildcard:!t,query:'%22rtdc.l.rtdc.4059%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230" t="s">
        <v>682</v>
      </c>
      <c r="B19" s="226">
        <v>4056</v>
      </c>
      <c r="C19" s="228" t="s">
        <v>192</v>
      </c>
      <c r="D19" s="228" t="s">
        <v>449</v>
      </c>
      <c r="E19" s="227">
        <v>43067.177708333336</v>
      </c>
      <c r="F19" s="227">
        <v>43067.187685185185</v>
      </c>
      <c r="G19" s="226">
        <v>70</v>
      </c>
      <c r="H19" s="228" t="s">
        <v>613</v>
      </c>
      <c r="I19" s="227">
        <v>43067.212638888886</v>
      </c>
      <c r="J19" s="226">
        <v>0</v>
      </c>
      <c r="K19" s="238" t="str">
        <f t="shared" si="0"/>
        <v>4055/4056</v>
      </c>
      <c r="L19" s="246" t="str">
        <f>VLOOKUP(A19,'Trips&amp;Operators'!$C$1:$G$99911,5,FALSE)</f>
        <v>LANGERAK WILLIAM</v>
      </c>
      <c r="M19" s="225">
        <f t="shared" si="1"/>
        <v>2.495370370161254E-2</v>
      </c>
      <c r="N19" s="226">
        <f t="shared" si="2"/>
        <v>35.933333330322057</v>
      </c>
      <c r="O19" s="226"/>
      <c r="P19" s="226"/>
      <c r="Q19" s="229"/>
      <c r="R19" s="243"/>
      <c r="S19" s="250">
        <f t="shared" si="3"/>
        <v>1</v>
      </c>
      <c r="T19" s="243" t="str">
        <f t="shared" si="4"/>
        <v>NorthBound</v>
      </c>
      <c r="U19" s="247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49" t="str">
        <f t="shared" si="5"/>
        <v>https://d0f6bd738d7f1b3e5a7ca70fe4ff75f0.us-east-1.aws.found.io/app/kibana#/discover/Steve-Slow-Train-Analysis-(2080s-and-2083s)?_g=(refreshInterval:(display:Off,pause:!f,section:0,value:0),time:(from:'2017-11-28T03:15:54-0700',mode:absolute,to:'2017-11-28T06:06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9" s="248" t="str">
        <f>IF(AA19&lt;VLOOKUP(AG19,Variables!$AC$3:$AD$8,2,FALSE),"Y","N")</f>
        <v>N</v>
      </c>
      <c r="X19" s="248">
        <f t="shared" si="6"/>
        <v>1</v>
      </c>
      <c r="Y19" s="248">
        <f t="shared" si="7"/>
        <v>4.8000000000000001E-2</v>
      </c>
      <c r="Z19" s="248">
        <f t="shared" si="8"/>
        <v>23.327200000000001</v>
      </c>
      <c r="AA19" s="248">
        <f t="shared" si="9"/>
        <v>23.279200000000003</v>
      </c>
      <c r="AB19" s="234" t="e">
        <f>VLOOKUP(A19,Enforcements!$C$7:$K$9,8,0)</f>
        <v>#N/A</v>
      </c>
      <c r="AC19" s="233" t="e">
        <f>VLOOKUP(A19,Enforcements!$C$7:$E$9,3,0)</f>
        <v>#N/A</v>
      </c>
      <c r="AD19" s="244">
        <f t="shared" si="10"/>
        <v>107</v>
      </c>
      <c r="AE19" s="236" t="str">
        <f t="shared" si="11"/>
        <v>aws s3 cp s3://rtdc.mdm.uploadarchive.raw/RTDC4056/ "%USERPROFILE%\AppData\Local\Temp\OnboardLogs"\RTDC4056\2017-11-28 --exclude "*" --recursive --include "*20171128*" &amp; "%USERPROFILE%\Documents\GitHub\mrs-test-scripts\Headless Mode &amp; Sideloading\WalkAndUnGZ.bat" "%USERPROFILE%\AppData\Local\Temp\OnboardLogs"\RTDC4056\2017-11-28 &amp; aws s3 cp s3://rtdc.mdm.uploadarchive.raw/RTDC4056/ "%USERPROFILE%\AppData\Local\Temp\OnboardLogs"\RTDC4056\2017-11-29 --exclude "*" --recursive --include "*20171129*" &amp; "%USERPROFILE%\Documents\GitHub\mrs-test-scripts\Headless Mode &amp; Sideloading\WalkAndUnGZ.bat" "%USERPROFILE%\AppData\Local\Temp\OnboardLogs"\RTDC4056\2017-11-29</v>
      </c>
      <c r="AF19" s="235" t="str">
        <f t="shared" si="12"/>
        <v>"C:\Program Files (x86)\AstroGrep\AstroGrep.exe" /e /r /s /spath="%USERPROFILE%\AppData\Local\Temp\OnboardLogs" /stypes="app*4056*20171128*" /stext=" 12:.+((SYSTEM_STATE.+slice.+state.+changed )|(ment ac)|(multiple cpu faults)|(system.+state.+changed )|(\[timeout)|(PRM\|1\|D)|(kpr)|(kdp)|(train st.+moving)|(\|lc)|(penalty))"</v>
      </c>
      <c r="AG19" s="245" t="str">
        <f t="shared" si="13"/>
        <v>EC</v>
      </c>
      <c r="AH19" s="237" t="str">
        <f t="shared" si="19"/>
        <v>"%USERPROFILE%\Documents\GitHub\eaglep3\Utilities\RefineRTDCRunTimes.py" --tripid 107-28 --locoid 4056 --swversion DE.1.0.9.0 --startMP 204:480 --initTime 2017-11-28T04:15:54 --startdatetime 2017-11-28T04:30:16 --delay 70 --endMP 204:233272 --enddatetime 2017-11-28T05:06:12 --enforcementcount 0 &gt;&gt;%USERPROFILE%\Documents\GitHub\eaglep3-reporting\EC\2017-11-28-refined-times.txt</v>
      </c>
      <c r="AI19" s="239" t="str">
        <f t="shared" si="20"/>
        <v>echo {"issue":{"subject":"","project_id":79,"tracker_id":40,"status_id":1,"priority_id":2,"assigned_to_id":338,"start_date":"2017-11-28","description":"","custom_fields":[{"id":1,"name":"Subdivision","value":"EC"},{"id":4,"name":"Milepost","value":"23.3272"},{"id":17,"name":"Train ID","value":"107-28"},{"id":16,"name":"Locomotive ID","value":"4056"},{"id":130,"name":"Impact","value":""},{"id":150,"name":"Time of Event (Mountain Time)","value":"05:06:12"},{"id":151,"name":"Denver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" s="224"/>
      <c r="AK19" s="232"/>
      <c r="AL19" s="232"/>
      <c r="AM19" s="241" t="str">
        <f t="shared" si="21"/>
        <v>start /low /b %USERPROFILE%\Documents\GitHub\eaglep3\Utilities\DownloadLogsFromS3.py --loco 4056 --day 2017-11-28</v>
      </c>
      <c r="AN19" s="242" t="str">
        <f t="shared" si="2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12:06:12"},{"id":29,"name":"Sharepoint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231" t="str">
        <f t="shared" si="23"/>
        <v>https://d0f6bd738d7f1b3e5a7ca70fe4ff75f0.us-east-1.aws.found.io/app/kibana#/discover/Steve-Slow-Train-Analysis-(2080s-and-2083s)?_g=(refreshInterval:(display:Off,pause:!f,section:0,value:0),time:(from:'2017-11-28T03:15:54-0700',mode:absolute,to:'2017-11-28T06:06:12-0700'))&amp;_a=(columns:!('Message%20ID',Summary),filters:!(),index:'emp_*',interval:auto,query:(query_string:(analyze_wildcard:!t,query:'%22rtdc.l.rtdc.4056%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230" t="s">
        <v>697</v>
      </c>
      <c r="B20" s="226">
        <v>4055</v>
      </c>
      <c r="C20" s="228" t="s">
        <v>192</v>
      </c>
      <c r="D20" s="228" t="s">
        <v>896</v>
      </c>
      <c r="E20" s="227">
        <v>43067.214131944442</v>
      </c>
      <c r="F20" s="227">
        <v>43067.227268518516</v>
      </c>
      <c r="G20" s="226">
        <v>68</v>
      </c>
      <c r="H20" s="228" t="s">
        <v>629</v>
      </c>
      <c r="I20" s="227">
        <v>43067.253958333335</v>
      </c>
      <c r="J20" s="226">
        <v>0</v>
      </c>
      <c r="K20" s="238" t="str">
        <f t="shared" si="0"/>
        <v>4055/4056</v>
      </c>
      <c r="L20" s="246" t="str">
        <f>VLOOKUP(A20,'Trips&amp;Operators'!$C$1:$G$99911,5,FALSE)</f>
        <v>LANGERAK WILLIAM</v>
      </c>
      <c r="M20" s="225">
        <f t="shared" si="1"/>
        <v>2.6689814818382729E-2</v>
      </c>
      <c r="N20" s="226">
        <f t="shared" si="2"/>
        <v>38.43333333847113</v>
      </c>
      <c r="O20" s="226"/>
      <c r="P20" s="226"/>
      <c r="Q20" s="229"/>
      <c r="R20" s="243"/>
      <c r="S20" s="250">
        <f t="shared" si="3"/>
        <v>1</v>
      </c>
      <c r="T20" s="243" t="str">
        <f t="shared" si="4"/>
        <v>Southbound</v>
      </c>
      <c r="U20" s="247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49" t="str">
        <f t="shared" si="5"/>
        <v>https://d0f6bd738d7f1b3e5a7ca70fe4ff75f0.us-east-1.aws.found.io/app/kibana#/discover/Steve-Slow-Train-Analysis-(2080s-and-2083s)?_g=(refreshInterval:(display:Off,pause:!f,section:0,value:0),time:(from:'2017-11-28T04:08:21-0700',mode:absolute,to:'2017-11-28T07:05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0" s="248" t="str">
        <f>IF(AA20&lt;VLOOKUP(AG20,Variables!$AC$3:$AD$8,2,FALSE),"Y","N")</f>
        <v>N</v>
      </c>
      <c r="X20" s="248">
        <f t="shared" si="6"/>
        <v>1</v>
      </c>
      <c r="Y20" s="248">
        <f t="shared" si="7"/>
        <v>23.2957</v>
      </c>
      <c r="Z20" s="248">
        <f t="shared" si="8"/>
        <v>1.52E-2</v>
      </c>
      <c r="AA20" s="248">
        <f t="shared" si="9"/>
        <v>23.2805</v>
      </c>
      <c r="AB20" s="234" t="e">
        <f>VLOOKUP(A20,Enforcements!$C$7:$K$9,8,0)</f>
        <v>#N/A</v>
      </c>
      <c r="AC20" s="233" t="e">
        <f>VLOOKUP(A20,Enforcements!$C$7:$E$9,3,0)</f>
        <v>#N/A</v>
      </c>
      <c r="AD20" s="244">
        <f t="shared" si="10"/>
        <v>108</v>
      </c>
      <c r="AE20" s="236" t="str">
        <f t="shared" si="11"/>
        <v>aws s3 cp s3://rtdc.mdm.uploadarchive.raw/RTDC4055/ "%USERPROFILE%\AppData\Local\Temp\OnboardLogs"\RTDC4055\2017-11-28 --exclude "*" --recursive --include "*20171128*" &amp; "%USERPROFILE%\Documents\GitHub\mrs-test-scripts\Headless Mode &amp; Sideloading\WalkAndUnGZ.bat" "%USERPROFILE%\AppData\Local\Temp\OnboardLogs"\RTDC4055\2017-11-28 &amp; aws s3 cp s3://rtdc.mdm.uploadarchive.raw/RTDC4055/ "%USERPROFILE%\AppData\Local\Temp\OnboardLogs"\RTDC4055\2017-11-29 --exclude "*" --recursive --include "*20171129*" &amp; "%USERPROFILE%\Documents\GitHub\mrs-test-scripts\Headless Mode &amp; Sideloading\WalkAndUnGZ.bat" "%USERPROFILE%\AppData\Local\Temp\OnboardLogs"\RTDC4055\2017-11-29</v>
      </c>
      <c r="AF20" s="235" t="str">
        <f t="shared" si="12"/>
        <v>"C:\Program Files (x86)\AstroGrep\AstroGrep.exe" /e /r /s /spath="%USERPROFILE%\AppData\Local\Temp\OnboardLogs" /stypes="app*4055*20171128*" /stext=" 13:.+((SYSTEM_STATE.+slice.+state.+changed )|(ment ac)|(multiple cpu faults)|(system.+state.+changed )|(\[timeout)|(PRM\|1\|D)|(kpr)|(kdp)|(train st.+moving)|(\|lc)|(penalty))"</v>
      </c>
      <c r="AG20" s="245" t="str">
        <f t="shared" si="13"/>
        <v>EC</v>
      </c>
      <c r="AH20" s="237" t="str">
        <f t="shared" si="19"/>
        <v>"%USERPROFILE%\Documents\GitHub\eaglep3\Utilities\RefineRTDCRunTimes.py" --tripid 108-28 --locoid 4055 --swversion DE.1.0.9.0 --startMP 204:232957 --initTime 2017-11-28T05:08:21 --startdatetime 2017-11-28T05:27:16 --delay 68 --endMP 204:152 --enddatetime 2017-11-28T06:05:42 --enforcementcount 0 &gt;&gt;%USERPROFILE%\Documents\GitHub\eaglep3-reporting\EC\2017-11-28-refined-times.txt</v>
      </c>
      <c r="AI20" s="239" t="str">
        <f t="shared" si="20"/>
        <v>echo {"issue":{"subject":"","project_id":79,"tracker_id":40,"status_id":1,"priority_id":2,"assigned_to_id":338,"start_date":"2017-11-28","description":"","custom_fields":[{"id":1,"name":"Subdivision","value":"EC"},{"id":4,"name":"Milepost","value":"0.0152"},{"id":17,"name":"Train ID","value":"108-28"},{"id":16,"name":"Locomotive ID","value":"4055"},{"id":130,"name":"Impact","value":""},{"id":150,"name":"Time of Event (Mountain Time)","value":"06:05:42"},{"id":151,"name":"Denver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" s="224"/>
      <c r="AK20" s="232"/>
      <c r="AL20" s="232"/>
      <c r="AM20" s="241" t="str">
        <f t="shared" si="21"/>
        <v>start /low /b %USERPROFILE%\Documents\GitHub\eaglep3\Utilities\DownloadLogsFromS3.py --loco 4055 --day 2017-11-28</v>
      </c>
      <c r="AN20" s="242" t="str">
        <f t="shared" si="2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13:05:42"},{"id":29,"name":"Sharepoint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231" t="str">
        <f t="shared" si="23"/>
        <v>https://d0f6bd738d7f1b3e5a7ca70fe4ff75f0.us-east-1.aws.found.io/app/kibana#/discover/Steve-Slow-Train-Analysis-(2080s-and-2083s)?_g=(refreshInterval:(display:Off,pause:!f,section:0,value:0),time:(from:'2017-11-28T04:08:21-0700',mode:absolute,to:'2017-11-28T07:05:42-0700'))&amp;_a=(columns:!('Message%20ID',Summary),filters:!(),index:'emp_*',interval:auto,query:(query_string:(analyze_wildcard:!t,query:'%22rtdc.l.rtdc.4055%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230" t="s">
        <v>688</v>
      </c>
      <c r="B21" s="226">
        <v>4040</v>
      </c>
      <c r="C21" s="228" t="s">
        <v>192</v>
      </c>
      <c r="D21" s="228" t="s">
        <v>897</v>
      </c>
      <c r="E21" s="227">
        <v>43067.194641203707</v>
      </c>
      <c r="F21" s="227">
        <v>43067.19809027778</v>
      </c>
      <c r="G21" s="226">
        <v>73</v>
      </c>
      <c r="H21" s="228" t="s">
        <v>577</v>
      </c>
      <c r="I21" s="227">
        <v>43067.223368055558</v>
      </c>
      <c r="J21" s="226">
        <v>0</v>
      </c>
      <c r="K21" s="238" t="str">
        <f t="shared" si="0"/>
        <v>4039/4040</v>
      </c>
      <c r="L21" s="246" t="str">
        <f>VLOOKUP(A21,'Trips&amp;Operators'!$C$1:$G$99911,5,FALSE)</f>
        <v>LAMAR NEKESHA</v>
      </c>
      <c r="M21" s="225">
        <f t="shared" si="1"/>
        <v>2.527777777868323E-2</v>
      </c>
      <c r="N21" s="226">
        <f t="shared" si="2"/>
        <v>36.400000001303852</v>
      </c>
      <c r="O21" s="226"/>
      <c r="P21" s="226"/>
      <c r="Q21" s="229"/>
      <c r="R21" s="243"/>
      <c r="S21" s="250">
        <f t="shared" si="3"/>
        <v>1</v>
      </c>
      <c r="T21" s="243" t="str">
        <f t="shared" si="4"/>
        <v>NorthBound</v>
      </c>
      <c r="U21" s="247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49" t="str">
        <f t="shared" si="5"/>
        <v>https://d0f6bd738d7f1b3e5a7ca70fe4ff75f0.us-east-1.aws.found.io/app/kibana#/discover/Steve-Slow-Train-Analysis-(2080s-and-2083s)?_g=(refreshInterval:(display:Off,pause:!f,section:0,value:0),time:(from:'2017-11-28T03:40:17-0700',mode:absolute,to:'2017-11-28T06:21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1" s="248" t="str">
        <f>IF(AA21&lt;VLOOKUP(AG21,Variables!$AC$3:$AD$8,2,FALSE),"Y","N")</f>
        <v>N</v>
      </c>
      <c r="X21" s="248">
        <f t="shared" si="6"/>
        <v>1</v>
      </c>
      <c r="Y21" s="248">
        <f t="shared" si="7"/>
        <v>4.6199999999999998E-2</v>
      </c>
      <c r="Z21" s="248">
        <f t="shared" si="8"/>
        <v>23.326799999999999</v>
      </c>
      <c r="AA21" s="248">
        <f t="shared" si="9"/>
        <v>23.2806</v>
      </c>
      <c r="AB21" s="234" t="e">
        <f>VLOOKUP(A21,Enforcements!$C$7:$K$9,8,0)</f>
        <v>#N/A</v>
      </c>
      <c r="AC21" s="233" t="e">
        <f>VLOOKUP(A21,Enforcements!$C$7:$E$9,3,0)</f>
        <v>#N/A</v>
      </c>
      <c r="AD21" s="244">
        <f t="shared" si="10"/>
        <v>109</v>
      </c>
      <c r="AE21" s="236" t="str">
        <f t="shared" si="11"/>
        <v>aws s3 cp s3://rtdc.mdm.uploadarchive.raw/RTDC4040/ "%USERPROFILE%\AppData\Local\Temp\OnboardLogs"\RTDC4040\2017-11-28 --exclude "*" --recursive --include "*20171128*" &amp; "%USERPROFILE%\Documents\GitHub\mrs-test-scripts\Headless Mode &amp; Sideloading\WalkAndUnGZ.bat" "%USERPROFILE%\AppData\Local\Temp\OnboardLogs"\RTDC4040\2017-11-28 &amp; aws s3 cp s3://rtdc.mdm.uploadarchive.raw/RTDC4040/ "%USERPROFILE%\AppData\Local\Temp\OnboardLogs"\RTDC4040\2017-11-29 --exclude "*" --recursive --include "*20171129*" &amp; "%USERPROFILE%\Documents\GitHub\mrs-test-scripts\Headless Mode &amp; Sideloading\WalkAndUnGZ.bat" "%USERPROFILE%\AppData\Local\Temp\OnboardLogs"\RTDC4040\2017-11-29</v>
      </c>
      <c r="AF21" s="235" t="str">
        <f t="shared" si="12"/>
        <v>"C:\Program Files (x86)\AstroGrep\AstroGrep.exe" /e /r /s /spath="%USERPROFILE%\AppData\Local\Temp\OnboardLogs" /stypes="app*4040*20171128*" /stext=" 12:.+((SYSTEM_STATE.+slice.+state.+changed )|(ment ac)|(multiple cpu faults)|(system.+state.+changed )|(\[timeout)|(PRM\|1\|D)|(kpr)|(kdp)|(train st.+moving)|(\|lc)|(penalty))"</v>
      </c>
      <c r="AG21" s="245" t="str">
        <f t="shared" si="13"/>
        <v>EC</v>
      </c>
      <c r="AH21" s="237" t="str">
        <f t="shared" si="19"/>
        <v>"%USERPROFILE%\Documents\GitHub\eaglep3\Utilities\RefineRTDCRunTimes.py" --tripid 109-28 --locoid 4040 --swversion DE.1.0.9.0 --startMP 204:462 --initTime 2017-11-28T04:40:17 --startdatetime 2017-11-28T04:45:15 --delay 73 --endMP 204:233268 --enddatetime 2017-11-28T05:21:39 --enforcementcount 0 &gt;&gt;%USERPROFILE%\Documents\GitHub\eaglep3-reporting\EC\2017-11-28-refined-times.txt</v>
      </c>
      <c r="AI21" s="239" t="str">
        <f t="shared" si="20"/>
        <v>echo {"issue":{"subject":"","project_id":79,"tracker_id":40,"status_id":1,"priority_id":2,"assigned_to_id":338,"start_date":"2017-11-28","description":"","custom_fields":[{"id":1,"name":"Subdivision","value":"EC"},{"id":4,"name":"Milepost","value":"23.3268"},{"id":17,"name":"Train ID","value":"109-28"},{"id":16,"name":"Locomotive ID","value":"4040"},{"id":130,"name":"Impact","value":""},{"id":150,"name":"Time of Event (Mountain Time)","value":"05:21:39"},{"id":151,"name":"Denver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" s="224"/>
      <c r="AK21" s="232"/>
      <c r="AL21" s="232"/>
      <c r="AM21" s="241" t="str">
        <f t="shared" si="21"/>
        <v>start /low /b %USERPROFILE%\Documents\GitHub\eaglep3\Utilities\DownloadLogsFromS3.py --loco 4040 --day 2017-11-28</v>
      </c>
      <c r="AN21" s="242" t="str">
        <f t="shared" si="2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12:21:39"},{"id":29,"name":"Sharepoint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231" t="str">
        <f t="shared" si="23"/>
        <v>https://d0f6bd738d7f1b3e5a7ca70fe4ff75f0.us-east-1.aws.found.io/app/kibana#/discover/Steve-Slow-Train-Analysis-(2080s-and-2083s)?_g=(refreshInterval:(display:Off,pause:!f,section:0,value:0),time:(from:'2017-11-28T03:40:17-0700',mode:absolute,to:'2017-11-28T06:21:39-0700'))&amp;_a=(columns:!('Message%20ID',Summary),filters:!(),index:'emp_*',interval:auto,query:(query_string:(analyze_wildcard:!t,query:'%22rtdc.l.rtdc.4040%22')),sort:!(Time.ISO8601,asc))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230" t="s">
        <v>634</v>
      </c>
      <c r="B22" s="226">
        <v>4039</v>
      </c>
      <c r="C22" s="228" t="s">
        <v>192</v>
      </c>
      <c r="D22" s="228" t="s">
        <v>898</v>
      </c>
      <c r="E22" s="227">
        <v>43067.225358796299</v>
      </c>
      <c r="F22" s="227">
        <v>43067.237673611111</v>
      </c>
      <c r="G22" s="226">
        <v>54</v>
      </c>
      <c r="H22" s="228" t="s">
        <v>433</v>
      </c>
      <c r="I22" s="227">
        <v>43067.249212962961</v>
      </c>
      <c r="J22" s="226">
        <v>0</v>
      </c>
      <c r="K22" s="238" t="str">
        <f t="shared" si="0"/>
        <v>4039/4040</v>
      </c>
      <c r="L22" s="246" t="str">
        <f>VLOOKUP(A22,'Trips&amp;Operators'!$C$1:$G$99911,5,FALSE)</f>
        <v>LAMAR NEKESHA</v>
      </c>
      <c r="M22" s="225">
        <f t="shared" si="1"/>
        <v>1.1539351849933155E-2</v>
      </c>
      <c r="N22" s="226"/>
      <c r="O22" s="226"/>
      <c r="P22" s="226">
        <f>24*60*SUM($M22:$M22)</f>
        <v>16.616666663903743</v>
      </c>
      <c r="Q22" s="229"/>
      <c r="R22" s="243" t="s">
        <v>631</v>
      </c>
      <c r="S22" s="250">
        <f t="shared" si="3"/>
        <v>1</v>
      </c>
      <c r="T22" s="243" t="str">
        <f t="shared" si="4"/>
        <v>Southbound</v>
      </c>
      <c r="U22" s="247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49" t="str">
        <f t="shared" si="5"/>
        <v>https://d0f6bd738d7f1b3e5a7ca70fe4ff75f0.us-east-1.aws.found.io/app/kibana#/discover/Steve-Slow-Train-Analysis-(2080s-and-2083s)?_g=(refreshInterval:(display:Off,pause:!f,section:0,value:0),time:(from:'2017-11-28T04:24:31-0700',mode:absolute,to:'2017-11-28T06:58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2" s="248" t="str">
        <f>IF(AA22&lt;VLOOKUP(AG22,Variables!$AC$3:$AD$8,2,FALSE),"Y","N")</f>
        <v>N</v>
      </c>
      <c r="X22" s="248">
        <f t="shared" si="6"/>
        <v>1</v>
      </c>
      <c r="Y22" s="248">
        <f t="shared" si="7"/>
        <v>23.295500000000001</v>
      </c>
      <c r="Z22" s="248">
        <f t="shared" si="8"/>
        <v>2.1100000000000001E-2</v>
      </c>
      <c r="AA22" s="248">
        <f t="shared" si="9"/>
        <v>23.2744</v>
      </c>
      <c r="AB22" s="234" t="e">
        <f>VLOOKUP(A22,Enforcements!$C$7:$K$9,8,0)</f>
        <v>#N/A</v>
      </c>
      <c r="AC22" s="233" t="e">
        <f>VLOOKUP(A22,Enforcements!$C$7:$E$9,3,0)</f>
        <v>#N/A</v>
      </c>
      <c r="AD22" s="244">
        <f t="shared" si="10"/>
        <v>110</v>
      </c>
      <c r="AE22" s="236" t="str">
        <f t="shared" si="11"/>
        <v>aws s3 cp s3://rtdc.mdm.uploadarchive.raw/RTDC4039/ "%USERPROFILE%\AppData\Local\Temp\OnboardLogs"\RTDC4039\2017-11-28 --exclude "*" --recursive --include "*20171128*" &amp; "%USERPROFILE%\Documents\GitHub\mrs-test-scripts\Headless Mode &amp; Sideloading\WalkAndUnGZ.bat" "%USERPROFILE%\AppData\Local\Temp\OnboardLogs"\RTDC4039\2017-11-28 &amp; aws s3 cp s3://rtdc.mdm.uploadarchive.raw/RTDC4039/ "%USERPROFILE%\AppData\Local\Temp\OnboardLogs"\RTDC4039\2017-11-29 --exclude "*" --recursive --include "*20171129*" &amp; "%USERPROFILE%\Documents\GitHub\mrs-test-scripts\Headless Mode &amp; Sideloading\WalkAndUnGZ.bat" "%USERPROFILE%\AppData\Local\Temp\OnboardLogs"\RTDC4039\2017-11-29</v>
      </c>
      <c r="AF22" s="235" t="str">
        <f t="shared" si="12"/>
        <v>"C:\Program Files (x86)\AstroGrep\AstroGrep.exe" /e /r /s /spath="%USERPROFILE%\AppData\Local\Temp\OnboardLogs" /stypes="app*4039*20171128*" /stext=" 12:.+((SYSTEM_STATE.+slice.+state.+changed )|(ment ac)|(multiple cpu faults)|(system.+state.+changed )|(\[timeout)|(PRM\|1\|D)|(kpr)|(kdp)|(train st.+moving)|(\|lc)|(penalty))"</v>
      </c>
      <c r="AG22" s="245" t="str">
        <f t="shared" si="13"/>
        <v>EC</v>
      </c>
      <c r="AH22" s="237" t="str">
        <f t="shared" si="19"/>
        <v>"%USERPROFILE%\Documents\GitHub\eaglep3\Utilities\RefineRTDCRunTimes.py" --tripid 110-28 --locoid 4039 --swversion DE.1.0.9.0 --startMP 204:232955 --initTime 2017-11-28T05:24:31 --startdatetime 2017-11-28T05:42:15 --delay 54 --endMP 204:211 --enddatetime 2017-11-28T05:58:52 --enforcementcount 0 &gt;&gt;%USERPROFILE%\Documents\GitHub\eaglep3-reporting\EC\2017-11-28-refined-times.txt</v>
      </c>
      <c r="AI22" s="239" t="str">
        <f t="shared" si="20"/>
        <v>echo {"issue":{"subject":"Wi-MAX data drop","project_id":79,"tracker_id":40,"status_id":1,"priority_id":2,"assigned_to_id":338,"start_date":"2017-11-28","description":"","custom_fields":[{"id":1,"name":"Subdivision","value":"EC"},{"id":4,"name":"Milepost","value":"0.0211"},{"id":17,"name":"Train ID","value":"110-28"},{"id":16,"name":"Locomotive ID","value":"4039"},{"id":130,"name":"Impact","value":""},{"id":150,"name":"Time of Event (Mountain Time)","value":"05:58:52"},{"id":151,"name":"Denver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" s="224"/>
      <c r="AK22" s="232"/>
      <c r="AL22" s="232"/>
      <c r="AM22" s="241" t="str">
        <f t="shared" si="21"/>
        <v>start /low /b %USERPROFILE%\Documents\GitHub\eaglep3\Utilities\DownloadLogsFromS3.py --loco 4039 --day 2017-11-28</v>
      </c>
      <c r="AN22" s="242" t="str">
        <f t="shared" si="22"/>
        <v>echo {"issue":{"subject":"Wi-MAX data drop","project_id":30,"tracker_id":4,"status_id":1,"priority_id":1,"assigned_to_id":10,"start_date":"2017-11-28","description":"","custom_fields":[{"id":30,"name":"Category","value":"Issue"},{"id":3,"name":"Functional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12:58:52"},{"id":29,"name":"Sharepoint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231" t="str">
        <f t="shared" si="23"/>
        <v>https://d0f6bd738d7f1b3e5a7ca70fe4ff75f0.us-east-1.aws.found.io/app/kibana#/discover/Steve-Slow-Train-Analysis-(2080s-and-2083s)?_g=(refreshInterval:(display:Off,pause:!f,section:0,value:0),time:(from:'2017-11-28T04:24:31-0700',mode:absolute,to:'2017-11-28T06:58:52-0700'))&amp;_a=(columns:!('Message%20ID',Summary),filters:!(),index:'emp_*',interval:auto,query:(query_string:(analyze_wildcard:!t,query:'%22rtdc.l.rtdc.4039%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230" t="s">
        <v>693</v>
      </c>
      <c r="B23" s="226">
        <v>4058</v>
      </c>
      <c r="C23" s="228" t="s">
        <v>192</v>
      </c>
      <c r="D23" s="228" t="s">
        <v>474</v>
      </c>
      <c r="E23" s="227">
        <v>43067.202893518515</v>
      </c>
      <c r="F23" s="227">
        <v>43067.208773148152</v>
      </c>
      <c r="G23" s="226">
        <v>70</v>
      </c>
      <c r="H23" s="228" t="s">
        <v>434</v>
      </c>
      <c r="I23" s="227">
        <v>43067.233402777776</v>
      </c>
      <c r="J23" s="226">
        <v>0</v>
      </c>
      <c r="K23" s="238" t="str">
        <f t="shared" si="0"/>
        <v>4057/4058</v>
      </c>
      <c r="L23" s="246" t="str">
        <f>VLOOKUP(A23,'Trips&amp;Operators'!$C$1:$G$99911,5,FALSE)</f>
        <v>ROCHA YAOTL</v>
      </c>
      <c r="M23" s="225">
        <f t="shared" si="1"/>
        <v>2.4629629624541849E-2</v>
      </c>
      <c r="N23" s="226">
        <f t="shared" ref="N23:N40" si="24">24*60*SUM($M23:$M23)</f>
        <v>35.466666659340262</v>
      </c>
      <c r="O23" s="226"/>
      <c r="P23" s="226"/>
      <c r="Q23" s="229"/>
      <c r="R23" s="243"/>
      <c r="S23" s="250">
        <f t="shared" si="3"/>
        <v>1</v>
      </c>
      <c r="T23" s="243" t="str">
        <f t="shared" si="4"/>
        <v>NorthBound</v>
      </c>
      <c r="U23" s="247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49" t="str">
        <f t="shared" si="5"/>
        <v>https://d0f6bd738d7f1b3e5a7ca70fe4ff75f0.us-east-1.aws.found.io/app/kibana#/discover/Steve-Slow-Train-Analysis-(2080s-and-2083s)?_g=(refreshInterval:(display:Off,pause:!f,section:0,value:0),time:(from:'2017-11-28T03:52:10-0700',mode:absolute,to:'2017-11-28T06:36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3" s="248" t="str">
        <f>IF(AA23&lt;VLOOKUP(AG23,Variables!$AC$3:$AD$8,2,FALSE),"Y","N")</f>
        <v>N</v>
      </c>
      <c r="X23" s="248">
        <f t="shared" si="6"/>
        <v>1</v>
      </c>
      <c r="Y23" s="248">
        <f t="shared" si="7"/>
        <v>4.53E-2</v>
      </c>
      <c r="Z23" s="248">
        <f t="shared" si="8"/>
        <v>23.329499999999999</v>
      </c>
      <c r="AA23" s="248">
        <f t="shared" si="9"/>
        <v>23.284199999999998</v>
      </c>
      <c r="AB23" s="234" t="e">
        <f>VLOOKUP(A23,Enforcements!$C$7:$K$9,8,0)</f>
        <v>#N/A</v>
      </c>
      <c r="AC23" s="233" t="e">
        <f>VLOOKUP(A23,Enforcements!$C$7:$E$9,3,0)</f>
        <v>#N/A</v>
      </c>
      <c r="AD23" s="244">
        <f t="shared" si="10"/>
        <v>111</v>
      </c>
      <c r="AE23" s="236" t="str">
        <f t="shared" si="11"/>
        <v>aws s3 cp s3://rtdc.mdm.uploadarchive.raw/RTDC4058/ "%USERPROFILE%\AppData\Local\Temp\OnboardLogs"\RTDC4058\2017-11-28 --exclude "*" --recursive --include "*20171128*" &amp; "%USERPROFILE%\Documents\GitHub\mrs-test-scripts\Headless Mode &amp; Sideloading\WalkAndUnGZ.bat" "%USERPROFILE%\AppData\Local\Temp\OnboardLogs"\RTDC4058\2017-11-28 &amp; aws s3 cp s3://rtdc.mdm.uploadarchive.raw/RTDC4058/ "%USERPROFILE%\AppData\Local\Temp\OnboardLogs"\RTDC4058\2017-11-29 --exclude "*" --recursive --include "*20171129*" &amp; "%USERPROFILE%\Documents\GitHub\mrs-test-scripts\Headless Mode &amp; Sideloading\WalkAndUnGZ.bat" "%USERPROFILE%\AppData\Local\Temp\OnboardLogs"\RTDC4058\2017-11-29</v>
      </c>
      <c r="AF23" s="235" t="str">
        <f t="shared" si="12"/>
        <v>"C:\Program Files (x86)\AstroGrep\AstroGrep.exe" /e /r /s /spath="%USERPROFILE%\AppData\Local\Temp\OnboardLogs" /stypes="app*4058*20171128*" /stext=" 12:.+((SYSTEM_STATE.+slice.+state.+changed )|(ment ac)|(multiple cpu faults)|(system.+state.+changed )|(\[timeout)|(PRM\|1\|D)|(kpr)|(kdp)|(train st.+moving)|(\|lc)|(penalty))"</v>
      </c>
      <c r="AG23" s="245" t="str">
        <f t="shared" si="13"/>
        <v>EC</v>
      </c>
      <c r="AH23" s="237" t="str">
        <f t="shared" si="19"/>
        <v>"%USERPROFILE%\Documents\GitHub\eaglep3\Utilities\RefineRTDCRunTimes.py" --tripid 111-28 --locoid 4058 --swversion DE.1.0.9.0 --startMP 204:453 --initTime 2017-11-28T04:52:10 --startdatetime 2017-11-28T05:00:38 --delay 70 --endMP 204:233295 --enddatetime 2017-11-28T05:36:06 --enforcementcount 0 &gt;&gt;%USERPROFILE%\Documents\GitHub\eaglep3-reporting\EC\2017-11-28-refined-times.txt</v>
      </c>
      <c r="AI23" s="239" t="str">
        <f t="shared" si="20"/>
        <v>echo {"issue":{"subject":"","project_id":79,"tracker_id":40,"status_id":1,"priority_id":2,"assigned_to_id":338,"start_date":"2017-11-28","description":"","custom_fields":[{"id":1,"name":"Subdivision","value":"EC"},{"id":4,"name":"Milepost","value":"23.3295"},{"id":17,"name":"Train ID","value":"111-28"},{"id":16,"name":"Locomotive ID","value":"4058"},{"id":130,"name":"Impact","value":""},{"id":150,"name":"Time of Event (Mountain Time)","value":"05:36:06"},{"id":151,"name":"Denver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" s="224"/>
      <c r="AK23" s="232"/>
      <c r="AL23" s="232"/>
      <c r="AM23" s="241" t="str">
        <f t="shared" si="21"/>
        <v>start /low /b %USERPROFILE%\Documents\GitHub\eaglep3\Utilities\DownloadLogsFromS3.py --loco 4058 --day 2017-11-28</v>
      </c>
      <c r="AN23" s="242" t="str">
        <f t="shared" si="2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12:36:06"},{"id":29,"name":"Sharepoint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231" t="str">
        <f t="shared" si="23"/>
        <v>https://d0f6bd738d7f1b3e5a7ca70fe4ff75f0.us-east-1.aws.found.io/app/kibana#/discover/Steve-Slow-Train-Analysis-(2080s-and-2083s)?_g=(refreshInterval:(display:Off,pause:!f,section:0,value:0),time:(from:'2017-11-28T03:52:10-0700',mode:absolute,to:'2017-11-28T06:36:06-0700'))&amp;_a=(columns:!('Message%20ID',Summary),filters:!(),index:'emp_*',interval:auto,query:(query_string:(analyze_wildcard:!t,query:'%22rtdc.l.rtdc.4058%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230" t="s">
        <v>706</v>
      </c>
      <c r="B24" s="226">
        <v>4057</v>
      </c>
      <c r="C24" s="228" t="s">
        <v>192</v>
      </c>
      <c r="D24" s="228" t="s">
        <v>899</v>
      </c>
      <c r="E24" s="227">
        <v>43067.246620370373</v>
      </c>
      <c r="F24" s="227">
        <v>43067.248124999998</v>
      </c>
      <c r="G24" s="226">
        <v>49</v>
      </c>
      <c r="H24" s="228" t="s">
        <v>473</v>
      </c>
      <c r="I24" s="227">
        <v>43067.274791666663</v>
      </c>
      <c r="J24" s="226">
        <v>0</v>
      </c>
      <c r="K24" s="238" t="str">
        <f t="shared" si="0"/>
        <v>4057/4058</v>
      </c>
      <c r="L24" s="246" t="str">
        <f>VLOOKUP(A24,'Trips&amp;Operators'!$C$1:$G$99911,5,FALSE)</f>
        <v>ROCHA YAOTL</v>
      </c>
      <c r="M24" s="225">
        <f t="shared" si="1"/>
        <v>2.6666666664823424E-2</v>
      </c>
      <c r="N24" s="226">
        <f t="shared" si="24"/>
        <v>38.399999997345731</v>
      </c>
      <c r="O24" s="226"/>
      <c r="P24" s="226"/>
      <c r="Q24" s="229"/>
      <c r="R24" s="243"/>
      <c r="S24" s="250">
        <f t="shared" si="3"/>
        <v>1</v>
      </c>
      <c r="T24" s="243" t="str">
        <f t="shared" si="4"/>
        <v>Southbound</v>
      </c>
      <c r="U24" s="247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49" t="str">
        <f t="shared" si="5"/>
        <v>https://d0f6bd738d7f1b3e5a7ca70fe4ff75f0.us-east-1.aws.found.io/app/kibana#/discover/Steve-Slow-Train-Analysis-(2080s-and-2083s)?_g=(refreshInterval:(display:Off,pause:!f,section:0,value:0),time:(from:'2017-11-28T04:55:08-0700',mode:absolute,to:'2017-11-28T07:35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4" s="248" t="str">
        <f>IF(AA24&lt;VLOOKUP(AG24,Variables!$AC$3:$AD$8,2,FALSE),"Y","N")</f>
        <v>N</v>
      </c>
      <c r="X24" s="248">
        <f t="shared" si="6"/>
        <v>1</v>
      </c>
      <c r="Y24" s="248">
        <f t="shared" si="7"/>
        <v>23.296199999999999</v>
      </c>
      <c r="Z24" s="248">
        <f t="shared" si="8"/>
        <v>1.49E-2</v>
      </c>
      <c r="AA24" s="248">
        <f t="shared" si="9"/>
        <v>23.281299999999998</v>
      </c>
      <c r="AB24" s="234" t="e">
        <f>VLOOKUP(A24,Enforcements!$C$7:$K$9,8,0)</f>
        <v>#N/A</v>
      </c>
      <c r="AC24" s="233" t="e">
        <f>VLOOKUP(A24,Enforcements!$C$7:$E$9,3,0)</f>
        <v>#N/A</v>
      </c>
      <c r="AD24" s="244">
        <f t="shared" si="10"/>
        <v>112</v>
      </c>
      <c r="AE24" s="236" t="str">
        <f t="shared" si="11"/>
        <v>aws s3 cp s3://rtdc.mdm.uploadarchive.raw/RTDC4057/ "%USERPROFILE%\AppData\Local\Temp\OnboardLogs"\RTDC4057\2017-11-28 --exclude "*" --recursive --include "*20171128*" &amp; "%USERPROFILE%\Documents\GitHub\mrs-test-scripts\Headless Mode &amp; Sideloading\WalkAndUnGZ.bat" "%USERPROFILE%\AppData\Local\Temp\OnboardLogs"\RTDC4057\2017-11-28 &amp; aws s3 cp s3://rtdc.mdm.uploadarchive.raw/RTDC4057/ "%USERPROFILE%\AppData\Local\Temp\OnboardLogs"\RTDC4057\2017-11-29 --exclude "*" --recursive --include "*20171129*" &amp; "%USERPROFILE%\Documents\GitHub\mrs-test-scripts\Headless Mode &amp; Sideloading\WalkAndUnGZ.bat" "%USERPROFILE%\AppData\Local\Temp\OnboardLogs"\RTDC4057\2017-11-29</v>
      </c>
      <c r="AF24" s="235" t="str">
        <f t="shared" si="12"/>
        <v>"C:\Program Files (x86)\AstroGrep\AstroGrep.exe" /e /r /s /spath="%USERPROFILE%\AppData\Local\Temp\OnboardLogs" /stypes="app*4057*20171128*" /stext=" 13:.+((SYSTEM_STATE.+slice.+state.+changed )|(ment ac)|(multiple cpu faults)|(system.+state.+changed )|(\[timeout)|(PRM\|1\|D)|(kpr)|(kdp)|(train st.+moving)|(\|lc)|(penalty))"</v>
      </c>
      <c r="AG24" s="245" t="str">
        <f t="shared" si="13"/>
        <v>EC</v>
      </c>
      <c r="AH24" s="237" t="str">
        <f t="shared" si="19"/>
        <v>"%USERPROFILE%\Documents\GitHub\eaglep3\Utilities\RefineRTDCRunTimes.py" --tripid 112-28 --locoid 4057 --swversion DE.1.0.9.0 --startMP 204:232962 --initTime 2017-11-28T05:55:08 --startdatetime 2017-11-28T05:57:18 --delay 49 --endMP 204:149 --enddatetime 2017-11-28T06:35:42 --enforcementcount 0 &gt;&gt;%USERPROFILE%\Documents\GitHub\eaglep3-reporting\EC\2017-11-28-refined-times.txt</v>
      </c>
      <c r="AI24" s="239" t="str">
        <f t="shared" si="20"/>
        <v>echo {"issue":{"subject":"","project_id":79,"tracker_id":40,"status_id":1,"priority_id":2,"assigned_to_id":338,"start_date":"2017-11-28","description":"","custom_fields":[{"id":1,"name":"Subdivision","value":"EC"},{"id":4,"name":"Milepost","value":"0.0149"},{"id":17,"name":"Train ID","value":"112-28"},{"id":16,"name":"Locomotive ID","value":"4057"},{"id":130,"name":"Impact","value":""},{"id":150,"name":"Time of Event (Mountain Time)","value":"06:35:42"},{"id":151,"name":"Denver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" s="224"/>
      <c r="AK24" s="232"/>
      <c r="AL24" s="232"/>
      <c r="AM24" s="241" t="str">
        <f t="shared" si="21"/>
        <v>start /low /b %USERPROFILE%\Documents\GitHub\eaglep3\Utilities\DownloadLogsFromS3.py --loco 4057 --day 2017-11-28</v>
      </c>
      <c r="AN24" s="242" t="str">
        <f t="shared" si="2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13:35:42"},{"id":29,"name":"Sharepoint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231" t="str">
        <f t="shared" si="23"/>
        <v>https://d0f6bd738d7f1b3e5a7ca70fe4ff75f0.us-east-1.aws.found.io/app/kibana#/discover/Steve-Slow-Train-Analysis-(2080s-and-2083s)?_g=(refreshInterval:(display:Off,pause:!f,section:0,value:0),time:(from:'2017-11-28T04:55:08-0700',mode:absolute,to:'2017-11-28T07:35:42-0700'))&amp;_a=(columns:!('Message%20ID',Summary),filters:!(),index:'emp_*',interval:auto,query:(query_string:(analyze_wildcard:!t,query:'%22rtdc.l.rtdc.4057%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230" t="s">
        <v>695</v>
      </c>
      <c r="B25" s="226">
        <v>4034</v>
      </c>
      <c r="C25" s="228" t="s">
        <v>192</v>
      </c>
      <c r="D25" s="228" t="s">
        <v>900</v>
      </c>
      <c r="E25" s="227">
        <v>43067.207962962966</v>
      </c>
      <c r="F25" s="227">
        <v>43067.218912037039</v>
      </c>
      <c r="G25" s="226">
        <v>56</v>
      </c>
      <c r="H25" s="228" t="s">
        <v>434</v>
      </c>
      <c r="I25" s="227">
        <v>43067.244085648148</v>
      </c>
      <c r="J25" s="226">
        <v>0</v>
      </c>
      <c r="K25" s="238" t="str">
        <f t="shared" si="0"/>
        <v>4033/4034</v>
      </c>
      <c r="L25" s="246" t="str">
        <f>VLOOKUP(A25,'Trips&amp;Operators'!$C$1:$G$99911,5,FALSE)</f>
        <v>YANAI IAN</v>
      </c>
      <c r="M25" s="225">
        <f t="shared" si="1"/>
        <v>2.5173611109494232E-2</v>
      </c>
      <c r="N25" s="226">
        <f t="shared" si="24"/>
        <v>36.249999997671694</v>
      </c>
      <c r="O25" s="226"/>
      <c r="P25" s="226"/>
      <c r="Q25" s="229"/>
      <c r="R25" s="243"/>
      <c r="S25" s="250">
        <f t="shared" si="3"/>
        <v>1</v>
      </c>
      <c r="T25" s="243" t="str">
        <f t="shared" si="4"/>
        <v>NorthBound</v>
      </c>
      <c r="U25" s="247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49" t="str">
        <f t="shared" si="5"/>
        <v>https://d0f6bd738d7f1b3e5a7ca70fe4ff75f0.us-east-1.aws.found.io/app/kibana#/discover/Steve-Slow-Train-Analysis-(2080s-and-2083s)?_g=(refreshInterval:(display:Off,pause:!f,section:0,value:0),time:(from:'2017-11-28T03:59:28-0700',mode:absolute,to:'2017-11-28T06:51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5" s="248" t="str">
        <f>IF(AA25&lt;VLOOKUP(AG25,Variables!$AC$3:$AD$8,2,FALSE),"Y","N")</f>
        <v>N</v>
      </c>
      <c r="X25" s="248">
        <f t="shared" si="6"/>
        <v>1</v>
      </c>
      <c r="Y25" s="248">
        <f t="shared" si="7"/>
        <v>4.3499999999999997E-2</v>
      </c>
      <c r="Z25" s="248">
        <f t="shared" si="8"/>
        <v>23.329499999999999</v>
      </c>
      <c r="AA25" s="248">
        <f t="shared" si="9"/>
        <v>23.285999999999998</v>
      </c>
      <c r="AB25" s="234" t="e">
        <f>VLOOKUP(A25,Enforcements!$C$7:$K$9,8,0)</f>
        <v>#N/A</v>
      </c>
      <c r="AC25" s="233" t="e">
        <f>VLOOKUP(A25,Enforcements!$C$7:$E$9,3,0)</f>
        <v>#N/A</v>
      </c>
      <c r="AD25" s="244">
        <f t="shared" si="10"/>
        <v>113</v>
      </c>
      <c r="AE25" s="236" t="str">
        <f t="shared" si="11"/>
        <v>aws s3 cp s3://rtdc.mdm.uploadarchive.raw/RTDC4034/ "%USERPROFILE%\AppData\Local\Temp\OnboardLogs"\RTDC4034\2017-11-28 --exclude "*" --recursive --include "*20171128*" &amp; "%USERPROFILE%\Documents\GitHub\mrs-test-scripts\Headless Mode &amp; Sideloading\WalkAndUnGZ.bat" "%USERPROFILE%\AppData\Local\Temp\OnboardLogs"\RTDC4034\2017-11-28 &amp; aws s3 cp s3://rtdc.mdm.uploadarchive.raw/RTDC4034/ "%USERPROFILE%\AppData\Local\Temp\OnboardLogs"\RTDC4034\2017-11-29 --exclude "*" --recursive --include "*20171129*" &amp; "%USERPROFILE%\Documents\GitHub\mrs-test-scripts\Headless Mode &amp; Sideloading\WalkAndUnGZ.bat" "%USERPROFILE%\AppData\Local\Temp\OnboardLogs"\RTDC4034\2017-11-29</v>
      </c>
      <c r="AF25" s="235" t="str">
        <f t="shared" si="12"/>
        <v>"C:\Program Files (x86)\AstroGrep\AstroGrep.exe" /e /r /s /spath="%USERPROFILE%\AppData\Local\Temp\OnboardLogs" /stypes="app*4034*20171128*" /stext=" 12:.+((SYSTEM_STATE.+slice.+state.+changed )|(ment ac)|(multiple cpu faults)|(system.+state.+changed )|(\[timeout)|(PRM\|1\|D)|(kpr)|(kdp)|(train st.+moving)|(\|lc)|(penalty))"</v>
      </c>
      <c r="AG25" s="245" t="str">
        <f t="shared" si="13"/>
        <v>EC</v>
      </c>
      <c r="AH25" s="237" t="str">
        <f t="shared" si="19"/>
        <v>"%USERPROFILE%\Documents\GitHub\eaglep3\Utilities\RefineRTDCRunTimes.py" --tripid 113-28 --locoid 4034 --swversion DE.1.0.9.0 --startMP 204:435 --initTime 2017-11-28T04:59:28 --startdatetime 2017-11-28T05:15:14 --delay 56 --endMP 204:233295 --enddatetime 2017-11-28T05:51:29 --enforcementcount 0 &gt;&gt;%USERPROFILE%\Documents\GitHub\eaglep3-reporting\EC\2017-11-28-refined-times.txt</v>
      </c>
      <c r="AI25" s="239" t="str">
        <f t="shared" si="20"/>
        <v>echo {"issue":{"subject":"","project_id":79,"tracker_id":40,"status_id":1,"priority_id":2,"assigned_to_id":338,"start_date":"2017-11-28","description":"","custom_fields":[{"id":1,"name":"Subdivision","value":"EC"},{"id":4,"name":"Milepost","value":"23.3295"},{"id":17,"name":"Train ID","value":"113-28"},{"id":16,"name":"Locomotive ID","value":"4034"},{"id":130,"name":"Impact","value":""},{"id":150,"name":"Time of Event (Mountain Time)","value":"05:51:29"},{"id":151,"name":"Denver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" s="224"/>
      <c r="AK25" s="232"/>
      <c r="AL25" s="232"/>
      <c r="AM25" s="241" t="str">
        <f t="shared" si="21"/>
        <v>start /low /b %USERPROFILE%\Documents\GitHub\eaglep3\Utilities\DownloadLogsFromS3.py --loco 4034 --day 2017-11-28</v>
      </c>
      <c r="AN25" s="242" t="str">
        <f t="shared" si="2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12:51:29"},{"id":29,"name":"Sharepoint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231" t="str">
        <f t="shared" si="23"/>
        <v>https://d0f6bd738d7f1b3e5a7ca70fe4ff75f0.us-east-1.aws.found.io/app/kibana#/discover/Steve-Slow-Train-Analysis-(2080s-and-2083s)?_g=(refreshInterval:(display:Off,pause:!f,section:0,value:0),time:(from:'2017-11-28T03:59:28-0700',mode:absolute,to:'2017-11-28T06:51:29-0700'))&amp;_a=(columns:!('Message%20ID',Summary),filters:!(),index:'emp_*',interval:auto,query:(query_string:(analyze_wildcard:!t,query:'%22rtdc.l.rtdc.4034%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230" t="s">
        <v>705</v>
      </c>
      <c r="B26" s="226">
        <v>4033</v>
      </c>
      <c r="C26" s="228" t="s">
        <v>192</v>
      </c>
      <c r="D26" s="228" t="s">
        <v>901</v>
      </c>
      <c r="E26" s="227">
        <v>43067.245335648149</v>
      </c>
      <c r="F26" s="227">
        <v>43067.25849537037</v>
      </c>
      <c r="G26" s="226">
        <v>53</v>
      </c>
      <c r="H26" s="228" t="s">
        <v>457</v>
      </c>
      <c r="I26" s="227">
        <v>43067.285451388889</v>
      </c>
      <c r="J26" s="226">
        <v>0</v>
      </c>
      <c r="K26" s="238" t="str">
        <f t="shared" si="0"/>
        <v>4033/4034</v>
      </c>
      <c r="L26" s="246" t="str">
        <f>VLOOKUP(A26,'Trips&amp;Operators'!$C$1:$G$99911,5,FALSE)</f>
        <v>YANAI IAN</v>
      </c>
      <c r="M26" s="225">
        <f t="shared" si="1"/>
        <v>2.6956018518831115E-2</v>
      </c>
      <c r="N26" s="226">
        <f t="shared" si="24"/>
        <v>38.816666667116806</v>
      </c>
      <c r="O26" s="226"/>
      <c r="P26" s="226"/>
      <c r="Q26" s="229"/>
      <c r="R26" s="243"/>
      <c r="S26" s="250">
        <f t="shared" si="3"/>
        <v>1</v>
      </c>
      <c r="T26" s="243" t="str">
        <f t="shared" si="4"/>
        <v>Southbound</v>
      </c>
      <c r="U26" s="247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49" t="str">
        <f t="shared" si="5"/>
        <v>https://d0f6bd738d7f1b3e5a7ca70fe4ff75f0.us-east-1.aws.found.io/app/kibana#/discover/Steve-Slow-Train-Analysis-(2080s-and-2083s)?_g=(refreshInterval:(display:Off,pause:!f,section:0,value:0),time:(from:'2017-11-28T04:53:17-0700',mode:absolute,to:'2017-11-28T07:51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26" s="248" t="str">
        <f>IF(AA26&lt;VLOOKUP(AG26,Variables!$AC$3:$AD$8,2,FALSE),"Y","N")</f>
        <v>N</v>
      </c>
      <c r="X26" s="248">
        <f t="shared" si="6"/>
        <v>1</v>
      </c>
      <c r="Y26" s="248">
        <f t="shared" si="7"/>
        <v>23.297799999999999</v>
      </c>
      <c r="Z26" s="248">
        <f t="shared" si="8"/>
        <v>1.41E-2</v>
      </c>
      <c r="AA26" s="248">
        <f t="shared" si="9"/>
        <v>23.2837</v>
      </c>
      <c r="AB26" s="234" t="e">
        <f>VLOOKUP(A26,Enforcements!$C$7:$K$9,8,0)</f>
        <v>#N/A</v>
      </c>
      <c r="AC26" s="233" t="e">
        <f>VLOOKUP(A26,Enforcements!$C$7:$E$9,3,0)</f>
        <v>#N/A</v>
      </c>
      <c r="AD26" s="244">
        <f t="shared" si="10"/>
        <v>114</v>
      </c>
      <c r="AE26" s="236" t="str">
        <f t="shared" si="11"/>
        <v>aws s3 cp s3://rtdc.mdm.uploadarchive.raw/RTDC4033/ "%USERPROFILE%\AppData\Local\Temp\OnboardLogs"\RTDC4033\2017-11-28 --exclude "*" --recursive --include "*20171128*" &amp; "%USERPROFILE%\Documents\GitHub\mrs-test-scripts\Headless Mode &amp; Sideloading\WalkAndUnGZ.bat" "%USERPROFILE%\AppData\Local\Temp\OnboardLogs"\RTDC4033\2017-11-28 &amp; aws s3 cp s3://rtdc.mdm.uploadarchive.raw/RTDC4033/ "%USERPROFILE%\AppData\Local\Temp\OnboardLogs"\RTDC4033\2017-11-29 --exclude "*" --recursive --include "*20171129*" &amp; "%USERPROFILE%\Documents\GitHub\mrs-test-scripts\Headless Mode &amp; Sideloading\WalkAndUnGZ.bat" "%USERPROFILE%\AppData\Local\Temp\OnboardLogs"\RTDC4033\2017-11-29</v>
      </c>
      <c r="AF26" s="235" t="str">
        <f t="shared" si="12"/>
        <v>"C:\Program Files (x86)\AstroGrep\AstroGrep.exe" /e /r /s /spath="%USERPROFILE%\AppData\Local\Temp\OnboardLogs" /stypes="app*4033*20171128*" /stext=" 13:.+((SYSTEM_STATE.+slice.+state.+changed )|(ment ac)|(multiple cpu faults)|(system.+state.+changed )|(\[timeout)|(PRM\|1\|D)|(kpr)|(kdp)|(train st.+moving)|(\|lc)|(penalty))"</v>
      </c>
      <c r="AG26" s="245" t="str">
        <f t="shared" si="13"/>
        <v>EC</v>
      </c>
      <c r="AH26" s="237" t="str">
        <f t="shared" si="19"/>
        <v>"%USERPROFILE%\Documents\GitHub\eaglep3\Utilities\RefineRTDCRunTimes.py" --tripid 114-28 --locoid 4033 --swversion DE.1.0.9.0 --startMP 204:232978 --initTime 2017-11-28T05:53:17 --startdatetime 2017-11-28T06:12:14 --delay 53 --endMP 204:141 --enddatetime 2017-11-28T06:51:03 --enforcementcount 0 &gt;&gt;%USERPROFILE%\Documents\GitHub\eaglep3-reporting\EC\2017-11-28-refined-times.txt</v>
      </c>
      <c r="AI26" s="239" t="str">
        <f t="shared" si="20"/>
        <v>echo {"issue":{"subject":"","project_id":79,"tracker_id":40,"status_id":1,"priority_id":2,"assigned_to_id":338,"start_date":"2017-11-28","description":"","custom_fields":[{"id":1,"name":"Subdivision","value":"EC"},{"id":4,"name":"Milepost","value":"0.0141"},{"id":17,"name":"Train ID","value":"114-28"},{"id":16,"name":"Locomotive ID","value":"4033"},{"id":130,"name":"Impact","value":""},{"id":150,"name":"Time of Event (Mountain Time)","value":"06:51:03"},{"id":151,"name":"Denver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6" s="224"/>
      <c r="AK26" s="232"/>
      <c r="AL26" s="232"/>
      <c r="AM26" s="241" t="str">
        <f t="shared" si="21"/>
        <v>start /low /b %USERPROFILE%\Documents\GitHub\eaglep3\Utilities\DownloadLogsFromS3.py --loco 4033 --day 2017-11-28</v>
      </c>
      <c r="AN26" s="242" t="str">
        <f t="shared" si="2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13:51:03"},{"id":29,"name":"Sharepoint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231" t="str">
        <f t="shared" si="23"/>
        <v>https://d0f6bd738d7f1b3e5a7ca70fe4ff75f0.us-east-1.aws.found.io/app/kibana#/discover/Steve-Slow-Train-Analysis-(2080s-and-2083s)?_g=(refreshInterval:(display:Off,pause:!f,section:0,value:0),time:(from:'2017-11-28T04:53:17-0700',mode:absolute,to:'2017-11-28T07:51:03-0700'))&amp;_a=(columns:!('Message%20ID',Summary),filters:!(),index:'emp_*',interval:auto,query:(query_string:(analyze_wildcard:!t,query:'%22rtdc.l.rtdc.4033%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230" t="s">
        <v>700</v>
      </c>
      <c r="B27" s="226">
        <v>4008</v>
      </c>
      <c r="C27" s="228" t="s">
        <v>192</v>
      </c>
      <c r="D27" s="228" t="s">
        <v>597</v>
      </c>
      <c r="E27" s="227">
        <v>43067.223587962966</v>
      </c>
      <c r="F27" s="227">
        <v>43067.22934027778</v>
      </c>
      <c r="G27" s="226">
        <v>150</v>
      </c>
      <c r="H27" s="228" t="s">
        <v>470</v>
      </c>
      <c r="I27" s="227">
        <v>43067.25503472222</v>
      </c>
      <c r="J27" s="226">
        <v>0</v>
      </c>
      <c r="K27" s="238" t="str">
        <f t="shared" si="0"/>
        <v>4007/4008</v>
      </c>
      <c r="L27" s="246" t="str">
        <f>VLOOKUP(A27,'Trips&amp;Operators'!$C$1:$G$99911,5,FALSE)</f>
        <v>NICHOLAS PLOYSA</v>
      </c>
      <c r="M27" s="225">
        <f t="shared" si="1"/>
        <v>2.569444444088731E-2</v>
      </c>
      <c r="N27" s="226">
        <f t="shared" si="24"/>
        <v>36.999999994877726</v>
      </c>
      <c r="O27" s="226"/>
      <c r="P27" s="226"/>
      <c r="Q27" s="229"/>
      <c r="R27" s="243"/>
      <c r="S27" s="250">
        <f t="shared" si="3"/>
        <v>1</v>
      </c>
      <c r="T27" s="243" t="str">
        <f t="shared" si="4"/>
        <v>NorthBound</v>
      </c>
      <c r="U27" s="247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49" t="str">
        <f t="shared" si="5"/>
        <v>https://d0f6bd738d7f1b3e5a7ca70fe4ff75f0.us-east-1.aws.found.io/app/kibana#/discover/Steve-Slow-Train-Analysis-(2080s-and-2083s)?_g=(refreshInterval:(display:Off,pause:!f,section:0,value:0),time:(from:'2017-11-28T04:21:58-0700',mode:absolute,to:'2017-11-28T07:07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7" s="248" t="str">
        <f>IF(AA27&lt;VLOOKUP(AG27,Variables!$AC$3:$AD$8,2,FALSE),"Y","N")</f>
        <v>N</v>
      </c>
      <c r="X27" s="248">
        <f t="shared" si="6"/>
        <v>1</v>
      </c>
      <c r="Y27" s="248">
        <f t="shared" si="7"/>
        <v>5.0599999999999999E-2</v>
      </c>
      <c r="Z27" s="248">
        <f t="shared" si="8"/>
        <v>23.327999999999999</v>
      </c>
      <c r="AA27" s="248">
        <f t="shared" si="9"/>
        <v>23.2774</v>
      </c>
      <c r="AB27" s="234" t="e">
        <f>VLOOKUP(A27,Enforcements!$C$7:$K$9,8,0)</f>
        <v>#N/A</v>
      </c>
      <c r="AC27" s="233" t="e">
        <f>VLOOKUP(A27,Enforcements!$C$7:$E$9,3,0)</f>
        <v>#N/A</v>
      </c>
      <c r="AD27" s="244">
        <f t="shared" si="10"/>
        <v>115</v>
      </c>
      <c r="AE27" s="236" t="str">
        <f t="shared" si="11"/>
        <v>aws s3 cp s3://rtdc.mdm.uploadarchive.raw/RTDC4008/ "%USERPROFILE%\AppData\Local\Temp\OnboardLogs"\RTDC4008\2017-11-28 --exclude "*" --recursive --include "*20171128*" &amp; "%USERPROFILE%\Documents\GitHub\mrs-test-scripts\Headless Mode &amp; Sideloading\WalkAndUnGZ.bat" "%USERPROFILE%\AppData\Local\Temp\OnboardLogs"\RTDC4008\2017-11-28 &amp; aws s3 cp s3://rtdc.mdm.uploadarchive.raw/RTDC4008/ "%USERPROFILE%\AppData\Local\Temp\OnboardLogs"\RTDC4008\2017-11-29 --exclude "*" --recursive --include "*20171129*" &amp; "%USERPROFILE%\Documents\GitHub\mrs-test-scripts\Headless Mode &amp; Sideloading\WalkAndUnGZ.bat" "%USERPROFILE%\AppData\Local\Temp\OnboardLogs"\RTDC4008\2017-11-29</v>
      </c>
      <c r="AF27" s="235" t="str">
        <f t="shared" si="12"/>
        <v>"C:\Program Files (x86)\AstroGrep\AstroGrep.exe" /e /r /s /spath="%USERPROFILE%\AppData\Local\Temp\OnboardLogs" /stypes="app*4008*20171128*" /stext=" 13:.+((SYSTEM_STATE.+slice.+state.+changed )|(ment ac)|(multiple cpu faults)|(system.+state.+changed )|(\[timeout)|(PRM\|1\|D)|(kpr)|(kdp)|(train st.+moving)|(\|lc)|(penalty))"</v>
      </c>
      <c r="AG27" s="245" t="str">
        <f t="shared" si="13"/>
        <v>EC</v>
      </c>
      <c r="AH27" s="237" t="str">
        <f t="shared" si="19"/>
        <v>"%USERPROFILE%\Documents\GitHub\eaglep3\Utilities\RefineRTDCRunTimes.py" --tripid 115-28 --locoid 4008 --swversion DE.1.0.9.0 --startMP 204:506 --initTime 2017-11-28T05:21:58 --startdatetime 2017-11-28T05:30:15 --delay 150 --endMP 204:233280 --enddatetime 2017-11-28T06:07:15 --enforcementcount 0 &gt;&gt;%USERPROFILE%\Documents\GitHub\eaglep3-reporting\EC\2017-11-28-refined-times.txt</v>
      </c>
      <c r="AI27" s="239" t="str">
        <f t="shared" si="20"/>
        <v>echo {"issue":{"subject":"","project_id":79,"tracker_id":40,"status_id":1,"priority_id":2,"assigned_to_id":338,"start_date":"2017-11-28","description":"","custom_fields":[{"id":1,"name":"Subdivision","value":"EC"},{"id":4,"name":"Milepost","value":"23.328"},{"id":17,"name":"Train ID","value":"115-28"},{"id":16,"name":"Locomotive ID","value":"4008"},{"id":130,"name":"Impact","value":""},{"id":150,"name":"Time of Event (Mountain Time)","value":"06:07:15"},{"id":151,"name":"Denver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7" s="224"/>
      <c r="AK27" s="232"/>
      <c r="AL27" s="232"/>
      <c r="AM27" s="241" t="str">
        <f t="shared" si="21"/>
        <v>start /low /b %USERPROFILE%\Documents\GitHub\eaglep3\Utilities\DownloadLogsFromS3.py --loco 4008 --day 2017-11-28</v>
      </c>
      <c r="AN27" s="242" t="str">
        <f t="shared" si="2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13:07:15"},{"id":29,"name":"Sharepoint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231" t="str">
        <f t="shared" si="23"/>
        <v>https://d0f6bd738d7f1b3e5a7ca70fe4ff75f0.us-east-1.aws.found.io/app/kibana#/discover/Steve-Slow-Train-Analysis-(2080s-and-2083s)?_g=(refreshInterval:(display:Off,pause:!f,section:0,value:0),time:(from:'2017-11-28T04:21:58-0700',mode:absolute,to:'2017-11-28T07:07:15-0700'))&amp;_a=(columns:!('Message%20ID',Summary),filters:!(),index:'emp_*',interval:auto,query:(query_string:(analyze_wildcard:!t,query:'%22rtdc.l.rtdc.4008%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230" t="s">
        <v>710</v>
      </c>
      <c r="B28" s="226">
        <v>4007</v>
      </c>
      <c r="C28" s="228" t="s">
        <v>192</v>
      </c>
      <c r="D28" s="228" t="s">
        <v>430</v>
      </c>
      <c r="E28" s="227">
        <v>43067.260266203702</v>
      </c>
      <c r="F28" s="227">
        <v>43067.268923611111</v>
      </c>
      <c r="G28" s="226">
        <v>153</v>
      </c>
      <c r="H28" s="228" t="s">
        <v>485</v>
      </c>
      <c r="I28" s="227">
        <v>43067.296319444446</v>
      </c>
      <c r="J28" s="226">
        <v>0</v>
      </c>
      <c r="K28" s="238" t="str">
        <f t="shared" si="0"/>
        <v>4007/4008</v>
      </c>
      <c r="L28" s="246" t="str">
        <f>VLOOKUP(A28,'Trips&amp;Operators'!$C$1:$G$99911,5,FALSE)</f>
        <v>NICHOLAS PLOYSA</v>
      </c>
      <c r="M28" s="225">
        <f t="shared" si="1"/>
        <v>2.7395833334594499E-2</v>
      </c>
      <c r="N28" s="226">
        <f t="shared" si="24"/>
        <v>39.450000001816079</v>
      </c>
      <c r="O28" s="226"/>
      <c r="P28" s="226"/>
      <c r="Q28" s="229"/>
      <c r="R28" s="243"/>
      <c r="S28" s="250">
        <f t="shared" si="3"/>
        <v>1</v>
      </c>
      <c r="T28" s="243" t="str">
        <f t="shared" si="4"/>
        <v>Southbound</v>
      </c>
      <c r="U28" s="247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49" t="str">
        <f t="shared" si="5"/>
        <v>https://d0f6bd738d7f1b3e5a7ca70fe4ff75f0.us-east-1.aws.found.io/app/kibana#/discover/Steve-Slow-Train-Analysis-(2080s-and-2083s)?_g=(refreshInterval:(display:Off,pause:!f,section:0,value:0),time:(from:'2017-11-28T05:14:47-0700',mode:absolute,to:'2017-11-28T08:06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8" s="248" t="str">
        <f>IF(AA28&lt;VLOOKUP(AG28,Variables!$AC$3:$AD$8,2,FALSE),"Y","N")</f>
        <v>N</v>
      </c>
      <c r="X28" s="248">
        <f t="shared" si="6"/>
        <v>1</v>
      </c>
      <c r="Y28" s="248">
        <f t="shared" si="7"/>
        <v>23.2959</v>
      </c>
      <c r="Z28" s="248">
        <f t="shared" si="8"/>
        <v>1.9400000000000001E-2</v>
      </c>
      <c r="AA28" s="248">
        <f t="shared" si="9"/>
        <v>23.276499999999999</v>
      </c>
      <c r="AB28" s="234" t="e">
        <f>VLOOKUP(A28,Enforcements!$C$7:$K$9,8,0)</f>
        <v>#N/A</v>
      </c>
      <c r="AC28" s="233" t="e">
        <f>VLOOKUP(A28,Enforcements!$C$7:$E$9,3,0)</f>
        <v>#N/A</v>
      </c>
      <c r="AD28" s="244">
        <f t="shared" si="10"/>
        <v>116</v>
      </c>
      <c r="AE28" s="236" t="str">
        <f t="shared" si="11"/>
        <v>aws s3 cp s3://rtdc.mdm.uploadarchive.raw/RTDC4007/ "%USERPROFILE%\AppData\Local\Temp\OnboardLogs"\RTDC4007\2017-11-28 --exclude "*" --recursive --include "*20171128*" &amp; "%USERPROFILE%\Documents\GitHub\mrs-test-scripts\Headless Mode &amp; Sideloading\WalkAndUnGZ.bat" "%USERPROFILE%\AppData\Local\Temp\OnboardLogs"\RTDC4007\2017-11-28 &amp; aws s3 cp s3://rtdc.mdm.uploadarchive.raw/RTDC4007/ "%USERPROFILE%\AppData\Local\Temp\OnboardLogs"\RTDC4007\2017-11-29 --exclude "*" --recursive --include "*20171129*" &amp; "%USERPROFILE%\Documents\GitHub\mrs-test-scripts\Headless Mode &amp; Sideloading\WalkAndUnGZ.bat" "%USERPROFILE%\AppData\Local\Temp\OnboardLogs"\RTDC4007\2017-11-29</v>
      </c>
      <c r="AF28" s="235" t="str">
        <f t="shared" si="12"/>
        <v>"C:\Program Files (x86)\AstroGrep\AstroGrep.exe" /e /r /s /spath="%USERPROFILE%\AppData\Local\Temp\OnboardLogs" /stypes="app*4007*20171128*" /stext=" 14:.+((SYSTEM_STATE.+slice.+state.+changed )|(ment ac)|(multiple cpu faults)|(system.+state.+changed )|(\[timeout)|(PRM\|1\|D)|(kpr)|(kdp)|(train st.+moving)|(\|lc)|(penalty))"</v>
      </c>
      <c r="AG28" s="245" t="str">
        <f t="shared" si="13"/>
        <v>EC</v>
      </c>
      <c r="AH28" s="237" t="str">
        <f t="shared" si="19"/>
        <v>"%USERPROFILE%\Documents\GitHub\eaglep3\Utilities\RefineRTDCRunTimes.py" --tripid 116-28 --locoid 4007 --swversion DE.1.0.9.0 --startMP 204:232959 --initTime 2017-11-28T06:14:47 --startdatetime 2017-11-28T06:27:15 --delay 153 --endMP 204:194 --enddatetime 2017-11-28T07:06:42 --enforcementcount 0 &gt;&gt;%USERPROFILE%\Documents\GitHub\eaglep3-reporting\EC\2017-11-28-refined-times.txt</v>
      </c>
      <c r="AI28" s="239" t="str">
        <f t="shared" si="20"/>
        <v>echo {"issue":{"subject":"","project_id":79,"tracker_id":40,"status_id":1,"priority_id":2,"assigned_to_id":338,"start_date":"2017-11-28","description":"","custom_fields":[{"id":1,"name":"Subdivision","value":"EC"},{"id":4,"name":"Milepost","value":"0.0194"},{"id":17,"name":"Train ID","value":"116-28"},{"id":16,"name":"Locomotive ID","value":"4007"},{"id":130,"name":"Impact","value":""},{"id":150,"name":"Time of Event (Mountain Time)","value":"07:06:42"},{"id":151,"name":"Denver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8" s="224"/>
      <c r="AK28" s="232"/>
      <c r="AL28" s="232"/>
      <c r="AM28" s="241" t="str">
        <f t="shared" si="21"/>
        <v>start /low /b %USERPROFILE%\Documents\GitHub\eaglep3\Utilities\DownloadLogsFromS3.py --loco 4007 --day 2017-11-28</v>
      </c>
      <c r="AN28" s="242" t="str">
        <f t="shared" si="2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14:06:42"},{"id":29,"name":"Sharepoint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231" t="str">
        <f t="shared" si="23"/>
        <v>https://d0f6bd738d7f1b3e5a7ca70fe4ff75f0.us-east-1.aws.found.io/app/kibana#/discover/Steve-Slow-Train-Analysis-(2080s-and-2083s)?_g=(refreshInterval:(display:Off,pause:!f,section:0,value:0),time:(from:'2017-11-28T05:14:47-0700',mode:absolute,to:'2017-11-28T08:06:42-0700'))&amp;_a=(columns:!('Message%20ID',Summary),filters:!(),index:'emp_*',interval:auto,query:(query_string:(analyze_wildcard:!t,query:'%22rtdc.l.rtdc.4007%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230" t="s">
        <v>703</v>
      </c>
      <c r="B29" s="226">
        <v>4050</v>
      </c>
      <c r="C29" s="228" t="s">
        <v>192</v>
      </c>
      <c r="D29" s="228" t="s">
        <v>602</v>
      </c>
      <c r="E29" s="227">
        <v>43067.23065972222</v>
      </c>
      <c r="F29" s="227">
        <v>43067.24009259259</v>
      </c>
      <c r="G29" s="226">
        <v>85</v>
      </c>
      <c r="H29" s="228" t="s">
        <v>603</v>
      </c>
      <c r="I29" s="227">
        <v>43067.264756944445</v>
      </c>
      <c r="J29" s="226">
        <v>0</v>
      </c>
      <c r="K29" s="238" t="str">
        <f t="shared" si="0"/>
        <v>4049/4050</v>
      </c>
      <c r="L29" s="246" t="str">
        <f>VLOOKUP(A29,'Trips&amp;Operators'!$C$1:$G$99911,5,FALSE)</f>
        <v>MACDONALD THOMAS</v>
      </c>
      <c r="M29" s="225">
        <f t="shared" si="1"/>
        <v>2.4664351854880806E-2</v>
      </c>
      <c r="N29" s="226">
        <f t="shared" si="24"/>
        <v>35.516666671028361</v>
      </c>
      <c r="O29" s="226"/>
      <c r="P29" s="226"/>
      <c r="Q29" s="229"/>
      <c r="R29" s="243"/>
      <c r="S29" s="250">
        <f t="shared" si="3"/>
        <v>1</v>
      </c>
      <c r="T29" s="243" t="str">
        <f t="shared" si="4"/>
        <v>NorthBound</v>
      </c>
      <c r="U29" s="247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49" t="str">
        <f t="shared" si="5"/>
        <v>https://d0f6bd738d7f1b3e5a7ca70fe4ff75f0.us-east-1.aws.found.io/app/kibana#/discover/Steve-Slow-Train-Analysis-(2080s-and-2083s)?_g=(refreshInterval:(display:Off,pause:!f,section:0,value:0),time:(from:'2017-11-28T04:32:09-0700',mode:absolute,to:'2017-11-28T07:21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9" s="248" t="str">
        <f>IF(AA29&lt;VLOOKUP(AG29,Variables!$AC$3:$AD$8,2,FALSE),"Y","N")</f>
        <v>N</v>
      </c>
      <c r="X29" s="248">
        <f t="shared" si="6"/>
        <v>1</v>
      </c>
      <c r="Y29" s="248">
        <f t="shared" si="7"/>
        <v>5.3699999999999998E-2</v>
      </c>
      <c r="Z29" s="248">
        <f t="shared" si="8"/>
        <v>23.3218</v>
      </c>
      <c r="AA29" s="248">
        <f t="shared" si="9"/>
        <v>23.2681</v>
      </c>
      <c r="AB29" s="234" t="e">
        <f>VLOOKUP(A29,Enforcements!$C$7:$K$9,8,0)</f>
        <v>#N/A</v>
      </c>
      <c r="AC29" s="233" t="e">
        <f>VLOOKUP(A29,Enforcements!$C$7:$E$9,3,0)</f>
        <v>#N/A</v>
      </c>
      <c r="AD29" s="244">
        <f t="shared" si="10"/>
        <v>117</v>
      </c>
      <c r="AE29" s="236" t="str">
        <f t="shared" si="11"/>
        <v>aws s3 cp s3://rtdc.mdm.uploadarchive.raw/RTDC4050/ "%USERPROFILE%\AppData\Local\Temp\OnboardLogs"\RTDC4050\2017-11-28 --exclude "*" --recursive --include "*20171128*" &amp; "%USERPROFILE%\Documents\GitHub\mrs-test-scripts\Headless Mode &amp; Sideloading\WalkAndUnGZ.bat" "%USERPROFILE%\AppData\Local\Temp\OnboardLogs"\RTDC4050\2017-11-28 &amp; aws s3 cp s3://rtdc.mdm.uploadarchive.raw/RTDC4050/ "%USERPROFILE%\AppData\Local\Temp\OnboardLogs"\RTDC4050\2017-11-29 --exclude "*" --recursive --include "*20171129*" &amp; "%USERPROFILE%\Documents\GitHub\mrs-test-scripts\Headless Mode &amp; Sideloading\WalkAndUnGZ.bat" "%USERPROFILE%\AppData\Local\Temp\OnboardLogs"\RTDC4050\2017-11-29</v>
      </c>
      <c r="AF29" s="235" t="str">
        <f t="shared" si="12"/>
        <v>"C:\Program Files (x86)\AstroGrep\AstroGrep.exe" /e /r /s /spath="%USERPROFILE%\AppData\Local\Temp\OnboardLogs" /stypes="app*4050*20171128*" /stext=" 13:.+((SYSTEM_STATE.+slice.+state.+changed )|(ment ac)|(multiple cpu faults)|(system.+state.+changed )|(\[timeout)|(PRM\|1\|D)|(kpr)|(kdp)|(train st.+moving)|(\|lc)|(penalty))"</v>
      </c>
      <c r="AG29" s="245" t="str">
        <f t="shared" si="13"/>
        <v>EC</v>
      </c>
      <c r="AH29" s="237" t="str">
        <f t="shared" si="19"/>
        <v>"%USERPROFILE%\Documents\GitHub\eaglep3\Utilities\RefineRTDCRunTimes.py" --tripid 117-28 --locoid 4050 --swversion DE.1.0.9.0 --startMP 204:537 --initTime 2017-11-28T05:32:09 --startdatetime 2017-11-28T05:45:44 --delay 85 --endMP 204:233218 --enddatetime 2017-11-28T06:21:15 --enforcementcount 0 &gt;&gt;%USERPROFILE%\Documents\GitHub\eaglep3-reporting\EC\2017-11-28-refined-times.txt</v>
      </c>
      <c r="AI29" s="239" t="str">
        <f t="shared" si="20"/>
        <v>echo {"issue":{"subject":"","project_id":79,"tracker_id":40,"status_id":1,"priority_id":2,"assigned_to_id":338,"start_date":"2017-11-28","description":"","custom_fields":[{"id":1,"name":"Subdivision","value":"EC"},{"id":4,"name":"Milepost","value":"23.3218"},{"id":17,"name":"Train ID","value":"117-28"},{"id":16,"name":"Locomotive ID","value":"4050"},{"id":130,"name":"Impact","value":""},{"id":150,"name":"Time of Event (Mountain Time)","value":"06:21:15"},{"id":151,"name":"Denver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9" s="224"/>
      <c r="AK29" s="232"/>
      <c r="AL29" s="232"/>
      <c r="AM29" s="241" t="str">
        <f t="shared" si="21"/>
        <v>start /low /b %USERPROFILE%\Documents\GitHub\eaglep3\Utilities\DownloadLogsFromS3.py --loco 4050 --day 2017-11-28</v>
      </c>
      <c r="AN29" s="242" t="str">
        <f t="shared" si="2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13:21:15"},{"id":29,"name":"Sharepoint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231" t="str">
        <f t="shared" si="23"/>
        <v>https://d0f6bd738d7f1b3e5a7ca70fe4ff75f0.us-east-1.aws.found.io/app/kibana#/discover/Steve-Slow-Train-Analysis-(2080s-and-2083s)?_g=(refreshInterval:(display:Off,pause:!f,section:0,value:0),time:(from:'2017-11-28T04:32:09-0700',mode:absolute,to:'2017-11-28T07:21:15-0700'))&amp;_a=(columns:!('Message%20ID',Summary),filters:!(),index:'emp_*',interval:auto,query:(query_string:(analyze_wildcard:!t,query:'%22rtdc.l.rtdc.4050%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230" t="s">
        <v>713</v>
      </c>
      <c r="B30" s="226">
        <v>4049</v>
      </c>
      <c r="C30" s="228" t="s">
        <v>192</v>
      </c>
      <c r="D30" s="228" t="s">
        <v>902</v>
      </c>
      <c r="E30" s="227">
        <v>43067.274664351855</v>
      </c>
      <c r="F30" s="227">
        <v>43067.279513888891</v>
      </c>
      <c r="G30" s="226">
        <v>143</v>
      </c>
      <c r="H30" s="228" t="s">
        <v>892</v>
      </c>
      <c r="I30" s="227">
        <v>43067.306226851855</v>
      </c>
      <c r="J30" s="226">
        <v>0</v>
      </c>
      <c r="K30" s="238" t="str">
        <f t="shared" si="0"/>
        <v>4049/4050</v>
      </c>
      <c r="L30" s="246" t="str">
        <f>VLOOKUP(A30,'Trips&amp;Operators'!$C$1:$G$99911,5,FALSE)</f>
        <v>MACDONALD THOMAS</v>
      </c>
      <c r="M30" s="225">
        <f t="shared" si="1"/>
        <v>2.6712962964666076E-2</v>
      </c>
      <c r="N30" s="226">
        <f t="shared" si="24"/>
        <v>38.466666669119149</v>
      </c>
      <c r="O30" s="226"/>
      <c r="P30" s="226"/>
      <c r="Q30" s="229"/>
      <c r="R30" s="243"/>
      <c r="S30" s="250">
        <f t="shared" si="3"/>
        <v>1</v>
      </c>
      <c r="T30" s="243" t="str">
        <f t="shared" si="4"/>
        <v>Southbound</v>
      </c>
      <c r="U30" s="247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49" t="str">
        <f t="shared" si="5"/>
        <v>https://d0f6bd738d7f1b3e5a7ca70fe4ff75f0.us-east-1.aws.found.io/app/kibana#/discover/Steve-Slow-Train-Analysis-(2080s-and-2083s)?_g=(refreshInterval:(display:Off,pause:!f,section:0,value:0),time:(from:'2017-11-28T05:35:31-0700',mode:absolute,to:'2017-11-28T08:20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30" s="248" t="str">
        <f>IF(AA30&lt;VLOOKUP(AG30,Variables!$AC$3:$AD$8,2,FALSE),"Y","N")</f>
        <v>N</v>
      </c>
      <c r="X30" s="248">
        <f t="shared" si="6"/>
        <v>1</v>
      </c>
      <c r="Y30" s="248">
        <f t="shared" si="7"/>
        <v>23.289200000000001</v>
      </c>
      <c r="Z30" s="248">
        <f t="shared" si="8"/>
        <v>1.4500000000000001E-2</v>
      </c>
      <c r="AA30" s="248">
        <f t="shared" si="9"/>
        <v>23.274699999999999</v>
      </c>
      <c r="AB30" s="234" t="e">
        <f>VLOOKUP(A30,Enforcements!$C$7:$K$9,8,0)</f>
        <v>#N/A</v>
      </c>
      <c r="AC30" s="233" t="e">
        <f>VLOOKUP(A30,Enforcements!$C$7:$E$9,3,0)</f>
        <v>#N/A</v>
      </c>
      <c r="AD30" s="244">
        <f t="shared" si="10"/>
        <v>118</v>
      </c>
      <c r="AE30" s="236" t="str">
        <f t="shared" si="11"/>
        <v>aws s3 cp s3://rtdc.mdm.uploadarchive.raw/RTDC4049/ "%USERPROFILE%\AppData\Local\Temp\OnboardLogs"\RTDC4049\2017-11-28 --exclude "*" --recursive --include "*20171128*" &amp; "%USERPROFILE%\Documents\GitHub\mrs-test-scripts\Headless Mode &amp; Sideloading\WalkAndUnGZ.bat" "%USERPROFILE%\AppData\Local\Temp\OnboardLogs"\RTDC4049\2017-11-28 &amp; aws s3 cp s3://rtdc.mdm.uploadarchive.raw/RTDC4049/ "%USERPROFILE%\AppData\Local\Temp\OnboardLogs"\RTDC4049\2017-11-29 --exclude "*" --recursive --include "*20171129*" &amp; "%USERPROFILE%\Documents\GitHub\mrs-test-scripts\Headless Mode &amp; Sideloading\WalkAndUnGZ.bat" "%USERPROFILE%\AppData\Local\Temp\OnboardLogs"\RTDC4049\2017-11-29</v>
      </c>
      <c r="AF30" s="235" t="str">
        <f t="shared" si="12"/>
        <v>"C:\Program Files (x86)\AstroGrep\AstroGrep.exe" /e /r /s /spath="%USERPROFILE%\AppData\Local\Temp\OnboardLogs" /stypes="app*4049*20171128*" /stext=" 14:.+((SYSTEM_STATE.+slice.+state.+changed )|(ment ac)|(multiple cpu faults)|(system.+state.+changed )|(\[timeout)|(PRM\|1\|D)|(kpr)|(kdp)|(train st.+moving)|(\|lc)|(penalty))"</v>
      </c>
      <c r="AG30" s="245" t="str">
        <f t="shared" si="13"/>
        <v>EC</v>
      </c>
      <c r="AH30" s="237" t="str">
        <f t="shared" si="19"/>
        <v>"%USERPROFILE%\Documents\GitHub\eaglep3\Utilities\RefineRTDCRunTimes.py" --tripid 118-28 --locoid 4049 --swversion DE.1.0.9.0 --startMP 204:232892 --initTime 2017-11-28T06:35:31 --startdatetime 2017-11-28T06:42:30 --delay 143 --endMP 204:145 --enddatetime 2017-11-28T07:20:58 --enforcementcount 0 &gt;&gt;%USERPROFILE%\Documents\GitHub\eaglep3-reporting\EC\2017-11-28-refined-times.txt</v>
      </c>
      <c r="AI30" s="239" t="str">
        <f t="shared" si="20"/>
        <v>echo {"issue":{"subject":"","project_id":79,"tracker_id":40,"status_id":1,"priority_id":2,"assigned_to_id":338,"start_date":"2017-11-28","description":"","custom_fields":[{"id":1,"name":"Subdivision","value":"EC"},{"id":4,"name":"Milepost","value":"0.0145"},{"id":17,"name":"Train ID","value":"118-28"},{"id":16,"name":"Locomotive ID","value":"4049"},{"id":130,"name":"Impact","value":""},{"id":150,"name":"Time of Event (Mountain Time)","value":"07:20:58"},{"id":151,"name":"Denver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0" s="224"/>
      <c r="AK30" s="232"/>
      <c r="AL30" s="232"/>
      <c r="AM30" s="241" t="str">
        <f t="shared" si="21"/>
        <v>start /low /b %USERPROFILE%\Documents\GitHub\eaglep3\Utilities\DownloadLogsFromS3.py --loco 4049 --day 2017-11-28</v>
      </c>
      <c r="AN30" s="242" t="str">
        <f t="shared" si="2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14:20:58"},{"id":29,"name":"Sharepoint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231" t="str">
        <f t="shared" si="23"/>
        <v>https://d0f6bd738d7f1b3e5a7ca70fe4ff75f0.us-east-1.aws.found.io/app/kibana#/discover/Steve-Slow-Train-Analysis-(2080s-and-2083s)?_g=(refreshInterval:(display:Off,pause:!f,section:0,value:0),time:(from:'2017-11-28T05:35:31-0700',mode:absolute,to:'2017-11-28T08:20:58-0700'))&amp;_a=(columns:!('Message%20ID',Summary),filters:!(),index:'emp_*',interval:auto,query:(query_string:(analyze_wildcard:!t,query:'%22rtdc.l.rtdc.4049%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230" t="s">
        <v>708</v>
      </c>
      <c r="B31" s="226">
        <v>4060</v>
      </c>
      <c r="C31" s="228" t="s">
        <v>192</v>
      </c>
      <c r="D31" s="228" t="s">
        <v>487</v>
      </c>
      <c r="E31" s="227">
        <v>43067.247037037036</v>
      </c>
      <c r="F31" s="227">
        <v>43067.250277777777</v>
      </c>
      <c r="G31" s="226">
        <v>59</v>
      </c>
      <c r="H31" s="228" t="s">
        <v>488</v>
      </c>
      <c r="I31" s="227">
        <v>43067.277303240742</v>
      </c>
      <c r="J31" s="226">
        <v>0</v>
      </c>
      <c r="K31" s="238" t="str">
        <f t="shared" si="0"/>
        <v>4059/4060</v>
      </c>
      <c r="L31" s="246" t="str">
        <f>VLOOKUP(A31,'Trips&amp;Operators'!$C$1:$G$99911,5,FALSE)</f>
        <v>THOMPSON LESTER</v>
      </c>
      <c r="M31" s="225">
        <f t="shared" si="1"/>
        <v>2.7025462964957114E-2</v>
      </c>
      <c r="N31" s="226">
        <f t="shared" si="24"/>
        <v>38.916666669538245</v>
      </c>
      <c r="O31" s="226"/>
      <c r="P31" s="226"/>
      <c r="Q31" s="229"/>
      <c r="R31" s="243"/>
      <c r="S31" s="250">
        <f t="shared" si="3"/>
        <v>1</v>
      </c>
      <c r="T31" s="243" t="str">
        <f t="shared" si="4"/>
        <v>NorthBound</v>
      </c>
      <c r="U31" s="247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49" t="str">
        <f t="shared" si="5"/>
        <v>https://d0f6bd738d7f1b3e5a7ca70fe4ff75f0.us-east-1.aws.found.io/app/kibana#/discover/Steve-Slow-Train-Analysis-(2080s-and-2083s)?_g=(refreshInterval:(display:Off,pause:!f,section:0,value:0),time:(from:'2017-11-28T04:55:44-0700',mode:absolute,to:'2017-11-28T07:39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31" s="248" t="str">
        <f>IF(AA31&lt;VLOOKUP(AG31,Variables!$AC$3:$AD$8,2,FALSE),"Y","N")</f>
        <v>N</v>
      </c>
      <c r="X31" s="248">
        <f t="shared" si="6"/>
        <v>1</v>
      </c>
      <c r="Y31" s="248">
        <f t="shared" si="7"/>
        <v>4.5699999999999998E-2</v>
      </c>
      <c r="Z31" s="248">
        <f t="shared" si="8"/>
        <v>23.3293</v>
      </c>
      <c r="AA31" s="248">
        <f t="shared" si="9"/>
        <v>23.2836</v>
      </c>
      <c r="AB31" s="234" t="e">
        <f>VLOOKUP(A31,Enforcements!$C$7:$K$9,8,0)</f>
        <v>#N/A</v>
      </c>
      <c r="AC31" s="233" t="e">
        <f>VLOOKUP(A31,Enforcements!$C$7:$E$9,3,0)</f>
        <v>#N/A</v>
      </c>
      <c r="AD31" s="244">
        <f t="shared" si="10"/>
        <v>119</v>
      </c>
      <c r="AE31" s="236" t="str">
        <f t="shared" si="11"/>
        <v>aws s3 cp s3://rtdc.mdm.uploadarchive.raw/RTDC4060/ "%USERPROFILE%\AppData\Local\Temp\OnboardLogs"\RTDC4060\2017-11-28 --exclude "*" --recursive --include "*20171128*" &amp; "%USERPROFILE%\Documents\GitHub\mrs-test-scripts\Headless Mode &amp; Sideloading\WalkAndUnGZ.bat" "%USERPROFILE%\AppData\Local\Temp\OnboardLogs"\RTDC4060\2017-11-28 &amp; aws s3 cp s3://rtdc.mdm.uploadarchive.raw/RTDC4060/ "%USERPROFILE%\AppData\Local\Temp\OnboardLogs"\RTDC4060\2017-11-29 --exclude "*" --recursive --include "*20171129*" &amp; "%USERPROFILE%\Documents\GitHub\mrs-test-scripts\Headless Mode &amp; Sideloading\WalkAndUnGZ.bat" "%USERPROFILE%\AppData\Local\Temp\OnboardLogs"\RTDC4060\2017-11-29</v>
      </c>
      <c r="AF31" s="235" t="str">
        <f t="shared" si="12"/>
        <v>"C:\Program Files (x86)\AstroGrep\AstroGrep.exe" /e /r /s /spath="%USERPROFILE%\AppData\Local\Temp\OnboardLogs" /stypes="app*4060*20171128*" /stext=" 13:.+((SYSTEM_STATE.+slice.+state.+changed )|(ment ac)|(multiple cpu faults)|(system.+state.+changed )|(\[timeout)|(PRM\|1\|D)|(kpr)|(kdp)|(train st.+moving)|(\|lc)|(penalty))"</v>
      </c>
      <c r="AG31" s="245" t="str">
        <f t="shared" si="13"/>
        <v>EC</v>
      </c>
      <c r="AH31" s="237" t="str">
        <f t="shared" si="19"/>
        <v>"%USERPROFILE%\Documents\GitHub\eaglep3\Utilities\RefineRTDCRunTimes.py" --tripid 119-28 --locoid 4060 --swversion DE.1.0.9.0 --startMP 204:457 --initTime 2017-11-28T05:55:44 --startdatetime 2017-11-28T06:00:24 --delay 59 --endMP 204:233293 --enddatetime 2017-11-28T06:39:19 --enforcementcount 0 &gt;&gt;%USERPROFILE%\Documents\GitHub\eaglep3-reporting\EC\2017-11-28-refined-times.txt</v>
      </c>
      <c r="AI31" s="239" t="str">
        <f t="shared" si="20"/>
        <v>echo {"issue":{"subject":"","project_id":79,"tracker_id":40,"status_id":1,"priority_id":2,"assigned_to_id":338,"start_date":"2017-11-28","description":"","custom_fields":[{"id":1,"name":"Subdivision","value":"EC"},{"id":4,"name":"Milepost","value":"23.3293"},{"id":17,"name":"Train ID","value":"119-28"},{"id":16,"name":"Locomotive ID","value":"4060"},{"id":130,"name":"Impact","value":""},{"id":150,"name":"Time of Event (Mountain Time)","value":"06:39:19"},{"id":151,"name":"Denver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1" s="224"/>
      <c r="AK31" s="232"/>
      <c r="AL31" s="232"/>
      <c r="AM31" s="241" t="str">
        <f t="shared" si="21"/>
        <v>start /low /b %USERPROFILE%\Documents\GitHub\eaglep3\Utilities\DownloadLogsFromS3.py --loco 4060 --day 2017-11-28</v>
      </c>
      <c r="AN31" s="242" t="str">
        <f t="shared" si="2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13:39:19"},{"id":29,"name":"Sharepoint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231" t="str">
        <f t="shared" si="23"/>
        <v>https://d0f6bd738d7f1b3e5a7ca70fe4ff75f0.us-east-1.aws.found.io/app/kibana#/discover/Steve-Slow-Train-Analysis-(2080s-and-2083s)?_g=(refreshInterval:(display:Off,pause:!f,section:0,value:0),time:(from:'2017-11-28T04:55:44-0700',mode:absolute,to:'2017-11-28T07:39:19-0700'))&amp;_a=(columns:!('Message%20ID',Summary),filters:!(),index:'emp_*',interval:auto,query:(query_string:(analyze_wildcard:!t,query:'%22rtdc.l.rtdc.4060%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230" t="s">
        <v>640</v>
      </c>
      <c r="B32" s="226">
        <v>4059</v>
      </c>
      <c r="C32" s="228" t="s">
        <v>192</v>
      </c>
      <c r="D32" s="228" t="s">
        <v>899</v>
      </c>
      <c r="E32" s="227">
        <v>43067.287615740737</v>
      </c>
      <c r="F32" s="227">
        <v>43067.289849537039</v>
      </c>
      <c r="G32" s="226">
        <v>57</v>
      </c>
      <c r="H32" s="228" t="s">
        <v>473</v>
      </c>
      <c r="I32" s="227">
        <v>43067.316724537035</v>
      </c>
      <c r="J32" s="226">
        <v>0</v>
      </c>
      <c r="K32" s="238" t="str">
        <f t="shared" si="0"/>
        <v>4059/4060</v>
      </c>
      <c r="L32" s="246" t="str">
        <f>VLOOKUP(A32,'Trips&amp;Operators'!$C$1:$G$99911,5,FALSE)</f>
        <v>THOMPSON LESTER</v>
      </c>
      <c r="M32" s="225">
        <f t="shared" si="1"/>
        <v>2.6874999995925464E-2</v>
      </c>
      <c r="N32" s="226">
        <f t="shared" si="24"/>
        <v>38.699999994132668</v>
      </c>
      <c r="O32" s="226"/>
      <c r="P32" s="226"/>
      <c r="Q32" s="229"/>
      <c r="R32" s="243"/>
      <c r="S32" s="250">
        <f t="shared" si="3"/>
        <v>1</v>
      </c>
      <c r="T32" s="243" t="str">
        <f t="shared" si="4"/>
        <v>Southbound</v>
      </c>
      <c r="U32" s="247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49" t="str">
        <f t="shared" si="5"/>
        <v>https://d0f6bd738d7f1b3e5a7ca70fe4ff75f0.us-east-1.aws.found.io/app/kibana#/discover/Steve-Slow-Train-Analysis-(2080s-and-2083s)?_g=(refreshInterval:(display:Off,pause:!f,section:0,value:0),time:(from:'2017-11-28T05:54:10-0700',mode:absolute,to:'2017-11-28T08:36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32" s="248" t="str">
        <f>IF(AA32&lt;VLOOKUP(AG32,Variables!$AC$3:$AD$8,2,FALSE),"Y","N")</f>
        <v>N</v>
      </c>
      <c r="X32" s="248">
        <f t="shared" si="6"/>
        <v>1</v>
      </c>
      <c r="Y32" s="248">
        <f t="shared" si="7"/>
        <v>23.296199999999999</v>
      </c>
      <c r="Z32" s="248">
        <f t="shared" si="8"/>
        <v>1.49E-2</v>
      </c>
      <c r="AA32" s="248">
        <f t="shared" si="9"/>
        <v>23.281299999999998</v>
      </c>
      <c r="AB32" s="234" t="str">
        <f>VLOOKUP(A32,Enforcements!$C$7:$K$9,8,0)</f>
        <v>Bulletin (2)</v>
      </c>
      <c r="AC32" s="233" t="str">
        <f>VLOOKUP(A32,Enforcements!$C$7:$E$9,3,0)</f>
        <v>GRADE CROSSING</v>
      </c>
      <c r="AD32" s="244">
        <f t="shared" si="10"/>
        <v>120</v>
      </c>
      <c r="AE32" s="236" t="str">
        <f t="shared" si="11"/>
        <v>aws s3 cp s3://rtdc.mdm.uploadarchive.raw/RTDC4059/ "%USERPROFILE%\AppData\Local\Temp\OnboardLogs"\RTDC4059\2017-11-28 --exclude "*" --recursive --include "*20171128*" &amp; "%USERPROFILE%\Documents\GitHub\mrs-test-scripts\Headless Mode &amp; Sideloading\WalkAndUnGZ.bat" "%USERPROFILE%\AppData\Local\Temp\OnboardLogs"\RTDC4059\2017-11-28 &amp; aws s3 cp s3://rtdc.mdm.uploadarchive.raw/RTDC4059/ "%USERPROFILE%\AppData\Local\Temp\OnboardLogs"\RTDC4059\2017-11-29 --exclude "*" --recursive --include "*20171129*" &amp; "%USERPROFILE%\Documents\GitHub\mrs-test-scripts\Headless Mode &amp; Sideloading\WalkAndUnGZ.bat" "%USERPROFILE%\AppData\Local\Temp\OnboardLogs"\RTDC4059\2017-11-29</v>
      </c>
      <c r="AF32" s="235" t="str">
        <f t="shared" si="12"/>
        <v>"C:\Program Files (x86)\AstroGrep\AstroGrep.exe" /e /r /s /spath="%USERPROFILE%\AppData\Local\Temp\OnboardLogs" /stypes="app*4059*20171128*" /stext=" 14:.+((SYSTEM_STATE.+slice.+state.+changed )|(ment ac)|(multiple cpu faults)|(system.+state.+changed )|(\[timeout)|(PRM\|1\|D)|(kpr)|(kdp)|(train st.+moving)|(\|lc)|(penalty))"</v>
      </c>
      <c r="AG32" s="245" t="str">
        <f t="shared" si="13"/>
        <v>EC</v>
      </c>
      <c r="AH32" s="237" t="str">
        <f t="shared" si="19"/>
        <v>"%USERPROFILE%\Documents\GitHub\eaglep3\Utilities\RefineRTDCRunTimes.py" --tripid 120-28 --locoid 4059 --swversion DE.1.0.9.0 --startMP 204:232962 --initTime 2017-11-28T06:54:10 --startdatetime 2017-11-28T06:57:23 --delay 57 --endMP 204:149 --enddatetime 2017-11-28T07:36:05 --enforcementcount 0 &gt;&gt;%USERPROFILE%\Documents\GitHub\eaglep3-reporting\EC\2017-11-28-refined-times.txt</v>
      </c>
      <c r="AI32" s="239" t="str">
        <f t="shared" si="20"/>
        <v>echo {"issue":{"subject":"","project_id":79,"tracker_id":40,"status_id":1,"priority_id":2,"assigned_to_id":338,"start_date":"2017-11-28","description":"","custom_fields":[{"id":1,"name":"Subdivision","value":"EC"},{"id":4,"name":"Milepost","value":"0.0149"},{"id":17,"name":"Train ID","value":"120-28"},{"id":16,"name":"Locomotive ID","value":"4059"},{"id":130,"name":"Impact","value":""},{"id":150,"name":"Time of Event (Mountain Time)","value":"07:36:05"},{"id":151,"name":"Denver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2" s="224"/>
      <c r="AK32" s="232"/>
      <c r="AL32" s="232"/>
      <c r="AM32" s="241" t="str">
        <f t="shared" si="21"/>
        <v>start /low /b %USERPROFILE%\Documents\GitHub\eaglep3\Utilities\DownloadLogsFromS3.py --loco 4059 --day 2017-11-28</v>
      </c>
      <c r="AN32" s="242" t="str">
        <f t="shared" si="2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14:36:05"},{"id":29,"name":"Sharepoint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231" t="str">
        <f t="shared" si="23"/>
        <v>https://d0f6bd738d7f1b3e5a7ca70fe4ff75f0.us-east-1.aws.found.io/app/kibana#/discover/Steve-Slow-Train-Analysis-(2080s-and-2083s)?_g=(refreshInterval:(display:Off,pause:!f,section:0,value:0),time:(from:'2017-11-28T05:54:10-0700',mode:absolute,to:'2017-11-28T08:36:05-0700'))&amp;_a=(columns:!('Message%20ID',Summary),filters:!(),index:'emp_*',interval:auto,query:(query_string:(analyze_wildcard:!t,query:'%22rtdc.l.rtdc.4059%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230" t="s">
        <v>709</v>
      </c>
      <c r="B33" s="226">
        <v>4056</v>
      </c>
      <c r="C33" s="228" t="s">
        <v>192</v>
      </c>
      <c r="D33" s="228" t="s">
        <v>903</v>
      </c>
      <c r="E33" s="227">
        <v>43067.25712962963</v>
      </c>
      <c r="F33" s="227">
        <v>43067.260763888888</v>
      </c>
      <c r="G33" s="226">
        <v>84</v>
      </c>
      <c r="H33" s="228" t="s">
        <v>496</v>
      </c>
      <c r="I33" s="227">
        <v>43067.285393518519</v>
      </c>
      <c r="J33" s="226">
        <v>0</v>
      </c>
      <c r="K33" s="238" t="str">
        <f t="shared" si="0"/>
        <v>4055/4056</v>
      </c>
      <c r="L33" s="246" t="str">
        <f>VLOOKUP(A33,'Trips&amp;Operators'!$C$1:$G$99911,5,FALSE)</f>
        <v>BEAM ROSS</v>
      </c>
      <c r="M33" s="225">
        <f t="shared" si="1"/>
        <v>2.4629629631817807E-2</v>
      </c>
      <c r="N33" s="226">
        <f t="shared" si="24"/>
        <v>35.466666669817641</v>
      </c>
      <c r="O33" s="226"/>
      <c r="P33" s="226"/>
      <c r="Q33" s="229"/>
      <c r="R33" s="243"/>
      <c r="S33" s="250">
        <f t="shared" si="3"/>
        <v>1</v>
      </c>
      <c r="T33" s="243" t="str">
        <f t="shared" si="4"/>
        <v>NorthBound</v>
      </c>
      <c r="U33" s="247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49" t="str">
        <f t="shared" si="5"/>
        <v>https://d0f6bd738d7f1b3e5a7ca70fe4ff75f0.us-east-1.aws.found.io/app/kibana#/discover/Steve-Slow-Train-Analysis-(2080s-and-2083s)?_g=(refreshInterval:(display:Off,pause:!f,section:0,value:0),time:(from:'2017-11-28T05:10:16-0700',mode:absolute,to:'2017-11-28T07:50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33" s="248" t="str">
        <f>IF(AA33&lt;VLOOKUP(AG33,Variables!$AC$3:$AD$8,2,FALSE),"Y","N")</f>
        <v>N</v>
      </c>
      <c r="X33" s="248">
        <f t="shared" si="6"/>
        <v>1</v>
      </c>
      <c r="Y33" s="248">
        <f t="shared" si="7"/>
        <v>4.7300000000000002E-2</v>
      </c>
      <c r="Z33" s="248">
        <f t="shared" si="8"/>
        <v>23.329899999999999</v>
      </c>
      <c r="AA33" s="248">
        <f t="shared" si="9"/>
        <v>23.282599999999999</v>
      </c>
      <c r="AB33" s="234" t="e">
        <f>VLOOKUP(A33,Enforcements!$C$7:$K$9,8,0)</f>
        <v>#N/A</v>
      </c>
      <c r="AC33" s="233" t="e">
        <f>VLOOKUP(A33,Enforcements!$C$7:$E$9,3,0)</f>
        <v>#N/A</v>
      </c>
      <c r="AD33" s="244">
        <f t="shared" si="10"/>
        <v>121</v>
      </c>
      <c r="AE33" s="236" t="str">
        <f t="shared" si="11"/>
        <v>aws s3 cp s3://rtdc.mdm.uploadarchive.raw/RTDC4056/ "%USERPROFILE%\AppData\Local\Temp\OnboardLogs"\RTDC4056\2017-11-28 --exclude "*" --recursive --include "*20171128*" &amp; "%USERPROFILE%\Documents\GitHub\mrs-test-scripts\Headless Mode &amp; Sideloading\WalkAndUnGZ.bat" "%USERPROFILE%\AppData\Local\Temp\OnboardLogs"\RTDC4056\2017-11-28 &amp; aws s3 cp s3://rtdc.mdm.uploadarchive.raw/RTDC4056/ "%USERPROFILE%\AppData\Local\Temp\OnboardLogs"\RTDC4056\2017-11-29 --exclude "*" --recursive --include "*20171129*" &amp; "%USERPROFILE%\Documents\GitHub\mrs-test-scripts\Headless Mode &amp; Sideloading\WalkAndUnGZ.bat" "%USERPROFILE%\AppData\Local\Temp\OnboardLogs"\RTDC4056\2017-11-29</v>
      </c>
      <c r="AF33" s="235" t="str">
        <f t="shared" si="12"/>
        <v>"C:\Program Files (x86)\AstroGrep\AstroGrep.exe" /e /r /s /spath="%USERPROFILE%\AppData\Local\Temp\OnboardLogs" /stypes="app*4056*20171128*" /stext=" 13:.+((SYSTEM_STATE.+slice.+state.+changed )|(ment ac)|(multiple cpu faults)|(system.+state.+changed )|(\[timeout)|(PRM\|1\|D)|(kpr)|(kdp)|(train st.+moving)|(\|lc)|(penalty))"</v>
      </c>
      <c r="AG33" s="245" t="str">
        <f t="shared" si="13"/>
        <v>EC</v>
      </c>
      <c r="AH33" s="237" t="str">
        <f t="shared" si="19"/>
        <v>"%USERPROFILE%\Documents\GitHub\eaglep3\Utilities\RefineRTDCRunTimes.py" --tripid 121-28 --locoid 4056 --swversion DE.1.0.9.0 --startMP 204:473 --initTime 2017-11-28T06:10:16 --startdatetime 2017-11-28T06:15:30 --delay 84 --endMP 204:233299 --enddatetime 2017-11-28T06:50:58 --enforcementcount 0 &gt;&gt;%USERPROFILE%\Documents\GitHub\eaglep3-reporting\EC\2017-11-28-refined-times.txt</v>
      </c>
      <c r="AI33" s="239" t="str">
        <f t="shared" si="20"/>
        <v>echo {"issue":{"subject":"","project_id":79,"tracker_id":40,"status_id":1,"priority_id":2,"assigned_to_id":338,"start_date":"2017-11-28","description":"","custom_fields":[{"id":1,"name":"Subdivision","value":"EC"},{"id":4,"name":"Milepost","value":"23.3299"},{"id":17,"name":"Train ID","value":"121-28"},{"id":16,"name":"Locomotive ID","value":"4056"},{"id":130,"name":"Impact","value":""},{"id":150,"name":"Time of Event (Mountain Time)","value":"06:50:58"},{"id":151,"name":"Denver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3" s="224"/>
      <c r="AK33" s="232"/>
      <c r="AL33" s="232"/>
      <c r="AM33" s="241" t="str">
        <f t="shared" si="21"/>
        <v>start /low /b %USERPROFILE%\Documents\GitHub\eaglep3\Utilities\DownloadLogsFromS3.py --loco 4056 --day 2017-11-28</v>
      </c>
      <c r="AN33" s="242" t="str">
        <f t="shared" si="2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13:50:58"},{"id":29,"name":"Sharepoint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231" t="str">
        <f t="shared" si="23"/>
        <v>https://d0f6bd738d7f1b3e5a7ca70fe4ff75f0.us-east-1.aws.found.io/app/kibana#/discover/Steve-Slow-Train-Analysis-(2080s-and-2083s)?_g=(refreshInterval:(display:Off,pause:!f,section:0,value:0),time:(from:'2017-11-28T05:10:16-0700',mode:absolute,to:'2017-11-28T07:50:58-0700'))&amp;_a=(columns:!('Message%20ID',Summary),filters:!(),index:'emp_*',interval:auto,query:(query_string:(analyze_wildcard:!t,query:'%22rtdc.l.rtdc.4056%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230" t="s">
        <v>716</v>
      </c>
      <c r="B34" s="226">
        <v>4055</v>
      </c>
      <c r="C34" s="228" t="s">
        <v>192</v>
      </c>
      <c r="D34" s="228" t="s">
        <v>904</v>
      </c>
      <c r="E34" s="227">
        <v>43067.287094907406</v>
      </c>
      <c r="F34" s="227">
        <v>43067.300173611111</v>
      </c>
      <c r="G34" s="226">
        <v>72</v>
      </c>
      <c r="H34" s="228" t="s">
        <v>415</v>
      </c>
      <c r="I34" s="227">
        <v>43067.326678240737</v>
      </c>
      <c r="J34" s="226">
        <v>0</v>
      </c>
      <c r="K34" s="238" t="str">
        <f t="shared" si="0"/>
        <v>4055/4056</v>
      </c>
      <c r="L34" s="246" t="str">
        <f>VLOOKUP(A34,'Trips&amp;Operators'!$C$1:$G$99911,5,FALSE)</f>
        <v>BEAM ROSS</v>
      </c>
      <c r="M34" s="225">
        <f t="shared" si="1"/>
        <v>2.6504629626288079E-2</v>
      </c>
      <c r="N34" s="226">
        <f t="shared" si="24"/>
        <v>38.166666661854833</v>
      </c>
      <c r="O34" s="226"/>
      <c r="P34" s="226"/>
      <c r="Q34" s="229"/>
      <c r="R34" s="243"/>
      <c r="S34" s="250">
        <f t="shared" si="3"/>
        <v>1</v>
      </c>
      <c r="T34" s="243" t="str">
        <f t="shared" si="4"/>
        <v>Southbound</v>
      </c>
      <c r="U34" s="247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49" t="str">
        <f t="shared" si="5"/>
        <v>https://d0f6bd738d7f1b3e5a7ca70fe4ff75f0.us-east-1.aws.found.io/app/kibana#/discover/Steve-Slow-Train-Analysis-(2080s-and-2083s)?_g=(refreshInterval:(display:Off,pause:!f,section:0,value:0),time:(from:'2017-11-28T05:53:25-0700',mode:absolute,to:'2017-11-28T08:50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34" s="248" t="str">
        <f>IF(AA34&lt;VLOOKUP(AG34,Variables!$AC$3:$AD$8,2,FALSE),"Y","N")</f>
        <v>N</v>
      </c>
      <c r="X34" s="248">
        <f t="shared" si="6"/>
        <v>1</v>
      </c>
      <c r="Y34" s="248">
        <f t="shared" si="7"/>
        <v>23.296700000000001</v>
      </c>
      <c r="Z34" s="248">
        <f t="shared" si="8"/>
        <v>2.1399999999999999E-2</v>
      </c>
      <c r="AA34" s="248">
        <f t="shared" si="9"/>
        <v>23.275300000000001</v>
      </c>
      <c r="AB34" s="234" t="e">
        <f>VLOOKUP(A34,Enforcements!$C$7:$K$9,8,0)</f>
        <v>#N/A</v>
      </c>
      <c r="AC34" s="233" t="e">
        <f>VLOOKUP(A34,Enforcements!$C$7:$E$9,3,0)</f>
        <v>#N/A</v>
      </c>
      <c r="AD34" s="244">
        <f t="shared" si="10"/>
        <v>122</v>
      </c>
      <c r="AE34" s="236" t="str">
        <f t="shared" si="11"/>
        <v>aws s3 cp s3://rtdc.mdm.uploadarchive.raw/RTDC4055/ "%USERPROFILE%\AppData\Local\Temp\OnboardLogs"\RTDC4055\2017-11-28 --exclude "*" --recursive --include "*20171128*" &amp; "%USERPROFILE%\Documents\GitHub\mrs-test-scripts\Headless Mode &amp; Sideloading\WalkAndUnGZ.bat" "%USERPROFILE%\AppData\Local\Temp\OnboardLogs"\RTDC4055\2017-11-28 &amp; aws s3 cp s3://rtdc.mdm.uploadarchive.raw/RTDC4055/ "%USERPROFILE%\AppData\Local\Temp\OnboardLogs"\RTDC4055\2017-11-29 --exclude "*" --recursive --include "*20171129*" &amp; "%USERPROFILE%\Documents\GitHub\mrs-test-scripts\Headless Mode &amp; Sideloading\WalkAndUnGZ.bat" "%USERPROFILE%\AppData\Local\Temp\OnboardLogs"\RTDC4055\2017-11-29</v>
      </c>
      <c r="AF34" s="235" t="str">
        <f t="shared" si="12"/>
        <v>"C:\Program Files (x86)\AstroGrep\AstroGrep.exe" /e /r /s /spath="%USERPROFILE%\AppData\Local\Temp\OnboardLogs" /stypes="app*4055*20171128*" /stext=" 14:.+((SYSTEM_STATE.+slice.+state.+changed )|(ment ac)|(multiple cpu faults)|(system.+state.+changed )|(\[timeout)|(PRM\|1\|D)|(kpr)|(kdp)|(train st.+moving)|(\|lc)|(penalty))"</v>
      </c>
      <c r="AG34" s="245" t="str">
        <f t="shared" si="13"/>
        <v>EC</v>
      </c>
      <c r="AH34" s="237" t="str">
        <f t="shared" si="19"/>
        <v>"%USERPROFILE%\Documents\GitHub\eaglep3\Utilities\RefineRTDCRunTimes.py" --tripid 122-28 --locoid 4055 --swversion DE.1.0.9.0 --startMP 204:232967 --initTime 2017-11-28T06:53:25 --startdatetime 2017-11-28T07:12:15 --delay 72 --endMP 204:214 --enddatetime 2017-11-28T07:50:25 --enforcementcount 0 &gt;&gt;%USERPROFILE%\Documents\GitHub\eaglep3-reporting\EC\2017-11-28-refined-times.txt</v>
      </c>
      <c r="AI34" s="239" t="str">
        <f t="shared" si="20"/>
        <v>echo {"issue":{"subject":"","project_id":79,"tracker_id":40,"status_id":1,"priority_id":2,"assigned_to_id":338,"start_date":"2017-11-28","description":"","custom_fields":[{"id":1,"name":"Subdivision","value":"EC"},{"id":4,"name":"Milepost","value":"0.0214"},{"id":17,"name":"Train ID","value":"122-28"},{"id":16,"name":"Locomotive ID","value":"4055"},{"id":130,"name":"Impact","value":""},{"id":150,"name":"Time of Event (Mountain Time)","value":"07:50:25"},{"id":151,"name":"Denver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4" s="224"/>
      <c r="AK34" s="232"/>
      <c r="AL34" s="232"/>
      <c r="AM34" s="241" t="str">
        <f t="shared" si="21"/>
        <v>start /low /b %USERPROFILE%\Documents\GitHub\eaglep3\Utilities\DownloadLogsFromS3.py --loco 4055 --day 2017-11-28</v>
      </c>
      <c r="AN34" s="242" t="str">
        <f t="shared" si="2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14:50:25"},{"id":29,"name":"Sharepoint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231" t="str">
        <f t="shared" si="23"/>
        <v>https://d0f6bd738d7f1b3e5a7ca70fe4ff75f0.us-east-1.aws.found.io/app/kibana#/discover/Steve-Slow-Train-Analysis-(2080s-and-2083s)?_g=(refreshInterval:(display:Off,pause:!f,section:0,value:0),time:(from:'2017-11-28T05:53:25-0700',mode:absolute,to:'2017-11-28T08:50:25-0700'))&amp;_a=(columns:!('Message%20ID',Summary),filters:!(),index:'emp_*',interval:auto,query:(query_string:(analyze_wildcard:!t,query:'%22rtdc.l.rtdc.4055%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230" t="s">
        <v>711</v>
      </c>
      <c r="B35" s="226">
        <v>4040</v>
      </c>
      <c r="C35" s="228" t="s">
        <v>192</v>
      </c>
      <c r="D35" s="228" t="s">
        <v>608</v>
      </c>
      <c r="E35" s="227">
        <v>43067.267268518517</v>
      </c>
      <c r="F35" s="227">
        <v>43067.270972222221</v>
      </c>
      <c r="G35" s="226">
        <v>73</v>
      </c>
      <c r="H35" s="228" t="s">
        <v>905</v>
      </c>
      <c r="I35" s="227">
        <v>43067.296053240738</v>
      </c>
      <c r="J35" s="226">
        <v>0</v>
      </c>
      <c r="K35" s="238" t="str">
        <f t="shared" si="0"/>
        <v>4039/4040</v>
      </c>
      <c r="L35" s="246" t="str">
        <f>VLOOKUP(A35,'Trips&amp;Operators'!$C$1:$G$99911,5,FALSE)</f>
        <v>LAMAR NEKESHA</v>
      </c>
      <c r="M35" s="225">
        <f t="shared" si="1"/>
        <v>2.5081018517084885E-2</v>
      </c>
      <c r="N35" s="226">
        <f t="shared" si="24"/>
        <v>36.116666664602235</v>
      </c>
      <c r="O35" s="226"/>
      <c r="P35" s="226"/>
      <c r="Q35" s="229"/>
      <c r="R35" s="243"/>
      <c r="S35" s="250">
        <f t="shared" si="3"/>
        <v>1</v>
      </c>
      <c r="T35" s="243" t="str">
        <f t="shared" si="4"/>
        <v>NorthBound</v>
      </c>
      <c r="U35" s="247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49" t="str">
        <f t="shared" si="5"/>
        <v>https://d0f6bd738d7f1b3e5a7ca70fe4ff75f0.us-east-1.aws.found.io/app/kibana#/discover/Steve-Slow-Train-Analysis-(2080s-and-2083s)?_g=(refreshInterval:(display:Off,pause:!f,section:0,value:0),time:(from:'2017-11-28T05:24:52-0700',mode:absolute,to:'2017-11-28T08:06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35" s="248" t="str">
        <f>IF(AA35&lt;VLOOKUP(AG35,Variables!$AC$3:$AD$8,2,FALSE),"Y","N")</f>
        <v>N</v>
      </c>
      <c r="X35" s="248">
        <f t="shared" si="6"/>
        <v>1</v>
      </c>
      <c r="Y35" s="248">
        <f t="shared" si="7"/>
        <v>5.0900000000000001E-2</v>
      </c>
      <c r="Z35" s="248">
        <f t="shared" si="8"/>
        <v>23.330200000000001</v>
      </c>
      <c r="AA35" s="248">
        <f t="shared" si="9"/>
        <v>23.279300000000003</v>
      </c>
      <c r="AB35" s="234" t="e">
        <f>VLOOKUP(A35,Enforcements!$C$7:$K$9,8,0)</f>
        <v>#N/A</v>
      </c>
      <c r="AC35" s="233" t="e">
        <f>VLOOKUP(A35,Enforcements!$C$7:$E$9,3,0)</f>
        <v>#N/A</v>
      </c>
      <c r="AD35" s="244">
        <f t="shared" si="10"/>
        <v>123</v>
      </c>
      <c r="AE35" s="236" t="str">
        <f t="shared" si="11"/>
        <v>aws s3 cp s3://rtdc.mdm.uploadarchive.raw/RTDC4040/ "%USERPROFILE%\AppData\Local\Temp\OnboardLogs"\RTDC4040\2017-11-28 --exclude "*" --recursive --include "*20171128*" &amp; "%USERPROFILE%\Documents\GitHub\mrs-test-scripts\Headless Mode &amp; Sideloading\WalkAndUnGZ.bat" "%USERPROFILE%\AppData\Local\Temp\OnboardLogs"\RTDC4040\2017-11-28 &amp; aws s3 cp s3://rtdc.mdm.uploadarchive.raw/RTDC4040/ "%USERPROFILE%\AppData\Local\Temp\OnboardLogs"\RTDC4040\2017-11-29 --exclude "*" --recursive --include "*20171129*" &amp; "%USERPROFILE%\Documents\GitHub\mrs-test-scripts\Headless Mode &amp; Sideloading\WalkAndUnGZ.bat" "%USERPROFILE%\AppData\Local\Temp\OnboardLogs"\RTDC4040\2017-11-29</v>
      </c>
      <c r="AF35" s="235" t="str">
        <f t="shared" si="12"/>
        <v>"C:\Program Files (x86)\AstroGrep\AstroGrep.exe" /e /r /s /spath="%USERPROFILE%\AppData\Local\Temp\OnboardLogs" /stypes="app*4040*20171128*" /stext=" 14:.+((SYSTEM_STATE.+slice.+state.+changed )|(ment ac)|(multiple cpu faults)|(system.+state.+changed )|(\[timeout)|(PRM\|1\|D)|(kpr)|(kdp)|(train st.+moving)|(\|lc)|(penalty))"</v>
      </c>
      <c r="AG35" s="245" t="str">
        <f t="shared" si="13"/>
        <v>EC</v>
      </c>
      <c r="AH35" s="237" t="str">
        <f t="shared" si="19"/>
        <v>"%USERPROFILE%\Documents\GitHub\eaglep3\Utilities\RefineRTDCRunTimes.py" --tripid 123-28 --locoid 4040 --swversion DE.1.0.9.0 --startMP 204:509 --initTime 2017-11-28T06:24:52 --startdatetime 2017-11-28T06:30:12 --delay 73 --endMP 204:233302 --enddatetime 2017-11-28T07:06:19 --enforcementcount 0 &gt;&gt;%USERPROFILE%\Documents\GitHub\eaglep3-reporting\EC\2017-11-28-refined-times.txt</v>
      </c>
      <c r="AI35" s="239" t="str">
        <f t="shared" si="20"/>
        <v>echo {"issue":{"subject":"","project_id":79,"tracker_id":40,"status_id":1,"priority_id":2,"assigned_to_id":338,"start_date":"2017-11-28","description":"","custom_fields":[{"id":1,"name":"Subdivision","value":"EC"},{"id":4,"name":"Milepost","value":"23.3302"},{"id":17,"name":"Train ID","value":"123-28"},{"id":16,"name":"Locomotive ID","value":"4040"},{"id":130,"name":"Impact","value":""},{"id":150,"name":"Time of Event (Mountain Time)","value":"07:06:19"},{"id":151,"name":"Denver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5" s="224"/>
      <c r="AK35" s="232"/>
      <c r="AL35" s="232"/>
      <c r="AM35" s="241" t="str">
        <f t="shared" si="21"/>
        <v>start /low /b %USERPROFILE%\Documents\GitHub\eaglep3\Utilities\DownloadLogsFromS3.py --loco 4040 --day 2017-11-28</v>
      </c>
      <c r="AN35" s="242" t="str">
        <f t="shared" si="2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14:06:19"},{"id":29,"name":"Sharepoint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231" t="str">
        <f t="shared" si="23"/>
        <v>https://d0f6bd738d7f1b3e5a7ca70fe4ff75f0.us-east-1.aws.found.io/app/kibana#/discover/Steve-Slow-Train-Analysis-(2080s-and-2083s)?_g=(refreshInterval:(display:Off,pause:!f,section:0,value:0),time:(from:'2017-11-28T05:24:52-0700',mode:absolute,to:'2017-11-28T08:06:19-0700'))&amp;_a=(columns:!('Message%20ID',Summary),filters:!(),index:'emp_*',interval:auto,query:(query_string:(analyze_wildcard:!t,query:'%22rtdc.l.rtdc.4040%22')),sort:!(Time.ISO8601,asc))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230" t="s">
        <v>720</v>
      </c>
      <c r="B36" s="226">
        <v>4039</v>
      </c>
      <c r="C36" s="228" t="s">
        <v>192</v>
      </c>
      <c r="D36" s="228" t="s">
        <v>414</v>
      </c>
      <c r="E36" s="227">
        <v>43067.307835648149</v>
      </c>
      <c r="F36" s="227">
        <v>43067.310960648145</v>
      </c>
      <c r="G36" s="226">
        <v>75</v>
      </c>
      <c r="H36" s="228" t="s">
        <v>906</v>
      </c>
      <c r="I36" s="227">
        <v>43067.337384259263</v>
      </c>
      <c r="J36" s="226">
        <v>0</v>
      </c>
      <c r="K36" s="238" t="str">
        <f t="shared" si="0"/>
        <v>4039/4040</v>
      </c>
      <c r="L36" s="246" t="str">
        <f>VLOOKUP(A36,'Trips&amp;Operators'!$C$1:$G$99911,5,FALSE)</f>
        <v>LAMAR NEKESHA</v>
      </c>
      <c r="M36" s="225">
        <f t="shared" si="1"/>
        <v>2.6423611117934342E-2</v>
      </c>
      <c r="N36" s="226">
        <f t="shared" si="24"/>
        <v>38.050000009825453</v>
      </c>
      <c r="O36" s="226"/>
      <c r="P36" s="226"/>
      <c r="Q36" s="229"/>
      <c r="R36" s="243"/>
      <c r="S36" s="250">
        <f t="shared" si="3"/>
        <v>1</v>
      </c>
      <c r="T36" s="243" t="str">
        <f t="shared" si="4"/>
        <v>Southbound</v>
      </c>
      <c r="U36" s="247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49" t="str">
        <f t="shared" si="5"/>
        <v>https://d0f6bd738d7f1b3e5a7ca70fe4ff75f0.us-east-1.aws.found.io/app/kibana#/discover/Steve-Slow-Train-Analysis-(2080s-and-2083s)?_g=(refreshInterval:(display:Off,pause:!f,section:0,value:0),time:(from:'2017-11-28T06:23:17-0700',mode:absolute,to:'2017-11-28T09:05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36" s="248" t="str">
        <f>IF(AA36&lt;VLOOKUP(AG36,Variables!$AC$3:$AD$8,2,FALSE),"Y","N")</f>
        <v>N</v>
      </c>
      <c r="X36" s="248">
        <f t="shared" si="6"/>
        <v>1</v>
      </c>
      <c r="Y36" s="248">
        <f t="shared" si="7"/>
        <v>23.297699999999999</v>
      </c>
      <c r="Z36" s="248">
        <f t="shared" si="8"/>
        <v>1.72E-2</v>
      </c>
      <c r="AA36" s="248">
        <f t="shared" si="9"/>
        <v>23.2805</v>
      </c>
      <c r="AB36" s="234" t="e">
        <f>VLOOKUP(A36,Enforcements!$C$7:$K$9,8,0)</f>
        <v>#N/A</v>
      </c>
      <c r="AC36" s="233" t="e">
        <f>VLOOKUP(A36,Enforcements!$C$7:$E$9,3,0)</f>
        <v>#N/A</v>
      </c>
      <c r="AD36" s="244">
        <f t="shared" si="10"/>
        <v>124</v>
      </c>
      <c r="AE36" s="236" t="str">
        <f t="shared" si="11"/>
        <v>aws s3 cp s3://rtdc.mdm.uploadarchive.raw/RTDC4039/ "%USERPROFILE%\AppData\Local\Temp\OnboardLogs"\RTDC4039\2017-11-28 --exclude "*" --recursive --include "*20171128*" &amp; "%USERPROFILE%\Documents\GitHub\mrs-test-scripts\Headless Mode &amp; Sideloading\WalkAndUnGZ.bat" "%USERPROFILE%\AppData\Local\Temp\OnboardLogs"\RTDC4039\2017-11-28 &amp; aws s3 cp s3://rtdc.mdm.uploadarchive.raw/RTDC4039/ "%USERPROFILE%\AppData\Local\Temp\OnboardLogs"\RTDC4039\2017-11-29 --exclude "*" --recursive --include "*20171129*" &amp; "%USERPROFILE%\Documents\GitHub\mrs-test-scripts\Headless Mode &amp; Sideloading\WalkAndUnGZ.bat" "%USERPROFILE%\AppData\Local\Temp\OnboardLogs"\RTDC4039\2017-11-29</v>
      </c>
      <c r="AF36" s="235" t="str">
        <f t="shared" si="12"/>
        <v>"C:\Program Files (x86)\AstroGrep\AstroGrep.exe" /e /r /s /spath="%USERPROFILE%\AppData\Local\Temp\OnboardLogs" /stypes="app*4039*20171128*" /stext=" 15:.+((SYSTEM_STATE.+slice.+state.+changed )|(ment ac)|(multiple cpu faults)|(system.+state.+changed )|(\[timeout)|(PRM\|1\|D)|(kpr)|(kdp)|(train st.+moving)|(\|lc)|(penalty))"</v>
      </c>
      <c r="AG36" s="245" t="str">
        <f t="shared" si="13"/>
        <v>EC</v>
      </c>
      <c r="AH36" s="237" t="str">
        <f t="shared" si="19"/>
        <v>"%USERPROFILE%\Documents\GitHub\eaglep3\Utilities\RefineRTDCRunTimes.py" --tripid 124-28 --locoid 4039 --swversion DE.1.0.9.0 --startMP 204:232977 --initTime 2017-11-28T07:23:17 --startdatetime 2017-11-28T07:27:47 --delay 75 --endMP 204:172 --enddatetime 2017-11-28T08:05:50 --enforcementcount 0 &gt;&gt;%USERPROFILE%\Documents\GitHub\eaglep3-reporting\EC\2017-11-28-refined-times.txt</v>
      </c>
      <c r="AI36" s="239" t="str">
        <f t="shared" si="20"/>
        <v>echo {"issue":{"subject":"","project_id":79,"tracker_id":40,"status_id":1,"priority_id":2,"assigned_to_id":338,"start_date":"2017-11-28","description":"","custom_fields":[{"id":1,"name":"Subdivision","value":"EC"},{"id":4,"name":"Milepost","value":"0.0172"},{"id":17,"name":"Train ID","value":"124-28"},{"id":16,"name":"Locomotive ID","value":"4039"},{"id":130,"name":"Impact","value":""},{"id":150,"name":"Time of Event (Mountain Time)","value":"08:05:50"},{"id":151,"name":"Denver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6" s="224"/>
      <c r="AK36" s="232"/>
      <c r="AL36" s="232"/>
      <c r="AM36" s="241" t="str">
        <f t="shared" si="21"/>
        <v>start /low /b %USERPROFILE%\Documents\GitHub\eaglep3\Utilities\DownloadLogsFromS3.py --loco 4039 --day 2017-11-28</v>
      </c>
      <c r="AN36" s="242" t="str">
        <f t="shared" si="2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15:05:50"},{"id":29,"name":"Sharepoint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231" t="str">
        <f t="shared" si="23"/>
        <v>https://d0f6bd738d7f1b3e5a7ca70fe4ff75f0.us-east-1.aws.found.io/app/kibana#/discover/Steve-Slow-Train-Analysis-(2080s-and-2083s)?_g=(refreshInterval:(display:Off,pause:!f,section:0,value:0),time:(from:'2017-11-28T06:23:17-0700',mode:absolute,to:'2017-11-28T09:05:50-0700'))&amp;_a=(columns:!('Message%20ID',Summary),filters:!(),index:'emp_*',interval:auto,query:(query_string:(analyze_wildcard:!t,query:'%22rtdc.l.rtdc.4039%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230" t="s">
        <v>714</v>
      </c>
      <c r="B37" s="226">
        <v>4058</v>
      </c>
      <c r="C37" s="228" t="s">
        <v>192</v>
      </c>
      <c r="D37" s="228" t="s">
        <v>907</v>
      </c>
      <c r="E37" s="227">
        <v>43067.277928240743</v>
      </c>
      <c r="F37" s="227">
        <v>43067.281458333331</v>
      </c>
      <c r="G37" s="226">
        <v>55</v>
      </c>
      <c r="H37" s="228" t="s">
        <v>496</v>
      </c>
      <c r="I37" s="227">
        <v>43067.305266203701</v>
      </c>
      <c r="J37" s="226">
        <v>0</v>
      </c>
      <c r="K37" s="238" t="str">
        <f t="shared" si="0"/>
        <v>4057/4058</v>
      </c>
      <c r="L37" s="246" t="str">
        <f>VLOOKUP(A37,'Trips&amp;Operators'!$C$1:$G$99911,5,FALSE)</f>
        <v>ROCHA YAOTL</v>
      </c>
      <c r="M37" s="225">
        <f t="shared" si="1"/>
        <v>2.3807870369637385E-2</v>
      </c>
      <c r="N37" s="226">
        <f t="shared" si="24"/>
        <v>34.283333332277834</v>
      </c>
      <c r="O37" s="226"/>
      <c r="P37" s="226"/>
      <c r="Q37" s="229"/>
      <c r="R37" s="243"/>
      <c r="S37" s="250">
        <f t="shared" si="3"/>
        <v>1</v>
      </c>
      <c r="T37" s="243" t="str">
        <f t="shared" si="4"/>
        <v>NorthBound</v>
      </c>
      <c r="U37" s="247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49" t="str">
        <f t="shared" si="5"/>
        <v>https://d0f6bd738d7f1b3e5a7ca70fe4ff75f0.us-east-1.aws.found.io/app/kibana#/discover/Steve-Slow-Train-Analysis-(2080s-and-2083s)?_g=(refreshInterval:(display:Off,pause:!f,section:0,value:0),time:(from:'2017-11-28T05:40:13-0700',mode:absolute,to:'2017-11-28T08:19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37" s="248" t="str">
        <f>IF(AA37&lt;VLOOKUP(AG37,Variables!$AC$3:$AD$8,2,FALSE),"Y","N")</f>
        <v>N</v>
      </c>
      <c r="X37" s="248">
        <f t="shared" si="6"/>
        <v>1</v>
      </c>
      <c r="Y37" s="248">
        <f t="shared" si="7"/>
        <v>4.6399999999999997E-2</v>
      </c>
      <c r="Z37" s="248">
        <f t="shared" si="8"/>
        <v>23.329899999999999</v>
      </c>
      <c r="AA37" s="248">
        <f t="shared" si="9"/>
        <v>23.2835</v>
      </c>
      <c r="AB37" s="234" t="e">
        <f>VLOOKUP(A37,Enforcements!$C$7:$K$9,8,0)</f>
        <v>#N/A</v>
      </c>
      <c r="AC37" s="233" t="e">
        <f>VLOOKUP(A37,Enforcements!$C$7:$E$9,3,0)</f>
        <v>#N/A</v>
      </c>
      <c r="AD37" s="244">
        <f t="shared" si="10"/>
        <v>125</v>
      </c>
      <c r="AE37" s="236" t="str">
        <f t="shared" si="11"/>
        <v>aws s3 cp s3://rtdc.mdm.uploadarchive.raw/RTDC4058/ "%USERPROFILE%\AppData\Local\Temp\OnboardLogs"\RTDC4058\2017-11-28 --exclude "*" --recursive --include "*20171128*" &amp; "%USERPROFILE%\Documents\GitHub\mrs-test-scripts\Headless Mode &amp; Sideloading\WalkAndUnGZ.bat" "%USERPROFILE%\AppData\Local\Temp\OnboardLogs"\RTDC4058\2017-11-28 &amp; aws s3 cp s3://rtdc.mdm.uploadarchive.raw/RTDC4058/ "%USERPROFILE%\AppData\Local\Temp\OnboardLogs"\RTDC4058\2017-11-29 --exclude "*" --recursive --include "*20171129*" &amp; "%USERPROFILE%\Documents\GitHub\mrs-test-scripts\Headless Mode &amp; Sideloading\WalkAndUnGZ.bat" "%USERPROFILE%\AppData\Local\Temp\OnboardLogs"\RTDC4058\2017-11-29</v>
      </c>
      <c r="AF37" s="235" t="str">
        <f t="shared" si="12"/>
        <v>"C:\Program Files (x86)\AstroGrep\AstroGrep.exe" /e /r /s /spath="%USERPROFILE%\AppData\Local\Temp\OnboardLogs" /stypes="app*4058*20171128*" /stext=" 14:.+((SYSTEM_STATE.+slice.+state.+changed )|(ment ac)|(multiple cpu faults)|(system.+state.+changed )|(\[timeout)|(PRM\|1\|D)|(kpr)|(kdp)|(train st.+moving)|(\|lc)|(penalty))"</v>
      </c>
      <c r="AG37" s="245" t="str">
        <f t="shared" si="13"/>
        <v>EC</v>
      </c>
      <c r="AH37" s="237" t="str">
        <f t="shared" si="19"/>
        <v>"%USERPROFILE%\Documents\GitHub\eaglep3\Utilities\RefineRTDCRunTimes.py" --tripid 125-28 --locoid 4058 --swversion DE.1.0.9.0 --startMP 204:464 --initTime 2017-11-28T06:40:13 --startdatetime 2017-11-28T06:45:18 --delay 55 --endMP 204:233299 --enddatetime 2017-11-28T07:19:35 --enforcementcount 0 &gt;&gt;%USERPROFILE%\Documents\GitHub\eaglep3-reporting\EC\2017-11-28-refined-times.txt</v>
      </c>
      <c r="AI37" s="239" t="str">
        <f t="shared" si="20"/>
        <v>echo {"issue":{"subject":"","project_id":79,"tracker_id":40,"status_id":1,"priority_id":2,"assigned_to_id":338,"start_date":"2017-11-28","description":"","custom_fields":[{"id":1,"name":"Subdivision","value":"EC"},{"id":4,"name":"Milepost","value":"23.3299"},{"id":17,"name":"Train ID","value":"125-28"},{"id":16,"name":"Locomotive ID","value":"4058"},{"id":130,"name":"Impact","value":""},{"id":150,"name":"Time of Event (Mountain Time)","value":"07:19:35"},{"id":151,"name":"Denver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7" s="224"/>
      <c r="AK37" s="232"/>
      <c r="AL37" s="232"/>
      <c r="AM37" s="241" t="str">
        <f t="shared" si="21"/>
        <v>start /low /b %USERPROFILE%\Documents\GitHub\eaglep3\Utilities\DownloadLogsFromS3.py --loco 4058 --day 2017-11-28</v>
      </c>
      <c r="AN37" s="242" t="str">
        <f t="shared" si="2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14:19:35"},{"id":29,"name":"Sharepoint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231" t="str">
        <f t="shared" si="23"/>
        <v>https://d0f6bd738d7f1b3e5a7ca70fe4ff75f0.us-east-1.aws.found.io/app/kibana#/discover/Steve-Slow-Train-Analysis-(2080s-and-2083s)?_g=(refreshInterval:(display:Off,pause:!f,section:0,value:0),time:(from:'2017-11-28T05:40:13-0700',mode:absolute,to:'2017-11-28T08:19:35-0700'))&amp;_a=(columns:!('Message%20ID',Summary),filters:!(),index:'emp_*',interval:auto,query:(query_string:(analyze_wildcard:!t,query:'%22rtdc.l.rtdc.4058%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230" t="s">
        <v>724</v>
      </c>
      <c r="B38" s="226">
        <v>4057</v>
      </c>
      <c r="C38" s="228" t="s">
        <v>192</v>
      </c>
      <c r="D38" s="228" t="s">
        <v>907</v>
      </c>
      <c r="E38" s="227">
        <v>43067.277928240743</v>
      </c>
      <c r="F38" s="227">
        <v>43067.321296296293</v>
      </c>
      <c r="G38" s="226">
        <v>55</v>
      </c>
      <c r="H38" s="228" t="s">
        <v>496</v>
      </c>
      <c r="I38" s="227">
        <v>43067.34679398148</v>
      </c>
      <c r="J38" s="226">
        <v>0</v>
      </c>
      <c r="K38" s="238" t="str">
        <f t="shared" si="0"/>
        <v>4057/4058</v>
      </c>
      <c r="L38" s="246" t="str">
        <f>VLOOKUP(A38,'Trips&amp;Operators'!$C$1:$G$99911,5,FALSE)</f>
        <v>ROCHA YAOTL</v>
      </c>
      <c r="M38" s="225">
        <f t="shared" si="1"/>
        <v>2.5497685186564922E-2</v>
      </c>
      <c r="N38" s="226">
        <f t="shared" si="24"/>
        <v>36.716666668653488</v>
      </c>
      <c r="O38" s="226"/>
      <c r="P38" s="226"/>
      <c r="Q38" s="229"/>
      <c r="R38" s="243"/>
      <c r="S38" s="250">
        <f t="shared" si="3"/>
        <v>1</v>
      </c>
      <c r="T38" s="243" t="str">
        <f t="shared" si="4"/>
        <v>Southbound</v>
      </c>
      <c r="U38" s="247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49" t="str">
        <f t="shared" si="5"/>
        <v>https://d0f6bd738d7f1b3e5a7ca70fe4ff75f0.us-east-1.aws.found.io/app/kibana#/discover/Steve-Slow-Train-Analysis-(2080s-and-2083s)?_g=(refreshInterval:(display:Off,pause:!f,section:0,value:0),time:(from:'2017-11-28T05:40:13-0700',mode:absolute,to:'2017-11-28T09:19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38" s="248" t="str">
        <f>IF(AA38&lt;VLOOKUP(AG38,Variables!$AC$3:$AD$8,2,FALSE),"Y","N")</f>
        <v>N</v>
      </c>
      <c r="X38" s="248">
        <f t="shared" si="6"/>
        <v>1</v>
      </c>
      <c r="Y38" s="248">
        <v>23.297699999999999</v>
      </c>
      <c r="Z38" s="248">
        <v>1.72E-2</v>
      </c>
      <c r="AA38" s="248">
        <f t="shared" si="9"/>
        <v>23.2805</v>
      </c>
      <c r="AB38" s="234" t="e">
        <f>VLOOKUP(A38,Enforcements!$C$7:$K$9,8,0)</f>
        <v>#N/A</v>
      </c>
      <c r="AC38" s="233" t="e">
        <f>VLOOKUP(A38,Enforcements!$C$7:$E$9,3,0)</f>
        <v>#N/A</v>
      </c>
      <c r="AD38" s="244">
        <f t="shared" si="10"/>
        <v>126</v>
      </c>
      <c r="AE38" s="236" t="str">
        <f t="shared" si="11"/>
        <v>aws s3 cp s3://rtdc.mdm.uploadarchive.raw/RTDC4057/ "%USERPROFILE%\AppData\Local\Temp\OnboardLogs"\RTDC4057\2017-11-28 --exclude "*" --recursive --include "*20171128*" &amp; "%USERPROFILE%\Documents\GitHub\mrs-test-scripts\Headless Mode &amp; Sideloading\WalkAndUnGZ.bat" "%USERPROFILE%\AppData\Local\Temp\OnboardLogs"\RTDC4057\2017-11-28 &amp; aws s3 cp s3://rtdc.mdm.uploadarchive.raw/RTDC4057/ "%USERPROFILE%\AppData\Local\Temp\OnboardLogs"\RTDC4057\2017-11-29 --exclude "*" --recursive --include "*20171129*" &amp; "%USERPROFILE%\Documents\GitHub\mrs-test-scripts\Headless Mode &amp; Sideloading\WalkAndUnGZ.bat" "%USERPROFILE%\AppData\Local\Temp\OnboardLogs"\RTDC4057\2017-11-29</v>
      </c>
      <c r="AF38" s="235" t="str">
        <f t="shared" si="12"/>
        <v>"C:\Program Files (x86)\AstroGrep\AstroGrep.exe" /e /r /s /spath="%USERPROFILE%\AppData\Local\Temp\OnboardLogs" /stypes="app*4057*20171128*" /stext=" 15:.+((SYSTEM_STATE.+slice.+state.+changed )|(ment ac)|(multiple cpu faults)|(system.+state.+changed )|(\[timeout)|(PRM\|1\|D)|(kpr)|(kdp)|(train st.+moving)|(\|lc)|(penalty))"</v>
      </c>
      <c r="AG38" s="245" t="str">
        <f t="shared" si="13"/>
        <v>EC</v>
      </c>
      <c r="AH38" s="237" t="str">
        <f t="shared" ref="AH38" si="25">refinertdcruntimes&amp;" --tripid "&amp;A38&amp;" --locoid "&amp;B38&amp;" --swversion "&amp;C38&amp;" --startMP "&amp;D38&amp;" --initTime "&amp;TEXT(E38,"yyyy-mm-ddTHH:MM:SS")&amp;" --startdatetime "&amp;TEXT(F38,"yyyy-mm-ddTHH:MM:SS")&amp;" --delay "&amp;G38&amp;" --endMP "&amp;H38&amp;" --enddatetime "&amp;TEXT(I38,"yyyy-mm-ddTHH:MM:SS")&amp;" --enforcementcount "&amp;J38&amp;IF(outputrefinedruntimes," &gt;&gt;"&amp;RefinedRTDCRunTimesOutputFile,"")</f>
        <v>"%USERPROFILE%\Documents\GitHub\eaglep3\Utilities\RefineRTDCRunTimes.py" --tripid 126-28 --locoid 4057 --swversion DE.1.0.9.0 --startMP 204:464 --initTime 2017-11-28T06:40:13 --startdatetime 2017-11-28T07:42:40 --delay 55 --endMP 204:233299 --enddatetime 2017-11-28T08:19:23 --enforcementcount 0 &gt;&gt;%USERPROFILE%\Documents\GitHub\eaglep3-reporting\EC\2017-11-28-refined-times.txt</v>
      </c>
      <c r="AI38" s="239" t="str">
        <f t="shared" ref="AI38" si="26">"echo {""issue"":{""subject"":"""&amp;R38&amp;""",""project_id"":79,""tracker_id"":40,""status_id"":"&amp;redmine_status&amp;",""priority_id"":"&amp;redmine_priority&amp;",""assigned_to_id"":"&amp;redmine_assignee&amp;",""start_date"":"""&amp;TEXT(I38,"YYYY-mm-dd")&amp;""",""description"":"""&amp;AJ38&amp;""",""custom_fields"":[{""id"":1,""name"":""Subdivision"",""value"":"""&amp;AG38&amp;"""},{""id"":4,""name"":""Milepost"",""value"":"""&amp;Z38&amp;"""},{""id"":17,""name"":""Train ID"",""value"":"""&amp;A38&amp;"""},{""id"":16,""name"":""Locomotive ID"",""value"":"""&amp;B38&amp;"""},{""id"":130,""name"":""Impact"",""value"":"""&amp;AK38&amp;"""},{""id"":150,""name"":""Time of Event (Mountain Time)"",""value"":"""&amp;TEXT(I38,"hh:mm:ss")&amp;"""},{""id"":151,""name"":""Denver Issue ID"",""value"":"""&amp;"""},{""id"":178,""name"":""Operational Impact"",""value"":"""&amp;redmine_op_impact&amp;"""},{""id"":179,""name"":""Denver Segment Assigned"",""value"":"""&amp;AL38&amp;"""}]}}"&amp;"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{"issue":{"subject":"","project_id":79,"tracker_id":40,"status_id":1,"priority_id":2,"assigned_to_id":338,"start_date":"2017-11-28","description":"","custom_fields":[{"id":1,"name":"Subdivision","value":"EC"},{"id":4,"name":"Milepost","value":"0.0172"},{"id":17,"name":"Train ID","value":"126-28"},{"id":16,"name":"Locomotive ID","value":"4057"},{"id":130,"name":"Impact","value":""},{"id":150,"name":"Time of Event (Mountain Time)","value":"08:19:23"},{"id":151,"name":"Denver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8" s="224"/>
      <c r="AK38" s="232"/>
      <c r="AL38" s="232"/>
      <c r="AM38" s="241" t="str">
        <f t="shared" ref="AM38" si="27">"start /low /b "&amp;dls3logs&amp;" --loco "&amp;B38&amp;" --day "&amp;TEXT(F38,"YYYY-MM-DD")</f>
        <v>start /low /b %USERPROFILE%\Documents\GitHub\eaglep3\Utilities\DownloadLogsFromS3.py --loco 4057 --day 2017-11-28</v>
      </c>
      <c r="AN38" s="242" t="str">
        <f t="shared" ref="AN38" si="28">"echo {""issue"":{""subject"":"""&amp;R38&amp;""",""project_id"":30,""tracker_id"":4,""status_id"":"&amp;redmine_status_wcr&amp;",""priority_id"":"&amp;redmine_priority_wcr&amp;",""assigned_to_id"":"&amp;redmine_assignee_wcr&amp;",""start_date"":"""&amp;TEXT(I38-utc_offset/24,"YYYY-mm-dd")&amp;""",""description"":"""&amp;AJ38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ID"",""value"":"""&amp;B38&amp;"""},{""id"":20,""name"":""RR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UTC"",""value"":"""&amp;TEXT(I38-utc_offset/24,"YYYY-MM-DD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15:19:23"},{"id":29,"name":"Sharepoint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231" t="str">
        <f t="shared" ref="AO38" si="29">"https://d0f6bd738d7f1b3e5a7ca70fe4ff75f0.us-east-1.aws.found.io/app/kibana#/discover/Steve-Slow-Train-Analysis-(2080s-and-2083s)?_g="&amp;"(refreshInterval:(display:Off,pause:!f,section:0,value:0),time:(from:'"&amp;TEXT(E38-1/24,"yyyy-MM-DDThh:mm:ss")&amp;utc_offset&amp;"00"&amp;"',mode:absolute,to:'"&amp;TEXT(I38+1/24,"yyyy-MM-DDThh:mm:ss")&amp;utc_offset&amp;"00"&amp;"'))&amp;_a=(columns:!('Message%20ID',Summary),filters:!(),index:'emp_*',interval:auto,query:"&amp;"(query_string:(analyze_wildcard:!t,query:'%22rtdc.l.rtdc."&amp;B38&amp;"%22')),sort:!(Time.ISO8601,asc))"</f>
        <v>https://d0f6bd738d7f1b3e5a7ca70fe4ff75f0.us-east-1.aws.found.io/app/kibana#/discover/Steve-Slow-Train-Analysis-(2080s-and-2083s)?_g=(refreshInterval:(display:Off,pause:!f,section:0,value:0),time:(from:'2017-11-28T05:40:13-0700',mode:absolute,to:'2017-11-28T09:19:23-0700'))&amp;_a=(columns:!('Message%20ID',Summary),filters:!(),index:'emp_*',interval:auto,query:(query_string:(analyze_wildcard:!t,query:'%22rtdc.l.rtdc.4057%22')),sort:!(Time.ISO8601,asc))</v>
      </c>
      <c r="AP38" s="224"/>
      <c r="AQ38" s="224"/>
      <c r="AR38" s="224"/>
      <c r="AS38" s="224"/>
      <c r="AT38" s="224"/>
      <c r="AU38" s="224"/>
      <c r="AV38" s="224"/>
      <c r="AW38" s="224"/>
      <c r="AX38" s="224"/>
      <c r="AY38" s="224"/>
      <c r="AZ38" s="224"/>
      <c r="BA38" s="224"/>
      <c r="BB38" s="224"/>
      <c r="BC38" s="224"/>
      <c r="BD38" s="224"/>
      <c r="BE38" s="224"/>
      <c r="BF38" s="224"/>
      <c r="BG38" s="224"/>
      <c r="BH38" s="224"/>
      <c r="BI38" s="224"/>
      <c r="BJ38" s="224"/>
      <c r="BK38" s="224"/>
      <c r="BL38" s="224"/>
      <c r="BM38" s="224"/>
      <c r="BN38" s="224"/>
      <c r="BO38" s="224"/>
      <c r="BP38" s="224"/>
      <c r="BQ38" s="224"/>
      <c r="BR38" s="224"/>
      <c r="BS38" s="224"/>
      <c r="BT38" s="224"/>
      <c r="BU38" s="224"/>
      <c r="BV38" s="224"/>
      <c r="BW38" s="224"/>
      <c r="BX38" s="224"/>
      <c r="BY38" s="224"/>
      <c r="BZ38" s="224"/>
      <c r="CA38" s="224"/>
      <c r="CB38" s="224"/>
      <c r="CC38" s="224"/>
      <c r="CD38" s="224"/>
      <c r="CE38" s="224"/>
      <c r="CF38" s="224"/>
      <c r="CG38" s="224"/>
      <c r="CH38" s="224"/>
      <c r="CI38" s="224"/>
      <c r="CJ38" s="224"/>
      <c r="CK38" s="224"/>
      <c r="CL38" s="224"/>
      <c r="CM38" s="224"/>
    </row>
    <row r="39" spans="1:91" s="1" customFormat="1" x14ac:dyDescent="0.25">
      <c r="A39" s="230" t="s">
        <v>715</v>
      </c>
      <c r="B39" s="226">
        <v>4034</v>
      </c>
      <c r="C39" s="228" t="s">
        <v>192</v>
      </c>
      <c r="D39" s="228" t="s">
        <v>578</v>
      </c>
      <c r="E39" s="227">
        <v>43067.286828703705</v>
      </c>
      <c r="F39" s="227">
        <v>43067.291828703703</v>
      </c>
      <c r="G39" s="226">
        <v>49</v>
      </c>
      <c r="H39" s="228" t="s">
        <v>585</v>
      </c>
      <c r="I39" s="227">
        <v>43067.316863425927</v>
      </c>
      <c r="J39" s="226">
        <v>0</v>
      </c>
      <c r="K39" s="238" t="str">
        <f t="shared" si="0"/>
        <v>4033/4034</v>
      </c>
      <c r="L39" s="246" t="str">
        <f>VLOOKUP(A39,'Trips&amp;Operators'!$C$1:$G$99911,5,FALSE)</f>
        <v>YANAI IAN</v>
      </c>
      <c r="M39" s="225">
        <f t="shared" si="1"/>
        <v>2.5034722224518191E-2</v>
      </c>
      <c r="N39" s="226">
        <f t="shared" si="24"/>
        <v>36.050000003306195</v>
      </c>
      <c r="O39" s="226"/>
      <c r="P39" s="226"/>
      <c r="Q39" s="229"/>
      <c r="R39" s="243"/>
      <c r="S39" s="250">
        <f t="shared" si="3"/>
        <v>1</v>
      </c>
      <c r="T39" s="243" t="str">
        <f t="shared" si="4"/>
        <v>NorthBound</v>
      </c>
      <c r="U39" s="247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49" t="str">
        <f t="shared" si="5"/>
        <v>https://d0f6bd738d7f1b3e5a7ca70fe4ff75f0.us-east-1.aws.found.io/app/kibana#/discover/Steve-Slow-Train-Analysis-(2080s-and-2083s)?_g=(refreshInterval:(display:Off,pause:!f,section:0,value:0),time:(from:'2017-11-28T05:53:02-0700',mode:absolute,to:'2017-11-28T08:36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39" s="248" t="str">
        <f>IF(AA39&lt;VLOOKUP(AG39,Variables!$AC$3:$AD$8,2,FALSE),"Y","N")</f>
        <v>N</v>
      </c>
      <c r="X39" s="248">
        <f t="shared" si="6"/>
        <v>1</v>
      </c>
      <c r="Y39" s="248">
        <f t="shared" ref="Y39:Y70" si="30">RIGHT(D39,LEN(D39)-4)/10000</f>
        <v>4.4600000000000001E-2</v>
      </c>
      <c r="Z39" s="248">
        <f t="shared" ref="Z39:Z60" si="31">RIGHT(H39,LEN(H39)-4)/10000</f>
        <v>23.331</v>
      </c>
      <c r="AA39" s="248">
        <f t="shared" si="9"/>
        <v>23.2864</v>
      </c>
      <c r="AB39" s="234" t="e">
        <f>VLOOKUP(A39,Enforcements!$C$7:$K$9,8,0)</f>
        <v>#N/A</v>
      </c>
      <c r="AC39" s="233" t="e">
        <f>VLOOKUP(A39,Enforcements!$C$7:$E$9,3,0)</f>
        <v>#N/A</v>
      </c>
      <c r="AD39" s="244">
        <f t="shared" si="10"/>
        <v>127</v>
      </c>
      <c r="AE39" s="236" t="str">
        <f t="shared" si="11"/>
        <v>aws s3 cp s3://rtdc.mdm.uploadarchive.raw/RTDC4034/ "%USERPROFILE%\AppData\Local\Temp\OnboardLogs"\RTDC4034\2017-11-28 --exclude "*" --recursive --include "*20171128*" &amp; "%USERPROFILE%\Documents\GitHub\mrs-test-scripts\Headless Mode &amp; Sideloading\WalkAndUnGZ.bat" "%USERPROFILE%\AppData\Local\Temp\OnboardLogs"\RTDC4034\2017-11-28 &amp; aws s3 cp s3://rtdc.mdm.uploadarchive.raw/RTDC4034/ "%USERPROFILE%\AppData\Local\Temp\OnboardLogs"\RTDC4034\2017-11-29 --exclude "*" --recursive --include "*20171129*" &amp; "%USERPROFILE%\Documents\GitHub\mrs-test-scripts\Headless Mode &amp; Sideloading\WalkAndUnGZ.bat" "%USERPROFILE%\AppData\Local\Temp\OnboardLogs"\RTDC4034\2017-11-29</v>
      </c>
      <c r="AF39" s="235" t="str">
        <f t="shared" si="12"/>
        <v>"C:\Program Files (x86)\AstroGrep\AstroGrep.exe" /e /r /s /spath="%USERPROFILE%\AppData\Local\Temp\OnboardLogs" /stypes="app*4034*20171128*" /stext=" 14:.+((SYSTEM_STATE.+slice.+state.+changed )|(ment ac)|(multiple cpu faults)|(system.+state.+changed )|(\[timeout)|(PRM\|1\|D)|(kpr)|(kdp)|(train st.+moving)|(\|lc)|(penalty))"</v>
      </c>
      <c r="AG39" s="245" t="str">
        <f t="shared" si="13"/>
        <v>EC</v>
      </c>
      <c r="AH39" s="237" t="str">
        <f t="shared" si="19"/>
        <v>"%USERPROFILE%\Documents\GitHub\eaglep3\Utilities\RefineRTDCRunTimes.py" --tripid 127-28 --locoid 4034 --swversion DE.1.0.9.0 --startMP 204:446 --initTime 2017-11-28T06:53:02 --startdatetime 2017-11-28T07:00:14 --delay 49 --endMP 204:233310 --enddatetime 2017-11-28T07:36:17 --enforcementcount 0 &gt;&gt;%USERPROFILE%\Documents\GitHub\eaglep3-reporting\EC\2017-11-28-refined-times.txt</v>
      </c>
      <c r="AI39" s="239" t="str">
        <f t="shared" si="20"/>
        <v>echo {"issue":{"subject":"","project_id":79,"tracker_id":40,"status_id":1,"priority_id":2,"assigned_to_id":338,"start_date":"2017-11-28","description":"","custom_fields":[{"id":1,"name":"Subdivision","value":"EC"},{"id":4,"name":"Milepost","value":"23.331"},{"id":17,"name":"Train ID","value":"127-28"},{"id":16,"name":"Locomotive ID","value":"4034"},{"id":130,"name":"Impact","value":""},{"id":150,"name":"Time of Event (Mountain Time)","value":"07:36:17"},{"id":151,"name":"Denver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9" s="224"/>
      <c r="AK39" s="232"/>
      <c r="AL39" s="232"/>
      <c r="AM39" s="241" t="str">
        <f t="shared" si="21"/>
        <v>start /low /b %USERPROFILE%\Documents\GitHub\eaglep3\Utilities\DownloadLogsFromS3.py --loco 4034 --day 2017-11-28</v>
      </c>
      <c r="AN39" s="242" t="str">
        <f t="shared" si="2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14:36:17"},{"id":29,"name":"Sharepoint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231" t="str">
        <f t="shared" si="23"/>
        <v>https://d0f6bd738d7f1b3e5a7ca70fe4ff75f0.us-east-1.aws.found.io/app/kibana#/discover/Steve-Slow-Train-Analysis-(2080s-and-2083s)?_g=(refreshInterval:(display:Off,pause:!f,section:0,value:0),time:(from:'2017-11-28T05:53:02-0700',mode:absolute,to:'2017-11-28T08:36:17-0700'))&amp;_a=(columns:!('Message%20ID',Summary),filters:!(),index:'emp_*',interval:auto,query:(query_string:(analyze_wildcard:!t,query:'%22rtdc.l.rtdc.4034%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230" t="s">
        <v>725</v>
      </c>
      <c r="B40" s="226">
        <v>4033</v>
      </c>
      <c r="C40" s="228" t="s">
        <v>192</v>
      </c>
      <c r="D40" s="228" t="s">
        <v>576</v>
      </c>
      <c r="E40" s="227">
        <v>43067.319027777776</v>
      </c>
      <c r="F40" s="227">
        <v>43067.331423611111</v>
      </c>
      <c r="G40" s="226">
        <v>59</v>
      </c>
      <c r="H40" s="228" t="s">
        <v>908</v>
      </c>
      <c r="I40" s="227">
        <v>43067.357569444444</v>
      </c>
      <c r="J40" s="226">
        <v>0</v>
      </c>
      <c r="K40" s="238" t="str">
        <f t="shared" si="0"/>
        <v>4033/4034</v>
      </c>
      <c r="L40" s="246" t="str">
        <f>VLOOKUP(A40,'Trips&amp;Operators'!$C$1:$G$99911,5,FALSE)</f>
        <v>YANAI IAN</v>
      </c>
      <c r="M40" s="225">
        <f t="shared" si="1"/>
        <v>2.6145833333430346E-2</v>
      </c>
      <c r="N40" s="226">
        <f t="shared" si="24"/>
        <v>37.650000000139698</v>
      </c>
      <c r="O40" s="226"/>
      <c r="P40" s="226"/>
      <c r="Q40" s="229"/>
      <c r="R40" s="243"/>
      <c r="S40" s="250">
        <f t="shared" si="3"/>
        <v>1</v>
      </c>
      <c r="T40" s="243" t="str">
        <f t="shared" si="4"/>
        <v>Southbound</v>
      </c>
      <c r="U40" s="247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49" t="str">
        <f t="shared" si="5"/>
        <v>https://d0f6bd738d7f1b3e5a7ca70fe4ff75f0.us-east-1.aws.found.io/app/kibana#/discover/Steve-Slow-Train-Analysis-(2080s-and-2083s)?_g=(refreshInterval:(display:Off,pause:!f,section:0,value:0),time:(from:'2017-11-28T06:39:24-0700',mode:absolute,to:'2017-11-28T09:34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40" s="248" t="str">
        <f>IF(AA40&lt;VLOOKUP(AG40,Variables!$AC$3:$AD$8,2,FALSE),"Y","N")</f>
        <v>N</v>
      </c>
      <c r="X40" s="248">
        <f t="shared" si="6"/>
        <v>1</v>
      </c>
      <c r="Y40" s="248">
        <f t="shared" si="30"/>
        <v>23.299800000000001</v>
      </c>
      <c r="Z40" s="248">
        <f t="shared" si="31"/>
        <v>1.38E-2</v>
      </c>
      <c r="AA40" s="248">
        <f t="shared" si="9"/>
        <v>23.286000000000001</v>
      </c>
      <c r="AB40" s="234" t="e">
        <f>VLOOKUP(A40,Enforcements!$C$7:$K$9,8,0)</f>
        <v>#N/A</v>
      </c>
      <c r="AC40" s="233" t="e">
        <f>VLOOKUP(A40,Enforcements!$C$7:$E$9,3,0)</f>
        <v>#N/A</v>
      </c>
      <c r="AD40" s="244">
        <f t="shared" si="10"/>
        <v>128</v>
      </c>
      <c r="AE40" s="236" t="str">
        <f t="shared" si="11"/>
        <v>aws s3 cp s3://rtdc.mdm.uploadarchive.raw/RTDC4033/ "%USERPROFILE%\AppData\Local\Temp\OnboardLogs"\RTDC4033\2017-11-28 --exclude "*" --recursive --include "*20171128*" &amp; "%USERPROFILE%\Documents\GitHub\mrs-test-scripts\Headless Mode &amp; Sideloading\WalkAndUnGZ.bat" "%USERPROFILE%\AppData\Local\Temp\OnboardLogs"\RTDC4033\2017-11-28 &amp; aws s3 cp s3://rtdc.mdm.uploadarchive.raw/RTDC4033/ "%USERPROFILE%\AppData\Local\Temp\OnboardLogs"\RTDC4033\2017-11-29 --exclude "*" --recursive --include "*20171129*" &amp; "%USERPROFILE%\Documents\GitHub\mrs-test-scripts\Headless Mode &amp; Sideloading\WalkAndUnGZ.bat" "%USERPROFILE%\AppData\Local\Temp\OnboardLogs"\RTDC4033\2017-11-29</v>
      </c>
      <c r="AF40" s="235" t="str">
        <f t="shared" si="12"/>
        <v>"C:\Program Files (x86)\AstroGrep\AstroGrep.exe" /e /r /s /spath="%USERPROFILE%\AppData\Local\Temp\OnboardLogs" /stypes="app*4033*20171128*" /stext=" 15:.+((SYSTEM_STATE.+slice.+state.+changed )|(ment ac)|(multiple cpu faults)|(system.+state.+changed )|(\[timeout)|(PRM\|1\|D)|(kpr)|(kdp)|(train st.+moving)|(\|lc)|(penalty))"</v>
      </c>
      <c r="AG40" s="245" t="str">
        <f t="shared" si="13"/>
        <v>EC</v>
      </c>
      <c r="AH40" s="237" t="str">
        <f t="shared" si="19"/>
        <v>"%USERPROFILE%\Documents\GitHub\eaglep3\Utilities\RefineRTDCRunTimes.py" --tripid 128-28 --locoid 4033 --swversion DE.1.0.9.0 --startMP 204:232998 --initTime 2017-11-28T07:39:24 --startdatetime 2017-11-28T07:57:15 --delay 59 --endMP 204:138 --enddatetime 2017-11-28T08:34:54 --enforcementcount 0 &gt;&gt;%USERPROFILE%\Documents\GitHub\eaglep3-reporting\EC\2017-11-28-refined-times.txt</v>
      </c>
      <c r="AI40" s="239" t="str">
        <f t="shared" si="20"/>
        <v>echo {"issue":{"subject":"","project_id":79,"tracker_id":40,"status_id":1,"priority_id":2,"assigned_to_id":338,"start_date":"2017-11-28","description":"","custom_fields":[{"id":1,"name":"Subdivision","value":"EC"},{"id":4,"name":"Milepost","value":"0.0138"},{"id":17,"name":"Train ID","value":"128-28"},{"id":16,"name":"Locomotive ID","value":"4033"},{"id":130,"name":"Impact","value":""},{"id":150,"name":"Time of Event (Mountain Time)","value":"08:34:54"},{"id":151,"name":"Denver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0" s="224"/>
      <c r="AK40" s="232"/>
      <c r="AL40" s="232"/>
      <c r="AM40" s="241" t="str">
        <f t="shared" si="21"/>
        <v>start /low /b %USERPROFILE%\Documents\GitHub\eaglep3\Utilities\DownloadLogsFromS3.py --loco 4033 --day 2017-11-28</v>
      </c>
      <c r="AN40" s="242" t="str">
        <f t="shared" si="2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15:34:54"},{"id":29,"name":"Sharepoint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231" t="str">
        <f t="shared" si="23"/>
        <v>https://d0f6bd738d7f1b3e5a7ca70fe4ff75f0.us-east-1.aws.found.io/app/kibana#/discover/Steve-Slow-Train-Analysis-(2080s-and-2083s)?_g=(refreshInterval:(display:Off,pause:!f,section:0,value:0),time:(from:'2017-11-28T06:39:24-0700',mode:absolute,to:'2017-11-28T09:34:54-0700'))&amp;_a=(columns:!('Message%20ID',Summary),filters:!(),index:'emp_*',interval:auto,query:(query_string:(analyze_wildcard:!t,query:'%22rtdc.l.rtdc.4033%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230" t="s">
        <v>641</v>
      </c>
      <c r="B41" s="226">
        <v>4008</v>
      </c>
      <c r="C41" s="228" t="s">
        <v>192</v>
      </c>
      <c r="D41" s="228" t="s">
        <v>909</v>
      </c>
      <c r="E41" s="227">
        <v>43067.298206018517</v>
      </c>
      <c r="F41" s="227">
        <v>43067.307974537034</v>
      </c>
      <c r="G41" s="226">
        <v>89</v>
      </c>
      <c r="H41" s="228" t="s">
        <v>910</v>
      </c>
      <c r="I41" s="227">
        <v>43067.330324074072</v>
      </c>
      <c r="J41" s="226">
        <v>0</v>
      </c>
      <c r="K41" s="238" t="str">
        <f t="shared" si="0"/>
        <v>4007/4008</v>
      </c>
      <c r="L41" s="246" t="str">
        <f>VLOOKUP(A41,'Trips&amp;Operators'!$C$1:$G$99911,5,FALSE)</f>
        <v>NICHOLAS PLOYSA</v>
      </c>
      <c r="M41" s="225">
        <f t="shared" si="1"/>
        <v>2.2349537037371192E-2</v>
      </c>
      <c r="N41" s="226"/>
      <c r="O41" s="226"/>
      <c r="P41" s="226"/>
      <c r="Q41" s="229"/>
      <c r="R41" s="243"/>
      <c r="S41" s="250"/>
      <c r="T41" s="243" t="str">
        <f t="shared" si="4"/>
        <v>NorthBound</v>
      </c>
      <c r="U41" s="247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0</v>
      </c>
      <c r="V41" s="249" t="str">
        <f t="shared" si="5"/>
        <v>https://d0f6bd738d7f1b3e5a7ca70fe4ff75f0.us-east-1.aws.found.io/app/kibana#/discover/Steve-Slow-Train-Analysis-(2080s-and-2083s)?_g=(refreshInterval:(display:Off,pause:!f,section:0,value:0),time:(from:'2017-11-28T06:09:25-0700',mode:absolute,to:'2017-11-28T08:55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41" s="248" t="str">
        <f>IF(AA41&lt;VLOOKUP(AG41,Variables!$AC$3:$AD$8,2,FALSE),"Y","N")</f>
        <v>Y</v>
      </c>
      <c r="X41" s="248">
        <f t="shared" si="6"/>
        <v>1</v>
      </c>
      <c r="Y41" s="248">
        <f t="shared" si="30"/>
        <v>4.9799999999999997E-2</v>
      </c>
      <c r="Z41" s="248">
        <f t="shared" si="31"/>
        <v>0.64749999999999996</v>
      </c>
      <c r="AA41" s="248">
        <f t="shared" si="9"/>
        <v>0.59770000000000001</v>
      </c>
      <c r="AB41" s="234" t="e">
        <f>VLOOKUP(A41,Enforcements!$C$7:$K$9,8,0)</f>
        <v>#N/A</v>
      </c>
      <c r="AC41" s="233" t="e">
        <f>VLOOKUP(A41,Enforcements!$C$7:$E$9,3,0)</f>
        <v>#N/A</v>
      </c>
      <c r="AD41" s="244">
        <f t="shared" si="10"/>
        <v>129</v>
      </c>
      <c r="AE41" s="236" t="str">
        <f t="shared" si="11"/>
        <v>aws s3 cp s3://rtdc.mdm.uploadarchive.raw/RTDC4008/ "%USERPROFILE%\AppData\Local\Temp\OnboardLogs"\RTDC4008\2017-11-28 --exclude "*" --recursive --include "*20171128*" &amp; "%USERPROFILE%\Documents\GitHub\mrs-test-scripts\Headless Mode &amp; Sideloading\WalkAndUnGZ.bat" "%USERPROFILE%\AppData\Local\Temp\OnboardLogs"\RTDC4008\2017-11-28 &amp; aws s3 cp s3://rtdc.mdm.uploadarchive.raw/RTDC4008/ "%USERPROFILE%\AppData\Local\Temp\OnboardLogs"\RTDC4008\2017-11-29 --exclude "*" --recursive --include "*20171129*" &amp; "%USERPROFILE%\Documents\GitHub\mrs-test-scripts\Headless Mode &amp; Sideloading\WalkAndUnGZ.bat" "%USERPROFILE%\AppData\Local\Temp\OnboardLogs"\RTDC4008\2017-11-29</v>
      </c>
      <c r="AF41" s="235" t="str">
        <f t="shared" si="12"/>
        <v>"C:\Program Files (x86)\AstroGrep\AstroGrep.exe" /e /r /s /spath="%USERPROFILE%\AppData\Local\Temp\OnboardLogs" /stypes="app*4008*20171128*" /stext=" 14:.+((SYSTEM_STATE.+slice.+state.+changed )|(ment ac)|(multiple cpu faults)|(system.+state.+changed )|(\[timeout)|(PRM\|1\|D)|(kpr)|(kdp)|(train st.+moving)|(\|lc)|(penalty))"</v>
      </c>
      <c r="AG41" s="245" t="str">
        <f t="shared" si="13"/>
        <v>EC</v>
      </c>
      <c r="AH41" s="237" t="str">
        <f t="shared" si="19"/>
        <v>"%USERPROFILE%\Documents\GitHub\eaglep3\Utilities\RefineRTDCRunTimes.py" --tripid 129-28 --locoid 4008 --swversion DE.1.0.9.0 --startMP 204:498 --initTime 2017-11-28T07:09:25 --startdatetime 2017-11-28T07:23:29 --delay 89 --endMP 204:6475 --enddatetime 2017-11-28T07:55:40 --enforcementcount 0 &gt;&gt;%USERPROFILE%\Documents\GitHub\eaglep3-reporting\EC\2017-11-28-refined-times.txt</v>
      </c>
      <c r="AI41" s="239" t="str">
        <f t="shared" si="20"/>
        <v>echo {"issue":{"subject":"","project_id":79,"tracker_id":40,"status_id":1,"priority_id":2,"assigned_to_id":338,"start_date":"2017-11-28","description":"","custom_fields":[{"id":1,"name":"Subdivision","value":"EC"},{"id":4,"name":"Milepost","value":"0.6475"},{"id":17,"name":"Train ID","value":"129-28"},{"id":16,"name":"Locomotive ID","value":"4008"},{"id":130,"name":"Impact","value":""},{"id":150,"name":"Time of Event (Mountain Time)","value":"07:55:40"},{"id":151,"name":"Denver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1" s="224"/>
      <c r="AK41" s="232"/>
      <c r="AL41" s="232"/>
      <c r="AM41" s="241" t="str">
        <f t="shared" si="21"/>
        <v>start /low /b %USERPROFILE%\Documents\GitHub\eaglep3\Utilities\DownloadLogsFromS3.py --loco 4008 --day 2017-11-28</v>
      </c>
      <c r="AN41" s="242" t="str">
        <f t="shared" si="2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14:55:40"},{"id":29,"name":"Sharepoint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231" t="str">
        <f t="shared" si="23"/>
        <v>https://d0f6bd738d7f1b3e5a7ca70fe4ff75f0.us-east-1.aws.found.io/app/kibana#/discover/Steve-Slow-Train-Analysis-(2080s-and-2083s)?_g=(refreshInterval:(display:Off,pause:!f,section:0,value:0),time:(from:'2017-11-28T06:09:25-0700',mode:absolute,to:'2017-11-28T08:55:40-0700'))&amp;_a=(columns:!('Message%20ID',Summary),filters:!(),index:'emp_*',interval:auto,query:(query_string:(analyze_wildcard:!t,query:'%22rtdc.l.rtdc.4008%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230" t="s">
        <v>641</v>
      </c>
      <c r="B42" s="226">
        <v>4008</v>
      </c>
      <c r="C42" s="228" t="s">
        <v>192</v>
      </c>
      <c r="D42" s="228" t="s">
        <v>911</v>
      </c>
      <c r="E42" s="227">
        <v>43067.307025462964</v>
      </c>
      <c r="F42" s="227">
        <v>43067.307974537034</v>
      </c>
      <c r="G42" s="226">
        <v>41</v>
      </c>
      <c r="H42" s="228" t="s">
        <v>470</v>
      </c>
      <c r="I42" s="227">
        <v>43067.330324074072</v>
      </c>
      <c r="J42" s="226">
        <v>0</v>
      </c>
      <c r="K42" s="238" t="str">
        <f t="shared" si="0"/>
        <v>4007/4008</v>
      </c>
      <c r="L42" s="246" t="str">
        <f>VLOOKUP(A42,'Trips&amp;Operators'!$C$1:$G$99911,5,FALSE)</f>
        <v>NICHOLAS PLOYSA</v>
      </c>
      <c r="M42" s="225">
        <f t="shared" si="1"/>
        <v>2.2349537037371192E-2</v>
      </c>
      <c r="N42" s="226"/>
      <c r="O42" s="226"/>
      <c r="P42" s="226">
        <f>24*60*SUM($M42:$M42)</f>
        <v>32.183333333814517</v>
      </c>
      <c r="Q42" s="229"/>
      <c r="R42" s="243" t="s">
        <v>1096</v>
      </c>
      <c r="S42" s="250">
        <f t="shared" ref="S42:S73" si="32">1/IF(AG42="EC",12,1)*SUM(U42:U42)</f>
        <v>1</v>
      </c>
      <c r="T42" s="243" t="str">
        <f t="shared" si="4"/>
        <v>NorthBound</v>
      </c>
      <c r="U42" s="247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49" t="str">
        <f t="shared" si="5"/>
        <v>https://d0f6bd738d7f1b3e5a7ca70fe4ff75f0.us-east-1.aws.found.io/app/kibana#/discover/Steve-Slow-Train-Analysis-(2080s-and-2083s)?_g=(refreshInterval:(display:Off,pause:!f,section:0,value:0),time:(from:'2017-11-28T06:22:07-0700',mode:absolute,to:'2017-11-28T08:55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42" s="248" t="str">
        <f>IF(AA42&lt;VLOOKUP(AG42,Variables!$AC$3:$AD$8,2,FALSE),"Y","N")</f>
        <v>Y</v>
      </c>
      <c r="X42" s="248">
        <f t="shared" si="6"/>
        <v>0</v>
      </c>
      <c r="Y42" s="248">
        <f t="shared" si="30"/>
        <v>1.9132</v>
      </c>
      <c r="Z42" s="248">
        <f t="shared" si="31"/>
        <v>23.327999999999999</v>
      </c>
      <c r="AA42" s="248">
        <f t="shared" si="9"/>
        <v>21.4148</v>
      </c>
      <c r="AB42" s="234" t="e">
        <f>VLOOKUP(A42,Enforcements!$C$7:$K$9,8,0)</f>
        <v>#N/A</v>
      </c>
      <c r="AC42" s="233" t="e">
        <f>VLOOKUP(A42,Enforcements!$C$7:$E$9,3,0)</f>
        <v>#N/A</v>
      </c>
      <c r="AD42" s="244">
        <f t="shared" si="10"/>
        <v>129</v>
      </c>
      <c r="AE42" s="236" t="str">
        <f t="shared" si="11"/>
        <v>aws s3 cp s3://rtdc.mdm.uploadarchive.raw/RTDC4008/ "%USERPROFILE%\AppData\Local\Temp\OnboardLogs"\RTDC4008\2017-11-28 --exclude "*" --recursive --include "*20171128*" &amp; "%USERPROFILE%\Documents\GitHub\mrs-test-scripts\Headless Mode &amp; Sideloading\WalkAndUnGZ.bat" "%USERPROFILE%\AppData\Local\Temp\OnboardLogs"\RTDC4008\2017-11-28 &amp; aws s3 cp s3://rtdc.mdm.uploadarchive.raw/RTDC4008/ "%USERPROFILE%\AppData\Local\Temp\OnboardLogs"\RTDC4008\2017-11-29 --exclude "*" --recursive --include "*20171129*" &amp; "%USERPROFILE%\Documents\GitHub\mrs-test-scripts\Headless Mode &amp; Sideloading\WalkAndUnGZ.bat" "%USERPROFILE%\AppData\Local\Temp\OnboardLogs"\RTDC4008\2017-11-29</v>
      </c>
      <c r="AF42" s="235" t="str">
        <f t="shared" si="12"/>
        <v>"C:\Program Files (x86)\AstroGrep\AstroGrep.exe" /e /r /s /spath="%USERPROFILE%\AppData\Local\Temp\OnboardLogs" /stypes="app*4008*20171128*" /stext=" 14:.+((SYSTEM_STATE.+slice.+state.+changed )|(ment ac)|(multiple cpu faults)|(system.+state.+changed )|(\[timeout)|(PRM\|1\|D)|(kpr)|(kdp)|(train st.+moving)|(\|lc)|(penalty))"</v>
      </c>
      <c r="AG42" s="245" t="str">
        <f t="shared" si="13"/>
        <v>EC</v>
      </c>
      <c r="AH42" s="237" t="str">
        <f t="shared" si="19"/>
        <v>"%USERPROFILE%\Documents\GitHub\eaglep3\Utilities\RefineRTDCRunTimes.py" --tripid 129-28 --locoid 4008 --swversion DE.1.0.9.0 --startMP 204:19132 --initTime 2017-11-28T07:22:07 --startdatetime 2017-11-28T07:23:29 --delay 41 --endMP 204:233280 --enddatetime 2017-11-28T07:55:40 --enforcementcount 0 &gt;&gt;%USERPROFILE%\Documents\GitHub\eaglep3-reporting\EC\2017-11-28-refined-times.txt</v>
      </c>
      <c r="AI42" s="239" t="str">
        <f t="shared" si="20"/>
        <v>echo {"issue":{"subject":"Poor GPS @ DUS","project_id":79,"tracker_id":40,"status_id":1,"priority_id":2,"assigned_to_id":338,"start_date":"2017-11-28","description":"","custom_fields":[{"id":1,"name":"Subdivision","value":"EC"},{"id":4,"name":"Milepost","value":"23.328"},{"id":17,"name":"Train ID","value":"129-28"},{"id":16,"name":"Locomotive ID","value":"4008"},{"id":130,"name":"Impact","value":""},{"id":150,"name":"Time of Event (Mountain Time)","value":"07:55:40"},{"id":151,"name":"Denver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2" s="224"/>
      <c r="AK42" s="232"/>
      <c r="AL42" s="232"/>
      <c r="AM42" s="241" t="str">
        <f t="shared" si="21"/>
        <v>start /low /b %USERPROFILE%\Documents\GitHub\eaglep3\Utilities\DownloadLogsFromS3.py --loco 4008 --day 2017-11-28</v>
      </c>
      <c r="AN42" s="242" t="str">
        <f t="shared" si="22"/>
        <v>echo {"issue":{"subject":"Poor GPS @ DUS","project_id":30,"tracker_id":4,"status_id":1,"priority_id":1,"assigned_to_id":10,"start_date":"2017-11-28","description":"","custom_fields":[{"id":30,"name":"Category","value":"Issue"},{"id":3,"name":"Functional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14:55:40"},{"id":29,"name":"Sharepoint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231" t="str">
        <f t="shared" si="23"/>
        <v>https://d0f6bd738d7f1b3e5a7ca70fe4ff75f0.us-east-1.aws.found.io/app/kibana#/discover/Steve-Slow-Train-Analysis-(2080s-and-2083s)?_g=(refreshInterval:(display:Off,pause:!f,section:0,value:0),time:(from:'2017-11-28T06:22:07-0700',mode:absolute,to:'2017-11-28T08:55:40-0700'))&amp;_a=(columns:!('Message%20ID',Summary),filters:!(),index:'emp_*',interval:auto,query:(query_string:(analyze_wildcard:!t,query:'%22rtdc.l.rtdc.4008%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230" t="s">
        <v>728</v>
      </c>
      <c r="B43" s="226">
        <v>4007</v>
      </c>
      <c r="C43" s="228" t="s">
        <v>192</v>
      </c>
      <c r="D43" s="228" t="s">
        <v>912</v>
      </c>
      <c r="E43" s="227">
        <v>43067.337083333332</v>
      </c>
      <c r="F43" s="227">
        <v>43067.341932870368</v>
      </c>
      <c r="G43" s="226">
        <v>151</v>
      </c>
      <c r="H43" s="228" t="s">
        <v>610</v>
      </c>
      <c r="I43" s="227">
        <v>43067.37059027778</v>
      </c>
      <c r="J43" s="226">
        <v>0</v>
      </c>
      <c r="K43" s="238" t="str">
        <f t="shared" si="0"/>
        <v>4007/4008</v>
      </c>
      <c r="L43" s="246" t="str">
        <f>VLOOKUP(A43,'Trips&amp;Operators'!$C$1:$G$99911,5,FALSE)</f>
        <v>NICHOLAS PLOYSA</v>
      </c>
      <c r="M43" s="225">
        <f t="shared" si="1"/>
        <v>2.8657407412538305E-2</v>
      </c>
      <c r="N43" s="226">
        <f t="shared" ref="N43:N74" si="33">24*60*SUM($M43:$M43)</f>
        <v>41.266666674055159</v>
      </c>
      <c r="O43" s="226"/>
      <c r="P43" s="226"/>
      <c r="Q43" s="229"/>
      <c r="R43" s="243"/>
      <c r="S43" s="250">
        <f t="shared" si="32"/>
        <v>1</v>
      </c>
      <c r="T43" s="243" t="str">
        <f t="shared" si="4"/>
        <v>Southbound</v>
      </c>
      <c r="U43" s="247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49" t="str">
        <f t="shared" si="5"/>
        <v>https://d0f6bd738d7f1b3e5a7ca70fe4ff75f0.us-east-1.aws.found.io/app/kibana#/discover/Steve-Slow-Train-Analysis-(2080s-and-2083s)?_g=(refreshInterval:(display:Off,pause:!f,section:0,value:0),time:(from:'2017-11-28T07:05:24-0700',mode:absolute,to:'2017-11-28T09:53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43" s="248" t="str">
        <f>IF(AA43&lt;VLOOKUP(AG43,Variables!$AC$3:$AD$8,2,FALSE),"Y","N")</f>
        <v>N</v>
      </c>
      <c r="X43" s="248">
        <f t="shared" si="6"/>
        <v>1</v>
      </c>
      <c r="Y43" s="248">
        <f t="shared" si="30"/>
        <v>23.296299999999999</v>
      </c>
      <c r="Z43" s="248">
        <f t="shared" si="31"/>
        <v>1.9199999999999998E-2</v>
      </c>
      <c r="AA43" s="248">
        <f t="shared" si="9"/>
        <v>23.277099999999997</v>
      </c>
      <c r="AB43" s="234" t="e">
        <f>VLOOKUP(A43,Enforcements!$C$7:$K$9,8,0)</f>
        <v>#N/A</v>
      </c>
      <c r="AC43" s="233" t="e">
        <f>VLOOKUP(A43,Enforcements!$C$7:$E$9,3,0)</f>
        <v>#N/A</v>
      </c>
      <c r="AD43" s="244">
        <f t="shared" si="10"/>
        <v>130</v>
      </c>
      <c r="AE43" s="236" t="str">
        <f t="shared" si="11"/>
        <v>aws s3 cp s3://rtdc.mdm.uploadarchive.raw/RTDC4007/ "%USERPROFILE%\AppData\Local\Temp\OnboardLogs"\RTDC4007\2017-11-28 --exclude "*" --recursive --include "*20171128*" &amp; "%USERPROFILE%\Documents\GitHub\mrs-test-scripts\Headless Mode &amp; Sideloading\WalkAndUnGZ.bat" "%USERPROFILE%\AppData\Local\Temp\OnboardLogs"\RTDC4007\2017-11-28 &amp; aws s3 cp s3://rtdc.mdm.uploadarchive.raw/RTDC4007/ "%USERPROFILE%\AppData\Local\Temp\OnboardLogs"\RTDC4007\2017-11-29 --exclude "*" --recursive --include "*20171129*" &amp; "%USERPROFILE%\Documents\GitHub\mrs-test-scripts\Headless Mode &amp; Sideloading\WalkAndUnGZ.bat" "%USERPROFILE%\AppData\Local\Temp\OnboardLogs"\RTDC4007\2017-11-29</v>
      </c>
      <c r="AF43" s="235" t="str">
        <f t="shared" si="12"/>
        <v>"C:\Program Files (x86)\AstroGrep\AstroGrep.exe" /e /r /s /spath="%USERPROFILE%\AppData\Local\Temp\OnboardLogs" /stypes="app*4007*20171128*" /stext=" 15:.+((SYSTEM_STATE.+slice.+state.+changed )|(ment ac)|(multiple cpu faults)|(system.+state.+changed )|(\[timeout)|(PRM\|1\|D)|(kpr)|(kdp)|(train st.+moving)|(\|lc)|(penalty))"</v>
      </c>
      <c r="AG43" s="245" t="str">
        <f t="shared" si="13"/>
        <v>EC</v>
      </c>
      <c r="AH43" s="237" t="str">
        <f t="shared" si="19"/>
        <v>"%USERPROFILE%\Documents\GitHub\eaglep3\Utilities\RefineRTDCRunTimes.py" --tripid 130-28 --locoid 4007 --swversion DE.1.0.9.0 --startMP 204:232963 --initTime 2017-11-28T08:05:24 --startdatetime 2017-11-28T08:12:23 --delay 151 --endMP 204:192 --enddatetime 2017-11-28T08:53:39 --enforcementcount 0 &gt;&gt;%USERPROFILE%\Documents\GitHub\eaglep3-reporting\EC\2017-11-28-refined-times.txt</v>
      </c>
      <c r="AI43" s="239" t="str">
        <f t="shared" si="20"/>
        <v>echo {"issue":{"subject":"","project_id":79,"tracker_id":40,"status_id":1,"priority_id":2,"assigned_to_id":338,"start_date":"2017-11-28","description":"","custom_fields":[{"id":1,"name":"Subdivision","value":"EC"},{"id":4,"name":"Milepost","value":"0.0192"},{"id":17,"name":"Train ID","value":"130-28"},{"id":16,"name":"Locomotive ID","value":"4007"},{"id":130,"name":"Impact","value":""},{"id":150,"name":"Time of Event (Mountain Time)","value":"08:53:39"},{"id":151,"name":"Denver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3" s="224"/>
      <c r="AK43" s="232"/>
      <c r="AL43" s="232"/>
      <c r="AM43" s="241" t="str">
        <f t="shared" si="21"/>
        <v>start /low /b %USERPROFILE%\Documents\GitHub\eaglep3\Utilities\DownloadLogsFromS3.py --loco 4007 --day 2017-11-28</v>
      </c>
      <c r="AN43" s="242" t="str">
        <f t="shared" si="2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15:53:39"},{"id":29,"name":"Sharepoint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231" t="str">
        <f t="shared" si="23"/>
        <v>https://d0f6bd738d7f1b3e5a7ca70fe4ff75f0.us-east-1.aws.found.io/app/kibana#/discover/Steve-Slow-Train-Analysis-(2080s-and-2083s)?_g=(refreshInterval:(display:Off,pause:!f,section:0,value:0),time:(from:'2017-11-28T07:05:24-0700',mode:absolute,to:'2017-11-28T09:53:39-0700'))&amp;_a=(columns:!('Message%20ID',Summary),filters:!(),index:'emp_*',interval:auto,query:(query_string:(analyze_wildcard:!t,query:'%22rtdc.l.rtdc.4007%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230" t="s">
        <v>721</v>
      </c>
      <c r="B44" s="226">
        <v>4050</v>
      </c>
      <c r="C44" s="228" t="s">
        <v>192</v>
      </c>
      <c r="D44" s="228" t="s">
        <v>913</v>
      </c>
      <c r="E44" s="227">
        <v>43067.313587962963</v>
      </c>
      <c r="F44" s="227">
        <v>43067.314618055556</v>
      </c>
      <c r="G44" s="226">
        <v>46</v>
      </c>
      <c r="H44" s="228" t="s">
        <v>914</v>
      </c>
      <c r="I44" s="227">
        <v>43067.338877314818</v>
      </c>
      <c r="J44" s="226">
        <v>0</v>
      </c>
      <c r="K44" s="238" t="str">
        <f t="shared" si="0"/>
        <v>4049/4050</v>
      </c>
      <c r="L44" s="246" t="str">
        <f>VLOOKUP(A44,'Trips&amp;Operators'!$C$1:$G$99911,5,FALSE)</f>
        <v>MACDONALD THOMAS</v>
      </c>
      <c r="M44" s="225">
        <f t="shared" si="1"/>
        <v>2.4259259262180422E-2</v>
      </c>
      <c r="N44" s="226">
        <f t="shared" si="33"/>
        <v>34.933333337539807</v>
      </c>
      <c r="O44" s="226"/>
      <c r="P44" s="226"/>
      <c r="Q44" s="229"/>
      <c r="R44" s="243"/>
      <c r="S44" s="250">
        <f t="shared" si="32"/>
        <v>1</v>
      </c>
      <c r="T44" s="243" t="str">
        <f t="shared" si="4"/>
        <v>NorthBound</v>
      </c>
      <c r="U44" s="247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49" t="str">
        <f t="shared" si="5"/>
        <v>https://d0f6bd738d7f1b3e5a7ca70fe4ff75f0.us-east-1.aws.found.io/app/kibana#/discover/Steve-Slow-Train-Analysis-(2080s-and-2083s)?_g=(refreshInterval:(display:Off,pause:!f,section:0,value:0),time:(from:'2017-11-28T06:31:34-0700',mode:absolute,to:'2017-11-28T09:07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44" s="248" t="str">
        <f>IF(AA44&lt;VLOOKUP(AG44,Variables!$AC$3:$AD$8,2,FALSE),"Y","N")</f>
        <v>N</v>
      </c>
      <c r="X44" s="248">
        <f t="shared" si="6"/>
        <v>1</v>
      </c>
      <c r="Y44" s="248">
        <f t="shared" si="30"/>
        <v>0.1295</v>
      </c>
      <c r="Z44" s="248">
        <f t="shared" si="31"/>
        <v>23.319299999999998</v>
      </c>
      <c r="AA44" s="248">
        <f t="shared" si="9"/>
        <v>23.189799999999998</v>
      </c>
      <c r="AB44" s="234" t="e">
        <f>VLOOKUP(A44,Enforcements!$C$7:$K$9,8,0)</f>
        <v>#N/A</v>
      </c>
      <c r="AC44" s="233" t="e">
        <f>VLOOKUP(A44,Enforcements!$C$7:$E$9,3,0)</f>
        <v>#N/A</v>
      </c>
      <c r="AD44" s="244">
        <f t="shared" si="10"/>
        <v>131</v>
      </c>
      <c r="AE44" s="236" t="str">
        <f t="shared" si="11"/>
        <v>aws s3 cp s3://rtdc.mdm.uploadarchive.raw/RTDC4050/ "%USERPROFILE%\AppData\Local\Temp\OnboardLogs"\RTDC4050\2017-11-28 --exclude "*" --recursive --include "*20171128*" &amp; "%USERPROFILE%\Documents\GitHub\mrs-test-scripts\Headless Mode &amp; Sideloading\WalkAndUnGZ.bat" "%USERPROFILE%\AppData\Local\Temp\OnboardLogs"\RTDC4050\2017-11-28 &amp; aws s3 cp s3://rtdc.mdm.uploadarchive.raw/RTDC4050/ "%USERPROFILE%\AppData\Local\Temp\OnboardLogs"\RTDC4050\2017-11-29 --exclude "*" --recursive --include "*20171129*" &amp; "%USERPROFILE%\Documents\GitHub\mrs-test-scripts\Headless Mode &amp; Sideloading\WalkAndUnGZ.bat" "%USERPROFILE%\AppData\Local\Temp\OnboardLogs"\RTDC4050\2017-11-29</v>
      </c>
      <c r="AF44" s="235" t="str">
        <f t="shared" si="12"/>
        <v>"C:\Program Files (x86)\AstroGrep\AstroGrep.exe" /e /r /s /spath="%USERPROFILE%\AppData\Local\Temp\OnboardLogs" /stypes="app*4050*20171128*" /stext=" 15:.+((SYSTEM_STATE.+slice.+state.+changed )|(ment ac)|(multiple cpu faults)|(system.+state.+changed )|(\[timeout)|(PRM\|1\|D)|(kpr)|(kdp)|(train st.+moving)|(\|lc)|(penalty))"</v>
      </c>
      <c r="AG44" s="245" t="str">
        <f t="shared" si="13"/>
        <v>EC</v>
      </c>
      <c r="AH44" s="237" t="str">
        <f t="shared" si="19"/>
        <v>"%USERPROFILE%\Documents\GitHub\eaglep3\Utilities\RefineRTDCRunTimes.py" --tripid 131-28 --locoid 4050 --swversion DE.1.0.9.0 --startMP 204:1295 --initTime 2017-11-28T07:31:34 --startdatetime 2017-11-28T07:33:03 --delay 46 --endMP 204:233193 --enddatetime 2017-11-28T08:07:59 --enforcementcount 0 &gt;&gt;%USERPROFILE%\Documents\GitHub\eaglep3-reporting\EC\2017-11-28-refined-times.txt</v>
      </c>
      <c r="AI44" s="239" t="str">
        <f t="shared" si="20"/>
        <v>echo {"issue":{"subject":"","project_id":79,"tracker_id":40,"status_id":1,"priority_id":2,"assigned_to_id":338,"start_date":"2017-11-28","description":"","custom_fields":[{"id":1,"name":"Subdivision","value":"EC"},{"id":4,"name":"Milepost","value":"23.3193"},{"id":17,"name":"Train ID","value":"131-28"},{"id":16,"name":"Locomotive ID","value":"4050"},{"id":130,"name":"Impact","value":""},{"id":150,"name":"Time of Event (Mountain Time)","value":"08:07:59"},{"id":151,"name":"Denver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4" s="224"/>
      <c r="AK44" s="232"/>
      <c r="AL44" s="232"/>
      <c r="AM44" s="241" t="str">
        <f t="shared" si="21"/>
        <v>start /low /b %USERPROFILE%\Documents\GitHub\eaglep3\Utilities\DownloadLogsFromS3.py --loco 4050 --day 2017-11-28</v>
      </c>
      <c r="AN44" s="242" t="str">
        <f t="shared" si="2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15:07:59"},{"id":29,"name":"Sharepoint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231" t="str">
        <f t="shared" si="23"/>
        <v>https://d0f6bd738d7f1b3e5a7ca70fe4ff75f0.us-east-1.aws.found.io/app/kibana#/discover/Steve-Slow-Train-Analysis-(2080s-and-2083s)?_g=(refreshInterval:(display:Off,pause:!f,section:0,value:0),time:(from:'2017-11-28T06:31:34-0700',mode:absolute,to:'2017-11-28T09:07:59-0700'))&amp;_a=(columns:!('Message%20ID',Summary),filters:!(),index:'emp_*',interval:auto,query:(query_string:(analyze_wildcard:!t,query:'%22rtdc.l.rtdc.4050%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230" t="s">
        <v>730</v>
      </c>
      <c r="B45" s="226">
        <v>4049</v>
      </c>
      <c r="C45" s="228" t="s">
        <v>192</v>
      </c>
      <c r="D45" s="228" t="s">
        <v>915</v>
      </c>
      <c r="E45" s="227">
        <v>43067.346770833334</v>
      </c>
      <c r="F45" s="227">
        <v>43067.352546296293</v>
      </c>
      <c r="G45" s="226">
        <v>69</v>
      </c>
      <c r="H45" s="228" t="s">
        <v>593</v>
      </c>
      <c r="I45" s="227">
        <v>43067.378229166665</v>
      </c>
      <c r="J45" s="226">
        <v>0</v>
      </c>
      <c r="K45" s="238" t="str">
        <f t="shared" si="0"/>
        <v>4049/4050</v>
      </c>
      <c r="L45" s="246" t="str">
        <f>VLOOKUP(A45,'Trips&amp;Operators'!$C$1:$G$99911,5,FALSE)</f>
        <v>MACDONALD THOMAS</v>
      </c>
      <c r="M45" s="225">
        <f t="shared" si="1"/>
        <v>2.5682870371383615E-2</v>
      </c>
      <c r="N45" s="226">
        <f t="shared" si="33"/>
        <v>36.983333334792405</v>
      </c>
      <c r="O45" s="226"/>
      <c r="P45" s="226"/>
      <c r="Q45" s="229"/>
      <c r="R45" s="243"/>
      <c r="S45" s="250">
        <f t="shared" si="32"/>
        <v>1</v>
      </c>
      <c r="T45" s="243" t="str">
        <f t="shared" si="4"/>
        <v>Southbound</v>
      </c>
      <c r="U45" s="247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49" t="str">
        <f t="shared" si="5"/>
        <v>https://d0f6bd738d7f1b3e5a7ca70fe4ff75f0.us-east-1.aws.found.io/app/kibana#/discover/Steve-Slow-Train-Analysis-(2080s-and-2083s)?_g=(refreshInterval:(display:Off,pause:!f,section:0,value:0),time:(from:'2017-11-28T07:19:21-0700',mode:absolute,to:'2017-11-28T10:04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45" s="248" t="str">
        <f>IF(AA45&lt;VLOOKUP(AG45,Variables!$AC$3:$AD$8,2,FALSE),"Y","N")</f>
        <v>N</v>
      </c>
      <c r="X45" s="248">
        <f t="shared" ref="X45:X76" si="34">VALUE(LEFT(AD45,4))-VALUE(LEFT(AD44,4))</f>
        <v>1</v>
      </c>
      <c r="Y45" s="248">
        <f t="shared" si="30"/>
        <v>23.287500000000001</v>
      </c>
      <c r="Z45" s="248">
        <f t="shared" si="31"/>
        <v>2.2499999999999999E-2</v>
      </c>
      <c r="AA45" s="248">
        <f t="shared" si="9"/>
        <v>23.265000000000001</v>
      </c>
      <c r="AB45" s="234" t="e">
        <f>VLOOKUP(A45,Enforcements!$C$7:$K$9,8,0)</f>
        <v>#N/A</v>
      </c>
      <c r="AC45" s="233" t="e">
        <f>VLOOKUP(A45,Enforcements!$C$7:$E$9,3,0)</f>
        <v>#N/A</v>
      </c>
      <c r="AD45" s="244">
        <f t="shared" si="10"/>
        <v>132</v>
      </c>
      <c r="AE45" s="236" t="str">
        <f t="shared" si="11"/>
        <v>aws s3 cp s3://rtdc.mdm.uploadarchive.raw/RTDC4049/ "%USERPROFILE%\AppData\Local\Temp\OnboardLogs"\RTDC4049\2017-11-28 --exclude "*" --recursive --include "*20171128*" &amp; "%USERPROFILE%\Documents\GitHub\mrs-test-scripts\Headless Mode &amp; Sideloading\WalkAndUnGZ.bat" "%USERPROFILE%\AppData\Local\Temp\OnboardLogs"\RTDC4049\2017-11-28 &amp; aws s3 cp s3://rtdc.mdm.uploadarchive.raw/RTDC4049/ "%USERPROFILE%\AppData\Local\Temp\OnboardLogs"\RTDC4049\2017-11-29 --exclude "*" --recursive --include "*20171129*" &amp; "%USERPROFILE%\Documents\GitHub\mrs-test-scripts\Headless Mode &amp; Sideloading\WalkAndUnGZ.bat" "%USERPROFILE%\AppData\Local\Temp\OnboardLogs"\RTDC4049\2017-11-29</v>
      </c>
      <c r="AF45" s="235" t="str">
        <f t="shared" si="12"/>
        <v>"C:\Program Files (x86)\AstroGrep\AstroGrep.exe" /e /r /s /spath="%USERPROFILE%\AppData\Local\Temp\OnboardLogs" /stypes="app*4049*20171128*" /stext=" 16:.+((SYSTEM_STATE.+slice.+state.+changed )|(ment ac)|(multiple cpu faults)|(system.+state.+changed )|(\[timeout)|(PRM\|1\|D)|(kpr)|(kdp)|(train st.+moving)|(\|lc)|(penalty))"</v>
      </c>
      <c r="AG45" s="245" t="str">
        <f t="shared" si="13"/>
        <v>EC</v>
      </c>
      <c r="AH45" s="237" t="str">
        <f t="shared" si="19"/>
        <v>"%USERPROFILE%\Documents\GitHub\eaglep3\Utilities\RefineRTDCRunTimes.py" --tripid 132-28 --locoid 4049 --swversion DE.1.0.9.0 --startMP 204:232875 --initTime 2017-11-28T08:19:21 --startdatetime 2017-11-28T08:27:40 --delay 69 --endMP 204:225 --enddatetime 2017-11-28T09:04:39 --enforcementcount 0 &gt;&gt;%USERPROFILE%\Documents\GitHub\eaglep3-reporting\EC\2017-11-28-refined-times.txt</v>
      </c>
      <c r="AI45" s="239" t="str">
        <f t="shared" si="20"/>
        <v>echo {"issue":{"subject":"","project_id":79,"tracker_id":40,"status_id":1,"priority_id":2,"assigned_to_id":338,"start_date":"2017-11-28","description":"","custom_fields":[{"id":1,"name":"Subdivision","value":"EC"},{"id":4,"name":"Milepost","value":"0.0225"},{"id":17,"name":"Train ID","value":"132-28"},{"id":16,"name":"Locomotive ID","value":"4049"},{"id":130,"name":"Impact","value":""},{"id":150,"name":"Time of Event (Mountain Time)","value":"09:04:39"},{"id":151,"name":"Denver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5" s="224"/>
      <c r="AK45" s="232"/>
      <c r="AL45" s="232"/>
      <c r="AM45" s="241" t="str">
        <f t="shared" si="21"/>
        <v>start /low /b %USERPROFILE%\Documents\GitHub\eaglep3\Utilities\DownloadLogsFromS3.py --loco 4049 --day 2017-11-28</v>
      </c>
      <c r="AN45" s="242" t="str">
        <f t="shared" si="2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16:04:39"},{"id":29,"name":"Sharepoint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231" t="str">
        <f t="shared" si="23"/>
        <v>https://d0f6bd738d7f1b3e5a7ca70fe4ff75f0.us-east-1.aws.found.io/app/kibana#/discover/Steve-Slow-Train-Analysis-(2080s-and-2083s)?_g=(refreshInterval:(display:Off,pause:!f,section:0,value:0),time:(from:'2017-11-28T07:19:21-0700',mode:absolute,to:'2017-11-28T10:04:39-0700'))&amp;_a=(columns:!('Message%20ID',Summary),filters:!(),index:'emp_*',interval:auto,query:(query_string:(analyze_wildcard:!t,query:'%22rtdc.l.rtdc.4049%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230" t="s">
        <v>726</v>
      </c>
      <c r="B46" s="226">
        <v>4060</v>
      </c>
      <c r="C46" s="228" t="s">
        <v>192</v>
      </c>
      <c r="D46" s="228" t="s">
        <v>461</v>
      </c>
      <c r="E46" s="227">
        <v>43067.321319444447</v>
      </c>
      <c r="F46" s="227">
        <v>43067.323148148149</v>
      </c>
      <c r="G46" s="226">
        <v>75</v>
      </c>
      <c r="H46" s="228" t="s">
        <v>434</v>
      </c>
      <c r="I46" s="227">
        <v>43067.347650462965</v>
      </c>
      <c r="J46" s="226">
        <v>0</v>
      </c>
      <c r="K46" s="238" t="str">
        <f t="shared" si="0"/>
        <v>4059/4060</v>
      </c>
      <c r="L46" s="246" t="str">
        <f>VLOOKUP(A46,'Trips&amp;Operators'!$C$1:$G$99911,5,FALSE)</f>
        <v>THOMPSON LESTER</v>
      </c>
      <c r="M46" s="225">
        <f t="shared" si="1"/>
        <v>2.4502314816345461E-2</v>
      </c>
      <c r="N46" s="226">
        <f t="shared" si="33"/>
        <v>35.283333335537463</v>
      </c>
      <c r="O46" s="226"/>
      <c r="P46" s="226"/>
      <c r="Q46" s="229"/>
      <c r="R46" s="243"/>
      <c r="S46" s="250">
        <f t="shared" si="32"/>
        <v>1</v>
      </c>
      <c r="T46" s="243" t="str">
        <f t="shared" si="4"/>
        <v>NorthBound</v>
      </c>
      <c r="U46" s="247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49" t="str">
        <f t="shared" si="5"/>
        <v>https://d0f6bd738d7f1b3e5a7ca70fe4ff75f0.us-east-1.aws.found.io/app/kibana#/discover/Steve-Slow-Train-Analysis-(2080s-and-2083s)?_g=(refreshInterval:(display:Off,pause:!f,section:0,value:0),time:(from:'2017-11-28T06:42:42-0700',mode:absolute,to:'2017-11-28T09:20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46" s="248" t="str">
        <f>IF(AA46&lt;VLOOKUP(AG46,Variables!$AC$3:$AD$8,2,FALSE),"Y","N")</f>
        <v>N</v>
      </c>
      <c r="X46" s="248">
        <f t="shared" si="34"/>
        <v>1</v>
      </c>
      <c r="Y46" s="248">
        <f t="shared" si="30"/>
        <v>4.7500000000000001E-2</v>
      </c>
      <c r="Z46" s="248">
        <f t="shared" si="31"/>
        <v>23.329499999999999</v>
      </c>
      <c r="AA46" s="248">
        <f t="shared" si="9"/>
        <v>23.282</v>
      </c>
      <c r="AB46" s="234" t="e">
        <f>VLOOKUP(A46,Enforcements!$C$7:$K$9,8,0)</f>
        <v>#N/A</v>
      </c>
      <c r="AC46" s="233" t="e">
        <f>VLOOKUP(A46,Enforcements!$C$7:$E$9,3,0)</f>
        <v>#N/A</v>
      </c>
      <c r="AD46" s="244">
        <f t="shared" si="10"/>
        <v>133</v>
      </c>
      <c r="AE46" s="236" t="str">
        <f t="shared" si="11"/>
        <v>aws s3 cp s3://rtdc.mdm.uploadarchive.raw/RTDC4060/ "%USERPROFILE%\AppData\Local\Temp\OnboardLogs"\RTDC4060\2017-11-28 --exclude "*" --recursive --include "*20171128*" &amp; "%USERPROFILE%\Documents\GitHub\mrs-test-scripts\Headless Mode &amp; Sideloading\WalkAndUnGZ.bat" "%USERPROFILE%\AppData\Local\Temp\OnboardLogs"\RTDC4060\2017-11-28 &amp; aws s3 cp s3://rtdc.mdm.uploadarchive.raw/RTDC4060/ "%USERPROFILE%\AppData\Local\Temp\OnboardLogs"\RTDC4060\2017-11-29 --exclude "*" --recursive --include "*20171129*" &amp; "%USERPROFILE%\Documents\GitHub\mrs-test-scripts\Headless Mode &amp; Sideloading\WalkAndUnGZ.bat" "%USERPROFILE%\AppData\Local\Temp\OnboardLogs"\RTDC4060\2017-11-29</v>
      </c>
      <c r="AF46" s="235" t="str">
        <f t="shared" si="12"/>
        <v>"C:\Program Files (x86)\AstroGrep\AstroGrep.exe" /e /r /s /spath="%USERPROFILE%\AppData\Local\Temp\OnboardLogs" /stypes="app*4060*20171128*" /stext=" 15:.+((SYSTEM_STATE.+slice.+state.+changed )|(ment ac)|(multiple cpu faults)|(system.+state.+changed )|(\[timeout)|(PRM\|1\|D)|(kpr)|(kdp)|(train st.+moving)|(\|lc)|(penalty))"</v>
      </c>
      <c r="AG46" s="245" t="str">
        <f t="shared" si="13"/>
        <v>EC</v>
      </c>
      <c r="AH46" s="237" t="str">
        <f t="shared" si="19"/>
        <v>"%USERPROFILE%\Documents\GitHub\eaglep3\Utilities\RefineRTDCRunTimes.py" --tripid 133-28 --locoid 4060 --swversion DE.1.0.9.0 --startMP 204:475 --initTime 2017-11-28T07:42:42 --startdatetime 2017-11-28T07:45:20 --delay 75 --endMP 204:233295 --enddatetime 2017-11-28T08:20:37 --enforcementcount 0 &gt;&gt;%USERPROFILE%\Documents\GitHub\eaglep3-reporting\EC\2017-11-28-refined-times.txt</v>
      </c>
      <c r="AI46" s="239" t="str">
        <f t="shared" si="20"/>
        <v>echo {"issue":{"subject":"","project_id":79,"tracker_id":40,"status_id":1,"priority_id":2,"assigned_to_id":338,"start_date":"2017-11-28","description":"","custom_fields":[{"id":1,"name":"Subdivision","value":"EC"},{"id":4,"name":"Milepost","value":"23.3295"},{"id":17,"name":"Train ID","value":"133-28"},{"id":16,"name":"Locomotive ID","value":"4060"},{"id":130,"name":"Impact","value":""},{"id":150,"name":"Time of Event (Mountain Time)","value":"08:20:37"},{"id":151,"name":"Denver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6" s="224"/>
      <c r="AK46" s="232"/>
      <c r="AL46" s="232"/>
      <c r="AM46" s="241" t="str">
        <f t="shared" si="21"/>
        <v>start /low /b %USERPROFILE%\Documents\GitHub\eaglep3\Utilities\DownloadLogsFromS3.py --loco 4060 --day 2017-11-28</v>
      </c>
      <c r="AN46" s="242" t="str">
        <f t="shared" si="2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15:20:37"},{"id":29,"name":"Sharepoint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231" t="str">
        <f t="shared" si="23"/>
        <v>https://d0f6bd738d7f1b3e5a7ca70fe4ff75f0.us-east-1.aws.found.io/app/kibana#/discover/Steve-Slow-Train-Analysis-(2080s-and-2083s)?_g=(refreshInterval:(display:Off,pause:!f,section:0,value:0),time:(from:'2017-11-28T06:42:42-0700',mode:absolute,to:'2017-11-28T09:20:37-0700'))&amp;_a=(columns:!('Message%20ID',Summary),filters:!(),index:'emp_*',interval:auto,query:(query_string:(analyze_wildcard:!t,query:'%22rtdc.l.rtdc.4060%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230" t="s">
        <v>644</v>
      </c>
      <c r="B47" s="226">
        <v>4059</v>
      </c>
      <c r="C47" s="228" t="s">
        <v>192</v>
      </c>
      <c r="D47" s="228" t="s">
        <v>901</v>
      </c>
      <c r="E47" s="227">
        <v>43067.359965277778</v>
      </c>
      <c r="F47" s="227">
        <v>43067.362743055557</v>
      </c>
      <c r="G47" s="226">
        <v>54</v>
      </c>
      <c r="H47" s="228" t="s">
        <v>916</v>
      </c>
      <c r="I47" s="227">
        <v>43067.390347222223</v>
      </c>
      <c r="J47" s="226">
        <v>0</v>
      </c>
      <c r="K47" s="238" t="str">
        <f t="shared" si="0"/>
        <v>4059/4060</v>
      </c>
      <c r="L47" s="246" t="str">
        <f>VLOOKUP(A47,'Trips&amp;Operators'!$C$1:$G$99911,5,FALSE)</f>
        <v>THOMPSON LESTER</v>
      </c>
      <c r="M47" s="225">
        <f t="shared" si="1"/>
        <v>2.7604166665696539E-2</v>
      </c>
      <c r="N47" s="226">
        <f t="shared" si="33"/>
        <v>39.749999998603016</v>
      </c>
      <c r="O47" s="226"/>
      <c r="P47" s="226"/>
      <c r="Q47" s="229"/>
      <c r="R47" s="243"/>
      <c r="S47" s="250">
        <f t="shared" si="32"/>
        <v>1</v>
      </c>
      <c r="T47" s="243" t="str">
        <f t="shared" si="4"/>
        <v>Southbound</v>
      </c>
      <c r="U47" s="247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49" t="str">
        <f t="shared" si="5"/>
        <v>https://d0f6bd738d7f1b3e5a7ca70fe4ff75f0.us-east-1.aws.found.io/app/kibana#/discover/Steve-Slow-Train-Analysis-(2080s-and-2083s)?_g=(refreshInterval:(display:Off,pause:!f,section:0,value:0),time:(from:'2017-11-28T07:38:21-0700',mode:absolute,to:'2017-11-28T10:22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47" s="248" t="str">
        <f>IF(AA47&lt;VLOOKUP(AG47,Variables!$AC$3:$AD$8,2,FALSE),"Y","N")</f>
        <v>N</v>
      </c>
      <c r="X47" s="248">
        <f t="shared" si="34"/>
        <v>1</v>
      </c>
      <c r="Y47" s="248">
        <f t="shared" si="30"/>
        <v>23.297799999999999</v>
      </c>
      <c r="Z47" s="248">
        <f t="shared" si="31"/>
        <v>2.1600000000000001E-2</v>
      </c>
      <c r="AA47" s="248">
        <f t="shared" si="9"/>
        <v>23.276199999999999</v>
      </c>
      <c r="AB47" s="234" t="e">
        <f>VLOOKUP(A47,Enforcements!$C$7:$K$9,8,0)</f>
        <v>#N/A</v>
      </c>
      <c r="AC47" s="233" t="e">
        <f>VLOOKUP(A47,Enforcements!$C$7:$E$9,3,0)</f>
        <v>#N/A</v>
      </c>
      <c r="AD47" s="244">
        <f t="shared" si="10"/>
        <v>134</v>
      </c>
      <c r="AE47" s="236" t="str">
        <f t="shared" si="11"/>
        <v>aws s3 cp s3://rtdc.mdm.uploadarchive.raw/RTDC4059/ "%USERPROFILE%\AppData\Local\Temp\OnboardLogs"\RTDC4059\2017-11-28 --exclude "*" --recursive --include "*20171128*" &amp; "%USERPROFILE%\Documents\GitHub\mrs-test-scripts\Headless Mode &amp; Sideloading\WalkAndUnGZ.bat" "%USERPROFILE%\AppData\Local\Temp\OnboardLogs"\RTDC4059\2017-11-28 &amp; aws s3 cp s3://rtdc.mdm.uploadarchive.raw/RTDC4059/ "%USERPROFILE%\AppData\Local\Temp\OnboardLogs"\RTDC4059\2017-11-29 --exclude "*" --recursive --include "*20171129*" &amp; "%USERPROFILE%\Documents\GitHub\mrs-test-scripts\Headless Mode &amp; Sideloading\WalkAndUnGZ.bat" "%USERPROFILE%\AppData\Local\Temp\OnboardLogs"\RTDC4059\2017-11-29</v>
      </c>
      <c r="AF47" s="235" t="str">
        <f t="shared" si="12"/>
        <v>"C:\Program Files (x86)\AstroGrep\AstroGrep.exe" /e /r /s /spath="%USERPROFILE%\AppData\Local\Temp\OnboardLogs" /stypes="app*4059*20171128*" /stext=" 16:.+((SYSTEM_STATE.+slice.+state.+changed )|(ment ac)|(multiple cpu faults)|(system.+state.+changed )|(\[timeout)|(PRM\|1\|D)|(kpr)|(kdp)|(train st.+moving)|(\|lc)|(penalty))"</v>
      </c>
      <c r="AG47" s="245" t="str">
        <f t="shared" si="13"/>
        <v>EC</v>
      </c>
      <c r="AH47" s="237" t="str">
        <f t="shared" si="19"/>
        <v>"%USERPROFILE%\Documents\GitHub\eaglep3\Utilities\RefineRTDCRunTimes.py" --tripid 134-28 --locoid 4059 --swversion DE.1.0.9.0 --startMP 204:232978 --initTime 2017-11-28T08:38:21 --startdatetime 2017-11-28T08:42:21 --delay 54 --endMP 204:216 --enddatetime 2017-11-28T09:22:06 --enforcementcount 0 &gt;&gt;%USERPROFILE%\Documents\GitHub\eaglep3-reporting\EC\2017-11-28-refined-times.txt</v>
      </c>
      <c r="AI47" s="239" t="str">
        <f t="shared" si="20"/>
        <v>echo {"issue":{"subject":"","project_id":79,"tracker_id":40,"status_id":1,"priority_id":2,"assigned_to_id":338,"start_date":"2017-11-28","description":"","custom_fields":[{"id":1,"name":"Subdivision","value":"EC"},{"id":4,"name":"Milepost","value":"0.0216"},{"id":17,"name":"Train ID","value":"134-28"},{"id":16,"name":"Locomotive ID","value":"4059"},{"id":130,"name":"Impact","value":""},{"id":150,"name":"Time of Event (Mountain Time)","value":"09:22:06"},{"id":151,"name":"Denver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7" s="224"/>
      <c r="AK47" s="232"/>
      <c r="AL47" s="232"/>
      <c r="AM47" s="241" t="str">
        <f t="shared" si="21"/>
        <v>start /low /b %USERPROFILE%\Documents\GitHub\eaglep3\Utilities\DownloadLogsFromS3.py --loco 4059 --day 2017-11-28</v>
      </c>
      <c r="AN47" s="242" t="str">
        <f t="shared" si="2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16:22:06"},{"id":29,"name":"Sharepoint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231" t="str">
        <f t="shared" si="23"/>
        <v>https://d0f6bd738d7f1b3e5a7ca70fe4ff75f0.us-east-1.aws.found.io/app/kibana#/discover/Steve-Slow-Train-Analysis-(2080s-and-2083s)?_g=(refreshInterval:(display:Off,pause:!f,section:0,value:0),time:(from:'2017-11-28T07:38:21-0700',mode:absolute,to:'2017-11-28T10:22:06-0700'))&amp;_a=(columns:!('Message%20ID',Summary),filters:!(),index:'emp_*',interval:auto,query:(query_string:(analyze_wildcard:!t,query:'%22rtdc.l.rtdc.4059%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230" t="s">
        <v>727</v>
      </c>
      <c r="B48" s="226">
        <v>4056</v>
      </c>
      <c r="C48" s="228" t="s">
        <v>192</v>
      </c>
      <c r="D48" s="228" t="s">
        <v>452</v>
      </c>
      <c r="E48" s="227">
        <v>43067.331701388888</v>
      </c>
      <c r="F48" s="227">
        <v>43067.333483796298</v>
      </c>
      <c r="G48" s="226">
        <v>59</v>
      </c>
      <c r="H48" s="228" t="s">
        <v>905</v>
      </c>
      <c r="I48" s="227">
        <v>43067.358703703707</v>
      </c>
      <c r="J48" s="226">
        <v>0</v>
      </c>
      <c r="K48" s="238" t="str">
        <f t="shared" si="0"/>
        <v>4055/4056</v>
      </c>
      <c r="L48" s="246" t="str">
        <f>VLOOKUP(A48,'Trips&amp;Operators'!$C$1:$G$99911,5,FALSE)</f>
        <v>BEAM ROSS</v>
      </c>
      <c r="M48" s="225">
        <f t="shared" si="1"/>
        <v>2.5219907409336884E-2</v>
      </c>
      <c r="N48" s="226">
        <f t="shared" si="33"/>
        <v>36.316666669445112</v>
      </c>
      <c r="O48" s="226"/>
      <c r="P48" s="226"/>
      <c r="Q48" s="229"/>
      <c r="R48" s="243"/>
      <c r="S48" s="250">
        <f t="shared" si="32"/>
        <v>1</v>
      </c>
      <c r="T48" s="243" t="str">
        <f t="shared" si="4"/>
        <v>NorthBound</v>
      </c>
      <c r="U48" s="247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49" t="str">
        <f t="shared" si="5"/>
        <v>https://d0f6bd738d7f1b3e5a7ca70fe4ff75f0.us-east-1.aws.found.io/app/kibana#/discover/Steve-Slow-Train-Analysis-(2080s-and-2083s)?_g=(refreshInterval:(display:Off,pause:!f,section:0,value:0),time:(from:'2017-11-28T06:57:39-0700',mode:absolute,to:'2017-11-28T09:36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48" s="248" t="str">
        <f>IF(AA48&lt;VLOOKUP(AG48,Variables!$AC$3:$AD$8,2,FALSE),"Y","N")</f>
        <v>N</v>
      </c>
      <c r="X48" s="248">
        <f t="shared" si="34"/>
        <v>1</v>
      </c>
      <c r="Y48" s="248">
        <f t="shared" si="30"/>
        <v>5.0799999999999998E-2</v>
      </c>
      <c r="Z48" s="248">
        <f t="shared" si="31"/>
        <v>23.330200000000001</v>
      </c>
      <c r="AA48" s="248">
        <f t="shared" si="9"/>
        <v>23.279400000000003</v>
      </c>
      <c r="AB48" s="234" t="e">
        <f>VLOOKUP(A48,Enforcements!$C$7:$K$9,8,0)</f>
        <v>#N/A</v>
      </c>
      <c r="AC48" s="233" t="e">
        <f>VLOOKUP(A48,Enforcements!$C$7:$E$9,3,0)</f>
        <v>#N/A</v>
      </c>
      <c r="AD48" s="244">
        <f t="shared" si="10"/>
        <v>135</v>
      </c>
      <c r="AE48" s="236" t="str">
        <f t="shared" si="11"/>
        <v>aws s3 cp s3://rtdc.mdm.uploadarchive.raw/RTDC4056/ "%USERPROFILE%\AppData\Local\Temp\OnboardLogs"\RTDC4056\2017-11-28 --exclude "*" --recursive --include "*20171128*" &amp; "%USERPROFILE%\Documents\GitHub\mrs-test-scripts\Headless Mode &amp; Sideloading\WalkAndUnGZ.bat" "%USERPROFILE%\AppData\Local\Temp\OnboardLogs"\RTDC4056\2017-11-28 &amp; aws s3 cp s3://rtdc.mdm.uploadarchive.raw/RTDC4056/ "%USERPROFILE%\AppData\Local\Temp\OnboardLogs"\RTDC4056\2017-11-29 --exclude "*" --recursive --include "*20171129*" &amp; "%USERPROFILE%\Documents\GitHub\mrs-test-scripts\Headless Mode &amp; Sideloading\WalkAndUnGZ.bat" "%USERPROFILE%\AppData\Local\Temp\OnboardLogs"\RTDC4056\2017-11-29</v>
      </c>
      <c r="AF48" s="235" t="str">
        <f t="shared" si="12"/>
        <v>"C:\Program Files (x86)\AstroGrep\AstroGrep.exe" /e /r /s /spath="%USERPROFILE%\AppData\Local\Temp\OnboardLogs" /stypes="app*4056*20171128*" /stext=" 15:.+((SYSTEM_STATE.+slice.+state.+changed )|(ment ac)|(multiple cpu faults)|(system.+state.+changed )|(\[timeout)|(PRM\|1\|D)|(kpr)|(kdp)|(train st.+moving)|(\|lc)|(penalty))"</v>
      </c>
      <c r="AG48" s="245" t="str">
        <f t="shared" si="13"/>
        <v>EC</v>
      </c>
      <c r="AH48" s="237" t="str">
        <f t="shared" si="19"/>
        <v>"%USERPROFILE%\Documents\GitHub\eaglep3\Utilities\RefineRTDCRunTimes.py" --tripid 135-28 --locoid 4056 --swversion DE.1.0.9.0 --startMP 204:508 --initTime 2017-11-28T07:57:39 --startdatetime 2017-11-28T08:00:13 --delay 59 --endMP 204:233302 --enddatetime 2017-11-28T08:36:32 --enforcementcount 0 &gt;&gt;%USERPROFILE%\Documents\GitHub\eaglep3-reporting\EC\2017-11-28-refined-times.txt</v>
      </c>
      <c r="AI48" s="239" t="str">
        <f t="shared" si="20"/>
        <v>echo {"issue":{"subject":"","project_id":79,"tracker_id":40,"status_id":1,"priority_id":2,"assigned_to_id":338,"start_date":"2017-11-28","description":"","custom_fields":[{"id":1,"name":"Subdivision","value":"EC"},{"id":4,"name":"Milepost","value":"23.3302"},{"id":17,"name":"Train ID","value":"135-28"},{"id":16,"name":"Locomotive ID","value":"4056"},{"id":130,"name":"Impact","value":""},{"id":150,"name":"Time of Event (Mountain Time)","value":"08:36:32"},{"id":151,"name":"Denver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8" s="224"/>
      <c r="AK48" s="232"/>
      <c r="AL48" s="232"/>
      <c r="AM48" s="241" t="str">
        <f t="shared" si="21"/>
        <v>start /low /b %USERPROFILE%\Documents\GitHub\eaglep3\Utilities\DownloadLogsFromS3.py --loco 4056 --day 2017-11-28</v>
      </c>
      <c r="AN48" s="242" t="str">
        <f t="shared" si="2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15:36:32"},{"id":29,"name":"Sharepoint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231" t="str">
        <f t="shared" si="23"/>
        <v>https://d0f6bd738d7f1b3e5a7ca70fe4ff75f0.us-east-1.aws.found.io/app/kibana#/discover/Steve-Slow-Train-Analysis-(2080s-and-2083s)?_g=(refreshInterval:(display:Off,pause:!f,section:0,value:0),time:(from:'2017-11-28T06:57:39-0700',mode:absolute,to:'2017-11-28T09:36:32-0700'))&amp;_a=(columns:!('Message%20ID',Summary),filters:!(),index:'emp_*',interval:auto,query:(query_string:(analyze_wildcard:!t,query:'%22rtdc.l.rtdc.4056%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230" t="s">
        <v>736</v>
      </c>
      <c r="B49" s="226">
        <v>4055</v>
      </c>
      <c r="C49" s="228" t="s">
        <v>192</v>
      </c>
      <c r="D49" s="228" t="s">
        <v>451</v>
      </c>
      <c r="E49" s="227">
        <v>43067.360000000001</v>
      </c>
      <c r="F49" s="227">
        <v>43067.373182870368</v>
      </c>
      <c r="G49" s="226">
        <v>51</v>
      </c>
      <c r="H49" s="228" t="s">
        <v>917</v>
      </c>
      <c r="I49" s="227">
        <v>43067.399687500001</v>
      </c>
      <c r="J49" s="226">
        <v>0</v>
      </c>
      <c r="K49" s="238" t="str">
        <f t="shared" si="0"/>
        <v>4055/4056</v>
      </c>
      <c r="L49" s="246" t="str">
        <f>VLOOKUP(A49,'Trips&amp;Operators'!$C$1:$G$99911,5,FALSE)</f>
        <v>BEAM ROSS</v>
      </c>
      <c r="M49" s="225">
        <f t="shared" si="1"/>
        <v>2.6504629633564036E-2</v>
      </c>
      <c r="N49" s="226">
        <f t="shared" si="33"/>
        <v>38.166666672332212</v>
      </c>
      <c r="O49" s="226"/>
      <c r="P49" s="226"/>
      <c r="Q49" s="229"/>
      <c r="R49" s="243"/>
      <c r="S49" s="250">
        <f t="shared" si="32"/>
        <v>1</v>
      </c>
      <c r="T49" s="243" t="str">
        <f t="shared" si="4"/>
        <v>Southbound</v>
      </c>
      <c r="U49" s="247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49" t="str">
        <f t="shared" si="5"/>
        <v>https://d0f6bd738d7f1b3e5a7ca70fe4ff75f0.us-east-1.aws.found.io/app/kibana#/discover/Steve-Slow-Train-Analysis-(2080s-and-2083s)?_g=(refreshInterval:(display:Off,pause:!f,section:0,value:0),time:(from:'2017-11-28T07:38:24-0700',mode:absolute,to:'2017-11-28T10:35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49" s="248" t="str">
        <f>IF(AA49&lt;VLOOKUP(AG49,Variables!$AC$3:$AD$8,2,FALSE),"Y","N")</f>
        <v>N</v>
      </c>
      <c r="X49" s="248">
        <f t="shared" si="34"/>
        <v>1</v>
      </c>
      <c r="Y49" s="248">
        <f t="shared" si="30"/>
        <v>23.299600000000002</v>
      </c>
      <c r="Z49" s="248">
        <f t="shared" si="31"/>
        <v>1.7000000000000001E-2</v>
      </c>
      <c r="AA49" s="248">
        <f t="shared" si="9"/>
        <v>23.282600000000002</v>
      </c>
      <c r="AB49" s="234" t="e">
        <f>VLOOKUP(A49,Enforcements!$C$7:$K$9,8,0)</f>
        <v>#N/A</v>
      </c>
      <c r="AC49" s="233" t="e">
        <f>VLOOKUP(A49,Enforcements!$C$7:$E$9,3,0)</f>
        <v>#N/A</v>
      </c>
      <c r="AD49" s="244">
        <f t="shared" si="10"/>
        <v>136</v>
      </c>
      <c r="AE49" s="236" t="str">
        <f t="shared" si="11"/>
        <v>aws s3 cp s3://rtdc.mdm.uploadarchive.raw/RTDC4055/ "%USERPROFILE%\AppData\Local\Temp\OnboardLogs"\RTDC4055\2017-11-28 --exclude "*" --recursive --include "*20171128*" &amp; "%USERPROFILE%\Documents\GitHub\mrs-test-scripts\Headless Mode &amp; Sideloading\WalkAndUnGZ.bat" "%USERPROFILE%\AppData\Local\Temp\OnboardLogs"\RTDC4055\2017-11-28 &amp; aws s3 cp s3://rtdc.mdm.uploadarchive.raw/RTDC4055/ "%USERPROFILE%\AppData\Local\Temp\OnboardLogs"\RTDC4055\2017-11-29 --exclude "*" --recursive --include "*20171129*" &amp; "%USERPROFILE%\Documents\GitHub\mrs-test-scripts\Headless Mode &amp; Sideloading\WalkAndUnGZ.bat" "%USERPROFILE%\AppData\Local\Temp\OnboardLogs"\RTDC4055\2017-11-29</v>
      </c>
      <c r="AF49" s="235" t="str">
        <f t="shared" si="12"/>
        <v>"C:\Program Files (x86)\AstroGrep\AstroGrep.exe" /e /r /s /spath="%USERPROFILE%\AppData\Local\Temp\OnboardLogs" /stypes="app*4055*20171128*" /stext=" 16:.+((SYSTEM_STATE.+slice.+state.+changed )|(ment ac)|(multiple cpu faults)|(system.+state.+changed )|(\[timeout)|(PRM\|1\|D)|(kpr)|(kdp)|(train st.+moving)|(\|lc)|(penalty))"</v>
      </c>
      <c r="AG49" s="245" t="str">
        <f t="shared" si="13"/>
        <v>EC</v>
      </c>
      <c r="AH49" s="237" t="str">
        <f t="shared" si="19"/>
        <v>"%USERPROFILE%\Documents\GitHub\eaglep3\Utilities\RefineRTDCRunTimes.py" --tripid 136-28 --locoid 4055 --swversion DE.1.0.9.0 --startMP 204:232996 --initTime 2017-11-28T08:38:24 --startdatetime 2017-11-28T08:57:23 --delay 51 --endMP 204:170 --enddatetime 2017-11-28T09:35:33 --enforcementcount 0 &gt;&gt;%USERPROFILE%\Documents\GitHub\eaglep3-reporting\EC\2017-11-28-refined-times.txt</v>
      </c>
      <c r="AI49" s="239" t="str">
        <f t="shared" si="20"/>
        <v>echo {"issue":{"subject":"","project_id":79,"tracker_id":40,"status_id":1,"priority_id":2,"assigned_to_id":338,"start_date":"2017-11-28","description":"","custom_fields":[{"id":1,"name":"Subdivision","value":"EC"},{"id":4,"name":"Milepost","value":"0.017"},{"id":17,"name":"Train ID","value":"136-28"},{"id":16,"name":"Locomotive ID","value":"4055"},{"id":130,"name":"Impact","value":""},{"id":150,"name":"Time of Event (Mountain Time)","value":"09:35:33"},{"id":151,"name":"Denver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9" s="224"/>
      <c r="AK49" s="232"/>
      <c r="AL49" s="232"/>
      <c r="AM49" s="241" t="str">
        <f t="shared" si="21"/>
        <v>start /low /b %USERPROFILE%\Documents\GitHub\eaglep3\Utilities\DownloadLogsFromS3.py --loco 4055 --day 2017-11-28</v>
      </c>
      <c r="AN49" s="242" t="str">
        <f t="shared" si="2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16:35:33"},{"id":29,"name":"Sharepoint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231" t="str">
        <f t="shared" si="23"/>
        <v>https://d0f6bd738d7f1b3e5a7ca70fe4ff75f0.us-east-1.aws.found.io/app/kibana#/discover/Steve-Slow-Train-Analysis-(2080s-and-2083s)?_g=(refreshInterval:(display:Off,pause:!f,section:0,value:0),time:(from:'2017-11-28T07:38:24-0700',mode:absolute,to:'2017-11-28T10:35:33-0700'))&amp;_a=(columns:!('Message%20ID',Summary),filters:!(),index:'emp_*',interval:auto,query:(query_string:(analyze_wildcard:!t,query:'%22rtdc.l.rtdc.4055%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230" t="s">
        <v>729</v>
      </c>
      <c r="B50" s="226">
        <v>4040</v>
      </c>
      <c r="C50" s="228" t="s">
        <v>192</v>
      </c>
      <c r="D50" s="228" t="s">
        <v>918</v>
      </c>
      <c r="E50" s="227">
        <v>43067.340185185189</v>
      </c>
      <c r="F50" s="227">
        <v>43067.343900462962</v>
      </c>
      <c r="G50" s="226">
        <v>56</v>
      </c>
      <c r="H50" s="228" t="s">
        <v>919</v>
      </c>
      <c r="I50" s="227">
        <v>43067.367997685185</v>
      </c>
      <c r="J50" s="226">
        <v>0</v>
      </c>
      <c r="K50" s="238" t="str">
        <f t="shared" si="0"/>
        <v>4039/4040</v>
      </c>
      <c r="L50" s="246" t="str">
        <f>VLOOKUP(A50,'Trips&amp;Operators'!$C$1:$G$99911,5,FALSE)</f>
        <v>LAMAR NEKESHA</v>
      </c>
      <c r="M50" s="225">
        <f t="shared" si="1"/>
        <v>2.4097222223645076E-2</v>
      </c>
      <c r="N50" s="226">
        <f t="shared" si="33"/>
        <v>34.70000000204891</v>
      </c>
      <c r="O50" s="226"/>
      <c r="P50" s="226"/>
      <c r="Q50" s="229"/>
      <c r="R50" s="243"/>
      <c r="S50" s="250">
        <f t="shared" si="32"/>
        <v>1</v>
      </c>
      <c r="T50" s="243" t="str">
        <f t="shared" si="4"/>
        <v>NorthBound</v>
      </c>
      <c r="U50" s="247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49" t="str">
        <f t="shared" si="5"/>
        <v>https://d0f6bd738d7f1b3e5a7ca70fe4ff75f0.us-east-1.aws.found.io/app/kibana#/discover/Steve-Slow-Train-Analysis-(2080s-and-2083s)?_g=(refreshInterval:(display:Off,pause:!f,section:0,value:0),time:(from:'2017-11-28T07:09:52-0700',mode:absolute,to:'2017-11-28T09:49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50" s="248" t="str">
        <f>IF(AA50&lt;VLOOKUP(AG50,Variables!$AC$3:$AD$8,2,FALSE),"Y","N")</f>
        <v>N</v>
      </c>
      <c r="X50" s="248">
        <f t="shared" si="34"/>
        <v>1</v>
      </c>
      <c r="Y50" s="248">
        <f t="shared" si="30"/>
        <v>4.6600000000000003E-2</v>
      </c>
      <c r="Z50" s="248">
        <f t="shared" si="31"/>
        <v>23.3307</v>
      </c>
      <c r="AA50" s="248">
        <f t="shared" si="9"/>
        <v>23.284099999999999</v>
      </c>
      <c r="AB50" s="234" t="e">
        <f>VLOOKUP(A50,Enforcements!$C$7:$K$9,8,0)</f>
        <v>#N/A</v>
      </c>
      <c r="AC50" s="233" t="e">
        <f>VLOOKUP(A50,Enforcements!$C$7:$E$9,3,0)</f>
        <v>#N/A</v>
      </c>
      <c r="AD50" s="244">
        <f t="shared" si="10"/>
        <v>137</v>
      </c>
      <c r="AE50" s="236" t="str">
        <f t="shared" si="11"/>
        <v>aws s3 cp s3://rtdc.mdm.uploadarchive.raw/RTDC4040/ "%USERPROFILE%\AppData\Local\Temp\OnboardLogs"\RTDC4040\2017-11-28 --exclude "*" --recursive --include "*20171128*" &amp; "%USERPROFILE%\Documents\GitHub\mrs-test-scripts\Headless Mode &amp; Sideloading\WalkAndUnGZ.bat" "%USERPROFILE%\AppData\Local\Temp\OnboardLogs"\RTDC4040\2017-11-28 &amp; aws s3 cp s3://rtdc.mdm.uploadarchive.raw/RTDC4040/ "%USERPROFILE%\AppData\Local\Temp\OnboardLogs"\RTDC4040\2017-11-29 --exclude "*" --recursive --include "*20171129*" &amp; "%USERPROFILE%\Documents\GitHub\mrs-test-scripts\Headless Mode &amp; Sideloading\WalkAndUnGZ.bat" "%USERPROFILE%\AppData\Local\Temp\OnboardLogs"\RTDC4040\2017-11-29</v>
      </c>
      <c r="AF50" s="235" t="str">
        <f t="shared" si="12"/>
        <v>"C:\Program Files (x86)\AstroGrep\AstroGrep.exe" /e /r /s /spath="%USERPROFILE%\AppData\Local\Temp\OnboardLogs" /stypes="app*4040*20171128*" /stext=" 15:.+((SYSTEM_STATE.+slice.+state.+changed )|(ment ac)|(multiple cpu faults)|(system.+state.+changed )|(\[timeout)|(PRM\|1\|D)|(kpr)|(kdp)|(train st.+moving)|(\|lc)|(penalty))"</v>
      </c>
      <c r="AG50" s="245" t="str">
        <f t="shared" si="13"/>
        <v>EC</v>
      </c>
      <c r="AH50" s="237" t="str">
        <f t="shared" si="19"/>
        <v>"%USERPROFILE%\Documents\GitHub\eaglep3\Utilities\RefineRTDCRunTimes.py" --tripid 137-28 --locoid 4040 --swversion DE.1.0.9.0 --startMP 204:466 --initTime 2017-11-28T08:09:52 --startdatetime 2017-11-28T08:15:13 --delay 56 --endMP 204:233307 --enddatetime 2017-11-28T08:49:55 --enforcementcount 0 &gt;&gt;%USERPROFILE%\Documents\GitHub\eaglep3-reporting\EC\2017-11-28-refined-times.txt</v>
      </c>
      <c r="AI50" s="239" t="str">
        <f t="shared" si="20"/>
        <v>echo {"issue":{"subject":"","project_id":79,"tracker_id":40,"status_id":1,"priority_id":2,"assigned_to_id":338,"start_date":"2017-11-28","description":"","custom_fields":[{"id":1,"name":"Subdivision","value":"EC"},{"id":4,"name":"Milepost","value":"23.3307"},{"id":17,"name":"Train ID","value":"137-28"},{"id":16,"name":"Locomotive ID","value":"4040"},{"id":130,"name":"Impact","value":""},{"id":150,"name":"Time of Event (Mountain Time)","value":"08:49:55"},{"id":151,"name":"Denver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0" s="224"/>
      <c r="AK50" s="232"/>
      <c r="AL50" s="232"/>
      <c r="AM50" s="241" t="str">
        <f t="shared" si="21"/>
        <v>start /low /b %USERPROFILE%\Documents\GitHub\eaglep3\Utilities\DownloadLogsFromS3.py --loco 4040 --day 2017-11-28</v>
      </c>
      <c r="AN50" s="242" t="str">
        <f t="shared" si="2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15:49:55"},{"id":29,"name":"Sharepoint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231" t="str">
        <f t="shared" si="23"/>
        <v>https://d0f6bd738d7f1b3e5a7ca70fe4ff75f0.us-east-1.aws.found.io/app/kibana#/discover/Steve-Slow-Train-Analysis-(2080s-and-2083s)?_g=(refreshInterval:(display:Off,pause:!f,section:0,value:0),time:(from:'2017-11-28T07:09:52-0700',mode:absolute,to:'2017-11-28T09:49:55-0700'))&amp;_a=(columns:!('Message%20ID',Summary),filters:!(),index:'emp_*',interval:auto,query:(query_string:(analyze_wildcard:!t,query:'%22rtdc.l.rtdc.4040%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230" t="s">
        <v>740</v>
      </c>
      <c r="B51" s="226">
        <v>4039</v>
      </c>
      <c r="C51" s="228" t="s">
        <v>192</v>
      </c>
      <c r="D51" s="228" t="s">
        <v>503</v>
      </c>
      <c r="E51" s="227">
        <v>43067.381898148145</v>
      </c>
      <c r="F51" s="227">
        <v>43067.383530092593</v>
      </c>
      <c r="G51" s="226">
        <v>66</v>
      </c>
      <c r="H51" s="228" t="s">
        <v>450</v>
      </c>
      <c r="I51" s="227">
        <v>43067.409131944441</v>
      </c>
      <c r="J51" s="226">
        <v>0</v>
      </c>
      <c r="K51" s="238" t="str">
        <f t="shared" si="0"/>
        <v>4039/4040</v>
      </c>
      <c r="L51" s="246" t="str">
        <f>VLOOKUP(A51,'Trips&amp;Operators'!$C$1:$G$99911,5,FALSE)</f>
        <v>LAMAR NEKESHA</v>
      </c>
      <c r="M51" s="225">
        <f t="shared" si="1"/>
        <v>2.5601851848477963E-2</v>
      </c>
      <c r="N51" s="226">
        <f t="shared" si="33"/>
        <v>36.866666661808267</v>
      </c>
      <c r="O51" s="226"/>
      <c r="P51" s="226"/>
      <c r="Q51" s="229"/>
      <c r="R51" s="243"/>
      <c r="S51" s="250">
        <f t="shared" si="32"/>
        <v>1</v>
      </c>
      <c r="T51" s="243" t="str">
        <f t="shared" si="4"/>
        <v>Southbound</v>
      </c>
      <c r="U51" s="247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49" t="str">
        <f t="shared" si="5"/>
        <v>https://d0f6bd738d7f1b3e5a7ca70fe4ff75f0.us-east-1.aws.found.io/app/kibana#/discover/Steve-Slow-Train-Analysis-(2080s-and-2083s)?_g=(refreshInterval:(display:Off,pause:!f,section:0,value:0),time:(from:'2017-11-28T08:09:56-0700',mode:absolute,to:'2017-11-28T10:49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51" s="248" t="str">
        <f>IF(AA51&lt;VLOOKUP(AG51,Variables!$AC$3:$AD$8,2,FALSE),"Y","N")</f>
        <v>N</v>
      </c>
      <c r="X51" s="248">
        <f t="shared" si="34"/>
        <v>1</v>
      </c>
      <c r="Y51" s="248">
        <f t="shared" si="30"/>
        <v>23.297999999999998</v>
      </c>
      <c r="Z51" s="248">
        <f t="shared" si="31"/>
        <v>1.61E-2</v>
      </c>
      <c r="AA51" s="248">
        <f t="shared" si="9"/>
        <v>23.281899999999997</v>
      </c>
      <c r="AB51" s="234" t="e">
        <f>VLOOKUP(A51,Enforcements!$C$7:$K$9,8,0)</f>
        <v>#N/A</v>
      </c>
      <c r="AC51" s="233" t="e">
        <f>VLOOKUP(A51,Enforcements!$C$7:$E$9,3,0)</f>
        <v>#N/A</v>
      </c>
      <c r="AD51" s="244">
        <f t="shared" si="10"/>
        <v>138</v>
      </c>
      <c r="AE51" s="236" t="str">
        <f t="shared" si="11"/>
        <v>aws s3 cp s3://rtdc.mdm.uploadarchive.raw/RTDC4039/ "%USERPROFILE%\AppData\Local\Temp\OnboardLogs"\RTDC4039\2017-11-28 --exclude "*" --recursive --include "*20171128*" &amp; "%USERPROFILE%\Documents\GitHub\mrs-test-scripts\Headless Mode &amp; Sideloading\WalkAndUnGZ.bat" "%USERPROFILE%\AppData\Local\Temp\OnboardLogs"\RTDC4039\2017-11-28 &amp; aws s3 cp s3://rtdc.mdm.uploadarchive.raw/RTDC4039/ "%USERPROFILE%\AppData\Local\Temp\OnboardLogs"\RTDC4039\2017-11-29 --exclude "*" --recursive --include "*20171129*" &amp; "%USERPROFILE%\Documents\GitHub\mrs-test-scripts\Headless Mode &amp; Sideloading\WalkAndUnGZ.bat" "%USERPROFILE%\AppData\Local\Temp\OnboardLogs"\RTDC4039\2017-11-29</v>
      </c>
      <c r="AF51" s="235" t="str">
        <f t="shared" si="12"/>
        <v>"C:\Program Files (x86)\AstroGrep\AstroGrep.exe" /e /r /s /spath="%USERPROFILE%\AppData\Local\Temp\OnboardLogs" /stypes="app*4039*20171128*" /stext=" 16:.+((SYSTEM_STATE.+slice.+state.+changed )|(ment ac)|(multiple cpu faults)|(system.+state.+changed )|(\[timeout)|(PRM\|1\|D)|(kpr)|(kdp)|(train st.+moving)|(\|lc)|(penalty))"</v>
      </c>
      <c r="AG51" s="245" t="str">
        <f t="shared" si="13"/>
        <v>EC</v>
      </c>
      <c r="AH51" s="237" t="str">
        <f t="shared" si="19"/>
        <v>"%USERPROFILE%\Documents\GitHub\eaglep3\Utilities\RefineRTDCRunTimes.py" --tripid 138-28 --locoid 4039 --swversion DE.1.0.9.0 --startMP 204:232980 --initTime 2017-11-28T09:09:56 --startdatetime 2017-11-28T09:12:17 --delay 66 --endMP 204:161 --enddatetime 2017-11-28T09:49:09 --enforcementcount 0 &gt;&gt;%USERPROFILE%\Documents\GitHub\eaglep3-reporting\EC\2017-11-28-refined-times.txt</v>
      </c>
      <c r="AI51" s="239" t="str">
        <f t="shared" si="20"/>
        <v>echo {"issue":{"subject":"","project_id":79,"tracker_id":40,"status_id":1,"priority_id":2,"assigned_to_id":338,"start_date":"2017-11-28","description":"","custom_fields":[{"id":1,"name":"Subdivision","value":"EC"},{"id":4,"name":"Milepost","value":"0.0161"},{"id":17,"name":"Train ID","value":"138-28"},{"id":16,"name":"Locomotive ID","value":"4039"},{"id":130,"name":"Impact","value":""},{"id":150,"name":"Time of Event (Mountain Time)","value":"09:49:09"},{"id":151,"name":"Denver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1" s="224"/>
      <c r="AK51" s="232"/>
      <c r="AL51" s="232"/>
      <c r="AM51" s="241" t="str">
        <f t="shared" si="21"/>
        <v>start /low /b %USERPROFILE%\Documents\GitHub\eaglep3\Utilities\DownloadLogsFromS3.py --loco 4039 --day 2017-11-28</v>
      </c>
      <c r="AN51" s="242" t="str">
        <f t="shared" si="2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16:49:09"},{"id":29,"name":"Sharepoint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231" t="str">
        <f t="shared" si="23"/>
        <v>https://d0f6bd738d7f1b3e5a7ca70fe4ff75f0.us-east-1.aws.found.io/app/kibana#/discover/Steve-Slow-Train-Analysis-(2080s-and-2083s)?_g=(refreshInterval:(display:Off,pause:!f,section:0,value:0),time:(from:'2017-11-28T08:09:56-0700',mode:absolute,to:'2017-11-28T10:49:09-0700'))&amp;_a=(columns:!('Message%20ID',Summary),filters:!(),index:'emp_*',interval:auto,query:(query_string:(analyze_wildcard:!t,query:'%22rtdc.l.rtdc.4039%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230" t="s">
        <v>733</v>
      </c>
      <c r="B52" s="226">
        <v>4042</v>
      </c>
      <c r="C52" s="228" t="s">
        <v>192</v>
      </c>
      <c r="D52" s="228" t="s">
        <v>920</v>
      </c>
      <c r="E52" s="227">
        <v>43067.35597222222</v>
      </c>
      <c r="F52" s="227">
        <v>43067.357997685183</v>
      </c>
      <c r="G52" s="226">
        <v>117</v>
      </c>
      <c r="H52" s="228" t="s">
        <v>921</v>
      </c>
      <c r="I52" s="227">
        <v>43067.381574074076</v>
      </c>
      <c r="J52" s="226">
        <v>0</v>
      </c>
      <c r="K52" s="238" t="str">
        <f t="shared" si="0"/>
        <v>4041/4042</v>
      </c>
      <c r="L52" s="246" t="str">
        <f>VLOOKUP(A52,'Trips&amp;Operators'!$C$1:$G$99911,5,FALSE)</f>
        <v>ROCHA YAOTL</v>
      </c>
      <c r="M52" s="225">
        <f t="shared" si="1"/>
        <v>2.3576388892251998E-2</v>
      </c>
      <c r="N52" s="226">
        <f t="shared" si="33"/>
        <v>33.950000004842877</v>
      </c>
      <c r="O52" s="226"/>
      <c r="P52" s="226"/>
      <c r="Q52" s="229"/>
      <c r="R52" s="243"/>
      <c r="S52" s="250">
        <f t="shared" si="32"/>
        <v>1</v>
      </c>
      <c r="T52" s="243" t="str">
        <f t="shared" si="4"/>
        <v>NorthBound</v>
      </c>
      <c r="U52" s="247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49" t="str">
        <f t="shared" si="5"/>
        <v>https://d0f6bd738d7f1b3e5a7ca70fe4ff75f0.us-east-1.aws.found.io/app/kibana#/discover/Steve-Slow-Train-Analysis-(2080s-and-2083s)?_g=(refreshInterval:(display:Off,pause:!f,section:0,value:0),time:(from:'2017-11-28T07:32:36-0700',mode:absolute,to:'2017-11-28T10:09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52" s="248" t="str">
        <f>IF(AA52&lt;VLOOKUP(AG52,Variables!$AC$3:$AD$8,2,FALSE),"Y","N")</f>
        <v>N</v>
      </c>
      <c r="X52" s="248">
        <f t="shared" si="34"/>
        <v>1</v>
      </c>
      <c r="Y52" s="248">
        <f t="shared" si="30"/>
        <v>0.1164</v>
      </c>
      <c r="Z52" s="248">
        <f t="shared" si="31"/>
        <v>23.331700000000001</v>
      </c>
      <c r="AA52" s="248">
        <f t="shared" si="9"/>
        <v>23.215300000000003</v>
      </c>
      <c r="AB52" s="234" t="e">
        <f>VLOOKUP(A52,Enforcements!$C$7:$K$9,8,0)</f>
        <v>#N/A</v>
      </c>
      <c r="AC52" s="233" t="e">
        <f>VLOOKUP(A52,Enforcements!$C$7:$E$9,3,0)</f>
        <v>#N/A</v>
      </c>
      <c r="AD52" s="244">
        <f t="shared" si="10"/>
        <v>139</v>
      </c>
      <c r="AE52" s="236" t="str">
        <f t="shared" si="11"/>
        <v>aws s3 cp s3://rtdc.mdm.uploadarchive.raw/RTDC4042/ "%USERPROFILE%\AppData\Local\Temp\OnboardLogs"\RTDC4042\2017-11-28 --exclude "*" --recursive --include "*20171128*" &amp; "%USERPROFILE%\Documents\GitHub\mrs-test-scripts\Headless Mode &amp; Sideloading\WalkAndUnGZ.bat" "%USERPROFILE%\AppData\Local\Temp\OnboardLogs"\RTDC4042\2017-11-28 &amp; aws s3 cp s3://rtdc.mdm.uploadarchive.raw/RTDC4042/ "%USERPROFILE%\AppData\Local\Temp\OnboardLogs"\RTDC4042\2017-11-29 --exclude "*" --recursive --include "*20171129*" &amp; "%USERPROFILE%\Documents\GitHub\mrs-test-scripts\Headless Mode &amp; Sideloading\WalkAndUnGZ.bat" "%USERPROFILE%\AppData\Local\Temp\OnboardLogs"\RTDC4042\2017-11-29</v>
      </c>
      <c r="AF52" s="235" t="str">
        <f t="shared" si="12"/>
        <v>"C:\Program Files (x86)\AstroGrep\AstroGrep.exe" /e /r /s /spath="%USERPROFILE%\AppData\Local\Temp\OnboardLogs" /stypes="app*4042*20171128*" /stext=" 16:.+((SYSTEM_STATE.+slice.+state.+changed )|(ment ac)|(multiple cpu faults)|(system.+state.+changed )|(\[timeout)|(PRM\|1\|D)|(kpr)|(kdp)|(train st.+moving)|(\|lc)|(penalty))"</v>
      </c>
      <c r="AG52" s="245" t="str">
        <f t="shared" si="13"/>
        <v>EC</v>
      </c>
      <c r="AH52" s="237" t="str">
        <f t="shared" si="19"/>
        <v>"%USERPROFILE%\Documents\GitHub\eaglep3\Utilities\RefineRTDCRunTimes.py" --tripid 139-28 --locoid 4042 --swversion DE.1.0.9.0 --startMP 204:1164 --initTime 2017-11-28T08:32:36 --startdatetime 2017-11-28T08:35:31 --delay 117 --endMP 204:233317 --enddatetime 2017-11-28T09:09:28 --enforcementcount 0 &gt;&gt;%USERPROFILE%\Documents\GitHub\eaglep3-reporting\EC\2017-11-28-refined-times.txt</v>
      </c>
      <c r="AI52" s="239" t="str">
        <f t="shared" si="20"/>
        <v>echo {"issue":{"subject":"","project_id":79,"tracker_id":40,"status_id":1,"priority_id":2,"assigned_to_id":338,"start_date":"2017-11-28","description":"","custom_fields":[{"id":1,"name":"Subdivision","value":"EC"},{"id":4,"name":"Milepost","value":"23.3317"},{"id":17,"name":"Train ID","value":"139-28"},{"id":16,"name":"Locomotive ID","value":"4042"},{"id":130,"name":"Impact","value":""},{"id":150,"name":"Time of Event (Mountain Time)","value":"09:09:28"},{"id":151,"name":"Denver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2" s="224"/>
      <c r="AK52" s="232"/>
      <c r="AL52" s="232"/>
      <c r="AM52" s="241" t="str">
        <f t="shared" si="21"/>
        <v>start /low /b %USERPROFILE%\Documents\GitHub\eaglep3\Utilities\DownloadLogsFromS3.py --loco 4042 --day 2017-11-28</v>
      </c>
      <c r="AN52" s="242" t="str">
        <f t="shared" si="2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16:09:28"},{"id":29,"name":"Sharepoint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231" t="str">
        <f t="shared" si="23"/>
        <v>https://d0f6bd738d7f1b3e5a7ca70fe4ff75f0.us-east-1.aws.found.io/app/kibana#/discover/Steve-Slow-Train-Analysis-(2080s-and-2083s)?_g=(refreshInterval:(display:Off,pause:!f,section:0,value:0),time:(from:'2017-11-28T07:32:36-0700',mode:absolute,to:'2017-11-28T10:09:28-0700'))&amp;_a=(columns:!('Message%20ID',Summary),filters:!(),index:'emp_*',interval:auto,query:(query_string:(analyze_wildcard:!t,query:'%22rtdc.l.rtdc.4042%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230" t="s">
        <v>647</v>
      </c>
      <c r="B53" s="226">
        <v>4041</v>
      </c>
      <c r="C53" s="228" t="s">
        <v>192</v>
      </c>
      <c r="D53" s="228" t="s">
        <v>581</v>
      </c>
      <c r="E53" s="227">
        <v>43067.393634259257</v>
      </c>
      <c r="F53" s="227">
        <v>43067.395104166666</v>
      </c>
      <c r="G53" s="226">
        <v>81</v>
      </c>
      <c r="H53" s="228" t="s">
        <v>582</v>
      </c>
      <c r="I53" s="227">
        <v>43067.421446759261</v>
      </c>
      <c r="J53" s="226">
        <v>0</v>
      </c>
      <c r="K53" s="238" t="str">
        <f t="shared" si="0"/>
        <v>4041/4042</v>
      </c>
      <c r="L53" s="246" t="str">
        <f>VLOOKUP(A53,'Trips&amp;Operators'!$C$1:$G$99911,5,FALSE)</f>
        <v>ROCHA YAOTL</v>
      </c>
      <c r="M53" s="225">
        <f t="shared" si="1"/>
        <v>2.6342592595028691E-2</v>
      </c>
      <c r="N53" s="226">
        <f t="shared" si="33"/>
        <v>37.933333336841315</v>
      </c>
      <c r="O53" s="226"/>
      <c r="P53" s="226"/>
      <c r="Q53" s="229"/>
      <c r="R53" s="243"/>
      <c r="S53" s="250">
        <f t="shared" si="32"/>
        <v>1</v>
      </c>
      <c r="T53" s="243" t="str">
        <f t="shared" si="4"/>
        <v>Southbound</v>
      </c>
      <c r="U53" s="247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49" t="str">
        <f t="shared" si="5"/>
        <v>https://d0f6bd738d7f1b3e5a7ca70fe4ff75f0.us-east-1.aws.found.io/app/kibana#/discover/Steve-Slow-Train-Analysis-(2080s-and-2083s)?_g=(refreshInterval:(display:Off,pause:!f,section:0,value:0),time:(from:'2017-11-28T08:26:50-0700',mode:absolute,to:'2017-11-28T11:06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53" s="248" t="str">
        <f>IF(AA53&lt;VLOOKUP(AG53,Variables!$AC$3:$AD$8,2,FALSE),"Y","N")</f>
        <v>N</v>
      </c>
      <c r="X53" s="248">
        <f t="shared" si="34"/>
        <v>1</v>
      </c>
      <c r="Y53" s="248">
        <f t="shared" si="30"/>
        <v>23.3</v>
      </c>
      <c r="Z53" s="248">
        <f t="shared" si="31"/>
        <v>1.43E-2</v>
      </c>
      <c r="AA53" s="248">
        <f t="shared" si="9"/>
        <v>23.285700000000002</v>
      </c>
      <c r="AB53" s="234" t="e">
        <f>VLOOKUP(A53,Enforcements!$C$7:$K$9,8,0)</f>
        <v>#N/A</v>
      </c>
      <c r="AC53" s="233" t="e">
        <f>VLOOKUP(A53,Enforcements!$C$7:$E$9,3,0)</f>
        <v>#N/A</v>
      </c>
      <c r="AD53" s="244">
        <f t="shared" si="10"/>
        <v>140</v>
      </c>
      <c r="AE53" s="236" t="str">
        <f t="shared" si="11"/>
        <v>aws s3 cp s3://rtdc.mdm.uploadarchive.raw/RTDC4041/ "%USERPROFILE%\AppData\Local\Temp\OnboardLogs"\RTDC4041\2017-11-28 --exclude "*" --recursive --include "*20171128*" &amp; "%USERPROFILE%\Documents\GitHub\mrs-test-scripts\Headless Mode &amp; Sideloading\WalkAndUnGZ.bat" "%USERPROFILE%\AppData\Local\Temp\OnboardLogs"\RTDC4041\2017-11-28 &amp; aws s3 cp s3://rtdc.mdm.uploadarchive.raw/RTDC4041/ "%USERPROFILE%\AppData\Local\Temp\OnboardLogs"\RTDC4041\2017-11-29 --exclude "*" --recursive --include "*20171129*" &amp; "%USERPROFILE%\Documents\GitHub\mrs-test-scripts\Headless Mode &amp; Sideloading\WalkAndUnGZ.bat" "%USERPROFILE%\AppData\Local\Temp\OnboardLogs"\RTDC4041\2017-11-29</v>
      </c>
      <c r="AF53" s="235" t="str">
        <f t="shared" si="12"/>
        <v>"C:\Program Files (x86)\AstroGrep\AstroGrep.exe" /e /r /s /spath="%USERPROFILE%\AppData\Local\Temp\OnboardLogs" /stypes="app*4041*20171128*" /stext=" 17:.+((SYSTEM_STATE.+slice.+state.+changed )|(ment ac)|(multiple cpu faults)|(system.+state.+changed )|(\[timeout)|(PRM\|1\|D)|(kpr)|(kdp)|(train st.+moving)|(\|lc)|(penalty))"</v>
      </c>
      <c r="AG53" s="245" t="str">
        <f t="shared" si="13"/>
        <v>EC</v>
      </c>
      <c r="AH53" s="237" t="str">
        <f t="shared" si="19"/>
        <v>"%USERPROFILE%\Documents\GitHub\eaglep3\Utilities\RefineRTDCRunTimes.py" --tripid 140-28 --locoid 4041 --swversion DE.1.0.9.0 --startMP 204:233000 --initTime 2017-11-28T09:26:50 --startdatetime 2017-11-28T09:28:57 --delay 81 --endMP 204:143 --enddatetime 2017-11-28T10:06:53 --enforcementcount 0 &gt;&gt;%USERPROFILE%\Documents\GitHub\eaglep3-reporting\EC\2017-11-28-refined-times.txt</v>
      </c>
      <c r="AI53" s="239" t="str">
        <f t="shared" si="20"/>
        <v>echo {"issue":{"subject":"","project_id":79,"tracker_id":40,"status_id":1,"priority_id":2,"assigned_to_id":338,"start_date":"2017-11-28","description":"","custom_fields":[{"id":1,"name":"Subdivision","value":"EC"},{"id":4,"name":"Milepost","value":"0.0143"},{"id":17,"name":"Train ID","value":"140-28"},{"id":16,"name":"Locomotive ID","value":"4041"},{"id":130,"name":"Impact","value":""},{"id":150,"name":"Time of Event (Mountain Time)","value":"10:06:53"},{"id":151,"name":"Denver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3" s="224"/>
      <c r="AK53" s="232"/>
      <c r="AL53" s="232"/>
      <c r="AM53" s="241" t="str">
        <f t="shared" si="21"/>
        <v>start /low /b %USERPROFILE%\Documents\GitHub\eaglep3\Utilities\DownloadLogsFromS3.py --loco 4041 --day 2017-11-28</v>
      </c>
      <c r="AN53" s="242" t="str">
        <f t="shared" si="2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17:06:53"},{"id":29,"name":"Sharepoint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231" t="str">
        <f t="shared" si="23"/>
        <v>https://d0f6bd738d7f1b3e5a7ca70fe4ff75f0.us-east-1.aws.found.io/app/kibana#/discover/Steve-Slow-Train-Analysis-(2080s-and-2083s)?_g=(refreshInterval:(display:Off,pause:!f,section:0,value:0),time:(from:'2017-11-28T08:26:50-0700',mode:absolute,to:'2017-11-28T11:06:53-0700'))&amp;_a=(columns:!('Message%20ID',Summary),filters:!(),index:'emp_*',interval:auto,query:(query_string:(analyze_wildcard:!t,query:'%22rtdc.l.rtdc.4041%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230" t="s">
        <v>735</v>
      </c>
      <c r="B54" s="226">
        <v>4034</v>
      </c>
      <c r="C54" s="228" t="s">
        <v>192</v>
      </c>
      <c r="D54" s="228" t="s">
        <v>587</v>
      </c>
      <c r="E54" s="227">
        <v>43067.359155092592</v>
      </c>
      <c r="F54" s="227">
        <v>43067.364745370367</v>
      </c>
      <c r="G54" s="226">
        <v>92</v>
      </c>
      <c r="H54" s="228" t="s">
        <v>496</v>
      </c>
      <c r="I54" s="227">
        <v>43067.388564814813</v>
      </c>
      <c r="J54" s="226">
        <v>0</v>
      </c>
      <c r="K54" s="238" t="str">
        <f t="shared" si="0"/>
        <v>4033/4034</v>
      </c>
      <c r="L54" s="246" t="str">
        <f>VLOOKUP(A54,'Trips&amp;Operators'!$C$1:$G$99911,5,FALSE)</f>
        <v>YANAI IAN</v>
      </c>
      <c r="M54" s="225">
        <f t="shared" si="1"/>
        <v>2.3819444446417037E-2</v>
      </c>
      <c r="N54" s="226">
        <f t="shared" si="33"/>
        <v>34.300000002840534</v>
      </c>
      <c r="O54" s="226"/>
      <c r="P54" s="226"/>
      <c r="Q54" s="229"/>
      <c r="R54" s="243"/>
      <c r="S54" s="250">
        <f t="shared" si="32"/>
        <v>1</v>
      </c>
      <c r="T54" s="243" t="str">
        <f t="shared" si="4"/>
        <v>NorthBound</v>
      </c>
      <c r="U54" s="247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49" t="str">
        <f t="shared" si="5"/>
        <v>https://d0f6bd738d7f1b3e5a7ca70fe4ff75f0.us-east-1.aws.found.io/app/kibana#/discover/Steve-Slow-Train-Analysis-(2080s-and-2083s)?_g=(refreshInterval:(display:Off,pause:!f,section:0,value:0),time:(from:'2017-11-28T07:37:11-0700',mode:absolute,to:'2017-11-28T10:19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54" s="248" t="str">
        <f>IF(AA54&lt;VLOOKUP(AG54,Variables!$AC$3:$AD$8,2,FALSE),"Y","N")</f>
        <v>N</v>
      </c>
      <c r="X54" s="248">
        <f t="shared" si="34"/>
        <v>1</v>
      </c>
      <c r="Y54" s="248">
        <f t="shared" si="30"/>
        <v>4.5100000000000001E-2</v>
      </c>
      <c r="Z54" s="248">
        <f t="shared" si="31"/>
        <v>23.329899999999999</v>
      </c>
      <c r="AA54" s="248">
        <f t="shared" si="9"/>
        <v>23.284799999999997</v>
      </c>
      <c r="AB54" s="234" t="e">
        <f>VLOOKUP(A54,Enforcements!$C$7:$K$9,8,0)</f>
        <v>#N/A</v>
      </c>
      <c r="AC54" s="233" t="e">
        <f>VLOOKUP(A54,Enforcements!$C$7:$E$9,3,0)</f>
        <v>#N/A</v>
      </c>
      <c r="AD54" s="244">
        <f t="shared" si="10"/>
        <v>141</v>
      </c>
      <c r="AE54" s="236" t="str">
        <f t="shared" si="11"/>
        <v>aws s3 cp s3://rtdc.mdm.uploadarchive.raw/RTDC4034/ "%USERPROFILE%\AppData\Local\Temp\OnboardLogs"\RTDC4034\2017-11-28 --exclude "*" --recursive --include "*20171128*" &amp; "%USERPROFILE%\Documents\GitHub\mrs-test-scripts\Headless Mode &amp; Sideloading\WalkAndUnGZ.bat" "%USERPROFILE%\AppData\Local\Temp\OnboardLogs"\RTDC4034\2017-11-28 &amp; aws s3 cp s3://rtdc.mdm.uploadarchive.raw/RTDC4034/ "%USERPROFILE%\AppData\Local\Temp\OnboardLogs"\RTDC4034\2017-11-29 --exclude "*" --recursive --include "*20171129*" &amp; "%USERPROFILE%\Documents\GitHub\mrs-test-scripts\Headless Mode &amp; Sideloading\WalkAndUnGZ.bat" "%USERPROFILE%\AppData\Local\Temp\OnboardLogs"\RTDC4034\2017-11-29</v>
      </c>
      <c r="AF54" s="235" t="str">
        <f t="shared" si="12"/>
        <v>"C:\Program Files (x86)\AstroGrep\AstroGrep.exe" /e /r /s /spath="%USERPROFILE%\AppData\Local\Temp\OnboardLogs" /stypes="app*4034*20171128*" /stext=" 16:.+((SYSTEM_STATE.+slice.+state.+changed )|(ment ac)|(multiple cpu faults)|(system.+state.+changed )|(\[timeout)|(PRM\|1\|D)|(kpr)|(kdp)|(train st.+moving)|(\|lc)|(penalty))"</v>
      </c>
      <c r="AG54" s="245" t="str">
        <f t="shared" si="13"/>
        <v>EC</v>
      </c>
      <c r="AH54" s="237" t="str">
        <f t="shared" si="19"/>
        <v>"%USERPROFILE%\Documents\GitHub\eaglep3\Utilities\RefineRTDCRunTimes.py" --tripid 141-28 --locoid 4034 --swversion DE.1.0.9.0 --startMP 204:451 --initTime 2017-11-28T08:37:11 --startdatetime 2017-11-28T08:45:14 --delay 92 --endMP 204:233299 --enddatetime 2017-11-28T09:19:32 --enforcementcount 0 &gt;&gt;%USERPROFILE%\Documents\GitHub\eaglep3-reporting\EC\2017-11-28-refined-times.txt</v>
      </c>
      <c r="AI54" s="239" t="str">
        <f t="shared" si="20"/>
        <v>echo {"issue":{"subject":"","project_id":79,"tracker_id":40,"status_id":1,"priority_id":2,"assigned_to_id":338,"start_date":"2017-11-28","description":"","custom_fields":[{"id":1,"name":"Subdivision","value":"EC"},{"id":4,"name":"Milepost","value":"23.3299"},{"id":17,"name":"Train ID","value":"141-28"},{"id":16,"name":"Locomotive ID","value":"4034"},{"id":130,"name":"Impact","value":""},{"id":150,"name":"Time of Event (Mountain Time)","value":"09:19:32"},{"id":151,"name":"Denver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4" s="224"/>
      <c r="AK54" s="232"/>
      <c r="AL54" s="232"/>
      <c r="AM54" s="241" t="str">
        <f t="shared" si="21"/>
        <v>start /low /b %USERPROFILE%\Documents\GitHub\eaglep3\Utilities\DownloadLogsFromS3.py --loco 4034 --day 2017-11-28</v>
      </c>
      <c r="AN54" s="242" t="str">
        <f t="shared" si="2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16:19:32"},{"id":29,"name":"Sharepoint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231" t="str">
        <f t="shared" si="23"/>
        <v>https://d0f6bd738d7f1b3e5a7ca70fe4ff75f0.us-east-1.aws.found.io/app/kibana#/discover/Steve-Slow-Train-Analysis-(2080s-and-2083s)?_g=(refreshInterval:(display:Off,pause:!f,section:0,value:0),time:(from:'2017-11-28T07:37:11-0700',mode:absolute,to:'2017-11-28T10:19:32-0700'))&amp;_a=(columns:!('Message%20ID',Summary),filters:!(),index:'emp_*',interval:auto,query:(query_string:(analyze_wildcard:!t,query:'%22rtdc.l.rtdc.4034%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230" t="s">
        <v>646</v>
      </c>
      <c r="B55" s="226">
        <v>4033</v>
      </c>
      <c r="C55" s="228" t="s">
        <v>192</v>
      </c>
      <c r="D55" s="228" t="s">
        <v>503</v>
      </c>
      <c r="E55" s="227">
        <v>43067.389733796299</v>
      </c>
      <c r="F55" s="227">
        <v>43067.404374999998</v>
      </c>
      <c r="G55" s="226">
        <v>58</v>
      </c>
      <c r="H55" s="228" t="s">
        <v>450</v>
      </c>
      <c r="I55" s="227">
        <v>43067.430266203701</v>
      </c>
      <c r="J55" s="226">
        <v>0</v>
      </c>
      <c r="K55" s="238" t="str">
        <f t="shared" si="0"/>
        <v>4033/4034</v>
      </c>
      <c r="L55" s="246" t="str">
        <f>VLOOKUP(A55,'Trips&amp;Operators'!$C$1:$G$99911,5,FALSE)</f>
        <v>YANAI IAN</v>
      </c>
      <c r="M55" s="225">
        <f t="shared" si="1"/>
        <v>2.5891203702485655E-2</v>
      </c>
      <c r="N55" s="226">
        <f t="shared" si="33"/>
        <v>37.283333331579342</v>
      </c>
      <c r="O55" s="226"/>
      <c r="P55" s="226"/>
      <c r="Q55" s="229"/>
      <c r="R55" s="243"/>
      <c r="S55" s="250">
        <f t="shared" si="32"/>
        <v>1</v>
      </c>
      <c r="T55" s="243" t="str">
        <f t="shared" si="4"/>
        <v>Southbound</v>
      </c>
      <c r="U55" s="247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49" t="str">
        <f t="shared" si="5"/>
        <v>https://d0f6bd738d7f1b3e5a7ca70fe4ff75f0.us-east-1.aws.found.io/app/kibana#/discover/Steve-Slow-Train-Analysis-(2080s-and-2083s)?_g=(refreshInterval:(display:Off,pause:!f,section:0,value:0),time:(from:'2017-11-28T08:21:13-0700',mode:absolute,to:'2017-11-28T11:19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55" s="248" t="str">
        <f>IF(AA55&lt;VLOOKUP(AG55,Variables!$AC$3:$AD$8,2,FALSE),"Y","N")</f>
        <v>N</v>
      </c>
      <c r="X55" s="248">
        <f t="shared" si="34"/>
        <v>1</v>
      </c>
      <c r="Y55" s="248">
        <f t="shared" si="30"/>
        <v>23.297999999999998</v>
      </c>
      <c r="Z55" s="248">
        <f t="shared" si="31"/>
        <v>1.61E-2</v>
      </c>
      <c r="AA55" s="248">
        <f t="shared" si="9"/>
        <v>23.281899999999997</v>
      </c>
      <c r="AB55" s="234" t="e">
        <f>VLOOKUP(A55,Enforcements!$C$7:$K$9,8,0)</f>
        <v>#N/A</v>
      </c>
      <c r="AC55" s="233" t="e">
        <f>VLOOKUP(A55,Enforcements!$C$7:$E$9,3,0)</f>
        <v>#N/A</v>
      </c>
      <c r="AD55" s="244">
        <f t="shared" si="10"/>
        <v>142</v>
      </c>
      <c r="AE55" s="236" t="str">
        <f t="shared" si="11"/>
        <v>aws s3 cp s3://rtdc.mdm.uploadarchive.raw/RTDC4033/ "%USERPROFILE%\AppData\Local\Temp\OnboardLogs"\RTDC4033\2017-11-28 --exclude "*" --recursive --include "*20171128*" &amp; "%USERPROFILE%\Documents\GitHub\mrs-test-scripts\Headless Mode &amp; Sideloading\WalkAndUnGZ.bat" "%USERPROFILE%\AppData\Local\Temp\OnboardLogs"\RTDC4033\2017-11-28 &amp; aws s3 cp s3://rtdc.mdm.uploadarchive.raw/RTDC4033/ "%USERPROFILE%\AppData\Local\Temp\OnboardLogs"\RTDC4033\2017-11-29 --exclude "*" --recursive --include "*20171129*" &amp; "%USERPROFILE%\Documents\GitHub\mrs-test-scripts\Headless Mode &amp; Sideloading\WalkAndUnGZ.bat" "%USERPROFILE%\AppData\Local\Temp\OnboardLogs"\RTDC4033\2017-11-29</v>
      </c>
      <c r="AF55" s="235" t="str">
        <f t="shared" si="12"/>
        <v>"C:\Program Files (x86)\AstroGrep\AstroGrep.exe" /e /r /s /spath="%USERPROFILE%\AppData\Local\Temp\OnboardLogs" /stypes="app*4033*20171128*" /stext=" 17:.+((SYSTEM_STATE.+slice.+state.+changed )|(ment ac)|(multiple cpu faults)|(system.+state.+changed )|(\[timeout)|(PRM\|1\|D)|(kpr)|(kdp)|(train st.+moving)|(\|lc)|(penalty))"</v>
      </c>
      <c r="AG55" s="245" t="str">
        <f t="shared" si="13"/>
        <v>EC</v>
      </c>
      <c r="AH55" s="237" t="str">
        <f t="shared" si="19"/>
        <v>"%USERPROFILE%\Documents\GitHub\eaglep3\Utilities\RefineRTDCRunTimes.py" --tripid 142-28 --locoid 4033 --swversion DE.1.0.9.0 --startMP 204:232980 --initTime 2017-11-28T09:21:13 --startdatetime 2017-11-28T09:42:18 --delay 58 --endMP 204:161 --enddatetime 2017-11-28T10:19:35 --enforcementcount 0 &gt;&gt;%USERPROFILE%\Documents\GitHub\eaglep3-reporting\EC\2017-11-28-refined-times.txt</v>
      </c>
      <c r="AI55" s="239" t="str">
        <f t="shared" si="20"/>
        <v>echo {"issue":{"subject":"","project_id":79,"tracker_id":40,"status_id":1,"priority_id":2,"assigned_to_id":338,"start_date":"2017-11-28","description":"","custom_fields":[{"id":1,"name":"Subdivision","value":"EC"},{"id":4,"name":"Milepost","value":"0.0161"},{"id":17,"name":"Train ID","value":"142-28"},{"id":16,"name":"Locomotive ID","value":"4033"},{"id":130,"name":"Impact","value":""},{"id":150,"name":"Time of Event (Mountain Time)","value":"10:19:35"},{"id":151,"name":"Denver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5" s="224"/>
      <c r="AK55" s="232"/>
      <c r="AL55" s="232"/>
      <c r="AM55" s="241" t="str">
        <f t="shared" si="21"/>
        <v>start /low /b %USERPROFILE%\Documents\GitHub\eaglep3\Utilities\DownloadLogsFromS3.py --loco 4033 --day 2017-11-28</v>
      </c>
      <c r="AN55" s="242" t="str">
        <f t="shared" si="2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17:19:35"},{"id":29,"name":"Sharepoint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231" t="str">
        <f t="shared" si="23"/>
        <v>https://d0f6bd738d7f1b3e5a7ca70fe4ff75f0.us-east-1.aws.found.io/app/kibana#/discover/Steve-Slow-Train-Analysis-(2080s-and-2083s)?_g=(refreshInterval:(display:Off,pause:!f,section:0,value:0),time:(from:'2017-11-28T08:21:13-0700',mode:absolute,to:'2017-11-28T11:19:35-0700'))&amp;_a=(columns:!('Message%20ID',Summary),filters:!(),index:'emp_*',interval:auto,query:(query_string:(analyze_wildcard:!t,query:'%22rtdc.l.rtdc.4033%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230" t="s">
        <v>737</v>
      </c>
      <c r="B56" s="226">
        <v>4008</v>
      </c>
      <c r="C56" s="228" t="s">
        <v>192</v>
      </c>
      <c r="D56" s="228" t="s">
        <v>429</v>
      </c>
      <c r="E56" s="227">
        <v>43067.372569444444</v>
      </c>
      <c r="F56" s="227">
        <v>43067.375185185185</v>
      </c>
      <c r="G56" s="226">
        <v>47</v>
      </c>
      <c r="H56" s="228" t="s">
        <v>495</v>
      </c>
      <c r="I56" s="227">
        <v>43067.400879629633</v>
      </c>
      <c r="J56" s="226">
        <v>0</v>
      </c>
      <c r="K56" s="238" t="str">
        <f t="shared" si="0"/>
        <v>4007/4008</v>
      </c>
      <c r="L56" s="246" t="str">
        <f>VLOOKUP(A56,'Trips&amp;Operators'!$C$1:$G$99911,5,FALSE)</f>
        <v>NICHOLAS PLOYSA</v>
      </c>
      <c r="M56" s="225">
        <f t="shared" si="1"/>
        <v>2.5694444448163267E-2</v>
      </c>
      <c r="N56" s="226">
        <f t="shared" si="33"/>
        <v>37.000000005355105</v>
      </c>
      <c r="O56" s="226"/>
      <c r="P56" s="226"/>
      <c r="Q56" s="229"/>
      <c r="R56" s="243"/>
      <c r="S56" s="250">
        <f t="shared" si="32"/>
        <v>1</v>
      </c>
      <c r="T56" s="243" t="str">
        <f t="shared" si="4"/>
        <v>NorthBound</v>
      </c>
      <c r="U56" s="247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49" t="str">
        <f t="shared" si="5"/>
        <v>https://d0f6bd738d7f1b3e5a7ca70fe4ff75f0.us-east-1.aws.found.io/app/kibana#/discover/Steve-Slow-Train-Analysis-(2080s-and-2083s)?_g=(refreshInterval:(display:Off,pause:!f,section:0,value:0),time:(from:'2017-11-28T07:56:30-0700',mode:absolute,to:'2017-11-28T10:37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56" s="248" t="str">
        <f>IF(AA56&lt;VLOOKUP(AG56,Variables!$AC$3:$AD$8,2,FALSE),"Y","N")</f>
        <v>N</v>
      </c>
      <c r="X56" s="248">
        <f t="shared" si="34"/>
        <v>1</v>
      </c>
      <c r="Y56" s="248">
        <f t="shared" si="30"/>
        <v>5.0200000000000002E-2</v>
      </c>
      <c r="Z56" s="248">
        <f t="shared" si="31"/>
        <v>23.3232</v>
      </c>
      <c r="AA56" s="248">
        <f t="shared" si="9"/>
        <v>23.273</v>
      </c>
      <c r="AB56" s="234" t="e">
        <f>VLOOKUP(A56,Enforcements!$C$7:$K$9,8,0)</f>
        <v>#N/A</v>
      </c>
      <c r="AC56" s="233" t="e">
        <f>VLOOKUP(A56,Enforcements!$C$7:$E$9,3,0)</f>
        <v>#N/A</v>
      </c>
      <c r="AD56" s="244">
        <f t="shared" si="10"/>
        <v>143</v>
      </c>
      <c r="AE56" s="236" t="str">
        <f t="shared" si="11"/>
        <v>aws s3 cp s3://rtdc.mdm.uploadarchive.raw/RTDC4008/ "%USERPROFILE%\AppData\Local\Temp\OnboardLogs"\RTDC4008\2017-11-28 --exclude "*" --recursive --include "*20171128*" &amp; "%USERPROFILE%\Documents\GitHub\mrs-test-scripts\Headless Mode &amp; Sideloading\WalkAndUnGZ.bat" "%USERPROFILE%\AppData\Local\Temp\OnboardLogs"\RTDC4008\2017-11-28 &amp; aws s3 cp s3://rtdc.mdm.uploadarchive.raw/RTDC4008/ "%USERPROFILE%\AppData\Local\Temp\OnboardLogs"\RTDC4008\2017-11-29 --exclude "*" --recursive --include "*20171129*" &amp; "%USERPROFILE%\Documents\GitHub\mrs-test-scripts\Headless Mode &amp; Sideloading\WalkAndUnGZ.bat" "%USERPROFILE%\AppData\Local\Temp\OnboardLogs"\RTDC4008\2017-11-29</v>
      </c>
      <c r="AF56" s="235" t="str">
        <f t="shared" si="12"/>
        <v>"C:\Program Files (x86)\AstroGrep\AstroGrep.exe" /e /r /s /spath="%USERPROFILE%\AppData\Local\Temp\OnboardLogs" /stypes="app*4008*20171128*" /stext=" 16:.+((SYSTEM_STATE.+slice.+state.+changed )|(ment ac)|(multiple cpu faults)|(system.+state.+changed )|(\[timeout)|(PRM\|1\|D)|(kpr)|(kdp)|(train st.+moving)|(\|lc)|(penalty))"</v>
      </c>
      <c r="AG56" s="245" t="str">
        <f t="shared" si="13"/>
        <v>EC</v>
      </c>
      <c r="AH56" s="237" t="str">
        <f t="shared" si="19"/>
        <v>"%USERPROFILE%\Documents\GitHub\eaglep3\Utilities\RefineRTDCRunTimes.py" --tripid 143-28 --locoid 4008 --swversion DE.1.0.9.0 --startMP 204:502 --initTime 2017-11-28T08:56:30 --startdatetime 2017-11-28T09:00:16 --delay 47 --endMP 204:233232 --enddatetime 2017-11-28T09:37:16 --enforcementcount 0 &gt;&gt;%USERPROFILE%\Documents\GitHub\eaglep3-reporting\EC\2017-11-28-refined-times.txt</v>
      </c>
      <c r="AI56" s="239" t="str">
        <f t="shared" si="20"/>
        <v>echo {"issue":{"subject":"","project_id":79,"tracker_id":40,"status_id":1,"priority_id":2,"assigned_to_id":338,"start_date":"2017-11-28","description":"","custom_fields":[{"id":1,"name":"Subdivision","value":"EC"},{"id":4,"name":"Milepost","value":"23.3232"},{"id":17,"name":"Train ID","value":"143-28"},{"id":16,"name":"Locomotive ID","value":"4008"},{"id":130,"name":"Impact","value":""},{"id":150,"name":"Time of Event (Mountain Time)","value":"09:37:16"},{"id":151,"name":"Denver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6" s="224"/>
      <c r="AK56" s="232"/>
      <c r="AL56" s="232"/>
      <c r="AM56" s="241" t="str">
        <f t="shared" si="21"/>
        <v>start /low /b %USERPROFILE%\Documents\GitHub\eaglep3\Utilities\DownloadLogsFromS3.py --loco 4008 --day 2017-11-28</v>
      </c>
      <c r="AN56" s="242" t="str">
        <f t="shared" si="2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16:37:16"},{"id":29,"name":"Sharepoint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231" t="str">
        <f t="shared" si="23"/>
        <v>https://d0f6bd738d7f1b3e5a7ca70fe4ff75f0.us-east-1.aws.found.io/app/kibana#/discover/Steve-Slow-Train-Analysis-(2080s-and-2083s)?_g=(refreshInterval:(display:Off,pause:!f,section:0,value:0),time:(from:'2017-11-28T07:56:30-0700',mode:absolute,to:'2017-11-28T10:37:16-0700'))&amp;_a=(columns:!('Message%20ID',Summary),filters:!(),index:'emp_*',interval:auto,query:(query_string:(analyze_wildcard:!t,query:'%22rtdc.l.rtdc.4008%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230" t="s">
        <v>744</v>
      </c>
      <c r="B57" s="226">
        <v>4007</v>
      </c>
      <c r="C57" s="228" t="s">
        <v>192</v>
      </c>
      <c r="D57" s="228" t="s">
        <v>583</v>
      </c>
      <c r="E57" s="227">
        <v>43067.408020833333</v>
      </c>
      <c r="F57" s="227">
        <v>43067.414803240739</v>
      </c>
      <c r="G57" s="226">
        <v>59</v>
      </c>
      <c r="H57" s="228" t="s">
        <v>469</v>
      </c>
      <c r="I57" s="227">
        <v>43067.440752314818</v>
      </c>
      <c r="J57" s="226">
        <v>0</v>
      </c>
      <c r="K57" s="238" t="str">
        <f t="shared" si="0"/>
        <v>4007/4008</v>
      </c>
      <c r="L57" s="246" t="str">
        <f>VLOOKUP(A57,'Trips&amp;Operators'!$C$1:$G$99911,5,FALSE)</f>
        <v>NICHOLAS PLOYSA</v>
      </c>
      <c r="M57" s="225">
        <f t="shared" si="1"/>
        <v>2.5949074079107959E-2</v>
      </c>
      <c r="N57" s="226">
        <f t="shared" si="33"/>
        <v>37.366666673915461</v>
      </c>
      <c r="O57" s="226"/>
      <c r="P57" s="226"/>
      <c r="Q57" s="229"/>
      <c r="R57" s="243"/>
      <c r="S57" s="250">
        <f t="shared" si="32"/>
        <v>1</v>
      </c>
      <c r="T57" s="243" t="str">
        <f t="shared" si="4"/>
        <v>Southbound</v>
      </c>
      <c r="U57" s="247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49" t="str">
        <f t="shared" si="5"/>
        <v>https://d0f6bd738d7f1b3e5a7ca70fe4ff75f0.us-east-1.aws.found.io/app/kibana#/discover/Steve-Slow-Train-Analysis-(2080s-and-2083s)?_g=(refreshInterval:(display:Off,pause:!f,section:0,value:0),time:(from:'2017-11-28T08:47:33-0700',mode:absolute,to:'2017-11-28T11:34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57" s="248" t="str">
        <f>IF(AA57&lt;VLOOKUP(AG57,Variables!$AC$3:$AD$8,2,FALSE),"Y","N")</f>
        <v>N</v>
      </c>
      <c r="X57" s="248">
        <f t="shared" si="34"/>
        <v>1</v>
      </c>
      <c r="Y57" s="248">
        <f t="shared" si="30"/>
        <v>23.294499999999999</v>
      </c>
      <c r="Z57" s="248">
        <f t="shared" si="31"/>
        <v>2.01E-2</v>
      </c>
      <c r="AA57" s="248">
        <f t="shared" si="9"/>
        <v>23.2744</v>
      </c>
      <c r="AB57" s="234" t="e">
        <f>VLOOKUP(A57,Enforcements!$C$7:$K$9,8,0)</f>
        <v>#N/A</v>
      </c>
      <c r="AC57" s="233" t="e">
        <f>VLOOKUP(A57,Enforcements!$C$7:$E$9,3,0)</f>
        <v>#N/A</v>
      </c>
      <c r="AD57" s="244">
        <f t="shared" si="10"/>
        <v>144</v>
      </c>
      <c r="AE57" s="236" t="str">
        <f t="shared" si="11"/>
        <v>aws s3 cp s3://rtdc.mdm.uploadarchive.raw/RTDC4007/ "%USERPROFILE%\AppData\Local\Temp\OnboardLogs"\RTDC4007\2017-11-28 --exclude "*" --recursive --include "*20171128*" &amp; "%USERPROFILE%\Documents\GitHub\mrs-test-scripts\Headless Mode &amp; Sideloading\WalkAndUnGZ.bat" "%USERPROFILE%\AppData\Local\Temp\OnboardLogs"\RTDC4007\2017-11-28 &amp; aws s3 cp s3://rtdc.mdm.uploadarchive.raw/RTDC4007/ "%USERPROFILE%\AppData\Local\Temp\OnboardLogs"\RTDC4007\2017-11-29 --exclude "*" --recursive --include "*20171129*" &amp; "%USERPROFILE%\Documents\GitHub\mrs-test-scripts\Headless Mode &amp; Sideloading\WalkAndUnGZ.bat" "%USERPROFILE%\AppData\Local\Temp\OnboardLogs"\RTDC4007\2017-11-29</v>
      </c>
      <c r="AF57" s="235" t="str">
        <f t="shared" si="12"/>
        <v>"C:\Program Files (x86)\AstroGrep\AstroGrep.exe" /e /r /s /spath="%USERPROFILE%\AppData\Local\Temp\OnboardLogs" /stypes="app*4007*20171128*" /stext=" 17:.+((SYSTEM_STATE.+slice.+state.+changed )|(ment ac)|(multiple cpu faults)|(system.+state.+changed )|(\[timeout)|(PRM\|1\|D)|(kpr)|(kdp)|(train st.+moving)|(\|lc)|(penalty))"</v>
      </c>
      <c r="AG57" s="245" t="str">
        <f t="shared" si="13"/>
        <v>EC</v>
      </c>
      <c r="AH57" s="237" t="str">
        <f t="shared" si="19"/>
        <v>"%USERPROFILE%\Documents\GitHub\eaglep3\Utilities\RefineRTDCRunTimes.py" --tripid 144-28 --locoid 4007 --swversion DE.1.0.9.0 --startMP 204:232945 --initTime 2017-11-28T09:47:33 --startdatetime 2017-11-28T09:57:19 --delay 59 --endMP 204:201 --enddatetime 2017-11-28T10:34:41 --enforcementcount 0 &gt;&gt;%USERPROFILE%\Documents\GitHub\eaglep3-reporting\EC\2017-11-28-refined-times.txt</v>
      </c>
      <c r="AI57" s="239" t="str">
        <f t="shared" si="20"/>
        <v>echo {"issue":{"subject":"","project_id":79,"tracker_id":40,"status_id":1,"priority_id":2,"assigned_to_id":338,"start_date":"2017-11-28","description":"","custom_fields":[{"id":1,"name":"Subdivision","value":"EC"},{"id":4,"name":"Milepost","value":"0.0201"},{"id":17,"name":"Train ID","value":"144-28"},{"id":16,"name":"Locomotive ID","value":"4007"},{"id":130,"name":"Impact","value":""},{"id":150,"name":"Time of Event (Mountain Time)","value":"10:34:41"},{"id":151,"name":"Denver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7" s="224"/>
      <c r="AK57" s="232"/>
      <c r="AL57" s="232"/>
      <c r="AM57" s="241" t="str">
        <f t="shared" si="21"/>
        <v>start /low /b %USERPROFILE%\Documents\GitHub\eaglep3\Utilities\DownloadLogsFromS3.py --loco 4007 --day 2017-11-28</v>
      </c>
      <c r="AN57" s="242" t="str">
        <f t="shared" si="2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17:34:41"},{"id":29,"name":"Sharepoint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231" t="str">
        <f t="shared" si="23"/>
        <v>https://d0f6bd738d7f1b3e5a7ca70fe4ff75f0.us-east-1.aws.found.io/app/kibana#/discover/Steve-Slow-Train-Analysis-(2080s-and-2083s)?_g=(refreshInterval:(display:Off,pause:!f,section:0,value:0),time:(from:'2017-11-28T08:47:33-0700',mode:absolute,to:'2017-11-28T11:34:41-0700'))&amp;_a=(columns:!('Message%20ID',Summary),filters:!(),index:'emp_*',interval:auto,query:(query_string:(analyze_wildcard:!t,query:'%22rtdc.l.rtdc.4007%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230" t="s">
        <v>739</v>
      </c>
      <c r="B58" s="226">
        <v>4050</v>
      </c>
      <c r="C58" s="228" t="s">
        <v>192</v>
      </c>
      <c r="D58" s="228" t="s">
        <v>471</v>
      </c>
      <c r="E58" s="227">
        <v>43067.381736111114</v>
      </c>
      <c r="F58" s="227">
        <v>43067.38585648148</v>
      </c>
      <c r="G58" s="226">
        <v>78</v>
      </c>
      <c r="H58" s="228" t="s">
        <v>922</v>
      </c>
      <c r="I58" s="227">
        <v>43067.409525462965</v>
      </c>
      <c r="J58" s="226">
        <v>0</v>
      </c>
      <c r="K58" s="238" t="str">
        <f t="shared" si="0"/>
        <v>4049/4050</v>
      </c>
      <c r="L58" s="246" t="str">
        <f>VLOOKUP(A58,'Trips&amp;Operators'!$C$1:$G$99911,5,FALSE)</f>
        <v>MACDONALD THOMAS</v>
      </c>
      <c r="M58" s="225">
        <f t="shared" si="1"/>
        <v>2.3668981484661344E-2</v>
      </c>
      <c r="N58" s="226">
        <f t="shared" si="33"/>
        <v>34.083333337912336</v>
      </c>
      <c r="O58" s="226"/>
      <c r="P58" s="226"/>
      <c r="Q58" s="229"/>
      <c r="R58" s="243"/>
      <c r="S58" s="250">
        <f t="shared" si="32"/>
        <v>1</v>
      </c>
      <c r="T58" s="243" t="str">
        <f t="shared" si="4"/>
        <v>NorthBound</v>
      </c>
      <c r="U58" s="247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49" t="str">
        <f t="shared" si="5"/>
        <v>https://d0f6bd738d7f1b3e5a7ca70fe4ff75f0.us-east-1.aws.found.io/app/kibana#/discover/Steve-Slow-Train-Analysis-(2080s-and-2083s)?_g=(refreshInterval:(display:Off,pause:!f,section:0,value:0),time:(from:'2017-11-28T08:09:42-0700',mode:absolute,to:'2017-11-28T10:49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58" s="248" t="str">
        <f>IF(AA58&lt;VLOOKUP(AG58,Variables!$AC$3:$AD$8,2,FALSE),"Y","N")</f>
        <v>N</v>
      </c>
      <c r="X58" s="248">
        <f t="shared" si="34"/>
        <v>1</v>
      </c>
      <c r="Y58" s="248">
        <f t="shared" si="30"/>
        <v>5.3999999999999999E-2</v>
      </c>
      <c r="Z58" s="248">
        <f t="shared" si="31"/>
        <v>23.3216</v>
      </c>
      <c r="AA58" s="248">
        <f t="shared" si="9"/>
        <v>23.267600000000002</v>
      </c>
      <c r="AB58" s="234" t="e">
        <f>VLOOKUP(A58,Enforcements!$C$7:$K$9,8,0)</f>
        <v>#N/A</v>
      </c>
      <c r="AC58" s="233" t="e">
        <f>VLOOKUP(A58,Enforcements!$C$7:$E$9,3,0)</f>
        <v>#N/A</v>
      </c>
      <c r="AD58" s="244">
        <f t="shared" si="10"/>
        <v>145</v>
      </c>
      <c r="AE58" s="236" t="str">
        <f t="shared" si="11"/>
        <v>aws s3 cp s3://rtdc.mdm.uploadarchive.raw/RTDC4050/ "%USERPROFILE%\AppData\Local\Temp\OnboardLogs"\RTDC4050\2017-11-28 --exclude "*" --recursive --include "*20171128*" &amp; "%USERPROFILE%\Documents\GitHub\mrs-test-scripts\Headless Mode &amp; Sideloading\WalkAndUnGZ.bat" "%USERPROFILE%\AppData\Local\Temp\OnboardLogs"\RTDC4050\2017-11-28 &amp; aws s3 cp s3://rtdc.mdm.uploadarchive.raw/RTDC4050/ "%USERPROFILE%\AppData\Local\Temp\OnboardLogs"\RTDC4050\2017-11-29 --exclude "*" --recursive --include "*20171129*" &amp; "%USERPROFILE%\Documents\GitHub\mrs-test-scripts\Headless Mode &amp; Sideloading\WalkAndUnGZ.bat" "%USERPROFILE%\AppData\Local\Temp\OnboardLogs"\RTDC4050\2017-11-29</v>
      </c>
      <c r="AF58" s="235" t="str">
        <f t="shared" si="12"/>
        <v>"C:\Program Files (x86)\AstroGrep\AstroGrep.exe" /e /r /s /spath="%USERPROFILE%\AppData\Local\Temp\OnboardLogs" /stypes="app*4050*20171128*" /stext=" 16:.+((SYSTEM_STATE.+slice.+state.+changed )|(ment ac)|(multiple cpu faults)|(system.+state.+changed )|(\[timeout)|(PRM\|1\|D)|(kpr)|(kdp)|(train st.+moving)|(\|lc)|(penalty))"</v>
      </c>
      <c r="AG58" s="245" t="str">
        <f t="shared" si="13"/>
        <v>EC</v>
      </c>
      <c r="AH58" s="237" t="str">
        <f t="shared" si="19"/>
        <v>"%USERPROFILE%\Documents\GitHub\eaglep3\Utilities\RefineRTDCRunTimes.py" --tripid 145-28 --locoid 4050 --swversion DE.1.0.9.0 --startMP 204:540 --initTime 2017-11-28T09:09:42 --startdatetime 2017-11-28T09:15:38 --delay 78 --endMP 204:233216 --enddatetime 2017-11-28T09:49:43 --enforcementcount 0 &gt;&gt;%USERPROFILE%\Documents\GitHub\eaglep3-reporting\EC\2017-11-28-refined-times.txt</v>
      </c>
      <c r="AI58" s="239" t="str">
        <f t="shared" si="20"/>
        <v>echo {"issue":{"subject":"","project_id":79,"tracker_id":40,"status_id":1,"priority_id":2,"assigned_to_id":338,"start_date":"2017-11-28","description":"","custom_fields":[{"id":1,"name":"Subdivision","value":"EC"},{"id":4,"name":"Milepost","value":"23.3216"},{"id":17,"name":"Train ID","value":"145-28"},{"id":16,"name":"Locomotive ID","value":"4050"},{"id":130,"name":"Impact","value":""},{"id":150,"name":"Time of Event (Mountain Time)","value":"09:49:43"},{"id":151,"name":"Denver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8" s="224"/>
      <c r="AK58" s="232"/>
      <c r="AL58" s="232"/>
      <c r="AM58" s="241" t="str">
        <f t="shared" si="21"/>
        <v>start /low /b %USERPROFILE%\Documents\GitHub\eaglep3\Utilities\DownloadLogsFromS3.py --loco 4050 --day 2017-11-28</v>
      </c>
      <c r="AN58" s="242" t="str">
        <f t="shared" si="2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16:49:43"},{"id":29,"name":"Sharepoint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231" t="str">
        <f t="shared" si="23"/>
        <v>https://d0f6bd738d7f1b3e5a7ca70fe4ff75f0.us-east-1.aws.found.io/app/kibana#/discover/Steve-Slow-Train-Analysis-(2080s-and-2083s)?_g=(refreshInterval:(display:Off,pause:!f,section:0,value:0),time:(from:'2017-11-28T08:09:42-0700',mode:absolute,to:'2017-11-28T10:49:43-0700'))&amp;_a=(columns:!('Message%20ID',Summary),filters:!(),index:'emp_*',interval:auto,query:(query_string:(analyze_wildcard:!t,query:'%22rtdc.l.rtdc.4050%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230" t="s">
        <v>748</v>
      </c>
      <c r="B59" s="226">
        <v>4049</v>
      </c>
      <c r="C59" s="228" t="s">
        <v>192</v>
      </c>
      <c r="D59" s="228" t="s">
        <v>923</v>
      </c>
      <c r="E59" s="227">
        <v>43067.425034722219</v>
      </c>
      <c r="F59" s="227">
        <v>43067.426180555558</v>
      </c>
      <c r="G59" s="226">
        <v>50</v>
      </c>
      <c r="H59" s="228" t="s">
        <v>436</v>
      </c>
      <c r="I59" s="227">
        <v>43067.45275462963</v>
      </c>
      <c r="J59" s="226">
        <v>0</v>
      </c>
      <c r="K59" s="238" t="str">
        <f t="shared" si="0"/>
        <v>4049/4050</v>
      </c>
      <c r="L59" s="246" t="str">
        <f>VLOOKUP(A59,'Trips&amp;Operators'!$C$1:$G$99911,5,FALSE)</f>
        <v>MACDONALD THOMAS</v>
      </c>
      <c r="M59" s="225">
        <f t="shared" si="1"/>
        <v>2.6574074072414078E-2</v>
      </c>
      <c r="N59" s="226">
        <f t="shared" si="33"/>
        <v>38.266666664276272</v>
      </c>
      <c r="O59" s="226"/>
      <c r="P59" s="226"/>
      <c r="Q59" s="229"/>
      <c r="R59" s="243"/>
      <c r="S59" s="250">
        <f t="shared" si="32"/>
        <v>1</v>
      </c>
      <c r="T59" s="243" t="str">
        <f t="shared" si="4"/>
        <v>Southbound</v>
      </c>
      <c r="U59" s="247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49" t="str">
        <f t="shared" si="5"/>
        <v>https://d0f6bd738d7f1b3e5a7ca70fe4ff75f0.us-east-1.aws.found.io/app/kibana#/discover/Steve-Slow-Train-Analysis-(2080s-and-2083s)?_g=(refreshInterval:(display:Off,pause:!f,section:0,value:0),time:(from:'2017-11-28T09:12:03-0700',mode:absolute,to:'2017-11-28T11:51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59" s="248" t="str">
        <f>IF(AA59&lt;VLOOKUP(AG59,Variables!$AC$3:$AD$8,2,FALSE),"Y","N")</f>
        <v>N</v>
      </c>
      <c r="X59" s="248">
        <f t="shared" si="34"/>
        <v>1</v>
      </c>
      <c r="Y59" s="248">
        <f t="shared" si="30"/>
        <v>23.290900000000001</v>
      </c>
      <c r="Z59" s="248">
        <f t="shared" si="31"/>
        <v>2.3400000000000001E-2</v>
      </c>
      <c r="AA59" s="248">
        <f t="shared" si="9"/>
        <v>23.267500000000002</v>
      </c>
      <c r="AB59" s="234" t="e">
        <f>VLOOKUP(A59,Enforcements!$C$7:$K$9,8,0)</f>
        <v>#N/A</v>
      </c>
      <c r="AC59" s="233" t="e">
        <f>VLOOKUP(A59,Enforcements!$C$7:$E$9,3,0)</f>
        <v>#N/A</v>
      </c>
      <c r="AD59" s="244">
        <f t="shared" si="10"/>
        <v>146</v>
      </c>
      <c r="AE59" s="236" t="str">
        <f t="shared" si="11"/>
        <v>aws s3 cp s3://rtdc.mdm.uploadarchive.raw/RTDC4049/ "%USERPROFILE%\AppData\Local\Temp\OnboardLogs"\RTDC4049\2017-11-28 --exclude "*" --recursive --include "*20171128*" &amp; "%USERPROFILE%\Documents\GitHub\mrs-test-scripts\Headless Mode &amp; Sideloading\WalkAndUnGZ.bat" "%USERPROFILE%\AppData\Local\Temp\OnboardLogs"\RTDC4049\2017-11-28 &amp; aws s3 cp s3://rtdc.mdm.uploadarchive.raw/RTDC4049/ "%USERPROFILE%\AppData\Local\Temp\OnboardLogs"\RTDC4049\2017-11-29 --exclude "*" --recursive --include "*20171129*" &amp; "%USERPROFILE%\Documents\GitHub\mrs-test-scripts\Headless Mode &amp; Sideloading\WalkAndUnGZ.bat" "%USERPROFILE%\AppData\Local\Temp\OnboardLogs"\RTDC4049\2017-11-29</v>
      </c>
      <c r="AF59" s="235" t="str">
        <f t="shared" si="12"/>
        <v>"C:\Program Files (x86)\AstroGrep\AstroGrep.exe" /e /r /s /spath="%USERPROFILE%\AppData\Local\Temp\OnboardLogs" /stypes="app*4049*20171128*" /stext=" 17:.+((SYSTEM_STATE.+slice.+state.+changed )|(ment ac)|(multiple cpu faults)|(system.+state.+changed )|(\[timeout)|(PRM\|1\|D)|(kpr)|(kdp)|(train st.+moving)|(\|lc)|(penalty))"</v>
      </c>
      <c r="AG59" s="245" t="str">
        <f t="shared" si="13"/>
        <v>EC</v>
      </c>
      <c r="AH59" s="237" t="str">
        <f t="shared" si="19"/>
        <v>"%USERPROFILE%\Documents\GitHub\eaglep3\Utilities\RefineRTDCRunTimes.py" --tripid 146-28 --locoid 4049 --swversion DE.1.0.9.0 --startMP 204:232909 --initTime 2017-11-28T10:12:03 --startdatetime 2017-11-28T10:13:42 --delay 50 --endMP 204:234 --enddatetime 2017-11-28T10:51:58 --enforcementcount 0 &gt;&gt;%USERPROFILE%\Documents\GitHub\eaglep3-reporting\EC\2017-11-28-refined-times.txt</v>
      </c>
      <c r="AI59" s="239" t="str">
        <f t="shared" si="20"/>
        <v>echo {"issue":{"subject":"","project_id":79,"tracker_id":40,"status_id":1,"priority_id":2,"assigned_to_id":338,"start_date":"2017-11-28","description":"","custom_fields":[{"id":1,"name":"Subdivision","value":"EC"},{"id":4,"name":"Milepost","value":"0.0234"},{"id":17,"name":"Train ID","value":"146-28"},{"id":16,"name":"Locomotive ID","value":"4049"},{"id":130,"name":"Impact","value":""},{"id":150,"name":"Time of Event (Mountain Time)","value":"10:51:58"},{"id":151,"name":"Denver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9" s="224"/>
      <c r="AK59" s="232"/>
      <c r="AL59" s="232"/>
      <c r="AM59" s="241" t="str">
        <f t="shared" si="21"/>
        <v>start /low /b %USERPROFILE%\Documents\GitHub\eaglep3\Utilities\DownloadLogsFromS3.py --loco 4049 --day 2017-11-28</v>
      </c>
      <c r="AN59" s="242" t="str">
        <f t="shared" si="2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17:51:58"},{"id":29,"name":"Sharepoint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231" t="str">
        <f t="shared" si="23"/>
        <v>https://d0f6bd738d7f1b3e5a7ca70fe4ff75f0.us-east-1.aws.found.io/app/kibana#/discover/Steve-Slow-Train-Analysis-(2080s-and-2083s)?_g=(refreshInterval:(display:Off,pause:!f,section:0,value:0),time:(from:'2017-11-28T09:12:03-0700',mode:absolute,to:'2017-11-28T11:51:58-0700'))&amp;_a=(columns:!('Message%20ID',Summary),filters:!(),index:'emp_*',interval:auto,query:(query_string:(analyze_wildcard:!t,query:'%22rtdc.l.rtdc.4049%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230" t="s">
        <v>741</v>
      </c>
      <c r="B60" s="226">
        <v>4060</v>
      </c>
      <c r="C60" s="228" t="s">
        <v>192</v>
      </c>
      <c r="D60" s="228" t="s">
        <v>423</v>
      </c>
      <c r="E60" s="227">
        <v>43067.393229166664</v>
      </c>
      <c r="F60" s="227">
        <v>43067.39607638889</v>
      </c>
      <c r="G60" s="226">
        <v>73</v>
      </c>
      <c r="H60" s="228" t="s">
        <v>924</v>
      </c>
      <c r="I60" s="227">
        <v>43067.421018518522</v>
      </c>
      <c r="J60" s="226">
        <v>0</v>
      </c>
      <c r="K60" s="238" t="str">
        <f t="shared" si="0"/>
        <v>4059/4060</v>
      </c>
      <c r="L60" s="246" t="str">
        <f>VLOOKUP(A60,'Trips&amp;Operators'!$C$1:$G$99911,5,FALSE)</f>
        <v>THOMPSON LESTER</v>
      </c>
      <c r="M60" s="225">
        <f t="shared" si="1"/>
        <v>2.4942129632108845E-2</v>
      </c>
      <c r="N60" s="226">
        <f t="shared" si="33"/>
        <v>35.916666670236737</v>
      </c>
      <c r="O60" s="226"/>
      <c r="P60" s="226"/>
      <c r="Q60" s="229"/>
      <c r="R60" s="243"/>
      <c r="S60" s="250">
        <f t="shared" si="32"/>
        <v>1</v>
      </c>
      <c r="T60" s="243" t="str">
        <f t="shared" si="4"/>
        <v>NorthBound</v>
      </c>
      <c r="U60" s="247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49" t="str">
        <f t="shared" si="5"/>
        <v>https://d0f6bd738d7f1b3e5a7ca70fe4ff75f0.us-east-1.aws.found.io/app/kibana#/discover/Steve-Slow-Train-Analysis-(2080s-and-2083s)?_g=(refreshInterval:(display:Off,pause:!f,section:0,value:0),time:(from:'2017-11-28T08:26:15-0700',mode:absolute,to:'2017-11-28T11:06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60" s="248" t="str">
        <f>IF(AA60&lt;VLOOKUP(AG60,Variables!$AC$3:$AD$8,2,FALSE),"Y","N")</f>
        <v>N</v>
      </c>
      <c r="X60" s="248">
        <f t="shared" si="34"/>
        <v>1</v>
      </c>
      <c r="Y60" s="248">
        <f t="shared" si="30"/>
        <v>5.2400000000000002E-2</v>
      </c>
      <c r="Z60" s="248">
        <f t="shared" si="31"/>
        <v>23.327000000000002</v>
      </c>
      <c r="AA60" s="248">
        <f t="shared" si="9"/>
        <v>23.274600000000003</v>
      </c>
      <c r="AB60" s="234" t="e">
        <f>VLOOKUP(A60,Enforcements!$C$7:$K$9,8,0)</f>
        <v>#N/A</v>
      </c>
      <c r="AC60" s="233" t="e">
        <f>VLOOKUP(A60,Enforcements!$C$7:$E$9,3,0)</f>
        <v>#N/A</v>
      </c>
      <c r="AD60" s="244">
        <f t="shared" si="10"/>
        <v>147</v>
      </c>
      <c r="AE60" s="236" t="str">
        <f t="shared" si="11"/>
        <v>aws s3 cp s3://rtdc.mdm.uploadarchive.raw/RTDC4060/ "%USERPROFILE%\AppData\Local\Temp\OnboardLogs"\RTDC4060\2017-11-28 --exclude "*" --recursive --include "*20171128*" &amp; "%USERPROFILE%\Documents\GitHub\mrs-test-scripts\Headless Mode &amp; Sideloading\WalkAndUnGZ.bat" "%USERPROFILE%\AppData\Local\Temp\OnboardLogs"\RTDC4060\2017-11-28 &amp; aws s3 cp s3://rtdc.mdm.uploadarchive.raw/RTDC4060/ "%USERPROFILE%\AppData\Local\Temp\OnboardLogs"\RTDC4060\2017-11-29 --exclude "*" --recursive --include "*20171129*" &amp; "%USERPROFILE%\Documents\GitHub\mrs-test-scripts\Headless Mode &amp; Sideloading\WalkAndUnGZ.bat" "%USERPROFILE%\AppData\Local\Temp\OnboardLogs"\RTDC4060\2017-11-29</v>
      </c>
      <c r="AF60" s="235" t="str">
        <f t="shared" si="12"/>
        <v>"C:\Program Files (x86)\AstroGrep\AstroGrep.exe" /e /r /s /spath="%USERPROFILE%\AppData\Local\Temp\OnboardLogs" /stypes="app*4060*20171128*" /stext=" 17:.+((SYSTEM_STATE.+slice.+state.+changed )|(ment ac)|(multiple cpu faults)|(system.+state.+changed )|(\[timeout)|(PRM\|1\|D)|(kpr)|(kdp)|(train st.+moving)|(\|lc)|(penalty))"</v>
      </c>
      <c r="AG60" s="245" t="str">
        <f t="shared" si="13"/>
        <v>EC</v>
      </c>
      <c r="AH60" s="237" t="str">
        <f t="shared" si="19"/>
        <v>"%USERPROFILE%\Documents\GitHub\eaglep3\Utilities\RefineRTDCRunTimes.py" --tripid 147-28 --locoid 4060 --swversion DE.1.0.9.0 --startMP 204:524 --initTime 2017-11-28T09:26:15 --startdatetime 2017-11-28T09:30:21 --delay 73 --endMP 204:233270 --enddatetime 2017-11-28T10:06:16 --enforcementcount 0 &gt;&gt;%USERPROFILE%\Documents\GitHub\eaglep3-reporting\EC\2017-11-28-refined-times.txt</v>
      </c>
      <c r="AI60" s="239" t="str">
        <f t="shared" si="20"/>
        <v>echo {"issue":{"subject":"","project_id":79,"tracker_id":40,"status_id":1,"priority_id":2,"assigned_to_id":338,"start_date":"2017-11-28","description":"","custom_fields":[{"id":1,"name":"Subdivision","value":"EC"},{"id":4,"name":"Milepost","value":"23.327"},{"id":17,"name":"Train ID","value":"147-28"},{"id":16,"name":"Locomotive ID","value":"4060"},{"id":130,"name":"Impact","value":""},{"id":150,"name":"Time of Event (Mountain Time)","value":"10:06:16"},{"id":151,"name":"Denver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0" s="224"/>
      <c r="AK60" s="232"/>
      <c r="AL60" s="232"/>
      <c r="AM60" s="241" t="str">
        <f t="shared" si="21"/>
        <v>start /low /b %USERPROFILE%\Documents\GitHub\eaglep3\Utilities\DownloadLogsFromS3.py --loco 4060 --day 2017-11-28</v>
      </c>
      <c r="AN60" s="242" t="str">
        <f t="shared" si="2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17:06:16"},{"id":29,"name":"Sharepoint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231" t="str">
        <f t="shared" si="23"/>
        <v>https://d0f6bd738d7f1b3e5a7ca70fe4ff75f0.us-east-1.aws.found.io/app/kibana#/discover/Steve-Slow-Train-Analysis-(2080s-and-2083s)?_g=(refreshInterval:(display:Off,pause:!f,section:0,value:0),time:(from:'2017-11-28T08:26:15-0700',mode:absolute,to:'2017-11-28T11:06:16-0700'))&amp;_a=(columns:!('Message%20ID',Summary),filters:!(),index:'emp_*',interval:auto,query:(query_string:(analyze_wildcard:!t,query:'%22rtdc.l.rtdc.4060%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230" t="s">
        <v>648</v>
      </c>
      <c r="B61" s="226">
        <v>4059</v>
      </c>
      <c r="C61" s="228" t="s">
        <v>192</v>
      </c>
      <c r="D61" s="228" t="s">
        <v>899</v>
      </c>
      <c r="E61" s="227">
        <v>43067.433981481481</v>
      </c>
      <c r="F61" s="227">
        <v>43067.435706018521</v>
      </c>
      <c r="G61" s="226">
        <v>72</v>
      </c>
      <c r="H61" s="228" t="s">
        <v>925</v>
      </c>
      <c r="I61" s="227">
        <v>43067.462731481479</v>
      </c>
      <c r="J61" s="226">
        <v>0</v>
      </c>
      <c r="K61" s="238" t="str">
        <f t="shared" si="0"/>
        <v>4059/4060</v>
      </c>
      <c r="L61" s="246" t="str">
        <f>VLOOKUP(A61,'Trips&amp;Operators'!$C$1:$G$99911,5,FALSE)</f>
        <v>THOMPSON LESTER</v>
      </c>
      <c r="M61" s="225">
        <f t="shared" si="1"/>
        <v>2.7025462957681157E-2</v>
      </c>
      <c r="N61" s="226">
        <f t="shared" si="33"/>
        <v>38.916666659060866</v>
      </c>
      <c r="O61" s="226"/>
      <c r="P61" s="226"/>
      <c r="Q61" s="229"/>
      <c r="R61" s="243"/>
      <c r="S61" s="250">
        <f t="shared" si="32"/>
        <v>1</v>
      </c>
      <c r="T61" s="243" t="str">
        <f t="shared" si="4"/>
        <v>Southbound</v>
      </c>
      <c r="U61" s="247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49" t="str">
        <f t="shared" si="5"/>
        <v>https://d0f6bd738d7f1b3e5a7ca70fe4ff75f0.us-east-1.aws.found.io/app/kibana#/discover/Steve-Slow-Train-Analysis-(2080s-and-2083s)?_g=(refreshInterval:(display:Off,pause:!f,section:0,value:0),time:(from:'2017-11-28T09:24:56-0700',mode:absolute,to:'2017-11-28T12:06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61" s="248" t="str">
        <f>IF(AA61&lt;VLOOKUP(AG61,Variables!$AC$3:$AD$8,2,FALSE),"Y","N")</f>
        <v>N</v>
      </c>
      <c r="X61" s="248">
        <f t="shared" si="34"/>
        <v>1</v>
      </c>
      <c r="Y61" s="248">
        <f t="shared" si="30"/>
        <v>23.296199999999999</v>
      </c>
      <c r="Z61" s="248">
        <v>2.3400000000000001E-2</v>
      </c>
      <c r="AA61" s="248">
        <f t="shared" si="9"/>
        <v>23.2728</v>
      </c>
      <c r="AB61" s="234" t="e">
        <f>VLOOKUP(A61,Enforcements!$C$7:$K$9,8,0)</f>
        <v>#N/A</v>
      </c>
      <c r="AC61" s="233" t="e">
        <f>VLOOKUP(A61,Enforcements!$C$7:$E$9,3,0)</f>
        <v>#N/A</v>
      </c>
      <c r="AD61" s="244">
        <f t="shared" si="10"/>
        <v>148</v>
      </c>
      <c r="AE61" s="236" t="str">
        <f t="shared" si="11"/>
        <v>aws s3 cp s3://rtdc.mdm.uploadarchive.raw/RTDC4059/ "%USERPROFILE%\AppData\Local\Temp\OnboardLogs"\RTDC4059\2017-11-28 --exclude "*" --recursive --include "*20171128*" &amp; "%USERPROFILE%\Documents\GitHub\mrs-test-scripts\Headless Mode &amp; Sideloading\WalkAndUnGZ.bat" "%USERPROFILE%\AppData\Local\Temp\OnboardLogs"\RTDC4059\2017-11-28 &amp; aws s3 cp s3://rtdc.mdm.uploadarchive.raw/RTDC4059/ "%USERPROFILE%\AppData\Local\Temp\OnboardLogs"\RTDC4059\2017-11-29 --exclude "*" --recursive --include "*20171129*" &amp; "%USERPROFILE%\Documents\GitHub\mrs-test-scripts\Headless Mode &amp; Sideloading\WalkAndUnGZ.bat" "%USERPROFILE%\AppData\Local\Temp\OnboardLogs"\RTDC4059\2017-11-29</v>
      </c>
      <c r="AF61" s="235" t="str">
        <f t="shared" si="12"/>
        <v>"C:\Program Files (x86)\AstroGrep\AstroGrep.exe" /e /r /s /spath="%USERPROFILE%\AppData\Local\Temp\OnboardLogs" /stypes="app*4059*20171128*" /stext=" 18:.+((SYSTEM_STATE.+slice.+state.+changed )|(ment ac)|(multiple cpu faults)|(system.+state.+changed )|(\[timeout)|(PRM\|1\|D)|(kpr)|(kdp)|(train st.+moving)|(\|lc)|(penalty))"</v>
      </c>
      <c r="AG61" s="245" t="str">
        <f t="shared" si="13"/>
        <v>EC</v>
      </c>
      <c r="AH61" s="237" t="str">
        <f t="shared" si="19"/>
        <v>"%USERPROFILE%\Documents\GitHub\eaglep3\Utilities\RefineRTDCRunTimes.py" --tripid 148-28 --locoid 4059 --swversion DE.1.0.9.0 --startMP 204:232962 --initTime 2017-11-28T10:24:56 --startdatetime 2017-11-28T10:27:25 --delay 72 --endMP 204:181236 --enddatetime 2017-11-28T11:06:20 --enforcementcount 0 &gt;&gt;%USERPROFILE%\Documents\GitHub\eaglep3-reporting\EC\2017-11-28-refined-times.txt</v>
      </c>
      <c r="AI61" s="239" t="str">
        <f t="shared" si="20"/>
        <v>echo {"issue":{"subject":"","project_id":79,"tracker_id":40,"status_id":1,"priority_id":2,"assigned_to_id":338,"start_date":"2017-11-28","description":"","custom_fields":[{"id":1,"name":"Subdivision","value":"EC"},{"id":4,"name":"Milepost","value":"0.0234"},{"id":17,"name":"Train ID","value":"148-28"},{"id":16,"name":"Locomotive ID","value":"4059"},{"id":130,"name":"Impact","value":""},{"id":150,"name":"Time of Event (Mountain Time)","value":"11:06:20"},{"id":151,"name":"Denver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1" s="224"/>
      <c r="AK61" s="232"/>
      <c r="AL61" s="232"/>
      <c r="AM61" s="241" t="str">
        <f t="shared" si="21"/>
        <v>start /low /b %USERPROFILE%\Documents\GitHub\eaglep3\Utilities\DownloadLogsFromS3.py --loco 4059 --day 2017-11-28</v>
      </c>
      <c r="AN61" s="242" t="str">
        <f t="shared" si="2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18:06:20"},{"id":29,"name":"Sharepoint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231" t="str">
        <f t="shared" si="23"/>
        <v>https://d0f6bd738d7f1b3e5a7ca70fe4ff75f0.us-east-1.aws.found.io/app/kibana#/discover/Steve-Slow-Train-Analysis-(2080s-and-2083s)?_g=(refreshInterval:(display:Off,pause:!f,section:0,value:0),time:(from:'2017-11-28T09:24:56-0700',mode:absolute,to:'2017-11-28T12:06:20-0700'))&amp;_a=(columns:!('Message%20ID',Summary),filters:!(),index:'emp_*',interval:auto,query:(query_string:(analyze_wildcard:!t,query:'%22rtdc.l.rtdc.4059%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230" t="s">
        <v>743</v>
      </c>
      <c r="B62" s="226">
        <v>4056</v>
      </c>
      <c r="C62" s="228" t="s">
        <v>192</v>
      </c>
      <c r="D62" s="228" t="s">
        <v>580</v>
      </c>
      <c r="E62" s="227">
        <v>43067.403078703705</v>
      </c>
      <c r="F62" s="227">
        <v>43067.4065162037</v>
      </c>
      <c r="G62" s="226">
        <v>64</v>
      </c>
      <c r="H62" s="228" t="s">
        <v>496</v>
      </c>
      <c r="I62" s="227">
        <v>43067.43074074074</v>
      </c>
      <c r="J62" s="226">
        <v>0</v>
      </c>
      <c r="K62" s="238" t="str">
        <f t="shared" si="0"/>
        <v>4055/4056</v>
      </c>
      <c r="L62" s="246" t="str">
        <f>VLOOKUP(A62,'Trips&amp;Operators'!$C$1:$G$99911,5,FALSE)</f>
        <v>BEAM ROSS</v>
      </c>
      <c r="M62" s="225">
        <f t="shared" si="1"/>
        <v>2.4224537039117422E-2</v>
      </c>
      <c r="N62" s="226">
        <f t="shared" si="33"/>
        <v>34.883333336329088</v>
      </c>
      <c r="O62" s="226"/>
      <c r="P62" s="226"/>
      <c r="Q62" s="229"/>
      <c r="R62" s="243"/>
      <c r="S62" s="250">
        <f t="shared" si="32"/>
        <v>1</v>
      </c>
      <c r="T62" s="243" t="str">
        <f t="shared" si="4"/>
        <v>NorthBound</v>
      </c>
      <c r="U62" s="247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49" t="str">
        <f t="shared" si="5"/>
        <v>https://d0f6bd738d7f1b3e5a7ca70fe4ff75f0.us-east-1.aws.found.io/app/kibana#/discover/Steve-Slow-Train-Analysis-(2080s-and-2083s)?_g=(refreshInterval:(display:Off,pause:!f,section:0,value:0),time:(from:'2017-11-28T08:40:26-0700',mode:absolute,to:'2017-11-28T11:20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62" s="248" t="str">
        <f>IF(AA62&lt;VLOOKUP(AG62,Variables!$AC$3:$AD$8,2,FALSE),"Y","N")</f>
        <v>N</v>
      </c>
      <c r="X62" s="248">
        <f t="shared" si="34"/>
        <v>1</v>
      </c>
      <c r="Y62" s="248">
        <f t="shared" si="30"/>
        <v>4.7100000000000003E-2</v>
      </c>
      <c r="Z62" s="248">
        <f t="shared" ref="Z62:Z93" si="35">RIGHT(H62,LEN(H62)-4)/10000</f>
        <v>23.329899999999999</v>
      </c>
      <c r="AA62" s="248">
        <f t="shared" si="9"/>
        <v>23.282799999999998</v>
      </c>
      <c r="AB62" s="234" t="e">
        <f>VLOOKUP(A62,Enforcements!$C$7:$K$9,8,0)</f>
        <v>#N/A</v>
      </c>
      <c r="AC62" s="233" t="e">
        <f>VLOOKUP(A62,Enforcements!$C$7:$E$9,3,0)</f>
        <v>#N/A</v>
      </c>
      <c r="AD62" s="244">
        <f t="shared" si="10"/>
        <v>149</v>
      </c>
      <c r="AE62" s="236" t="str">
        <f t="shared" si="11"/>
        <v>aws s3 cp s3://rtdc.mdm.uploadarchive.raw/RTDC4056/ "%USERPROFILE%\AppData\Local\Temp\OnboardLogs"\RTDC4056\2017-11-28 --exclude "*" --recursive --include "*20171128*" &amp; "%USERPROFILE%\Documents\GitHub\mrs-test-scripts\Headless Mode &amp; Sideloading\WalkAndUnGZ.bat" "%USERPROFILE%\AppData\Local\Temp\OnboardLogs"\RTDC4056\2017-11-28 &amp; aws s3 cp s3://rtdc.mdm.uploadarchive.raw/RTDC4056/ "%USERPROFILE%\AppData\Local\Temp\OnboardLogs"\RTDC4056\2017-11-29 --exclude "*" --recursive --include "*20171129*" &amp; "%USERPROFILE%\Documents\GitHub\mrs-test-scripts\Headless Mode &amp; Sideloading\WalkAndUnGZ.bat" "%USERPROFILE%\AppData\Local\Temp\OnboardLogs"\RTDC4056\2017-11-29</v>
      </c>
      <c r="AF62" s="235" t="str">
        <f t="shared" si="12"/>
        <v>"C:\Program Files (x86)\AstroGrep\AstroGrep.exe" /e /r /s /spath="%USERPROFILE%\AppData\Local\Temp\OnboardLogs" /stypes="app*4056*20171128*" /stext=" 17:.+((SYSTEM_STATE.+slice.+state.+changed )|(ment ac)|(multiple cpu faults)|(system.+state.+changed )|(\[timeout)|(PRM\|1\|D)|(kpr)|(kdp)|(train st.+moving)|(\|lc)|(penalty))"</v>
      </c>
      <c r="AG62" s="245" t="str">
        <f t="shared" si="13"/>
        <v>EC</v>
      </c>
      <c r="AH62" s="237" t="str">
        <f t="shared" si="19"/>
        <v>"%USERPROFILE%\Documents\GitHub\eaglep3\Utilities\RefineRTDCRunTimes.py" --tripid 149-28 --locoid 4056 --swversion DE.1.0.9.0 --startMP 204:471 --initTime 2017-11-28T09:40:26 --startdatetime 2017-11-28T09:45:23 --delay 64 --endMP 204:233299 --enddatetime 2017-11-28T10:20:16 --enforcementcount 0 &gt;&gt;%USERPROFILE%\Documents\GitHub\eaglep3-reporting\EC\2017-11-28-refined-times.txt</v>
      </c>
      <c r="AI62" s="239" t="str">
        <f t="shared" si="20"/>
        <v>echo {"issue":{"subject":"","project_id":79,"tracker_id":40,"status_id":1,"priority_id":2,"assigned_to_id":338,"start_date":"2017-11-28","description":"","custom_fields":[{"id":1,"name":"Subdivision","value":"EC"},{"id":4,"name":"Milepost","value":"23.3299"},{"id":17,"name":"Train ID","value":"149-28"},{"id":16,"name":"Locomotive ID","value":"4056"},{"id":130,"name":"Impact","value":""},{"id":150,"name":"Time of Event (Mountain Time)","value":"10:20:16"},{"id":151,"name":"Denver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2" s="224"/>
      <c r="AK62" s="232"/>
      <c r="AL62" s="232"/>
      <c r="AM62" s="241" t="str">
        <f t="shared" si="21"/>
        <v>start /low /b %USERPROFILE%\Documents\GitHub\eaglep3\Utilities\DownloadLogsFromS3.py --loco 4056 --day 2017-11-28</v>
      </c>
      <c r="AN62" s="242" t="str">
        <f t="shared" si="2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17:20:16"},{"id":29,"name":"Sharepoint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231" t="str">
        <f t="shared" si="23"/>
        <v>https://d0f6bd738d7f1b3e5a7ca70fe4ff75f0.us-east-1.aws.found.io/app/kibana#/discover/Steve-Slow-Train-Analysis-(2080s-and-2083s)?_g=(refreshInterval:(display:Off,pause:!f,section:0,value:0),time:(from:'2017-11-28T08:40:26-0700',mode:absolute,to:'2017-11-28T11:20:16-0700'))&amp;_a=(columns:!('Message%20ID',Summary),filters:!(),index:'emp_*',interval:auto,query:(query_string:(analyze_wildcard:!t,query:'%22rtdc.l.rtdc.4056%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230" t="s">
        <v>649</v>
      </c>
      <c r="B63" s="226">
        <v>4055</v>
      </c>
      <c r="C63" s="228" t="s">
        <v>192</v>
      </c>
      <c r="D63" s="228" t="s">
        <v>414</v>
      </c>
      <c r="E63" s="227">
        <v>43067.431747685187</v>
      </c>
      <c r="F63" s="227">
        <v>43067.446145833332</v>
      </c>
      <c r="G63" s="226">
        <v>48</v>
      </c>
      <c r="H63" s="228" t="s">
        <v>498</v>
      </c>
      <c r="I63" s="227">
        <v>43067.473113425927</v>
      </c>
      <c r="J63" s="226">
        <v>0</v>
      </c>
      <c r="K63" s="238" t="str">
        <f t="shared" si="0"/>
        <v>4055/4056</v>
      </c>
      <c r="L63" s="246" t="str">
        <f>VLOOKUP(A63,'Trips&amp;Operators'!$C$1:$G$99911,5,FALSE)</f>
        <v>BEAM ROSS</v>
      </c>
      <c r="M63" s="225">
        <f t="shared" si="1"/>
        <v>2.6967592595610768E-2</v>
      </c>
      <c r="N63" s="226">
        <f t="shared" si="33"/>
        <v>38.833333337679505</v>
      </c>
      <c r="O63" s="226"/>
      <c r="P63" s="226"/>
      <c r="Q63" s="229"/>
      <c r="R63" s="243"/>
      <c r="S63" s="250">
        <f t="shared" si="32"/>
        <v>1</v>
      </c>
      <c r="T63" s="243" t="str">
        <f t="shared" si="4"/>
        <v>Southbound</v>
      </c>
      <c r="U63" s="247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49" t="str">
        <f t="shared" si="5"/>
        <v>https://d0f6bd738d7f1b3e5a7ca70fe4ff75f0.us-east-1.aws.found.io/app/kibana#/discover/Steve-Slow-Train-Analysis-(2080s-and-2083s)?_g=(refreshInterval:(display:Off,pause:!f,section:0,value:0),time:(from:'2017-11-28T09:21:43-0700',mode:absolute,to:'2017-11-28T12:21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63" s="248" t="str">
        <f>IF(AA63&lt;VLOOKUP(AG63,Variables!$AC$3:$AD$8,2,FALSE),"Y","N")</f>
        <v>N</v>
      </c>
      <c r="X63" s="248">
        <f t="shared" si="34"/>
        <v>1</v>
      </c>
      <c r="Y63" s="248">
        <f t="shared" si="30"/>
        <v>23.297699999999999</v>
      </c>
      <c r="Z63" s="248">
        <f t="shared" si="35"/>
        <v>1.7600000000000001E-2</v>
      </c>
      <c r="AA63" s="248">
        <f t="shared" si="9"/>
        <v>23.280099999999997</v>
      </c>
      <c r="AB63" s="234" t="e">
        <f>VLOOKUP(A63,Enforcements!$C$7:$K$9,8,0)</f>
        <v>#N/A</v>
      </c>
      <c r="AC63" s="233" t="e">
        <f>VLOOKUP(A63,Enforcements!$C$7:$E$9,3,0)</f>
        <v>#N/A</v>
      </c>
      <c r="AD63" s="244">
        <f t="shared" si="10"/>
        <v>150</v>
      </c>
      <c r="AE63" s="236" t="str">
        <f t="shared" si="11"/>
        <v>aws s3 cp s3://rtdc.mdm.uploadarchive.raw/RTDC4055/ "%USERPROFILE%\AppData\Local\Temp\OnboardLogs"\RTDC4055\2017-11-28 --exclude "*" --recursive --include "*20171128*" &amp; "%USERPROFILE%\Documents\GitHub\mrs-test-scripts\Headless Mode &amp; Sideloading\WalkAndUnGZ.bat" "%USERPROFILE%\AppData\Local\Temp\OnboardLogs"\RTDC4055\2017-11-28 &amp; aws s3 cp s3://rtdc.mdm.uploadarchive.raw/RTDC4055/ "%USERPROFILE%\AppData\Local\Temp\OnboardLogs"\RTDC4055\2017-11-29 --exclude "*" --recursive --include "*20171129*" &amp; "%USERPROFILE%\Documents\GitHub\mrs-test-scripts\Headless Mode &amp; Sideloading\WalkAndUnGZ.bat" "%USERPROFILE%\AppData\Local\Temp\OnboardLogs"\RTDC4055\2017-11-29</v>
      </c>
      <c r="AF63" s="235" t="str">
        <f t="shared" si="12"/>
        <v>"C:\Program Files (x86)\AstroGrep\AstroGrep.exe" /e /r /s /spath="%USERPROFILE%\AppData\Local\Temp\OnboardLogs" /stypes="app*4055*20171128*" /stext=" 18:.+((SYSTEM_STATE.+slice.+state.+changed )|(ment ac)|(multiple cpu faults)|(system.+state.+changed )|(\[timeout)|(PRM\|1\|D)|(kpr)|(kdp)|(train st.+moving)|(\|lc)|(penalty))"</v>
      </c>
      <c r="AG63" s="245" t="str">
        <f t="shared" si="13"/>
        <v>EC</v>
      </c>
      <c r="AH63" s="237" t="str">
        <f t="shared" si="19"/>
        <v>"%USERPROFILE%\Documents\GitHub\eaglep3\Utilities\RefineRTDCRunTimes.py" --tripid 150-28 --locoid 4055 --swversion DE.1.0.9.0 --startMP 204:232977 --initTime 2017-11-28T10:21:43 --startdatetime 2017-11-28T10:42:27 --delay 48 --endMP 204:176 --enddatetime 2017-11-28T11:21:17 --enforcementcount 0 &gt;&gt;%USERPROFILE%\Documents\GitHub\eaglep3-reporting\EC\2017-11-28-refined-times.txt</v>
      </c>
      <c r="AI63" s="239" t="str">
        <f t="shared" si="20"/>
        <v>echo {"issue":{"subject":"","project_id":79,"tracker_id":40,"status_id":1,"priority_id":2,"assigned_to_id":338,"start_date":"2017-11-28","description":"","custom_fields":[{"id":1,"name":"Subdivision","value":"EC"},{"id":4,"name":"Milepost","value":"0.0176"},{"id":17,"name":"Train ID","value":"150-28"},{"id":16,"name":"Locomotive ID","value":"4055"},{"id":130,"name":"Impact","value":""},{"id":150,"name":"Time of Event (Mountain Time)","value":"11:21:17"},{"id":151,"name":"Denver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3" s="224"/>
      <c r="AK63" s="232"/>
      <c r="AL63" s="232"/>
      <c r="AM63" s="241" t="str">
        <f t="shared" si="21"/>
        <v>start /low /b %USERPROFILE%\Documents\GitHub\eaglep3\Utilities\DownloadLogsFromS3.py --loco 4055 --day 2017-11-28</v>
      </c>
      <c r="AN63" s="242" t="str">
        <f t="shared" si="2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18:21:17"},{"id":29,"name":"Sharepoint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231" t="str">
        <f t="shared" si="23"/>
        <v>https://d0f6bd738d7f1b3e5a7ca70fe4ff75f0.us-east-1.aws.found.io/app/kibana#/discover/Steve-Slow-Train-Analysis-(2080s-and-2083s)?_g=(refreshInterval:(display:Off,pause:!f,section:0,value:0),time:(from:'2017-11-28T09:21:43-0700',mode:absolute,to:'2017-11-28T12:21:17-0700'))&amp;_a=(columns:!('Message%20ID',Summary),filters:!(),index:'emp_*',interval:auto,query:(query_string:(analyze_wildcard:!t,query:'%22rtdc.l.rtdc.4055%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230" t="s">
        <v>745</v>
      </c>
      <c r="B64" s="226">
        <v>4040</v>
      </c>
      <c r="C64" s="228" t="s">
        <v>192</v>
      </c>
      <c r="D64" s="228" t="s">
        <v>458</v>
      </c>
      <c r="E64" s="227">
        <v>43067.415335648147</v>
      </c>
      <c r="F64" s="227">
        <v>43067.416817129626</v>
      </c>
      <c r="G64" s="226">
        <v>47</v>
      </c>
      <c r="H64" s="228" t="s">
        <v>926</v>
      </c>
      <c r="I64" s="227">
        <v>43067.441423611112</v>
      </c>
      <c r="J64" s="226">
        <v>0</v>
      </c>
      <c r="K64" s="238" t="str">
        <f t="shared" si="0"/>
        <v>4039/4040</v>
      </c>
      <c r="L64" s="246" t="str">
        <f>VLOOKUP(A64,'Trips&amp;Operators'!$C$1:$G$99911,5,FALSE)</f>
        <v>LAMAR NEKESHA</v>
      </c>
      <c r="M64" s="225">
        <f t="shared" si="1"/>
        <v>2.4606481485534459E-2</v>
      </c>
      <c r="N64" s="226">
        <f t="shared" si="33"/>
        <v>35.433333339169621</v>
      </c>
      <c r="O64" s="226"/>
      <c r="P64" s="226"/>
      <c r="Q64" s="229"/>
      <c r="R64" s="243"/>
      <c r="S64" s="250">
        <f t="shared" si="32"/>
        <v>1</v>
      </c>
      <c r="T64" s="243" t="str">
        <f t="shared" si="4"/>
        <v>NorthBound</v>
      </c>
      <c r="U64" s="247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49" t="str">
        <f t="shared" si="5"/>
        <v>https://d0f6bd738d7f1b3e5a7ca70fe4ff75f0.us-east-1.aws.found.io/app/kibana#/discover/Steve-Slow-Train-Analysis-(2080s-and-2083s)?_g=(refreshInterval:(display:Off,pause:!f,section:0,value:0),time:(from:'2017-11-28T08:58:05-0700',mode:absolute,to:'2017-11-28T11:35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64" s="248" t="str">
        <f>IF(AA64&lt;VLOOKUP(AG64,Variables!$AC$3:$AD$8,2,FALSE),"Y","N")</f>
        <v>N</v>
      </c>
      <c r="X64" s="248">
        <f t="shared" si="34"/>
        <v>1</v>
      </c>
      <c r="Y64" s="248">
        <f t="shared" si="30"/>
        <v>4.6899999999999997E-2</v>
      </c>
      <c r="Z64" s="248">
        <f t="shared" si="35"/>
        <v>23.330400000000001</v>
      </c>
      <c r="AA64" s="248">
        <f t="shared" si="9"/>
        <v>23.2835</v>
      </c>
      <c r="AB64" s="234" t="e">
        <f>VLOOKUP(A64,Enforcements!$C$7:$K$9,8,0)</f>
        <v>#N/A</v>
      </c>
      <c r="AC64" s="233" t="e">
        <f>VLOOKUP(A64,Enforcements!$C$7:$E$9,3,0)</f>
        <v>#N/A</v>
      </c>
      <c r="AD64" s="244">
        <f t="shared" si="10"/>
        <v>151</v>
      </c>
      <c r="AE64" s="236" t="str">
        <f t="shared" si="11"/>
        <v>aws s3 cp s3://rtdc.mdm.uploadarchive.raw/RTDC4040/ "%USERPROFILE%\AppData\Local\Temp\OnboardLogs"\RTDC4040\2017-11-28 --exclude "*" --recursive --include "*20171128*" &amp; "%USERPROFILE%\Documents\GitHub\mrs-test-scripts\Headless Mode &amp; Sideloading\WalkAndUnGZ.bat" "%USERPROFILE%\AppData\Local\Temp\OnboardLogs"\RTDC4040\2017-11-28 &amp; aws s3 cp s3://rtdc.mdm.uploadarchive.raw/RTDC4040/ "%USERPROFILE%\AppData\Local\Temp\OnboardLogs"\RTDC4040\2017-11-29 --exclude "*" --recursive --include "*20171129*" &amp; "%USERPROFILE%\Documents\GitHub\mrs-test-scripts\Headless Mode &amp; Sideloading\WalkAndUnGZ.bat" "%USERPROFILE%\AppData\Local\Temp\OnboardLogs"\RTDC4040\2017-11-29</v>
      </c>
      <c r="AF64" s="235" t="str">
        <f t="shared" si="12"/>
        <v>"C:\Program Files (x86)\AstroGrep\AstroGrep.exe" /e /r /s /spath="%USERPROFILE%\AppData\Local\Temp\OnboardLogs" /stypes="app*4040*20171128*" /stext=" 17:.+((SYSTEM_STATE.+slice.+state.+changed )|(ment ac)|(multiple cpu faults)|(system.+state.+changed )|(\[timeout)|(PRM\|1\|D)|(kpr)|(kdp)|(train st.+moving)|(\|lc)|(penalty))"</v>
      </c>
      <c r="AG64" s="245" t="str">
        <f t="shared" si="13"/>
        <v>EC</v>
      </c>
      <c r="AH64" s="237" t="str">
        <f t="shared" si="19"/>
        <v>"%USERPROFILE%\Documents\GitHub\eaglep3\Utilities\RefineRTDCRunTimes.py" --tripid 151-28 --locoid 4040 --swversion DE.1.0.9.0 --startMP 204:469 --initTime 2017-11-28T09:58:05 --startdatetime 2017-11-28T10:00:13 --delay 47 --endMP 204:233304 --enddatetime 2017-11-28T10:35:39 --enforcementcount 0 &gt;&gt;%USERPROFILE%\Documents\GitHub\eaglep3-reporting\EC\2017-11-28-refined-times.txt</v>
      </c>
      <c r="AI64" s="239" t="str">
        <f t="shared" si="20"/>
        <v>echo {"issue":{"subject":"","project_id":79,"tracker_id":40,"status_id":1,"priority_id":2,"assigned_to_id":338,"start_date":"2017-11-28","description":"","custom_fields":[{"id":1,"name":"Subdivision","value":"EC"},{"id":4,"name":"Milepost","value":"23.3304"},{"id":17,"name":"Train ID","value":"151-28"},{"id":16,"name":"Locomotive ID","value":"4040"},{"id":130,"name":"Impact","value":""},{"id":150,"name":"Time of Event (Mountain Time)","value":"10:35:39"},{"id":151,"name":"Denver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4" s="224"/>
      <c r="AK64" s="232"/>
      <c r="AL64" s="232"/>
      <c r="AM64" s="241" t="str">
        <f t="shared" si="21"/>
        <v>start /low /b %USERPROFILE%\Documents\GitHub\eaglep3\Utilities\DownloadLogsFromS3.py --loco 4040 --day 2017-11-28</v>
      </c>
      <c r="AN64" s="242" t="str">
        <f t="shared" si="2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17:35:39"},{"id":29,"name":"Sharepoint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231" t="str">
        <f t="shared" si="23"/>
        <v>https://d0f6bd738d7f1b3e5a7ca70fe4ff75f0.us-east-1.aws.found.io/app/kibana#/discover/Steve-Slow-Train-Analysis-(2080s-and-2083s)?_g=(refreshInterval:(display:Off,pause:!f,section:0,value:0),time:(from:'2017-11-28T08:58:05-0700',mode:absolute,to:'2017-11-28T11:35:39-0700'))&amp;_a=(columns:!('Message%20ID',Summary),filters:!(),index:'emp_*',interval:auto,query:(query_string:(analyze_wildcard:!t,query:'%22rtdc.l.rtdc.4040%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230" t="s">
        <v>753</v>
      </c>
      <c r="B65" s="226">
        <v>4039</v>
      </c>
      <c r="C65" s="228" t="s">
        <v>192</v>
      </c>
      <c r="D65" s="228" t="s">
        <v>586</v>
      </c>
      <c r="E65" s="227">
        <v>43067.454247685186</v>
      </c>
      <c r="F65" s="227">
        <v>43067.456435185188</v>
      </c>
      <c r="G65" s="226">
        <v>45</v>
      </c>
      <c r="H65" s="228" t="s">
        <v>453</v>
      </c>
      <c r="I65" s="227">
        <v>43067.48201388889</v>
      </c>
      <c r="J65" s="226">
        <v>0</v>
      </c>
      <c r="K65" s="238" t="str">
        <f t="shared" si="0"/>
        <v>4039/4040</v>
      </c>
      <c r="L65" s="246" t="str">
        <f>VLOOKUP(A65,'Trips&amp;Operators'!$C$1:$G$99911,5,FALSE)</f>
        <v>LAMAR NEKESHA</v>
      </c>
      <c r="M65" s="225">
        <f t="shared" si="1"/>
        <v>2.5578703702194616E-2</v>
      </c>
      <c r="N65" s="226">
        <f t="shared" si="33"/>
        <v>36.833333331160247</v>
      </c>
      <c r="O65" s="226"/>
      <c r="P65" s="226"/>
      <c r="Q65" s="229"/>
      <c r="R65" s="243"/>
      <c r="S65" s="250">
        <f t="shared" si="32"/>
        <v>1</v>
      </c>
      <c r="T65" s="243" t="str">
        <f t="shared" si="4"/>
        <v>Southbound</v>
      </c>
      <c r="U65" s="247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49" t="str">
        <f t="shared" si="5"/>
        <v>https://d0f6bd738d7f1b3e5a7ca70fe4ff75f0.us-east-1.aws.found.io/app/kibana#/discover/Steve-Slow-Train-Analysis-(2080s-and-2083s)?_g=(refreshInterval:(display:Off,pause:!f,section:0,value:0),time:(from:'2017-11-28T09:54:07-0700',mode:absolute,to:'2017-11-28T12:34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65" s="248" t="str">
        <f>IF(AA65&lt;VLOOKUP(AG65,Variables!$AC$3:$AD$8,2,FALSE),"Y","N")</f>
        <v>N</v>
      </c>
      <c r="X65" s="248">
        <f t="shared" si="34"/>
        <v>1</v>
      </c>
      <c r="Y65" s="248">
        <f t="shared" si="30"/>
        <v>23.298500000000001</v>
      </c>
      <c r="Z65" s="248">
        <f t="shared" si="35"/>
        <v>1.6500000000000001E-2</v>
      </c>
      <c r="AA65" s="248">
        <f t="shared" si="9"/>
        <v>23.282</v>
      </c>
      <c r="AB65" s="234" t="e">
        <f>VLOOKUP(A65,Enforcements!$C$7:$K$9,8,0)</f>
        <v>#N/A</v>
      </c>
      <c r="AC65" s="233" t="e">
        <f>VLOOKUP(A65,Enforcements!$C$7:$E$9,3,0)</f>
        <v>#N/A</v>
      </c>
      <c r="AD65" s="244">
        <f t="shared" si="10"/>
        <v>152</v>
      </c>
      <c r="AE65" s="236" t="str">
        <f t="shared" si="11"/>
        <v>aws s3 cp s3://rtdc.mdm.uploadarchive.raw/RTDC4039/ "%USERPROFILE%\AppData\Local\Temp\OnboardLogs"\RTDC4039\2017-11-28 --exclude "*" --recursive --include "*20171128*" &amp; "%USERPROFILE%\Documents\GitHub\mrs-test-scripts\Headless Mode &amp; Sideloading\WalkAndUnGZ.bat" "%USERPROFILE%\AppData\Local\Temp\OnboardLogs"\RTDC4039\2017-11-28 &amp; aws s3 cp s3://rtdc.mdm.uploadarchive.raw/RTDC4039/ "%USERPROFILE%\AppData\Local\Temp\OnboardLogs"\RTDC4039\2017-11-29 --exclude "*" --recursive --include "*20171129*" &amp; "%USERPROFILE%\Documents\GitHub\mrs-test-scripts\Headless Mode &amp; Sideloading\WalkAndUnGZ.bat" "%USERPROFILE%\AppData\Local\Temp\OnboardLogs"\RTDC4039\2017-11-29</v>
      </c>
      <c r="AF65" s="235" t="str">
        <f t="shared" si="12"/>
        <v>"C:\Program Files (x86)\AstroGrep\AstroGrep.exe" /e /r /s /spath="%USERPROFILE%\AppData\Local\Temp\OnboardLogs" /stypes="app*4039*20171128*" /stext=" 18:.+((SYSTEM_STATE.+slice.+state.+changed )|(ment ac)|(multiple cpu faults)|(system.+state.+changed )|(\[timeout)|(PRM\|1\|D)|(kpr)|(kdp)|(train st.+moving)|(\|lc)|(penalty))"</v>
      </c>
      <c r="AG65" s="245" t="str">
        <f t="shared" si="13"/>
        <v>EC</v>
      </c>
      <c r="AH65" s="237" t="str">
        <f t="shared" si="19"/>
        <v>"%USERPROFILE%\Documents\GitHub\eaglep3\Utilities\RefineRTDCRunTimes.py" --tripid 152-28 --locoid 4039 --swversion DE.1.0.9.0 --startMP 204:232985 --initTime 2017-11-28T10:54:07 --startdatetime 2017-11-28T10:57:16 --delay 45 --endMP 204:165 --enddatetime 2017-11-28T11:34:06 --enforcementcount 0 &gt;&gt;%USERPROFILE%\Documents\GitHub\eaglep3-reporting\EC\2017-11-28-refined-times.txt</v>
      </c>
      <c r="AI65" s="239" t="str">
        <f t="shared" si="20"/>
        <v>echo {"issue":{"subject":"","project_id":79,"tracker_id":40,"status_id":1,"priority_id":2,"assigned_to_id":338,"start_date":"2017-11-28","description":"","custom_fields":[{"id":1,"name":"Subdivision","value":"EC"},{"id":4,"name":"Milepost","value":"0.0165"},{"id":17,"name":"Train ID","value":"152-28"},{"id":16,"name":"Locomotive ID","value":"4039"},{"id":130,"name":"Impact","value":""},{"id":150,"name":"Time of Event (Mountain Time)","value":"11:34:06"},{"id":151,"name":"Denver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5" s="224"/>
      <c r="AK65" s="232"/>
      <c r="AL65" s="232"/>
      <c r="AM65" s="241" t="str">
        <f t="shared" si="21"/>
        <v>start /low /b %USERPROFILE%\Documents\GitHub\eaglep3\Utilities\DownloadLogsFromS3.py --loco 4039 --day 2017-11-28</v>
      </c>
      <c r="AN65" s="242" t="str">
        <f t="shared" si="2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18:34:06"},{"id":29,"name":"Sharepoint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231" t="str">
        <f t="shared" si="23"/>
        <v>https://d0f6bd738d7f1b3e5a7ca70fe4ff75f0.us-east-1.aws.found.io/app/kibana#/discover/Steve-Slow-Train-Analysis-(2080s-and-2083s)?_g=(refreshInterval:(display:Off,pause:!f,section:0,value:0),time:(from:'2017-11-28T09:54:07-0700',mode:absolute,to:'2017-11-28T12:34:06-0700'))&amp;_a=(columns:!('Message%20ID',Summary),filters:!(),index:'emp_*',interval:auto,query:(query_string:(analyze_wildcard:!t,query:'%22rtdc.l.rtdc.4039%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230" t="s">
        <v>747</v>
      </c>
      <c r="B66" s="226">
        <v>4042</v>
      </c>
      <c r="C66" s="228" t="s">
        <v>192</v>
      </c>
      <c r="D66" s="228" t="s">
        <v>903</v>
      </c>
      <c r="E66" s="227">
        <v>43067.424097222225</v>
      </c>
      <c r="F66" s="227">
        <v>43067.427337962959</v>
      </c>
      <c r="G66" s="226">
        <v>78</v>
      </c>
      <c r="H66" s="228" t="s">
        <v>467</v>
      </c>
      <c r="I66" s="227">
        <v>43067.452349537038</v>
      </c>
      <c r="J66" s="226">
        <v>0</v>
      </c>
      <c r="K66" s="238" t="str">
        <f t="shared" si="0"/>
        <v>4041/4042</v>
      </c>
      <c r="L66" s="246" t="str">
        <f>VLOOKUP(A66,'Trips&amp;Operators'!$C$1:$G$99911,5,FALSE)</f>
        <v>DAVIDSON DAVID</v>
      </c>
      <c r="M66" s="225">
        <f t="shared" si="1"/>
        <v>2.5011574078234844E-2</v>
      </c>
      <c r="N66" s="226">
        <f t="shared" si="33"/>
        <v>36.016666672658175</v>
      </c>
      <c r="O66" s="226"/>
      <c r="P66" s="226"/>
      <c r="Q66" s="229"/>
      <c r="R66" s="243"/>
      <c r="S66" s="250">
        <f t="shared" si="32"/>
        <v>1</v>
      </c>
      <c r="T66" s="243" t="str">
        <f t="shared" si="4"/>
        <v>NorthBound</v>
      </c>
      <c r="U66" s="247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49" t="str">
        <f t="shared" si="5"/>
        <v>https://d0f6bd738d7f1b3e5a7ca70fe4ff75f0.us-east-1.aws.found.io/app/kibana#/discover/Steve-Slow-Train-Analysis-(2080s-and-2083s)?_g=(refreshInterval:(display:Off,pause:!f,section:0,value:0),time:(from:'2017-11-28T09:10:42-0700',mode:absolute,to:'2017-11-28T11:51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66" s="248" t="str">
        <f>IF(AA66&lt;VLOOKUP(AG66,Variables!$AC$3:$AD$8,2,FALSE),"Y","N")</f>
        <v>N</v>
      </c>
      <c r="X66" s="248">
        <f t="shared" si="34"/>
        <v>1</v>
      </c>
      <c r="Y66" s="248">
        <f t="shared" si="30"/>
        <v>4.7300000000000002E-2</v>
      </c>
      <c r="Z66" s="248">
        <f t="shared" si="35"/>
        <v>23.3261</v>
      </c>
      <c r="AA66" s="248">
        <f t="shared" si="9"/>
        <v>23.2788</v>
      </c>
      <c r="AB66" s="234" t="e">
        <f>VLOOKUP(A66,Enforcements!$C$7:$K$9,8,0)</f>
        <v>#N/A</v>
      </c>
      <c r="AC66" s="233" t="e">
        <f>VLOOKUP(A66,Enforcements!$C$7:$E$9,3,0)</f>
        <v>#N/A</v>
      </c>
      <c r="AD66" s="244">
        <f t="shared" si="10"/>
        <v>153</v>
      </c>
      <c r="AE66" s="236" t="str">
        <f t="shared" si="11"/>
        <v>aws s3 cp s3://rtdc.mdm.uploadarchive.raw/RTDC4042/ "%USERPROFILE%\AppData\Local\Temp\OnboardLogs"\RTDC4042\2017-11-28 --exclude "*" --recursive --include "*20171128*" &amp; "%USERPROFILE%\Documents\GitHub\mrs-test-scripts\Headless Mode &amp; Sideloading\WalkAndUnGZ.bat" "%USERPROFILE%\AppData\Local\Temp\OnboardLogs"\RTDC4042\2017-11-28 &amp; aws s3 cp s3://rtdc.mdm.uploadarchive.raw/RTDC4042/ "%USERPROFILE%\AppData\Local\Temp\OnboardLogs"\RTDC4042\2017-11-29 --exclude "*" --recursive --include "*20171129*" &amp; "%USERPROFILE%\Documents\GitHub\mrs-test-scripts\Headless Mode &amp; Sideloading\WalkAndUnGZ.bat" "%USERPROFILE%\AppData\Local\Temp\OnboardLogs"\RTDC4042\2017-11-29</v>
      </c>
      <c r="AF66" s="235" t="str">
        <f t="shared" si="12"/>
        <v>"C:\Program Files (x86)\AstroGrep\AstroGrep.exe" /e /r /s /spath="%USERPROFILE%\AppData\Local\Temp\OnboardLogs" /stypes="app*4042*20171128*" /stext=" 17:.+((SYSTEM_STATE.+slice.+state.+changed )|(ment ac)|(multiple cpu faults)|(system.+state.+changed )|(\[timeout)|(PRM\|1\|D)|(kpr)|(kdp)|(train st.+moving)|(\|lc)|(penalty))"</v>
      </c>
      <c r="AG66" s="245" t="str">
        <f t="shared" si="13"/>
        <v>EC</v>
      </c>
      <c r="AH66" s="237" t="str">
        <f t="shared" si="19"/>
        <v>"%USERPROFILE%\Documents\GitHub\eaglep3\Utilities\RefineRTDCRunTimes.py" --tripid 153-28 --locoid 4042 --swversion DE.1.0.9.0 --startMP 204:473 --initTime 2017-11-28T10:10:42 --startdatetime 2017-11-28T10:15:22 --delay 78 --endMP 204:233261 --enddatetime 2017-11-28T10:51:23 --enforcementcount 0 &gt;&gt;%USERPROFILE%\Documents\GitHub\eaglep3-reporting\EC\2017-11-28-refined-times.txt</v>
      </c>
      <c r="AI66" s="239" t="str">
        <f t="shared" si="20"/>
        <v>echo {"issue":{"subject":"","project_id":79,"tracker_id":40,"status_id":1,"priority_id":2,"assigned_to_id":338,"start_date":"2017-11-28","description":"","custom_fields":[{"id":1,"name":"Subdivision","value":"EC"},{"id":4,"name":"Milepost","value":"23.3261"},{"id":17,"name":"Train ID","value":"153-28"},{"id":16,"name":"Locomotive ID","value":"4042"},{"id":130,"name":"Impact","value":""},{"id":150,"name":"Time of Event (Mountain Time)","value":"10:51:23"},{"id":151,"name":"Denver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6" s="224"/>
      <c r="AK66" s="232"/>
      <c r="AL66" s="232"/>
      <c r="AM66" s="241" t="str">
        <f t="shared" si="21"/>
        <v>start /low /b %USERPROFILE%\Documents\GitHub\eaglep3\Utilities\DownloadLogsFromS3.py --loco 4042 --day 2017-11-28</v>
      </c>
      <c r="AN66" s="242" t="str">
        <f t="shared" si="2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17:51:23"},{"id":29,"name":"Sharepoint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231" t="str">
        <f t="shared" si="23"/>
        <v>https://d0f6bd738d7f1b3e5a7ca70fe4ff75f0.us-east-1.aws.found.io/app/kibana#/discover/Steve-Slow-Train-Analysis-(2080s-and-2083s)?_g=(refreshInterval:(display:Off,pause:!f,section:0,value:0),time:(from:'2017-11-28T09:10:42-0700',mode:absolute,to:'2017-11-28T11:51:23-0700'))&amp;_a=(columns:!('Message%20ID',Summary),filters:!(),index:'emp_*',interval:auto,query:(query_string:(analyze_wildcard:!t,query:'%22rtdc.l.rtdc.4042%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230" t="s">
        <v>650</v>
      </c>
      <c r="B67" s="226">
        <v>4041</v>
      </c>
      <c r="C67" s="228" t="s">
        <v>192</v>
      </c>
      <c r="D67" s="228" t="s">
        <v>927</v>
      </c>
      <c r="E67" s="227">
        <v>43067.453923611109</v>
      </c>
      <c r="F67" s="227">
        <v>43067.466898148145</v>
      </c>
      <c r="G67" s="226">
        <v>69</v>
      </c>
      <c r="H67" s="228" t="s">
        <v>465</v>
      </c>
      <c r="I67" s="227">
        <v>43067.495381944442</v>
      </c>
      <c r="J67" s="226">
        <v>0</v>
      </c>
      <c r="K67" s="238" t="str">
        <f t="shared" si="0"/>
        <v>4041/4042</v>
      </c>
      <c r="L67" s="246" t="str">
        <f>VLOOKUP(A67,'Trips&amp;Operators'!$C$1:$G$99911,5,FALSE)</f>
        <v>DAVIDSON DAVID</v>
      </c>
      <c r="M67" s="225">
        <f t="shared" si="1"/>
        <v>2.8483796297223307E-2</v>
      </c>
      <c r="N67" s="226">
        <f t="shared" si="33"/>
        <v>41.016666668001562</v>
      </c>
      <c r="O67" s="226"/>
      <c r="P67" s="226"/>
      <c r="Q67" s="229"/>
      <c r="R67" s="243"/>
      <c r="S67" s="250">
        <f t="shared" si="32"/>
        <v>1</v>
      </c>
      <c r="T67" s="243" t="str">
        <f t="shared" si="4"/>
        <v>Southbound</v>
      </c>
      <c r="U67" s="247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49" t="str">
        <f t="shared" si="5"/>
        <v>https://d0f6bd738d7f1b3e5a7ca70fe4ff75f0.us-east-1.aws.found.io/app/kibana#/discover/Steve-Slow-Train-Analysis-(2080s-and-2083s)?_g=(refreshInterval:(display:Off,pause:!f,section:0,value:0),time:(from:'2017-11-28T09:53:39-0700',mode:absolute,to:'2017-11-28T12:53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67" s="248" t="str">
        <f>IF(AA67&lt;VLOOKUP(AG67,Variables!$AC$3:$AD$8,2,FALSE),"Y","N")</f>
        <v>N</v>
      </c>
      <c r="X67" s="248">
        <f t="shared" si="34"/>
        <v>1</v>
      </c>
      <c r="Y67" s="248">
        <f t="shared" si="30"/>
        <v>23.2942</v>
      </c>
      <c r="Z67" s="248">
        <f t="shared" si="35"/>
        <v>2.2100000000000002E-2</v>
      </c>
      <c r="AA67" s="248">
        <f t="shared" si="9"/>
        <v>23.272100000000002</v>
      </c>
      <c r="AB67" s="234" t="e">
        <f>VLOOKUP(A67,Enforcements!$C$7:$K$9,8,0)</f>
        <v>#N/A</v>
      </c>
      <c r="AC67" s="233" t="e">
        <f>VLOOKUP(A67,Enforcements!$C$7:$E$9,3,0)</f>
        <v>#N/A</v>
      </c>
      <c r="AD67" s="244">
        <f t="shared" si="10"/>
        <v>154</v>
      </c>
      <c r="AE67" s="236" t="str">
        <f t="shared" si="11"/>
        <v>aws s3 cp s3://rtdc.mdm.uploadarchive.raw/RTDC4041/ "%USERPROFILE%\AppData\Local\Temp\OnboardLogs"\RTDC4041\2017-11-28 --exclude "*" --recursive --include "*20171128*" &amp; "%USERPROFILE%\Documents\GitHub\mrs-test-scripts\Headless Mode &amp; Sideloading\WalkAndUnGZ.bat" "%USERPROFILE%\AppData\Local\Temp\OnboardLogs"\RTDC4041\2017-11-28 &amp; aws s3 cp s3://rtdc.mdm.uploadarchive.raw/RTDC4041/ "%USERPROFILE%\AppData\Local\Temp\OnboardLogs"\RTDC4041\2017-11-29 --exclude "*" --recursive --include "*20171129*" &amp; "%USERPROFILE%\Documents\GitHub\mrs-test-scripts\Headless Mode &amp; Sideloading\WalkAndUnGZ.bat" "%USERPROFILE%\AppData\Local\Temp\OnboardLogs"\RTDC4041\2017-11-29</v>
      </c>
      <c r="AF67" s="235" t="str">
        <f t="shared" si="12"/>
        <v>"C:\Program Files (x86)\AstroGrep\AstroGrep.exe" /e /r /s /spath="%USERPROFILE%\AppData\Local\Temp\OnboardLogs" /stypes="app*4041*20171128*" /stext=" 18:.+((SYSTEM_STATE.+slice.+state.+changed )|(ment ac)|(multiple cpu faults)|(system.+state.+changed )|(\[timeout)|(PRM\|1\|D)|(kpr)|(kdp)|(train st.+moving)|(\|lc)|(penalty))"</v>
      </c>
      <c r="AG67" s="245" t="str">
        <f t="shared" si="13"/>
        <v>EC</v>
      </c>
      <c r="AH67" s="237" t="str">
        <f t="shared" si="19"/>
        <v>"%USERPROFILE%\Documents\GitHub\eaglep3\Utilities\RefineRTDCRunTimes.py" --tripid 154-28 --locoid 4041 --swversion DE.1.0.9.0 --startMP 204:232942 --initTime 2017-11-28T10:53:39 --startdatetime 2017-11-28T11:12:20 --delay 69 --endMP 204:221 --enddatetime 2017-11-28T11:53:21 --enforcementcount 0 &gt;&gt;%USERPROFILE%\Documents\GitHub\eaglep3-reporting\EC\2017-11-28-refined-times.txt</v>
      </c>
      <c r="AI67" s="239" t="str">
        <f t="shared" si="20"/>
        <v>echo {"issue":{"subject":"","project_id":79,"tracker_id":40,"status_id":1,"priority_id":2,"assigned_to_id":338,"start_date":"2017-11-28","description":"","custom_fields":[{"id":1,"name":"Subdivision","value":"EC"},{"id":4,"name":"Milepost","value":"0.0221"},{"id":17,"name":"Train ID","value":"154-28"},{"id":16,"name":"Locomotive ID","value":"4041"},{"id":130,"name":"Impact","value":""},{"id":150,"name":"Time of Event (Mountain Time)","value":"11:53:21"},{"id":151,"name":"Denver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7" s="224"/>
      <c r="AK67" s="232"/>
      <c r="AL67" s="232"/>
      <c r="AM67" s="241" t="str">
        <f t="shared" si="21"/>
        <v>start /low /b %USERPROFILE%\Documents\GitHub\eaglep3\Utilities\DownloadLogsFromS3.py --loco 4041 --day 2017-11-28</v>
      </c>
      <c r="AN67" s="242" t="str">
        <f t="shared" si="2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18:53:21"},{"id":29,"name":"Sharepoint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231" t="str">
        <f t="shared" si="23"/>
        <v>https://d0f6bd738d7f1b3e5a7ca70fe4ff75f0.us-east-1.aws.found.io/app/kibana#/discover/Steve-Slow-Train-Analysis-(2080s-and-2083s)?_g=(refreshInterval:(display:Off,pause:!f,section:0,value:0),time:(from:'2017-11-28T09:53:39-0700',mode:absolute,to:'2017-11-28T12:53:21-0700'))&amp;_a=(columns:!('Message%20ID',Summary),filters:!(),index:'emp_*',interval:auto,query:(query_string:(analyze_wildcard:!t,query:'%22rtdc.l.rtdc.4041%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230" t="s">
        <v>749</v>
      </c>
      <c r="B68" s="226">
        <v>4034</v>
      </c>
      <c r="C68" s="228" t="s">
        <v>192</v>
      </c>
      <c r="D68" s="228" t="s">
        <v>584</v>
      </c>
      <c r="E68" s="227">
        <v>43067.432106481479</v>
      </c>
      <c r="F68" s="227">
        <v>43067.437650462962</v>
      </c>
      <c r="G68" s="226">
        <v>48</v>
      </c>
      <c r="H68" s="228" t="s">
        <v>579</v>
      </c>
      <c r="I68" s="227">
        <v>43067.462210648147</v>
      </c>
      <c r="J68" s="226">
        <v>0</v>
      </c>
      <c r="K68" s="238" t="str">
        <f t="shared" si="0"/>
        <v>4033/4034</v>
      </c>
      <c r="L68" s="246" t="str">
        <f>VLOOKUP(A68,'Trips&amp;Operators'!$C$1:$G$99911,5,FALSE)</f>
        <v>YANAI IAN</v>
      </c>
      <c r="M68" s="225">
        <f t="shared" si="1"/>
        <v>2.4560185185691807E-2</v>
      </c>
      <c r="N68" s="226">
        <f t="shared" si="33"/>
        <v>35.366666667396203</v>
      </c>
      <c r="O68" s="226"/>
      <c r="P68" s="226"/>
      <c r="Q68" s="229"/>
      <c r="R68" s="243"/>
      <c r="S68" s="250">
        <f t="shared" si="32"/>
        <v>1</v>
      </c>
      <c r="T68" s="243" t="str">
        <f t="shared" si="4"/>
        <v>NorthBound</v>
      </c>
      <c r="U68" s="247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49" t="str">
        <f t="shared" si="5"/>
        <v>https://d0f6bd738d7f1b3e5a7ca70fe4ff75f0.us-east-1.aws.found.io/app/kibana#/discover/Steve-Slow-Train-Analysis-(2080s-and-2083s)?_g=(refreshInterval:(display:Off,pause:!f,section:0,value:0),time:(from:'2017-11-28T09:22:14-0700',mode:absolute,to:'2017-11-28T12:05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68" s="248" t="str">
        <f>IF(AA68&lt;VLOOKUP(AG68,Variables!$AC$3:$AD$8,2,FALSE),"Y","N")</f>
        <v>N</v>
      </c>
      <c r="X68" s="248">
        <f t="shared" si="34"/>
        <v>1</v>
      </c>
      <c r="Y68" s="248">
        <f t="shared" si="30"/>
        <v>4.7699999999999999E-2</v>
      </c>
      <c r="Z68" s="248">
        <f t="shared" si="35"/>
        <v>23.328900000000001</v>
      </c>
      <c r="AA68" s="248">
        <f t="shared" si="9"/>
        <v>23.281200000000002</v>
      </c>
      <c r="AB68" s="234" t="e">
        <f>VLOOKUP(A68,Enforcements!$C$7:$K$9,8,0)</f>
        <v>#N/A</v>
      </c>
      <c r="AC68" s="233" t="e">
        <f>VLOOKUP(A68,Enforcements!$C$7:$E$9,3,0)</f>
        <v>#N/A</v>
      </c>
      <c r="AD68" s="244">
        <f t="shared" si="10"/>
        <v>155</v>
      </c>
      <c r="AE68" s="236" t="str">
        <f t="shared" si="11"/>
        <v>aws s3 cp s3://rtdc.mdm.uploadarchive.raw/RTDC4034/ "%USERPROFILE%\AppData\Local\Temp\OnboardLogs"\RTDC4034\2017-11-28 --exclude "*" --recursive --include "*20171128*" &amp; "%USERPROFILE%\Documents\GitHub\mrs-test-scripts\Headless Mode &amp; Sideloading\WalkAndUnGZ.bat" "%USERPROFILE%\AppData\Local\Temp\OnboardLogs"\RTDC4034\2017-11-28 &amp; aws s3 cp s3://rtdc.mdm.uploadarchive.raw/RTDC4034/ "%USERPROFILE%\AppData\Local\Temp\OnboardLogs"\RTDC4034\2017-11-29 --exclude "*" --recursive --include "*20171129*" &amp; "%USERPROFILE%\Documents\GitHub\mrs-test-scripts\Headless Mode &amp; Sideloading\WalkAndUnGZ.bat" "%USERPROFILE%\AppData\Local\Temp\OnboardLogs"\RTDC4034\2017-11-29</v>
      </c>
      <c r="AF68" s="235" t="str">
        <f t="shared" si="12"/>
        <v>"C:\Program Files (x86)\AstroGrep\AstroGrep.exe" /e /r /s /spath="%USERPROFILE%\AppData\Local\Temp\OnboardLogs" /stypes="app*4034*20171128*" /stext=" 18:.+((SYSTEM_STATE.+slice.+state.+changed )|(ment ac)|(multiple cpu faults)|(system.+state.+changed )|(\[timeout)|(PRM\|1\|D)|(kpr)|(kdp)|(train st.+moving)|(\|lc)|(penalty))"</v>
      </c>
      <c r="AG68" s="245" t="str">
        <f t="shared" si="13"/>
        <v>EC</v>
      </c>
      <c r="AH68" s="237" t="str">
        <f t="shared" si="19"/>
        <v>"%USERPROFILE%\Documents\GitHub\eaglep3\Utilities\RefineRTDCRunTimes.py" --tripid 155-28 --locoid 4034 --swversion DE.1.0.9.0 --startMP 204:477 --initTime 2017-11-28T10:22:14 --startdatetime 2017-11-28T10:30:13 --delay 48 --endMP 204:233289 --enddatetime 2017-11-28T11:05:35 --enforcementcount 0 &gt;&gt;%USERPROFILE%\Documents\GitHub\eaglep3-reporting\EC\2017-11-28-refined-times.txt</v>
      </c>
      <c r="AI68" s="239" t="str">
        <f t="shared" si="20"/>
        <v>echo {"issue":{"subject":"","project_id":79,"tracker_id":40,"status_id":1,"priority_id":2,"assigned_to_id":338,"start_date":"2017-11-28","description":"","custom_fields":[{"id":1,"name":"Subdivision","value":"EC"},{"id":4,"name":"Milepost","value":"23.3289"},{"id":17,"name":"Train ID","value":"155-28"},{"id":16,"name":"Locomotive ID","value":"4034"},{"id":130,"name":"Impact","value":""},{"id":150,"name":"Time of Event (Mountain Time)","value":"11:05:35"},{"id":151,"name":"Denver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8" s="224"/>
      <c r="AK68" s="232"/>
      <c r="AL68" s="232"/>
      <c r="AM68" s="241" t="str">
        <f t="shared" si="21"/>
        <v>start /low /b %USERPROFILE%\Documents\GitHub\eaglep3\Utilities\DownloadLogsFromS3.py --loco 4034 --day 2017-11-28</v>
      </c>
      <c r="AN68" s="242" t="str">
        <f t="shared" si="2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18:05:35"},{"id":29,"name":"Sharepoint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231" t="str">
        <f t="shared" si="23"/>
        <v>https://d0f6bd738d7f1b3e5a7ca70fe4ff75f0.us-east-1.aws.found.io/app/kibana#/discover/Steve-Slow-Train-Analysis-(2080s-and-2083s)?_g=(refreshInterval:(display:Off,pause:!f,section:0,value:0),time:(from:'2017-11-28T09:22:14-0700',mode:absolute,to:'2017-11-28T12:05:35-0700'))&amp;_a=(columns:!('Message%20ID',Summary),filters:!(),index:'emp_*',interval:auto,query:(query_string:(analyze_wildcard:!t,query:'%22rtdc.l.rtdc.4034%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230" t="s">
        <v>651</v>
      </c>
      <c r="B69" s="226">
        <v>4033</v>
      </c>
      <c r="C69" s="228" t="s">
        <v>192</v>
      </c>
      <c r="D69" s="228" t="s">
        <v>432</v>
      </c>
      <c r="E69" s="227">
        <v>43067.463425925926</v>
      </c>
      <c r="F69" s="227">
        <v>43067.47724537037</v>
      </c>
      <c r="G69" s="226">
        <v>53</v>
      </c>
      <c r="H69" s="228" t="s">
        <v>928</v>
      </c>
      <c r="I69" s="227">
        <v>43067.504224537035</v>
      </c>
      <c r="J69" s="226">
        <v>0</v>
      </c>
      <c r="K69" s="238" t="str">
        <f t="shared" si="0"/>
        <v>4033/4034</v>
      </c>
      <c r="L69" s="246" t="str">
        <f>VLOOKUP(A69,'Trips&amp;Operators'!$C$1:$G$99911,5,FALSE)</f>
        <v>YANAI IAN</v>
      </c>
      <c r="M69" s="225">
        <f t="shared" si="1"/>
        <v>2.6979166665114462E-2</v>
      </c>
      <c r="N69" s="226">
        <f t="shared" si="33"/>
        <v>38.849999997764826</v>
      </c>
      <c r="O69" s="226"/>
      <c r="P69" s="226"/>
      <c r="Q69" s="229"/>
      <c r="R69" s="243"/>
      <c r="S69" s="250">
        <f t="shared" si="32"/>
        <v>1</v>
      </c>
      <c r="T69" s="243" t="str">
        <f t="shared" si="4"/>
        <v>Southbound</v>
      </c>
      <c r="U69" s="247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49" t="str">
        <f t="shared" si="5"/>
        <v>https://d0f6bd738d7f1b3e5a7ca70fe4ff75f0.us-east-1.aws.found.io/app/kibana#/discover/Steve-Slow-Train-Analysis-(2080s-and-2083s)?_g=(refreshInterval:(display:Off,pause:!f,section:0,value:0),time:(from:'2017-11-28T10:07:20-0700',mode:absolute,to:'2017-11-28T13:06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69" s="248" t="str">
        <f>IF(AA69&lt;VLOOKUP(AG69,Variables!$AC$3:$AD$8,2,FALSE),"Y","N")</f>
        <v>N</v>
      </c>
      <c r="X69" s="248">
        <f t="shared" si="34"/>
        <v>1</v>
      </c>
      <c r="Y69" s="248">
        <f t="shared" si="30"/>
        <v>23.297899999999998</v>
      </c>
      <c r="Z69" s="248">
        <f t="shared" si="35"/>
        <v>1.5800000000000002E-2</v>
      </c>
      <c r="AA69" s="248">
        <f t="shared" si="9"/>
        <v>23.2821</v>
      </c>
      <c r="AB69" s="234" t="e">
        <f>VLOOKUP(A69,Enforcements!$C$7:$K$9,8,0)</f>
        <v>#N/A</v>
      </c>
      <c r="AC69" s="233" t="e">
        <f>VLOOKUP(A69,Enforcements!$C$7:$E$9,3,0)</f>
        <v>#N/A</v>
      </c>
      <c r="AD69" s="244">
        <f t="shared" si="10"/>
        <v>156</v>
      </c>
      <c r="AE69" s="236" t="str">
        <f t="shared" si="11"/>
        <v>aws s3 cp s3://rtdc.mdm.uploadarchive.raw/RTDC4033/ "%USERPROFILE%\AppData\Local\Temp\OnboardLogs"\RTDC4033\2017-11-28 --exclude "*" --recursive --include "*20171128*" &amp; "%USERPROFILE%\Documents\GitHub\mrs-test-scripts\Headless Mode &amp; Sideloading\WalkAndUnGZ.bat" "%USERPROFILE%\AppData\Local\Temp\OnboardLogs"\RTDC4033\2017-11-28 &amp; aws s3 cp s3://rtdc.mdm.uploadarchive.raw/RTDC4033/ "%USERPROFILE%\AppData\Local\Temp\OnboardLogs"\RTDC4033\2017-11-29 --exclude "*" --recursive --include "*20171129*" &amp; "%USERPROFILE%\Documents\GitHub\mrs-test-scripts\Headless Mode &amp; Sideloading\WalkAndUnGZ.bat" "%USERPROFILE%\AppData\Local\Temp\OnboardLogs"\RTDC4033\2017-11-29</v>
      </c>
      <c r="AF69" s="235" t="str">
        <f t="shared" si="12"/>
        <v>"C:\Program Files (x86)\AstroGrep\AstroGrep.exe" /e /r /s /spath="%USERPROFILE%\AppData\Local\Temp\OnboardLogs" /stypes="app*4033*20171128*" /stext=" 19:.+((SYSTEM_STATE.+slice.+state.+changed )|(ment ac)|(multiple cpu faults)|(system.+state.+changed )|(\[timeout)|(PRM\|1\|D)|(kpr)|(kdp)|(train st.+moving)|(\|lc)|(penalty))"</v>
      </c>
      <c r="AG69" s="245" t="str">
        <f t="shared" si="13"/>
        <v>EC</v>
      </c>
      <c r="AH69" s="237" t="str">
        <f t="shared" si="19"/>
        <v>"%USERPROFILE%\Documents\GitHub\eaglep3\Utilities\RefineRTDCRunTimes.py" --tripid 156-28 --locoid 4033 --swversion DE.1.0.9.0 --startMP 204:232979 --initTime 2017-11-28T11:07:20 --startdatetime 2017-11-28T11:27:14 --delay 53 --endMP 204:158 --enddatetime 2017-11-28T12:06:05 --enforcementcount 0 &gt;&gt;%USERPROFILE%\Documents\GitHub\eaglep3-reporting\EC\2017-11-28-refined-times.txt</v>
      </c>
      <c r="AI69" s="239" t="str">
        <f t="shared" si="20"/>
        <v>echo {"issue":{"subject":"","project_id":79,"tracker_id":40,"status_id":1,"priority_id":2,"assigned_to_id":338,"start_date":"2017-11-28","description":"","custom_fields":[{"id":1,"name":"Subdivision","value":"EC"},{"id":4,"name":"Milepost","value":"0.0158"},{"id":17,"name":"Train ID","value":"156-28"},{"id":16,"name":"Locomotive ID","value":"4033"},{"id":130,"name":"Impact","value":""},{"id":150,"name":"Time of Event (Mountain Time)","value":"12:06:05"},{"id":151,"name":"Denver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9" s="224"/>
      <c r="AK69" s="232"/>
      <c r="AL69" s="232"/>
      <c r="AM69" s="241" t="str">
        <f t="shared" si="21"/>
        <v>start /low /b %USERPROFILE%\Documents\GitHub\eaglep3\Utilities\DownloadLogsFromS3.py --loco 4033 --day 2017-11-28</v>
      </c>
      <c r="AN69" s="242" t="str">
        <f t="shared" si="2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19:06:05"},{"id":29,"name":"Sharepoint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231" t="str">
        <f t="shared" si="23"/>
        <v>https://d0f6bd738d7f1b3e5a7ca70fe4ff75f0.us-east-1.aws.found.io/app/kibana#/discover/Steve-Slow-Train-Analysis-(2080s-and-2083s)?_g=(refreshInterval:(display:Off,pause:!f,section:0,value:0),time:(from:'2017-11-28T10:07:20-0700',mode:absolute,to:'2017-11-28T13:06:05-0700'))&amp;_a=(columns:!('Message%20ID',Summary),filters:!(),index:'emp_*',interval:auto,query:(query_string:(analyze_wildcard:!t,query:'%22rtdc.l.rtdc.4033%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230" t="s">
        <v>751</v>
      </c>
      <c r="B70" s="226">
        <v>4008</v>
      </c>
      <c r="C70" s="228" t="s">
        <v>192</v>
      </c>
      <c r="D70" s="228" t="s">
        <v>454</v>
      </c>
      <c r="E70" s="227">
        <v>43067.443472222221</v>
      </c>
      <c r="F70" s="227">
        <v>43067.448333333334</v>
      </c>
      <c r="G70" s="226">
        <v>107</v>
      </c>
      <c r="H70" s="228" t="s">
        <v>496</v>
      </c>
      <c r="I70" s="227">
        <v>43067.473067129627</v>
      </c>
      <c r="J70" s="226">
        <v>0</v>
      </c>
      <c r="K70" s="238" t="str">
        <f t="shared" si="0"/>
        <v>4007/4008</v>
      </c>
      <c r="L70" s="246" t="str">
        <f>VLOOKUP(A70,'Trips&amp;Operators'!$C$1:$G$99911,5,FALSE)</f>
        <v>DAVIS MICHAEL</v>
      </c>
      <c r="M70" s="225">
        <f t="shared" si="1"/>
        <v>2.4733796293730848E-2</v>
      </c>
      <c r="N70" s="226">
        <f t="shared" si="33"/>
        <v>35.61666666297242</v>
      </c>
      <c r="O70" s="226"/>
      <c r="P70" s="226"/>
      <c r="Q70" s="229"/>
      <c r="R70" s="243"/>
      <c r="S70" s="250">
        <f t="shared" si="32"/>
        <v>1</v>
      </c>
      <c r="T70" s="243" t="str">
        <f t="shared" si="4"/>
        <v>NorthBound</v>
      </c>
      <c r="U70" s="247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49" t="str">
        <f t="shared" si="5"/>
        <v>https://d0f6bd738d7f1b3e5a7ca70fe4ff75f0.us-east-1.aws.found.io/app/kibana#/discover/Steve-Slow-Train-Analysis-(2080s-and-2083s)?_g=(refreshInterval:(display:Off,pause:!f,section:0,value:0),time:(from:'2017-11-28T09:38:36-0700',mode:absolute,to:'2017-11-28T12:21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70" s="248" t="str">
        <f>IF(AA70&lt;VLOOKUP(AG70,Variables!$AC$3:$AD$8,2,FALSE),"Y","N")</f>
        <v>N</v>
      </c>
      <c r="X70" s="248">
        <f t="shared" si="34"/>
        <v>1</v>
      </c>
      <c r="Y70" s="248">
        <f t="shared" si="30"/>
        <v>5.11E-2</v>
      </c>
      <c r="Z70" s="248">
        <f t="shared" si="35"/>
        <v>23.329899999999999</v>
      </c>
      <c r="AA70" s="248">
        <f t="shared" si="9"/>
        <v>23.278799999999997</v>
      </c>
      <c r="AB70" s="234" t="e">
        <f>VLOOKUP(A70,Enforcements!$C$7:$K$9,8,0)</f>
        <v>#N/A</v>
      </c>
      <c r="AC70" s="233" t="e">
        <f>VLOOKUP(A70,Enforcements!$C$7:$E$9,3,0)</f>
        <v>#N/A</v>
      </c>
      <c r="AD70" s="244">
        <f t="shared" si="10"/>
        <v>157</v>
      </c>
      <c r="AE70" s="236" t="str">
        <f t="shared" si="11"/>
        <v>aws s3 cp s3://rtdc.mdm.uploadarchive.raw/RTDC4008/ "%USERPROFILE%\AppData\Local\Temp\OnboardLogs"\RTDC4008\2017-11-28 --exclude "*" --recursive --include "*20171128*" &amp; "%USERPROFILE%\Documents\GitHub\mrs-test-scripts\Headless Mode &amp; Sideloading\WalkAndUnGZ.bat" "%USERPROFILE%\AppData\Local\Temp\OnboardLogs"\RTDC4008\2017-11-28 &amp; aws s3 cp s3://rtdc.mdm.uploadarchive.raw/RTDC4008/ "%USERPROFILE%\AppData\Local\Temp\OnboardLogs"\RTDC4008\2017-11-29 --exclude "*" --recursive --include "*20171129*" &amp; "%USERPROFILE%\Documents\GitHub\mrs-test-scripts\Headless Mode &amp; Sideloading\WalkAndUnGZ.bat" "%USERPROFILE%\AppData\Local\Temp\OnboardLogs"\RTDC4008\2017-11-29</v>
      </c>
      <c r="AF70" s="235" t="str">
        <f t="shared" si="12"/>
        <v>"C:\Program Files (x86)\AstroGrep\AstroGrep.exe" /e /r /s /spath="%USERPROFILE%\AppData\Local\Temp\OnboardLogs" /stypes="app*4008*20171128*" /stext=" 18:.+((SYSTEM_STATE.+slice.+state.+changed )|(ment ac)|(multiple cpu faults)|(system.+state.+changed )|(\[timeout)|(PRM\|1\|D)|(kpr)|(kdp)|(train st.+moving)|(\|lc)|(penalty))"</v>
      </c>
      <c r="AG70" s="245" t="str">
        <f t="shared" si="13"/>
        <v>EC</v>
      </c>
      <c r="AH70" s="237" t="str">
        <f t="shared" si="19"/>
        <v>"%USERPROFILE%\Documents\GitHub\eaglep3\Utilities\RefineRTDCRunTimes.py" --tripid 157-28 --locoid 4008 --swversion DE.1.0.9.0 --startMP 204:511 --initTime 2017-11-28T10:38:36 --startdatetime 2017-11-28T10:45:36 --delay 107 --endMP 204:233299 --enddatetime 2017-11-28T11:21:13 --enforcementcount 0 &gt;&gt;%USERPROFILE%\Documents\GitHub\eaglep3-reporting\EC\2017-11-28-refined-times.txt</v>
      </c>
      <c r="AI70" s="239" t="str">
        <f t="shared" si="20"/>
        <v>echo {"issue":{"subject":"","project_id":79,"tracker_id":40,"status_id":1,"priority_id":2,"assigned_to_id":338,"start_date":"2017-11-28","description":"","custom_fields":[{"id":1,"name":"Subdivision","value":"EC"},{"id":4,"name":"Milepost","value":"23.3299"},{"id":17,"name":"Train ID","value":"157-28"},{"id":16,"name":"Locomotive ID","value":"4008"},{"id":130,"name":"Impact","value":""},{"id":150,"name":"Time of Event (Mountain Time)","value":"11:21:13"},{"id":151,"name":"Denver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0" s="224"/>
      <c r="AK70" s="232"/>
      <c r="AL70" s="232"/>
      <c r="AM70" s="241" t="str">
        <f t="shared" si="21"/>
        <v>start /low /b %USERPROFILE%\Documents\GitHub\eaglep3\Utilities\DownloadLogsFromS3.py --loco 4008 --day 2017-11-28</v>
      </c>
      <c r="AN70" s="242" t="str">
        <f t="shared" si="2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18:21:13"},{"id":29,"name":"Sharepoint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231" t="str">
        <f t="shared" si="23"/>
        <v>https://d0f6bd738d7f1b3e5a7ca70fe4ff75f0.us-east-1.aws.found.io/app/kibana#/discover/Steve-Slow-Train-Analysis-(2080s-and-2083s)?_g=(refreshInterval:(display:Off,pause:!f,section:0,value:0),time:(from:'2017-11-28T09:38:36-0700',mode:absolute,to:'2017-11-28T12:21:13-0700'))&amp;_a=(columns:!('Message%20ID',Summary),filters:!(),index:'emp_*',interval:auto,query:(query_string:(analyze_wildcard:!t,query:'%22rtdc.l.rtdc.4008%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230" t="s">
        <v>764</v>
      </c>
      <c r="B71" s="226">
        <v>4007</v>
      </c>
      <c r="C71" s="228" t="s">
        <v>192</v>
      </c>
      <c r="D71" s="228" t="s">
        <v>929</v>
      </c>
      <c r="E71" s="227">
        <v>43067.48537037037</v>
      </c>
      <c r="F71" s="227">
        <v>43067.488032407404</v>
      </c>
      <c r="G71" s="226">
        <v>91</v>
      </c>
      <c r="H71" s="228" t="s">
        <v>930</v>
      </c>
      <c r="I71" s="227">
        <v>43067.515057870369</v>
      </c>
      <c r="J71" s="226">
        <v>0</v>
      </c>
      <c r="K71" s="238" t="str">
        <f t="shared" si="0"/>
        <v>4007/4008</v>
      </c>
      <c r="L71" s="246" t="str">
        <f>VLOOKUP(A71,'Trips&amp;Operators'!$C$1:$G$99911,5,FALSE)</f>
        <v>DAVIS MICHAEL</v>
      </c>
      <c r="M71" s="225">
        <f t="shared" si="1"/>
        <v>2.7025462964957114E-2</v>
      </c>
      <c r="N71" s="226">
        <f t="shared" si="33"/>
        <v>38.916666669538245</v>
      </c>
      <c r="O71" s="226"/>
      <c r="P71" s="226"/>
      <c r="Q71" s="229"/>
      <c r="R71" s="243"/>
      <c r="S71" s="250">
        <f t="shared" si="32"/>
        <v>1</v>
      </c>
      <c r="T71" s="243" t="str">
        <f t="shared" si="4"/>
        <v>Southbound</v>
      </c>
      <c r="U71" s="247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49" t="str">
        <f t="shared" si="5"/>
        <v>https://d0f6bd738d7f1b3e5a7ca70fe4ff75f0.us-east-1.aws.found.io/app/kibana#/discover/Steve-Slow-Train-Analysis-(2080s-and-2083s)?_g=(refreshInterval:(display:Off,pause:!f,section:0,value:0),time:(from:'2017-11-28T10:38:56-0700',mode:absolute,to:'2017-11-28T13:21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71" s="248" t="str">
        <f>IF(AA71&lt;VLOOKUP(AG71,Variables!$AC$3:$AD$8,2,FALSE),"Y","N")</f>
        <v>N</v>
      </c>
      <c r="X71" s="248">
        <f t="shared" si="34"/>
        <v>1</v>
      </c>
      <c r="Y71" s="248">
        <f t="shared" ref="Y71:Y102" si="36">RIGHT(D71,LEN(D71)-4)/10000</f>
        <v>23.296500000000002</v>
      </c>
      <c r="Z71" s="248">
        <f t="shared" si="35"/>
        <v>0.02</v>
      </c>
      <c r="AA71" s="248">
        <f t="shared" si="9"/>
        <v>23.276500000000002</v>
      </c>
      <c r="AB71" s="234" t="e">
        <f>VLOOKUP(A71,Enforcements!$C$7:$K$9,8,0)</f>
        <v>#N/A</v>
      </c>
      <c r="AC71" s="233" t="e">
        <f>VLOOKUP(A71,Enforcements!$C$7:$E$9,3,0)</f>
        <v>#N/A</v>
      </c>
      <c r="AD71" s="244">
        <f t="shared" si="10"/>
        <v>158</v>
      </c>
      <c r="AE71" s="236" t="str">
        <f t="shared" si="11"/>
        <v>aws s3 cp s3://rtdc.mdm.uploadarchive.raw/RTDC4007/ "%USERPROFILE%\AppData\Local\Temp\OnboardLogs"\RTDC4007\2017-11-28 --exclude "*" --recursive --include "*20171128*" &amp; "%USERPROFILE%\Documents\GitHub\mrs-test-scripts\Headless Mode &amp; Sideloading\WalkAndUnGZ.bat" "%USERPROFILE%\AppData\Local\Temp\OnboardLogs"\RTDC4007\2017-11-28 &amp; aws s3 cp s3://rtdc.mdm.uploadarchive.raw/RTDC4007/ "%USERPROFILE%\AppData\Local\Temp\OnboardLogs"\RTDC4007\2017-11-29 --exclude "*" --recursive --include "*20171129*" &amp; "%USERPROFILE%\Documents\GitHub\mrs-test-scripts\Headless Mode &amp; Sideloading\WalkAndUnGZ.bat" "%USERPROFILE%\AppData\Local\Temp\OnboardLogs"\RTDC4007\2017-11-29</v>
      </c>
      <c r="AF71" s="235" t="str">
        <f t="shared" si="12"/>
        <v>"C:\Program Files (x86)\AstroGrep\AstroGrep.exe" /e /r /s /spath="%USERPROFILE%\AppData\Local\Temp\OnboardLogs" /stypes="app*4007*20171128*" /stext=" 19:.+((SYSTEM_STATE.+slice.+state.+changed )|(ment ac)|(multiple cpu faults)|(system.+state.+changed )|(\[timeout)|(PRM\|1\|D)|(kpr)|(kdp)|(train st.+moving)|(\|lc)|(penalty))"</v>
      </c>
      <c r="AG71" s="245" t="str">
        <f t="shared" si="13"/>
        <v>EC</v>
      </c>
      <c r="AH71" s="237" t="str">
        <f t="shared" si="19"/>
        <v>"%USERPROFILE%\Documents\GitHub\eaglep3\Utilities\RefineRTDCRunTimes.py" --tripid 158-28 --locoid 4007 --swversion DE.1.0.9.0 --startMP 204:232965 --initTime 2017-11-28T11:38:56 --startdatetime 2017-11-28T11:42:46 --delay 91 --endMP 204:200 --enddatetime 2017-11-28T12:21:41 --enforcementcount 0 &gt;&gt;%USERPROFILE%\Documents\GitHub\eaglep3-reporting\EC\2017-11-28-refined-times.txt</v>
      </c>
      <c r="AI71" s="239" t="str">
        <f t="shared" si="20"/>
        <v>echo {"issue":{"subject":"","project_id":79,"tracker_id":40,"status_id":1,"priority_id":2,"assigned_to_id":338,"start_date":"2017-11-28","description":"","custom_fields":[{"id":1,"name":"Subdivision","value":"EC"},{"id":4,"name":"Milepost","value":"0.02"},{"id":17,"name":"Train ID","value":"158-28"},{"id":16,"name":"Locomotive ID","value":"4007"},{"id":130,"name":"Impact","value":""},{"id":150,"name":"Time of Event (Mountain Time)","value":"12:21:41"},{"id":151,"name":"Denver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1" s="224"/>
      <c r="AK71" s="232"/>
      <c r="AL71" s="232"/>
      <c r="AM71" s="241" t="str">
        <f t="shared" si="21"/>
        <v>start /low /b %USERPROFILE%\Documents\GitHub\eaglep3\Utilities\DownloadLogsFromS3.py --loco 4007 --day 2017-11-28</v>
      </c>
      <c r="AN71" s="242" t="str">
        <f t="shared" si="2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19:21:41"},{"id":29,"name":"Sharepoint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231" t="str">
        <f t="shared" si="23"/>
        <v>https://d0f6bd738d7f1b3e5a7ca70fe4ff75f0.us-east-1.aws.found.io/app/kibana#/discover/Steve-Slow-Train-Analysis-(2080s-and-2083s)?_g=(refreshInterval:(display:Off,pause:!f,section:0,value:0),time:(from:'2017-11-28T10:38:56-0700',mode:absolute,to:'2017-11-28T13:21:41-0700'))&amp;_a=(columns:!('Message%20ID',Summary),filters:!(),index:'emp_*',interval:auto,query:(query_string:(analyze_wildcard:!t,query:'%22rtdc.l.rtdc.4007%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230" t="s">
        <v>754</v>
      </c>
      <c r="B72" s="226">
        <v>4050</v>
      </c>
      <c r="C72" s="228" t="s">
        <v>192</v>
      </c>
      <c r="D72" s="228" t="s">
        <v>931</v>
      </c>
      <c r="E72" s="227">
        <v>43067.456122685187</v>
      </c>
      <c r="F72" s="227">
        <v>43067.458680555559</v>
      </c>
      <c r="G72" s="226">
        <v>97</v>
      </c>
      <c r="H72" s="228" t="s">
        <v>932</v>
      </c>
      <c r="I72" s="227">
        <v>43067.483483796299</v>
      </c>
      <c r="J72" s="226">
        <v>0</v>
      </c>
      <c r="K72" s="238" t="str">
        <f t="shared" si="0"/>
        <v>4049/4050</v>
      </c>
      <c r="L72" s="246" t="str">
        <f>VLOOKUP(A72,'Trips&amp;Operators'!$C$1:$G$99911,5,FALSE)</f>
        <v>MACDONALD THOMAS</v>
      </c>
      <c r="M72" s="225">
        <f t="shared" si="1"/>
        <v>2.4803240739856847E-2</v>
      </c>
      <c r="N72" s="226">
        <f t="shared" si="33"/>
        <v>35.716666665393859</v>
      </c>
      <c r="O72" s="226"/>
      <c r="P72" s="226"/>
      <c r="Q72" s="229"/>
      <c r="R72" s="243"/>
      <c r="S72" s="250">
        <f t="shared" si="32"/>
        <v>1</v>
      </c>
      <c r="T72" s="243" t="str">
        <f t="shared" si="4"/>
        <v>NorthBound</v>
      </c>
      <c r="U72" s="247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49" t="str">
        <f t="shared" si="5"/>
        <v>https://d0f6bd738d7f1b3e5a7ca70fe4ff75f0.us-east-1.aws.found.io/app/kibana#/discover/Steve-Slow-Train-Analysis-(2080s-and-2083s)?_g=(refreshInterval:(display:Off,pause:!f,section:0,value:0),time:(from:'2017-11-28T09:56:49-0700',mode:absolute,to:'2017-11-28T12:36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72" s="248" t="str">
        <f>IF(AA72&lt;VLOOKUP(AG72,Variables!$AC$3:$AD$8,2,FALSE),"Y","N")</f>
        <v>N</v>
      </c>
      <c r="X72" s="248">
        <f t="shared" si="34"/>
        <v>1</v>
      </c>
      <c r="Y72" s="248">
        <f t="shared" si="36"/>
        <v>5.4800000000000001E-2</v>
      </c>
      <c r="Z72" s="248">
        <f t="shared" si="35"/>
        <v>23.314499999999999</v>
      </c>
      <c r="AA72" s="248">
        <f t="shared" si="9"/>
        <v>23.259699999999999</v>
      </c>
      <c r="AB72" s="234" t="e">
        <f>VLOOKUP(A72,Enforcements!$C$7:$K$9,8,0)</f>
        <v>#N/A</v>
      </c>
      <c r="AC72" s="233" t="e">
        <f>VLOOKUP(A72,Enforcements!$C$7:$E$9,3,0)</f>
        <v>#N/A</v>
      </c>
      <c r="AD72" s="244">
        <f t="shared" si="10"/>
        <v>159</v>
      </c>
      <c r="AE72" s="236" t="str">
        <f t="shared" si="11"/>
        <v>aws s3 cp s3://rtdc.mdm.uploadarchive.raw/RTDC4050/ "%USERPROFILE%\AppData\Local\Temp\OnboardLogs"\RTDC4050\2017-11-28 --exclude "*" --recursive --include "*20171128*" &amp; "%USERPROFILE%\Documents\GitHub\mrs-test-scripts\Headless Mode &amp; Sideloading\WalkAndUnGZ.bat" "%USERPROFILE%\AppData\Local\Temp\OnboardLogs"\RTDC4050\2017-11-28 &amp; aws s3 cp s3://rtdc.mdm.uploadarchive.raw/RTDC4050/ "%USERPROFILE%\AppData\Local\Temp\OnboardLogs"\RTDC4050\2017-11-29 --exclude "*" --recursive --include "*20171129*" &amp; "%USERPROFILE%\Documents\GitHub\mrs-test-scripts\Headless Mode &amp; Sideloading\WalkAndUnGZ.bat" "%USERPROFILE%\AppData\Local\Temp\OnboardLogs"\RTDC4050\2017-11-29</v>
      </c>
      <c r="AF72" s="235" t="str">
        <f t="shared" si="12"/>
        <v>"C:\Program Files (x86)\AstroGrep\AstroGrep.exe" /e /r /s /spath="%USERPROFILE%\AppData\Local\Temp\OnboardLogs" /stypes="app*4050*20171128*" /stext=" 18:.+((SYSTEM_STATE.+slice.+state.+changed )|(ment ac)|(multiple cpu faults)|(system.+state.+changed )|(\[timeout)|(PRM\|1\|D)|(kpr)|(kdp)|(train st.+moving)|(\|lc)|(penalty))"</v>
      </c>
      <c r="AG72" s="245" t="str">
        <f t="shared" si="13"/>
        <v>EC</v>
      </c>
      <c r="AH72" s="237" t="str">
        <f t="shared" si="19"/>
        <v>"%USERPROFILE%\Documents\GitHub\eaglep3\Utilities\RefineRTDCRunTimes.py" --tripid 159-28 --locoid 4050 --swversion DE.1.0.9.0 --startMP 204:548 --initTime 2017-11-28T10:56:49 --startdatetime 2017-11-28T11:00:30 --delay 97 --endMP 204:233145 --enddatetime 2017-11-28T11:36:13 --enforcementcount 0 &gt;&gt;%USERPROFILE%\Documents\GitHub\eaglep3-reporting\EC\2017-11-28-refined-times.txt</v>
      </c>
      <c r="AI72" s="239" t="str">
        <f t="shared" si="20"/>
        <v>echo {"issue":{"subject":"","project_id":79,"tracker_id":40,"status_id":1,"priority_id":2,"assigned_to_id":338,"start_date":"2017-11-28","description":"","custom_fields":[{"id":1,"name":"Subdivision","value":"EC"},{"id":4,"name":"Milepost","value":"23.3145"},{"id":17,"name":"Train ID","value":"159-28"},{"id":16,"name":"Locomotive ID","value":"4050"},{"id":130,"name":"Impact","value":""},{"id":150,"name":"Time of Event (Mountain Time)","value":"11:36:13"},{"id":151,"name":"Denver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2" s="224"/>
      <c r="AK72" s="232"/>
      <c r="AL72" s="232"/>
      <c r="AM72" s="241" t="str">
        <f t="shared" si="21"/>
        <v>start /low /b %USERPROFILE%\Documents\GitHub\eaglep3\Utilities\DownloadLogsFromS3.py --loco 4050 --day 2017-11-28</v>
      </c>
      <c r="AN72" s="242" t="str">
        <f t="shared" si="2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18:36:13"},{"id":29,"name":"Sharepoint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231" t="str">
        <f t="shared" si="23"/>
        <v>https://d0f6bd738d7f1b3e5a7ca70fe4ff75f0.us-east-1.aws.found.io/app/kibana#/discover/Steve-Slow-Train-Analysis-(2080s-and-2083s)?_g=(refreshInterval:(display:Off,pause:!f,section:0,value:0),time:(from:'2017-11-28T09:56:49-0700',mode:absolute,to:'2017-11-28T12:36:13-0700'))&amp;_a=(columns:!('Message%20ID',Summary),filters:!(),index:'emp_*',interval:auto,query:(query_string:(analyze_wildcard:!t,query:'%22rtdc.l.rtdc.4050%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230" t="s">
        <v>765</v>
      </c>
      <c r="B73" s="226">
        <v>4049</v>
      </c>
      <c r="C73" s="228" t="s">
        <v>192</v>
      </c>
      <c r="D73" s="228" t="s">
        <v>933</v>
      </c>
      <c r="E73" s="227">
        <v>43067.488993055558</v>
      </c>
      <c r="F73" s="227">
        <v>43067.498483796298</v>
      </c>
      <c r="G73" s="226">
        <v>326</v>
      </c>
      <c r="H73" s="228" t="s">
        <v>462</v>
      </c>
      <c r="I73" s="227">
        <v>43067.524074074077</v>
      </c>
      <c r="J73" s="226">
        <v>0</v>
      </c>
      <c r="K73" s="238" t="str">
        <f t="shared" si="0"/>
        <v>4049/4050</v>
      </c>
      <c r="L73" s="246" t="str">
        <f>VLOOKUP(A73,'Trips&amp;Operators'!$C$1:$G$99911,5,FALSE)</f>
        <v>MACDONALD THOMAS</v>
      </c>
      <c r="M73" s="225">
        <f t="shared" si="1"/>
        <v>2.5590277778974269E-2</v>
      </c>
      <c r="N73" s="226">
        <f t="shared" si="33"/>
        <v>36.850000001722947</v>
      </c>
      <c r="O73" s="226"/>
      <c r="P73" s="226"/>
      <c r="Q73" s="229"/>
      <c r="R73" s="243"/>
      <c r="S73" s="250">
        <f t="shared" si="32"/>
        <v>1</v>
      </c>
      <c r="T73" s="243" t="str">
        <f t="shared" si="4"/>
        <v>Southbound</v>
      </c>
      <c r="U73" s="247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49" t="str">
        <f t="shared" si="5"/>
        <v>https://d0f6bd738d7f1b3e5a7ca70fe4ff75f0.us-east-1.aws.found.io/app/kibana#/discover/Steve-Slow-Train-Analysis-(2080s-and-2083s)?_g=(refreshInterval:(display:Off,pause:!f,section:0,value:0),time:(from:'2017-11-28T10:44:09-0700',mode:absolute,to:'2017-11-28T13:34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73" s="248" t="str">
        <f>IF(AA73&lt;VLOOKUP(AG73,Variables!$AC$3:$AD$8,2,FALSE),"Y","N")</f>
        <v>N</v>
      </c>
      <c r="X73" s="248">
        <f t="shared" si="34"/>
        <v>1</v>
      </c>
      <c r="Y73" s="248">
        <f t="shared" si="36"/>
        <v>23.282599999999999</v>
      </c>
      <c r="Z73" s="248">
        <f t="shared" si="35"/>
        <v>2.18E-2</v>
      </c>
      <c r="AA73" s="248">
        <f t="shared" si="9"/>
        <v>23.2608</v>
      </c>
      <c r="AB73" s="234" t="e">
        <f>VLOOKUP(A73,Enforcements!$C$7:$K$9,8,0)</f>
        <v>#N/A</v>
      </c>
      <c r="AC73" s="233" t="e">
        <f>VLOOKUP(A73,Enforcements!$C$7:$E$9,3,0)</f>
        <v>#N/A</v>
      </c>
      <c r="AD73" s="244">
        <f t="shared" si="10"/>
        <v>160</v>
      </c>
      <c r="AE73" s="236" t="str">
        <f t="shared" si="11"/>
        <v>aws s3 cp s3://rtdc.mdm.uploadarchive.raw/RTDC4049/ "%USERPROFILE%\AppData\Local\Temp\OnboardLogs"\RTDC4049\2017-11-28 --exclude "*" --recursive --include "*20171128*" &amp; "%USERPROFILE%\Documents\GitHub\mrs-test-scripts\Headless Mode &amp; Sideloading\WalkAndUnGZ.bat" "%USERPROFILE%\AppData\Local\Temp\OnboardLogs"\RTDC4049\2017-11-28 &amp; aws s3 cp s3://rtdc.mdm.uploadarchive.raw/RTDC4049/ "%USERPROFILE%\AppData\Local\Temp\OnboardLogs"\RTDC4049\2017-11-29 --exclude "*" --recursive --include "*20171129*" &amp; "%USERPROFILE%\Documents\GitHub\mrs-test-scripts\Headless Mode &amp; Sideloading\WalkAndUnGZ.bat" "%USERPROFILE%\AppData\Local\Temp\OnboardLogs"\RTDC4049\2017-11-29</v>
      </c>
      <c r="AF73" s="235" t="str">
        <f t="shared" si="12"/>
        <v>"C:\Program Files (x86)\AstroGrep\AstroGrep.exe" /e /r /s /spath="%USERPROFILE%\AppData\Local\Temp\OnboardLogs" /stypes="app*4049*20171128*" /stext=" 19:.+((SYSTEM_STATE.+slice.+state.+changed )|(ment ac)|(multiple cpu faults)|(system.+state.+changed )|(\[timeout)|(PRM\|1\|D)|(kpr)|(kdp)|(train st.+moving)|(\|lc)|(penalty))"</v>
      </c>
      <c r="AG73" s="245" t="str">
        <f t="shared" si="13"/>
        <v>EC</v>
      </c>
      <c r="AH73" s="237" t="str">
        <f t="shared" si="19"/>
        <v>"%USERPROFILE%\Documents\GitHub\eaglep3\Utilities\RefineRTDCRunTimes.py" --tripid 160-28 --locoid 4049 --swversion DE.1.0.9.0 --startMP 204:232826 --initTime 2017-11-28T11:44:09 --startdatetime 2017-11-28T11:57:49 --delay 326 --endMP 204:218 --enddatetime 2017-11-28T12:34:40 --enforcementcount 0 &gt;&gt;%USERPROFILE%\Documents\GitHub\eaglep3-reporting\EC\2017-11-28-refined-times.txt</v>
      </c>
      <c r="AI73" s="239" t="str">
        <f t="shared" si="20"/>
        <v>echo {"issue":{"subject":"","project_id":79,"tracker_id":40,"status_id":1,"priority_id":2,"assigned_to_id":338,"start_date":"2017-11-28","description":"","custom_fields":[{"id":1,"name":"Subdivision","value":"EC"},{"id":4,"name":"Milepost","value":"0.0218"},{"id":17,"name":"Train ID","value":"160-28"},{"id":16,"name":"Locomotive ID","value":"4049"},{"id":130,"name":"Impact","value":""},{"id":150,"name":"Time of Event (Mountain Time)","value":"12:34:40"},{"id":151,"name":"Denver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3" s="224"/>
      <c r="AK73" s="232"/>
      <c r="AL73" s="232"/>
      <c r="AM73" s="241" t="str">
        <f t="shared" si="21"/>
        <v>start /low /b %USERPROFILE%\Documents\GitHub\eaglep3\Utilities\DownloadLogsFromS3.py --loco 4049 --day 2017-11-28</v>
      </c>
      <c r="AN73" s="242" t="str">
        <f t="shared" si="2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19:34:40"},{"id":29,"name":"Sharepoint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231" t="str">
        <f t="shared" si="23"/>
        <v>https://d0f6bd738d7f1b3e5a7ca70fe4ff75f0.us-east-1.aws.found.io/app/kibana#/discover/Steve-Slow-Train-Analysis-(2080s-and-2083s)?_g=(refreshInterval:(display:Off,pause:!f,section:0,value:0),time:(from:'2017-11-28T10:44:09-0700',mode:absolute,to:'2017-11-28T13:34:40-0700'))&amp;_a=(columns:!('Message%20ID',Summary),filters:!(),index:'emp_*',interval:auto,query:(query_string:(analyze_wildcard:!t,query:'%22rtdc.l.rtdc.4049%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230" t="s">
        <v>756</v>
      </c>
      <c r="B74" s="226">
        <v>4060</v>
      </c>
      <c r="C74" s="228" t="s">
        <v>192</v>
      </c>
      <c r="D74" s="228" t="s">
        <v>597</v>
      </c>
      <c r="E74" s="227">
        <v>43067.466099537036</v>
      </c>
      <c r="F74" s="227">
        <v>43067.4690162037</v>
      </c>
      <c r="G74" s="226">
        <v>115</v>
      </c>
      <c r="H74" s="228" t="s">
        <v>934</v>
      </c>
      <c r="I74" s="227">
        <v>43067.492986111109</v>
      </c>
      <c r="J74" s="226">
        <v>0</v>
      </c>
      <c r="K74" s="238" t="str">
        <f t="shared" si="0"/>
        <v>4059/4060</v>
      </c>
      <c r="L74" s="246" t="str">
        <f>VLOOKUP(A74,'Trips&amp;Operators'!$C$1:$G$99911,5,FALSE)</f>
        <v>BRUDER RICHARD</v>
      </c>
      <c r="M74" s="225">
        <f t="shared" si="1"/>
        <v>2.396990740817273E-2</v>
      </c>
      <c r="N74" s="226">
        <f t="shared" si="33"/>
        <v>34.516666667768732</v>
      </c>
      <c r="O74" s="226"/>
      <c r="P74" s="226"/>
      <c r="Q74" s="229"/>
      <c r="R74" s="243"/>
      <c r="S74" s="250">
        <f t="shared" ref="S74:S105" si="37">1/IF(AG74="EC",12,1)*SUM(U74:U74)</f>
        <v>1</v>
      </c>
      <c r="T74" s="243" t="str">
        <f t="shared" si="4"/>
        <v>NorthBound</v>
      </c>
      <c r="U74" s="247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49" t="str">
        <f t="shared" si="5"/>
        <v>https://d0f6bd738d7f1b3e5a7ca70fe4ff75f0.us-east-1.aws.found.io/app/kibana#/discover/Steve-Slow-Train-Analysis-(2080s-and-2083s)?_g=(refreshInterval:(display:Off,pause:!f,section:0,value:0),time:(from:'2017-11-28T10:11:11-0700',mode:absolute,to:'2017-11-28T12:49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74" s="248" t="str">
        <f>IF(AA74&lt;VLOOKUP(AG74,Variables!$AC$3:$AD$8,2,FALSE),"Y","N")</f>
        <v>N</v>
      </c>
      <c r="X74" s="248">
        <f t="shared" si="34"/>
        <v>1</v>
      </c>
      <c r="Y74" s="248">
        <f t="shared" si="36"/>
        <v>5.0599999999999999E-2</v>
      </c>
      <c r="Z74" s="248">
        <f t="shared" si="35"/>
        <v>23.320900000000002</v>
      </c>
      <c r="AA74" s="248">
        <f t="shared" si="9"/>
        <v>23.270300000000002</v>
      </c>
      <c r="AB74" s="234" t="e">
        <f>VLOOKUP(A74,Enforcements!$C$7:$K$9,8,0)</f>
        <v>#N/A</v>
      </c>
      <c r="AC74" s="233" t="e">
        <f>VLOOKUP(A74,Enforcements!$C$7:$E$9,3,0)</f>
        <v>#N/A</v>
      </c>
      <c r="AD74" s="244">
        <f t="shared" si="10"/>
        <v>161</v>
      </c>
      <c r="AE74" s="236" t="str">
        <f t="shared" si="11"/>
        <v>aws s3 cp s3://rtdc.mdm.uploadarchive.raw/RTDC4060/ "%USERPROFILE%\AppData\Local\Temp\OnboardLogs"\RTDC4060\2017-11-28 --exclude "*" --recursive --include "*20171128*" &amp; "%USERPROFILE%\Documents\GitHub\mrs-test-scripts\Headless Mode &amp; Sideloading\WalkAndUnGZ.bat" "%USERPROFILE%\AppData\Local\Temp\OnboardLogs"\RTDC4060\2017-11-28 &amp; aws s3 cp s3://rtdc.mdm.uploadarchive.raw/RTDC4060/ "%USERPROFILE%\AppData\Local\Temp\OnboardLogs"\RTDC4060\2017-11-29 --exclude "*" --recursive --include "*20171129*" &amp; "%USERPROFILE%\Documents\GitHub\mrs-test-scripts\Headless Mode &amp; Sideloading\WalkAndUnGZ.bat" "%USERPROFILE%\AppData\Local\Temp\OnboardLogs"\RTDC4060\2017-11-29</v>
      </c>
      <c r="AF74" s="235" t="str">
        <f t="shared" si="12"/>
        <v>"C:\Program Files (x86)\AstroGrep\AstroGrep.exe" /e /r /s /spath="%USERPROFILE%\AppData\Local\Temp\OnboardLogs" /stypes="app*4060*20171128*" /stext=" 18:.+((SYSTEM_STATE.+slice.+state.+changed )|(ment ac)|(multiple cpu faults)|(system.+state.+changed )|(\[timeout)|(PRM\|1\|D)|(kpr)|(kdp)|(train st.+moving)|(\|lc)|(penalty))"</v>
      </c>
      <c r="AG74" s="245" t="str">
        <f t="shared" si="13"/>
        <v>EC</v>
      </c>
      <c r="AH74" s="237" t="str">
        <f t="shared" si="19"/>
        <v>"%USERPROFILE%\Documents\GitHub\eaglep3\Utilities\RefineRTDCRunTimes.py" --tripid 161-28 --locoid 4060 --swversion DE.1.0.9.0 --startMP 204:506 --initTime 2017-11-28T11:11:11 --startdatetime 2017-11-28T11:15:23 --delay 115 --endMP 204:233209 --enddatetime 2017-11-28T11:49:54 --enforcementcount 0 &gt;&gt;%USERPROFILE%\Documents\GitHub\eaglep3-reporting\EC\2017-11-28-refined-times.txt</v>
      </c>
      <c r="AI74" s="239" t="str">
        <f t="shared" si="20"/>
        <v>echo {"issue":{"subject":"","project_id":79,"tracker_id":40,"status_id":1,"priority_id":2,"assigned_to_id":338,"start_date":"2017-11-28","description":"","custom_fields":[{"id":1,"name":"Subdivision","value":"EC"},{"id":4,"name":"Milepost","value":"23.3209"},{"id":17,"name":"Train ID","value":"161-28"},{"id":16,"name":"Locomotive ID","value":"4060"},{"id":130,"name":"Impact","value":""},{"id":150,"name":"Time of Event (Mountain Time)","value":"11:49:54"},{"id":151,"name":"Denver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4" s="224"/>
      <c r="AK74" s="232"/>
      <c r="AL74" s="232"/>
      <c r="AM74" s="241" t="str">
        <f t="shared" si="21"/>
        <v>start /low /b %USERPROFILE%\Documents\GitHub\eaglep3\Utilities\DownloadLogsFromS3.py --loco 4060 --day 2017-11-28</v>
      </c>
      <c r="AN74" s="242" t="str">
        <f t="shared" si="2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18:49:54"},{"id":29,"name":"Sharepoint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231" t="str">
        <f t="shared" si="23"/>
        <v>https://d0f6bd738d7f1b3e5a7ca70fe4ff75f0.us-east-1.aws.found.io/app/kibana#/discover/Steve-Slow-Train-Analysis-(2080s-and-2083s)?_g=(refreshInterval:(display:Off,pause:!f,section:0,value:0),time:(from:'2017-11-28T10:11:11-0700',mode:absolute,to:'2017-11-28T12:49:54-0700'))&amp;_a=(columns:!('Message%20ID',Summary),filters:!(),index:'emp_*',interval:auto,query:(query_string:(analyze_wildcard:!t,query:'%22rtdc.l.rtdc.4060%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230" t="s">
        <v>768</v>
      </c>
      <c r="B75" s="226">
        <v>4059</v>
      </c>
      <c r="C75" s="228" t="s">
        <v>192</v>
      </c>
      <c r="D75" s="228" t="s">
        <v>935</v>
      </c>
      <c r="E75" s="227">
        <v>43067.505231481482</v>
      </c>
      <c r="F75" s="227">
        <v>43067.508518518516</v>
      </c>
      <c r="G75" s="226">
        <v>144</v>
      </c>
      <c r="H75" s="228" t="s">
        <v>415</v>
      </c>
      <c r="I75" s="227">
        <v>43067.53402777778</v>
      </c>
      <c r="J75" s="226">
        <v>0</v>
      </c>
      <c r="K75" s="238" t="str">
        <f t="shared" si="0"/>
        <v>4059/4060</v>
      </c>
      <c r="L75" s="246" t="str">
        <f>VLOOKUP(A75,'Trips&amp;Operators'!$C$1:$G$99911,5,FALSE)</f>
        <v>BRUDER RICHARD</v>
      </c>
      <c r="M75" s="225">
        <f t="shared" si="1"/>
        <v>2.5509259263344575E-2</v>
      </c>
      <c r="N75" s="226">
        <f t="shared" ref="N75:N106" si="38">24*60*SUM($M75:$M75)</f>
        <v>36.733333339216188</v>
      </c>
      <c r="O75" s="226"/>
      <c r="P75" s="226"/>
      <c r="Q75" s="229"/>
      <c r="R75" s="243"/>
      <c r="S75" s="250">
        <f t="shared" si="37"/>
        <v>1</v>
      </c>
      <c r="T75" s="243" t="str">
        <f t="shared" si="4"/>
        <v>Southbound</v>
      </c>
      <c r="U75" s="247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49" t="str">
        <f t="shared" si="5"/>
        <v>https://d0f6bd738d7f1b3e5a7ca70fe4ff75f0.us-east-1.aws.found.io/app/kibana#/discover/Steve-Slow-Train-Analysis-(2080s-and-2083s)?_g=(refreshInterval:(display:Off,pause:!f,section:0,value:0),time:(from:'2017-11-28T11:07:32-0700',mode:absolute,to:'2017-11-28T13:49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75" s="248" t="str">
        <f>IF(AA75&lt;VLOOKUP(AG75,Variables!$AC$3:$AD$8,2,FALSE),"Y","N")</f>
        <v>N</v>
      </c>
      <c r="X75" s="248">
        <f t="shared" si="34"/>
        <v>1</v>
      </c>
      <c r="Y75" s="248">
        <f t="shared" si="36"/>
        <v>23.288399999999999</v>
      </c>
      <c r="Z75" s="248">
        <f t="shared" si="35"/>
        <v>2.1399999999999999E-2</v>
      </c>
      <c r="AA75" s="248">
        <f t="shared" si="9"/>
        <v>23.266999999999999</v>
      </c>
      <c r="AB75" s="234" t="e">
        <f>VLOOKUP(A75,Enforcements!$C$7:$K$9,8,0)</f>
        <v>#N/A</v>
      </c>
      <c r="AC75" s="233" t="e">
        <f>VLOOKUP(A75,Enforcements!$C$7:$E$9,3,0)</f>
        <v>#N/A</v>
      </c>
      <c r="AD75" s="244">
        <f t="shared" si="10"/>
        <v>162</v>
      </c>
      <c r="AE75" s="236" t="str">
        <f t="shared" si="11"/>
        <v>aws s3 cp s3://rtdc.mdm.uploadarchive.raw/RTDC4059/ "%USERPROFILE%\AppData\Local\Temp\OnboardLogs"\RTDC4059\2017-11-28 --exclude "*" --recursive --include "*20171128*" &amp; "%USERPROFILE%\Documents\GitHub\mrs-test-scripts\Headless Mode &amp; Sideloading\WalkAndUnGZ.bat" "%USERPROFILE%\AppData\Local\Temp\OnboardLogs"\RTDC4059\2017-11-28 &amp; aws s3 cp s3://rtdc.mdm.uploadarchive.raw/RTDC4059/ "%USERPROFILE%\AppData\Local\Temp\OnboardLogs"\RTDC4059\2017-11-29 --exclude "*" --recursive --include "*20171129*" &amp; "%USERPROFILE%\Documents\GitHub\mrs-test-scripts\Headless Mode &amp; Sideloading\WalkAndUnGZ.bat" "%USERPROFILE%\AppData\Local\Temp\OnboardLogs"\RTDC4059\2017-11-29</v>
      </c>
      <c r="AF75" s="235" t="str">
        <f t="shared" si="12"/>
        <v>"C:\Program Files (x86)\AstroGrep\AstroGrep.exe" /e /r /s /spath="%USERPROFILE%\AppData\Local\Temp\OnboardLogs" /stypes="app*4059*20171128*" /stext=" 19:.+((SYSTEM_STATE.+slice.+state.+changed )|(ment ac)|(multiple cpu faults)|(system.+state.+changed )|(\[timeout)|(PRM\|1\|D)|(kpr)|(kdp)|(train st.+moving)|(\|lc)|(penalty))"</v>
      </c>
      <c r="AG75" s="245" t="str">
        <f t="shared" si="13"/>
        <v>EC</v>
      </c>
      <c r="AH75" s="237" t="str">
        <f t="shared" si="19"/>
        <v>"%USERPROFILE%\Documents\GitHub\eaglep3\Utilities\RefineRTDCRunTimes.py" --tripid 162-28 --locoid 4059 --swversion DE.1.0.9.0 --startMP 204:232884 --initTime 2017-11-28T12:07:32 --startdatetime 2017-11-28T12:12:16 --delay 144 --endMP 204:214 --enddatetime 2017-11-28T12:49:00 --enforcementcount 0 &gt;&gt;%USERPROFILE%\Documents\GitHub\eaglep3-reporting\EC\2017-11-28-refined-times.txt</v>
      </c>
      <c r="AI75" s="239" t="str">
        <f t="shared" si="20"/>
        <v>echo {"issue":{"subject":"","project_id":79,"tracker_id":40,"status_id":1,"priority_id":2,"assigned_to_id":338,"start_date":"2017-11-28","description":"","custom_fields":[{"id":1,"name":"Subdivision","value":"EC"},{"id":4,"name":"Milepost","value":"0.0214"},{"id":17,"name":"Train ID","value":"162-28"},{"id":16,"name":"Locomotive ID","value":"4059"},{"id":130,"name":"Impact","value":""},{"id":150,"name":"Time of Event (Mountain Time)","value":"12:49:00"},{"id":151,"name":"Denver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5" s="224"/>
      <c r="AK75" s="232"/>
      <c r="AL75" s="232"/>
      <c r="AM75" s="241" t="str">
        <f t="shared" si="21"/>
        <v>start /low /b %USERPROFILE%\Documents\GitHub\eaglep3\Utilities\DownloadLogsFromS3.py --loco 4059 --day 2017-11-28</v>
      </c>
      <c r="AN75" s="242" t="str">
        <f t="shared" si="2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19:49:00"},{"id":29,"name":"Sharepoint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231" t="str">
        <f t="shared" si="23"/>
        <v>https://d0f6bd738d7f1b3e5a7ca70fe4ff75f0.us-east-1.aws.found.io/app/kibana#/discover/Steve-Slow-Train-Analysis-(2080s-and-2083s)?_g=(refreshInterval:(display:Off,pause:!f,section:0,value:0),time:(from:'2017-11-28T11:07:32-0700',mode:absolute,to:'2017-11-28T13:49:00-0700'))&amp;_a=(columns:!('Message%20ID',Summary),filters:!(),index:'emp_*',interval:auto,query:(query_string:(analyze_wildcard:!t,query:'%22rtdc.l.rtdc.4059%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230" t="s">
        <v>760</v>
      </c>
      <c r="B76" s="226">
        <v>4056</v>
      </c>
      <c r="C76" s="228" t="s">
        <v>192</v>
      </c>
      <c r="D76" s="228" t="s">
        <v>936</v>
      </c>
      <c r="E76" s="227">
        <v>43067.475115740737</v>
      </c>
      <c r="F76" s="227">
        <v>43067.479513888888</v>
      </c>
      <c r="G76" s="226">
        <v>102</v>
      </c>
      <c r="H76" s="228" t="s">
        <v>937</v>
      </c>
      <c r="I76" s="227">
        <v>43067.504305555558</v>
      </c>
      <c r="J76" s="226">
        <v>0</v>
      </c>
      <c r="K76" s="238" t="str">
        <f t="shared" si="0"/>
        <v>4055/4056</v>
      </c>
      <c r="L76" s="246" t="str">
        <f>VLOOKUP(A76,'Trips&amp;Operators'!$C$1:$G$99911,5,FALSE)</f>
        <v>STEWART MICHAEL</v>
      </c>
      <c r="M76" s="225">
        <f t="shared" si="1"/>
        <v>2.4791666670353152E-2</v>
      </c>
      <c r="N76" s="226">
        <f t="shared" si="38"/>
        <v>35.700000005308539</v>
      </c>
      <c r="O76" s="226"/>
      <c r="P76" s="226"/>
      <c r="Q76" s="229"/>
      <c r="R76" s="243"/>
      <c r="S76" s="250">
        <f t="shared" si="37"/>
        <v>1</v>
      </c>
      <c r="T76" s="243" t="str">
        <f t="shared" si="4"/>
        <v>NorthBound</v>
      </c>
      <c r="U76" s="247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49" t="str">
        <f t="shared" si="5"/>
        <v>https://d0f6bd738d7f1b3e5a7ca70fe4ff75f0.us-east-1.aws.found.io/app/kibana#/discover/Steve-Slow-Train-Analysis-(2080s-and-2083s)?_g=(refreshInterval:(display:Off,pause:!f,section:0,value:0),time:(from:'2017-11-28T10:24:10-0700',mode:absolute,to:'2017-11-28T13:06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76" s="248" t="str">
        <f>IF(AA76&lt;VLOOKUP(AG76,Variables!$AC$3:$AD$8,2,FALSE),"Y","N")</f>
        <v>N</v>
      </c>
      <c r="X76" s="248">
        <f t="shared" si="34"/>
        <v>1</v>
      </c>
      <c r="Y76" s="248">
        <f t="shared" si="36"/>
        <v>4.9299999999999997E-2</v>
      </c>
      <c r="Z76" s="248">
        <f t="shared" si="35"/>
        <v>23.3249</v>
      </c>
      <c r="AA76" s="248">
        <f t="shared" si="9"/>
        <v>23.275600000000001</v>
      </c>
      <c r="AB76" s="234" t="e">
        <f>VLOOKUP(A76,Enforcements!$C$7:$K$9,8,0)</f>
        <v>#N/A</v>
      </c>
      <c r="AC76" s="233" t="e">
        <f>VLOOKUP(A76,Enforcements!$C$7:$E$9,3,0)</f>
        <v>#N/A</v>
      </c>
      <c r="AD76" s="244">
        <f t="shared" si="10"/>
        <v>163</v>
      </c>
      <c r="AE76" s="236" t="str">
        <f t="shared" si="11"/>
        <v>aws s3 cp s3://rtdc.mdm.uploadarchive.raw/RTDC4056/ "%USERPROFILE%\AppData\Local\Temp\OnboardLogs"\RTDC4056\2017-11-28 --exclude "*" --recursive --include "*20171128*" &amp; "%USERPROFILE%\Documents\GitHub\mrs-test-scripts\Headless Mode &amp; Sideloading\WalkAndUnGZ.bat" "%USERPROFILE%\AppData\Local\Temp\OnboardLogs"\RTDC4056\2017-11-28 &amp; aws s3 cp s3://rtdc.mdm.uploadarchive.raw/RTDC4056/ "%USERPROFILE%\AppData\Local\Temp\OnboardLogs"\RTDC4056\2017-11-29 --exclude "*" --recursive --include "*20171129*" &amp; "%USERPROFILE%\Documents\GitHub\mrs-test-scripts\Headless Mode &amp; Sideloading\WalkAndUnGZ.bat" "%USERPROFILE%\AppData\Local\Temp\OnboardLogs"\RTDC4056\2017-11-29</v>
      </c>
      <c r="AF76" s="235" t="str">
        <f t="shared" si="12"/>
        <v>"C:\Program Files (x86)\AstroGrep\AstroGrep.exe" /e /r /s /spath="%USERPROFILE%\AppData\Local\Temp\OnboardLogs" /stypes="app*4056*20171128*" /stext=" 19:.+((SYSTEM_STATE.+slice.+state.+changed )|(ment ac)|(multiple cpu faults)|(system.+state.+changed )|(\[timeout)|(PRM\|1\|D)|(kpr)|(kdp)|(train st.+moving)|(\|lc)|(penalty))"</v>
      </c>
      <c r="AG76" s="245" t="str">
        <f t="shared" si="13"/>
        <v>EC</v>
      </c>
      <c r="AH76" s="237" t="str">
        <f t="shared" si="19"/>
        <v>"%USERPROFILE%\Documents\GitHub\eaglep3\Utilities\RefineRTDCRunTimes.py" --tripid 163-28 --locoid 4056 --swversion DE.1.0.9.0 --startMP 204:493 --initTime 2017-11-28T11:24:10 --startdatetime 2017-11-28T11:30:30 --delay 102 --endMP 204:233249 --enddatetime 2017-11-28T12:06:12 --enforcementcount 0 &gt;&gt;%USERPROFILE%\Documents\GitHub\eaglep3-reporting\EC\2017-11-28-refined-times.txt</v>
      </c>
      <c r="AI76" s="239" t="str">
        <f t="shared" si="20"/>
        <v>echo {"issue":{"subject":"","project_id":79,"tracker_id":40,"status_id":1,"priority_id":2,"assigned_to_id":338,"start_date":"2017-11-28","description":"","custom_fields":[{"id":1,"name":"Subdivision","value":"EC"},{"id":4,"name":"Milepost","value":"23.3249"},{"id":17,"name":"Train ID","value":"163-28"},{"id":16,"name":"Locomotive ID","value":"4056"},{"id":130,"name":"Impact","value":""},{"id":150,"name":"Time of Event (Mountain Time)","value":"12:06:12"},{"id":151,"name":"Denver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6" s="224"/>
      <c r="AK76" s="232"/>
      <c r="AL76" s="232"/>
      <c r="AM76" s="241" t="str">
        <f t="shared" si="21"/>
        <v>start /low /b %USERPROFILE%\Documents\GitHub\eaglep3\Utilities\DownloadLogsFromS3.py --loco 4056 --day 2017-11-28</v>
      </c>
      <c r="AN76" s="242" t="str">
        <f t="shared" si="2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19:06:12"},{"id":29,"name":"Sharepoint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231" t="str">
        <f t="shared" si="23"/>
        <v>https://d0f6bd738d7f1b3e5a7ca70fe4ff75f0.us-east-1.aws.found.io/app/kibana#/discover/Steve-Slow-Train-Analysis-(2080s-and-2083s)?_g=(refreshInterval:(display:Off,pause:!f,section:0,value:0),time:(from:'2017-11-28T10:24:10-0700',mode:absolute,to:'2017-11-28T13:06:12-0700'))&amp;_a=(columns:!('Message%20ID',Summary),filters:!(),index:'emp_*',interval:auto,query:(query_string:(analyze_wildcard:!t,query:'%22rtdc.l.rtdc.4056%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230" t="s">
        <v>770</v>
      </c>
      <c r="B77" s="226">
        <v>4055</v>
      </c>
      <c r="C77" s="228" t="s">
        <v>192</v>
      </c>
      <c r="D77" s="228" t="s">
        <v>440</v>
      </c>
      <c r="E77" s="227">
        <v>43067.51457175926</v>
      </c>
      <c r="F77" s="227">
        <v>43067.51898148148</v>
      </c>
      <c r="G77" s="226">
        <v>70</v>
      </c>
      <c r="H77" s="228" t="s">
        <v>938</v>
      </c>
      <c r="I77" s="227">
        <v>43067.545428240737</v>
      </c>
      <c r="J77" s="226">
        <v>0</v>
      </c>
      <c r="K77" s="238" t="str">
        <f t="shared" ref="K77:K140" si="39">IF(ISEVEN(B77),(B77-1)&amp;"/"&amp;B77,B77&amp;"/"&amp;(B77+1))</f>
        <v>4055/4056</v>
      </c>
      <c r="L77" s="246" t="str">
        <f>VLOOKUP(A77,'Trips&amp;Operators'!$C$1:$G$99911,5,FALSE)</f>
        <v>STEWART MICHAEL</v>
      </c>
      <c r="M77" s="225">
        <f t="shared" ref="M77:M140" si="40">I77-F77</f>
        <v>2.6446759256941732E-2</v>
      </c>
      <c r="N77" s="226">
        <f t="shared" si="38"/>
        <v>38.083333329996094</v>
      </c>
      <c r="O77" s="226"/>
      <c r="P77" s="226"/>
      <c r="Q77" s="229"/>
      <c r="R77" s="243"/>
      <c r="S77" s="250">
        <f t="shared" si="37"/>
        <v>1</v>
      </c>
      <c r="T77" s="243" t="str">
        <f t="shared" ref="T77:T140" si="41">IF(ISEVEN(LEFT(AD77,4)),"Southbound","NorthBound")</f>
        <v>Southbound</v>
      </c>
      <c r="U77" s="247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49" t="str">
        <f t="shared" ref="V77:V140" si="42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-11-28T11:20:59-0700',mode:absolute,to:'2017-11-28T14:05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77" s="248" t="str">
        <f>IF(AA77&lt;VLOOKUP(AG77,Variables!$AC$3:$AD$8,2,FALSE),"Y","N")</f>
        <v>N</v>
      </c>
      <c r="X77" s="248">
        <f t="shared" ref="X77:X108" si="43">VALUE(LEFT(AD77,4))-VALUE(LEFT(AD76,4))</f>
        <v>1</v>
      </c>
      <c r="Y77" s="248">
        <f t="shared" si="36"/>
        <v>23.293399999999998</v>
      </c>
      <c r="Z77" s="248">
        <f t="shared" si="35"/>
        <v>1.9800000000000002E-2</v>
      </c>
      <c r="AA77" s="248">
        <f t="shared" ref="AA77:AA140" si="44">ABS(Z77-Y77)</f>
        <v>23.273599999999998</v>
      </c>
      <c r="AB77" s="234" t="e">
        <f>VLOOKUP(A77,Enforcements!$C$7:$K$9,8,0)</f>
        <v>#N/A</v>
      </c>
      <c r="AC77" s="233" t="e">
        <f>VLOOKUP(A77,Enforcements!$C$7:$E$9,3,0)</f>
        <v>#N/A</v>
      </c>
      <c r="AD77" s="244">
        <f t="shared" ref="AD77:AD140" si="45">VALUE(LEFT(A77,LEN(A77)-3))</f>
        <v>164</v>
      </c>
      <c r="AE77" s="236" t="str">
        <f t="shared" ref="AE77:AE140" si="46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s3://rtdc.mdm.uploadarchive.raw/RTDC4055/ "%USERPROFILE%\AppData\Local\Temp\OnboardLogs"\RTDC4055\2017-11-28 --exclude "*" --recursive --include "*20171128*" &amp; "%USERPROFILE%\Documents\GitHub\mrs-test-scripts\Headless Mode &amp; Sideloading\WalkAndUnGZ.bat" "%USERPROFILE%\AppData\Local\Temp\OnboardLogs"\RTDC4055\2017-11-28 &amp; aws s3 cp s3://rtdc.mdm.uploadarchive.raw/RTDC4055/ "%USERPROFILE%\AppData\Local\Temp\OnboardLogs"\RTDC4055\2017-11-29 --exclude "*" --recursive --include "*20171129*" &amp; "%USERPROFILE%\Documents\GitHub\mrs-test-scripts\Headless Mode &amp; Sideloading\WalkAndUnGZ.bat" "%USERPROFILE%\AppData\Local\Temp\OnboardLogs"\RTDC4055\2017-11-29</v>
      </c>
      <c r="AF77" s="235" t="str">
        <f t="shared" ref="AF77:AF140" si="47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/stypes="app*4055*20171128*" /stext=" 20:.+((SYSTEM_STATE.+slice.+state.+changed )|(ment ac)|(multiple cpu faults)|(system.+state.+changed )|(\[timeout)|(PRM\|1\|D)|(kpr)|(kdp)|(train st.+moving)|(\|lc)|(penalty))"</v>
      </c>
      <c r="AG77" s="245" t="str">
        <f t="shared" ref="AG77:AG140" si="48">DetSubdiv(A77)</f>
        <v>EC</v>
      </c>
      <c r="AH77" s="237" t="str">
        <f t="shared" si="19"/>
        <v>"%USERPROFILE%\Documents\GitHub\eaglep3\Utilities\RefineRTDCRunTimes.py" --tripid 164-28 --locoid 4055 --swversion DE.1.0.9.0 --startMP 204:232934 --initTime 2017-11-28T12:20:59 --startdatetime 2017-11-28T12:27:20 --delay 70 --endMP 204:198 --enddatetime 2017-11-28T13:05:25 --enforcementcount 0 &gt;&gt;%USERPROFILE%\Documents\GitHub\eaglep3-reporting\EC\2017-11-28-refined-times.txt</v>
      </c>
      <c r="AI77" s="239" t="str">
        <f t="shared" si="20"/>
        <v>echo {"issue":{"subject":"","project_id":79,"tracker_id":40,"status_id":1,"priority_id":2,"assigned_to_id":338,"start_date":"2017-11-28","description":"","custom_fields":[{"id":1,"name":"Subdivision","value":"EC"},{"id":4,"name":"Milepost","value":"0.0198"},{"id":17,"name":"Train ID","value":"164-28"},{"id":16,"name":"Locomotive ID","value":"4055"},{"id":130,"name":"Impact","value":""},{"id":150,"name":"Time of Event (Mountain Time)","value":"13:05:25"},{"id":151,"name":"Denver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7" s="224"/>
      <c r="AK77" s="232"/>
      <c r="AL77" s="232"/>
      <c r="AM77" s="241" t="str">
        <f t="shared" si="21"/>
        <v>start /low /b %USERPROFILE%\Documents\GitHub\eaglep3\Utilities\DownloadLogsFromS3.py --loco 4055 --day 2017-11-28</v>
      </c>
      <c r="AN77" s="242" t="str">
        <f t="shared" si="2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20:05:25"},{"id":29,"name":"Sharepoint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231" t="str">
        <f t="shared" si="23"/>
        <v>https://d0f6bd738d7f1b3e5a7ca70fe4ff75f0.us-east-1.aws.found.io/app/kibana#/discover/Steve-Slow-Train-Analysis-(2080s-and-2083s)?_g=(refreshInterval:(display:Off,pause:!f,section:0,value:0),time:(from:'2017-11-28T11:20:59-0700',mode:absolute,to:'2017-11-28T14:05:25-0700'))&amp;_a=(columns:!('Message%20ID',Summary),filters:!(),index:'emp_*',interval:auto,query:(query_string:(analyze_wildcard:!t,query:'%22rtdc.l.rtdc.4055%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230" t="s">
        <v>761</v>
      </c>
      <c r="B78" s="226">
        <v>4040</v>
      </c>
      <c r="C78" s="228" t="s">
        <v>192</v>
      </c>
      <c r="D78" s="228" t="s">
        <v>907</v>
      </c>
      <c r="E78" s="227">
        <v>43067.484131944446</v>
      </c>
      <c r="F78" s="227">
        <v>43067.489791666667</v>
      </c>
      <c r="G78" s="226">
        <v>109</v>
      </c>
      <c r="H78" s="228" t="s">
        <v>488</v>
      </c>
      <c r="I78" s="227">
        <v>43067.513796296298</v>
      </c>
      <c r="J78" s="226">
        <v>0</v>
      </c>
      <c r="K78" s="238" t="str">
        <f t="shared" si="39"/>
        <v>4039/4040</v>
      </c>
      <c r="L78" s="246" t="str">
        <f>VLOOKUP(A78,'Trips&amp;Operators'!$C$1:$G$99911,5,FALSE)</f>
        <v>LEVIN SCOTT</v>
      </c>
      <c r="M78" s="225">
        <f t="shared" si="40"/>
        <v>2.400462963123573E-2</v>
      </c>
      <c r="N78" s="226">
        <f t="shared" si="38"/>
        <v>34.566666668979451</v>
      </c>
      <c r="O78" s="226"/>
      <c r="P78" s="226"/>
      <c r="Q78" s="229"/>
      <c r="R78" s="243"/>
      <c r="S78" s="250">
        <f t="shared" si="37"/>
        <v>1</v>
      </c>
      <c r="T78" s="243" t="str">
        <f t="shared" si="41"/>
        <v>NorthBound</v>
      </c>
      <c r="U78" s="247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49" t="str">
        <f t="shared" si="42"/>
        <v>https://d0f6bd738d7f1b3e5a7ca70fe4ff75f0.us-east-1.aws.found.io/app/kibana#/discover/Steve-Slow-Train-Analysis-(2080s-and-2083s)?_g=(refreshInterval:(display:Off,pause:!f,section:0,value:0),time:(from:'2017-11-28T10:37:09-0700',mode:absolute,to:'2017-11-28T13:19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78" s="248" t="str">
        <f>IF(AA78&lt;VLOOKUP(AG78,Variables!$AC$3:$AD$8,2,FALSE),"Y","N")</f>
        <v>N</v>
      </c>
      <c r="X78" s="248">
        <f t="shared" si="43"/>
        <v>1</v>
      </c>
      <c r="Y78" s="248">
        <f t="shared" si="36"/>
        <v>4.6399999999999997E-2</v>
      </c>
      <c r="Z78" s="248">
        <f t="shared" si="35"/>
        <v>23.3293</v>
      </c>
      <c r="AA78" s="248">
        <f t="shared" si="44"/>
        <v>23.282900000000001</v>
      </c>
      <c r="AB78" s="234" t="e">
        <f>VLOOKUP(A78,Enforcements!$C$7:$K$9,8,0)</f>
        <v>#N/A</v>
      </c>
      <c r="AC78" s="233" t="e">
        <f>VLOOKUP(A78,Enforcements!$C$7:$E$9,3,0)</f>
        <v>#N/A</v>
      </c>
      <c r="AD78" s="244">
        <f t="shared" si="45"/>
        <v>165</v>
      </c>
      <c r="AE78" s="236" t="str">
        <f t="shared" si="46"/>
        <v>aws s3 cp s3://rtdc.mdm.uploadarchive.raw/RTDC4040/ "%USERPROFILE%\AppData\Local\Temp\OnboardLogs"\RTDC4040\2017-11-28 --exclude "*" --recursive --include "*20171128*" &amp; "%USERPROFILE%\Documents\GitHub\mrs-test-scripts\Headless Mode &amp; Sideloading\WalkAndUnGZ.bat" "%USERPROFILE%\AppData\Local\Temp\OnboardLogs"\RTDC4040\2017-11-28 &amp; aws s3 cp s3://rtdc.mdm.uploadarchive.raw/RTDC4040/ "%USERPROFILE%\AppData\Local\Temp\OnboardLogs"\RTDC4040\2017-11-29 --exclude "*" --recursive --include "*20171129*" &amp; "%USERPROFILE%\Documents\GitHub\mrs-test-scripts\Headless Mode &amp; Sideloading\WalkAndUnGZ.bat" "%USERPROFILE%\AppData\Local\Temp\OnboardLogs"\RTDC4040\2017-11-29</v>
      </c>
      <c r="AF78" s="235" t="str">
        <f t="shared" si="47"/>
        <v>"C:\Program Files (x86)\AstroGrep\AstroGrep.exe" /e /r /s /spath="%USERPROFILE%\AppData\Local\Temp\OnboardLogs" /stypes="app*4040*20171128*" /stext=" 19:.+((SYSTEM_STATE.+slice.+state.+changed )|(ment ac)|(multiple cpu faults)|(system.+state.+changed )|(\[timeout)|(PRM\|1\|D)|(kpr)|(kdp)|(train st.+moving)|(\|lc)|(penalty))"</v>
      </c>
      <c r="AG78" s="245" t="str">
        <f t="shared" si="48"/>
        <v>EC</v>
      </c>
      <c r="AH78" s="237" t="str">
        <f t="shared" si="19"/>
        <v>"%USERPROFILE%\Documents\GitHub\eaglep3\Utilities\RefineRTDCRunTimes.py" --tripid 165-28 --locoid 4040 --swversion DE.1.0.9.0 --startMP 204:464 --initTime 2017-11-28T11:37:09 --startdatetime 2017-11-28T11:45:18 --delay 109 --endMP 204:233293 --enddatetime 2017-11-28T12:19:52 --enforcementcount 0 &gt;&gt;%USERPROFILE%\Documents\GitHub\eaglep3-reporting\EC\2017-11-28-refined-times.txt</v>
      </c>
      <c r="AI78" s="239" t="str">
        <f t="shared" si="20"/>
        <v>echo {"issue":{"subject":"","project_id":79,"tracker_id":40,"status_id":1,"priority_id":2,"assigned_to_id":338,"start_date":"2017-11-28","description":"","custom_fields":[{"id":1,"name":"Subdivision","value":"EC"},{"id":4,"name":"Milepost","value":"23.3293"},{"id":17,"name":"Train ID","value":"165-28"},{"id":16,"name":"Locomotive ID","value":"4040"},{"id":130,"name":"Impact","value":""},{"id":150,"name":"Time of Event (Mountain Time)","value":"12:19:52"},{"id":151,"name":"Denver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8" s="224"/>
      <c r="AK78" s="232"/>
      <c r="AL78" s="232"/>
      <c r="AM78" s="241" t="str">
        <f t="shared" si="21"/>
        <v>start /low /b %USERPROFILE%\Documents\GitHub\eaglep3\Utilities\DownloadLogsFromS3.py --loco 4040 --day 2017-11-28</v>
      </c>
      <c r="AN78" s="242" t="str">
        <f t="shared" si="2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19:19:52"},{"id":29,"name":"Sharepoint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231" t="str">
        <f t="shared" si="23"/>
        <v>https://d0f6bd738d7f1b3e5a7ca70fe4ff75f0.us-east-1.aws.found.io/app/kibana#/discover/Steve-Slow-Train-Analysis-(2080s-and-2083s)?_g=(refreshInterval:(display:Off,pause:!f,section:0,value:0),time:(from:'2017-11-28T10:37:09-0700',mode:absolute,to:'2017-11-28T13:19:52-0700'))&amp;_a=(columns:!('Message%20ID',Summary),filters:!(),index:'emp_*',interval:auto,query:(query_string:(analyze_wildcard:!t,query:'%22rtdc.l.rtdc.4040%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230" t="s">
        <v>772</v>
      </c>
      <c r="B79" s="226">
        <v>4039</v>
      </c>
      <c r="C79" s="228" t="s">
        <v>192</v>
      </c>
      <c r="D79" s="228" t="s">
        <v>489</v>
      </c>
      <c r="E79" s="227">
        <v>43067.52103009259</v>
      </c>
      <c r="F79" s="227">
        <v>43067.529456018521</v>
      </c>
      <c r="G79" s="226">
        <v>80</v>
      </c>
      <c r="H79" s="228" t="s">
        <v>939</v>
      </c>
      <c r="I79" s="227">
        <v>43067.555532407408</v>
      </c>
      <c r="J79" s="226">
        <v>0</v>
      </c>
      <c r="K79" s="238" t="str">
        <f t="shared" si="39"/>
        <v>4039/4040</v>
      </c>
      <c r="L79" s="246" t="str">
        <f>VLOOKUP(A79,'Trips&amp;Operators'!$C$1:$G$99911,5,FALSE)</f>
        <v>LEVIN SCOTT</v>
      </c>
      <c r="M79" s="225">
        <f t="shared" si="40"/>
        <v>2.6076388887304347E-2</v>
      </c>
      <c r="N79" s="226">
        <f t="shared" si="38"/>
        <v>37.54999999771826</v>
      </c>
      <c r="O79" s="226"/>
      <c r="P79" s="226"/>
      <c r="Q79" s="229"/>
      <c r="R79" s="243"/>
      <c r="S79" s="250">
        <f t="shared" si="37"/>
        <v>1</v>
      </c>
      <c r="T79" s="243" t="str">
        <f t="shared" si="41"/>
        <v>Southbound</v>
      </c>
      <c r="U79" s="247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49" t="str">
        <f t="shared" si="42"/>
        <v>https://d0f6bd738d7f1b3e5a7ca70fe4ff75f0.us-east-1.aws.found.io/app/kibana#/discover/Steve-Slow-Train-Analysis-(2080s-and-2083s)?_g=(refreshInterval:(display:Off,pause:!f,section:0,value:0),time:(from:'2017-11-28T11:30:17-0700',mode:absolute,to:'2017-11-28T14:19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79" s="248" t="str">
        <f>IF(AA79&lt;VLOOKUP(AG79,Variables!$AC$3:$AD$8,2,FALSE),"Y","N")</f>
        <v>N</v>
      </c>
      <c r="X79" s="248">
        <f t="shared" si="43"/>
        <v>1</v>
      </c>
      <c r="Y79" s="248">
        <f t="shared" si="36"/>
        <v>23.298400000000001</v>
      </c>
      <c r="Z79" s="248">
        <f t="shared" si="35"/>
        <v>1.78E-2</v>
      </c>
      <c r="AA79" s="248">
        <f t="shared" si="44"/>
        <v>23.2806</v>
      </c>
      <c r="AB79" s="234" t="e">
        <f>VLOOKUP(A79,Enforcements!$C$7:$K$9,8,0)</f>
        <v>#N/A</v>
      </c>
      <c r="AC79" s="233" t="e">
        <f>VLOOKUP(A79,Enforcements!$C$7:$E$9,3,0)</f>
        <v>#N/A</v>
      </c>
      <c r="AD79" s="244">
        <f t="shared" si="45"/>
        <v>166</v>
      </c>
      <c r="AE79" s="236" t="str">
        <f t="shared" si="46"/>
        <v>aws s3 cp s3://rtdc.mdm.uploadarchive.raw/RTDC4039/ "%USERPROFILE%\AppData\Local\Temp\OnboardLogs"\RTDC4039\2017-11-28 --exclude "*" --recursive --include "*20171128*" &amp; "%USERPROFILE%\Documents\GitHub\mrs-test-scripts\Headless Mode &amp; Sideloading\WalkAndUnGZ.bat" "%USERPROFILE%\AppData\Local\Temp\OnboardLogs"\RTDC4039\2017-11-28 &amp; aws s3 cp s3://rtdc.mdm.uploadarchive.raw/RTDC4039/ "%USERPROFILE%\AppData\Local\Temp\OnboardLogs"\RTDC4039\2017-11-29 --exclude "*" --recursive --include "*20171129*" &amp; "%USERPROFILE%\Documents\GitHub\mrs-test-scripts\Headless Mode &amp; Sideloading\WalkAndUnGZ.bat" "%USERPROFILE%\AppData\Local\Temp\OnboardLogs"\RTDC4039\2017-11-29</v>
      </c>
      <c r="AF79" s="235" t="str">
        <f t="shared" si="47"/>
        <v>"C:\Program Files (x86)\AstroGrep\AstroGrep.exe" /e /r /s /spath="%USERPROFILE%\AppData\Local\Temp\OnboardLogs" /stypes="app*4039*20171128*" /stext=" 20:.+((SYSTEM_STATE.+slice.+state.+changed )|(ment ac)|(multiple cpu faults)|(system.+state.+changed )|(\[timeout)|(PRM\|1\|D)|(kpr)|(kdp)|(train st.+moving)|(\|lc)|(penalty))"</v>
      </c>
      <c r="AG79" s="245" t="str">
        <f t="shared" si="48"/>
        <v>EC</v>
      </c>
      <c r="AH79" s="237" t="str">
        <f t="shared" ref="AH79:AH142" si="49">refinertdcruntimes&amp;" --tripid "&amp;A79&amp;" --locoid "&amp;B79&amp;" --swversion "&amp;C79&amp;" --startMP "&amp;D79&amp;" --initTime "&amp;TEXT(E79,"yyyy-mm-ddTHH:MM:SS")&amp;" --startdatetime "&amp;TEXT(F79,"yyyy-mm-ddTHH:MM:SS")&amp;" --delay "&amp;G79&amp;" --endMP "&amp;H79&amp;" --enddatetime "&amp;TEXT(I79,"yyyy-mm-ddTHH:MM:SS")&amp;" --enforcementcount "&amp;J79&amp;IF(outputrefinedruntimes," &gt;&gt;"&amp;RefinedRTDCRunTimesOutputFile,"")</f>
        <v>"%USERPROFILE%\Documents\GitHub\eaglep3\Utilities\RefineRTDCRunTimes.py" --tripid 166-28 --locoid 4039 --swversion DE.1.0.9.0 --startMP 204:232984 --initTime 2017-11-28T12:30:17 --startdatetime 2017-11-28T12:42:25 --delay 80 --endMP 204:178 --enddatetime 2017-11-28T13:19:58 --enforcementcount 0 &gt;&gt;%USERPROFILE%\Documents\GitHub\eaglep3-reporting\EC\2017-11-28-refined-times.txt</v>
      </c>
      <c r="AI79" s="239" t="str">
        <f t="shared" ref="AI79:AI142" si="50">"echo {""issue"":{""subject"":"""&amp;R79&amp;""",""project_id"":79,""tracker_id"":40,""status_id"":"&amp;redmine_status&amp;",""priority_id"":"&amp;redmine_priority&amp;",""assigned_to_id"":"&amp;redmine_assignee&amp;",""start_date"":"""&amp;TEXT(I79,"YYYY-mm-dd")&amp;""",""description"":"""&amp;AJ79&amp;""",""custom_fields"":[{""id"":1,""name"":""Subdivision"",""value"":"""&amp;AG79&amp;"""},{""id"":4,""name"":""Milepost"",""value"":"""&amp;Z79&amp;"""},{""id"":17,""name"":""Train ID"",""value"":"""&amp;A79&amp;"""},{""id"":16,""name"":""Locomotive ID"",""value"":"""&amp;B79&amp;"""},{""id"":130,""name"":""Impact"",""value"":"""&amp;AK79&amp;"""},{""id"":150,""name"":""Time of Event (Mountain Time)"",""value"":"""&amp;TEXT(I79,"hh:mm:ss")&amp;"""},{""id"":151,""name"":""Denver Issue ID"",""value"":"""&amp;"""},{""id"":178,""name"":""Operational Impact"",""value"":"""&amp;redmine_op_impact&amp;"""},{""id"":179,""name"":""Denver Segment Assigned"",""value"":"""&amp;AL79&amp;"""}]}}"&amp;"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{"issue":{"subject":"","project_id":79,"tracker_id":40,"status_id":1,"priority_id":2,"assigned_to_id":338,"start_date":"2017-11-28","description":"","custom_fields":[{"id":1,"name":"Subdivision","value":"EC"},{"id":4,"name":"Milepost","value":"0.0178"},{"id":17,"name":"Train ID","value":"166-28"},{"id":16,"name":"Locomotive ID","value":"4039"},{"id":130,"name":"Impact","value":""},{"id":150,"name":"Time of Event (Mountain Time)","value":"13:19:58"},{"id":151,"name":"Denver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9" s="224"/>
      <c r="AK79" s="232"/>
      <c r="AL79" s="232"/>
      <c r="AM79" s="241" t="str">
        <f t="shared" ref="AM79:AM142" si="51">"start /low /b "&amp;dls3logs&amp;" --loco "&amp;B79&amp;" --day "&amp;TEXT(F79,"YYYY-MM-DD")</f>
        <v>start /low /b %USERPROFILE%\Documents\GitHub\eaglep3\Utilities\DownloadLogsFromS3.py --loco 4039 --day 2017-11-28</v>
      </c>
      <c r="AN79" s="242" t="str">
        <f t="shared" ref="AN79:AN142" si="52">"echo {""issue"":{""subject"":"""&amp;R79&amp;""",""project_id"":30,""tracker_id"":4,""status_id"":"&amp;redmine_status_wcr&amp;",""priority_id"":"&amp;redmine_priority_wcr&amp;",""assigned_to_id"":"&amp;redmine_assignee_wcr&amp;",""start_date"":"""&amp;TEXT(I79-utc_offset/24,"YYYY-mm-dd")&amp;""",""description"":"""&amp;AJ79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20:19:58"},{"id":29,"name":"Sharepoint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231" t="str">
        <f t="shared" ref="AO79:AO142" si="53">"https://d0f6bd738d7f1b3e5a7ca70fe4ff75f0.us-east-1.aws.found.io/app/kibana#/discover/Steve-Slow-Train-Analysis-(2080s-and-2083s)?_g="&amp;"(refreshInterval:(display:Off,pause:!f,section:0,value:0),time:(from:'"&amp;TEXT(E79-1/24,"yyyy-MM-DDThh:mm:ss")&amp;utc_offset&amp;"00"&amp;"',mode:absolute,to:'"&amp;TEXT(I79+1/24,"yyyy-MM-DDThh:mm:ss")&amp;utc_offset&amp;"00"&amp;"'))&amp;_a=(columns:!('Message%20ID',Summary),filters:!(),index:'emp_*',interval:auto,query:"&amp;"(query_string:(analyze_wildcard:!t,query:'%22rtdc.l.rtdc."&amp;B79&amp;"%22')),sort:!(Time.ISO8601,asc))"</f>
        <v>https://d0f6bd738d7f1b3e5a7ca70fe4ff75f0.us-east-1.aws.found.io/app/kibana#/discover/Steve-Slow-Train-Analysis-(2080s-and-2083s)?_g=(refreshInterval:(display:Off,pause:!f,section:0,value:0),time:(from:'2017-11-28T11:30:17-0700',mode:absolute,to:'2017-11-28T14:19:58-0700'))&amp;_a=(columns:!('Message%20ID',Summary),filters:!(),index:'emp_*',interval:auto,query:(query_string:(analyze_wildcard:!t,query:'%22rtdc.l.rtdc.4039%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230" t="s">
        <v>766</v>
      </c>
      <c r="B80" s="226">
        <v>4042</v>
      </c>
      <c r="C80" s="228" t="s">
        <v>192</v>
      </c>
      <c r="D80" s="228" t="s">
        <v>435</v>
      </c>
      <c r="E80" s="227">
        <v>43067.498368055552</v>
      </c>
      <c r="F80" s="227">
        <v>43067.500428240739</v>
      </c>
      <c r="G80" s="226">
        <v>64</v>
      </c>
      <c r="H80" s="228" t="s">
        <v>607</v>
      </c>
      <c r="I80" s="227">
        <v>43067.525497685187</v>
      </c>
      <c r="J80" s="226">
        <v>0</v>
      </c>
      <c r="K80" s="238" t="str">
        <f t="shared" si="39"/>
        <v>4041/4042</v>
      </c>
      <c r="L80" s="246" t="str">
        <f>VLOOKUP(A80,'Trips&amp;Operators'!$C$1:$G$99911,5,FALSE)</f>
        <v>LORI SANTOS</v>
      </c>
      <c r="M80" s="225">
        <f t="shared" si="40"/>
        <v>2.5069444447581191E-2</v>
      </c>
      <c r="N80" s="226">
        <f t="shared" si="38"/>
        <v>36.100000004516914</v>
      </c>
      <c r="O80" s="226"/>
      <c r="P80" s="226"/>
      <c r="Q80" s="229"/>
      <c r="R80" s="243"/>
      <c r="S80" s="250">
        <f t="shared" si="37"/>
        <v>1</v>
      </c>
      <c r="T80" s="243" t="str">
        <f t="shared" si="41"/>
        <v>NorthBound</v>
      </c>
      <c r="U80" s="247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49" t="str">
        <f t="shared" si="42"/>
        <v>https://d0f6bd738d7f1b3e5a7ca70fe4ff75f0.us-east-1.aws.found.io/app/kibana#/discover/Steve-Slow-Train-Analysis-(2080s-and-2083s)?_g=(refreshInterval:(display:Off,pause:!f,section:0,value:0),time:(from:'2017-11-28T10:57:39-0700',mode:absolute,to:'2017-11-28T13:36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80" s="248" t="str">
        <f>IF(AA80&lt;VLOOKUP(AG80,Variables!$AC$3:$AD$8,2,FALSE),"Y","N")</f>
        <v>N</v>
      </c>
      <c r="X80" s="248">
        <f t="shared" si="43"/>
        <v>1</v>
      </c>
      <c r="Y80" s="248">
        <f t="shared" si="36"/>
        <v>5.2600000000000001E-2</v>
      </c>
      <c r="Z80" s="248">
        <f t="shared" si="35"/>
        <v>23.324000000000002</v>
      </c>
      <c r="AA80" s="248">
        <f t="shared" si="44"/>
        <v>23.2714</v>
      </c>
      <c r="AB80" s="234" t="e">
        <f>VLOOKUP(A80,Enforcements!$C$7:$K$9,8,0)</f>
        <v>#N/A</v>
      </c>
      <c r="AC80" s="233" t="e">
        <f>VLOOKUP(A80,Enforcements!$C$7:$E$9,3,0)</f>
        <v>#N/A</v>
      </c>
      <c r="AD80" s="244">
        <f t="shared" si="45"/>
        <v>167</v>
      </c>
      <c r="AE80" s="236" t="str">
        <f t="shared" si="46"/>
        <v>aws s3 cp s3://rtdc.mdm.uploadarchive.raw/RTDC4042/ "%USERPROFILE%\AppData\Local\Temp\OnboardLogs"\RTDC4042\2017-11-28 --exclude "*" --recursive --include "*20171128*" &amp; "%USERPROFILE%\Documents\GitHub\mrs-test-scripts\Headless Mode &amp; Sideloading\WalkAndUnGZ.bat" "%USERPROFILE%\AppData\Local\Temp\OnboardLogs"\RTDC4042\2017-11-28 &amp; aws s3 cp s3://rtdc.mdm.uploadarchive.raw/RTDC4042/ "%USERPROFILE%\AppData\Local\Temp\OnboardLogs"\RTDC4042\2017-11-29 --exclude "*" --recursive --include "*20171129*" &amp; "%USERPROFILE%\Documents\GitHub\mrs-test-scripts\Headless Mode &amp; Sideloading\WalkAndUnGZ.bat" "%USERPROFILE%\AppData\Local\Temp\OnboardLogs"\RTDC4042\2017-11-29</v>
      </c>
      <c r="AF80" s="235" t="str">
        <f t="shared" si="47"/>
        <v>"C:\Program Files (x86)\AstroGrep\AstroGrep.exe" /e /r /s /spath="%USERPROFILE%\AppData\Local\Temp\OnboardLogs" /stypes="app*4042*20171128*" /stext=" 19:.+((SYSTEM_STATE.+slice.+state.+changed )|(ment ac)|(multiple cpu faults)|(system.+state.+changed )|(\[timeout)|(PRM\|1\|D)|(kpr)|(kdp)|(train st.+moving)|(\|lc)|(penalty))"</v>
      </c>
      <c r="AG80" s="245" t="str">
        <f t="shared" si="48"/>
        <v>EC</v>
      </c>
      <c r="AH80" s="237" t="str">
        <f t="shared" si="49"/>
        <v>"%USERPROFILE%\Documents\GitHub\eaglep3\Utilities\RefineRTDCRunTimes.py" --tripid 167-28 --locoid 4042 --swversion DE.1.0.9.0 --startMP 204:526 --initTime 2017-11-28T11:57:39 --startdatetime 2017-11-28T12:00:37 --delay 64 --endMP 204:233240 --enddatetime 2017-11-28T12:36:43 --enforcementcount 0 &gt;&gt;%USERPROFILE%\Documents\GitHub\eaglep3-reporting\EC\2017-11-28-refined-times.txt</v>
      </c>
      <c r="AI80" s="239" t="str">
        <f t="shared" si="50"/>
        <v>echo {"issue":{"subject":"","project_id":79,"tracker_id":40,"status_id":1,"priority_id":2,"assigned_to_id":338,"start_date":"2017-11-28","description":"","custom_fields":[{"id":1,"name":"Subdivision","value":"EC"},{"id":4,"name":"Milepost","value":"23.324"},{"id":17,"name":"Train ID","value":"167-28"},{"id":16,"name":"Locomotive ID","value":"4042"},{"id":130,"name":"Impact","value":""},{"id":150,"name":"Time of Event (Mountain Time)","value":"12:36:43"},{"id":151,"name":"Denver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0" s="224"/>
      <c r="AK80" s="232"/>
      <c r="AL80" s="232"/>
      <c r="AM80" s="241" t="str">
        <f t="shared" si="51"/>
        <v>start /low /b %USERPROFILE%\Documents\GitHub\eaglep3\Utilities\DownloadLogsFromS3.py --loco 4042 --day 2017-11-28</v>
      </c>
      <c r="AN80" s="242" t="str">
        <f t="shared" si="5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19:36:43"},{"id":29,"name":"Sharepoint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231" t="str">
        <f t="shared" si="53"/>
        <v>https://d0f6bd738d7f1b3e5a7ca70fe4ff75f0.us-east-1.aws.found.io/app/kibana#/discover/Steve-Slow-Train-Analysis-(2080s-and-2083s)?_g=(refreshInterval:(display:Off,pause:!f,section:0,value:0),time:(from:'2017-11-28T10:57:39-0700',mode:absolute,to:'2017-11-28T13:36:43-0700'))&amp;_a=(columns:!('Message%20ID',Summary),filters:!(),index:'emp_*',interval:auto,query:(query_string:(analyze_wildcard:!t,query:'%22rtdc.l.rtdc.4042%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230" t="s">
        <v>777</v>
      </c>
      <c r="B81" s="226">
        <v>4041</v>
      </c>
      <c r="C81" s="228" t="s">
        <v>192</v>
      </c>
      <c r="D81" s="228" t="s">
        <v>940</v>
      </c>
      <c r="E81" s="227">
        <v>43067.533414351848</v>
      </c>
      <c r="F81" s="227">
        <v>43067.539930555555</v>
      </c>
      <c r="G81" s="226">
        <v>80</v>
      </c>
      <c r="H81" s="228" t="s">
        <v>590</v>
      </c>
      <c r="I81" s="227">
        <v>43067.56621527778</v>
      </c>
      <c r="J81" s="226">
        <v>0</v>
      </c>
      <c r="K81" s="238" t="str">
        <f t="shared" si="39"/>
        <v>4041/4042</v>
      </c>
      <c r="L81" s="246" t="str">
        <f>VLOOKUP(A81,'Trips&amp;Operators'!$C$1:$G$99911,5,FALSE)</f>
        <v>LORI SANTOS</v>
      </c>
      <c r="M81" s="225">
        <f t="shared" si="40"/>
        <v>2.6284722225682344E-2</v>
      </c>
      <c r="N81" s="226">
        <f t="shared" si="38"/>
        <v>37.850000004982576</v>
      </c>
      <c r="O81" s="226"/>
      <c r="P81" s="226"/>
      <c r="Q81" s="229"/>
      <c r="R81" s="243"/>
      <c r="S81" s="250">
        <f t="shared" si="37"/>
        <v>1</v>
      </c>
      <c r="T81" s="243" t="str">
        <f t="shared" si="41"/>
        <v>Southbound</v>
      </c>
      <c r="U81" s="247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49" t="str">
        <f t="shared" si="42"/>
        <v>https://d0f6bd738d7f1b3e5a7ca70fe4ff75f0.us-east-1.aws.found.io/app/kibana#/discover/Steve-Slow-Train-Analysis-(2080s-and-2083s)?_g=(refreshInterval:(display:Off,pause:!f,section:0,value:0),time:(from:'2017-11-28T11:48:07-0700',mode:absolute,to:'2017-11-28T14:35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81" s="248" t="str">
        <f>IF(AA81&lt;VLOOKUP(AG81,Variables!$AC$3:$AD$8,2,FALSE),"Y","N")</f>
        <v>N</v>
      </c>
      <c r="X81" s="248">
        <f t="shared" si="43"/>
        <v>1</v>
      </c>
      <c r="Y81" s="248">
        <f t="shared" si="36"/>
        <v>23.2913</v>
      </c>
      <c r="Z81" s="248">
        <f t="shared" si="35"/>
        <v>2.3099999999999999E-2</v>
      </c>
      <c r="AA81" s="248">
        <f t="shared" si="44"/>
        <v>23.2682</v>
      </c>
      <c r="AB81" s="234" t="e">
        <f>VLOOKUP(A81,Enforcements!$C$7:$K$9,8,0)</f>
        <v>#N/A</v>
      </c>
      <c r="AC81" s="233" t="e">
        <f>VLOOKUP(A81,Enforcements!$C$7:$E$9,3,0)</f>
        <v>#N/A</v>
      </c>
      <c r="AD81" s="244">
        <f t="shared" si="45"/>
        <v>168</v>
      </c>
      <c r="AE81" s="236" t="str">
        <f t="shared" si="46"/>
        <v>aws s3 cp s3://rtdc.mdm.uploadarchive.raw/RTDC4041/ "%USERPROFILE%\AppData\Local\Temp\OnboardLogs"\RTDC4041\2017-11-28 --exclude "*" --recursive --include "*20171128*" &amp; "%USERPROFILE%\Documents\GitHub\mrs-test-scripts\Headless Mode &amp; Sideloading\WalkAndUnGZ.bat" "%USERPROFILE%\AppData\Local\Temp\OnboardLogs"\RTDC4041\2017-11-28 &amp; aws s3 cp s3://rtdc.mdm.uploadarchive.raw/RTDC4041/ "%USERPROFILE%\AppData\Local\Temp\OnboardLogs"\RTDC4041\2017-11-29 --exclude "*" --recursive --include "*20171129*" &amp; "%USERPROFILE%\Documents\GitHub\mrs-test-scripts\Headless Mode &amp; Sideloading\WalkAndUnGZ.bat" "%USERPROFILE%\AppData\Local\Temp\OnboardLogs"\RTDC4041\2017-11-29</v>
      </c>
      <c r="AF81" s="235" t="str">
        <f t="shared" si="47"/>
        <v>"C:\Program Files (x86)\AstroGrep\AstroGrep.exe" /e /r /s /spath="%USERPROFILE%\AppData\Local\Temp\OnboardLogs" /stypes="app*4041*20171128*" /stext=" 20:.+((SYSTEM_STATE.+slice.+state.+changed )|(ment ac)|(multiple cpu faults)|(system.+state.+changed )|(\[timeout)|(PRM\|1\|D)|(kpr)|(kdp)|(train st.+moving)|(\|lc)|(penalty))"</v>
      </c>
      <c r="AG81" s="245" t="str">
        <f t="shared" si="48"/>
        <v>EC</v>
      </c>
      <c r="AH81" s="237" t="str">
        <f t="shared" si="49"/>
        <v>"%USERPROFILE%\Documents\GitHub\eaglep3\Utilities\RefineRTDCRunTimes.py" --tripid 168-28 --locoid 4041 --swversion DE.1.0.9.0 --startMP 204:232913 --initTime 2017-11-28T12:48:07 --startdatetime 2017-11-28T12:57:30 --delay 80 --endMP 204:231 --enddatetime 2017-11-28T13:35:21 --enforcementcount 0 &gt;&gt;%USERPROFILE%\Documents\GitHub\eaglep3-reporting\EC\2017-11-28-refined-times.txt</v>
      </c>
      <c r="AI81" s="239" t="str">
        <f t="shared" si="50"/>
        <v>echo {"issue":{"subject":"","project_id":79,"tracker_id":40,"status_id":1,"priority_id":2,"assigned_to_id":338,"start_date":"2017-11-28","description":"","custom_fields":[{"id":1,"name":"Subdivision","value":"EC"},{"id":4,"name":"Milepost","value":"0.0231"},{"id":17,"name":"Train ID","value":"168-28"},{"id":16,"name":"Locomotive ID","value":"4041"},{"id":130,"name":"Impact","value":""},{"id":150,"name":"Time of Event (Mountain Time)","value":"13:35:21"},{"id":151,"name":"Denver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1" s="224"/>
      <c r="AK81" s="232"/>
      <c r="AL81" s="232"/>
      <c r="AM81" s="241" t="str">
        <f t="shared" si="51"/>
        <v>start /low /b %USERPROFILE%\Documents\GitHub\eaglep3\Utilities\DownloadLogsFromS3.py --loco 4041 --day 2017-11-28</v>
      </c>
      <c r="AN81" s="242" t="str">
        <f t="shared" si="5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20:35:21"},{"id":29,"name":"Sharepoint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231" t="str">
        <f t="shared" si="53"/>
        <v>https://d0f6bd738d7f1b3e5a7ca70fe4ff75f0.us-east-1.aws.found.io/app/kibana#/discover/Steve-Slow-Train-Analysis-(2080s-and-2083s)?_g=(refreshInterval:(display:Off,pause:!f,section:0,value:0),time:(from:'2017-11-28T11:48:07-0700',mode:absolute,to:'2017-11-28T14:35:21-0700'))&amp;_a=(columns:!('Message%20ID',Summary),filters:!(),index:'emp_*',interval:auto,query:(query_string:(analyze_wildcard:!t,query:'%22rtdc.l.rtdc.4041%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230" t="s">
        <v>769</v>
      </c>
      <c r="B82" s="226">
        <v>4034</v>
      </c>
      <c r="C82" s="228" t="s">
        <v>192</v>
      </c>
      <c r="D82" s="228" t="s">
        <v>941</v>
      </c>
      <c r="E82" s="227">
        <v>43067.505810185183</v>
      </c>
      <c r="F82" s="227">
        <v>43067.510613425926</v>
      </c>
      <c r="G82" s="226">
        <v>216</v>
      </c>
      <c r="H82" s="228" t="s">
        <v>942</v>
      </c>
      <c r="I82" s="227">
        <v>43067.534884259258</v>
      </c>
      <c r="J82" s="226">
        <v>0</v>
      </c>
      <c r="K82" s="238" t="str">
        <f t="shared" si="39"/>
        <v>4033/4034</v>
      </c>
      <c r="L82" s="246" t="str">
        <f>VLOOKUP(A82,'Trips&amp;Operators'!$C$1:$G$99911,5,FALSE)</f>
        <v>SAFIEF AEIMEN</v>
      </c>
      <c r="M82" s="225">
        <f t="shared" si="40"/>
        <v>2.4270833331684116E-2</v>
      </c>
      <c r="N82" s="226">
        <f t="shared" si="38"/>
        <v>34.949999997625127</v>
      </c>
      <c r="O82" s="226"/>
      <c r="P82" s="226"/>
      <c r="Q82" s="229"/>
      <c r="R82" s="243"/>
      <c r="S82" s="250">
        <f t="shared" si="37"/>
        <v>1</v>
      </c>
      <c r="T82" s="243" t="str">
        <f t="shared" si="41"/>
        <v>NorthBound</v>
      </c>
      <c r="U82" s="247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49" t="str">
        <f t="shared" si="42"/>
        <v>https://d0f6bd738d7f1b3e5a7ca70fe4ff75f0.us-east-1.aws.found.io/app/kibana#/discover/Steve-Slow-Train-Analysis-(2080s-and-2083s)?_g=(refreshInterval:(display:Off,pause:!f,section:0,value:0),time:(from:'2017-11-28T11:08:22-0700',mode:absolute,to:'2017-11-28T13:50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82" s="248" t="str">
        <f>IF(AA82&lt;VLOOKUP(AG82,Variables!$AC$3:$AD$8,2,FALSE),"Y","N")</f>
        <v>N</v>
      </c>
      <c r="X82" s="248">
        <f t="shared" si="43"/>
        <v>1</v>
      </c>
      <c r="Y82" s="248">
        <f t="shared" si="36"/>
        <v>4.6699999999999998E-2</v>
      </c>
      <c r="Z82" s="248">
        <f t="shared" si="35"/>
        <v>23.322199999999999</v>
      </c>
      <c r="AA82" s="248">
        <f t="shared" si="44"/>
        <v>23.275499999999997</v>
      </c>
      <c r="AB82" s="234" t="e">
        <f>VLOOKUP(A82,Enforcements!$C$7:$K$9,8,0)</f>
        <v>#N/A</v>
      </c>
      <c r="AC82" s="233" t="e">
        <f>VLOOKUP(A82,Enforcements!$C$7:$E$9,3,0)</f>
        <v>#N/A</v>
      </c>
      <c r="AD82" s="244">
        <f t="shared" si="45"/>
        <v>169</v>
      </c>
      <c r="AE82" s="236" t="str">
        <f t="shared" si="46"/>
        <v>aws s3 cp s3://rtdc.mdm.uploadarchive.raw/RTDC4034/ "%USERPROFILE%\AppData\Local\Temp\OnboardLogs"\RTDC4034\2017-11-28 --exclude "*" --recursive --include "*20171128*" &amp; "%USERPROFILE%\Documents\GitHub\mrs-test-scripts\Headless Mode &amp; Sideloading\WalkAndUnGZ.bat" "%USERPROFILE%\AppData\Local\Temp\OnboardLogs"\RTDC4034\2017-11-28 &amp; aws s3 cp s3://rtdc.mdm.uploadarchive.raw/RTDC4034/ "%USERPROFILE%\AppData\Local\Temp\OnboardLogs"\RTDC4034\2017-11-29 --exclude "*" --recursive --include "*20171129*" &amp; "%USERPROFILE%\Documents\GitHub\mrs-test-scripts\Headless Mode &amp; Sideloading\WalkAndUnGZ.bat" "%USERPROFILE%\AppData\Local\Temp\OnboardLogs"\RTDC4034\2017-11-29</v>
      </c>
      <c r="AF82" s="235" t="str">
        <f t="shared" si="47"/>
        <v>"C:\Program Files (x86)\AstroGrep\AstroGrep.exe" /e /r /s /spath="%USERPROFILE%\AppData\Local\Temp\OnboardLogs" /stypes="app*4034*20171128*" /stext=" 19:.+((SYSTEM_STATE.+slice.+state.+changed )|(ment ac)|(multiple cpu faults)|(system.+state.+changed )|(\[timeout)|(PRM\|1\|D)|(kpr)|(kdp)|(train st.+moving)|(\|lc)|(penalty))"</v>
      </c>
      <c r="AG82" s="245" t="str">
        <f t="shared" si="48"/>
        <v>EC</v>
      </c>
      <c r="AH82" s="237" t="str">
        <f t="shared" si="49"/>
        <v>"%USERPROFILE%\Documents\GitHub\eaglep3\Utilities\RefineRTDCRunTimes.py" --tripid 169-28 --locoid 4034 --swversion DE.1.0.9.0 --startMP 204:467 --initTime 2017-11-28T12:08:22 --startdatetime 2017-11-28T12:15:17 --delay 216 --endMP 204:233222 --enddatetime 2017-11-28T12:50:14 --enforcementcount 0 &gt;&gt;%USERPROFILE%\Documents\GitHub\eaglep3-reporting\EC\2017-11-28-refined-times.txt</v>
      </c>
      <c r="AI82" s="239" t="str">
        <f t="shared" si="50"/>
        <v>echo {"issue":{"subject":"","project_id":79,"tracker_id":40,"status_id":1,"priority_id":2,"assigned_to_id":338,"start_date":"2017-11-28","description":"","custom_fields":[{"id":1,"name":"Subdivision","value":"EC"},{"id":4,"name":"Milepost","value":"23.3222"},{"id":17,"name":"Train ID","value":"169-28"},{"id":16,"name":"Locomotive ID","value":"4034"},{"id":130,"name":"Impact","value":""},{"id":150,"name":"Time of Event (Mountain Time)","value":"12:50:14"},{"id":151,"name":"Denver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2" s="224"/>
      <c r="AK82" s="232"/>
      <c r="AL82" s="232"/>
      <c r="AM82" s="241" t="str">
        <f t="shared" si="51"/>
        <v>start /low /b %USERPROFILE%\Documents\GitHub\eaglep3\Utilities\DownloadLogsFromS3.py --loco 4034 --day 2017-11-28</v>
      </c>
      <c r="AN82" s="242" t="str">
        <f t="shared" si="5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19:50:14"},{"id":29,"name":"Sharepoint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231" t="str">
        <f t="shared" si="53"/>
        <v>https://d0f6bd738d7f1b3e5a7ca70fe4ff75f0.us-east-1.aws.found.io/app/kibana#/discover/Steve-Slow-Train-Analysis-(2080s-and-2083s)?_g=(refreshInterval:(display:Off,pause:!f,section:0,value:0),time:(from:'2017-11-28T11:08:22-0700',mode:absolute,to:'2017-11-28T13:50:14-0700'))&amp;_a=(columns:!('Message%20ID',Summary),filters:!(),index:'emp_*',interval:auto,query:(query_string:(analyze_wildcard:!t,query:'%22rtdc.l.rtdc.4034%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230" t="s">
        <v>778</v>
      </c>
      <c r="B83" s="226">
        <v>4033</v>
      </c>
      <c r="C83" s="228" t="s">
        <v>192</v>
      </c>
      <c r="D83" s="228" t="s">
        <v>923</v>
      </c>
      <c r="E83" s="227">
        <v>43067.537488425929</v>
      </c>
      <c r="F83" s="227">
        <v>43067.550219907411</v>
      </c>
      <c r="G83" s="226">
        <v>74</v>
      </c>
      <c r="H83" s="228" t="s">
        <v>416</v>
      </c>
      <c r="I83" s="227">
        <v>43067.576238425929</v>
      </c>
      <c r="J83" s="226">
        <v>0</v>
      </c>
      <c r="K83" s="238" t="str">
        <f t="shared" si="39"/>
        <v>4033/4034</v>
      </c>
      <c r="L83" s="246" t="str">
        <f>VLOOKUP(A83,'Trips&amp;Operators'!$C$1:$G$99911,5,FALSE)</f>
        <v>SAFIEF AEIMEN</v>
      </c>
      <c r="M83" s="225">
        <f t="shared" si="40"/>
        <v>2.6018518517958E-2</v>
      </c>
      <c r="N83" s="226">
        <f t="shared" si="38"/>
        <v>37.46666666585952</v>
      </c>
      <c r="O83" s="226"/>
      <c r="P83" s="226"/>
      <c r="Q83" s="229"/>
      <c r="R83" s="243"/>
      <c r="S83" s="250">
        <f t="shared" si="37"/>
        <v>1</v>
      </c>
      <c r="T83" s="243" t="str">
        <f t="shared" si="41"/>
        <v>Southbound</v>
      </c>
      <c r="U83" s="247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49" t="str">
        <f t="shared" si="42"/>
        <v>https://d0f6bd738d7f1b3e5a7ca70fe4ff75f0.us-east-1.aws.found.io/app/kibana#/discover/Steve-Slow-Train-Analysis-(2080s-and-2083s)?_g=(refreshInterval:(display:Off,pause:!f,section:0,value:0),time:(from:'2017-11-28T11:53:59-0700',mode:absolute,to:'2017-11-28T14:49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83" s="248" t="str">
        <f>IF(AA83&lt;VLOOKUP(AG83,Variables!$AC$3:$AD$8,2,FALSE),"Y","N")</f>
        <v>N</v>
      </c>
      <c r="X83" s="248">
        <f t="shared" si="43"/>
        <v>1</v>
      </c>
      <c r="Y83" s="248">
        <f t="shared" si="36"/>
        <v>23.290900000000001</v>
      </c>
      <c r="Z83" s="248">
        <f t="shared" si="35"/>
        <v>2.07E-2</v>
      </c>
      <c r="AA83" s="248">
        <f t="shared" si="44"/>
        <v>23.270199999999999</v>
      </c>
      <c r="AB83" s="234" t="e">
        <f>VLOOKUP(A83,Enforcements!$C$7:$K$9,8,0)</f>
        <v>#N/A</v>
      </c>
      <c r="AC83" s="233" t="e">
        <f>VLOOKUP(A83,Enforcements!$C$7:$E$9,3,0)</f>
        <v>#N/A</v>
      </c>
      <c r="AD83" s="244">
        <f t="shared" si="45"/>
        <v>170</v>
      </c>
      <c r="AE83" s="236" t="str">
        <f t="shared" si="46"/>
        <v>aws s3 cp s3://rtdc.mdm.uploadarchive.raw/RTDC4033/ "%USERPROFILE%\AppData\Local\Temp\OnboardLogs"\RTDC4033\2017-11-28 --exclude "*" --recursive --include "*20171128*" &amp; "%USERPROFILE%\Documents\GitHub\mrs-test-scripts\Headless Mode &amp; Sideloading\WalkAndUnGZ.bat" "%USERPROFILE%\AppData\Local\Temp\OnboardLogs"\RTDC4033\2017-11-28 &amp; aws s3 cp s3://rtdc.mdm.uploadarchive.raw/RTDC4033/ "%USERPROFILE%\AppData\Local\Temp\OnboardLogs"\RTDC4033\2017-11-29 --exclude "*" --recursive --include "*20171129*" &amp; "%USERPROFILE%\Documents\GitHub\mrs-test-scripts\Headless Mode &amp; Sideloading\WalkAndUnGZ.bat" "%USERPROFILE%\AppData\Local\Temp\OnboardLogs"\RTDC4033\2017-11-29</v>
      </c>
      <c r="AF83" s="235" t="str">
        <f t="shared" si="47"/>
        <v>"C:\Program Files (x86)\AstroGrep\AstroGrep.exe" /e /r /s /spath="%USERPROFILE%\AppData\Local\Temp\OnboardLogs" /stypes="app*4033*20171128*" /stext=" 20:.+((SYSTEM_STATE.+slice.+state.+changed )|(ment ac)|(multiple cpu faults)|(system.+state.+changed )|(\[timeout)|(PRM\|1\|D)|(kpr)|(kdp)|(train st.+moving)|(\|lc)|(penalty))"</v>
      </c>
      <c r="AG83" s="245" t="str">
        <f t="shared" si="48"/>
        <v>EC</v>
      </c>
      <c r="AH83" s="237" t="str">
        <f t="shared" si="49"/>
        <v>"%USERPROFILE%\Documents\GitHub\eaglep3\Utilities\RefineRTDCRunTimes.py" --tripid 170-28 --locoid 4033 --swversion DE.1.0.9.0 --startMP 204:232909 --initTime 2017-11-28T12:53:59 --startdatetime 2017-11-28T13:12:19 --delay 74 --endMP 204:207 --enddatetime 2017-11-28T13:49:47 --enforcementcount 0 &gt;&gt;%USERPROFILE%\Documents\GitHub\eaglep3-reporting\EC\2017-11-28-refined-times.txt</v>
      </c>
      <c r="AI83" s="239" t="str">
        <f t="shared" si="50"/>
        <v>echo {"issue":{"subject":"","project_id":79,"tracker_id":40,"status_id":1,"priority_id":2,"assigned_to_id":338,"start_date":"2017-11-28","description":"","custom_fields":[{"id":1,"name":"Subdivision","value":"EC"},{"id":4,"name":"Milepost","value":"0.0207"},{"id":17,"name":"Train ID","value":"170-28"},{"id":16,"name":"Locomotive ID","value":"4033"},{"id":130,"name":"Impact","value":""},{"id":150,"name":"Time of Event (Mountain Time)","value":"13:49:47"},{"id":151,"name":"Denver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3" s="224"/>
      <c r="AK83" s="232"/>
      <c r="AL83" s="232"/>
      <c r="AM83" s="241" t="str">
        <f t="shared" si="51"/>
        <v>start /low /b %USERPROFILE%\Documents\GitHub\eaglep3\Utilities\DownloadLogsFromS3.py --loco 4033 --day 2017-11-28</v>
      </c>
      <c r="AN83" s="242" t="str">
        <f t="shared" si="5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20:49:47"},{"id":29,"name":"Sharepoint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231" t="str">
        <f t="shared" si="53"/>
        <v>https://d0f6bd738d7f1b3e5a7ca70fe4ff75f0.us-east-1.aws.found.io/app/kibana#/discover/Steve-Slow-Train-Analysis-(2080s-and-2083s)?_g=(refreshInterval:(display:Off,pause:!f,section:0,value:0),time:(from:'2017-11-28T11:53:59-0700',mode:absolute,to:'2017-11-28T14:49:47-0700'))&amp;_a=(columns:!('Message%20ID',Summary),filters:!(),index:'emp_*',interval:auto,query:(query_string:(analyze_wildcard:!t,query:'%22rtdc.l.rtdc.4033%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230" t="s">
        <v>771</v>
      </c>
      <c r="B84" s="226">
        <v>4008</v>
      </c>
      <c r="C84" s="228" t="s">
        <v>192</v>
      </c>
      <c r="D84" s="228" t="s">
        <v>435</v>
      </c>
      <c r="E84" s="227">
        <v>43067.518958333334</v>
      </c>
      <c r="F84" s="227">
        <v>43067.521122685182</v>
      </c>
      <c r="G84" s="226">
        <v>57</v>
      </c>
      <c r="H84" s="228" t="s">
        <v>905</v>
      </c>
      <c r="I84" s="227">
        <v>43067.546655092592</v>
      </c>
      <c r="J84" s="226">
        <v>0</v>
      </c>
      <c r="K84" s="238" t="str">
        <f t="shared" si="39"/>
        <v>4007/4008</v>
      </c>
      <c r="L84" s="246" t="str">
        <f>VLOOKUP(A84,'Trips&amp;Operators'!$C$1:$G$99911,5,FALSE)</f>
        <v>DAVIS MICHAEL</v>
      </c>
      <c r="M84" s="225">
        <f t="shared" si="40"/>
        <v>2.5532407409627922E-2</v>
      </c>
      <c r="N84" s="226">
        <f t="shared" si="38"/>
        <v>36.766666669864208</v>
      </c>
      <c r="O84" s="226"/>
      <c r="P84" s="226"/>
      <c r="Q84" s="229"/>
      <c r="R84" s="243"/>
      <c r="S84" s="250">
        <f t="shared" si="37"/>
        <v>1</v>
      </c>
      <c r="T84" s="243" t="str">
        <f t="shared" si="41"/>
        <v>NorthBound</v>
      </c>
      <c r="U84" s="247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49" t="str">
        <f t="shared" si="42"/>
        <v>https://d0f6bd738d7f1b3e5a7ca70fe4ff75f0.us-east-1.aws.found.io/app/kibana#/discover/Steve-Slow-Train-Analysis-(2080s-and-2083s)?_g=(refreshInterval:(display:Off,pause:!f,section:0,value:0),time:(from:'2017-11-28T11:27:18-0700',mode:absolute,to:'2017-11-28T14:07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84" s="248" t="str">
        <f>IF(AA84&lt;VLOOKUP(AG84,Variables!$AC$3:$AD$8,2,FALSE),"Y","N")</f>
        <v>N</v>
      </c>
      <c r="X84" s="248">
        <f t="shared" si="43"/>
        <v>1</v>
      </c>
      <c r="Y84" s="248">
        <f t="shared" si="36"/>
        <v>5.2600000000000001E-2</v>
      </c>
      <c r="Z84" s="248">
        <f t="shared" si="35"/>
        <v>23.330200000000001</v>
      </c>
      <c r="AA84" s="248">
        <f t="shared" si="44"/>
        <v>23.2776</v>
      </c>
      <c r="AB84" s="234" t="e">
        <f>VLOOKUP(A84,Enforcements!$C$7:$K$9,8,0)</f>
        <v>#N/A</v>
      </c>
      <c r="AC84" s="233" t="e">
        <f>VLOOKUP(A84,Enforcements!$C$7:$E$9,3,0)</f>
        <v>#N/A</v>
      </c>
      <c r="AD84" s="244">
        <f t="shared" si="45"/>
        <v>171</v>
      </c>
      <c r="AE84" s="236" t="str">
        <f t="shared" si="46"/>
        <v>aws s3 cp s3://rtdc.mdm.uploadarchive.raw/RTDC4008/ "%USERPROFILE%\AppData\Local\Temp\OnboardLogs"\RTDC4008\2017-11-28 --exclude "*" --recursive --include "*20171128*" &amp; "%USERPROFILE%\Documents\GitHub\mrs-test-scripts\Headless Mode &amp; Sideloading\WalkAndUnGZ.bat" "%USERPROFILE%\AppData\Local\Temp\OnboardLogs"\RTDC4008\2017-11-28 &amp; aws s3 cp s3://rtdc.mdm.uploadarchive.raw/RTDC4008/ "%USERPROFILE%\AppData\Local\Temp\OnboardLogs"\RTDC4008\2017-11-29 --exclude "*" --recursive --include "*20171129*" &amp; "%USERPROFILE%\Documents\GitHub\mrs-test-scripts\Headless Mode &amp; Sideloading\WalkAndUnGZ.bat" "%USERPROFILE%\AppData\Local\Temp\OnboardLogs"\RTDC4008\2017-11-29</v>
      </c>
      <c r="AF84" s="235" t="str">
        <f t="shared" si="47"/>
        <v>"C:\Program Files (x86)\AstroGrep\AstroGrep.exe" /e /r /s /spath="%USERPROFILE%\AppData\Local\Temp\OnboardLogs" /stypes="app*4008*20171128*" /stext=" 20:.+((SYSTEM_STATE.+slice.+state.+changed )|(ment ac)|(multiple cpu faults)|(system.+state.+changed )|(\[timeout)|(PRM\|1\|D)|(kpr)|(kdp)|(train st.+moving)|(\|lc)|(penalty))"</v>
      </c>
      <c r="AG84" s="245" t="str">
        <f t="shared" si="48"/>
        <v>EC</v>
      </c>
      <c r="AH84" s="237" t="str">
        <f t="shared" si="49"/>
        <v>"%USERPROFILE%\Documents\GitHub\eaglep3\Utilities\RefineRTDCRunTimes.py" --tripid 171-28 --locoid 4008 --swversion DE.1.0.9.0 --startMP 204:526 --initTime 2017-11-28T12:27:18 --startdatetime 2017-11-28T12:30:25 --delay 57 --endMP 204:233302 --enddatetime 2017-11-28T13:07:11 --enforcementcount 0 &gt;&gt;%USERPROFILE%\Documents\GitHub\eaglep3-reporting\EC\2017-11-28-refined-times.txt</v>
      </c>
      <c r="AI84" s="239" t="str">
        <f t="shared" si="50"/>
        <v>echo {"issue":{"subject":"","project_id":79,"tracker_id":40,"status_id":1,"priority_id":2,"assigned_to_id":338,"start_date":"2017-11-28","description":"","custom_fields":[{"id":1,"name":"Subdivision","value":"EC"},{"id":4,"name":"Milepost","value":"23.3302"},{"id":17,"name":"Train ID","value":"171-28"},{"id":16,"name":"Locomotive ID","value":"4008"},{"id":130,"name":"Impact","value":""},{"id":150,"name":"Time of Event (Mountain Time)","value":"13:07:11"},{"id":151,"name":"Denver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4" s="224"/>
      <c r="AK84" s="232"/>
      <c r="AL84" s="232"/>
      <c r="AM84" s="241" t="str">
        <f t="shared" si="51"/>
        <v>start /low /b %USERPROFILE%\Documents\GitHub\eaglep3\Utilities\DownloadLogsFromS3.py --loco 4008 --day 2017-11-28</v>
      </c>
      <c r="AN84" s="242" t="str">
        <f t="shared" si="5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20:07:11"},{"id":29,"name":"Sharepoint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231" t="str">
        <f t="shared" si="53"/>
        <v>https://d0f6bd738d7f1b3e5a7ca70fe4ff75f0.us-east-1.aws.found.io/app/kibana#/discover/Steve-Slow-Train-Analysis-(2080s-and-2083s)?_g=(refreshInterval:(display:Off,pause:!f,section:0,value:0),time:(from:'2017-11-28T11:27:18-0700',mode:absolute,to:'2017-11-28T14:07:11-0700'))&amp;_a=(columns:!('Message%20ID',Summary),filters:!(),index:'emp_*',interval:auto,query:(query_string:(analyze_wildcard:!t,query:'%22rtdc.l.rtdc.4008%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230" t="s">
        <v>782</v>
      </c>
      <c r="B85" s="226">
        <v>4007</v>
      </c>
      <c r="C85" s="228" t="s">
        <v>192</v>
      </c>
      <c r="D85" s="228" t="s">
        <v>576</v>
      </c>
      <c r="E85" s="227">
        <v>43067.558171296296</v>
      </c>
      <c r="F85" s="227">
        <v>43067.560891203706</v>
      </c>
      <c r="G85" s="226">
        <v>92</v>
      </c>
      <c r="H85" s="228" t="s">
        <v>459</v>
      </c>
      <c r="I85" s="227">
        <v>43067.587488425925</v>
      </c>
      <c r="J85" s="226">
        <v>0</v>
      </c>
      <c r="K85" s="238" t="str">
        <f t="shared" si="39"/>
        <v>4007/4008</v>
      </c>
      <c r="L85" s="246" t="str">
        <f>VLOOKUP(A85,'Trips&amp;Operators'!$C$1:$G$99911,5,FALSE)</f>
        <v>DAVIS MICHAEL</v>
      </c>
      <c r="M85" s="225">
        <f t="shared" si="40"/>
        <v>2.6597222218697425E-2</v>
      </c>
      <c r="N85" s="226">
        <f t="shared" si="38"/>
        <v>38.299999994924292</v>
      </c>
      <c r="O85" s="226"/>
      <c r="P85" s="226"/>
      <c r="Q85" s="229"/>
      <c r="R85" s="243"/>
      <c r="S85" s="250">
        <f t="shared" si="37"/>
        <v>1</v>
      </c>
      <c r="T85" s="243" t="str">
        <f t="shared" si="41"/>
        <v>Southbound</v>
      </c>
      <c r="U85" s="247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49" t="str">
        <f t="shared" si="42"/>
        <v>https://d0f6bd738d7f1b3e5a7ca70fe4ff75f0.us-east-1.aws.found.io/app/kibana#/discover/Steve-Slow-Train-Analysis-(2080s-and-2083s)?_g=(refreshInterval:(display:Off,pause:!f,section:0,value:0),time:(from:'2017-11-28T12:23:46-0700',mode:absolute,to:'2017-11-28T15:05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85" s="248" t="str">
        <f>IF(AA85&lt;VLOOKUP(AG85,Variables!$AC$3:$AD$8,2,FALSE),"Y","N")</f>
        <v>N</v>
      </c>
      <c r="X85" s="248">
        <f t="shared" si="43"/>
        <v>1</v>
      </c>
      <c r="Y85" s="248">
        <f t="shared" si="36"/>
        <v>23.299800000000001</v>
      </c>
      <c r="Z85" s="248">
        <f t="shared" si="35"/>
        <v>2.29E-2</v>
      </c>
      <c r="AA85" s="248">
        <f t="shared" si="44"/>
        <v>23.276900000000001</v>
      </c>
      <c r="AB85" s="234" t="e">
        <f>VLOOKUP(A85,Enforcements!$C$7:$K$9,8,0)</f>
        <v>#N/A</v>
      </c>
      <c r="AC85" s="233" t="e">
        <f>VLOOKUP(A85,Enforcements!$C$7:$E$9,3,0)</f>
        <v>#N/A</v>
      </c>
      <c r="AD85" s="244">
        <f t="shared" si="45"/>
        <v>172</v>
      </c>
      <c r="AE85" s="236" t="str">
        <f t="shared" si="46"/>
        <v>aws s3 cp s3://rtdc.mdm.uploadarchive.raw/RTDC4007/ "%USERPROFILE%\AppData\Local\Temp\OnboardLogs"\RTDC4007\2017-11-28 --exclude "*" --recursive --include "*20171128*" &amp; "%USERPROFILE%\Documents\GitHub\mrs-test-scripts\Headless Mode &amp; Sideloading\WalkAndUnGZ.bat" "%USERPROFILE%\AppData\Local\Temp\OnboardLogs"\RTDC4007\2017-11-28 &amp; aws s3 cp s3://rtdc.mdm.uploadarchive.raw/RTDC4007/ "%USERPROFILE%\AppData\Local\Temp\OnboardLogs"\RTDC4007\2017-11-29 --exclude "*" --recursive --include "*20171129*" &amp; "%USERPROFILE%\Documents\GitHub\mrs-test-scripts\Headless Mode &amp; Sideloading\WalkAndUnGZ.bat" "%USERPROFILE%\AppData\Local\Temp\OnboardLogs"\RTDC4007\2017-11-29</v>
      </c>
      <c r="AF85" s="235" t="str">
        <f t="shared" si="47"/>
        <v>"C:\Program Files (x86)\AstroGrep\AstroGrep.exe" /e /r /s /spath="%USERPROFILE%\AppData\Local\Temp\OnboardLogs" /stypes="app*4007*20171128*" /stext=" 21:.+((SYSTEM_STATE.+slice.+state.+changed )|(ment ac)|(multiple cpu faults)|(system.+state.+changed )|(\[timeout)|(PRM\|1\|D)|(kpr)|(kdp)|(train st.+moving)|(\|lc)|(penalty))"</v>
      </c>
      <c r="AG85" s="245" t="str">
        <f t="shared" si="48"/>
        <v>EC</v>
      </c>
      <c r="AH85" s="237" t="str">
        <f t="shared" si="49"/>
        <v>"%USERPROFILE%\Documents\GitHub\eaglep3\Utilities\RefineRTDCRunTimes.py" --tripid 172-28 --locoid 4007 --swversion DE.1.0.9.0 --startMP 204:232998 --initTime 2017-11-28T13:23:46 --startdatetime 2017-11-28T13:27:41 --delay 92 --endMP 204:229 --enddatetime 2017-11-28T14:05:59 --enforcementcount 0 &gt;&gt;%USERPROFILE%\Documents\GitHub\eaglep3-reporting\EC\2017-11-28-refined-times.txt</v>
      </c>
      <c r="AI85" s="239" t="str">
        <f t="shared" si="50"/>
        <v>echo {"issue":{"subject":"","project_id":79,"tracker_id":40,"status_id":1,"priority_id":2,"assigned_to_id":338,"start_date":"2017-11-28","description":"","custom_fields":[{"id":1,"name":"Subdivision","value":"EC"},{"id":4,"name":"Milepost","value":"0.0229"},{"id":17,"name":"Train ID","value":"172-28"},{"id":16,"name":"Locomotive ID","value":"4007"},{"id":130,"name":"Impact","value":""},{"id":150,"name":"Time of Event (Mountain Time)","value":"14:05:59"},{"id":151,"name":"Denver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5" s="224"/>
      <c r="AK85" s="232"/>
      <c r="AL85" s="232"/>
      <c r="AM85" s="241" t="str">
        <f t="shared" si="51"/>
        <v>start /low /b %USERPROFILE%\Documents\GitHub\eaglep3\Utilities\DownloadLogsFromS3.py --loco 4007 --day 2017-11-28</v>
      </c>
      <c r="AN85" s="242" t="str">
        <f t="shared" si="5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21:05:59"},{"id":29,"name":"Sharepoint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231" t="str">
        <f t="shared" si="53"/>
        <v>https://d0f6bd738d7f1b3e5a7ca70fe4ff75f0.us-east-1.aws.found.io/app/kibana#/discover/Steve-Slow-Train-Analysis-(2080s-and-2083s)?_g=(refreshInterval:(display:Off,pause:!f,section:0,value:0),time:(from:'2017-11-28T12:23:46-0700',mode:absolute,to:'2017-11-28T15:05:59-0700'))&amp;_a=(columns:!('Message%20ID',Summary),filters:!(),index:'emp_*',interval:auto,query:(query_string:(analyze_wildcard:!t,query:'%22rtdc.l.rtdc.4007%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230" t="s">
        <v>776</v>
      </c>
      <c r="B86" s="226">
        <v>4050</v>
      </c>
      <c r="C86" s="228" t="s">
        <v>192</v>
      </c>
      <c r="D86" s="228" t="s">
        <v>442</v>
      </c>
      <c r="E86" s="227">
        <v>43067.526875000003</v>
      </c>
      <c r="F86" s="227">
        <v>43067.531493055554</v>
      </c>
      <c r="G86" s="226">
        <v>69</v>
      </c>
      <c r="H86" s="228" t="s">
        <v>943</v>
      </c>
      <c r="I86" s="227">
        <v>43067.555914351855</v>
      </c>
      <c r="J86" s="226">
        <v>0</v>
      </c>
      <c r="K86" s="238" t="str">
        <f t="shared" si="39"/>
        <v>4049/4050</v>
      </c>
      <c r="L86" s="246" t="str">
        <f>VLOOKUP(A86,'Trips&amp;Operators'!$C$1:$G$99911,5,FALSE)</f>
        <v>SMITH MICHAEL</v>
      </c>
      <c r="M86" s="225">
        <f t="shared" si="40"/>
        <v>2.4421296300715767E-2</v>
      </c>
      <c r="N86" s="226">
        <f t="shared" si="38"/>
        <v>35.166666673030704</v>
      </c>
      <c r="O86" s="226"/>
      <c r="P86" s="226"/>
      <c r="Q86" s="229"/>
      <c r="R86" s="243"/>
      <c r="S86" s="250">
        <f t="shared" si="37"/>
        <v>1</v>
      </c>
      <c r="T86" s="243" t="str">
        <f t="shared" si="41"/>
        <v>NorthBound</v>
      </c>
      <c r="U86" s="247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49" t="str">
        <f t="shared" si="42"/>
        <v>https://d0f6bd738d7f1b3e5a7ca70fe4ff75f0.us-east-1.aws.found.io/app/kibana#/discover/Steve-Slow-Train-Analysis-(2080s-and-2083s)?_g=(refreshInterval:(display:Off,pause:!f,section:0,value:0),time:(from:'2017-11-28T11:38:42-0700',mode:absolute,to:'2017-11-28T14:20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86" s="248" t="str">
        <f>IF(AA86&lt;VLOOKUP(AG86,Variables!$AC$3:$AD$8,2,FALSE),"Y","N")</f>
        <v>N</v>
      </c>
      <c r="X86" s="248">
        <f t="shared" si="43"/>
        <v>1</v>
      </c>
      <c r="Y86" s="248">
        <f t="shared" si="36"/>
        <v>5.3499999999999999E-2</v>
      </c>
      <c r="Z86" s="248">
        <f t="shared" si="35"/>
        <v>23.325700000000001</v>
      </c>
      <c r="AA86" s="248">
        <f t="shared" si="44"/>
        <v>23.272200000000002</v>
      </c>
      <c r="AB86" s="234" t="e">
        <f>VLOOKUP(A86,Enforcements!$C$7:$K$9,8,0)</f>
        <v>#N/A</v>
      </c>
      <c r="AC86" s="233" t="e">
        <f>VLOOKUP(A86,Enforcements!$C$7:$E$9,3,0)</f>
        <v>#N/A</v>
      </c>
      <c r="AD86" s="244">
        <f t="shared" si="45"/>
        <v>173</v>
      </c>
      <c r="AE86" s="236" t="str">
        <f t="shared" si="46"/>
        <v>aws s3 cp s3://rtdc.mdm.uploadarchive.raw/RTDC4050/ "%USERPROFILE%\AppData\Local\Temp\OnboardLogs"\RTDC4050\2017-11-28 --exclude "*" --recursive --include "*20171128*" &amp; "%USERPROFILE%\Documents\GitHub\mrs-test-scripts\Headless Mode &amp; Sideloading\WalkAndUnGZ.bat" "%USERPROFILE%\AppData\Local\Temp\OnboardLogs"\RTDC4050\2017-11-28 &amp; aws s3 cp s3://rtdc.mdm.uploadarchive.raw/RTDC4050/ "%USERPROFILE%\AppData\Local\Temp\OnboardLogs"\RTDC4050\2017-11-29 --exclude "*" --recursive --include "*20171129*" &amp; "%USERPROFILE%\Documents\GitHub\mrs-test-scripts\Headless Mode &amp; Sideloading\WalkAndUnGZ.bat" "%USERPROFILE%\AppData\Local\Temp\OnboardLogs"\RTDC4050\2017-11-29</v>
      </c>
      <c r="AF86" s="235" t="str">
        <f t="shared" si="47"/>
        <v>"C:\Program Files (x86)\AstroGrep\AstroGrep.exe" /e /r /s /spath="%USERPROFILE%\AppData\Local\Temp\OnboardLogs" /stypes="app*4050*20171128*" /stext=" 20:.+((SYSTEM_STATE.+slice.+state.+changed )|(ment ac)|(multiple cpu faults)|(system.+state.+changed )|(\[timeout)|(PRM\|1\|D)|(kpr)|(kdp)|(train st.+moving)|(\|lc)|(penalty))"</v>
      </c>
      <c r="AG86" s="245" t="str">
        <f t="shared" si="48"/>
        <v>EC</v>
      </c>
      <c r="AH86" s="237" t="str">
        <f t="shared" si="49"/>
        <v>"%USERPROFILE%\Documents\GitHub\eaglep3\Utilities\RefineRTDCRunTimes.py" --tripid 173-28 --locoid 4050 --swversion DE.1.0.9.0 --startMP 204:535 --initTime 2017-11-28T12:38:42 --startdatetime 2017-11-28T12:45:21 --delay 69 --endMP 204:233257 --enddatetime 2017-11-28T13:20:31 --enforcementcount 0 &gt;&gt;%USERPROFILE%\Documents\GitHub\eaglep3-reporting\EC\2017-11-28-refined-times.txt</v>
      </c>
      <c r="AI86" s="239" t="str">
        <f t="shared" si="50"/>
        <v>echo {"issue":{"subject":"","project_id":79,"tracker_id":40,"status_id":1,"priority_id":2,"assigned_to_id":338,"start_date":"2017-11-28","description":"","custom_fields":[{"id":1,"name":"Subdivision","value":"EC"},{"id":4,"name":"Milepost","value":"23.3257"},{"id":17,"name":"Train ID","value":"173-28"},{"id":16,"name":"Locomotive ID","value":"4050"},{"id":130,"name":"Impact","value":""},{"id":150,"name":"Time of Event (Mountain Time)","value":"13:20:31"},{"id":151,"name":"Denver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6" s="224"/>
      <c r="AK86" s="232"/>
      <c r="AL86" s="232"/>
      <c r="AM86" s="241" t="str">
        <f t="shared" si="51"/>
        <v>start /low /b %USERPROFILE%\Documents\GitHub\eaglep3\Utilities\DownloadLogsFromS3.py --loco 4050 --day 2017-11-28</v>
      </c>
      <c r="AN86" s="242" t="str">
        <f t="shared" si="5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20:20:31"},{"id":29,"name":"Sharepoint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231" t="str">
        <f t="shared" si="53"/>
        <v>https://d0f6bd738d7f1b3e5a7ca70fe4ff75f0.us-east-1.aws.found.io/app/kibana#/discover/Steve-Slow-Train-Analysis-(2080s-and-2083s)?_g=(refreshInterval:(display:Off,pause:!f,section:0,value:0),time:(from:'2017-11-28T11:38:42-0700',mode:absolute,to:'2017-11-28T14:20:31-0700'))&amp;_a=(columns:!('Message%20ID',Summary),filters:!(),index:'emp_*',interval:auto,query:(query_string:(analyze_wildcard:!t,query:'%22rtdc.l.rtdc.4050%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230" t="s">
        <v>785</v>
      </c>
      <c r="B87" s="226">
        <v>4049</v>
      </c>
      <c r="C87" s="228" t="s">
        <v>192</v>
      </c>
      <c r="D87" s="228" t="s">
        <v>440</v>
      </c>
      <c r="E87" s="227">
        <v>43067.5625</v>
      </c>
      <c r="F87" s="227">
        <v>43067.57104166667</v>
      </c>
      <c r="G87" s="226">
        <v>76</v>
      </c>
      <c r="H87" s="228" t="s">
        <v>604</v>
      </c>
      <c r="I87" s="227">
        <v>43067.597337962965</v>
      </c>
      <c r="J87" s="226">
        <v>0</v>
      </c>
      <c r="K87" s="238" t="str">
        <f t="shared" si="39"/>
        <v>4049/4050</v>
      </c>
      <c r="L87" s="246" t="str">
        <f>VLOOKUP(A87,'Trips&amp;Operators'!$C$1:$G$99911,5,FALSE)</f>
        <v>SMITH MICHAEL</v>
      </c>
      <c r="M87" s="225">
        <f t="shared" si="40"/>
        <v>2.6296296295186039E-2</v>
      </c>
      <c r="N87" s="226">
        <f t="shared" si="38"/>
        <v>37.866666665067896</v>
      </c>
      <c r="O87" s="226"/>
      <c r="P87" s="226"/>
      <c r="Q87" s="229"/>
      <c r="R87" s="243"/>
      <c r="S87" s="250">
        <f t="shared" si="37"/>
        <v>1</v>
      </c>
      <c r="T87" s="243" t="str">
        <f t="shared" si="41"/>
        <v>Southbound</v>
      </c>
      <c r="U87" s="247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49" t="str">
        <f t="shared" si="42"/>
        <v>https://d0f6bd738d7f1b3e5a7ca70fe4ff75f0.us-east-1.aws.found.io/app/kibana#/discover/Steve-Slow-Train-Analysis-(2080s-and-2083s)?_g=(refreshInterval:(display:Off,pause:!f,section:0,value:0),time:(from:'2017-11-28T12:30:00-0700',mode:absolute,to:'2017-11-28T15:20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87" s="248" t="str">
        <f>IF(AA87&lt;VLOOKUP(AG87,Variables!$AC$3:$AD$8,2,FALSE),"Y","N")</f>
        <v>N</v>
      </c>
      <c r="X87" s="248">
        <f t="shared" si="43"/>
        <v>1</v>
      </c>
      <c r="Y87" s="248">
        <f t="shared" si="36"/>
        <v>23.293399999999998</v>
      </c>
      <c r="Z87" s="248">
        <f t="shared" si="35"/>
        <v>2.52E-2</v>
      </c>
      <c r="AA87" s="248">
        <f t="shared" si="44"/>
        <v>23.268199999999997</v>
      </c>
      <c r="AB87" s="234" t="e">
        <f>VLOOKUP(A87,Enforcements!$C$7:$K$9,8,0)</f>
        <v>#N/A</v>
      </c>
      <c r="AC87" s="233" t="e">
        <f>VLOOKUP(A87,Enforcements!$C$7:$E$9,3,0)</f>
        <v>#N/A</v>
      </c>
      <c r="AD87" s="244">
        <f t="shared" si="45"/>
        <v>174</v>
      </c>
      <c r="AE87" s="236" t="str">
        <f t="shared" si="46"/>
        <v>aws s3 cp s3://rtdc.mdm.uploadarchive.raw/RTDC4049/ "%USERPROFILE%\AppData\Local\Temp\OnboardLogs"\RTDC4049\2017-11-28 --exclude "*" --recursive --include "*20171128*" &amp; "%USERPROFILE%\Documents\GitHub\mrs-test-scripts\Headless Mode &amp; Sideloading\WalkAndUnGZ.bat" "%USERPROFILE%\AppData\Local\Temp\OnboardLogs"\RTDC4049\2017-11-28 &amp; aws s3 cp s3://rtdc.mdm.uploadarchive.raw/RTDC4049/ "%USERPROFILE%\AppData\Local\Temp\OnboardLogs"\RTDC4049\2017-11-29 --exclude "*" --recursive --include "*20171129*" &amp; "%USERPROFILE%\Documents\GitHub\mrs-test-scripts\Headless Mode &amp; Sideloading\WalkAndUnGZ.bat" "%USERPROFILE%\AppData\Local\Temp\OnboardLogs"\RTDC4049\2017-11-29</v>
      </c>
      <c r="AF87" s="235" t="str">
        <f t="shared" si="47"/>
        <v>"C:\Program Files (x86)\AstroGrep\AstroGrep.exe" /e /r /s /spath="%USERPROFILE%\AppData\Local\Temp\OnboardLogs" /stypes="app*4049*20171128*" /stext=" 21:.+((SYSTEM_STATE.+slice.+state.+changed )|(ment ac)|(multiple cpu faults)|(system.+state.+changed )|(\[timeout)|(PRM\|1\|D)|(kpr)|(kdp)|(train st.+moving)|(\|lc)|(penalty))"</v>
      </c>
      <c r="AG87" s="245" t="str">
        <f t="shared" si="48"/>
        <v>EC</v>
      </c>
      <c r="AH87" s="237" t="str">
        <f t="shared" si="49"/>
        <v>"%USERPROFILE%\Documents\GitHub\eaglep3\Utilities\RefineRTDCRunTimes.py" --tripid 174-28 --locoid 4049 --swversion DE.1.0.9.0 --startMP 204:232934 --initTime 2017-11-28T13:30:00 --startdatetime 2017-11-28T13:42:18 --delay 76 --endMP 204:252 --enddatetime 2017-11-28T14:20:10 --enforcementcount 0 &gt;&gt;%USERPROFILE%\Documents\GitHub\eaglep3-reporting\EC\2017-11-28-refined-times.txt</v>
      </c>
      <c r="AI87" s="239" t="str">
        <f t="shared" si="50"/>
        <v>echo {"issue":{"subject":"","project_id":79,"tracker_id":40,"status_id":1,"priority_id":2,"assigned_to_id":338,"start_date":"2017-11-28","description":"","custom_fields":[{"id":1,"name":"Subdivision","value":"EC"},{"id":4,"name":"Milepost","value":"0.0252"},{"id":17,"name":"Train ID","value":"174-28"},{"id":16,"name":"Locomotive ID","value":"4049"},{"id":130,"name":"Impact","value":""},{"id":150,"name":"Time of Event (Mountain Time)","value":"14:20:10"},{"id":151,"name":"Denver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7" s="224"/>
      <c r="AK87" s="232"/>
      <c r="AL87" s="232"/>
      <c r="AM87" s="241" t="str">
        <f t="shared" si="51"/>
        <v>start /low /b %USERPROFILE%\Documents\GitHub\eaglep3\Utilities\DownloadLogsFromS3.py --loco 4049 --day 2017-11-28</v>
      </c>
      <c r="AN87" s="242" t="str">
        <f t="shared" si="5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21:20:10"},{"id":29,"name":"Sharepoint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231" t="str">
        <f t="shared" si="53"/>
        <v>https://d0f6bd738d7f1b3e5a7ca70fe4ff75f0.us-east-1.aws.found.io/app/kibana#/discover/Steve-Slow-Train-Analysis-(2080s-and-2083s)?_g=(refreshInterval:(display:Off,pause:!f,section:0,value:0),time:(from:'2017-11-28T12:30:00-0700',mode:absolute,to:'2017-11-28T15:20:10-0700'))&amp;_a=(columns:!('Message%20ID',Summary),filters:!(),index:'emp_*',interval:auto,query:(query_string:(analyze_wildcard:!t,query:'%22rtdc.l.rtdc.4049%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230" t="s">
        <v>779</v>
      </c>
      <c r="B88" s="226">
        <v>4060</v>
      </c>
      <c r="C88" s="228" t="s">
        <v>192</v>
      </c>
      <c r="D88" s="228" t="s">
        <v>435</v>
      </c>
      <c r="E88" s="227">
        <v>43067.538298611114</v>
      </c>
      <c r="F88" s="227">
        <v>43067.541851851849</v>
      </c>
      <c r="G88" s="226">
        <v>58</v>
      </c>
      <c r="H88" s="228" t="s">
        <v>944</v>
      </c>
      <c r="I88" s="227">
        <v>43067.566574074073</v>
      </c>
      <c r="J88" s="226">
        <v>0</v>
      </c>
      <c r="K88" s="238" t="str">
        <f t="shared" si="39"/>
        <v>4059/4060</v>
      </c>
      <c r="L88" s="246" t="str">
        <f>VLOOKUP(A88,'Trips&amp;Operators'!$C$1:$G$99911,5,FALSE)</f>
        <v>BRUDER RICHARD</v>
      </c>
      <c r="M88" s="225">
        <f t="shared" si="40"/>
        <v>2.4722222224227153E-2</v>
      </c>
      <c r="N88" s="226">
        <f t="shared" si="38"/>
        <v>35.6000000028871</v>
      </c>
      <c r="O88" s="226"/>
      <c r="P88" s="226"/>
      <c r="Q88" s="229"/>
      <c r="R88" s="243"/>
      <c r="S88" s="250">
        <f t="shared" si="37"/>
        <v>1</v>
      </c>
      <c r="T88" s="243" t="str">
        <f t="shared" si="41"/>
        <v>NorthBound</v>
      </c>
      <c r="U88" s="247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49" t="str">
        <f t="shared" si="42"/>
        <v>https://d0f6bd738d7f1b3e5a7ca70fe4ff75f0.us-east-1.aws.found.io/app/kibana#/discover/Steve-Slow-Train-Analysis-(2080s-and-2083s)?_g=(refreshInterval:(display:Off,pause:!f,section:0,value:0),time:(from:'2017-11-28T11:55:09-0700',mode:absolute,to:'2017-11-28T14:35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88" s="248" t="str">
        <f>IF(AA88&lt;VLOOKUP(AG88,Variables!$AC$3:$AD$8,2,FALSE),"Y","N")</f>
        <v>N</v>
      </c>
      <c r="X88" s="248">
        <f t="shared" si="43"/>
        <v>1</v>
      </c>
      <c r="Y88" s="248">
        <f t="shared" si="36"/>
        <v>5.2600000000000001E-2</v>
      </c>
      <c r="Z88" s="248">
        <f t="shared" si="35"/>
        <v>23.3215</v>
      </c>
      <c r="AA88" s="248">
        <f t="shared" si="44"/>
        <v>23.268899999999999</v>
      </c>
      <c r="AB88" s="234" t="e">
        <f>VLOOKUP(A88,Enforcements!$C$7:$K$9,8,0)</f>
        <v>#N/A</v>
      </c>
      <c r="AC88" s="233" t="e">
        <f>VLOOKUP(A88,Enforcements!$C$7:$E$9,3,0)</f>
        <v>#N/A</v>
      </c>
      <c r="AD88" s="244">
        <f t="shared" si="45"/>
        <v>175</v>
      </c>
      <c r="AE88" s="236" t="str">
        <f t="shared" si="46"/>
        <v>aws s3 cp s3://rtdc.mdm.uploadarchive.raw/RTDC4060/ "%USERPROFILE%\AppData\Local\Temp\OnboardLogs"\RTDC4060\2017-11-28 --exclude "*" --recursive --include "*20171128*" &amp; "%USERPROFILE%\Documents\GitHub\mrs-test-scripts\Headless Mode &amp; Sideloading\WalkAndUnGZ.bat" "%USERPROFILE%\AppData\Local\Temp\OnboardLogs"\RTDC4060\2017-11-28 &amp; aws s3 cp s3://rtdc.mdm.uploadarchive.raw/RTDC4060/ "%USERPROFILE%\AppData\Local\Temp\OnboardLogs"\RTDC4060\2017-11-29 --exclude "*" --recursive --include "*20171129*" &amp; "%USERPROFILE%\Documents\GitHub\mrs-test-scripts\Headless Mode &amp; Sideloading\WalkAndUnGZ.bat" "%USERPROFILE%\AppData\Local\Temp\OnboardLogs"\RTDC4060\2017-11-29</v>
      </c>
      <c r="AF88" s="235" t="str">
        <f t="shared" si="47"/>
        <v>"C:\Program Files (x86)\AstroGrep\AstroGrep.exe" /e /r /s /spath="%USERPROFILE%\AppData\Local\Temp\OnboardLogs" /stypes="app*4060*20171128*" /stext=" 20:.+((SYSTEM_STATE.+slice.+state.+changed )|(ment ac)|(multiple cpu faults)|(system.+state.+changed )|(\[timeout)|(PRM\|1\|D)|(kpr)|(kdp)|(train st.+moving)|(\|lc)|(penalty))"</v>
      </c>
      <c r="AG88" s="245" t="str">
        <f t="shared" si="48"/>
        <v>EC</v>
      </c>
      <c r="AH88" s="237" t="str">
        <f t="shared" si="49"/>
        <v>"%USERPROFILE%\Documents\GitHub\eaglep3\Utilities\RefineRTDCRunTimes.py" --tripid 175-28 --locoid 4060 --swversion DE.1.0.9.0 --startMP 204:526 --initTime 2017-11-28T12:55:09 --startdatetime 2017-11-28T13:00:16 --delay 58 --endMP 204:233215 --enddatetime 2017-11-28T13:35:52 --enforcementcount 0 &gt;&gt;%USERPROFILE%\Documents\GitHub\eaglep3-reporting\EC\2017-11-28-refined-times.txt</v>
      </c>
      <c r="AI88" s="239" t="str">
        <f t="shared" si="50"/>
        <v>echo {"issue":{"subject":"","project_id":79,"tracker_id":40,"status_id":1,"priority_id":2,"assigned_to_id":338,"start_date":"2017-11-28","description":"","custom_fields":[{"id":1,"name":"Subdivision","value":"EC"},{"id":4,"name":"Milepost","value":"23.3215"},{"id":17,"name":"Train ID","value":"175-28"},{"id":16,"name":"Locomotive ID","value":"4060"},{"id":130,"name":"Impact","value":""},{"id":150,"name":"Time of Event (Mountain Time)","value":"13:35:52"},{"id":151,"name":"Denver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8" s="224"/>
      <c r="AK88" s="232"/>
      <c r="AL88" s="232"/>
      <c r="AM88" s="241" t="str">
        <f t="shared" si="51"/>
        <v>start /low /b %USERPROFILE%\Documents\GitHub\eaglep3\Utilities\DownloadLogsFromS3.py --loco 4060 --day 2017-11-28</v>
      </c>
      <c r="AN88" s="242" t="str">
        <f t="shared" si="5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20:35:52"},{"id":29,"name":"Sharepoint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231" t="str">
        <f t="shared" si="53"/>
        <v>https://d0f6bd738d7f1b3e5a7ca70fe4ff75f0.us-east-1.aws.found.io/app/kibana#/discover/Steve-Slow-Train-Analysis-(2080s-and-2083s)?_g=(refreshInterval:(display:Off,pause:!f,section:0,value:0),time:(from:'2017-11-28T11:55:09-0700',mode:absolute,to:'2017-11-28T14:35:52-0700'))&amp;_a=(columns:!('Message%20ID',Summary),filters:!(),index:'emp_*',interval:auto,query:(query_string:(analyze_wildcard:!t,query:'%22rtdc.l.rtdc.4060%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230" t="s">
        <v>787</v>
      </c>
      <c r="B89" s="226">
        <v>4059</v>
      </c>
      <c r="C89" s="228" t="s">
        <v>192</v>
      </c>
      <c r="D89" s="228" t="s">
        <v>902</v>
      </c>
      <c r="E89" s="227">
        <v>43067.578298611108</v>
      </c>
      <c r="F89" s="227">
        <v>43067.581435185188</v>
      </c>
      <c r="G89" s="226">
        <v>58</v>
      </c>
      <c r="H89" s="228" t="s">
        <v>1091</v>
      </c>
      <c r="I89" s="227">
        <v>43067.606944444444</v>
      </c>
      <c r="J89" s="226">
        <v>0</v>
      </c>
      <c r="K89" s="238" t="str">
        <f t="shared" si="39"/>
        <v>4059/4060</v>
      </c>
      <c r="L89" s="246" t="str">
        <f>VLOOKUP(A89,'Trips&amp;Operators'!$C$1:$G$99911,5,FALSE)</f>
        <v>BRUDER RICHARD</v>
      </c>
      <c r="M89" s="225">
        <f t="shared" si="40"/>
        <v>2.5509259256068617E-2</v>
      </c>
      <c r="N89" s="226">
        <f t="shared" si="38"/>
        <v>36.733333328738809</v>
      </c>
      <c r="O89" s="226"/>
      <c r="P89" s="226"/>
      <c r="Q89" s="229"/>
      <c r="R89" s="243"/>
      <c r="S89" s="250">
        <f t="shared" si="37"/>
        <v>1</v>
      </c>
      <c r="T89" s="243" t="str">
        <f t="shared" si="41"/>
        <v>Southbound</v>
      </c>
      <c r="U89" s="247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49" t="str">
        <f t="shared" si="42"/>
        <v>https://d0f6bd738d7f1b3e5a7ca70fe4ff75f0.us-east-1.aws.found.io/app/kibana#/discover/Steve-Slow-Train-Analysis-(2080s-and-2083s)?_g=(refreshInterval:(display:Off,pause:!f,section:0,value:0),time:(from:'2017-11-28T12:52:45-0700',mode:absolute,to:'2017-11-28T15:34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89" s="248" t="str">
        <f>IF(AA89&lt;VLOOKUP(AG89,Variables!$AC$3:$AD$8,2,FALSE),"Y","N")</f>
        <v>N</v>
      </c>
      <c r="X89" s="248">
        <f t="shared" si="43"/>
        <v>1</v>
      </c>
      <c r="Y89" s="248">
        <f t="shared" si="36"/>
        <v>23.289200000000001</v>
      </c>
      <c r="Z89" s="248">
        <f t="shared" si="35"/>
        <v>2.4199999999999999E-2</v>
      </c>
      <c r="AA89" s="248">
        <f t="shared" si="44"/>
        <v>23.265000000000001</v>
      </c>
      <c r="AB89" s="234" t="e">
        <f>VLOOKUP(A89,Enforcements!$C$7:$K$9,8,0)</f>
        <v>#N/A</v>
      </c>
      <c r="AC89" s="233" t="e">
        <f>VLOOKUP(A89,Enforcements!$C$7:$E$9,3,0)</f>
        <v>#N/A</v>
      </c>
      <c r="AD89" s="244">
        <f t="shared" si="45"/>
        <v>176</v>
      </c>
      <c r="AE89" s="236" t="str">
        <f t="shared" si="46"/>
        <v>aws s3 cp s3://rtdc.mdm.uploadarchive.raw/RTDC4059/ "%USERPROFILE%\AppData\Local\Temp\OnboardLogs"\RTDC4059\2017-11-28 --exclude "*" --recursive --include "*20171128*" &amp; "%USERPROFILE%\Documents\GitHub\mrs-test-scripts\Headless Mode &amp; Sideloading\WalkAndUnGZ.bat" "%USERPROFILE%\AppData\Local\Temp\OnboardLogs"\RTDC4059\2017-11-28 &amp; aws s3 cp s3://rtdc.mdm.uploadarchive.raw/RTDC4059/ "%USERPROFILE%\AppData\Local\Temp\OnboardLogs"\RTDC4059\2017-11-29 --exclude "*" --recursive --include "*20171129*" &amp; "%USERPROFILE%\Documents\GitHub\mrs-test-scripts\Headless Mode &amp; Sideloading\WalkAndUnGZ.bat" "%USERPROFILE%\AppData\Local\Temp\OnboardLogs"\RTDC4059\2017-11-29</v>
      </c>
      <c r="AF89" s="235" t="str">
        <f t="shared" si="47"/>
        <v>"C:\Program Files (x86)\AstroGrep\AstroGrep.exe" /e /r /s /spath="%USERPROFILE%\AppData\Local\Temp\OnboardLogs" /stypes="app*4059*20171128*" /stext=" 21:.+((SYSTEM_STATE.+slice.+state.+changed )|(ment ac)|(multiple cpu faults)|(system.+state.+changed )|(\[timeout)|(PRM\|1\|D)|(kpr)|(kdp)|(train st.+moving)|(\|lc)|(penalty))"</v>
      </c>
      <c r="AG89" s="245" t="str">
        <f t="shared" si="48"/>
        <v>EC</v>
      </c>
      <c r="AH89" s="237" t="str">
        <f t="shared" si="49"/>
        <v>"%USERPROFILE%\Documents\GitHub\eaglep3\Utilities\RefineRTDCRunTimes.py" --tripid 176-28 --locoid 4059 --swversion DE.1.0.9.0 --startMP 204:232892 --initTime 2017-11-28T13:52:45 --startdatetime 2017-11-28T13:57:16 --delay 58 --endMP 204:242 --enddatetime 2017-11-28T14:34:00 --enforcementcount 0 &gt;&gt;%USERPROFILE%\Documents\GitHub\eaglep3-reporting\EC\2017-11-28-refined-times.txt</v>
      </c>
      <c r="AI89" s="239" t="str">
        <f t="shared" si="50"/>
        <v>echo {"issue":{"subject":"","project_id":79,"tracker_id":40,"status_id":1,"priority_id":2,"assigned_to_id":338,"start_date":"2017-11-28","description":"","custom_fields":[{"id":1,"name":"Subdivision","value":"EC"},{"id":4,"name":"Milepost","value":"0.0242"},{"id":17,"name":"Train ID","value":"176-28"},{"id":16,"name":"Locomotive ID","value":"4059"},{"id":130,"name":"Impact","value":""},{"id":150,"name":"Time of Event (Mountain Time)","value":"14:34:00"},{"id":151,"name":"Denver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9" s="224"/>
      <c r="AK89" s="232"/>
      <c r="AL89" s="232"/>
      <c r="AM89" s="241" t="str">
        <f t="shared" si="51"/>
        <v>start /low /b %USERPROFILE%\Documents\GitHub\eaglep3\Utilities\DownloadLogsFromS3.py --loco 4059 --day 2017-11-28</v>
      </c>
      <c r="AN89" s="242" t="str">
        <f t="shared" si="5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21:34:00"},{"id":29,"name":"Sharepoint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231" t="str">
        <f t="shared" si="53"/>
        <v>https://d0f6bd738d7f1b3e5a7ca70fe4ff75f0.us-east-1.aws.found.io/app/kibana#/discover/Steve-Slow-Train-Analysis-(2080s-and-2083s)?_g=(refreshInterval:(display:Off,pause:!f,section:0,value:0),time:(from:'2017-11-28T12:52:45-0700',mode:absolute,to:'2017-11-28T15:34:00-0700'))&amp;_a=(columns:!('Message%20ID',Summary),filters:!(),index:'emp_*',interval:auto,query:(query_string:(analyze_wildcard:!t,query:'%22rtdc.l.rtdc.4059%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230" t="s">
        <v>781</v>
      </c>
      <c r="B90" s="226">
        <v>4056</v>
      </c>
      <c r="C90" s="228" t="s">
        <v>192</v>
      </c>
      <c r="D90" s="228" t="s">
        <v>492</v>
      </c>
      <c r="E90" s="227">
        <v>43067.547685185185</v>
      </c>
      <c r="F90" s="227">
        <v>43067.552314814813</v>
      </c>
      <c r="G90" s="226">
        <v>55</v>
      </c>
      <c r="H90" s="228" t="s">
        <v>945</v>
      </c>
      <c r="I90" s="227">
        <v>43067.576597222222</v>
      </c>
      <c r="J90" s="226">
        <v>0</v>
      </c>
      <c r="K90" s="238" t="str">
        <f t="shared" si="39"/>
        <v>4055/4056</v>
      </c>
      <c r="L90" s="246" t="str">
        <f>VLOOKUP(A90,'Trips&amp;Operators'!$C$1:$G$99911,5,FALSE)</f>
        <v>STEWART MICHAEL</v>
      </c>
      <c r="M90" s="225">
        <f t="shared" si="40"/>
        <v>2.4282407408463769E-2</v>
      </c>
      <c r="N90" s="226">
        <f t="shared" si="38"/>
        <v>34.966666668187827</v>
      </c>
      <c r="O90" s="226"/>
      <c r="P90" s="226"/>
      <c r="Q90" s="229"/>
      <c r="R90" s="243"/>
      <c r="S90" s="250">
        <f t="shared" si="37"/>
        <v>1</v>
      </c>
      <c r="T90" s="243" t="str">
        <f t="shared" si="41"/>
        <v>NorthBound</v>
      </c>
      <c r="U90" s="247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49" t="str">
        <f t="shared" si="42"/>
        <v>https://d0f6bd738d7f1b3e5a7ca70fe4ff75f0.us-east-1.aws.found.io/app/kibana#/discover/Steve-Slow-Train-Analysis-(2080s-and-2083s)?_g=(refreshInterval:(display:Off,pause:!f,section:0,value:0),time:(from:'2017-11-28T12:08:40-0700',mode:absolute,to:'2017-11-28T14:50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90" s="248" t="str">
        <f>IF(AA90&lt;VLOOKUP(AG90,Variables!$AC$3:$AD$8,2,FALSE),"Y","N")</f>
        <v>N</v>
      </c>
      <c r="X90" s="248">
        <f t="shared" si="43"/>
        <v>1</v>
      </c>
      <c r="Y90" s="248">
        <f t="shared" si="36"/>
        <v>4.8899999999999999E-2</v>
      </c>
      <c r="Z90" s="248">
        <f t="shared" si="35"/>
        <v>23.3203</v>
      </c>
      <c r="AA90" s="248">
        <f t="shared" si="44"/>
        <v>23.2714</v>
      </c>
      <c r="AB90" s="234" t="e">
        <f>VLOOKUP(A90,Enforcements!$C$7:$K$9,8,0)</f>
        <v>#N/A</v>
      </c>
      <c r="AC90" s="233" t="e">
        <f>VLOOKUP(A90,Enforcements!$C$7:$E$9,3,0)</f>
        <v>#N/A</v>
      </c>
      <c r="AD90" s="244">
        <f t="shared" si="45"/>
        <v>177</v>
      </c>
      <c r="AE90" s="236" t="str">
        <f t="shared" si="46"/>
        <v>aws s3 cp s3://rtdc.mdm.uploadarchive.raw/RTDC4056/ "%USERPROFILE%\AppData\Local\Temp\OnboardLogs"\RTDC4056\2017-11-28 --exclude "*" --recursive --include "*20171128*" &amp; "%USERPROFILE%\Documents\GitHub\mrs-test-scripts\Headless Mode &amp; Sideloading\WalkAndUnGZ.bat" "%USERPROFILE%\AppData\Local\Temp\OnboardLogs"\RTDC4056\2017-11-28 &amp; aws s3 cp s3://rtdc.mdm.uploadarchive.raw/RTDC4056/ "%USERPROFILE%\AppData\Local\Temp\OnboardLogs"\RTDC4056\2017-11-29 --exclude "*" --recursive --include "*20171129*" &amp; "%USERPROFILE%\Documents\GitHub\mrs-test-scripts\Headless Mode &amp; Sideloading\WalkAndUnGZ.bat" "%USERPROFILE%\AppData\Local\Temp\OnboardLogs"\RTDC4056\2017-11-29</v>
      </c>
      <c r="AF90" s="235" t="str">
        <f t="shared" si="47"/>
        <v>"C:\Program Files (x86)\AstroGrep\AstroGrep.exe" /e /r /s /spath="%USERPROFILE%\AppData\Local\Temp\OnboardLogs" /stypes="app*4056*20171128*" /stext=" 20:.+((SYSTEM_STATE.+slice.+state.+changed )|(ment ac)|(multiple cpu faults)|(system.+state.+changed )|(\[timeout)|(PRM\|1\|D)|(kpr)|(kdp)|(train st.+moving)|(\|lc)|(penalty))"</v>
      </c>
      <c r="AG90" s="245" t="str">
        <f t="shared" si="48"/>
        <v>EC</v>
      </c>
      <c r="AH90" s="237" t="str">
        <f t="shared" si="49"/>
        <v>"%USERPROFILE%\Documents\GitHub\eaglep3\Utilities\RefineRTDCRunTimes.py" --tripid 177-28 --locoid 4056 --swversion DE.1.0.9.0 --startMP 204:489 --initTime 2017-11-28T13:08:40 --startdatetime 2017-11-28T13:15:20 --delay 55 --endMP 204:233203 --enddatetime 2017-11-28T13:50:18 --enforcementcount 0 &gt;&gt;%USERPROFILE%\Documents\GitHub\eaglep3-reporting\EC\2017-11-28-refined-times.txt</v>
      </c>
      <c r="AI90" s="239" t="str">
        <f t="shared" si="50"/>
        <v>echo {"issue":{"subject":"","project_id":79,"tracker_id":40,"status_id":1,"priority_id":2,"assigned_to_id":338,"start_date":"2017-11-28","description":"","custom_fields":[{"id":1,"name":"Subdivision","value":"EC"},{"id":4,"name":"Milepost","value":"23.3203"},{"id":17,"name":"Train ID","value":"177-28"},{"id":16,"name":"Locomotive ID","value":"4056"},{"id":130,"name":"Impact","value":""},{"id":150,"name":"Time of Event (Mountain Time)","value":"13:50:18"},{"id":151,"name":"Denver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0" s="224"/>
      <c r="AK90" s="232"/>
      <c r="AL90" s="232"/>
      <c r="AM90" s="241" t="str">
        <f t="shared" si="51"/>
        <v>start /low /b %USERPROFILE%\Documents\GitHub\eaglep3\Utilities\DownloadLogsFromS3.py --loco 4056 --day 2017-11-28</v>
      </c>
      <c r="AN90" s="242" t="str">
        <f t="shared" si="5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20:50:18"},{"id":29,"name":"Sharepoint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231" t="str">
        <f t="shared" si="53"/>
        <v>https://d0f6bd738d7f1b3e5a7ca70fe4ff75f0.us-east-1.aws.found.io/app/kibana#/discover/Steve-Slow-Train-Analysis-(2080s-and-2083s)?_g=(refreshInterval:(display:Off,pause:!f,section:0,value:0),time:(from:'2017-11-28T12:08:40-0700',mode:absolute,to:'2017-11-28T14:50:18-0700'))&amp;_a=(columns:!('Message%20ID',Summary),filters:!(),index:'emp_*',interval:auto,query:(query_string:(analyze_wildcard:!t,query:'%22rtdc.l.rtdc.4056%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230" t="s">
        <v>790</v>
      </c>
      <c r="B91" s="226">
        <v>4055</v>
      </c>
      <c r="C91" s="228" t="s">
        <v>192</v>
      </c>
      <c r="D91" s="228" t="s">
        <v>946</v>
      </c>
      <c r="E91" s="227">
        <v>43067.585775462961</v>
      </c>
      <c r="F91" s="227">
        <v>43067.591898148145</v>
      </c>
      <c r="G91" s="226">
        <v>72</v>
      </c>
      <c r="H91" s="228" t="s">
        <v>416</v>
      </c>
      <c r="I91" s="227">
        <v>43067.619016203702</v>
      </c>
      <c r="J91" s="226">
        <v>0</v>
      </c>
      <c r="K91" s="238" t="str">
        <f t="shared" si="39"/>
        <v>4055/4056</v>
      </c>
      <c r="L91" s="246" t="str">
        <f>VLOOKUP(A91,'Trips&amp;Operators'!$C$1:$G$99911,5,FALSE)</f>
        <v>STEWART MICHAEL</v>
      </c>
      <c r="M91" s="225">
        <f t="shared" si="40"/>
        <v>2.7118055557366461E-2</v>
      </c>
      <c r="N91" s="226">
        <f t="shared" si="38"/>
        <v>39.050000002607703</v>
      </c>
      <c r="O91" s="226"/>
      <c r="P91" s="226"/>
      <c r="Q91" s="229"/>
      <c r="R91" s="243"/>
      <c r="S91" s="250">
        <f t="shared" si="37"/>
        <v>1</v>
      </c>
      <c r="T91" s="243" t="str">
        <f t="shared" si="41"/>
        <v>Southbound</v>
      </c>
      <c r="U91" s="247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49" t="str">
        <f t="shared" si="42"/>
        <v>https://d0f6bd738d7f1b3e5a7ca70fe4ff75f0.us-east-1.aws.found.io/app/kibana#/discover/Steve-Slow-Train-Analysis-(2080s-and-2083s)?_g=(refreshInterval:(display:Off,pause:!f,section:0,value:0),time:(from:'2017-11-28T13:03:31-0700',mode:absolute,to:'2017-11-28T15:51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91" s="248" t="str">
        <f>IF(AA91&lt;VLOOKUP(AG91,Variables!$AC$3:$AD$8,2,FALSE),"Y","N")</f>
        <v>N</v>
      </c>
      <c r="X91" s="248">
        <f t="shared" si="43"/>
        <v>1</v>
      </c>
      <c r="Y91" s="248">
        <f t="shared" si="36"/>
        <v>23.287299999999998</v>
      </c>
      <c r="Z91" s="248">
        <f t="shared" si="35"/>
        <v>2.07E-2</v>
      </c>
      <c r="AA91" s="248">
        <f t="shared" si="44"/>
        <v>23.266599999999997</v>
      </c>
      <c r="AB91" s="234" t="e">
        <f>VLOOKUP(A91,Enforcements!$C$7:$K$9,8,0)</f>
        <v>#N/A</v>
      </c>
      <c r="AC91" s="233" t="e">
        <f>VLOOKUP(A91,Enforcements!$C$7:$E$9,3,0)</f>
        <v>#N/A</v>
      </c>
      <c r="AD91" s="244">
        <f t="shared" si="45"/>
        <v>178</v>
      </c>
      <c r="AE91" s="236" t="str">
        <f t="shared" si="46"/>
        <v>aws s3 cp s3://rtdc.mdm.uploadarchive.raw/RTDC4055/ "%USERPROFILE%\AppData\Local\Temp\OnboardLogs"\RTDC4055\2017-11-28 --exclude "*" --recursive --include "*20171128*" &amp; "%USERPROFILE%\Documents\GitHub\mrs-test-scripts\Headless Mode &amp; Sideloading\WalkAndUnGZ.bat" "%USERPROFILE%\AppData\Local\Temp\OnboardLogs"\RTDC4055\2017-11-28 &amp; aws s3 cp s3://rtdc.mdm.uploadarchive.raw/RTDC4055/ "%USERPROFILE%\AppData\Local\Temp\OnboardLogs"\RTDC4055\2017-11-29 --exclude "*" --recursive --include "*20171129*" &amp; "%USERPROFILE%\Documents\GitHub\mrs-test-scripts\Headless Mode &amp; Sideloading\WalkAndUnGZ.bat" "%USERPROFILE%\AppData\Local\Temp\OnboardLogs"\RTDC4055\2017-11-29</v>
      </c>
      <c r="AF91" s="235" t="str">
        <f t="shared" si="47"/>
        <v>"C:\Program Files (x86)\AstroGrep\AstroGrep.exe" /e /r /s /spath="%USERPROFILE%\AppData\Local\Temp\OnboardLogs" /stypes="app*4055*20171128*" /stext=" 21:.+((SYSTEM_STATE.+slice.+state.+changed )|(ment ac)|(multiple cpu faults)|(system.+state.+changed )|(\[timeout)|(PRM\|1\|D)|(kpr)|(kdp)|(train st.+moving)|(\|lc)|(penalty))"</v>
      </c>
      <c r="AG91" s="245" t="str">
        <f t="shared" si="48"/>
        <v>EC</v>
      </c>
      <c r="AH91" s="237" t="str">
        <f t="shared" si="49"/>
        <v>"%USERPROFILE%\Documents\GitHub\eaglep3\Utilities\RefineRTDCRunTimes.py" --tripid 178-28 --locoid 4055 --swversion DE.1.0.9.0 --startMP 204:232873 --initTime 2017-11-28T14:03:31 --startdatetime 2017-11-28T14:12:20 --delay 72 --endMP 204:207 --enddatetime 2017-11-28T14:51:23 --enforcementcount 0 &gt;&gt;%USERPROFILE%\Documents\GitHub\eaglep3-reporting\EC\2017-11-28-refined-times.txt</v>
      </c>
      <c r="AI91" s="239" t="str">
        <f t="shared" si="50"/>
        <v>echo {"issue":{"subject":"","project_id":79,"tracker_id":40,"status_id":1,"priority_id":2,"assigned_to_id":338,"start_date":"2017-11-28","description":"","custom_fields":[{"id":1,"name":"Subdivision","value":"EC"},{"id":4,"name":"Milepost","value":"0.0207"},{"id":17,"name":"Train ID","value":"178-28"},{"id":16,"name":"Locomotive ID","value":"4055"},{"id":130,"name":"Impact","value":""},{"id":150,"name":"Time of Event (Mountain Time)","value":"14:51:23"},{"id":151,"name":"Denver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1" s="224"/>
      <c r="AK91" s="232"/>
      <c r="AL91" s="232"/>
      <c r="AM91" s="241" t="str">
        <f t="shared" si="51"/>
        <v>start /low /b %USERPROFILE%\Documents\GitHub\eaglep3\Utilities\DownloadLogsFromS3.py --loco 4055 --day 2017-11-28</v>
      </c>
      <c r="AN91" s="242" t="str">
        <f t="shared" si="5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21:51:23"},{"id":29,"name":"Sharepoint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231" t="str">
        <f t="shared" si="53"/>
        <v>https://d0f6bd738d7f1b3e5a7ca70fe4ff75f0.us-east-1.aws.found.io/app/kibana#/discover/Steve-Slow-Train-Analysis-(2080s-and-2083s)?_g=(refreshInterval:(display:Off,pause:!f,section:0,value:0),time:(from:'2017-11-28T13:03:31-0700',mode:absolute,to:'2017-11-28T15:51:23-0700'))&amp;_a=(columns:!('Message%20ID',Summary),filters:!(),index:'emp_*',interval:auto,query:(query_string:(analyze_wildcard:!t,query:'%22rtdc.l.rtdc.4055%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230" t="s">
        <v>784</v>
      </c>
      <c r="B92" s="226">
        <v>4040</v>
      </c>
      <c r="C92" s="228" t="s">
        <v>192</v>
      </c>
      <c r="D92" s="228" t="s">
        <v>460</v>
      </c>
      <c r="E92" s="227">
        <v>43067.560578703706</v>
      </c>
      <c r="F92" s="227">
        <v>43067.562696759262</v>
      </c>
      <c r="G92" s="226">
        <v>55</v>
      </c>
      <c r="H92" s="228" t="s">
        <v>947</v>
      </c>
      <c r="I92" s="227">
        <v>43067.587453703702</v>
      </c>
      <c r="J92" s="226">
        <v>0</v>
      </c>
      <c r="K92" s="238" t="str">
        <f t="shared" si="39"/>
        <v>4039/4040</v>
      </c>
      <c r="L92" s="246" t="str">
        <f>VLOOKUP(A92,'Trips&amp;Operators'!$C$1:$G$99911,5,FALSE)</f>
        <v>LEVIN SCOTT</v>
      </c>
      <c r="M92" s="225">
        <f t="shared" si="40"/>
        <v>2.4756944440014195E-2</v>
      </c>
      <c r="N92" s="226">
        <f t="shared" si="38"/>
        <v>35.64999999362044</v>
      </c>
      <c r="O92" s="226"/>
      <c r="P92" s="226"/>
      <c r="Q92" s="229"/>
      <c r="R92" s="243"/>
      <c r="S92" s="250">
        <f t="shared" si="37"/>
        <v>1</v>
      </c>
      <c r="T92" s="243" t="str">
        <f t="shared" si="41"/>
        <v>NorthBound</v>
      </c>
      <c r="U92" s="247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49" t="str">
        <f t="shared" si="42"/>
        <v>https://d0f6bd738d7f1b3e5a7ca70fe4ff75f0.us-east-1.aws.found.io/app/kibana#/discover/Steve-Slow-Train-Analysis-(2080s-and-2083s)?_g=(refreshInterval:(display:Off,pause:!f,section:0,value:0),time:(from:'2017-11-28T12:27:14-0700',mode:absolute,to:'2017-11-28T15:05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92" s="248" t="str">
        <f>IF(AA92&lt;VLOOKUP(AG92,Variables!$AC$3:$AD$8,2,FALSE),"Y","N")</f>
        <v>N</v>
      </c>
      <c r="X92" s="248">
        <f t="shared" si="43"/>
        <v>1</v>
      </c>
      <c r="Y92" s="248">
        <f t="shared" si="36"/>
        <v>4.82E-2</v>
      </c>
      <c r="Z92" s="248">
        <f t="shared" si="35"/>
        <v>23.329799999999999</v>
      </c>
      <c r="AA92" s="248">
        <f t="shared" si="44"/>
        <v>23.281599999999997</v>
      </c>
      <c r="AB92" s="234" t="e">
        <f>VLOOKUP(A92,Enforcements!$C$7:$K$9,8,0)</f>
        <v>#N/A</v>
      </c>
      <c r="AC92" s="233" t="e">
        <f>VLOOKUP(A92,Enforcements!$C$7:$E$9,3,0)</f>
        <v>#N/A</v>
      </c>
      <c r="AD92" s="244">
        <f t="shared" si="45"/>
        <v>179</v>
      </c>
      <c r="AE92" s="236" t="str">
        <f t="shared" si="46"/>
        <v>aws s3 cp s3://rtdc.mdm.uploadarchive.raw/RTDC4040/ "%USERPROFILE%\AppData\Local\Temp\OnboardLogs"\RTDC4040\2017-11-28 --exclude "*" --recursive --include "*20171128*" &amp; "%USERPROFILE%\Documents\GitHub\mrs-test-scripts\Headless Mode &amp; Sideloading\WalkAndUnGZ.bat" "%USERPROFILE%\AppData\Local\Temp\OnboardLogs"\RTDC4040\2017-11-28 &amp; aws s3 cp s3://rtdc.mdm.uploadarchive.raw/RTDC4040/ "%USERPROFILE%\AppData\Local\Temp\OnboardLogs"\RTDC4040\2017-11-29 --exclude "*" --recursive --include "*20171129*" &amp; "%USERPROFILE%\Documents\GitHub\mrs-test-scripts\Headless Mode &amp; Sideloading\WalkAndUnGZ.bat" "%USERPROFILE%\AppData\Local\Temp\OnboardLogs"\RTDC4040\2017-11-29</v>
      </c>
      <c r="AF92" s="235" t="str">
        <f t="shared" si="47"/>
        <v>"C:\Program Files (x86)\AstroGrep\AstroGrep.exe" /e /r /s /spath="%USERPROFILE%\AppData\Local\Temp\OnboardLogs" /stypes="app*4040*20171128*" /stext=" 21:.+((SYSTEM_STATE.+slice.+state.+changed )|(ment ac)|(multiple cpu faults)|(system.+state.+changed )|(\[timeout)|(PRM\|1\|D)|(kpr)|(kdp)|(train st.+moving)|(\|lc)|(penalty))"</v>
      </c>
      <c r="AG92" s="245" t="str">
        <f t="shared" si="48"/>
        <v>EC</v>
      </c>
      <c r="AH92" s="237" t="str">
        <f t="shared" si="49"/>
        <v>"%USERPROFILE%\Documents\GitHub\eaglep3\Utilities\RefineRTDCRunTimes.py" --tripid 179-28 --locoid 4040 --swversion DE.1.0.9.0 --startMP 204:482 --initTime 2017-11-28T13:27:14 --startdatetime 2017-11-28T13:30:17 --delay 55 --endMP 204:233298 --enddatetime 2017-11-28T14:05:56 --enforcementcount 0 &gt;&gt;%USERPROFILE%\Documents\GitHub\eaglep3-reporting\EC\2017-11-28-refined-times.txt</v>
      </c>
      <c r="AI92" s="239" t="str">
        <f t="shared" si="50"/>
        <v>echo {"issue":{"subject":"","project_id":79,"tracker_id":40,"status_id":1,"priority_id":2,"assigned_to_id":338,"start_date":"2017-11-28","description":"","custom_fields":[{"id":1,"name":"Subdivision","value":"EC"},{"id":4,"name":"Milepost","value":"23.3298"},{"id":17,"name":"Train ID","value":"179-28"},{"id":16,"name":"Locomotive ID","value":"4040"},{"id":130,"name":"Impact","value":""},{"id":150,"name":"Time of Event (Mountain Time)","value":"14:05:56"},{"id":151,"name":"Denver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2" s="224"/>
      <c r="AK92" s="232"/>
      <c r="AL92" s="232"/>
      <c r="AM92" s="241" t="str">
        <f t="shared" si="51"/>
        <v>start /low /b %USERPROFILE%\Documents\GitHub\eaglep3\Utilities\DownloadLogsFromS3.py --loco 4040 --day 2017-11-28</v>
      </c>
      <c r="AN92" s="242" t="str">
        <f t="shared" si="5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21:05:56"},{"id":29,"name":"Sharepoint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231" t="str">
        <f t="shared" si="53"/>
        <v>https://d0f6bd738d7f1b3e5a7ca70fe4ff75f0.us-east-1.aws.found.io/app/kibana#/discover/Steve-Slow-Train-Analysis-(2080s-and-2083s)?_g=(refreshInterval:(display:Off,pause:!f,section:0,value:0),time:(from:'2017-11-28T12:27:14-0700',mode:absolute,to:'2017-11-28T15:05:56-0700'))&amp;_a=(columns:!('Message%20ID',Summary),filters:!(),index:'emp_*',interval:auto,query:(query_string:(analyze_wildcard:!t,query:'%22rtdc.l.rtdc.4040%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230" t="s">
        <v>792</v>
      </c>
      <c r="B93" s="226">
        <v>4039</v>
      </c>
      <c r="C93" s="228" t="s">
        <v>192</v>
      </c>
      <c r="D93" s="228" t="s">
        <v>948</v>
      </c>
      <c r="E93" s="227">
        <v>43067.597430555557</v>
      </c>
      <c r="F93" s="227">
        <v>43067.60229166667</v>
      </c>
      <c r="G93" s="226">
        <v>62</v>
      </c>
      <c r="H93" s="228" t="s">
        <v>574</v>
      </c>
      <c r="I93" s="227">
        <v>43067.628148148149</v>
      </c>
      <c r="J93" s="226">
        <v>0</v>
      </c>
      <c r="K93" s="238" t="str">
        <f t="shared" si="39"/>
        <v>4039/4040</v>
      </c>
      <c r="L93" s="246" t="str">
        <f>VLOOKUP(A93,'Trips&amp;Operators'!$C$1:$G$99911,5,FALSE)</f>
        <v>LEVIN SCOTT</v>
      </c>
      <c r="M93" s="225">
        <f t="shared" si="40"/>
        <v>2.5856481479422655E-2</v>
      </c>
      <c r="N93" s="226">
        <f t="shared" si="38"/>
        <v>37.233333330368623</v>
      </c>
      <c r="O93" s="226"/>
      <c r="P93" s="226"/>
      <c r="Q93" s="229"/>
      <c r="R93" s="243"/>
      <c r="S93" s="250">
        <f t="shared" si="37"/>
        <v>1</v>
      </c>
      <c r="T93" s="243" t="str">
        <f t="shared" si="41"/>
        <v>Southbound</v>
      </c>
      <c r="U93" s="247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49" t="str">
        <f t="shared" si="42"/>
        <v>https://d0f6bd738d7f1b3e5a7ca70fe4ff75f0.us-east-1.aws.found.io/app/kibana#/discover/Steve-Slow-Train-Analysis-(2080s-and-2083s)?_g=(refreshInterval:(display:Off,pause:!f,section:0,value:0),time:(from:'2017-11-28T13:20:18-0700',mode:absolute,to:'2017-11-28T16:04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93" s="248" t="str">
        <f>IF(AA93&lt;VLOOKUP(AG93,Variables!$AC$3:$AD$8,2,FALSE),"Y","N")</f>
        <v>N</v>
      </c>
      <c r="X93" s="248">
        <f t="shared" si="43"/>
        <v>1</v>
      </c>
      <c r="Y93" s="248">
        <f t="shared" si="36"/>
        <v>23.2989</v>
      </c>
      <c r="Z93" s="248">
        <f t="shared" si="35"/>
        <v>1.4999999999999999E-2</v>
      </c>
      <c r="AA93" s="248">
        <f t="shared" si="44"/>
        <v>23.283899999999999</v>
      </c>
      <c r="AB93" s="234" t="e">
        <f>VLOOKUP(A93,Enforcements!$C$7:$K$9,8,0)</f>
        <v>#N/A</v>
      </c>
      <c r="AC93" s="233" t="e">
        <f>VLOOKUP(A93,Enforcements!$C$7:$E$9,3,0)</f>
        <v>#N/A</v>
      </c>
      <c r="AD93" s="244">
        <f t="shared" si="45"/>
        <v>180</v>
      </c>
      <c r="AE93" s="236" t="str">
        <f t="shared" si="46"/>
        <v>aws s3 cp s3://rtdc.mdm.uploadarchive.raw/RTDC4039/ "%USERPROFILE%\AppData\Local\Temp\OnboardLogs"\RTDC4039\2017-11-28 --exclude "*" --recursive --include "*20171128*" &amp; "%USERPROFILE%\Documents\GitHub\mrs-test-scripts\Headless Mode &amp; Sideloading\WalkAndUnGZ.bat" "%USERPROFILE%\AppData\Local\Temp\OnboardLogs"\RTDC4039\2017-11-28 &amp; aws s3 cp s3://rtdc.mdm.uploadarchive.raw/RTDC4039/ "%USERPROFILE%\AppData\Local\Temp\OnboardLogs"\RTDC4039\2017-11-29 --exclude "*" --recursive --include "*20171129*" &amp; "%USERPROFILE%\Documents\GitHub\mrs-test-scripts\Headless Mode &amp; Sideloading\WalkAndUnGZ.bat" "%USERPROFILE%\AppData\Local\Temp\OnboardLogs"\RTDC4039\2017-11-29</v>
      </c>
      <c r="AF93" s="235" t="str">
        <f t="shared" si="47"/>
        <v>"C:\Program Files (x86)\AstroGrep\AstroGrep.exe" /e /r /s /spath="%USERPROFILE%\AppData\Local\Temp\OnboardLogs" /stypes="app*4039*20171128*" /stext=" 22:.+((SYSTEM_STATE.+slice.+state.+changed )|(ment ac)|(multiple cpu faults)|(system.+state.+changed )|(\[timeout)|(PRM\|1\|D)|(kpr)|(kdp)|(train st.+moving)|(\|lc)|(penalty))"</v>
      </c>
      <c r="AG93" s="245" t="str">
        <f t="shared" si="48"/>
        <v>EC</v>
      </c>
      <c r="AH93" s="237" t="str">
        <f t="shared" si="49"/>
        <v>"%USERPROFILE%\Documents\GitHub\eaglep3\Utilities\RefineRTDCRunTimes.py" --tripid 180-28 --locoid 4039 --swversion DE.1.0.9.0 --startMP 204:232989 --initTime 2017-11-28T14:20:18 --startdatetime 2017-11-28T14:27:18 --delay 62 --endMP 204:150 --enddatetime 2017-11-28T15:04:32 --enforcementcount 0 &gt;&gt;%USERPROFILE%\Documents\GitHub\eaglep3-reporting\EC\2017-11-28-refined-times.txt</v>
      </c>
      <c r="AI93" s="239" t="str">
        <f t="shared" si="50"/>
        <v>echo {"issue":{"subject":"","project_id":79,"tracker_id":40,"status_id":1,"priority_id":2,"assigned_to_id":338,"start_date":"2017-11-28","description":"","custom_fields":[{"id":1,"name":"Subdivision","value":"EC"},{"id":4,"name":"Milepost","value":"0.015"},{"id":17,"name":"Train ID","value":"180-28"},{"id":16,"name":"Locomotive ID","value":"4039"},{"id":130,"name":"Impact","value":""},{"id":150,"name":"Time of Event (Mountain Time)","value":"15:04:32"},{"id":151,"name":"Denver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3" s="224"/>
      <c r="AK93" s="232"/>
      <c r="AL93" s="232"/>
      <c r="AM93" s="241" t="str">
        <f t="shared" si="51"/>
        <v>start /low /b %USERPROFILE%\Documents\GitHub\eaglep3\Utilities\DownloadLogsFromS3.py --loco 4039 --day 2017-11-28</v>
      </c>
      <c r="AN93" s="242" t="str">
        <f t="shared" si="5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22:04:32"},{"id":29,"name":"Sharepoint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231" t="str">
        <f t="shared" si="53"/>
        <v>https://d0f6bd738d7f1b3e5a7ca70fe4ff75f0.us-east-1.aws.found.io/app/kibana#/discover/Steve-Slow-Train-Analysis-(2080s-and-2083s)?_g=(refreshInterval:(display:Off,pause:!f,section:0,value:0),time:(from:'2017-11-28T13:20:18-0700',mode:absolute,to:'2017-11-28T16:04:32-0700'))&amp;_a=(columns:!('Message%20ID',Summary),filters:!(),index:'emp_*',interval:auto,query:(query_string:(analyze_wildcard:!t,query:'%22rtdc.l.rtdc.4039%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230" t="s">
        <v>786</v>
      </c>
      <c r="B94" s="226">
        <v>4042</v>
      </c>
      <c r="C94" s="228" t="s">
        <v>192</v>
      </c>
      <c r="D94" s="228" t="s">
        <v>463</v>
      </c>
      <c r="E94" s="227">
        <v>43067.568333333336</v>
      </c>
      <c r="F94" s="227">
        <v>43067.573414351849</v>
      </c>
      <c r="G94" s="226">
        <v>78</v>
      </c>
      <c r="H94" s="228" t="s">
        <v>942</v>
      </c>
      <c r="I94" s="227">
        <v>43067.598900462966</v>
      </c>
      <c r="J94" s="226">
        <v>0</v>
      </c>
      <c r="K94" s="238" t="str">
        <f t="shared" si="39"/>
        <v>4041/4042</v>
      </c>
      <c r="L94" s="246" t="str">
        <f>VLOOKUP(A94,'Trips&amp;Operators'!$C$1:$G$99911,5,FALSE)</f>
        <v>LORI SANTOS</v>
      </c>
      <c r="M94" s="225">
        <f t="shared" si="40"/>
        <v>2.5486111117061228E-2</v>
      </c>
      <c r="N94" s="226">
        <f t="shared" si="38"/>
        <v>36.700000008568168</v>
      </c>
      <c r="O94" s="226"/>
      <c r="P94" s="226"/>
      <c r="Q94" s="229"/>
      <c r="R94" s="243"/>
      <c r="S94" s="250">
        <f t="shared" si="37"/>
        <v>1</v>
      </c>
      <c r="T94" s="243" t="str">
        <f t="shared" si="41"/>
        <v>NorthBound</v>
      </c>
      <c r="U94" s="247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49" t="str">
        <f t="shared" si="42"/>
        <v>https://d0f6bd738d7f1b3e5a7ca70fe4ff75f0.us-east-1.aws.found.io/app/kibana#/discover/Steve-Slow-Train-Analysis-(2080s-and-2083s)?_g=(refreshInterval:(display:Off,pause:!f,section:0,value:0),time:(from:'2017-11-28T12:38:24-0700',mode:absolute,to:'2017-11-28T15:22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94" s="248" t="str">
        <f>IF(AA94&lt;VLOOKUP(AG94,Variables!$AC$3:$AD$8,2,FALSE),"Y","N")</f>
        <v>N</v>
      </c>
      <c r="X94" s="248">
        <f t="shared" si="43"/>
        <v>1</v>
      </c>
      <c r="Y94" s="248">
        <f t="shared" si="36"/>
        <v>5.4600000000000003E-2</v>
      </c>
      <c r="Z94" s="248">
        <f t="shared" ref="Z94:Z125" si="54">RIGHT(H94,LEN(H94)-4)/10000</f>
        <v>23.322199999999999</v>
      </c>
      <c r="AA94" s="248">
        <f t="shared" si="44"/>
        <v>23.267599999999998</v>
      </c>
      <c r="AB94" s="234" t="e">
        <f>VLOOKUP(A94,Enforcements!$C$7:$K$9,8,0)</f>
        <v>#N/A</v>
      </c>
      <c r="AC94" s="233" t="e">
        <f>VLOOKUP(A94,Enforcements!$C$7:$E$9,3,0)</f>
        <v>#N/A</v>
      </c>
      <c r="AD94" s="244">
        <f t="shared" si="45"/>
        <v>181</v>
      </c>
      <c r="AE94" s="236" t="str">
        <f t="shared" si="46"/>
        <v>aws s3 cp s3://rtdc.mdm.uploadarchive.raw/RTDC4042/ "%USERPROFILE%\AppData\Local\Temp\OnboardLogs"\RTDC4042\2017-11-28 --exclude "*" --recursive --include "*20171128*" &amp; "%USERPROFILE%\Documents\GitHub\mrs-test-scripts\Headless Mode &amp; Sideloading\WalkAndUnGZ.bat" "%USERPROFILE%\AppData\Local\Temp\OnboardLogs"\RTDC4042\2017-11-28 &amp; aws s3 cp s3://rtdc.mdm.uploadarchive.raw/RTDC4042/ "%USERPROFILE%\AppData\Local\Temp\OnboardLogs"\RTDC4042\2017-11-29 --exclude "*" --recursive --include "*20171129*" &amp; "%USERPROFILE%\Documents\GitHub\mrs-test-scripts\Headless Mode &amp; Sideloading\WalkAndUnGZ.bat" "%USERPROFILE%\AppData\Local\Temp\OnboardLogs"\RTDC4042\2017-11-29</v>
      </c>
      <c r="AF94" s="235" t="str">
        <f t="shared" si="47"/>
        <v>"C:\Program Files (x86)\AstroGrep\AstroGrep.exe" /e /r /s /spath="%USERPROFILE%\AppData\Local\Temp\OnboardLogs" /stypes="app*4042*20171128*" /stext=" 21:.+((SYSTEM_STATE.+slice.+state.+changed )|(ment ac)|(multiple cpu faults)|(system.+state.+changed )|(\[timeout)|(PRM\|1\|D)|(kpr)|(kdp)|(train st.+moving)|(\|lc)|(penalty))"</v>
      </c>
      <c r="AG94" s="245" t="str">
        <f t="shared" si="48"/>
        <v>EC</v>
      </c>
      <c r="AH94" s="237" t="str">
        <f t="shared" si="49"/>
        <v>"%USERPROFILE%\Documents\GitHub\eaglep3\Utilities\RefineRTDCRunTimes.py" --tripid 181-28 --locoid 4042 --swversion DE.1.0.9.0 --startMP 204:546 --initTime 2017-11-28T13:38:24 --startdatetime 2017-11-28T13:45:43 --delay 78 --endMP 204:233222 --enddatetime 2017-11-28T14:22:25 --enforcementcount 0 &gt;&gt;%USERPROFILE%\Documents\GitHub\eaglep3-reporting\EC\2017-11-28-refined-times.txt</v>
      </c>
      <c r="AI94" s="239" t="str">
        <f t="shared" si="50"/>
        <v>echo {"issue":{"subject":"","project_id":79,"tracker_id":40,"status_id":1,"priority_id":2,"assigned_to_id":338,"start_date":"2017-11-28","description":"","custom_fields":[{"id":1,"name":"Subdivision","value":"EC"},{"id":4,"name":"Milepost","value":"23.3222"},{"id":17,"name":"Train ID","value":"181-28"},{"id":16,"name":"Locomotive ID","value":"4042"},{"id":130,"name":"Impact","value":""},{"id":150,"name":"Time of Event (Mountain Time)","value":"14:22:25"},{"id":151,"name":"Denver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4" s="224"/>
      <c r="AK94" s="232"/>
      <c r="AL94" s="232"/>
      <c r="AM94" s="241" t="str">
        <f t="shared" si="51"/>
        <v>start /low /b %USERPROFILE%\Documents\GitHub\eaglep3\Utilities\DownloadLogsFromS3.py --loco 4042 --day 2017-11-28</v>
      </c>
      <c r="AN94" s="242" t="str">
        <f t="shared" si="5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21:22:25"},{"id":29,"name":"Sharepoint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231" t="str">
        <f t="shared" si="53"/>
        <v>https://d0f6bd738d7f1b3e5a7ca70fe4ff75f0.us-east-1.aws.found.io/app/kibana#/discover/Steve-Slow-Train-Analysis-(2080s-and-2083s)?_g=(refreshInterval:(display:Off,pause:!f,section:0,value:0),time:(from:'2017-11-28T12:38:24-0700',mode:absolute,to:'2017-11-28T15:22:25-0700'))&amp;_a=(columns:!('Message%20ID',Summary),filters:!(),index:'emp_*',interval:auto,query:(query_string:(analyze_wildcard:!t,query:'%22rtdc.l.rtdc.4042%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230" t="s">
        <v>656</v>
      </c>
      <c r="B95" s="226">
        <v>4041</v>
      </c>
      <c r="C95" s="228" t="s">
        <v>192</v>
      </c>
      <c r="D95" s="228" t="s">
        <v>949</v>
      </c>
      <c r="E95" s="227">
        <v>43067.608032407406</v>
      </c>
      <c r="F95" s="227">
        <v>43067.612881944442</v>
      </c>
      <c r="G95" s="226">
        <v>72</v>
      </c>
      <c r="H95" s="228" t="s">
        <v>950</v>
      </c>
      <c r="I95" s="227">
        <v>43067.639675925922</v>
      </c>
      <c r="J95" s="226">
        <v>0</v>
      </c>
      <c r="K95" s="238" t="str">
        <f t="shared" si="39"/>
        <v>4041/4042</v>
      </c>
      <c r="L95" s="246" t="str">
        <f>VLOOKUP(A95,'Trips&amp;Operators'!$C$1:$G$99911,5,FALSE)</f>
        <v>LORI SANTOS</v>
      </c>
      <c r="M95" s="225">
        <f t="shared" si="40"/>
        <v>2.679398148029577E-2</v>
      </c>
      <c r="N95" s="226">
        <f t="shared" si="38"/>
        <v>38.583333331625909</v>
      </c>
      <c r="O95" s="226"/>
      <c r="P95" s="226"/>
      <c r="Q95" s="229"/>
      <c r="R95" s="243"/>
      <c r="S95" s="250">
        <f t="shared" si="37"/>
        <v>1</v>
      </c>
      <c r="T95" s="243" t="str">
        <f t="shared" si="41"/>
        <v>Southbound</v>
      </c>
      <c r="U95" s="247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49" t="str">
        <f t="shared" si="42"/>
        <v>https://d0f6bd738d7f1b3e5a7ca70fe4ff75f0.us-east-1.aws.found.io/app/kibana#/discover/Steve-Slow-Train-Analysis-(2080s-and-2083s)?_g=(refreshInterval:(display:Off,pause:!f,section:0,value:0),time:(from:'2017-11-28T13:35:34-0700',mode:absolute,to:'2017-11-28T16:21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95" s="248" t="str">
        <f>IF(AA95&lt;VLOOKUP(AG95,Variables!$AC$3:$AD$8,2,FALSE),"Y","N")</f>
        <v>N</v>
      </c>
      <c r="X95" s="248">
        <f t="shared" si="43"/>
        <v>1</v>
      </c>
      <c r="Y95" s="248">
        <f t="shared" si="36"/>
        <v>23.290199999999999</v>
      </c>
      <c r="Z95" s="248">
        <f t="shared" si="54"/>
        <v>3.44E-2</v>
      </c>
      <c r="AA95" s="248">
        <f t="shared" si="44"/>
        <v>23.255799999999997</v>
      </c>
      <c r="AB95" s="234" t="e">
        <f>VLOOKUP(A95,Enforcements!$C$7:$K$9,8,0)</f>
        <v>#N/A</v>
      </c>
      <c r="AC95" s="233" t="e">
        <f>VLOOKUP(A95,Enforcements!$C$7:$E$9,3,0)</f>
        <v>#N/A</v>
      </c>
      <c r="AD95" s="244">
        <f t="shared" si="45"/>
        <v>182</v>
      </c>
      <c r="AE95" s="236" t="str">
        <f t="shared" si="46"/>
        <v>aws s3 cp s3://rtdc.mdm.uploadarchive.raw/RTDC4041/ "%USERPROFILE%\AppData\Local\Temp\OnboardLogs"\RTDC4041\2017-11-28 --exclude "*" --recursive --include "*20171128*" &amp; "%USERPROFILE%\Documents\GitHub\mrs-test-scripts\Headless Mode &amp; Sideloading\WalkAndUnGZ.bat" "%USERPROFILE%\AppData\Local\Temp\OnboardLogs"\RTDC4041\2017-11-28 &amp; aws s3 cp s3://rtdc.mdm.uploadarchive.raw/RTDC4041/ "%USERPROFILE%\AppData\Local\Temp\OnboardLogs"\RTDC4041\2017-11-29 --exclude "*" --recursive --include "*20171129*" &amp; "%USERPROFILE%\Documents\GitHub\mrs-test-scripts\Headless Mode &amp; Sideloading\WalkAndUnGZ.bat" "%USERPROFILE%\AppData\Local\Temp\OnboardLogs"\RTDC4041\2017-11-29</v>
      </c>
      <c r="AF95" s="235" t="str">
        <f t="shared" si="47"/>
        <v>"C:\Program Files (x86)\AstroGrep\AstroGrep.exe" /e /r /s /spath="%USERPROFILE%\AppData\Local\Temp\OnboardLogs" /stypes="app*4041*20171128*" /stext=" 22:.+((SYSTEM_STATE.+slice.+state.+changed )|(ment ac)|(multiple cpu faults)|(system.+state.+changed )|(\[timeout)|(PRM\|1\|D)|(kpr)|(kdp)|(train st.+moving)|(\|lc)|(penalty))"</v>
      </c>
      <c r="AG95" s="245" t="str">
        <f t="shared" si="48"/>
        <v>EC</v>
      </c>
      <c r="AH95" s="237" t="str">
        <f t="shared" si="49"/>
        <v>"%USERPROFILE%\Documents\GitHub\eaglep3\Utilities\RefineRTDCRunTimes.py" --tripid 182-28 --locoid 4041 --swversion DE.1.0.9.0 --startMP 204:232902 --initTime 2017-11-28T14:35:34 --startdatetime 2017-11-28T14:42:33 --delay 72 --endMP 204:344 --enddatetime 2017-11-28T15:21:08 --enforcementcount 0 &gt;&gt;%USERPROFILE%\Documents\GitHub\eaglep3-reporting\EC\2017-11-28-refined-times.txt</v>
      </c>
      <c r="AI95" s="239" t="str">
        <f t="shared" si="50"/>
        <v>echo {"issue":{"subject":"","project_id":79,"tracker_id":40,"status_id":1,"priority_id":2,"assigned_to_id":338,"start_date":"2017-11-28","description":"","custom_fields":[{"id":1,"name":"Subdivision","value":"EC"},{"id":4,"name":"Milepost","value":"0.0344"},{"id":17,"name":"Train ID","value":"182-28"},{"id":16,"name":"Locomotive ID","value":"4041"},{"id":130,"name":"Impact","value":""},{"id":150,"name":"Time of Event (Mountain Time)","value":"15:21:08"},{"id":151,"name":"Denver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5" s="224"/>
      <c r="AK95" s="232"/>
      <c r="AL95" s="232"/>
      <c r="AM95" s="241" t="str">
        <f t="shared" si="51"/>
        <v>start /low /b %USERPROFILE%\Documents\GitHub\eaglep3\Utilities\DownloadLogsFromS3.py --loco 4041 --day 2017-11-28</v>
      </c>
      <c r="AN95" s="242" t="str">
        <f t="shared" si="5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22:21:08"},{"id":29,"name":"Sharepoint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231" t="str">
        <f t="shared" si="53"/>
        <v>https://d0f6bd738d7f1b3e5a7ca70fe4ff75f0.us-east-1.aws.found.io/app/kibana#/discover/Steve-Slow-Train-Analysis-(2080s-and-2083s)?_g=(refreshInterval:(display:Off,pause:!f,section:0,value:0),time:(from:'2017-11-28T13:35:34-0700',mode:absolute,to:'2017-11-28T16:21:08-0700'))&amp;_a=(columns:!('Message%20ID',Summary),filters:!(),index:'emp_*',interval:auto,query:(query_string:(analyze_wildcard:!t,query:'%22rtdc.l.rtdc.4041%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230" t="s">
        <v>788</v>
      </c>
      <c r="B96" s="226">
        <v>4034</v>
      </c>
      <c r="C96" s="228" t="s">
        <v>192</v>
      </c>
      <c r="D96" s="228" t="s">
        <v>452</v>
      </c>
      <c r="E96" s="227">
        <v>43067.578993055555</v>
      </c>
      <c r="F96" s="227">
        <v>43067.58353009259</v>
      </c>
      <c r="G96" s="226">
        <v>67</v>
      </c>
      <c r="H96" s="228" t="s">
        <v>924</v>
      </c>
      <c r="I96" s="227">
        <v>43067.607939814814</v>
      </c>
      <c r="J96" s="226">
        <v>0</v>
      </c>
      <c r="K96" s="238" t="str">
        <f t="shared" si="39"/>
        <v>4033/4034</v>
      </c>
      <c r="L96" s="246" t="str">
        <f>VLOOKUP(A96,'Trips&amp;Operators'!$C$1:$G$99911,5,FALSE)</f>
        <v>SAFIEF AEIMEN</v>
      </c>
      <c r="M96" s="225">
        <f t="shared" si="40"/>
        <v>2.4409722223936114E-2</v>
      </c>
      <c r="N96" s="226">
        <f t="shared" si="38"/>
        <v>35.150000002468005</v>
      </c>
      <c r="O96" s="226"/>
      <c r="P96" s="226"/>
      <c r="Q96" s="229"/>
      <c r="R96" s="243"/>
      <c r="S96" s="250">
        <f t="shared" si="37"/>
        <v>1</v>
      </c>
      <c r="T96" s="243" t="str">
        <f t="shared" si="41"/>
        <v>NorthBound</v>
      </c>
      <c r="U96" s="247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49" t="str">
        <f t="shared" si="42"/>
        <v>https://d0f6bd738d7f1b3e5a7ca70fe4ff75f0.us-east-1.aws.found.io/app/kibana#/discover/Steve-Slow-Train-Analysis-(2080s-and-2083s)?_g=(refreshInterval:(display:Off,pause:!f,section:0,value:0),time:(from:'2017-11-28T12:53:45-0700',mode:absolute,to:'2017-11-28T15:35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96" s="248" t="str">
        <f>IF(AA96&lt;VLOOKUP(AG96,Variables!$AC$3:$AD$8,2,FALSE),"Y","N")</f>
        <v>N</v>
      </c>
      <c r="X96" s="248">
        <f t="shared" si="43"/>
        <v>1</v>
      </c>
      <c r="Y96" s="248">
        <f t="shared" si="36"/>
        <v>5.0799999999999998E-2</v>
      </c>
      <c r="Z96" s="248">
        <f t="shared" si="54"/>
        <v>23.327000000000002</v>
      </c>
      <c r="AA96" s="248">
        <f t="shared" si="44"/>
        <v>23.276200000000003</v>
      </c>
      <c r="AB96" s="234" t="e">
        <f>VLOOKUP(A96,Enforcements!$C$7:$K$9,8,0)</f>
        <v>#N/A</v>
      </c>
      <c r="AC96" s="233" t="e">
        <f>VLOOKUP(A96,Enforcements!$C$7:$E$9,3,0)</f>
        <v>#N/A</v>
      </c>
      <c r="AD96" s="244">
        <f t="shared" si="45"/>
        <v>183</v>
      </c>
      <c r="AE96" s="236" t="str">
        <f t="shared" si="46"/>
        <v>aws s3 cp s3://rtdc.mdm.uploadarchive.raw/RTDC4034/ "%USERPROFILE%\AppData\Local\Temp\OnboardLogs"\RTDC4034\2017-11-28 --exclude "*" --recursive --include "*20171128*" &amp; "%USERPROFILE%\Documents\GitHub\mrs-test-scripts\Headless Mode &amp; Sideloading\WalkAndUnGZ.bat" "%USERPROFILE%\AppData\Local\Temp\OnboardLogs"\RTDC4034\2017-11-28 &amp; aws s3 cp s3://rtdc.mdm.uploadarchive.raw/RTDC4034/ "%USERPROFILE%\AppData\Local\Temp\OnboardLogs"\RTDC4034\2017-11-29 --exclude "*" --recursive --include "*20171129*" &amp; "%USERPROFILE%\Documents\GitHub\mrs-test-scripts\Headless Mode &amp; Sideloading\WalkAndUnGZ.bat" "%USERPROFILE%\AppData\Local\Temp\OnboardLogs"\RTDC4034\2017-11-29</v>
      </c>
      <c r="AF96" s="235" t="str">
        <f t="shared" si="47"/>
        <v>"C:\Program Files (x86)\AstroGrep\AstroGrep.exe" /e /r /s /spath="%USERPROFILE%\AppData\Local\Temp\OnboardLogs" /stypes="app*4034*20171128*" /stext=" 21:.+((SYSTEM_STATE.+slice.+state.+changed )|(ment ac)|(multiple cpu faults)|(system.+state.+changed )|(\[timeout)|(PRM\|1\|D)|(kpr)|(kdp)|(train st.+moving)|(\|lc)|(penalty))"</v>
      </c>
      <c r="AG96" s="245" t="str">
        <f t="shared" si="48"/>
        <v>EC</v>
      </c>
      <c r="AH96" s="237" t="str">
        <f t="shared" si="49"/>
        <v>"%USERPROFILE%\Documents\GitHub\eaglep3\Utilities\RefineRTDCRunTimes.py" --tripid 183-28 --locoid 4034 --swversion DE.1.0.9.0 --startMP 204:508 --initTime 2017-11-28T13:53:45 --startdatetime 2017-11-28T14:00:17 --delay 67 --endMP 204:233270 --enddatetime 2017-11-28T14:35:26 --enforcementcount 0 &gt;&gt;%USERPROFILE%\Documents\GitHub\eaglep3-reporting\EC\2017-11-28-refined-times.txt</v>
      </c>
      <c r="AI96" s="239" t="str">
        <f t="shared" si="50"/>
        <v>echo {"issue":{"subject":"","project_id":79,"tracker_id":40,"status_id":1,"priority_id":2,"assigned_to_id":338,"start_date":"2017-11-28","description":"","custom_fields":[{"id":1,"name":"Subdivision","value":"EC"},{"id":4,"name":"Milepost","value":"23.327"},{"id":17,"name":"Train ID","value":"183-28"},{"id":16,"name":"Locomotive ID","value":"4034"},{"id":130,"name":"Impact","value":""},{"id":150,"name":"Time of Event (Mountain Time)","value":"14:35:26"},{"id":151,"name":"Denver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6" s="224"/>
      <c r="AK96" s="232"/>
      <c r="AL96" s="232"/>
      <c r="AM96" s="241" t="str">
        <f t="shared" si="51"/>
        <v>start /low /b %USERPROFILE%\Documents\GitHub\eaglep3\Utilities\DownloadLogsFromS3.py --loco 4034 --day 2017-11-28</v>
      </c>
      <c r="AN96" s="242" t="str">
        <f t="shared" si="5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21:35:26"},{"id":29,"name":"Sharepoint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231" t="str">
        <f t="shared" si="53"/>
        <v>https://d0f6bd738d7f1b3e5a7ca70fe4ff75f0.us-east-1.aws.found.io/app/kibana#/discover/Steve-Slow-Train-Analysis-(2080s-and-2083s)?_g=(refreshInterval:(display:Off,pause:!f,section:0,value:0),time:(from:'2017-11-28T12:53:45-0700',mode:absolute,to:'2017-11-28T15:35:26-0700'))&amp;_a=(columns:!('Message%20ID',Summary),filters:!(),index:'emp_*',interval:auto,query:(query_string:(analyze_wildcard:!t,query:'%22rtdc.l.rtdc.4034%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230" t="s">
        <v>795</v>
      </c>
      <c r="B97" s="226">
        <v>4033</v>
      </c>
      <c r="C97" s="228" t="s">
        <v>192</v>
      </c>
      <c r="D97" s="228" t="s">
        <v>601</v>
      </c>
      <c r="E97" s="227">
        <v>43067.609398148146</v>
      </c>
      <c r="F97" s="227">
        <v>43067.623136574075</v>
      </c>
      <c r="G97" s="226">
        <v>64</v>
      </c>
      <c r="H97" s="228" t="s">
        <v>469</v>
      </c>
      <c r="I97" s="227">
        <v>43067.648842592593</v>
      </c>
      <c r="J97" s="226">
        <v>0</v>
      </c>
      <c r="K97" s="238" t="str">
        <f t="shared" si="39"/>
        <v>4033/4034</v>
      </c>
      <c r="L97" s="246" t="str">
        <f>VLOOKUP(A97,'Trips&amp;Operators'!$C$1:$G$99911,5,FALSE)</f>
        <v>SAFIEF AEIMEN</v>
      </c>
      <c r="M97" s="225">
        <f t="shared" si="40"/>
        <v>2.5706018517666962E-2</v>
      </c>
      <c r="N97" s="226">
        <f t="shared" si="38"/>
        <v>37.016666665440425</v>
      </c>
      <c r="O97" s="226"/>
      <c r="P97" s="226"/>
      <c r="Q97" s="229"/>
      <c r="R97" s="243"/>
      <c r="S97" s="250">
        <f t="shared" si="37"/>
        <v>1</v>
      </c>
      <c r="T97" s="243" t="str">
        <f t="shared" si="41"/>
        <v>Southbound</v>
      </c>
      <c r="U97" s="247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49" t="str">
        <f t="shared" si="42"/>
        <v>https://d0f6bd738d7f1b3e5a7ca70fe4ff75f0.us-east-1.aws.found.io/app/kibana#/discover/Steve-Slow-Train-Analysis-(2080s-and-2083s)?_g=(refreshInterval:(display:Off,pause:!f,section:0,value:0),time:(from:'2017-11-28T13:37:32-0700',mode:absolute,to:'2017-11-28T16:34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97" s="248" t="str">
        <f>IF(AA97&lt;VLOOKUP(AG97,Variables!$AC$3:$AD$8,2,FALSE),"Y","N")</f>
        <v>N</v>
      </c>
      <c r="X97" s="248">
        <f t="shared" si="43"/>
        <v>1</v>
      </c>
      <c r="Y97" s="248">
        <f t="shared" si="36"/>
        <v>23.294</v>
      </c>
      <c r="Z97" s="248">
        <f t="shared" si="54"/>
        <v>2.01E-2</v>
      </c>
      <c r="AA97" s="248">
        <f t="shared" si="44"/>
        <v>23.273900000000001</v>
      </c>
      <c r="AB97" s="234" t="e">
        <f>VLOOKUP(A97,Enforcements!$C$7:$K$9,8,0)</f>
        <v>#N/A</v>
      </c>
      <c r="AC97" s="233" t="e">
        <f>VLOOKUP(A97,Enforcements!$C$7:$E$9,3,0)</f>
        <v>#N/A</v>
      </c>
      <c r="AD97" s="244">
        <f t="shared" si="45"/>
        <v>184</v>
      </c>
      <c r="AE97" s="236" t="str">
        <f t="shared" si="46"/>
        <v>aws s3 cp s3://rtdc.mdm.uploadarchive.raw/RTDC4033/ "%USERPROFILE%\AppData\Local\Temp\OnboardLogs"\RTDC4033\2017-11-28 --exclude "*" --recursive --include "*20171128*" &amp; "%USERPROFILE%\Documents\GitHub\mrs-test-scripts\Headless Mode &amp; Sideloading\WalkAndUnGZ.bat" "%USERPROFILE%\AppData\Local\Temp\OnboardLogs"\RTDC4033\2017-11-28 &amp; aws s3 cp s3://rtdc.mdm.uploadarchive.raw/RTDC4033/ "%USERPROFILE%\AppData\Local\Temp\OnboardLogs"\RTDC4033\2017-11-29 --exclude "*" --recursive --include "*20171129*" &amp; "%USERPROFILE%\Documents\GitHub\mrs-test-scripts\Headless Mode &amp; Sideloading\WalkAndUnGZ.bat" "%USERPROFILE%\AppData\Local\Temp\OnboardLogs"\RTDC4033\2017-11-29</v>
      </c>
      <c r="AF97" s="235" t="str">
        <f t="shared" si="47"/>
        <v>"C:\Program Files (x86)\AstroGrep\AstroGrep.exe" /e /r /s /spath="%USERPROFILE%\AppData\Local\Temp\OnboardLogs" /stypes="app*4033*20171128*" /stext=" 22:.+((SYSTEM_STATE.+slice.+state.+changed )|(ment ac)|(multiple cpu faults)|(system.+state.+changed )|(\[timeout)|(PRM\|1\|D)|(kpr)|(kdp)|(train st.+moving)|(\|lc)|(penalty))"</v>
      </c>
      <c r="AG97" s="245" t="str">
        <f t="shared" si="48"/>
        <v>EC</v>
      </c>
      <c r="AH97" s="237" t="str">
        <f t="shared" si="49"/>
        <v>"%USERPROFILE%\Documents\GitHub\eaglep3\Utilities\RefineRTDCRunTimes.py" --tripid 184-28 --locoid 4033 --swversion DE.1.0.9.0 --startMP 204:232940 --initTime 2017-11-28T14:37:32 --startdatetime 2017-11-28T14:57:19 --delay 64 --endMP 204:201 --enddatetime 2017-11-28T15:34:20 --enforcementcount 0 &gt;&gt;%USERPROFILE%\Documents\GitHub\eaglep3-reporting\EC\2017-11-28-refined-times.txt</v>
      </c>
      <c r="AI97" s="239" t="str">
        <f t="shared" si="50"/>
        <v>echo {"issue":{"subject":"","project_id":79,"tracker_id":40,"status_id":1,"priority_id":2,"assigned_to_id":338,"start_date":"2017-11-28","description":"","custom_fields":[{"id":1,"name":"Subdivision","value":"EC"},{"id":4,"name":"Milepost","value":"0.0201"},{"id":17,"name":"Train ID","value":"184-28"},{"id":16,"name":"Locomotive ID","value":"4033"},{"id":130,"name":"Impact","value":""},{"id":150,"name":"Time of Event (Mountain Time)","value":"15:34:20"},{"id":151,"name":"Denver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7" s="224"/>
      <c r="AK97" s="232"/>
      <c r="AL97" s="232"/>
      <c r="AM97" s="241" t="str">
        <f t="shared" si="51"/>
        <v>start /low /b %USERPROFILE%\Documents\GitHub\eaglep3\Utilities\DownloadLogsFromS3.py --loco 4033 --day 2017-11-28</v>
      </c>
      <c r="AN97" s="242" t="str">
        <f t="shared" si="5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22:34:20"},{"id":29,"name":"Sharepoint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231" t="str">
        <f t="shared" si="53"/>
        <v>https://d0f6bd738d7f1b3e5a7ca70fe4ff75f0.us-east-1.aws.found.io/app/kibana#/discover/Steve-Slow-Train-Analysis-(2080s-and-2083s)?_g=(refreshInterval:(display:Off,pause:!f,section:0,value:0),time:(from:'2017-11-28T13:37:32-0700',mode:absolute,to:'2017-11-28T16:34:20-0700'))&amp;_a=(columns:!('Message%20ID',Summary),filters:!(),index:'emp_*',interval:auto,query:(query_string:(analyze_wildcard:!t,query:'%22rtdc.l.rtdc.4033%22')),sort:!(Time.ISO8601,asc))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25">
      <c r="A98" s="230" t="s">
        <v>791</v>
      </c>
      <c r="B98" s="226">
        <v>4008</v>
      </c>
      <c r="C98" s="228" t="s">
        <v>192</v>
      </c>
      <c r="D98" s="228" t="s">
        <v>931</v>
      </c>
      <c r="E98" s="227">
        <v>43067.58934027778</v>
      </c>
      <c r="F98" s="227">
        <v>43067.594247685185</v>
      </c>
      <c r="G98" s="226">
        <v>66</v>
      </c>
      <c r="H98" s="228" t="s">
        <v>895</v>
      </c>
      <c r="I98" s="227">
        <v>43067.619120370371</v>
      </c>
      <c r="J98" s="226">
        <v>0</v>
      </c>
      <c r="K98" s="238" t="str">
        <f t="shared" si="39"/>
        <v>4007/4008</v>
      </c>
      <c r="L98" s="246" t="str">
        <f>VLOOKUP(A98,'Trips&amp;Operators'!$C$1:$G$99911,5,FALSE)</f>
        <v>MOSES BRADLEY</v>
      </c>
      <c r="M98" s="225">
        <f t="shared" si="40"/>
        <v>2.4872685185982846E-2</v>
      </c>
      <c r="N98" s="226">
        <f t="shared" si="38"/>
        <v>35.816666667815298</v>
      </c>
      <c r="O98" s="226"/>
      <c r="P98" s="226"/>
      <c r="Q98" s="229"/>
      <c r="R98" s="243"/>
      <c r="S98" s="250">
        <f t="shared" si="37"/>
        <v>1</v>
      </c>
      <c r="T98" s="243" t="str">
        <f t="shared" si="41"/>
        <v>NorthBound</v>
      </c>
      <c r="U98" s="247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49" t="str">
        <f t="shared" si="42"/>
        <v>https://d0f6bd738d7f1b3e5a7ca70fe4ff75f0.us-east-1.aws.found.io/app/kibana#/discover/Steve-Slow-Train-Analysis-(2080s-and-2083s)?_g=(refreshInterval:(display:Off,pause:!f,section:0,value:0),time:(from:'2017-11-28T13:08:39-0700',mode:absolute,to:'2017-11-28T15:51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98" s="248" t="str">
        <f>IF(AA98&lt;VLOOKUP(AG98,Variables!$AC$3:$AD$8,2,FALSE),"Y","N")</f>
        <v>N</v>
      </c>
      <c r="X98" s="248">
        <f t="shared" si="43"/>
        <v>1</v>
      </c>
      <c r="Y98" s="248">
        <f t="shared" si="36"/>
        <v>5.4800000000000001E-2</v>
      </c>
      <c r="Z98" s="248">
        <f t="shared" si="54"/>
        <v>23.325900000000001</v>
      </c>
      <c r="AA98" s="248">
        <f t="shared" si="44"/>
        <v>23.271100000000001</v>
      </c>
      <c r="AB98" s="234" t="e">
        <f>VLOOKUP(A98,Enforcements!$C$7:$K$9,8,0)</f>
        <v>#N/A</v>
      </c>
      <c r="AC98" s="233" t="e">
        <f>VLOOKUP(A98,Enforcements!$C$7:$E$9,3,0)</f>
        <v>#N/A</v>
      </c>
      <c r="AD98" s="244">
        <f t="shared" si="45"/>
        <v>185</v>
      </c>
      <c r="AE98" s="236" t="str">
        <f t="shared" si="46"/>
        <v>aws s3 cp s3://rtdc.mdm.uploadarchive.raw/RTDC4008/ "%USERPROFILE%\AppData\Local\Temp\OnboardLogs"\RTDC4008\2017-11-28 --exclude "*" --recursive --include "*20171128*" &amp; "%USERPROFILE%\Documents\GitHub\mrs-test-scripts\Headless Mode &amp; Sideloading\WalkAndUnGZ.bat" "%USERPROFILE%\AppData\Local\Temp\OnboardLogs"\RTDC4008\2017-11-28 &amp; aws s3 cp s3://rtdc.mdm.uploadarchive.raw/RTDC4008/ "%USERPROFILE%\AppData\Local\Temp\OnboardLogs"\RTDC4008\2017-11-29 --exclude "*" --recursive --include "*20171129*" &amp; "%USERPROFILE%\Documents\GitHub\mrs-test-scripts\Headless Mode &amp; Sideloading\WalkAndUnGZ.bat" "%USERPROFILE%\AppData\Local\Temp\OnboardLogs"\RTDC4008\2017-11-29</v>
      </c>
      <c r="AF98" s="235" t="str">
        <f t="shared" si="47"/>
        <v>"C:\Program Files (x86)\AstroGrep\AstroGrep.exe" /e /r /s /spath="%USERPROFILE%\AppData\Local\Temp\OnboardLogs" /stypes="app*4008*20171128*" /stext=" 21:.+((SYSTEM_STATE.+slice.+state.+changed )|(ment ac)|(multiple cpu faults)|(system.+state.+changed )|(\[timeout)|(PRM\|1\|D)|(kpr)|(kdp)|(train st.+moving)|(\|lc)|(penalty))"</v>
      </c>
      <c r="AG98" s="245" t="str">
        <f t="shared" si="48"/>
        <v>EC</v>
      </c>
      <c r="AH98" s="237" t="str">
        <f t="shared" si="49"/>
        <v>"%USERPROFILE%\Documents\GitHub\eaglep3\Utilities\RefineRTDCRunTimes.py" --tripid 185-28 --locoid 4008 --swversion DE.1.0.9.0 --startMP 204:548 --initTime 2017-11-28T14:08:39 --startdatetime 2017-11-28T14:15:43 --delay 66 --endMP 204:233259 --enddatetime 2017-11-28T14:51:32 --enforcementcount 0 &gt;&gt;%USERPROFILE%\Documents\GitHub\eaglep3-reporting\EC\2017-11-28-refined-times.txt</v>
      </c>
      <c r="AI98" s="239" t="str">
        <f t="shared" si="50"/>
        <v>echo {"issue":{"subject":"","project_id":79,"tracker_id":40,"status_id":1,"priority_id":2,"assigned_to_id":338,"start_date":"2017-11-28","description":"","custom_fields":[{"id":1,"name":"Subdivision","value":"EC"},{"id":4,"name":"Milepost","value":"23.3259"},{"id":17,"name":"Train ID","value":"185-28"},{"id":16,"name":"Locomotive ID","value":"4008"},{"id":130,"name":"Impact","value":""},{"id":150,"name":"Time of Event (Mountain Time)","value":"14:51:32"},{"id":151,"name":"Denver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8" s="224"/>
      <c r="AK98" s="232"/>
      <c r="AL98" s="232"/>
      <c r="AM98" s="241" t="str">
        <f t="shared" si="51"/>
        <v>start /low /b %USERPROFILE%\Documents\GitHub\eaglep3\Utilities\DownloadLogsFromS3.py --loco 4008 --day 2017-11-28</v>
      </c>
      <c r="AN98" s="242" t="str">
        <f t="shared" si="5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21:51:32"},{"id":29,"name":"Sharepoint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231" t="str">
        <f t="shared" si="53"/>
        <v>https://d0f6bd738d7f1b3e5a7ca70fe4ff75f0.us-east-1.aws.found.io/app/kibana#/discover/Steve-Slow-Train-Analysis-(2080s-and-2083s)?_g=(refreshInterval:(display:Off,pause:!f,section:0,value:0),time:(from:'2017-11-28T13:08:39-0700',mode:absolute,to:'2017-11-28T15:51:32-0700'))&amp;_a=(columns:!('Message%20ID',Summary),filters:!(),index:'emp_*',interval:auto,query:(query_string:(analyze_wildcard:!t,query:'%22rtdc.l.rtdc.4008%22')),sort:!(Time.ISO8601,asc))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1" customFormat="1" x14ac:dyDescent="0.25">
      <c r="A99" s="230" t="s">
        <v>800</v>
      </c>
      <c r="B99" s="226">
        <v>4007</v>
      </c>
      <c r="C99" s="228" t="s">
        <v>192</v>
      </c>
      <c r="D99" s="228" t="s">
        <v>502</v>
      </c>
      <c r="E99" s="227">
        <v>43067.62972222222</v>
      </c>
      <c r="F99" s="227">
        <v>43067.633518518516</v>
      </c>
      <c r="G99" s="226">
        <v>66</v>
      </c>
      <c r="H99" s="228" t="s">
        <v>416</v>
      </c>
      <c r="I99" s="227">
        <v>43067.660856481481</v>
      </c>
      <c r="J99" s="226">
        <v>0</v>
      </c>
      <c r="K99" s="238" t="str">
        <f t="shared" si="39"/>
        <v>4007/4008</v>
      </c>
      <c r="L99" s="246" t="str">
        <f>VLOOKUP(A99,'Trips&amp;Operators'!$C$1:$G$99911,5,FALSE)</f>
        <v>MOSES BRADLEY</v>
      </c>
      <c r="M99" s="225">
        <f t="shared" si="40"/>
        <v>2.7337962965248153E-2</v>
      </c>
      <c r="N99" s="226">
        <f t="shared" si="38"/>
        <v>39.36666666995734</v>
      </c>
      <c r="O99" s="226"/>
      <c r="P99" s="226"/>
      <c r="Q99" s="229"/>
      <c r="R99" s="243"/>
      <c r="S99" s="250">
        <f t="shared" si="37"/>
        <v>1</v>
      </c>
      <c r="T99" s="243" t="str">
        <f t="shared" si="41"/>
        <v>Southbound</v>
      </c>
      <c r="U99" s="247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49" t="str">
        <f t="shared" si="42"/>
        <v>https://d0f6bd738d7f1b3e5a7ca70fe4ff75f0.us-east-1.aws.found.io/app/kibana#/discover/Steve-Slow-Train-Analysis-(2080s-and-2083s)?_g=(refreshInterval:(display:Off,pause:!f,section:0,value:0),time:(from:'2017-11-28T14:06:48-0700',mode:absolute,to:'2017-11-28T16:51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99" s="248" t="str">
        <f>IF(AA99&lt;VLOOKUP(AG99,Variables!$AC$3:$AD$8,2,FALSE),"Y","N")</f>
        <v>N</v>
      </c>
      <c r="X99" s="248">
        <f t="shared" si="43"/>
        <v>1</v>
      </c>
      <c r="Y99" s="248">
        <f t="shared" si="36"/>
        <v>23.294599999999999</v>
      </c>
      <c r="Z99" s="248">
        <f t="shared" si="54"/>
        <v>2.07E-2</v>
      </c>
      <c r="AA99" s="248">
        <f t="shared" si="44"/>
        <v>23.273899999999998</v>
      </c>
      <c r="AB99" s="234" t="e">
        <f>VLOOKUP(A99,Enforcements!$C$7:$K$9,8,0)</f>
        <v>#N/A</v>
      </c>
      <c r="AC99" s="233" t="e">
        <f>VLOOKUP(A99,Enforcements!$C$7:$E$9,3,0)</f>
        <v>#N/A</v>
      </c>
      <c r="AD99" s="244">
        <f t="shared" si="45"/>
        <v>186</v>
      </c>
      <c r="AE99" s="236" t="str">
        <f t="shared" si="46"/>
        <v>aws s3 cp s3://rtdc.mdm.uploadarchive.raw/RTDC4007/ "%USERPROFILE%\AppData\Local\Temp\OnboardLogs"\RTDC4007\2017-11-28 --exclude "*" --recursive --include "*20171128*" &amp; "%USERPROFILE%\Documents\GitHub\mrs-test-scripts\Headless Mode &amp; Sideloading\WalkAndUnGZ.bat" "%USERPROFILE%\AppData\Local\Temp\OnboardLogs"\RTDC4007\2017-11-28 &amp; aws s3 cp s3://rtdc.mdm.uploadarchive.raw/RTDC4007/ "%USERPROFILE%\AppData\Local\Temp\OnboardLogs"\RTDC4007\2017-11-29 --exclude "*" --recursive --include "*20171129*" &amp; "%USERPROFILE%\Documents\GitHub\mrs-test-scripts\Headless Mode &amp; Sideloading\WalkAndUnGZ.bat" "%USERPROFILE%\AppData\Local\Temp\OnboardLogs"\RTDC4007\2017-11-29</v>
      </c>
      <c r="AF99" s="235" t="str">
        <f t="shared" si="47"/>
        <v>"C:\Program Files (x86)\AstroGrep\AstroGrep.exe" /e /r /s /spath="%USERPROFILE%\AppData\Local\Temp\OnboardLogs" /stypes="app*4007*20171128*" /stext=" 22:.+((SYSTEM_STATE.+slice.+state.+changed )|(ment ac)|(multiple cpu faults)|(system.+state.+changed )|(\[timeout)|(PRM\|1\|D)|(kpr)|(kdp)|(train st.+moving)|(\|lc)|(penalty))"</v>
      </c>
      <c r="AG99" s="245" t="str">
        <f t="shared" si="48"/>
        <v>EC</v>
      </c>
      <c r="AH99" s="237" t="str">
        <f t="shared" si="49"/>
        <v>"%USERPROFILE%\Documents\GitHub\eaglep3\Utilities\RefineRTDCRunTimes.py" --tripid 186-28 --locoid 4007 --swversion DE.1.0.9.0 --startMP 204:232946 --initTime 2017-11-28T15:06:48 --startdatetime 2017-11-28T15:12:16 --delay 66 --endMP 204:207 --enddatetime 2017-11-28T15:51:38 --enforcementcount 0 &gt;&gt;%USERPROFILE%\Documents\GitHub\eaglep3-reporting\EC\2017-11-28-refined-times.txt</v>
      </c>
      <c r="AI99" s="239" t="str">
        <f t="shared" si="50"/>
        <v>echo {"issue":{"subject":"","project_id":79,"tracker_id":40,"status_id":1,"priority_id":2,"assigned_to_id":338,"start_date":"2017-11-28","description":"","custom_fields":[{"id":1,"name":"Subdivision","value":"EC"},{"id":4,"name":"Milepost","value":"0.0207"},{"id":17,"name":"Train ID","value":"186-28"},{"id":16,"name":"Locomotive ID","value":"4007"},{"id":130,"name":"Impact","value":""},{"id":150,"name":"Time of Event (Mountain Time)","value":"15:51:38"},{"id":151,"name":"Denver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9" s="224"/>
      <c r="AK99" s="232"/>
      <c r="AL99" s="232"/>
      <c r="AM99" s="241" t="str">
        <f t="shared" si="51"/>
        <v>start /low /b %USERPROFILE%\Documents\GitHub\eaglep3\Utilities\DownloadLogsFromS3.py --loco 4007 --day 2017-11-28</v>
      </c>
      <c r="AN99" s="242" t="str">
        <f t="shared" si="5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22:51:38"},{"id":29,"name":"Sharepoint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231" t="str">
        <f t="shared" si="53"/>
        <v>https://d0f6bd738d7f1b3e5a7ca70fe4ff75f0.us-east-1.aws.found.io/app/kibana#/discover/Steve-Slow-Train-Analysis-(2080s-and-2083s)?_g=(refreshInterval:(display:Off,pause:!f,section:0,value:0),time:(from:'2017-11-28T14:06:48-0700',mode:absolute,to:'2017-11-28T16:51:38-0700'))&amp;_a=(columns:!('Message%20ID',Summary),filters:!(),index:'emp_*',interval:auto,query:(query_string:(analyze_wildcard:!t,query:'%22rtdc.l.rtdc.4007%22')),sort:!(Time.ISO8601,asc))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1" customFormat="1" x14ac:dyDescent="0.25">
      <c r="A100" s="230" t="s">
        <v>793</v>
      </c>
      <c r="B100" s="226">
        <v>4050</v>
      </c>
      <c r="C100" s="228" t="s">
        <v>192</v>
      </c>
      <c r="D100" s="228" t="s">
        <v>951</v>
      </c>
      <c r="E100" s="227">
        <v>43067.599178240744</v>
      </c>
      <c r="F100" s="227">
        <v>43067.604386574072</v>
      </c>
      <c r="G100" s="226">
        <v>70</v>
      </c>
      <c r="H100" s="228" t="s">
        <v>612</v>
      </c>
      <c r="I100" s="227">
        <v>43067.628923611112</v>
      </c>
      <c r="J100" s="226">
        <v>0</v>
      </c>
      <c r="K100" s="238" t="str">
        <f t="shared" si="39"/>
        <v>4049/4050</v>
      </c>
      <c r="L100" s="246" t="str">
        <f>VLOOKUP(A100,'Trips&amp;Operators'!$C$1:$G$99911,5,FALSE)</f>
        <v>SMITH MICHAEL</v>
      </c>
      <c r="M100" s="225">
        <f t="shared" si="40"/>
        <v>2.453703703940846E-2</v>
      </c>
      <c r="N100" s="226">
        <f t="shared" si="38"/>
        <v>35.333333336748183</v>
      </c>
      <c r="O100" s="226"/>
      <c r="P100" s="226"/>
      <c r="Q100" s="229"/>
      <c r="R100" s="243"/>
      <c r="S100" s="250">
        <f t="shared" si="37"/>
        <v>1</v>
      </c>
      <c r="T100" s="243" t="str">
        <f t="shared" si="41"/>
        <v>NorthBound</v>
      </c>
      <c r="U100" s="247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49" t="str">
        <f t="shared" si="42"/>
        <v>https://d0f6bd738d7f1b3e5a7ca70fe4ff75f0.us-east-1.aws.found.io/app/kibana#/discover/Steve-Slow-Train-Analysis-(2080s-and-2083s)?_g=(refreshInterval:(display:Off,pause:!f,section:0,value:0),time:(from:'2017-11-28T13:22:49-0700',mode:absolute,to:'2017-11-28T16:05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00" s="248" t="str">
        <f>IF(AA100&lt;VLOOKUP(AG100,Variables!$AC$3:$AD$8,2,FALSE),"Y","N")</f>
        <v>N</v>
      </c>
      <c r="X100" s="248">
        <f t="shared" si="43"/>
        <v>1</v>
      </c>
      <c r="Y100" s="248">
        <f t="shared" si="36"/>
        <v>5.57E-2</v>
      </c>
      <c r="Z100" s="248">
        <f t="shared" si="54"/>
        <v>23.3246</v>
      </c>
      <c r="AA100" s="248">
        <f t="shared" si="44"/>
        <v>23.268899999999999</v>
      </c>
      <c r="AB100" s="234" t="e">
        <f>VLOOKUP(A100,Enforcements!$C$7:$K$9,8,0)</f>
        <v>#N/A</v>
      </c>
      <c r="AC100" s="233" t="e">
        <f>VLOOKUP(A100,Enforcements!$C$7:$E$9,3,0)</f>
        <v>#N/A</v>
      </c>
      <c r="AD100" s="244">
        <f t="shared" si="45"/>
        <v>187</v>
      </c>
      <c r="AE100" s="236" t="str">
        <f t="shared" si="46"/>
        <v>aws s3 cp s3://rtdc.mdm.uploadarchive.raw/RTDC4050/ "%USERPROFILE%\AppData\Local\Temp\OnboardLogs"\RTDC4050\2017-11-28 --exclude "*" --recursive --include "*20171128*" &amp; "%USERPROFILE%\Documents\GitHub\mrs-test-scripts\Headless Mode &amp; Sideloading\WalkAndUnGZ.bat" "%USERPROFILE%\AppData\Local\Temp\OnboardLogs"\RTDC4050\2017-11-28 &amp; aws s3 cp s3://rtdc.mdm.uploadarchive.raw/RTDC4050/ "%USERPROFILE%\AppData\Local\Temp\OnboardLogs"\RTDC4050\2017-11-29 --exclude "*" --recursive --include "*20171129*" &amp; "%USERPROFILE%\Documents\GitHub\mrs-test-scripts\Headless Mode &amp; Sideloading\WalkAndUnGZ.bat" "%USERPROFILE%\AppData\Local\Temp\OnboardLogs"\RTDC4050\2017-11-29</v>
      </c>
      <c r="AF100" s="235" t="str">
        <f t="shared" si="47"/>
        <v>"C:\Program Files (x86)\AstroGrep\AstroGrep.exe" /e /r /s /spath="%USERPROFILE%\AppData\Local\Temp\OnboardLogs" /stypes="app*4050*20171128*" /stext=" 22:.+((SYSTEM_STATE.+slice.+state.+changed )|(ment ac)|(multiple cpu faults)|(system.+state.+changed )|(\[timeout)|(PRM\|1\|D)|(kpr)|(kdp)|(train st.+moving)|(\|lc)|(penalty))"</v>
      </c>
      <c r="AG100" s="245" t="str">
        <f t="shared" si="48"/>
        <v>EC</v>
      </c>
      <c r="AH100" s="237" t="str">
        <f t="shared" si="49"/>
        <v>"%USERPROFILE%\Documents\GitHub\eaglep3\Utilities\RefineRTDCRunTimes.py" --tripid 187-28 --locoid 4050 --swversion DE.1.0.9.0 --startMP 204:557 --initTime 2017-11-28T14:22:49 --startdatetime 2017-11-28T14:30:19 --delay 70 --endMP 204:233246 --enddatetime 2017-11-28T15:05:39 --enforcementcount 0 &gt;&gt;%USERPROFILE%\Documents\GitHub\eaglep3-reporting\EC\2017-11-28-refined-times.txt</v>
      </c>
      <c r="AI100" s="239" t="str">
        <f t="shared" si="50"/>
        <v>echo {"issue":{"subject":"","project_id":79,"tracker_id":40,"status_id":1,"priority_id":2,"assigned_to_id":338,"start_date":"2017-11-28","description":"","custom_fields":[{"id":1,"name":"Subdivision","value":"EC"},{"id":4,"name":"Milepost","value":"23.3246"},{"id":17,"name":"Train ID","value":"187-28"},{"id":16,"name":"Locomotive ID","value":"4050"},{"id":130,"name":"Impact","value":""},{"id":150,"name":"Time of Event (Mountain Time)","value":"15:05:39"},{"id":151,"name":"Denver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0" s="224"/>
      <c r="AK100" s="232"/>
      <c r="AL100" s="232"/>
      <c r="AM100" s="241" t="str">
        <f t="shared" si="51"/>
        <v>start /low /b %USERPROFILE%\Documents\GitHub\eaglep3\Utilities\DownloadLogsFromS3.py --loco 4050 --day 2017-11-28</v>
      </c>
      <c r="AN100" s="242" t="str">
        <f t="shared" si="5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22:05:39"},{"id":29,"name":"Sharepoint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231" t="str">
        <f t="shared" si="53"/>
        <v>https://d0f6bd738d7f1b3e5a7ca70fe4ff75f0.us-east-1.aws.found.io/app/kibana#/discover/Steve-Slow-Train-Analysis-(2080s-and-2083s)?_g=(refreshInterval:(display:Off,pause:!f,section:0,value:0),time:(from:'2017-11-28T13:22:49-0700',mode:absolute,to:'2017-11-28T16:05:39-0700'))&amp;_a=(columns:!('Message%20ID',Summary),filters:!(),index:'emp_*',interval:auto,query:(query_string:(analyze_wildcard:!t,query:'%22rtdc.l.rtdc.4050%22')),sort:!(Time.ISO8601,asc))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1" customFormat="1" x14ac:dyDescent="0.25">
      <c r="A101" s="230" t="s">
        <v>801</v>
      </c>
      <c r="B101" s="226">
        <v>4049</v>
      </c>
      <c r="C101" s="228" t="s">
        <v>192</v>
      </c>
      <c r="D101" s="228" t="s">
        <v>923</v>
      </c>
      <c r="E101" s="227">
        <v>43067.633252314816</v>
      </c>
      <c r="F101" s="227">
        <v>43067.644062500003</v>
      </c>
      <c r="G101" s="226">
        <v>60</v>
      </c>
      <c r="H101" s="228" t="s">
        <v>952</v>
      </c>
      <c r="I101" s="227">
        <v>43067.669803240744</v>
      </c>
      <c r="J101" s="226">
        <v>0</v>
      </c>
      <c r="K101" s="238" t="str">
        <f t="shared" si="39"/>
        <v>4049/4050</v>
      </c>
      <c r="L101" s="246" t="str">
        <f>VLOOKUP(A101,'Trips&amp;Operators'!$C$1:$G$99911,5,FALSE)</f>
        <v>SMITH MICHAEL</v>
      </c>
      <c r="M101" s="225">
        <f t="shared" si="40"/>
        <v>2.5740740740729962E-2</v>
      </c>
      <c r="N101" s="226">
        <f t="shared" si="38"/>
        <v>37.066666666651145</v>
      </c>
      <c r="O101" s="226"/>
      <c r="P101" s="226"/>
      <c r="Q101" s="229"/>
      <c r="R101" s="243"/>
      <c r="S101" s="250">
        <f t="shared" si="37"/>
        <v>1</v>
      </c>
      <c r="T101" s="243" t="str">
        <f t="shared" si="41"/>
        <v>Southbound</v>
      </c>
      <c r="U101" s="247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49" t="str">
        <f t="shared" si="42"/>
        <v>https://d0f6bd738d7f1b3e5a7ca70fe4ff75f0.us-east-1.aws.found.io/app/kibana#/discover/Steve-Slow-Train-Analysis-(2080s-and-2083s)?_g=(refreshInterval:(display:Off,pause:!f,section:0,value:0),time:(from:'2017-11-28T14:11:53-0700',mode:absolute,to:'2017-11-28T17:04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01" s="248" t="str">
        <f>IF(AA101&lt;VLOOKUP(AG101,Variables!$AC$3:$AD$8,2,FALSE),"Y","N")</f>
        <v>N</v>
      </c>
      <c r="X101" s="248">
        <f t="shared" si="43"/>
        <v>1</v>
      </c>
      <c r="Y101" s="248">
        <f t="shared" si="36"/>
        <v>23.290900000000001</v>
      </c>
      <c r="Z101" s="248">
        <f t="shared" si="54"/>
        <v>2.58E-2</v>
      </c>
      <c r="AA101" s="248">
        <f t="shared" si="44"/>
        <v>23.2651</v>
      </c>
      <c r="AB101" s="234" t="e">
        <f>VLOOKUP(A101,Enforcements!$C$7:$K$9,8,0)</f>
        <v>#N/A</v>
      </c>
      <c r="AC101" s="233" t="e">
        <f>VLOOKUP(A101,Enforcements!$C$7:$E$9,3,0)</f>
        <v>#N/A</v>
      </c>
      <c r="AD101" s="244">
        <f t="shared" si="45"/>
        <v>188</v>
      </c>
      <c r="AE101" s="236" t="str">
        <f t="shared" si="46"/>
        <v>aws s3 cp s3://rtdc.mdm.uploadarchive.raw/RTDC4049/ "%USERPROFILE%\AppData\Local\Temp\OnboardLogs"\RTDC4049\2017-11-28 --exclude "*" --recursive --include "*20171128*" &amp; "%USERPROFILE%\Documents\GitHub\mrs-test-scripts\Headless Mode &amp; Sideloading\WalkAndUnGZ.bat" "%USERPROFILE%\AppData\Local\Temp\OnboardLogs"\RTDC4049\2017-11-28 &amp; aws s3 cp s3://rtdc.mdm.uploadarchive.raw/RTDC4049/ "%USERPROFILE%\AppData\Local\Temp\OnboardLogs"\RTDC4049\2017-11-29 --exclude "*" --recursive --include "*20171129*" &amp; "%USERPROFILE%\Documents\GitHub\mrs-test-scripts\Headless Mode &amp; Sideloading\WalkAndUnGZ.bat" "%USERPROFILE%\AppData\Local\Temp\OnboardLogs"\RTDC4049\2017-11-29</v>
      </c>
      <c r="AF101" s="235" t="str">
        <f t="shared" si="47"/>
        <v>"C:\Program Files (x86)\AstroGrep\AstroGrep.exe" /e /r /s /spath="%USERPROFILE%\AppData\Local\Temp\OnboardLogs" /stypes="app*4049*20171128*" /stext=" 23:.+((SYSTEM_STATE.+slice.+state.+changed )|(ment ac)|(multiple cpu faults)|(system.+state.+changed )|(\[timeout)|(PRM\|1\|D)|(kpr)|(kdp)|(train st.+moving)|(\|lc)|(penalty))"</v>
      </c>
      <c r="AG101" s="245" t="str">
        <f t="shared" si="48"/>
        <v>EC</v>
      </c>
      <c r="AH101" s="237" t="str">
        <f t="shared" si="49"/>
        <v>"%USERPROFILE%\Documents\GitHub\eaglep3\Utilities\RefineRTDCRunTimes.py" --tripid 188-28 --locoid 4049 --swversion DE.1.0.9.0 --startMP 204:232909 --initTime 2017-11-28T15:11:53 --startdatetime 2017-11-28T15:27:27 --delay 60 --endMP 204:258 --enddatetime 2017-11-28T16:04:31 --enforcementcount 0 &gt;&gt;%USERPROFILE%\Documents\GitHub\eaglep3-reporting\EC\2017-11-28-refined-times.txt</v>
      </c>
      <c r="AI101" s="239" t="str">
        <f t="shared" si="50"/>
        <v>echo {"issue":{"subject":"","project_id":79,"tracker_id":40,"status_id":1,"priority_id":2,"assigned_to_id":338,"start_date":"2017-11-28","description":"","custom_fields":[{"id":1,"name":"Subdivision","value":"EC"},{"id":4,"name":"Milepost","value":"0.0258"},{"id":17,"name":"Train ID","value":"188-28"},{"id":16,"name":"Locomotive ID","value":"4049"},{"id":130,"name":"Impact","value":""},{"id":150,"name":"Time of Event (Mountain Time)","value":"16:04:31"},{"id":151,"name":"Denver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1" s="224"/>
      <c r="AK101" s="232"/>
      <c r="AL101" s="232"/>
      <c r="AM101" s="241" t="str">
        <f t="shared" si="51"/>
        <v>start /low /b %USERPROFILE%\Documents\GitHub\eaglep3\Utilities\DownloadLogsFromS3.py --loco 4049 --day 2017-11-28</v>
      </c>
      <c r="AN101" s="242" t="str">
        <f t="shared" si="5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23:04:31"},{"id":29,"name":"Sharepoint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231" t="str">
        <f t="shared" si="53"/>
        <v>https://d0f6bd738d7f1b3e5a7ca70fe4ff75f0.us-east-1.aws.found.io/app/kibana#/discover/Steve-Slow-Train-Analysis-(2080s-and-2083s)?_g=(refreshInterval:(display:Off,pause:!f,section:0,value:0),time:(from:'2017-11-28T14:11:53-0700',mode:absolute,to:'2017-11-28T17:04:31-0700'))&amp;_a=(columns:!('Message%20ID',Summary),filters:!(),index:'emp_*',interval:auto,query:(query_string:(analyze_wildcard:!t,query:'%22rtdc.l.rtdc.4049%22')),sort:!(Time.ISO8601,asc))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1" customFormat="1" x14ac:dyDescent="0.25">
      <c r="A102" s="230" t="s">
        <v>796</v>
      </c>
      <c r="B102" s="226">
        <v>4060</v>
      </c>
      <c r="C102" s="228" t="s">
        <v>192</v>
      </c>
      <c r="D102" s="228" t="s">
        <v>423</v>
      </c>
      <c r="E102" s="227">
        <v>43067.611180555556</v>
      </c>
      <c r="F102" s="227">
        <v>43067.614768518521</v>
      </c>
      <c r="G102" s="226">
        <v>52</v>
      </c>
      <c r="H102" s="228" t="s">
        <v>953</v>
      </c>
      <c r="I102" s="227">
        <v>43067.639467592591</v>
      </c>
      <c r="J102" s="226">
        <v>0</v>
      </c>
      <c r="K102" s="238" t="str">
        <f t="shared" si="39"/>
        <v>4059/4060</v>
      </c>
      <c r="L102" s="246" t="str">
        <f>VLOOKUP(A102,'Trips&amp;Operators'!$C$1:$G$99911,5,FALSE)</f>
        <v>BRUDER RICHARD</v>
      </c>
      <c r="M102" s="225">
        <f t="shared" si="40"/>
        <v>2.4699074070667848E-2</v>
      </c>
      <c r="N102" s="226">
        <f t="shared" si="38"/>
        <v>35.566666661761701</v>
      </c>
      <c r="O102" s="226"/>
      <c r="P102" s="226"/>
      <c r="Q102" s="229"/>
      <c r="R102" s="243"/>
      <c r="S102" s="250">
        <f t="shared" si="37"/>
        <v>1</v>
      </c>
      <c r="T102" s="243" t="str">
        <f t="shared" si="41"/>
        <v>NorthBound</v>
      </c>
      <c r="U102" s="247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49" t="str">
        <f t="shared" si="42"/>
        <v>https://d0f6bd738d7f1b3e5a7ca70fe4ff75f0.us-east-1.aws.found.io/app/kibana#/discover/Steve-Slow-Train-Analysis-(2080s-and-2083s)?_g=(refreshInterval:(display:Off,pause:!f,section:0,value:0),time:(from:'2017-11-28T13:40:06-0700',mode:absolute,to:'2017-11-28T16:20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02" s="248" t="str">
        <f>IF(AA102&lt;VLOOKUP(AG102,Variables!$AC$3:$AD$8,2,FALSE),"Y","N")</f>
        <v>N</v>
      </c>
      <c r="X102" s="248">
        <f t="shared" si="43"/>
        <v>1</v>
      </c>
      <c r="Y102" s="248">
        <f t="shared" si="36"/>
        <v>5.2400000000000002E-2</v>
      </c>
      <c r="Z102" s="248">
        <f t="shared" si="54"/>
        <v>23.320499999999999</v>
      </c>
      <c r="AA102" s="248">
        <f t="shared" si="44"/>
        <v>23.2681</v>
      </c>
      <c r="AB102" s="234" t="e">
        <f>VLOOKUP(A102,Enforcements!$C$7:$K$9,8,0)</f>
        <v>#N/A</v>
      </c>
      <c r="AC102" s="233" t="e">
        <f>VLOOKUP(A102,Enforcements!$C$7:$E$9,3,0)</f>
        <v>#N/A</v>
      </c>
      <c r="AD102" s="244">
        <f t="shared" si="45"/>
        <v>189</v>
      </c>
      <c r="AE102" s="236" t="str">
        <f t="shared" si="46"/>
        <v>aws s3 cp s3://rtdc.mdm.uploadarchive.raw/RTDC4060/ "%USERPROFILE%\AppData\Local\Temp\OnboardLogs"\RTDC4060\2017-11-28 --exclude "*" --recursive --include "*20171128*" &amp; "%USERPROFILE%\Documents\GitHub\mrs-test-scripts\Headless Mode &amp; Sideloading\WalkAndUnGZ.bat" "%USERPROFILE%\AppData\Local\Temp\OnboardLogs"\RTDC4060\2017-11-28 &amp; aws s3 cp s3://rtdc.mdm.uploadarchive.raw/RTDC4060/ "%USERPROFILE%\AppData\Local\Temp\OnboardLogs"\RTDC4060\2017-11-29 --exclude "*" --recursive --include "*20171129*" &amp; "%USERPROFILE%\Documents\GitHub\mrs-test-scripts\Headless Mode &amp; Sideloading\WalkAndUnGZ.bat" "%USERPROFILE%\AppData\Local\Temp\OnboardLogs"\RTDC4060\2017-11-29</v>
      </c>
      <c r="AF102" s="235" t="str">
        <f t="shared" si="47"/>
        <v>"C:\Program Files (x86)\AstroGrep\AstroGrep.exe" /e /r /s /spath="%USERPROFILE%\AppData\Local\Temp\OnboardLogs" /stypes="app*4060*20171128*" /stext=" 22:.+((SYSTEM_STATE.+slice.+state.+changed )|(ment ac)|(multiple cpu faults)|(system.+state.+changed )|(\[timeout)|(PRM\|1\|D)|(kpr)|(kdp)|(train st.+moving)|(\|lc)|(penalty))"</v>
      </c>
      <c r="AG102" s="245" t="str">
        <f t="shared" si="48"/>
        <v>EC</v>
      </c>
      <c r="AH102" s="237" t="str">
        <f t="shared" si="49"/>
        <v>"%USERPROFILE%\Documents\GitHub\eaglep3\Utilities\RefineRTDCRunTimes.py" --tripid 189-28 --locoid 4060 --swversion DE.1.0.9.0 --startMP 204:524 --initTime 2017-11-28T14:40:06 --startdatetime 2017-11-28T14:45:16 --delay 52 --endMP 204:233205 --enddatetime 2017-11-28T15:20:50 --enforcementcount 0 &gt;&gt;%USERPROFILE%\Documents\GitHub\eaglep3-reporting\EC\2017-11-28-refined-times.txt</v>
      </c>
      <c r="AI102" s="239" t="str">
        <f t="shared" si="50"/>
        <v>echo {"issue":{"subject":"","project_id":79,"tracker_id":40,"status_id":1,"priority_id":2,"assigned_to_id":338,"start_date":"2017-11-28","description":"","custom_fields":[{"id":1,"name":"Subdivision","value":"EC"},{"id":4,"name":"Milepost","value":"23.3205"},{"id":17,"name":"Train ID","value":"189-28"},{"id":16,"name":"Locomotive ID","value":"4060"},{"id":130,"name":"Impact","value":""},{"id":150,"name":"Time of Event (Mountain Time)","value":"15:20:50"},{"id":151,"name":"Denver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2" s="224"/>
      <c r="AK102" s="232"/>
      <c r="AL102" s="232"/>
      <c r="AM102" s="241" t="str">
        <f t="shared" si="51"/>
        <v>start /low /b %USERPROFILE%\Documents\GitHub\eaglep3\Utilities\DownloadLogsFromS3.py --loco 4060 --day 2017-11-28</v>
      </c>
      <c r="AN102" s="242" t="str">
        <f t="shared" si="5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22:20:50"},{"id":29,"name":"Sharepoint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231" t="str">
        <f t="shared" si="53"/>
        <v>https://d0f6bd738d7f1b3e5a7ca70fe4ff75f0.us-east-1.aws.found.io/app/kibana#/discover/Steve-Slow-Train-Analysis-(2080s-and-2083s)?_g=(refreshInterval:(display:Off,pause:!f,section:0,value:0),time:(from:'2017-11-28T13:40:06-0700',mode:absolute,to:'2017-11-28T16:20:50-0700'))&amp;_a=(columns:!('Message%20ID',Summary),filters:!(),index:'emp_*',interval:auto,query:(query_string:(analyze_wildcard:!t,query:'%22rtdc.l.rtdc.4060%22')),sort:!(Time.ISO8601,asc))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1" customFormat="1" x14ac:dyDescent="0.25">
      <c r="A103" s="230" t="s">
        <v>658</v>
      </c>
      <c r="B103" s="226">
        <v>4059</v>
      </c>
      <c r="C103" s="228" t="s">
        <v>192</v>
      </c>
      <c r="D103" s="228" t="s">
        <v>954</v>
      </c>
      <c r="E103" s="227">
        <v>43067.650879629633</v>
      </c>
      <c r="F103" s="227">
        <v>43067.654351851852</v>
      </c>
      <c r="G103" s="226">
        <v>67</v>
      </c>
      <c r="H103" s="228" t="s">
        <v>955</v>
      </c>
      <c r="I103" s="227">
        <v>43067.680173611108</v>
      </c>
      <c r="J103" s="226">
        <v>0</v>
      </c>
      <c r="K103" s="238" t="str">
        <f t="shared" si="39"/>
        <v>4059/4060</v>
      </c>
      <c r="L103" s="246" t="str">
        <f>VLOOKUP(A103,'Trips&amp;Operators'!$C$1:$G$99911,5,FALSE)</f>
        <v>BRUDER RICHARD</v>
      </c>
      <c r="M103" s="225">
        <f t="shared" si="40"/>
        <v>2.5821759256359655E-2</v>
      </c>
      <c r="N103" s="226">
        <f t="shared" si="38"/>
        <v>37.183333329157904</v>
      </c>
      <c r="O103" s="226"/>
      <c r="P103" s="226"/>
      <c r="Q103" s="229"/>
      <c r="R103" s="243"/>
      <c r="S103" s="250">
        <f t="shared" si="37"/>
        <v>1</v>
      </c>
      <c r="T103" s="243" t="str">
        <f t="shared" si="41"/>
        <v>Southbound</v>
      </c>
      <c r="U103" s="247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49" t="str">
        <f t="shared" si="42"/>
        <v>https://d0f6bd738d7f1b3e5a7ca70fe4ff75f0.us-east-1.aws.found.io/app/kibana#/discover/Steve-Slow-Train-Analysis-(2080s-and-2083s)?_g=(refreshInterval:(display:Off,pause:!f,section:0,value:0),time:(from:'2017-11-28T14:37:16-0700',mode:absolute,to:'2017-11-28T17:19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03" s="248" t="str">
        <f>IF(AA103&lt;VLOOKUP(AG103,Variables!$AC$3:$AD$8,2,FALSE),"Y","N")</f>
        <v>N</v>
      </c>
      <c r="X103" s="248">
        <f t="shared" si="43"/>
        <v>1</v>
      </c>
      <c r="Y103" s="248">
        <f t="shared" ref="Y103:Y134" si="55">RIGHT(D103,LEN(D103)-4)/10000</f>
        <v>23.2882</v>
      </c>
      <c r="Z103" s="248">
        <f t="shared" si="54"/>
        <v>2.5100000000000001E-2</v>
      </c>
      <c r="AA103" s="248">
        <f t="shared" si="44"/>
        <v>23.263100000000001</v>
      </c>
      <c r="AB103" s="234" t="e">
        <f>VLOOKUP(A103,Enforcements!$C$7:$K$9,8,0)</f>
        <v>#N/A</v>
      </c>
      <c r="AC103" s="233" t="e">
        <f>VLOOKUP(A103,Enforcements!$C$7:$E$9,3,0)</f>
        <v>#N/A</v>
      </c>
      <c r="AD103" s="244">
        <f t="shared" si="45"/>
        <v>190</v>
      </c>
      <c r="AE103" s="236" t="str">
        <f t="shared" si="46"/>
        <v>aws s3 cp s3://rtdc.mdm.uploadarchive.raw/RTDC4059/ "%USERPROFILE%\AppData\Local\Temp\OnboardLogs"\RTDC4059\2017-11-28 --exclude "*" --recursive --include "*20171128*" &amp; "%USERPROFILE%\Documents\GitHub\mrs-test-scripts\Headless Mode &amp; Sideloading\WalkAndUnGZ.bat" "%USERPROFILE%\AppData\Local\Temp\OnboardLogs"\RTDC4059\2017-11-28 &amp; aws s3 cp s3://rtdc.mdm.uploadarchive.raw/RTDC4059/ "%USERPROFILE%\AppData\Local\Temp\OnboardLogs"\RTDC4059\2017-11-29 --exclude "*" --recursive --include "*20171129*" &amp; "%USERPROFILE%\Documents\GitHub\mrs-test-scripts\Headless Mode &amp; Sideloading\WalkAndUnGZ.bat" "%USERPROFILE%\AppData\Local\Temp\OnboardLogs"\RTDC4059\2017-11-29</v>
      </c>
      <c r="AF103" s="235" t="str">
        <f t="shared" si="47"/>
        <v>"C:\Program Files (x86)\AstroGrep\AstroGrep.exe" /e /r /s /spath="%USERPROFILE%\AppData\Local\Temp\OnboardLogs" /stypes="app*4059*20171128*" /stext=" 23:.+((SYSTEM_STATE.+slice.+state.+changed )|(ment ac)|(multiple cpu faults)|(system.+state.+changed )|(\[timeout)|(PRM\|1\|D)|(kpr)|(kdp)|(train st.+moving)|(\|lc)|(penalty))"</v>
      </c>
      <c r="AG103" s="245" t="str">
        <f t="shared" si="48"/>
        <v>EC</v>
      </c>
      <c r="AH103" s="237" t="str">
        <f t="shared" si="49"/>
        <v>"%USERPROFILE%\Documents\GitHub\eaglep3\Utilities\RefineRTDCRunTimes.py" --tripid 190-28 --locoid 4059 --swversion DE.1.0.9.0 --startMP 204:232882 --initTime 2017-11-28T15:37:16 --startdatetime 2017-11-28T15:42:16 --delay 67 --endMP 204:251 --enddatetime 2017-11-28T16:19:27 --enforcementcount 0 &gt;&gt;%USERPROFILE%\Documents\GitHub\eaglep3-reporting\EC\2017-11-28-refined-times.txt</v>
      </c>
      <c r="AI103" s="239" t="str">
        <f t="shared" si="50"/>
        <v>echo {"issue":{"subject":"","project_id":79,"tracker_id":40,"status_id":1,"priority_id":2,"assigned_to_id":338,"start_date":"2017-11-28","description":"","custom_fields":[{"id":1,"name":"Subdivision","value":"EC"},{"id":4,"name":"Milepost","value":"0.0251"},{"id":17,"name":"Train ID","value":"190-28"},{"id":16,"name":"Locomotive ID","value":"4059"},{"id":130,"name":"Impact","value":""},{"id":150,"name":"Time of Event (Mountain Time)","value":"16:19:27"},{"id":151,"name":"Denver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3" s="224"/>
      <c r="AK103" s="232"/>
      <c r="AL103" s="232"/>
      <c r="AM103" s="241" t="str">
        <f t="shared" si="51"/>
        <v>start /low /b %USERPROFILE%\Documents\GitHub\eaglep3\Utilities\DownloadLogsFromS3.py --loco 4059 --day 2017-11-28</v>
      </c>
      <c r="AN103" s="242" t="str">
        <f t="shared" si="5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23:19:27"},{"id":29,"name":"Sharepoint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231" t="str">
        <f t="shared" si="53"/>
        <v>https://d0f6bd738d7f1b3e5a7ca70fe4ff75f0.us-east-1.aws.found.io/app/kibana#/discover/Steve-Slow-Train-Analysis-(2080s-and-2083s)?_g=(refreshInterval:(display:Off,pause:!f,section:0,value:0),time:(from:'2017-11-28T14:37:16-0700',mode:absolute,to:'2017-11-28T17:19:27-0700'))&amp;_a=(columns:!('Message%20ID',Summary),filters:!(),index:'emp_*',interval:auto,query:(query_string:(analyze_wildcard:!t,query:'%22rtdc.l.rtdc.4059%22')),sort:!(Time.ISO8601,asc))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1" customFormat="1" x14ac:dyDescent="0.25">
      <c r="A104" s="230" t="s">
        <v>797</v>
      </c>
      <c r="B104" s="226">
        <v>4056</v>
      </c>
      <c r="C104" s="228" t="s">
        <v>192</v>
      </c>
      <c r="D104" s="228" t="s">
        <v>602</v>
      </c>
      <c r="E104" s="227">
        <v>43067.621180555558</v>
      </c>
      <c r="F104" s="227">
        <v>43067.625219907408</v>
      </c>
      <c r="G104" s="226">
        <v>68</v>
      </c>
      <c r="H104" s="228" t="s">
        <v>956</v>
      </c>
      <c r="I104" s="227">
        <v>43067.649965277778</v>
      </c>
      <c r="J104" s="226">
        <v>0</v>
      </c>
      <c r="K104" s="238" t="str">
        <f t="shared" si="39"/>
        <v>4055/4056</v>
      </c>
      <c r="L104" s="246" t="str">
        <f>VLOOKUP(A104,'Trips&amp;Operators'!$C$1:$G$99911,5,FALSE)</f>
        <v>STEWART MICHAEL</v>
      </c>
      <c r="M104" s="225">
        <f t="shared" si="40"/>
        <v>2.47453703705105E-2</v>
      </c>
      <c r="N104" s="226">
        <f t="shared" si="38"/>
        <v>35.63333333353512</v>
      </c>
      <c r="O104" s="226"/>
      <c r="P104" s="226"/>
      <c r="Q104" s="229"/>
      <c r="R104" s="243"/>
      <c r="S104" s="250">
        <f t="shared" si="37"/>
        <v>1</v>
      </c>
      <c r="T104" s="243" t="str">
        <f t="shared" si="41"/>
        <v>NorthBound</v>
      </c>
      <c r="U104" s="247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49" t="str">
        <f t="shared" si="42"/>
        <v>https://d0f6bd738d7f1b3e5a7ca70fe4ff75f0.us-east-1.aws.found.io/app/kibana#/discover/Steve-Slow-Train-Analysis-(2080s-and-2083s)?_g=(refreshInterval:(display:Off,pause:!f,section:0,value:0),time:(from:'2017-11-28T13:54:30-0700',mode:absolute,to:'2017-11-28T16:35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04" s="248" t="str">
        <f>IF(AA104&lt;VLOOKUP(AG104,Variables!$AC$3:$AD$8,2,FALSE),"Y","N")</f>
        <v>N</v>
      </c>
      <c r="X104" s="248">
        <f t="shared" si="43"/>
        <v>1</v>
      </c>
      <c r="Y104" s="248">
        <f t="shared" si="55"/>
        <v>5.3699999999999998E-2</v>
      </c>
      <c r="Z104" s="248">
        <f t="shared" si="54"/>
        <v>23.322299999999998</v>
      </c>
      <c r="AA104" s="248">
        <f t="shared" si="44"/>
        <v>23.268599999999999</v>
      </c>
      <c r="AB104" s="234" t="e">
        <f>VLOOKUP(A104,Enforcements!$C$7:$K$9,8,0)</f>
        <v>#N/A</v>
      </c>
      <c r="AC104" s="233" t="e">
        <f>VLOOKUP(A104,Enforcements!$C$7:$E$9,3,0)</f>
        <v>#N/A</v>
      </c>
      <c r="AD104" s="244">
        <f t="shared" si="45"/>
        <v>191</v>
      </c>
      <c r="AE104" s="236" t="str">
        <f t="shared" si="46"/>
        <v>aws s3 cp s3://rtdc.mdm.uploadarchive.raw/RTDC4056/ "%USERPROFILE%\AppData\Local\Temp\OnboardLogs"\RTDC4056\2017-11-28 --exclude "*" --recursive --include "*20171128*" &amp; "%USERPROFILE%\Documents\GitHub\mrs-test-scripts\Headless Mode &amp; Sideloading\WalkAndUnGZ.bat" "%USERPROFILE%\AppData\Local\Temp\OnboardLogs"\RTDC4056\2017-11-28 &amp; aws s3 cp s3://rtdc.mdm.uploadarchive.raw/RTDC4056/ "%USERPROFILE%\AppData\Local\Temp\OnboardLogs"\RTDC4056\2017-11-29 --exclude "*" --recursive --include "*20171129*" &amp; "%USERPROFILE%\Documents\GitHub\mrs-test-scripts\Headless Mode &amp; Sideloading\WalkAndUnGZ.bat" "%USERPROFILE%\AppData\Local\Temp\OnboardLogs"\RTDC4056\2017-11-29</v>
      </c>
      <c r="AF104" s="235" t="str">
        <f t="shared" si="47"/>
        <v>"C:\Program Files (x86)\AstroGrep\AstroGrep.exe" /e /r /s /spath="%USERPROFILE%\AppData\Local\Temp\OnboardLogs" /stypes="app*4056*20171128*" /stext=" 22:.+((SYSTEM_STATE.+slice.+state.+changed )|(ment ac)|(multiple cpu faults)|(system.+state.+changed )|(\[timeout)|(PRM\|1\|D)|(kpr)|(kdp)|(train st.+moving)|(\|lc)|(penalty))"</v>
      </c>
      <c r="AG104" s="245" t="str">
        <f t="shared" si="48"/>
        <v>EC</v>
      </c>
      <c r="AH104" s="237" t="str">
        <f t="shared" si="49"/>
        <v>"%USERPROFILE%\Documents\GitHub\eaglep3\Utilities\RefineRTDCRunTimes.py" --tripid 191-28 --locoid 4056 --swversion DE.1.0.9.0 --startMP 204:537 --initTime 2017-11-28T14:54:30 --startdatetime 2017-11-28T15:00:19 --delay 68 --endMP 204:233223 --enddatetime 2017-11-28T15:35:57 --enforcementcount 0 &gt;&gt;%USERPROFILE%\Documents\GitHub\eaglep3-reporting\EC\2017-11-28-refined-times.txt</v>
      </c>
      <c r="AI104" s="239" t="str">
        <f t="shared" si="50"/>
        <v>echo {"issue":{"subject":"","project_id":79,"tracker_id":40,"status_id":1,"priority_id":2,"assigned_to_id":338,"start_date":"2017-11-28","description":"","custom_fields":[{"id":1,"name":"Subdivision","value":"EC"},{"id":4,"name":"Milepost","value":"23.3223"},{"id":17,"name":"Train ID","value":"191-28"},{"id":16,"name":"Locomotive ID","value":"4056"},{"id":130,"name":"Impact","value":""},{"id":150,"name":"Time of Event (Mountain Time)","value":"15:35:57"},{"id":151,"name":"Denver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4" s="224"/>
      <c r="AK104" s="232"/>
      <c r="AL104" s="232"/>
      <c r="AM104" s="241" t="str">
        <f t="shared" si="51"/>
        <v>start /low /b %USERPROFILE%\Documents\GitHub\eaglep3\Utilities\DownloadLogsFromS3.py --loco 4056 --day 2017-11-28</v>
      </c>
      <c r="AN104" s="242" t="str">
        <f t="shared" si="5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22:35:57"},{"id":29,"name":"Sharepoint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231" t="str">
        <f t="shared" si="53"/>
        <v>https://d0f6bd738d7f1b3e5a7ca70fe4ff75f0.us-east-1.aws.found.io/app/kibana#/discover/Steve-Slow-Train-Analysis-(2080s-and-2083s)?_g=(refreshInterval:(display:Off,pause:!f,section:0,value:0),time:(from:'2017-11-28T13:54:30-0700',mode:absolute,to:'2017-11-28T16:35:57-0700'))&amp;_a=(columns:!('Message%20ID',Summary),filters:!(),index:'emp_*',interval:auto,query:(query_string:(analyze_wildcard:!t,query:'%22rtdc.l.rtdc.4056%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230" t="s">
        <v>806</v>
      </c>
      <c r="B105" s="226">
        <v>4055</v>
      </c>
      <c r="C105" s="228" t="s">
        <v>192</v>
      </c>
      <c r="D105" s="228" t="s">
        <v>605</v>
      </c>
      <c r="E105" s="227">
        <v>43067.66165509259</v>
      </c>
      <c r="F105" s="227">
        <v>43067.664826388886</v>
      </c>
      <c r="G105" s="226">
        <v>64</v>
      </c>
      <c r="H105" s="228" t="s">
        <v>938</v>
      </c>
      <c r="I105" s="227">
        <v>43067.691504629627</v>
      </c>
      <c r="J105" s="226">
        <v>0</v>
      </c>
      <c r="K105" s="238" t="str">
        <f t="shared" si="39"/>
        <v>4055/4056</v>
      </c>
      <c r="L105" s="246" t="str">
        <f>VLOOKUP(A105,'Trips&amp;Operators'!$C$1:$G$99911,5,FALSE)</f>
        <v>STEWART MICHAEL</v>
      </c>
      <c r="M105" s="225">
        <f t="shared" si="40"/>
        <v>2.6678240741603076E-2</v>
      </c>
      <c r="N105" s="226">
        <f t="shared" si="38"/>
        <v>38.41666666790843</v>
      </c>
      <c r="O105" s="226"/>
      <c r="P105" s="226"/>
      <c r="Q105" s="229"/>
      <c r="R105" s="243"/>
      <c r="S105" s="250">
        <f t="shared" si="37"/>
        <v>1</v>
      </c>
      <c r="T105" s="243" t="str">
        <f t="shared" si="41"/>
        <v>Southbound</v>
      </c>
      <c r="U105" s="247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49" t="str">
        <f t="shared" si="42"/>
        <v>https://d0f6bd738d7f1b3e5a7ca70fe4ff75f0.us-east-1.aws.found.io/app/kibana#/discover/Steve-Slow-Train-Analysis-(2080s-and-2083s)?_g=(refreshInterval:(display:Off,pause:!f,section:0,value:0),time:(from:'2017-11-28T14:52:47-0700',mode:absolute,to:'2017-11-28T17:35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05" s="248" t="str">
        <f>IF(AA105&lt;VLOOKUP(AG105,Variables!$AC$3:$AD$8,2,FALSE),"Y","N")</f>
        <v>N</v>
      </c>
      <c r="X105" s="248">
        <f t="shared" si="43"/>
        <v>1</v>
      </c>
      <c r="Y105" s="248">
        <f t="shared" si="55"/>
        <v>23.290600000000001</v>
      </c>
      <c r="Z105" s="248">
        <f t="shared" si="54"/>
        <v>1.9800000000000002E-2</v>
      </c>
      <c r="AA105" s="248">
        <f t="shared" si="44"/>
        <v>23.270800000000001</v>
      </c>
      <c r="AB105" s="234" t="e">
        <f>VLOOKUP(A105,Enforcements!$C$7:$K$9,8,0)</f>
        <v>#N/A</v>
      </c>
      <c r="AC105" s="233" t="e">
        <f>VLOOKUP(A105,Enforcements!$C$7:$E$9,3,0)</f>
        <v>#N/A</v>
      </c>
      <c r="AD105" s="244">
        <f t="shared" si="45"/>
        <v>192</v>
      </c>
      <c r="AE105" s="236" t="str">
        <f t="shared" si="46"/>
        <v>aws s3 cp s3://rtdc.mdm.uploadarchive.raw/RTDC4055/ "%USERPROFILE%\AppData\Local\Temp\OnboardLogs"\RTDC4055\2017-11-28 --exclude "*" --recursive --include "*20171128*" &amp; "%USERPROFILE%\Documents\GitHub\mrs-test-scripts\Headless Mode &amp; Sideloading\WalkAndUnGZ.bat" "%USERPROFILE%\AppData\Local\Temp\OnboardLogs"\RTDC4055\2017-11-28 &amp; aws s3 cp s3://rtdc.mdm.uploadarchive.raw/RTDC4055/ "%USERPROFILE%\AppData\Local\Temp\OnboardLogs"\RTDC4055\2017-11-29 --exclude "*" --recursive --include "*20171129*" &amp; "%USERPROFILE%\Documents\GitHub\mrs-test-scripts\Headless Mode &amp; Sideloading\WalkAndUnGZ.bat" "%USERPROFILE%\AppData\Local\Temp\OnboardLogs"\RTDC4055\2017-11-29</v>
      </c>
      <c r="AF105" s="235" t="str">
        <f t="shared" si="47"/>
        <v>"C:\Program Files (x86)\AstroGrep\AstroGrep.exe" /e /r /s /spath="%USERPROFILE%\AppData\Local\Temp\OnboardLogs" /stypes="app*4055*20171128*" /stext=" 23:.+((SYSTEM_STATE.+slice.+state.+changed )|(ment ac)|(multiple cpu faults)|(system.+state.+changed )|(\[timeout)|(PRM\|1\|D)|(kpr)|(kdp)|(train st.+moving)|(\|lc)|(penalty))"</v>
      </c>
      <c r="AG105" s="245" t="str">
        <f t="shared" si="48"/>
        <v>EC</v>
      </c>
      <c r="AH105" s="237" t="str">
        <f t="shared" si="49"/>
        <v>"%USERPROFILE%\Documents\GitHub\eaglep3\Utilities\RefineRTDCRunTimes.py" --tripid 192-28 --locoid 4055 --swversion DE.1.0.9.0 --startMP 204:232906 --initTime 2017-11-28T15:52:47 --startdatetime 2017-11-28T15:57:21 --delay 64 --endMP 204:198 --enddatetime 2017-11-28T16:35:46 --enforcementcount 0 &gt;&gt;%USERPROFILE%\Documents\GitHub\eaglep3-reporting\EC\2017-11-28-refined-times.txt</v>
      </c>
      <c r="AI105" s="239" t="str">
        <f t="shared" si="50"/>
        <v>echo {"issue":{"subject":"","project_id":79,"tracker_id":40,"status_id":1,"priority_id":2,"assigned_to_id":338,"start_date":"2017-11-28","description":"","custom_fields":[{"id":1,"name":"Subdivision","value":"EC"},{"id":4,"name":"Milepost","value":"0.0198"},{"id":17,"name":"Train ID","value":"192-28"},{"id":16,"name":"Locomotive ID","value":"4055"},{"id":130,"name":"Impact","value":""},{"id":150,"name":"Time of Event (Mountain Time)","value":"16:35:46"},{"id":151,"name":"Denver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5" s="224"/>
      <c r="AK105" s="232"/>
      <c r="AL105" s="232"/>
      <c r="AM105" s="241" t="str">
        <f t="shared" si="51"/>
        <v>start /low /b %USERPROFILE%\Documents\GitHub\eaglep3\Utilities\DownloadLogsFromS3.py --loco 4055 --day 2017-11-28</v>
      </c>
      <c r="AN105" s="242" t="str">
        <f t="shared" si="5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23:35:46"},{"id":29,"name":"Sharepoint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231" t="str">
        <f t="shared" si="53"/>
        <v>https://d0f6bd738d7f1b3e5a7ca70fe4ff75f0.us-east-1.aws.found.io/app/kibana#/discover/Steve-Slow-Train-Analysis-(2080s-and-2083s)?_g=(refreshInterval:(display:Off,pause:!f,section:0,value:0),time:(from:'2017-11-28T14:52:47-0700',mode:absolute,to:'2017-11-28T17:35:46-0700'))&amp;_a=(columns:!('Message%20ID',Summary),filters:!(),index:'emp_*',interval:auto,query:(query_string:(analyze_wildcard:!t,query:'%22rtdc.l.rtdc.4055%22')),sort:!(Time.ISO8601,asc))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230" t="s">
        <v>799</v>
      </c>
      <c r="B106" s="226">
        <v>4040</v>
      </c>
      <c r="C106" s="228" t="s">
        <v>192</v>
      </c>
      <c r="D106" s="228" t="s">
        <v>903</v>
      </c>
      <c r="E106" s="227">
        <v>43067.629479166666</v>
      </c>
      <c r="F106" s="227">
        <v>43067.635648148149</v>
      </c>
      <c r="G106" s="226">
        <v>50</v>
      </c>
      <c r="H106" s="228" t="s">
        <v>466</v>
      </c>
      <c r="I106" s="227">
        <v>43067.660578703704</v>
      </c>
      <c r="J106" s="226">
        <v>0</v>
      </c>
      <c r="K106" s="238" t="str">
        <f t="shared" si="39"/>
        <v>4039/4040</v>
      </c>
      <c r="L106" s="246" t="str">
        <f>VLOOKUP(A106,'Trips&amp;Operators'!$C$1:$G$99911,5,FALSE)</f>
        <v>LEVIN SCOTT</v>
      </c>
      <c r="M106" s="225">
        <f t="shared" si="40"/>
        <v>2.4930555555329192E-2</v>
      </c>
      <c r="N106" s="226">
        <f t="shared" si="38"/>
        <v>35.899999999674037</v>
      </c>
      <c r="O106" s="226"/>
      <c r="P106" s="226"/>
      <c r="Q106" s="229"/>
      <c r="R106" s="243"/>
      <c r="S106" s="250">
        <f t="shared" ref="S106:S137" si="56">1/IF(AG106="EC",12,1)*SUM(U106:U106)</f>
        <v>1</v>
      </c>
      <c r="T106" s="243" t="str">
        <f t="shared" si="41"/>
        <v>NorthBound</v>
      </c>
      <c r="U106" s="247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49" t="str">
        <f t="shared" si="42"/>
        <v>https://d0f6bd738d7f1b3e5a7ca70fe4ff75f0.us-east-1.aws.found.io/app/kibana#/discover/Steve-Slow-Train-Analysis-(2080s-and-2083s)?_g=(refreshInterval:(display:Off,pause:!f,section:0,value:0),time:(from:'2017-11-28T14:06:27-0700',mode:absolute,to:'2017-11-28T16:51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06" s="248" t="str">
        <f>IF(AA106&lt;VLOOKUP(AG106,Variables!$AC$3:$AD$8,2,FALSE),"Y","N")</f>
        <v>N</v>
      </c>
      <c r="X106" s="248">
        <f t="shared" si="43"/>
        <v>1</v>
      </c>
      <c r="Y106" s="248">
        <f t="shared" si="55"/>
        <v>4.7300000000000002E-2</v>
      </c>
      <c r="Z106" s="248">
        <f t="shared" si="54"/>
        <v>23.3278</v>
      </c>
      <c r="AA106" s="248">
        <f t="shared" si="44"/>
        <v>23.2805</v>
      </c>
      <c r="AB106" s="234" t="e">
        <f>VLOOKUP(A106,Enforcements!$C$7:$K$9,8,0)</f>
        <v>#N/A</v>
      </c>
      <c r="AC106" s="233" t="e">
        <f>VLOOKUP(A106,Enforcements!$C$7:$E$9,3,0)</f>
        <v>#N/A</v>
      </c>
      <c r="AD106" s="244">
        <f t="shared" si="45"/>
        <v>193</v>
      </c>
      <c r="AE106" s="236" t="str">
        <f t="shared" si="46"/>
        <v>aws s3 cp s3://rtdc.mdm.uploadarchive.raw/RTDC4040/ "%USERPROFILE%\AppData\Local\Temp\OnboardLogs"\RTDC4040\2017-11-28 --exclude "*" --recursive --include "*20171128*" &amp; "%USERPROFILE%\Documents\GitHub\mrs-test-scripts\Headless Mode &amp; Sideloading\WalkAndUnGZ.bat" "%USERPROFILE%\AppData\Local\Temp\OnboardLogs"\RTDC4040\2017-11-28 &amp; aws s3 cp s3://rtdc.mdm.uploadarchive.raw/RTDC4040/ "%USERPROFILE%\AppData\Local\Temp\OnboardLogs"\RTDC4040\2017-11-29 --exclude "*" --recursive --include "*20171129*" &amp; "%USERPROFILE%\Documents\GitHub\mrs-test-scripts\Headless Mode &amp; Sideloading\WalkAndUnGZ.bat" "%USERPROFILE%\AppData\Local\Temp\OnboardLogs"\RTDC4040\2017-11-29</v>
      </c>
      <c r="AF106" s="235" t="str">
        <f t="shared" si="47"/>
        <v>"C:\Program Files (x86)\AstroGrep\AstroGrep.exe" /e /r /s /spath="%USERPROFILE%\AppData\Local\Temp\OnboardLogs" /stypes="app*4040*20171128*" /stext=" 22:.+((SYSTEM_STATE.+slice.+state.+changed )|(ment ac)|(multiple cpu faults)|(system.+state.+changed )|(\[timeout)|(PRM\|1\|D)|(kpr)|(kdp)|(train st.+moving)|(\|lc)|(penalty))"</v>
      </c>
      <c r="AG106" s="245" t="str">
        <f t="shared" si="48"/>
        <v>EC</v>
      </c>
      <c r="AH106" s="237" t="str">
        <f t="shared" si="49"/>
        <v>"%USERPROFILE%\Documents\GitHub\eaglep3\Utilities\RefineRTDCRunTimes.py" --tripid 193-28 --locoid 4040 --swversion DE.1.0.9.0 --startMP 204:473 --initTime 2017-11-28T15:06:27 --startdatetime 2017-11-28T15:15:20 --delay 50 --endMP 204:233278 --enddatetime 2017-11-28T15:51:14 --enforcementcount 0 &gt;&gt;%USERPROFILE%\Documents\GitHub\eaglep3-reporting\EC\2017-11-28-refined-times.txt</v>
      </c>
      <c r="AI106" s="239" t="str">
        <f t="shared" si="50"/>
        <v>echo {"issue":{"subject":"","project_id":79,"tracker_id":40,"status_id":1,"priority_id":2,"assigned_to_id":338,"start_date":"2017-11-28","description":"","custom_fields":[{"id":1,"name":"Subdivision","value":"EC"},{"id":4,"name":"Milepost","value":"23.3278"},{"id":17,"name":"Train ID","value":"193-28"},{"id":16,"name":"Locomotive ID","value":"4040"},{"id":130,"name":"Impact","value":""},{"id":150,"name":"Time of Event (Mountain Time)","value":"15:51:14"},{"id":151,"name":"Denver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6" s="224"/>
      <c r="AK106" s="232"/>
      <c r="AL106" s="232"/>
      <c r="AM106" s="241" t="str">
        <f t="shared" si="51"/>
        <v>start /low /b %USERPROFILE%\Documents\GitHub\eaglep3\Utilities\DownloadLogsFromS3.py --loco 4040 --day 2017-11-28</v>
      </c>
      <c r="AN106" s="242" t="str">
        <f t="shared" si="5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22:51:14"},{"id":29,"name":"Sharepoint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231" t="str">
        <f t="shared" si="53"/>
        <v>https://d0f6bd738d7f1b3e5a7ca70fe4ff75f0.us-east-1.aws.found.io/app/kibana#/discover/Steve-Slow-Train-Analysis-(2080s-and-2083s)?_g=(refreshInterval:(display:Off,pause:!f,section:0,value:0),time:(from:'2017-11-28T14:06:27-0700',mode:absolute,to:'2017-11-28T16:51:14-0700'))&amp;_a=(columns:!('Message%20ID',Summary),filters:!(),index:'emp_*',interval:auto,query:(query_string:(analyze_wildcard:!t,query:'%22rtdc.l.rtdc.4040%22')),sort:!(Time.ISO8601,asc))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230" t="s">
        <v>810</v>
      </c>
      <c r="B107" s="226">
        <v>4039</v>
      </c>
      <c r="C107" s="228" t="s">
        <v>192</v>
      </c>
      <c r="D107" s="228" t="s">
        <v>898</v>
      </c>
      <c r="E107" s="227">
        <v>43067.665069444447</v>
      </c>
      <c r="F107" s="227">
        <v>43067.675266203703</v>
      </c>
      <c r="G107" s="226">
        <v>67</v>
      </c>
      <c r="H107" s="228" t="s">
        <v>957</v>
      </c>
      <c r="I107" s="227">
        <v>43067.701331018521</v>
      </c>
      <c r="J107" s="226">
        <v>0</v>
      </c>
      <c r="K107" s="238" t="str">
        <f t="shared" si="39"/>
        <v>4039/4040</v>
      </c>
      <c r="L107" s="246" t="str">
        <f>VLOOKUP(A107,'Trips&amp;Operators'!$C$1:$G$99911,5,FALSE)</f>
        <v>LEVIN SCOTT</v>
      </c>
      <c r="M107" s="225">
        <f t="shared" si="40"/>
        <v>2.6064814817800652E-2</v>
      </c>
      <c r="N107" s="226">
        <f t="shared" ref="N107:N138" si="57">24*60*SUM($M107:$M107)</f>
        <v>37.533333337632939</v>
      </c>
      <c r="O107" s="226"/>
      <c r="P107" s="226"/>
      <c r="Q107" s="229"/>
      <c r="R107" s="243"/>
      <c r="S107" s="250">
        <f t="shared" si="56"/>
        <v>1</v>
      </c>
      <c r="T107" s="243" t="str">
        <f t="shared" si="41"/>
        <v>Southbound</v>
      </c>
      <c r="U107" s="247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49" t="str">
        <f t="shared" si="42"/>
        <v>https://d0f6bd738d7f1b3e5a7ca70fe4ff75f0.us-east-1.aws.found.io/app/kibana#/discover/Steve-Slow-Train-Analysis-(2080s-and-2083s)?_g=(refreshInterval:(display:Off,pause:!f,section:0,value:0),time:(from:'2017-11-28T14:57:42-0700',mode:absolute,to:'2017-11-28T17:49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07" s="248" t="str">
        <f>IF(AA107&lt;VLOOKUP(AG107,Variables!$AC$3:$AD$8,2,FALSE),"Y","N")</f>
        <v>N</v>
      </c>
      <c r="X107" s="248">
        <f t="shared" si="43"/>
        <v>1</v>
      </c>
      <c r="Y107" s="248">
        <f t="shared" si="55"/>
        <v>23.295500000000001</v>
      </c>
      <c r="Z107" s="248">
        <f t="shared" si="54"/>
        <v>1.83E-2</v>
      </c>
      <c r="AA107" s="248">
        <f t="shared" si="44"/>
        <v>23.277200000000001</v>
      </c>
      <c r="AB107" s="234" t="e">
        <f>VLOOKUP(A107,Enforcements!$C$7:$K$9,8,0)</f>
        <v>#N/A</v>
      </c>
      <c r="AC107" s="233" t="e">
        <f>VLOOKUP(A107,Enforcements!$C$7:$E$9,3,0)</f>
        <v>#N/A</v>
      </c>
      <c r="AD107" s="244">
        <f t="shared" si="45"/>
        <v>194</v>
      </c>
      <c r="AE107" s="236" t="str">
        <f t="shared" si="46"/>
        <v>aws s3 cp s3://rtdc.mdm.uploadarchive.raw/RTDC4039/ "%USERPROFILE%\AppData\Local\Temp\OnboardLogs"\RTDC4039\2017-11-28 --exclude "*" --recursive --include "*20171128*" &amp; "%USERPROFILE%\Documents\GitHub\mrs-test-scripts\Headless Mode &amp; Sideloading\WalkAndUnGZ.bat" "%USERPROFILE%\AppData\Local\Temp\OnboardLogs"\RTDC4039\2017-11-28 &amp; aws s3 cp s3://rtdc.mdm.uploadarchive.raw/RTDC4039/ "%USERPROFILE%\AppData\Local\Temp\OnboardLogs"\RTDC4039\2017-11-29 --exclude "*" --recursive --include "*20171129*" &amp; "%USERPROFILE%\Documents\GitHub\mrs-test-scripts\Headless Mode &amp; Sideloading\WalkAndUnGZ.bat" "%USERPROFILE%\AppData\Local\Temp\OnboardLogs"\RTDC4039\2017-11-29</v>
      </c>
      <c r="AF107" s="235" t="str">
        <f t="shared" si="47"/>
        <v>"C:\Program Files (x86)\AstroGrep\AstroGrep.exe" /e /r /s /spath="%USERPROFILE%\AppData\Local\Temp\OnboardLogs" /stypes="app*4039*20171128*" /stext=" 23:.+((SYSTEM_STATE.+slice.+state.+changed )|(ment ac)|(multiple cpu faults)|(system.+state.+changed )|(\[timeout)|(PRM\|1\|D)|(kpr)|(kdp)|(train st.+moving)|(\|lc)|(penalty))"</v>
      </c>
      <c r="AG107" s="245" t="str">
        <f t="shared" si="48"/>
        <v>EC</v>
      </c>
      <c r="AH107" s="237" t="str">
        <f t="shared" si="49"/>
        <v>"%USERPROFILE%\Documents\GitHub\eaglep3\Utilities\RefineRTDCRunTimes.py" --tripid 194-28 --locoid 4039 --swversion DE.1.0.9.0 --startMP 204:232955 --initTime 2017-11-28T15:57:42 --startdatetime 2017-11-28T16:12:23 --delay 67 --endMP 204:183 --enddatetime 2017-11-28T16:49:55 --enforcementcount 0 &gt;&gt;%USERPROFILE%\Documents\GitHub\eaglep3-reporting\EC\2017-11-28-refined-times.txt</v>
      </c>
      <c r="AI107" s="239" t="str">
        <f t="shared" si="50"/>
        <v>echo {"issue":{"subject":"","project_id":79,"tracker_id":40,"status_id":1,"priority_id":2,"assigned_to_id":338,"start_date":"2017-11-28","description":"","custom_fields":[{"id":1,"name":"Subdivision","value":"EC"},{"id":4,"name":"Milepost","value":"0.0183"},{"id":17,"name":"Train ID","value":"194-28"},{"id":16,"name":"Locomotive ID","value":"4039"},{"id":130,"name":"Impact","value":""},{"id":150,"name":"Time of Event (Mountain Time)","value":"16:49:55"},{"id":151,"name":"Denver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7" s="224"/>
      <c r="AK107" s="232"/>
      <c r="AL107" s="232"/>
      <c r="AM107" s="241" t="str">
        <f t="shared" si="51"/>
        <v>start /low /b %USERPROFILE%\Documents\GitHub\eaglep3\Utilities\DownloadLogsFromS3.py --loco 4039 --day 2017-11-28</v>
      </c>
      <c r="AN107" s="242" t="str">
        <f t="shared" si="5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23:49:55"},{"id":29,"name":"Sharepoint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231" t="str">
        <f t="shared" si="53"/>
        <v>https://d0f6bd738d7f1b3e5a7ca70fe4ff75f0.us-east-1.aws.found.io/app/kibana#/discover/Steve-Slow-Train-Analysis-(2080s-and-2083s)?_g=(refreshInterval:(display:Off,pause:!f,section:0,value:0),time:(from:'2017-11-28T14:57:42-0700',mode:absolute,to:'2017-11-28T17:49:55-0700'))&amp;_a=(columns:!('Message%20ID',Summary),filters:!(),index:'emp_*',interval:auto,query:(query_string:(analyze_wildcard:!t,query:'%22rtdc.l.rtdc.4039%22')),sort:!(Time.ISO8601,asc))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230" t="s">
        <v>803</v>
      </c>
      <c r="B108" s="226">
        <v>4042</v>
      </c>
      <c r="C108" s="228" t="s">
        <v>192</v>
      </c>
      <c r="D108" s="228" t="s">
        <v>958</v>
      </c>
      <c r="E108" s="227">
        <v>43067.641851851855</v>
      </c>
      <c r="F108" s="227">
        <v>43067.646018518521</v>
      </c>
      <c r="G108" s="226">
        <v>59</v>
      </c>
      <c r="H108" s="228" t="s">
        <v>1092</v>
      </c>
      <c r="I108" s="227">
        <v>43067.671875</v>
      </c>
      <c r="J108" s="226">
        <v>0</v>
      </c>
      <c r="K108" s="238" t="str">
        <f t="shared" si="39"/>
        <v>4041/4042</v>
      </c>
      <c r="L108" s="246" t="str">
        <f>VLOOKUP(A108,'Trips&amp;Operators'!$C$1:$G$99911,5,FALSE)</f>
        <v>LORI SANTOS</v>
      </c>
      <c r="M108" s="225">
        <f t="shared" si="40"/>
        <v>2.5856481479422655E-2</v>
      </c>
      <c r="N108" s="226">
        <f t="shared" si="57"/>
        <v>37.233333330368623</v>
      </c>
      <c r="O108" s="226"/>
      <c r="P108" s="226"/>
      <c r="Q108" s="229"/>
      <c r="R108" s="243"/>
      <c r="S108" s="250">
        <f t="shared" si="56"/>
        <v>1</v>
      </c>
      <c r="T108" s="243" t="str">
        <f t="shared" si="41"/>
        <v>NorthBound</v>
      </c>
      <c r="U108" s="247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49" t="str">
        <f t="shared" si="42"/>
        <v>https://d0f6bd738d7f1b3e5a7ca70fe4ff75f0.us-east-1.aws.found.io/app/kibana#/discover/Steve-Slow-Train-Analysis-(2080s-and-2083s)?_g=(refreshInterval:(display:Off,pause:!f,section:0,value:0),time:(from:'2017-11-28T14:24:16-0700',mode:absolute,to:'2017-11-28T17:07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08" s="248" t="str">
        <f>IF(AA108&lt;VLOOKUP(AG108,Variables!$AC$3:$AD$8,2,FALSE),"Y","N")</f>
        <v>N</v>
      </c>
      <c r="X108" s="248">
        <f t="shared" si="43"/>
        <v>1</v>
      </c>
      <c r="Y108" s="248">
        <f t="shared" si="55"/>
        <v>6.3100000000000003E-2</v>
      </c>
      <c r="Z108" s="248">
        <f t="shared" si="54"/>
        <v>23.320399999999999</v>
      </c>
      <c r="AA108" s="248">
        <f t="shared" si="44"/>
        <v>23.257300000000001</v>
      </c>
      <c r="AB108" s="234" t="e">
        <f>VLOOKUP(A108,Enforcements!$C$7:$K$9,8,0)</f>
        <v>#N/A</v>
      </c>
      <c r="AC108" s="233" t="e">
        <f>VLOOKUP(A108,Enforcements!$C$7:$E$9,3,0)</f>
        <v>#N/A</v>
      </c>
      <c r="AD108" s="244">
        <f t="shared" si="45"/>
        <v>195</v>
      </c>
      <c r="AE108" s="236" t="str">
        <f t="shared" si="46"/>
        <v>aws s3 cp s3://rtdc.mdm.uploadarchive.raw/RTDC4042/ "%USERPROFILE%\AppData\Local\Temp\OnboardLogs"\RTDC4042\2017-11-28 --exclude "*" --recursive --include "*20171128*" &amp; "%USERPROFILE%\Documents\GitHub\mrs-test-scripts\Headless Mode &amp; Sideloading\WalkAndUnGZ.bat" "%USERPROFILE%\AppData\Local\Temp\OnboardLogs"\RTDC4042\2017-11-28 &amp; aws s3 cp s3://rtdc.mdm.uploadarchive.raw/RTDC4042/ "%USERPROFILE%\AppData\Local\Temp\OnboardLogs"\RTDC4042\2017-11-29 --exclude "*" --recursive --include "*20171129*" &amp; "%USERPROFILE%\Documents\GitHub\mrs-test-scripts\Headless Mode &amp; Sideloading\WalkAndUnGZ.bat" "%USERPROFILE%\AppData\Local\Temp\OnboardLogs"\RTDC4042\2017-11-29</v>
      </c>
      <c r="AF108" s="235" t="str">
        <f t="shared" si="47"/>
        <v>"C:\Program Files (x86)\AstroGrep\AstroGrep.exe" /e /r /s /spath="%USERPROFILE%\AppData\Local\Temp\OnboardLogs" /stypes="app*4042*20171128*" /stext=" 23:.+((SYSTEM_STATE.+slice.+state.+changed )|(ment ac)|(multiple cpu faults)|(system.+state.+changed )|(\[timeout)|(PRM\|1\|D)|(kpr)|(kdp)|(train st.+moving)|(\|lc)|(penalty))"</v>
      </c>
      <c r="AG108" s="245" t="str">
        <f t="shared" si="48"/>
        <v>EC</v>
      </c>
      <c r="AH108" s="237" t="str">
        <f t="shared" si="49"/>
        <v>"%USERPROFILE%\Documents\GitHub\eaglep3\Utilities\RefineRTDCRunTimes.py" --tripid 195-28 --locoid 4042 --swversion DE.1.0.9.0 --startMP 204:631 --initTime 2017-11-28T15:24:16 --startdatetime 2017-11-28T15:30:16 --delay 59 --endMP 204:233204 --enddatetime 2017-11-28T16:07:30 --enforcementcount 0 &gt;&gt;%USERPROFILE%\Documents\GitHub\eaglep3-reporting\EC\2017-11-28-refined-times.txt</v>
      </c>
      <c r="AI108" s="239" t="str">
        <f t="shared" si="50"/>
        <v>echo {"issue":{"subject":"","project_id":79,"tracker_id":40,"status_id":1,"priority_id":2,"assigned_to_id":338,"start_date":"2017-11-28","description":"","custom_fields":[{"id":1,"name":"Subdivision","value":"EC"},{"id":4,"name":"Milepost","value":"23.3204"},{"id":17,"name":"Train ID","value":"195-28"},{"id":16,"name":"Locomotive ID","value":"4042"},{"id":130,"name":"Impact","value":""},{"id":150,"name":"Time of Event (Mountain Time)","value":"16:07:30"},{"id":151,"name":"Denver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8" s="224"/>
      <c r="AK108" s="232"/>
      <c r="AL108" s="232"/>
      <c r="AM108" s="241" t="str">
        <f t="shared" si="51"/>
        <v>start /low /b %USERPROFILE%\Documents\GitHub\eaglep3\Utilities\DownloadLogsFromS3.py --loco 4042 --day 2017-11-28</v>
      </c>
      <c r="AN108" s="242" t="str">
        <f t="shared" si="5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23:07:30"},{"id":29,"name":"Sharepoint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231" t="str">
        <f t="shared" si="53"/>
        <v>https://d0f6bd738d7f1b3e5a7ca70fe4ff75f0.us-east-1.aws.found.io/app/kibana#/discover/Steve-Slow-Train-Analysis-(2080s-and-2083s)?_g=(refreshInterval:(display:Off,pause:!f,section:0,value:0),time:(from:'2017-11-28T14:24:16-0700',mode:absolute,to:'2017-11-28T17:07:30-0700'))&amp;_a=(columns:!('Message%20ID',Summary),filters:!(),index:'emp_*',interval:auto,query:(query_string:(analyze_wildcard:!t,query:'%22rtdc.l.rtdc.4042%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230" t="s">
        <v>812</v>
      </c>
      <c r="B109" s="226">
        <v>4041</v>
      </c>
      <c r="C109" s="228" t="s">
        <v>192</v>
      </c>
      <c r="D109" s="228" t="s">
        <v>595</v>
      </c>
      <c r="E109" s="227">
        <v>43067.682071759256</v>
      </c>
      <c r="F109" s="227">
        <v>43067.685601851852</v>
      </c>
      <c r="G109" s="226">
        <v>74</v>
      </c>
      <c r="H109" s="228" t="s">
        <v>959</v>
      </c>
      <c r="I109" s="227">
        <v>43067.712685185186</v>
      </c>
      <c r="J109" s="226">
        <v>0</v>
      </c>
      <c r="K109" s="238" t="str">
        <f t="shared" si="39"/>
        <v>4041/4042</v>
      </c>
      <c r="L109" s="246" t="str">
        <f>VLOOKUP(A109,'Trips&amp;Operators'!$C$1:$G$99911,5,FALSE)</f>
        <v>LORI SANTOS</v>
      </c>
      <c r="M109" s="225">
        <f t="shared" si="40"/>
        <v>2.7083333334303461E-2</v>
      </c>
      <c r="N109" s="226">
        <f t="shared" si="57"/>
        <v>39.000000001396984</v>
      </c>
      <c r="O109" s="226"/>
      <c r="P109" s="226"/>
      <c r="Q109" s="229"/>
      <c r="R109" s="243"/>
      <c r="S109" s="250">
        <f t="shared" si="56"/>
        <v>1</v>
      </c>
      <c r="T109" s="243" t="str">
        <f t="shared" si="41"/>
        <v>Southbound</v>
      </c>
      <c r="U109" s="247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49" t="str">
        <f t="shared" si="42"/>
        <v>https://d0f6bd738d7f1b3e5a7ca70fe4ff75f0.us-east-1.aws.found.io/app/kibana#/discover/Steve-Slow-Train-Analysis-(2080s-and-2083s)?_g=(refreshInterval:(display:Off,pause:!f,section:0,value:0),time:(from:'2017-11-28T15:22:11-0700',mode:absolute,to:'2017-11-28T18:06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09" s="248" t="str">
        <f>IF(AA109&lt;VLOOKUP(AG109,Variables!$AC$3:$AD$8,2,FALSE),"Y","N")</f>
        <v>N</v>
      </c>
      <c r="X109" s="248">
        <f t="shared" ref="X109:X140" si="58">VALUE(LEFT(AD109,4))-VALUE(LEFT(AD108,4))</f>
        <v>1</v>
      </c>
      <c r="Y109" s="248">
        <f t="shared" si="55"/>
        <v>23.289400000000001</v>
      </c>
      <c r="Z109" s="248">
        <f t="shared" si="54"/>
        <v>2.4299999999999999E-2</v>
      </c>
      <c r="AA109" s="248">
        <f t="shared" si="44"/>
        <v>23.2651</v>
      </c>
      <c r="AB109" s="234" t="e">
        <f>VLOOKUP(A109,Enforcements!$C$7:$K$9,8,0)</f>
        <v>#N/A</v>
      </c>
      <c r="AC109" s="233" t="e">
        <f>VLOOKUP(A109,Enforcements!$C$7:$E$9,3,0)</f>
        <v>#N/A</v>
      </c>
      <c r="AD109" s="244">
        <f t="shared" si="45"/>
        <v>196</v>
      </c>
      <c r="AE109" s="236" t="str">
        <f t="shared" si="46"/>
        <v>aws s3 cp s3://rtdc.mdm.uploadarchive.raw/RTDC4041/ "%USERPROFILE%\AppData\Local\Temp\OnboardLogs"\RTDC4041\2017-11-28 --exclude "*" --recursive --include "*20171128*" &amp; "%USERPROFILE%\Documents\GitHub\mrs-test-scripts\Headless Mode &amp; Sideloading\WalkAndUnGZ.bat" "%USERPROFILE%\AppData\Local\Temp\OnboardLogs"\RTDC4041\2017-11-28 &amp; aws s3 cp s3://rtdc.mdm.uploadarchive.raw/RTDC4041/ "%USERPROFILE%\AppData\Local\Temp\OnboardLogs"\RTDC4041\2017-11-29 --exclude "*" --recursive --include "*20171129*" &amp; "%USERPROFILE%\Documents\GitHub\mrs-test-scripts\Headless Mode &amp; Sideloading\WalkAndUnGZ.bat" "%USERPROFILE%\AppData\Local\Temp\OnboardLogs"\RTDC4041\2017-11-29</v>
      </c>
      <c r="AF109" s="235" t="str">
        <f t="shared" si="47"/>
        <v>"C:\Program Files (x86)\AstroGrep\AstroGrep.exe" /e /r /s /spath="%USERPROFILE%\AppData\Local\Temp\OnboardLogs" /stypes="app*4041*20171129*" /stext=" 00:.+((SYSTEM_STATE.+slice.+state.+changed )|(ment ac)|(multiple cpu faults)|(system.+state.+changed )|(\[timeout)|(PRM\|1\|D)|(kpr)|(kdp)|(train st.+moving)|(\|lc)|(penalty))"</v>
      </c>
      <c r="AG109" s="245" t="str">
        <f t="shared" si="48"/>
        <v>EC</v>
      </c>
      <c r="AH109" s="237" t="str">
        <f t="shared" si="49"/>
        <v>"%USERPROFILE%\Documents\GitHub\eaglep3\Utilities\RefineRTDCRunTimes.py" --tripid 196-28 --locoid 4041 --swversion DE.1.0.9.0 --startMP 204:232894 --initTime 2017-11-28T16:22:11 --startdatetime 2017-11-28T16:27:16 --delay 74 --endMP 204:243 --enddatetime 2017-11-28T17:06:16 --enforcementcount 0 &gt;&gt;%USERPROFILE%\Documents\GitHub\eaglep3-reporting\EC\2017-11-28-refined-times.txt</v>
      </c>
      <c r="AI109" s="239" t="str">
        <f t="shared" si="50"/>
        <v>echo {"issue":{"subject":"","project_id":79,"tracker_id":40,"status_id":1,"priority_id":2,"assigned_to_id":338,"start_date":"2017-11-28","description":"","custom_fields":[{"id":1,"name":"Subdivision","value":"EC"},{"id":4,"name":"Milepost","value":"0.0243"},{"id":17,"name":"Train ID","value":"196-28"},{"id":16,"name":"Locomotive ID","value":"4041"},{"id":130,"name":"Impact","value":""},{"id":150,"name":"Time of Event (Mountain Time)","value":"17:06:16"},{"id":151,"name":"Denver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9" s="224"/>
      <c r="AK109" s="232"/>
      <c r="AL109" s="232"/>
      <c r="AM109" s="241" t="str">
        <f t="shared" si="51"/>
        <v>start /low /b %USERPROFILE%\Documents\GitHub\eaglep3\Utilities\DownloadLogsFromS3.py --loco 4041 --day 2017-11-28</v>
      </c>
      <c r="AN109" s="242" t="str">
        <f t="shared" si="52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00:06:16"},{"id":29,"name":"Sharepoint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231" t="str">
        <f t="shared" si="53"/>
        <v>https://d0f6bd738d7f1b3e5a7ca70fe4ff75f0.us-east-1.aws.found.io/app/kibana#/discover/Steve-Slow-Train-Analysis-(2080s-and-2083s)?_g=(refreshInterval:(display:Off,pause:!f,section:0,value:0),time:(from:'2017-11-28T15:22:11-0700',mode:absolute,to:'2017-11-28T18:06:16-0700'))&amp;_a=(columns:!('Message%20ID',Summary),filters:!(),index:'emp_*',interval:auto,query:(query_string:(analyze_wildcard:!t,query:'%22rtdc.l.rtdc.4041%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230" t="s">
        <v>805</v>
      </c>
      <c r="B110" s="226">
        <v>4034</v>
      </c>
      <c r="C110" s="228" t="s">
        <v>192</v>
      </c>
      <c r="D110" s="228" t="s">
        <v>452</v>
      </c>
      <c r="E110" s="227">
        <v>43067.651770833334</v>
      </c>
      <c r="F110" s="227">
        <v>43067.65662037037</v>
      </c>
      <c r="G110" s="226">
        <v>74</v>
      </c>
      <c r="H110" s="228" t="s">
        <v>607</v>
      </c>
      <c r="I110" s="227">
        <v>43067.681886574072</v>
      </c>
      <c r="J110" s="226">
        <v>0</v>
      </c>
      <c r="K110" s="238" t="str">
        <f t="shared" si="39"/>
        <v>4033/4034</v>
      </c>
      <c r="L110" s="246" t="str">
        <f>VLOOKUP(A110,'Trips&amp;Operators'!$C$1:$G$99911,5,FALSE)</f>
        <v>SAFIEF AEIMEN</v>
      </c>
      <c r="M110" s="225">
        <f t="shared" si="40"/>
        <v>2.5266203701903578E-2</v>
      </c>
      <c r="N110" s="226">
        <f t="shared" si="57"/>
        <v>36.383333330741152</v>
      </c>
      <c r="O110" s="226"/>
      <c r="P110" s="226"/>
      <c r="Q110" s="229"/>
      <c r="R110" s="243"/>
      <c r="S110" s="250">
        <f t="shared" si="56"/>
        <v>1</v>
      </c>
      <c r="T110" s="243" t="str">
        <f t="shared" si="41"/>
        <v>NorthBound</v>
      </c>
      <c r="U110" s="247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49" t="str">
        <f t="shared" si="42"/>
        <v>https://d0f6bd738d7f1b3e5a7ca70fe4ff75f0.us-east-1.aws.found.io/app/kibana#/discover/Steve-Slow-Train-Analysis-(2080s-and-2083s)?_g=(refreshInterval:(display:Off,pause:!f,section:0,value:0),time:(from:'2017-11-28T14:38:33-0700',mode:absolute,to:'2017-11-28T17:21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10" s="248" t="str">
        <f>IF(AA110&lt;VLOOKUP(AG110,Variables!$AC$3:$AD$8,2,FALSE),"Y","N")</f>
        <v>N</v>
      </c>
      <c r="X110" s="248">
        <f t="shared" si="58"/>
        <v>1</v>
      </c>
      <c r="Y110" s="248">
        <f t="shared" si="55"/>
        <v>5.0799999999999998E-2</v>
      </c>
      <c r="Z110" s="248">
        <f t="shared" si="54"/>
        <v>23.324000000000002</v>
      </c>
      <c r="AA110" s="248">
        <f t="shared" si="44"/>
        <v>23.273200000000003</v>
      </c>
      <c r="AB110" s="234" t="e">
        <f>VLOOKUP(A110,Enforcements!$C$7:$K$9,8,0)</f>
        <v>#N/A</v>
      </c>
      <c r="AC110" s="233" t="e">
        <f>VLOOKUP(A110,Enforcements!$C$7:$E$9,3,0)</f>
        <v>#N/A</v>
      </c>
      <c r="AD110" s="244">
        <f t="shared" si="45"/>
        <v>197</v>
      </c>
      <c r="AE110" s="236" t="str">
        <f t="shared" si="46"/>
        <v>aws s3 cp s3://rtdc.mdm.uploadarchive.raw/RTDC4034/ "%USERPROFILE%\AppData\Local\Temp\OnboardLogs"\RTDC4034\2017-11-28 --exclude "*" --recursive --include "*20171128*" &amp; "%USERPROFILE%\Documents\GitHub\mrs-test-scripts\Headless Mode &amp; Sideloading\WalkAndUnGZ.bat" "%USERPROFILE%\AppData\Local\Temp\OnboardLogs"\RTDC4034\2017-11-28 &amp; aws s3 cp s3://rtdc.mdm.uploadarchive.raw/RTDC4034/ "%USERPROFILE%\AppData\Local\Temp\OnboardLogs"\RTDC4034\2017-11-29 --exclude "*" --recursive --include "*20171129*" &amp; "%USERPROFILE%\Documents\GitHub\mrs-test-scripts\Headless Mode &amp; Sideloading\WalkAndUnGZ.bat" "%USERPROFILE%\AppData\Local\Temp\OnboardLogs"\RTDC4034\2017-11-29</v>
      </c>
      <c r="AF110" s="235" t="str">
        <f t="shared" si="47"/>
        <v>"C:\Program Files (x86)\AstroGrep\AstroGrep.exe" /e /r /s /spath="%USERPROFILE%\AppData\Local\Temp\OnboardLogs" /stypes="app*4034*20171128*" /stext=" 23:.+((SYSTEM_STATE.+slice.+state.+changed )|(ment ac)|(multiple cpu faults)|(system.+state.+changed )|(\[timeout)|(PRM\|1\|D)|(kpr)|(kdp)|(train st.+moving)|(\|lc)|(penalty))"</v>
      </c>
      <c r="AG110" s="245" t="str">
        <f t="shared" si="48"/>
        <v>EC</v>
      </c>
      <c r="AH110" s="237" t="str">
        <f t="shared" si="49"/>
        <v>"%USERPROFILE%\Documents\GitHub\eaglep3\Utilities\RefineRTDCRunTimes.py" --tripid 197-28 --locoid 4034 --swversion DE.1.0.9.0 --startMP 204:508 --initTime 2017-11-28T15:38:33 --startdatetime 2017-11-28T15:45:32 --delay 74 --endMP 204:233240 --enddatetime 2017-11-28T16:21:55 --enforcementcount 0 &gt;&gt;%USERPROFILE%\Documents\GitHub\eaglep3-reporting\EC\2017-11-28-refined-times.txt</v>
      </c>
      <c r="AI110" s="239" t="str">
        <f t="shared" si="50"/>
        <v>echo {"issue":{"subject":"","project_id":79,"tracker_id":40,"status_id":1,"priority_id":2,"assigned_to_id":338,"start_date":"2017-11-28","description":"","custom_fields":[{"id":1,"name":"Subdivision","value":"EC"},{"id":4,"name":"Milepost","value":"23.324"},{"id":17,"name":"Train ID","value":"197-28"},{"id":16,"name":"Locomotive ID","value":"4034"},{"id":130,"name":"Impact","value":""},{"id":150,"name":"Time of Event (Mountain Time)","value":"16:21:55"},{"id":151,"name":"Denver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0" s="224"/>
      <c r="AK110" s="232"/>
      <c r="AL110" s="232"/>
      <c r="AM110" s="241" t="str">
        <f t="shared" si="51"/>
        <v>start /low /b %USERPROFILE%\Documents\GitHub\eaglep3\Utilities\DownloadLogsFromS3.py --loco 4034 --day 2017-11-28</v>
      </c>
      <c r="AN110" s="242" t="str">
        <f t="shared" si="5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23:21:55"},{"id":29,"name":"Sharepoint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231" t="str">
        <f t="shared" si="53"/>
        <v>https://d0f6bd738d7f1b3e5a7ca70fe4ff75f0.us-east-1.aws.found.io/app/kibana#/discover/Steve-Slow-Train-Analysis-(2080s-and-2083s)?_g=(refreshInterval:(display:Off,pause:!f,section:0,value:0),time:(from:'2017-11-28T14:38:33-0700',mode:absolute,to:'2017-11-28T17:21:55-0700'))&amp;_a=(columns:!('Message%20ID',Summary),filters:!(),index:'emp_*',interval:auto,query:(query_string:(analyze_wildcard:!t,query:'%22rtdc.l.rtdc.4034%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230" t="s">
        <v>813</v>
      </c>
      <c r="B111" s="226">
        <v>4033</v>
      </c>
      <c r="C111" s="228" t="s">
        <v>192</v>
      </c>
      <c r="D111" s="228" t="s">
        <v>588</v>
      </c>
      <c r="E111" s="227">
        <v>43067.683148148149</v>
      </c>
      <c r="F111" s="227">
        <v>43067.696018518516</v>
      </c>
      <c r="G111" s="226">
        <v>58</v>
      </c>
      <c r="H111" s="228" t="s">
        <v>610</v>
      </c>
      <c r="I111" s="227">
        <v>43067.721712962964</v>
      </c>
      <c r="J111" s="226">
        <v>0</v>
      </c>
      <c r="K111" s="238" t="str">
        <f t="shared" si="39"/>
        <v>4033/4034</v>
      </c>
      <c r="L111" s="246" t="str">
        <f>VLOOKUP(A111,'Trips&amp;Operators'!$C$1:$G$99911,5,FALSE)</f>
        <v>SAFIEF AEIMEN</v>
      </c>
      <c r="M111" s="225">
        <f t="shared" si="40"/>
        <v>2.5694444448163267E-2</v>
      </c>
      <c r="N111" s="226">
        <f t="shared" si="57"/>
        <v>37.000000005355105</v>
      </c>
      <c r="O111" s="226"/>
      <c r="P111" s="226"/>
      <c r="Q111" s="229"/>
      <c r="R111" s="243"/>
      <c r="S111" s="250">
        <f t="shared" si="56"/>
        <v>1</v>
      </c>
      <c r="T111" s="243" t="str">
        <f t="shared" si="41"/>
        <v>Southbound</v>
      </c>
      <c r="U111" s="247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49" t="str">
        <f t="shared" si="42"/>
        <v>https://d0f6bd738d7f1b3e5a7ca70fe4ff75f0.us-east-1.aws.found.io/app/kibana#/discover/Steve-Slow-Train-Analysis-(2080s-and-2083s)?_g=(refreshInterval:(display:Off,pause:!f,section:0,value:0),time:(from:'2017-11-28T15:23:44-0700',mode:absolute,to:'2017-11-28T18:19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11" s="248" t="str">
        <f>IF(AA111&lt;VLOOKUP(AG111,Variables!$AC$3:$AD$8,2,FALSE),"Y","N")</f>
        <v>N</v>
      </c>
      <c r="X111" s="248">
        <f t="shared" si="58"/>
        <v>1</v>
      </c>
      <c r="Y111" s="248">
        <f t="shared" si="55"/>
        <v>23.2896</v>
      </c>
      <c r="Z111" s="248">
        <f t="shared" si="54"/>
        <v>1.9199999999999998E-2</v>
      </c>
      <c r="AA111" s="248">
        <f t="shared" si="44"/>
        <v>23.270399999999999</v>
      </c>
      <c r="AB111" s="234" t="e">
        <f>VLOOKUP(A111,Enforcements!$C$7:$K$9,8,0)</f>
        <v>#N/A</v>
      </c>
      <c r="AC111" s="233" t="e">
        <f>VLOOKUP(A111,Enforcements!$C$7:$E$9,3,0)</f>
        <v>#N/A</v>
      </c>
      <c r="AD111" s="244">
        <f t="shared" si="45"/>
        <v>198</v>
      </c>
      <c r="AE111" s="236" t="str">
        <f t="shared" si="46"/>
        <v>aws s3 cp s3://rtdc.mdm.uploadarchive.raw/RTDC4033/ "%USERPROFILE%\AppData\Local\Temp\OnboardLogs"\RTDC4033\2017-11-28 --exclude "*" --recursive --include "*20171128*" &amp; "%USERPROFILE%\Documents\GitHub\mrs-test-scripts\Headless Mode &amp; Sideloading\WalkAndUnGZ.bat" "%USERPROFILE%\AppData\Local\Temp\OnboardLogs"\RTDC4033\2017-11-28 &amp; aws s3 cp s3://rtdc.mdm.uploadarchive.raw/RTDC4033/ "%USERPROFILE%\AppData\Local\Temp\OnboardLogs"\RTDC4033\2017-11-29 --exclude "*" --recursive --include "*20171129*" &amp; "%USERPROFILE%\Documents\GitHub\mrs-test-scripts\Headless Mode &amp; Sideloading\WalkAndUnGZ.bat" "%USERPROFILE%\AppData\Local\Temp\OnboardLogs"\RTDC4033\2017-11-29</v>
      </c>
      <c r="AF111" s="235" t="str">
        <f t="shared" si="47"/>
        <v>"C:\Program Files (x86)\AstroGrep\AstroGrep.exe" /e /r /s /spath="%USERPROFILE%\AppData\Local\Temp\OnboardLogs" /stypes="app*4033*20171129*" /stext=" 00:.+((SYSTEM_STATE.+slice.+state.+changed )|(ment ac)|(multiple cpu faults)|(system.+state.+changed )|(\[timeout)|(PRM\|1\|D)|(kpr)|(kdp)|(train st.+moving)|(\|lc)|(penalty))"</v>
      </c>
      <c r="AG111" s="245" t="str">
        <f t="shared" si="48"/>
        <v>EC</v>
      </c>
      <c r="AH111" s="237" t="str">
        <f t="shared" si="49"/>
        <v>"%USERPROFILE%\Documents\GitHub\eaglep3\Utilities\RefineRTDCRunTimes.py" --tripid 198-28 --locoid 4033 --swversion DE.1.0.9.0 --startMP 204:232896 --initTime 2017-11-28T16:23:44 --startdatetime 2017-11-28T16:42:16 --delay 58 --endMP 204:192 --enddatetime 2017-11-28T17:19:16 --enforcementcount 0 &gt;&gt;%USERPROFILE%\Documents\GitHub\eaglep3-reporting\EC\2017-11-28-refined-times.txt</v>
      </c>
      <c r="AI111" s="239" t="str">
        <f t="shared" si="50"/>
        <v>echo {"issue":{"subject":"","project_id":79,"tracker_id":40,"status_id":1,"priority_id":2,"assigned_to_id":338,"start_date":"2017-11-28","description":"","custom_fields":[{"id":1,"name":"Subdivision","value":"EC"},{"id":4,"name":"Milepost","value":"0.0192"},{"id":17,"name":"Train ID","value":"198-28"},{"id":16,"name":"Locomotive ID","value":"4033"},{"id":130,"name":"Impact","value":""},{"id":150,"name":"Time of Event (Mountain Time)","value":"17:19:16"},{"id":151,"name":"Denver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1" s="224"/>
      <c r="AK111" s="232"/>
      <c r="AL111" s="232"/>
      <c r="AM111" s="241" t="str">
        <f t="shared" si="51"/>
        <v>start /low /b %USERPROFILE%\Documents\GitHub\eaglep3\Utilities\DownloadLogsFromS3.py --loco 4033 --day 2017-11-28</v>
      </c>
      <c r="AN111" s="242" t="str">
        <f t="shared" si="52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00:19:16"},{"id":29,"name":"Sharepoint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231" t="str">
        <f t="shared" si="53"/>
        <v>https://d0f6bd738d7f1b3e5a7ca70fe4ff75f0.us-east-1.aws.found.io/app/kibana#/discover/Steve-Slow-Train-Analysis-(2080s-and-2083s)?_g=(refreshInterval:(display:Off,pause:!f,section:0,value:0),time:(from:'2017-11-28T15:23:44-0700',mode:absolute,to:'2017-11-28T18:19:16-0700'))&amp;_a=(columns:!('Message%20ID',Summary),filters:!(),index:'emp_*',interval:auto,query:(query_string:(analyze_wildcard:!t,query:'%22rtdc.l.rtdc.4033%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230" t="s">
        <v>807</v>
      </c>
      <c r="B112" s="226">
        <v>4008</v>
      </c>
      <c r="C112" s="228" t="s">
        <v>192</v>
      </c>
      <c r="D112" s="228" t="s">
        <v>423</v>
      </c>
      <c r="E112" s="227">
        <v>43067.663090277776</v>
      </c>
      <c r="F112" s="227">
        <v>43067.667094907411</v>
      </c>
      <c r="G112" s="226">
        <v>88</v>
      </c>
      <c r="H112" s="228" t="s">
        <v>575</v>
      </c>
      <c r="I112" s="227">
        <v>43067.692824074074</v>
      </c>
      <c r="J112" s="226">
        <v>0</v>
      </c>
      <c r="K112" s="238" t="str">
        <f t="shared" si="39"/>
        <v>4007/4008</v>
      </c>
      <c r="L112" s="246" t="str">
        <f>VLOOKUP(A112,'Trips&amp;Operators'!$C$1:$G$99911,5,FALSE)</f>
        <v>DAVIS MICHAEL</v>
      </c>
      <c r="M112" s="225">
        <f t="shared" si="40"/>
        <v>2.5729166663950309E-2</v>
      </c>
      <c r="N112" s="226">
        <f t="shared" si="57"/>
        <v>37.049999996088445</v>
      </c>
      <c r="O112" s="226"/>
      <c r="P112" s="226"/>
      <c r="Q112" s="229"/>
      <c r="R112" s="243"/>
      <c r="S112" s="250">
        <f t="shared" si="56"/>
        <v>1</v>
      </c>
      <c r="T112" s="243" t="str">
        <f t="shared" si="41"/>
        <v>NorthBound</v>
      </c>
      <c r="U112" s="247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49" t="str">
        <f t="shared" si="42"/>
        <v>https://d0f6bd738d7f1b3e5a7ca70fe4ff75f0.us-east-1.aws.found.io/app/kibana#/discover/Steve-Slow-Train-Analysis-(2080s-and-2083s)?_g=(refreshInterval:(display:Off,pause:!f,section:0,value:0),time:(from:'2017-11-28T14:54:51-0700',mode:absolute,to:'2017-11-28T17:37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12" s="248" t="str">
        <f>IF(AA112&lt;VLOOKUP(AG112,Variables!$AC$3:$AD$8,2,FALSE),"Y","N")</f>
        <v>N</v>
      </c>
      <c r="X112" s="248">
        <f t="shared" si="58"/>
        <v>1</v>
      </c>
      <c r="Y112" s="248">
        <f t="shared" si="55"/>
        <v>5.2400000000000002E-2</v>
      </c>
      <c r="Z112" s="248">
        <f t="shared" si="54"/>
        <v>23.331900000000001</v>
      </c>
      <c r="AA112" s="248">
        <f t="shared" si="44"/>
        <v>23.279500000000002</v>
      </c>
      <c r="AB112" s="234" t="e">
        <f>VLOOKUP(A112,Enforcements!$C$7:$K$9,8,0)</f>
        <v>#N/A</v>
      </c>
      <c r="AC112" s="233" t="e">
        <f>VLOOKUP(A112,Enforcements!$C$7:$E$9,3,0)</f>
        <v>#N/A</v>
      </c>
      <c r="AD112" s="244">
        <f t="shared" si="45"/>
        <v>199</v>
      </c>
      <c r="AE112" s="236" t="str">
        <f t="shared" si="46"/>
        <v>aws s3 cp s3://rtdc.mdm.uploadarchive.raw/RTDC4008/ "%USERPROFILE%\AppData\Local\Temp\OnboardLogs"\RTDC4008\2017-11-28 --exclude "*" --recursive --include "*20171128*" &amp; "%USERPROFILE%\Documents\GitHub\mrs-test-scripts\Headless Mode &amp; Sideloading\WalkAndUnGZ.bat" "%USERPROFILE%\AppData\Local\Temp\OnboardLogs"\RTDC4008\2017-11-28 &amp; aws s3 cp s3://rtdc.mdm.uploadarchive.raw/RTDC4008/ "%USERPROFILE%\AppData\Local\Temp\OnboardLogs"\RTDC4008\2017-11-29 --exclude "*" --recursive --include "*20171129*" &amp; "%USERPROFILE%\Documents\GitHub\mrs-test-scripts\Headless Mode &amp; Sideloading\WalkAndUnGZ.bat" "%USERPROFILE%\AppData\Local\Temp\OnboardLogs"\RTDC4008\2017-11-29</v>
      </c>
      <c r="AF112" s="235" t="str">
        <f t="shared" si="47"/>
        <v>"C:\Program Files (x86)\AstroGrep\AstroGrep.exe" /e /r /s /spath="%USERPROFILE%\AppData\Local\Temp\OnboardLogs" /stypes="app*4008*20171128*" /stext=" 23:.+((SYSTEM_STATE.+slice.+state.+changed )|(ment ac)|(multiple cpu faults)|(system.+state.+changed )|(\[timeout)|(PRM\|1\|D)|(kpr)|(kdp)|(train st.+moving)|(\|lc)|(penalty))"</v>
      </c>
      <c r="AG112" s="245" t="str">
        <f t="shared" si="48"/>
        <v>EC</v>
      </c>
      <c r="AH112" s="237" t="str">
        <f t="shared" si="49"/>
        <v>"%USERPROFILE%\Documents\GitHub\eaglep3\Utilities\RefineRTDCRunTimes.py" --tripid 199-28 --locoid 4008 --swversion DE.1.0.9.0 --startMP 204:524 --initTime 2017-11-28T15:54:51 --startdatetime 2017-11-28T16:00:37 --delay 88 --endMP 204:233319 --enddatetime 2017-11-28T16:37:40 --enforcementcount 0 &gt;&gt;%USERPROFILE%\Documents\GitHub\eaglep3-reporting\EC\2017-11-28-refined-times.txt</v>
      </c>
      <c r="AI112" s="239" t="str">
        <f t="shared" si="50"/>
        <v>echo {"issue":{"subject":"","project_id":79,"tracker_id":40,"status_id":1,"priority_id":2,"assigned_to_id":338,"start_date":"2017-11-28","description":"","custom_fields":[{"id":1,"name":"Subdivision","value":"EC"},{"id":4,"name":"Milepost","value":"23.3319"},{"id":17,"name":"Train ID","value":"199-28"},{"id":16,"name":"Locomotive ID","value":"4008"},{"id":130,"name":"Impact","value":""},{"id":150,"name":"Time of Event (Mountain Time)","value":"16:37:40"},{"id":151,"name":"Denver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2" s="224"/>
      <c r="AK112" s="232"/>
      <c r="AL112" s="232"/>
      <c r="AM112" s="241" t="str">
        <f t="shared" si="51"/>
        <v>start /low /b %USERPROFILE%\Documents\GitHub\eaglep3\Utilities\DownloadLogsFromS3.py --loco 4008 --day 2017-11-28</v>
      </c>
      <c r="AN112" s="242" t="str">
        <f t="shared" si="5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23:37:40"},{"id":29,"name":"Sharepoint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231" t="str">
        <f t="shared" si="53"/>
        <v>https://d0f6bd738d7f1b3e5a7ca70fe4ff75f0.us-east-1.aws.found.io/app/kibana#/discover/Steve-Slow-Train-Analysis-(2080s-and-2083s)?_g=(refreshInterval:(display:Off,pause:!f,section:0,value:0),time:(from:'2017-11-28T14:54:51-0700',mode:absolute,to:'2017-11-28T17:37:40-0700'))&amp;_a=(columns:!('Message%20ID',Summary),filters:!(),index:'emp_*',interval:auto,query:(query_string:(analyze_wildcard:!t,query:'%22rtdc.l.rtdc.4008%22')),sort:!(Time.ISO8601,asc))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230" t="s">
        <v>819</v>
      </c>
      <c r="B113" s="226">
        <v>4007</v>
      </c>
      <c r="C113" s="228" t="s">
        <v>192</v>
      </c>
      <c r="D113" s="228" t="s">
        <v>414</v>
      </c>
      <c r="E113" s="227">
        <v>43067.704826388886</v>
      </c>
      <c r="F113" s="227">
        <v>43067.706516203703</v>
      </c>
      <c r="G113" s="226">
        <v>89</v>
      </c>
      <c r="H113" s="228" t="s">
        <v>469</v>
      </c>
      <c r="I113" s="227">
        <v>43067.733877314815</v>
      </c>
      <c r="J113" s="226">
        <v>0</v>
      </c>
      <c r="K113" s="238" t="str">
        <f t="shared" si="39"/>
        <v>4007/4008</v>
      </c>
      <c r="L113" s="246" t="str">
        <f>VLOOKUP(A113,'Trips&amp;Operators'!$C$1:$G$99911,5,FALSE)</f>
        <v>DAVIS MICHAEL</v>
      </c>
      <c r="M113" s="225">
        <f t="shared" si="40"/>
        <v>2.73611111115315E-2</v>
      </c>
      <c r="N113" s="226">
        <f t="shared" si="57"/>
        <v>39.40000000060536</v>
      </c>
      <c r="O113" s="226"/>
      <c r="P113" s="226"/>
      <c r="Q113" s="229"/>
      <c r="R113" s="243"/>
      <c r="S113" s="250">
        <f t="shared" si="56"/>
        <v>1</v>
      </c>
      <c r="T113" s="243" t="str">
        <f t="shared" si="41"/>
        <v>Southbound</v>
      </c>
      <c r="U113" s="247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49" t="str">
        <f t="shared" si="42"/>
        <v>https://d0f6bd738d7f1b3e5a7ca70fe4ff75f0.us-east-1.aws.found.io/app/kibana#/discover/Steve-Slow-Train-Analysis-(2080s-and-2083s)?_g=(refreshInterval:(display:Off,pause:!f,section:0,value:0),time:(from:'2017-11-28T15:54:57-0700',mode:absolute,to:'2017-11-28T18:36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13" s="248" t="str">
        <f>IF(AA113&lt;VLOOKUP(AG113,Variables!$AC$3:$AD$8,2,FALSE),"Y","N")</f>
        <v>N</v>
      </c>
      <c r="X113" s="248">
        <f t="shared" si="58"/>
        <v>1</v>
      </c>
      <c r="Y113" s="248">
        <f t="shared" si="55"/>
        <v>23.297699999999999</v>
      </c>
      <c r="Z113" s="248">
        <f t="shared" si="54"/>
        <v>2.01E-2</v>
      </c>
      <c r="AA113" s="248">
        <f t="shared" si="44"/>
        <v>23.2776</v>
      </c>
      <c r="AB113" s="234" t="e">
        <f>VLOOKUP(A113,Enforcements!$C$7:$K$9,8,0)</f>
        <v>#N/A</v>
      </c>
      <c r="AC113" s="233" t="e">
        <f>VLOOKUP(A113,Enforcements!$C$7:$E$9,3,0)</f>
        <v>#N/A</v>
      </c>
      <c r="AD113" s="244">
        <f t="shared" si="45"/>
        <v>200</v>
      </c>
      <c r="AE113" s="236" t="str">
        <f t="shared" si="46"/>
        <v>aws s3 cp s3://rtdc.mdm.uploadarchive.raw/RTDC4007/ "%USERPROFILE%\AppData\Local\Temp\OnboardLogs"\RTDC4007\2017-11-28 --exclude "*" --recursive --include "*20171128*" &amp; "%USERPROFILE%\Documents\GitHub\mrs-test-scripts\Headless Mode &amp; Sideloading\WalkAndUnGZ.bat" "%USERPROFILE%\AppData\Local\Temp\OnboardLogs"\RTDC4007\2017-11-28 &amp; aws s3 cp s3://rtdc.mdm.uploadarchive.raw/RTDC4007/ "%USERPROFILE%\AppData\Local\Temp\OnboardLogs"\RTDC4007\2017-11-29 --exclude "*" --recursive --include "*20171129*" &amp; "%USERPROFILE%\Documents\GitHub\mrs-test-scripts\Headless Mode &amp; Sideloading\WalkAndUnGZ.bat" "%USERPROFILE%\AppData\Local\Temp\OnboardLogs"\RTDC4007\2017-11-29</v>
      </c>
      <c r="AF113" s="235" t="str">
        <f t="shared" si="47"/>
        <v>"C:\Program Files (x86)\AstroGrep\AstroGrep.exe" /e /r /s /spath="%USERPROFILE%\AppData\Local\Temp\OnboardLogs" /stypes="app*4007*20171129*" /stext=" 00:.+((SYSTEM_STATE.+slice.+state.+changed )|(ment ac)|(multiple cpu faults)|(system.+state.+changed )|(\[timeout)|(PRM\|1\|D)|(kpr)|(kdp)|(train st.+moving)|(\|lc)|(penalty))"</v>
      </c>
      <c r="AG113" s="245" t="str">
        <f t="shared" si="48"/>
        <v>EC</v>
      </c>
      <c r="AH113" s="237" t="str">
        <f t="shared" si="49"/>
        <v>"%USERPROFILE%\Documents\GitHub\eaglep3\Utilities\RefineRTDCRunTimes.py" --tripid 200-28 --locoid 4007 --swversion DE.1.0.9.0 --startMP 204:232977 --initTime 2017-11-28T16:54:57 --startdatetime 2017-11-28T16:57:23 --delay 89 --endMP 204:201 --enddatetime 2017-11-28T17:36:47 --enforcementcount 0 &gt;&gt;%USERPROFILE%\Documents\GitHub\eaglep3-reporting\EC\2017-11-28-refined-times.txt</v>
      </c>
      <c r="AI113" s="239" t="str">
        <f t="shared" si="50"/>
        <v>echo {"issue":{"subject":"","project_id":79,"tracker_id":40,"status_id":1,"priority_id":2,"assigned_to_id":338,"start_date":"2017-11-28","description":"","custom_fields":[{"id":1,"name":"Subdivision","value":"EC"},{"id":4,"name":"Milepost","value":"0.0201"},{"id":17,"name":"Train ID","value":"200-28"},{"id":16,"name":"Locomotive ID","value":"4007"},{"id":130,"name":"Impact","value":""},{"id":150,"name":"Time of Event (Mountain Time)","value":"17:36:47"},{"id":151,"name":"Denver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3" s="224"/>
      <c r="AK113" s="232"/>
      <c r="AL113" s="232"/>
      <c r="AM113" s="241" t="str">
        <f t="shared" si="51"/>
        <v>start /low /b %USERPROFILE%\Documents\GitHub\eaglep3\Utilities\DownloadLogsFromS3.py --loco 4007 --day 2017-11-28</v>
      </c>
      <c r="AN113" s="242" t="str">
        <f t="shared" si="52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00:36:47"},{"id":29,"name":"Sharepoint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231" t="str">
        <f t="shared" si="53"/>
        <v>https://d0f6bd738d7f1b3e5a7ca70fe4ff75f0.us-east-1.aws.found.io/app/kibana#/discover/Steve-Slow-Train-Analysis-(2080s-and-2083s)?_g=(refreshInterval:(display:Off,pause:!f,section:0,value:0),time:(from:'2017-11-28T15:54:57-0700',mode:absolute,to:'2017-11-28T18:36:47-0700'))&amp;_a=(columns:!('Message%20ID',Summary),filters:!(),index:'emp_*',interval:auto,query:(query_string:(analyze_wildcard:!t,query:'%22rtdc.l.rtdc.4007%22')),sort:!(Time.ISO8601,asc))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230" t="s">
        <v>811</v>
      </c>
      <c r="B114" s="226">
        <v>4050</v>
      </c>
      <c r="C114" s="228" t="s">
        <v>192</v>
      </c>
      <c r="D114" s="228" t="s">
        <v>951</v>
      </c>
      <c r="E114" s="227">
        <v>43067.671770833331</v>
      </c>
      <c r="F114" s="227">
        <v>43067.677511574075</v>
      </c>
      <c r="G114" s="226">
        <v>64</v>
      </c>
      <c r="H114" s="228" t="s">
        <v>960</v>
      </c>
      <c r="I114" s="227">
        <v>43067.702847222223</v>
      </c>
      <c r="J114" s="226">
        <v>0</v>
      </c>
      <c r="K114" s="238" t="str">
        <f t="shared" si="39"/>
        <v>4049/4050</v>
      </c>
      <c r="L114" s="246" t="str">
        <f>VLOOKUP(A114,'Trips&amp;Operators'!$C$1:$G$99911,5,FALSE)</f>
        <v>SMITH MICHAEL</v>
      </c>
      <c r="M114" s="225">
        <f t="shared" si="40"/>
        <v>2.5335648148029577E-2</v>
      </c>
      <c r="N114" s="226">
        <f t="shared" si="57"/>
        <v>36.483333333162591</v>
      </c>
      <c r="O114" s="226"/>
      <c r="P114" s="226"/>
      <c r="Q114" s="229"/>
      <c r="R114" s="243"/>
      <c r="S114" s="250">
        <f t="shared" si="56"/>
        <v>1</v>
      </c>
      <c r="T114" s="243" t="str">
        <f t="shared" si="41"/>
        <v>NorthBound</v>
      </c>
      <c r="U114" s="247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49" t="str">
        <f t="shared" si="42"/>
        <v>https://d0f6bd738d7f1b3e5a7ca70fe4ff75f0.us-east-1.aws.found.io/app/kibana#/discover/Steve-Slow-Train-Analysis-(2080s-and-2083s)?_g=(refreshInterval:(display:Off,pause:!f,section:0,value:0),time:(from:'2017-11-28T15:07:21-0700',mode:absolute,to:'2017-11-28T17:52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14" s="248" t="str">
        <f>IF(AA114&lt;VLOOKUP(AG114,Variables!$AC$3:$AD$8,2,FALSE),"Y","N")</f>
        <v>N</v>
      </c>
      <c r="X114" s="248">
        <f t="shared" si="58"/>
        <v>1</v>
      </c>
      <c r="Y114" s="248">
        <f t="shared" si="55"/>
        <v>5.57E-2</v>
      </c>
      <c r="Z114" s="248">
        <f t="shared" si="54"/>
        <v>23.320699999999999</v>
      </c>
      <c r="AA114" s="248">
        <f t="shared" si="44"/>
        <v>23.264999999999997</v>
      </c>
      <c r="AB114" s="234" t="e">
        <f>VLOOKUP(A114,Enforcements!$C$7:$K$9,8,0)</f>
        <v>#N/A</v>
      </c>
      <c r="AC114" s="233" t="e">
        <f>VLOOKUP(A114,Enforcements!$C$7:$E$9,3,0)</f>
        <v>#N/A</v>
      </c>
      <c r="AD114" s="244">
        <f t="shared" si="45"/>
        <v>201</v>
      </c>
      <c r="AE114" s="236" t="str">
        <f t="shared" si="46"/>
        <v>aws s3 cp s3://rtdc.mdm.uploadarchive.raw/RTDC4050/ "%USERPROFILE%\AppData\Local\Temp\OnboardLogs"\RTDC4050\2017-11-28 --exclude "*" --recursive --include "*20171128*" &amp; "%USERPROFILE%\Documents\GitHub\mrs-test-scripts\Headless Mode &amp; Sideloading\WalkAndUnGZ.bat" "%USERPROFILE%\AppData\Local\Temp\OnboardLogs"\RTDC4050\2017-11-28 &amp; aws s3 cp s3://rtdc.mdm.uploadarchive.raw/RTDC4050/ "%USERPROFILE%\AppData\Local\Temp\OnboardLogs"\RTDC4050\2017-11-29 --exclude "*" --recursive --include "*20171129*" &amp; "%USERPROFILE%\Documents\GitHub\mrs-test-scripts\Headless Mode &amp; Sideloading\WalkAndUnGZ.bat" "%USERPROFILE%\AppData\Local\Temp\OnboardLogs"\RTDC4050\2017-11-29</v>
      </c>
      <c r="AF114" s="235" t="str">
        <f t="shared" si="47"/>
        <v>"C:\Program Files (x86)\AstroGrep\AstroGrep.exe" /e /r /s /spath="%USERPROFILE%\AppData\Local\Temp\OnboardLogs" /stypes="app*4050*20171128*" /stext=" 23:.+((SYSTEM_STATE.+slice.+state.+changed )|(ment ac)|(multiple cpu faults)|(system.+state.+changed )|(\[timeout)|(PRM\|1\|D)|(kpr)|(kdp)|(train st.+moving)|(\|lc)|(penalty))"</v>
      </c>
      <c r="AG114" s="245" t="str">
        <f t="shared" si="48"/>
        <v>EC</v>
      </c>
      <c r="AH114" s="237" t="str">
        <f t="shared" si="49"/>
        <v>"%USERPROFILE%\Documents\GitHub\eaglep3\Utilities\RefineRTDCRunTimes.py" --tripid 201-28 --locoid 4050 --swversion DE.1.0.9.0 --startMP 204:557 --initTime 2017-11-28T16:07:21 --startdatetime 2017-11-28T16:15:37 --delay 64 --endMP 204:233207 --enddatetime 2017-11-28T16:52:06 --enforcementcount 0 &gt;&gt;%USERPROFILE%\Documents\GitHub\eaglep3-reporting\EC\2017-11-28-refined-times.txt</v>
      </c>
      <c r="AI114" s="239" t="str">
        <f t="shared" si="50"/>
        <v>echo {"issue":{"subject":"","project_id":79,"tracker_id":40,"status_id":1,"priority_id":2,"assigned_to_id":338,"start_date":"2017-11-28","description":"","custom_fields":[{"id":1,"name":"Subdivision","value":"EC"},{"id":4,"name":"Milepost","value":"23.3207"},{"id":17,"name":"Train ID","value":"201-28"},{"id":16,"name":"Locomotive ID","value":"4050"},{"id":130,"name":"Impact","value":""},{"id":150,"name":"Time of Event (Mountain Time)","value":"16:52:06"},{"id":151,"name":"Denver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4" s="224"/>
      <c r="AK114" s="232"/>
      <c r="AL114" s="232"/>
      <c r="AM114" s="241" t="str">
        <f t="shared" si="51"/>
        <v>start /low /b %USERPROFILE%\Documents\GitHub\eaglep3\Utilities\DownloadLogsFromS3.py --loco 4050 --day 2017-11-28</v>
      </c>
      <c r="AN114" s="242" t="str">
        <f t="shared" si="5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23:52:06"},{"id":29,"name":"Sharepoint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231" t="str">
        <f t="shared" si="53"/>
        <v>https://d0f6bd738d7f1b3e5a7ca70fe4ff75f0.us-east-1.aws.found.io/app/kibana#/discover/Steve-Slow-Train-Analysis-(2080s-and-2083s)?_g=(refreshInterval:(display:Off,pause:!f,section:0,value:0),time:(from:'2017-11-28T15:07:21-0700',mode:absolute,to:'2017-11-28T17:52:06-0700'))&amp;_a=(columns:!('Message%20ID',Summary),filters:!(),index:'emp_*',interval:auto,query:(query_string:(analyze_wildcard:!t,query:'%22rtdc.l.rtdc.4050%22')),sort:!(Time.ISO8601,asc))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230" t="s">
        <v>821</v>
      </c>
      <c r="B115" s="226">
        <v>4049</v>
      </c>
      <c r="C115" s="228" t="s">
        <v>192</v>
      </c>
      <c r="D115" s="228" t="s">
        <v>961</v>
      </c>
      <c r="E115" s="227">
        <v>43067.70685185185</v>
      </c>
      <c r="F115" s="227">
        <v>43067.716886574075</v>
      </c>
      <c r="G115" s="226">
        <v>62</v>
      </c>
      <c r="H115" s="228" t="s">
        <v>441</v>
      </c>
      <c r="I115" s="227">
        <v>43067.742418981485</v>
      </c>
      <c r="J115" s="226">
        <v>0</v>
      </c>
      <c r="K115" s="238" t="str">
        <f t="shared" si="39"/>
        <v>4049/4050</v>
      </c>
      <c r="L115" s="246" t="str">
        <f>VLOOKUP(A115,'Trips&amp;Operators'!$C$1:$G$99911,5,FALSE)</f>
        <v>SMITH MICHAEL</v>
      </c>
      <c r="M115" s="225">
        <f t="shared" si="40"/>
        <v>2.5532407409627922E-2</v>
      </c>
      <c r="N115" s="226">
        <f t="shared" si="57"/>
        <v>36.766666669864208</v>
      </c>
      <c r="O115" s="226"/>
      <c r="P115" s="226"/>
      <c r="Q115" s="229"/>
      <c r="R115" s="243"/>
      <c r="S115" s="250">
        <f t="shared" si="56"/>
        <v>1</v>
      </c>
      <c r="T115" s="243" t="str">
        <f t="shared" si="41"/>
        <v>Southbound</v>
      </c>
      <c r="U115" s="247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49" t="str">
        <f t="shared" si="42"/>
        <v>https://d0f6bd738d7f1b3e5a7ca70fe4ff75f0.us-east-1.aws.found.io/app/kibana#/discover/Steve-Slow-Train-Analysis-(2080s-and-2083s)?_g=(refreshInterval:(display:Off,pause:!f,section:0,value:0),time:(from:'2017-11-28T15:57:52-0700',mode:absolute,to:'2017-11-28T18:49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15" s="248" t="str">
        <f>IF(AA115&lt;VLOOKUP(AG115,Variables!$AC$3:$AD$8,2,FALSE),"Y","N")</f>
        <v>N</v>
      </c>
      <c r="X115" s="248">
        <f t="shared" si="58"/>
        <v>1</v>
      </c>
      <c r="Y115" s="248">
        <f t="shared" si="55"/>
        <v>23.288799999999998</v>
      </c>
      <c r="Z115" s="248">
        <f t="shared" si="54"/>
        <v>2.4E-2</v>
      </c>
      <c r="AA115" s="248">
        <f t="shared" si="44"/>
        <v>23.264799999999997</v>
      </c>
      <c r="AB115" s="234" t="e">
        <f>VLOOKUP(A115,Enforcements!$C$7:$K$9,8,0)</f>
        <v>#N/A</v>
      </c>
      <c r="AC115" s="233" t="e">
        <f>VLOOKUP(A115,Enforcements!$C$7:$E$9,3,0)</f>
        <v>#N/A</v>
      </c>
      <c r="AD115" s="244">
        <f t="shared" si="45"/>
        <v>202</v>
      </c>
      <c r="AE115" s="236" t="str">
        <f t="shared" si="46"/>
        <v>aws s3 cp s3://rtdc.mdm.uploadarchive.raw/RTDC4049/ "%USERPROFILE%\AppData\Local\Temp\OnboardLogs"\RTDC4049\2017-11-28 --exclude "*" --recursive --include "*20171128*" &amp; "%USERPROFILE%\Documents\GitHub\mrs-test-scripts\Headless Mode &amp; Sideloading\WalkAndUnGZ.bat" "%USERPROFILE%\AppData\Local\Temp\OnboardLogs"\RTDC4049\2017-11-28 &amp; aws s3 cp s3://rtdc.mdm.uploadarchive.raw/RTDC4049/ "%USERPROFILE%\AppData\Local\Temp\OnboardLogs"\RTDC4049\2017-11-29 --exclude "*" --recursive --include "*20171129*" &amp; "%USERPROFILE%\Documents\GitHub\mrs-test-scripts\Headless Mode &amp; Sideloading\WalkAndUnGZ.bat" "%USERPROFILE%\AppData\Local\Temp\OnboardLogs"\RTDC4049\2017-11-29</v>
      </c>
      <c r="AF115" s="235" t="str">
        <f t="shared" si="47"/>
        <v>"C:\Program Files (x86)\AstroGrep\AstroGrep.exe" /e /r /s /spath="%USERPROFILE%\AppData\Local\Temp\OnboardLogs" /stypes="app*4049*20171129*" /stext=" 00:.+((SYSTEM_STATE.+slice.+state.+changed )|(ment ac)|(multiple cpu faults)|(system.+state.+changed )|(\[timeout)|(PRM\|1\|D)|(kpr)|(kdp)|(train st.+moving)|(\|lc)|(penalty))"</v>
      </c>
      <c r="AG115" s="245" t="str">
        <f t="shared" si="48"/>
        <v>EC</v>
      </c>
      <c r="AH115" s="237" t="str">
        <f t="shared" si="49"/>
        <v>"%USERPROFILE%\Documents\GitHub\eaglep3\Utilities\RefineRTDCRunTimes.py" --tripid 202-28 --locoid 4049 --swversion DE.1.0.9.0 --startMP 204:232888 --initTime 2017-11-28T16:57:52 --startdatetime 2017-11-28T17:12:19 --delay 62 --endMP 204:240 --enddatetime 2017-11-28T17:49:05 --enforcementcount 0 &gt;&gt;%USERPROFILE%\Documents\GitHub\eaglep3-reporting\EC\2017-11-28-refined-times.txt</v>
      </c>
      <c r="AI115" s="239" t="str">
        <f t="shared" si="50"/>
        <v>echo {"issue":{"subject":"","project_id":79,"tracker_id":40,"status_id":1,"priority_id":2,"assigned_to_id":338,"start_date":"2017-11-28","description":"","custom_fields":[{"id":1,"name":"Subdivision","value":"EC"},{"id":4,"name":"Milepost","value":"0.024"},{"id":17,"name":"Train ID","value":"202-28"},{"id":16,"name":"Locomotive ID","value":"4049"},{"id":130,"name":"Impact","value":""},{"id":150,"name":"Time of Event (Mountain Time)","value":"17:49:05"},{"id":151,"name":"Denver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5" s="224"/>
      <c r="AK115" s="232"/>
      <c r="AL115" s="232"/>
      <c r="AM115" s="241" t="str">
        <f t="shared" si="51"/>
        <v>start /low /b %USERPROFILE%\Documents\GitHub\eaglep3\Utilities\DownloadLogsFromS3.py --loco 4049 --day 2017-11-28</v>
      </c>
      <c r="AN115" s="242" t="str">
        <f t="shared" si="52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00:49:05"},{"id":29,"name":"Sharepoint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231" t="str">
        <f t="shared" si="53"/>
        <v>https://d0f6bd738d7f1b3e5a7ca70fe4ff75f0.us-east-1.aws.found.io/app/kibana#/discover/Steve-Slow-Train-Analysis-(2080s-and-2083s)?_g=(refreshInterval:(display:Off,pause:!f,section:0,value:0),time:(from:'2017-11-28T15:57:52-0700',mode:absolute,to:'2017-11-28T18:49:05-0700'))&amp;_a=(columns:!('Message%20ID',Summary),filters:!(),index:'emp_*',interval:auto,query:(query_string:(analyze_wildcard:!t,query:'%22rtdc.l.rtdc.4049%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230" t="s">
        <v>814</v>
      </c>
      <c r="B116" s="226">
        <v>4060</v>
      </c>
      <c r="C116" s="228" t="s">
        <v>192</v>
      </c>
      <c r="D116" s="228" t="s">
        <v>962</v>
      </c>
      <c r="E116" s="227">
        <v>43067.684120370373</v>
      </c>
      <c r="F116" s="227">
        <v>43067.687685185185</v>
      </c>
      <c r="G116" s="226">
        <v>73</v>
      </c>
      <c r="H116" s="228" t="s">
        <v>963</v>
      </c>
      <c r="I116" s="227">
        <v>43067.712048611109</v>
      </c>
      <c r="J116" s="226">
        <v>0</v>
      </c>
      <c r="K116" s="238" t="str">
        <f t="shared" si="39"/>
        <v>4059/4060</v>
      </c>
      <c r="L116" s="246" t="str">
        <f>VLOOKUP(A116,'Trips&amp;Operators'!$C$1:$G$99911,5,FALSE)</f>
        <v>BRUDER RICHARD</v>
      </c>
      <c r="M116" s="225">
        <f t="shared" si="40"/>
        <v>2.4363425924093463E-2</v>
      </c>
      <c r="N116" s="226">
        <f t="shared" si="57"/>
        <v>35.083333330694586</v>
      </c>
      <c r="O116" s="226"/>
      <c r="P116" s="226"/>
      <c r="Q116" s="229"/>
      <c r="R116" s="243"/>
      <c r="S116" s="250">
        <f t="shared" si="56"/>
        <v>1</v>
      </c>
      <c r="T116" s="243" t="str">
        <f t="shared" si="41"/>
        <v>NorthBound</v>
      </c>
      <c r="U116" s="247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49" t="str">
        <f t="shared" si="42"/>
        <v>https://d0f6bd738d7f1b3e5a7ca70fe4ff75f0.us-east-1.aws.found.io/app/kibana#/discover/Steve-Slow-Train-Analysis-(2080s-and-2083s)?_g=(refreshInterval:(display:Off,pause:!f,section:0,value:0),time:(from:'2017-11-28T15:25:08-0700',mode:absolute,to:'2017-11-28T18:05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16" s="248" t="str">
        <f>IF(AA116&lt;VLOOKUP(AG116,Variables!$AC$3:$AD$8,2,FALSE),"Y","N")</f>
        <v>N</v>
      </c>
      <c r="X116" s="248">
        <f t="shared" si="58"/>
        <v>1</v>
      </c>
      <c r="Y116" s="248">
        <f t="shared" si="55"/>
        <v>5.4399999999999997E-2</v>
      </c>
      <c r="Z116" s="248">
        <f t="shared" si="54"/>
        <v>23.321200000000001</v>
      </c>
      <c r="AA116" s="248">
        <f t="shared" si="44"/>
        <v>23.2668</v>
      </c>
      <c r="AB116" s="234" t="e">
        <f>VLOOKUP(A116,Enforcements!$C$7:$K$9,8,0)</f>
        <v>#N/A</v>
      </c>
      <c r="AC116" s="233" t="e">
        <f>VLOOKUP(A116,Enforcements!$C$7:$E$9,3,0)</f>
        <v>#N/A</v>
      </c>
      <c r="AD116" s="244">
        <f t="shared" si="45"/>
        <v>203</v>
      </c>
      <c r="AE116" s="236" t="str">
        <f t="shared" si="46"/>
        <v>aws s3 cp s3://rtdc.mdm.uploadarchive.raw/RTDC4060/ "%USERPROFILE%\AppData\Local\Temp\OnboardLogs"\RTDC4060\2017-11-28 --exclude "*" --recursive --include "*20171128*" &amp; "%USERPROFILE%\Documents\GitHub\mrs-test-scripts\Headless Mode &amp; Sideloading\WalkAndUnGZ.bat" "%USERPROFILE%\AppData\Local\Temp\OnboardLogs"\RTDC4060\2017-11-28 &amp; aws s3 cp s3://rtdc.mdm.uploadarchive.raw/RTDC4060/ "%USERPROFILE%\AppData\Local\Temp\OnboardLogs"\RTDC4060\2017-11-29 --exclude "*" --recursive --include "*20171129*" &amp; "%USERPROFILE%\Documents\GitHub\mrs-test-scripts\Headless Mode &amp; Sideloading\WalkAndUnGZ.bat" "%USERPROFILE%\AppData\Local\Temp\OnboardLogs"\RTDC4060\2017-11-29</v>
      </c>
      <c r="AF116" s="235" t="str">
        <f t="shared" si="47"/>
        <v>"C:\Program Files (x86)\AstroGrep\AstroGrep.exe" /e /r /s /spath="%USERPROFILE%\AppData\Local\Temp\OnboardLogs" /stypes="app*4060*20171129*" /stext=" 00:.+((SYSTEM_STATE.+slice.+state.+changed )|(ment ac)|(multiple cpu faults)|(system.+state.+changed )|(\[timeout)|(PRM\|1\|D)|(kpr)|(kdp)|(train st.+moving)|(\|lc)|(penalty))"</v>
      </c>
      <c r="AG116" s="245" t="str">
        <f t="shared" si="48"/>
        <v>EC</v>
      </c>
      <c r="AH116" s="237" t="str">
        <f t="shared" si="49"/>
        <v>"%USERPROFILE%\Documents\GitHub\eaglep3\Utilities\RefineRTDCRunTimes.py" --tripid 203-28 --locoid 4060 --swversion DE.1.0.9.0 --startMP 204:544 --initTime 2017-11-28T16:25:08 --startdatetime 2017-11-28T16:30:16 --delay 73 --endMP 204:233212 --enddatetime 2017-11-28T17:05:21 --enforcementcount 0 &gt;&gt;%USERPROFILE%\Documents\GitHub\eaglep3-reporting\EC\2017-11-28-refined-times.txt</v>
      </c>
      <c r="AI116" s="239" t="str">
        <f t="shared" si="50"/>
        <v>echo {"issue":{"subject":"","project_id":79,"tracker_id":40,"status_id":1,"priority_id":2,"assigned_to_id":338,"start_date":"2017-11-28","description":"","custom_fields":[{"id":1,"name":"Subdivision","value":"EC"},{"id":4,"name":"Milepost","value":"23.3212"},{"id":17,"name":"Train ID","value":"203-28"},{"id":16,"name":"Locomotive ID","value":"4060"},{"id":130,"name":"Impact","value":""},{"id":150,"name":"Time of Event (Mountain Time)","value":"17:05:21"},{"id":151,"name":"Denver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6" s="224"/>
      <c r="AK116" s="232"/>
      <c r="AL116" s="232"/>
      <c r="AM116" s="241" t="str">
        <f t="shared" si="51"/>
        <v>start /low /b %USERPROFILE%\Documents\GitHub\eaglep3\Utilities\DownloadLogsFromS3.py --loco 4060 --day 2017-11-28</v>
      </c>
      <c r="AN116" s="242" t="str">
        <f t="shared" si="52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00:05:21"},{"id":29,"name":"Sharepoint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231" t="str">
        <f t="shared" si="53"/>
        <v>https://d0f6bd738d7f1b3e5a7ca70fe4ff75f0.us-east-1.aws.found.io/app/kibana#/discover/Steve-Slow-Train-Analysis-(2080s-and-2083s)?_g=(refreshInterval:(display:Off,pause:!f,section:0,value:0),time:(from:'2017-11-28T15:25:08-0700',mode:absolute,to:'2017-11-28T18:05:21-0700'))&amp;_a=(columns:!('Message%20ID',Summary),filters:!(),index:'emp_*',interval:auto,query:(query_string:(analyze_wildcard:!t,query:'%22rtdc.l.rtdc.4060%22')),sort:!(Time.ISO8601,asc))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230" t="s">
        <v>659</v>
      </c>
      <c r="B117" s="226">
        <v>4059</v>
      </c>
      <c r="C117" s="228" t="s">
        <v>192</v>
      </c>
      <c r="D117" s="228" t="s">
        <v>923</v>
      </c>
      <c r="E117" s="227">
        <v>43067.724004629628</v>
      </c>
      <c r="F117" s="227">
        <v>43067.727280092593</v>
      </c>
      <c r="G117" s="226">
        <v>65</v>
      </c>
      <c r="H117" s="228" t="s">
        <v>437</v>
      </c>
      <c r="I117" s="227">
        <v>43067.755196759259</v>
      </c>
      <c r="J117" s="226">
        <v>0</v>
      </c>
      <c r="K117" s="238" t="str">
        <f t="shared" si="39"/>
        <v>4059/4060</v>
      </c>
      <c r="L117" s="246" t="str">
        <f>VLOOKUP(A117,'Trips&amp;Operators'!$C$1:$G$99911,5,FALSE)</f>
        <v>BRUDER RICHARD</v>
      </c>
      <c r="M117" s="225">
        <f t="shared" si="40"/>
        <v>2.7916666665987577E-2</v>
      </c>
      <c r="N117" s="226">
        <f t="shared" si="57"/>
        <v>40.199999999022111</v>
      </c>
      <c r="O117" s="226"/>
      <c r="P117" s="226"/>
      <c r="Q117" s="229"/>
      <c r="R117" s="243"/>
      <c r="S117" s="250">
        <f t="shared" si="56"/>
        <v>1</v>
      </c>
      <c r="T117" s="243" t="str">
        <f t="shared" si="41"/>
        <v>Southbound</v>
      </c>
      <c r="U117" s="247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49" t="str">
        <f t="shared" si="42"/>
        <v>https://d0f6bd738d7f1b3e5a7ca70fe4ff75f0.us-east-1.aws.found.io/app/kibana#/discover/Steve-Slow-Train-Analysis-(2080s-and-2083s)?_g=(refreshInterval:(display:Off,pause:!f,section:0,value:0),time:(from:'2017-11-28T16:22:34-0700',mode:absolute,to:'2017-11-28T19:07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17" s="248" t="str">
        <f>IF(AA117&lt;VLOOKUP(AG117,Variables!$AC$3:$AD$8,2,FALSE),"Y","N")</f>
        <v>N</v>
      </c>
      <c r="X117" s="248">
        <f t="shared" si="58"/>
        <v>1</v>
      </c>
      <c r="Y117" s="248">
        <f t="shared" si="55"/>
        <v>23.290900000000001</v>
      </c>
      <c r="Z117" s="248">
        <f t="shared" si="54"/>
        <v>2.12E-2</v>
      </c>
      <c r="AA117" s="248">
        <f t="shared" si="44"/>
        <v>23.2697</v>
      </c>
      <c r="AB117" s="234" t="e">
        <f>VLOOKUP(A117,Enforcements!$C$7:$K$9,8,0)</f>
        <v>#N/A</v>
      </c>
      <c r="AC117" s="233" t="e">
        <f>VLOOKUP(A117,Enforcements!$C$7:$E$9,3,0)</f>
        <v>#N/A</v>
      </c>
      <c r="AD117" s="244">
        <f t="shared" si="45"/>
        <v>204</v>
      </c>
      <c r="AE117" s="236" t="str">
        <f t="shared" si="46"/>
        <v>aws s3 cp s3://rtdc.mdm.uploadarchive.raw/RTDC4059/ "%USERPROFILE%\AppData\Local\Temp\OnboardLogs"\RTDC4059\2017-11-28 --exclude "*" --recursive --include "*20171128*" &amp; "%USERPROFILE%\Documents\GitHub\mrs-test-scripts\Headless Mode &amp; Sideloading\WalkAndUnGZ.bat" "%USERPROFILE%\AppData\Local\Temp\OnboardLogs"\RTDC4059\2017-11-28 &amp; aws s3 cp s3://rtdc.mdm.uploadarchive.raw/RTDC4059/ "%USERPROFILE%\AppData\Local\Temp\OnboardLogs"\RTDC4059\2017-11-29 --exclude "*" --recursive --include "*20171129*" &amp; "%USERPROFILE%\Documents\GitHub\mrs-test-scripts\Headless Mode &amp; Sideloading\WalkAndUnGZ.bat" "%USERPROFILE%\AppData\Local\Temp\OnboardLogs"\RTDC4059\2017-11-29</v>
      </c>
      <c r="AF117" s="235" t="str">
        <f t="shared" si="47"/>
        <v>"C:\Program Files (x86)\AstroGrep\AstroGrep.exe" /e /r /s /spath="%USERPROFILE%\AppData\Local\Temp\OnboardLogs" /stypes="app*4059*20171129*" /stext=" 01:.+((SYSTEM_STATE.+slice.+state.+changed )|(ment ac)|(multiple cpu faults)|(system.+state.+changed )|(\[timeout)|(PRM\|1\|D)|(kpr)|(kdp)|(train st.+moving)|(\|lc)|(penalty))"</v>
      </c>
      <c r="AG117" s="245" t="str">
        <f t="shared" si="48"/>
        <v>EC</v>
      </c>
      <c r="AH117" s="237" t="str">
        <f t="shared" si="49"/>
        <v>"%USERPROFILE%\Documents\GitHub\eaglep3\Utilities\RefineRTDCRunTimes.py" --tripid 204-28 --locoid 4059 --swversion DE.1.0.9.0 --startMP 204:232909 --initTime 2017-11-28T17:22:34 --startdatetime 2017-11-28T17:27:17 --delay 65 --endMP 204:212 --enddatetime 2017-11-28T18:07:29 --enforcementcount 0 &gt;&gt;%USERPROFILE%\Documents\GitHub\eaglep3-reporting\EC\2017-11-28-refined-times.txt</v>
      </c>
      <c r="AI117" s="239" t="str">
        <f t="shared" si="50"/>
        <v>echo {"issue":{"subject":"","project_id":79,"tracker_id":40,"status_id":1,"priority_id":2,"assigned_to_id":338,"start_date":"2017-11-28","description":"","custom_fields":[{"id":1,"name":"Subdivision","value":"EC"},{"id":4,"name":"Milepost","value":"0.0212"},{"id":17,"name":"Train ID","value":"204-28"},{"id":16,"name":"Locomotive ID","value":"4059"},{"id":130,"name":"Impact","value":""},{"id":150,"name":"Time of Event (Mountain Time)","value":"18:07:29"},{"id":151,"name":"Denver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7" s="224"/>
      <c r="AK117" s="232"/>
      <c r="AL117" s="232"/>
      <c r="AM117" s="241" t="str">
        <f t="shared" si="51"/>
        <v>start /low /b %USERPROFILE%\Documents\GitHub\eaglep3\Utilities\DownloadLogsFromS3.py --loco 4059 --day 2017-11-28</v>
      </c>
      <c r="AN117" s="242" t="str">
        <f t="shared" si="52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01:07:29"},{"id":29,"name":"Sharepoint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231" t="str">
        <f t="shared" si="53"/>
        <v>https://d0f6bd738d7f1b3e5a7ca70fe4ff75f0.us-east-1.aws.found.io/app/kibana#/discover/Steve-Slow-Train-Analysis-(2080s-and-2083s)?_g=(refreshInterval:(display:Off,pause:!f,section:0,value:0),time:(from:'2017-11-28T16:22:34-0700',mode:absolute,to:'2017-11-28T19:07:29-0700'))&amp;_a=(columns:!('Message%20ID',Summary),filters:!(),index:'emp_*',interval:auto,query:(query_string:(analyze_wildcard:!t,query:'%22rtdc.l.rtdc.4059%22')),sort:!(Time.ISO8601,asc))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24" customFormat="1" x14ac:dyDescent="0.25">
      <c r="A118" s="230" t="s">
        <v>817</v>
      </c>
      <c r="B118" s="226">
        <v>4056</v>
      </c>
      <c r="C118" s="228" t="s">
        <v>192</v>
      </c>
      <c r="D118" s="228" t="s">
        <v>454</v>
      </c>
      <c r="E118" s="227">
        <v>43067.693958333337</v>
      </c>
      <c r="F118" s="227">
        <v>43067.698344907411</v>
      </c>
      <c r="G118" s="226">
        <v>53</v>
      </c>
      <c r="H118" s="228" t="s">
        <v>934</v>
      </c>
      <c r="I118" s="227">
        <v>43067.723657407405</v>
      </c>
      <c r="J118" s="226">
        <v>0</v>
      </c>
      <c r="K118" s="238" t="str">
        <f t="shared" si="39"/>
        <v>4055/4056</v>
      </c>
      <c r="L118" s="246" t="str">
        <f>VLOOKUP(A118,'Trips&amp;Operators'!$C$1:$G$99911,5,FALSE)</f>
        <v>STEWART MICHAEL</v>
      </c>
      <c r="M118" s="225">
        <f t="shared" si="40"/>
        <v>2.5312499994470272E-2</v>
      </c>
      <c r="N118" s="226">
        <f t="shared" si="57"/>
        <v>36.449999992037192</v>
      </c>
      <c r="O118" s="226"/>
      <c r="P118" s="226"/>
      <c r="Q118" s="229"/>
      <c r="R118" s="243"/>
      <c r="S118" s="250">
        <f t="shared" si="56"/>
        <v>1</v>
      </c>
      <c r="T118" s="243" t="str">
        <f t="shared" si="41"/>
        <v>NorthBound</v>
      </c>
      <c r="U118" s="247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49" t="str">
        <f t="shared" si="42"/>
        <v>https://d0f6bd738d7f1b3e5a7ca70fe4ff75f0.us-east-1.aws.found.io/app/kibana#/discover/Steve-Slow-Train-Analysis-(2080s-and-2083s)?_g=(refreshInterval:(display:Off,pause:!f,section:0,value:0),time:(from:'2017-11-28T15:39:18-0700',mode:absolute,to:'2017-11-28T18:22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18" s="248" t="str">
        <f>IF(AA118&lt;VLOOKUP(AG118,Variables!$AC$3:$AD$8,2,FALSE),"Y","N")</f>
        <v>N</v>
      </c>
      <c r="X118" s="248">
        <f t="shared" si="58"/>
        <v>1</v>
      </c>
      <c r="Y118" s="248">
        <f t="shared" si="55"/>
        <v>5.11E-2</v>
      </c>
      <c r="Z118" s="248">
        <f t="shared" si="54"/>
        <v>23.320900000000002</v>
      </c>
      <c r="AA118" s="248">
        <f t="shared" si="44"/>
        <v>23.2698</v>
      </c>
      <c r="AB118" s="234" t="e">
        <f>VLOOKUP(A118,Enforcements!$C$7:$K$9,8,0)</f>
        <v>#N/A</v>
      </c>
      <c r="AC118" s="233" t="e">
        <f>VLOOKUP(A118,Enforcements!$C$7:$E$9,3,0)</f>
        <v>#N/A</v>
      </c>
      <c r="AD118" s="244">
        <f t="shared" si="45"/>
        <v>205</v>
      </c>
      <c r="AE118" s="236" t="str">
        <f t="shared" si="46"/>
        <v>aws s3 cp s3://rtdc.mdm.uploadarchive.raw/RTDC4056/ "%USERPROFILE%\AppData\Local\Temp\OnboardLogs"\RTDC4056\2017-11-28 --exclude "*" --recursive --include "*20171128*" &amp; "%USERPROFILE%\Documents\GitHub\mrs-test-scripts\Headless Mode &amp; Sideloading\WalkAndUnGZ.bat" "%USERPROFILE%\AppData\Local\Temp\OnboardLogs"\RTDC4056\2017-11-28 &amp; aws s3 cp s3://rtdc.mdm.uploadarchive.raw/RTDC4056/ "%USERPROFILE%\AppData\Local\Temp\OnboardLogs"\RTDC4056\2017-11-29 --exclude "*" --recursive --include "*20171129*" &amp; "%USERPROFILE%\Documents\GitHub\mrs-test-scripts\Headless Mode &amp; Sideloading\WalkAndUnGZ.bat" "%USERPROFILE%\AppData\Local\Temp\OnboardLogs"\RTDC4056\2017-11-29</v>
      </c>
      <c r="AF118" s="235" t="str">
        <f t="shared" si="47"/>
        <v>"C:\Program Files (x86)\AstroGrep\AstroGrep.exe" /e /r /s /spath="%USERPROFILE%\AppData\Local\Temp\OnboardLogs" /stypes="app*4056*20171129*" /stext=" 00:.+((SYSTEM_STATE.+slice.+state.+changed )|(ment ac)|(multiple cpu faults)|(system.+state.+changed )|(\[timeout)|(PRM\|1\|D)|(kpr)|(kdp)|(train st.+moving)|(\|lc)|(penalty))"</v>
      </c>
      <c r="AG118" s="245" t="str">
        <f t="shared" si="48"/>
        <v>EC</v>
      </c>
      <c r="AH118" s="237" t="str">
        <f t="shared" si="49"/>
        <v>"%USERPROFILE%\Documents\GitHub\eaglep3\Utilities\RefineRTDCRunTimes.py" --tripid 205-28 --locoid 4056 --swversion DE.1.0.9.0 --startMP 204:511 --initTime 2017-11-28T16:39:18 --startdatetime 2017-11-28T16:45:37 --delay 53 --endMP 204:233209 --enddatetime 2017-11-28T17:22:04 --enforcementcount 0 &gt;&gt;%USERPROFILE%\Documents\GitHub\eaglep3-reporting\EC\2017-11-28-refined-times.txt</v>
      </c>
      <c r="AI118" s="239" t="str">
        <f t="shared" si="50"/>
        <v>echo {"issue":{"subject":"","project_id":79,"tracker_id":40,"status_id":1,"priority_id":2,"assigned_to_id":338,"start_date":"2017-11-28","description":"","custom_fields":[{"id":1,"name":"Subdivision","value":"EC"},{"id":4,"name":"Milepost","value":"23.3209"},{"id":17,"name":"Train ID","value":"205-28"},{"id":16,"name":"Locomotive ID","value":"4056"},{"id":130,"name":"Impact","value":""},{"id":150,"name":"Time of Event (Mountain Time)","value":"17:22:04"},{"id":151,"name":"Denver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8" s="232"/>
      <c r="AL118" s="232"/>
      <c r="AM118" s="241" t="str">
        <f t="shared" si="51"/>
        <v>start /low /b %USERPROFILE%\Documents\GitHub\eaglep3\Utilities\DownloadLogsFromS3.py --loco 4056 --day 2017-11-28</v>
      </c>
      <c r="AN118" s="242" t="str">
        <f t="shared" si="52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00:22:04"},{"id":29,"name":"Sharepoint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231" t="str">
        <f t="shared" si="53"/>
        <v>https://d0f6bd738d7f1b3e5a7ca70fe4ff75f0.us-east-1.aws.found.io/app/kibana#/discover/Steve-Slow-Train-Analysis-(2080s-and-2083s)?_g=(refreshInterval:(display:Off,pause:!f,section:0,value:0),time:(from:'2017-11-28T15:39:18-0700',mode:absolute,to:'2017-11-28T18:22:04-0700'))&amp;_a=(columns:!('Message%20ID',Summary),filters:!(),index:'emp_*',interval:auto,query:(query_string:(analyze_wildcard:!t,query:'%22rtdc.l.rtdc.4056%22')),sort:!(Time.ISO8601,asc))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230" t="s">
        <v>828</v>
      </c>
      <c r="B119" s="226">
        <v>4055</v>
      </c>
      <c r="C119" s="228" t="s">
        <v>192</v>
      </c>
      <c r="D119" s="228" t="s">
        <v>595</v>
      </c>
      <c r="E119" s="227">
        <v>43067.732523148145</v>
      </c>
      <c r="F119" s="227">
        <v>43067.737708333334</v>
      </c>
      <c r="G119" s="226">
        <v>69</v>
      </c>
      <c r="H119" s="228" t="s">
        <v>938</v>
      </c>
      <c r="I119" s="227">
        <v>43067.766643518517</v>
      </c>
      <c r="J119" s="226">
        <v>0</v>
      </c>
      <c r="K119" s="238" t="str">
        <f t="shared" si="39"/>
        <v>4055/4056</v>
      </c>
      <c r="L119" s="246" t="str">
        <f>VLOOKUP(A119,'Trips&amp;Operators'!$C$1:$G$99911,5,FALSE)</f>
        <v>STEWART MICHAEL</v>
      </c>
      <c r="M119" s="225">
        <f t="shared" si="40"/>
        <v>2.8935185182490386E-2</v>
      </c>
      <c r="N119" s="226">
        <f t="shared" si="57"/>
        <v>41.666666662786156</v>
      </c>
      <c r="O119" s="226"/>
      <c r="P119" s="226"/>
      <c r="Q119" s="229"/>
      <c r="R119" s="243"/>
      <c r="S119" s="250">
        <f t="shared" si="56"/>
        <v>1</v>
      </c>
      <c r="T119" s="243" t="str">
        <f t="shared" si="41"/>
        <v>Southbound</v>
      </c>
      <c r="U119" s="247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49" t="str">
        <f t="shared" si="42"/>
        <v>https://d0f6bd738d7f1b3e5a7ca70fe4ff75f0.us-east-1.aws.found.io/app/kibana#/discover/Steve-Slow-Train-Analysis-(2080s-and-2083s)?_g=(refreshInterval:(display:Off,pause:!f,section:0,value:0),time:(from:'2017-11-28T16:34:50-0700',mode:absolute,to:'2017-11-28T19:23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19" s="248" t="str">
        <f>IF(AA119&lt;VLOOKUP(AG119,Variables!$AC$3:$AD$8,2,FALSE),"Y","N")</f>
        <v>N</v>
      </c>
      <c r="X119" s="248">
        <f t="shared" si="58"/>
        <v>1</v>
      </c>
      <c r="Y119" s="248">
        <f t="shared" si="55"/>
        <v>23.289400000000001</v>
      </c>
      <c r="Z119" s="248">
        <f t="shared" si="54"/>
        <v>1.9800000000000002E-2</v>
      </c>
      <c r="AA119" s="248">
        <f t="shared" si="44"/>
        <v>23.269600000000001</v>
      </c>
      <c r="AB119" s="234" t="e">
        <f>VLOOKUP(A119,Enforcements!$C$7:$K$9,8,0)</f>
        <v>#N/A</v>
      </c>
      <c r="AC119" s="233" t="e">
        <f>VLOOKUP(A119,Enforcements!$C$7:$E$9,3,0)</f>
        <v>#N/A</v>
      </c>
      <c r="AD119" s="244">
        <f t="shared" si="45"/>
        <v>206</v>
      </c>
      <c r="AE119" s="236" t="str">
        <f t="shared" si="46"/>
        <v>aws s3 cp s3://rtdc.mdm.uploadarchive.raw/RTDC4055/ "%USERPROFILE%\AppData\Local\Temp\OnboardLogs"\RTDC4055\2017-11-28 --exclude "*" --recursive --include "*20171128*" &amp; "%USERPROFILE%\Documents\GitHub\mrs-test-scripts\Headless Mode &amp; Sideloading\WalkAndUnGZ.bat" "%USERPROFILE%\AppData\Local\Temp\OnboardLogs"\RTDC4055\2017-11-28 &amp; aws s3 cp s3://rtdc.mdm.uploadarchive.raw/RTDC4055/ "%USERPROFILE%\AppData\Local\Temp\OnboardLogs"\RTDC4055\2017-11-29 --exclude "*" --recursive --include "*20171129*" &amp; "%USERPROFILE%\Documents\GitHub\mrs-test-scripts\Headless Mode &amp; Sideloading\WalkAndUnGZ.bat" "%USERPROFILE%\AppData\Local\Temp\OnboardLogs"\RTDC4055\2017-11-29</v>
      </c>
      <c r="AF119" s="235" t="str">
        <f t="shared" si="47"/>
        <v>"C:\Program Files (x86)\AstroGrep\AstroGrep.exe" /e /r /s /spath="%USERPROFILE%\AppData\Local\Temp\OnboardLogs" /stypes="app*4055*20171129*" /stext=" 01:.+((SYSTEM_STATE.+slice.+state.+changed )|(ment ac)|(multiple cpu faults)|(system.+state.+changed )|(\[timeout)|(PRM\|1\|D)|(kpr)|(kdp)|(train st.+moving)|(\|lc)|(penalty))"</v>
      </c>
      <c r="AG119" s="245" t="str">
        <f t="shared" si="48"/>
        <v>EC</v>
      </c>
      <c r="AH119" s="237" t="str">
        <f t="shared" si="49"/>
        <v>"%USERPROFILE%\Documents\GitHub\eaglep3\Utilities\RefineRTDCRunTimes.py" --tripid 206-28 --locoid 4055 --swversion DE.1.0.9.0 --startMP 204:232894 --initTime 2017-11-28T17:34:50 --startdatetime 2017-11-28T17:42:18 --delay 69 --endMP 204:198 --enddatetime 2017-11-28T18:23:58 --enforcementcount 0 &gt;&gt;%USERPROFILE%\Documents\GitHub\eaglep3-reporting\EC\2017-11-28-refined-times.txt</v>
      </c>
      <c r="AI119" s="239" t="str">
        <f t="shared" si="50"/>
        <v>echo {"issue":{"subject":"","project_id":79,"tracker_id":40,"status_id":1,"priority_id":2,"assigned_to_id":338,"start_date":"2017-11-28","description":"","custom_fields":[{"id":1,"name":"Subdivision","value":"EC"},{"id":4,"name":"Milepost","value":"0.0198"},{"id":17,"name":"Train ID","value":"206-28"},{"id":16,"name":"Locomotive ID","value":"4055"},{"id":130,"name":"Impact","value":""},{"id":150,"name":"Time of Event (Mountain Time)","value":"18:23:58"},{"id":151,"name":"Denver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9" s="224"/>
      <c r="AK119" s="232"/>
      <c r="AL119" s="232"/>
      <c r="AM119" s="241" t="str">
        <f t="shared" si="51"/>
        <v>start /low /b %USERPROFILE%\Documents\GitHub\eaglep3\Utilities\DownloadLogsFromS3.py --loco 4055 --day 2017-11-28</v>
      </c>
      <c r="AN119" s="242" t="str">
        <f t="shared" si="52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01:23:58"},{"id":29,"name":"Sharepoint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231" t="str">
        <f t="shared" si="53"/>
        <v>https://d0f6bd738d7f1b3e5a7ca70fe4ff75f0.us-east-1.aws.found.io/app/kibana#/discover/Steve-Slow-Train-Analysis-(2080s-and-2083s)?_g=(refreshInterval:(display:Off,pause:!f,section:0,value:0),time:(from:'2017-11-28T16:34:50-0700',mode:absolute,to:'2017-11-28T19:23:58-0700'))&amp;_a=(columns:!('Message%20ID',Summary),filters:!(),index:'emp_*',interval:auto,query:(query_string:(analyze_wildcard:!t,query:'%22rtdc.l.rtdc.4055%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230" t="s">
        <v>820</v>
      </c>
      <c r="B120" s="226">
        <v>4040</v>
      </c>
      <c r="C120" s="228" t="s">
        <v>192</v>
      </c>
      <c r="D120" s="228" t="s">
        <v>452</v>
      </c>
      <c r="E120" s="227">
        <v>43067.705497685187</v>
      </c>
      <c r="F120" s="227">
        <v>43067.708495370367</v>
      </c>
      <c r="G120" s="226">
        <v>70</v>
      </c>
      <c r="H120" s="228" t="s">
        <v>466</v>
      </c>
      <c r="I120" s="227">
        <v>43067.733807870369</v>
      </c>
      <c r="J120" s="226">
        <v>0</v>
      </c>
      <c r="K120" s="238" t="str">
        <f t="shared" si="39"/>
        <v>4039/4040</v>
      </c>
      <c r="L120" s="246" t="str">
        <f>VLOOKUP(A120,'Trips&amp;Operators'!$C$1:$G$99911,5,FALSE)</f>
        <v>LEVIN SCOTT</v>
      </c>
      <c r="M120" s="225">
        <f t="shared" si="40"/>
        <v>2.531250000174623E-2</v>
      </c>
      <c r="N120" s="226">
        <f t="shared" si="57"/>
        <v>36.450000002514571</v>
      </c>
      <c r="O120" s="226"/>
      <c r="P120" s="226"/>
      <c r="Q120" s="229"/>
      <c r="R120" s="243"/>
      <c r="S120" s="250">
        <f t="shared" si="56"/>
        <v>1</v>
      </c>
      <c r="T120" s="243" t="str">
        <f t="shared" si="41"/>
        <v>NorthBound</v>
      </c>
      <c r="U120" s="247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49" t="str">
        <f t="shared" si="42"/>
        <v>https://d0f6bd738d7f1b3e5a7ca70fe4ff75f0.us-east-1.aws.found.io/app/kibana#/discover/Steve-Slow-Train-Analysis-(2080s-and-2083s)?_g=(refreshInterval:(display:Off,pause:!f,section:0,value:0),time:(from:'2017-11-28T15:55:55-0700',mode:absolute,to:'2017-11-28T18:36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20" s="248" t="str">
        <f>IF(AA120&lt;VLOOKUP(AG120,Variables!$AC$3:$AD$8,2,FALSE),"Y","N")</f>
        <v>N</v>
      </c>
      <c r="X120" s="248">
        <f t="shared" si="58"/>
        <v>1</v>
      </c>
      <c r="Y120" s="248">
        <f t="shared" si="55"/>
        <v>5.0799999999999998E-2</v>
      </c>
      <c r="Z120" s="248">
        <f t="shared" si="54"/>
        <v>23.3278</v>
      </c>
      <c r="AA120" s="248">
        <f t="shared" si="44"/>
        <v>23.277000000000001</v>
      </c>
      <c r="AB120" s="234" t="e">
        <f>VLOOKUP(A120,Enforcements!$C$7:$K$9,8,0)</f>
        <v>#N/A</v>
      </c>
      <c r="AC120" s="233" t="e">
        <f>VLOOKUP(A120,Enforcements!$C$7:$E$9,3,0)</f>
        <v>#N/A</v>
      </c>
      <c r="AD120" s="244">
        <f t="shared" si="45"/>
        <v>207</v>
      </c>
      <c r="AE120" s="236" t="str">
        <f t="shared" si="46"/>
        <v>aws s3 cp s3://rtdc.mdm.uploadarchive.raw/RTDC4040/ "%USERPROFILE%\AppData\Local\Temp\OnboardLogs"\RTDC4040\2017-11-28 --exclude "*" --recursive --include "*20171128*" &amp; "%USERPROFILE%\Documents\GitHub\mrs-test-scripts\Headless Mode &amp; Sideloading\WalkAndUnGZ.bat" "%USERPROFILE%\AppData\Local\Temp\OnboardLogs"\RTDC4040\2017-11-28 &amp; aws s3 cp s3://rtdc.mdm.uploadarchive.raw/RTDC4040/ "%USERPROFILE%\AppData\Local\Temp\OnboardLogs"\RTDC4040\2017-11-29 --exclude "*" --recursive --include "*20171129*" &amp; "%USERPROFILE%\Documents\GitHub\mrs-test-scripts\Headless Mode &amp; Sideloading\WalkAndUnGZ.bat" "%USERPROFILE%\AppData\Local\Temp\OnboardLogs"\RTDC4040\2017-11-29</v>
      </c>
      <c r="AF120" s="235" t="str">
        <f t="shared" si="47"/>
        <v>"C:\Program Files (x86)\AstroGrep\AstroGrep.exe" /e /r /s /spath="%USERPROFILE%\AppData\Local\Temp\OnboardLogs" /stypes="app*4040*20171129*" /stext=" 00:.+((SYSTEM_STATE.+slice.+state.+changed )|(ment ac)|(multiple cpu faults)|(system.+state.+changed )|(\[timeout)|(PRM\|1\|D)|(kpr)|(kdp)|(train st.+moving)|(\|lc)|(penalty))"</v>
      </c>
      <c r="AG120" s="245" t="str">
        <f t="shared" si="48"/>
        <v>EC</v>
      </c>
      <c r="AH120" s="237" t="str">
        <f t="shared" si="49"/>
        <v>"%USERPROFILE%\Documents\GitHub\eaglep3\Utilities\RefineRTDCRunTimes.py" --tripid 207-28 --locoid 4040 --swversion DE.1.0.9.0 --startMP 204:508 --initTime 2017-11-28T16:55:55 --startdatetime 2017-11-28T17:00:14 --delay 70 --endMP 204:233278 --enddatetime 2017-11-28T17:36:41 --enforcementcount 0 &gt;&gt;%USERPROFILE%\Documents\GitHub\eaglep3-reporting\EC\2017-11-28-refined-times.txt</v>
      </c>
      <c r="AI120" s="239" t="str">
        <f t="shared" si="50"/>
        <v>echo {"issue":{"subject":"","project_id":79,"tracker_id":40,"status_id":1,"priority_id":2,"assigned_to_id":338,"start_date":"2017-11-28","description":"","custom_fields":[{"id":1,"name":"Subdivision","value":"EC"},{"id":4,"name":"Milepost","value":"23.3278"},{"id":17,"name":"Train ID","value":"207-28"},{"id":16,"name":"Locomotive ID","value":"4040"},{"id":130,"name":"Impact","value":""},{"id":150,"name":"Time of Event (Mountain Time)","value":"17:36:41"},{"id":151,"name":"Denver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0" s="224"/>
      <c r="AK120" s="232"/>
      <c r="AL120" s="232"/>
      <c r="AM120" s="241" t="str">
        <f t="shared" si="51"/>
        <v>start /low /b %USERPROFILE%\Documents\GitHub\eaglep3\Utilities\DownloadLogsFromS3.py --loco 4040 --day 2017-11-28</v>
      </c>
      <c r="AN120" s="242" t="str">
        <f t="shared" si="52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00:36:41"},{"id":29,"name":"Sharepoint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231" t="str">
        <f t="shared" si="53"/>
        <v>https://d0f6bd738d7f1b3e5a7ca70fe4ff75f0.us-east-1.aws.found.io/app/kibana#/discover/Steve-Slow-Train-Analysis-(2080s-and-2083s)?_g=(refreshInterval:(display:Off,pause:!f,section:0,value:0),time:(from:'2017-11-28T15:55:55-0700',mode:absolute,to:'2017-11-28T18:36:41-0700'))&amp;_a=(columns:!('Message%20ID',Summary),filters:!(),index:'emp_*',interval:auto,query:(query_string:(analyze_wildcard:!t,query:'%22rtdc.l.rtdc.4040%22')),sort:!(Time.ISO8601,asc))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230" t="s">
        <v>830</v>
      </c>
      <c r="B121" s="226">
        <v>4039</v>
      </c>
      <c r="C121" s="228" t="s">
        <v>192</v>
      </c>
      <c r="D121" s="228" t="s">
        <v>430</v>
      </c>
      <c r="E121" s="227">
        <v>43067.737951388888</v>
      </c>
      <c r="F121" s="227">
        <v>43067.748090277775</v>
      </c>
      <c r="G121" s="226">
        <v>62</v>
      </c>
      <c r="H121" s="228" t="s">
        <v>498</v>
      </c>
      <c r="I121" s="227">
        <v>43067.774560185186</v>
      </c>
      <c r="J121" s="226">
        <v>0</v>
      </c>
      <c r="K121" s="238" t="str">
        <f t="shared" si="39"/>
        <v>4039/4040</v>
      </c>
      <c r="L121" s="246" t="str">
        <f>VLOOKUP(A121,'Trips&amp;Operators'!$C$1:$G$99911,5,FALSE)</f>
        <v>LEVIN SCOTT</v>
      </c>
      <c r="M121" s="225">
        <f t="shared" si="40"/>
        <v>2.6469907410501037E-2</v>
      </c>
      <c r="N121" s="226">
        <f t="shared" si="57"/>
        <v>38.116666671121493</v>
      </c>
      <c r="O121" s="226"/>
      <c r="P121" s="226"/>
      <c r="Q121" s="229"/>
      <c r="R121" s="243"/>
      <c r="S121" s="250">
        <f t="shared" si="56"/>
        <v>1</v>
      </c>
      <c r="T121" s="243" t="str">
        <f t="shared" si="41"/>
        <v>Southbound</v>
      </c>
      <c r="U121" s="247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49" t="str">
        <f t="shared" si="42"/>
        <v>https://d0f6bd738d7f1b3e5a7ca70fe4ff75f0.us-east-1.aws.found.io/app/kibana#/discover/Steve-Slow-Train-Analysis-(2080s-and-2083s)?_g=(refreshInterval:(display:Off,pause:!f,section:0,value:0),time:(from:'2017-11-28T16:42:39-0700',mode:absolute,to:'2017-11-28T19:35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21" s="248" t="str">
        <f>IF(AA121&lt;VLOOKUP(AG121,Variables!$AC$3:$AD$8,2,FALSE),"Y","N")</f>
        <v>N</v>
      </c>
      <c r="X121" s="248">
        <f t="shared" si="58"/>
        <v>1</v>
      </c>
      <c r="Y121" s="248">
        <f t="shared" si="55"/>
        <v>23.2959</v>
      </c>
      <c r="Z121" s="248">
        <f t="shared" si="54"/>
        <v>1.7600000000000001E-2</v>
      </c>
      <c r="AA121" s="248">
        <f t="shared" si="44"/>
        <v>23.278299999999998</v>
      </c>
      <c r="AB121" s="234" t="e">
        <f>VLOOKUP(A121,Enforcements!$C$7:$K$9,8,0)</f>
        <v>#N/A</v>
      </c>
      <c r="AC121" s="233" t="e">
        <f>VLOOKUP(A121,Enforcements!$C$7:$E$9,3,0)</f>
        <v>#N/A</v>
      </c>
      <c r="AD121" s="244">
        <f t="shared" si="45"/>
        <v>208</v>
      </c>
      <c r="AE121" s="236" t="str">
        <f t="shared" si="46"/>
        <v>aws s3 cp s3://rtdc.mdm.uploadarchive.raw/RTDC4039/ "%USERPROFILE%\AppData\Local\Temp\OnboardLogs"\RTDC4039\2017-11-28 --exclude "*" --recursive --include "*20171128*" &amp; "%USERPROFILE%\Documents\GitHub\mrs-test-scripts\Headless Mode &amp; Sideloading\WalkAndUnGZ.bat" "%USERPROFILE%\AppData\Local\Temp\OnboardLogs"\RTDC4039\2017-11-28 &amp; aws s3 cp s3://rtdc.mdm.uploadarchive.raw/RTDC4039/ "%USERPROFILE%\AppData\Local\Temp\OnboardLogs"\RTDC4039\2017-11-29 --exclude "*" --recursive --include "*20171129*" &amp; "%USERPROFILE%\Documents\GitHub\mrs-test-scripts\Headless Mode &amp; Sideloading\WalkAndUnGZ.bat" "%USERPROFILE%\AppData\Local\Temp\OnboardLogs"\RTDC4039\2017-11-29</v>
      </c>
      <c r="AF121" s="235" t="str">
        <f t="shared" si="47"/>
        <v>"C:\Program Files (x86)\AstroGrep\AstroGrep.exe" /e /r /s /spath="%USERPROFILE%\AppData\Local\Temp\OnboardLogs" /stypes="app*4039*20171129*" /stext=" 01:.+((SYSTEM_STATE.+slice.+state.+changed )|(ment ac)|(multiple cpu faults)|(system.+state.+changed )|(\[timeout)|(PRM\|1\|D)|(kpr)|(kdp)|(train st.+moving)|(\|lc)|(penalty))"</v>
      </c>
      <c r="AG121" s="245" t="str">
        <f t="shared" si="48"/>
        <v>EC</v>
      </c>
      <c r="AH121" s="237" t="str">
        <f t="shared" si="49"/>
        <v>"%USERPROFILE%\Documents\GitHub\eaglep3\Utilities\RefineRTDCRunTimes.py" --tripid 208-28 --locoid 4039 --swversion DE.1.0.9.0 --startMP 204:232959 --initTime 2017-11-28T17:42:39 --startdatetime 2017-11-28T17:57:15 --delay 62 --endMP 204:176 --enddatetime 2017-11-28T18:35:22 --enforcementcount 0 &gt;&gt;%USERPROFILE%\Documents\GitHub\eaglep3-reporting\EC\2017-11-28-refined-times.txt</v>
      </c>
      <c r="AI121" s="239" t="str">
        <f t="shared" si="50"/>
        <v>echo {"issue":{"subject":"","project_id":79,"tracker_id":40,"status_id":1,"priority_id":2,"assigned_to_id":338,"start_date":"2017-11-28","description":"","custom_fields":[{"id":1,"name":"Subdivision","value":"EC"},{"id":4,"name":"Milepost","value":"0.0176"},{"id":17,"name":"Train ID","value":"208-28"},{"id":16,"name":"Locomotive ID","value":"4039"},{"id":130,"name":"Impact","value":""},{"id":150,"name":"Time of Event (Mountain Time)","value":"18:35:22"},{"id":151,"name":"Denver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1" s="224"/>
      <c r="AK121" s="232"/>
      <c r="AL121" s="232"/>
      <c r="AM121" s="241" t="str">
        <f t="shared" si="51"/>
        <v>start /low /b %USERPROFILE%\Documents\GitHub\eaglep3\Utilities\DownloadLogsFromS3.py --loco 4039 --day 2017-11-28</v>
      </c>
      <c r="AN121" s="242" t="str">
        <f t="shared" si="52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01:35:22"},{"id":29,"name":"Sharepoint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231" t="str">
        <f t="shared" si="53"/>
        <v>https://d0f6bd738d7f1b3e5a7ca70fe4ff75f0.us-east-1.aws.found.io/app/kibana#/discover/Steve-Slow-Train-Analysis-(2080s-and-2083s)?_g=(refreshInterval:(display:Off,pause:!f,section:0,value:0),time:(from:'2017-11-28T16:42:39-0700',mode:absolute,to:'2017-11-28T19:35:22-0700'))&amp;_a=(columns:!('Message%20ID',Summary),filters:!(),index:'emp_*',interval:auto,query:(query_string:(analyze_wildcard:!t,query:'%22rtdc.l.rtdc.4039%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24" customFormat="1" x14ac:dyDescent="0.25">
      <c r="A122" s="230" t="s">
        <v>823</v>
      </c>
      <c r="B122" s="226">
        <v>4042</v>
      </c>
      <c r="C122" s="228" t="s">
        <v>192</v>
      </c>
      <c r="D122" s="228" t="s">
        <v>505</v>
      </c>
      <c r="E122" s="227">
        <v>43067.714131944442</v>
      </c>
      <c r="F122" s="227">
        <v>43067.719189814816</v>
      </c>
      <c r="G122" s="226">
        <v>83</v>
      </c>
      <c r="H122" s="228" t="s">
        <v>964</v>
      </c>
      <c r="I122" s="227">
        <v>43067.746192129627</v>
      </c>
      <c r="J122" s="226">
        <v>0</v>
      </c>
      <c r="K122" s="238" t="str">
        <f t="shared" si="39"/>
        <v>4041/4042</v>
      </c>
      <c r="L122" s="246" t="str">
        <f>VLOOKUP(A122,'Trips&amp;Operators'!$C$1:$G$99911,5,FALSE)</f>
        <v>LORI SANTOS</v>
      </c>
      <c r="M122" s="225">
        <f t="shared" si="40"/>
        <v>2.700231481139781E-2</v>
      </c>
      <c r="N122" s="226">
        <f t="shared" si="57"/>
        <v>38.883333328412846</v>
      </c>
      <c r="O122" s="226"/>
      <c r="P122" s="226"/>
      <c r="Q122" s="229"/>
      <c r="R122" s="243"/>
      <c r="S122" s="250">
        <f t="shared" si="56"/>
        <v>1</v>
      </c>
      <c r="T122" s="243" t="str">
        <f t="shared" si="41"/>
        <v>NorthBound</v>
      </c>
      <c r="U122" s="247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49" t="str">
        <f t="shared" si="42"/>
        <v>https://d0f6bd738d7f1b3e5a7ca70fe4ff75f0.us-east-1.aws.found.io/app/kibana#/discover/Steve-Slow-Train-Analysis-(2080s-and-2083s)?_g=(refreshInterval:(display:Off,pause:!f,section:0,value:0),time:(from:'2017-11-28T16:08:21-0700',mode:absolute,to:'2017-11-28T18:54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22" s="248" t="str">
        <f>IF(AA122&lt;VLOOKUP(AG122,Variables!$AC$3:$AD$8,2,FALSE),"Y","N")</f>
        <v>N</v>
      </c>
      <c r="X122" s="248">
        <f t="shared" si="58"/>
        <v>1</v>
      </c>
      <c r="Y122" s="248">
        <f t="shared" si="55"/>
        <v>5.7000000000000002E-2</v>
      </c>
      <c r="Z122" s="248">
        <f t="shared" si="54"/>
        <v>23.322800000000001</v>
      </c>
      <c r="AA122" s="248">
        <f t="shared" si="44"/>
        <v>23.265800000000002</v>
      </c>
      <c r="AB122" s="234" t="e">
        <f>VLOOKUP(A122,Enforcements!$C$7:$K$9,8,0)</f>
        <v>#N/A</v>
      </c>
      <c r="AC122" s="233" t="e">
        <f>VLOOKUP(A122,Enforcements!$C$7:$E$9,3,0)</f>
        <v>#N/A</v>
      </c>
      <c r="AD122" s="244">
        <f t="shared" si="45"/>
        <v>209</v>
      </c>
      <c r="AE122" s="236" t="str">
        <f t="shared" si="46"/>
        <v>aws s3 cp s3://rtdc.mdm.uploadarchive.raw/RTDC4042/ "%USERPROFILE%\AppData\Local\Temp\OnboardLogs"\RTDC4042\2017-11-28 --exclude "*" --recursive --include "*20171128*" &amp; "%USERPROFILE%\Documents\GitHub\mrs-test-scripts\Headless Mode &amp; Sideloading\WalkAndUnGZ.bat" "%USERPROFILE%\AppData\Local\Temp\OnboardLogs"\RTDC4042\2017-11-28 &amp; aws s3 cp s3://rtdc.mdm.uploadarchive.raw/RTDC4042/ "%USERPROFILE%\AppData\Local\Temp\OnboardLogs"\RTDC4042\2017-11-29 --exclude "*" --recursive --include "*20171129*" &amp; "%USERPROFILE%\Documents\GitHub\mrs-test-scripts\Headless Mode &amp; Sideloading\WalkAndUnGZ.bat" "%USERPROFILE%\AppData\Local\Temp\OnboardLogs"\RTDC4042\2017-11-29</v>
      </c>
      <c r="AF122" s="235" t="str">
        <f t="shared" si="47"/>
        <v>"C:\Program Files (x86)\AstroGrep\AstroGrep.exe" /e /r /s /spath="%USERPROFILE%\AppData\Local\Temp\OnboardLogs" /stypes="app*4042*20171129*" /stext=" 00:.+((SYSTEM_STATE.+slice.+state.+changed )|(ment ac)|(multiple cpu faults)|(system.+state.+changed )|(\[timeout)|(PRM\|1\|D)|(kpr)|(kdp)|(train st.+moving)|(\|lc)|(penalty))"</v>
      </c>
      <c r="AG122" s="245" t="str">
        <f t="shared" si="48"/>
        <v>EC</v>
      </c>
      <c r="AH122" s="237" t="str">
        <f t="shared" si="49"/>
        <v>"%USERPROFILE%\Documents\GitHub\eaglep3\Utilities\RefineRTDCRunTimes.py" --tripid 209-28 --locoid 4042 --swversion DE.1.0.9.0 --startMP 204:570 --initTime 2017-11-28T17:08:21 --startdatetime 2017-11-28T17:15:38 --delay 83 --endMP 204:233228 --enddatetime 2017-11-28T17:54:31 --enforcementcount 0 &gt;&gt;%USERPROFILE%\Documents\GitHub\eaglep3-reporting\EC\2017-11-28-refined-times.txt</v>
      </c>
      <c r="AI122" s="239" t="str">
        <f t="shared" si="50"/>
        <v>echo {"issue":{"subject":"","project_id":79,"tracker_id":40,"status_id":1,"priority_id":2,"assigned_to_id":338,"start_date":"2017-11-28","description":"","custom_fields":[{"id":1,"name":"Subdivision","value":"EC"},{"id":4,"name":"Milepost","value":"23.3228"},{"id":17,"name":"Train ID","value":"209-28"},{"id":16,"name":"Locomotive ID","value":"4042"},{"id":130,"name":"Impact","value":""},{"id":150,"name":"Time of Event (Mountain Time)","value":"17:54:31"},{"id":151,"name":"Denver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2" s="232"/>
      <c r="AL122" s="232"/>
      <c r="AM122" s="241" t="str">
        <f t="shared" si="51"/>
        <v>start /low /b %USERPROFILE%\Documents\GitHub\eaglep3\Utilities\DownloadLogsFromS3.py --loco 4042 --day 2017-11-28</v>
      </c>
      <c r="AN122" s="242" t="str">
        <f t="shared" si="52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00:54:31"},{"id":29,"name":"Sharepoint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231" t="str">
        <f t="shared" si="53"/>
        <v>https://d0f6bd738d7f1b3e5a7ca70fe4ff75f0.us-east-1.aws.found.io/app/kibana#/discover/Steve-Slow-Train-Analysis-(2080s-and-2083s)?_g=(refreshInterval:(display:Off,pause:!f,section:0,value:0),time:(from:'2017-11-28T16:08:21-0700',mode:absolute,to:'2017-11-28T18:54:31-0700'))&amp;_a=(columns:!('Message%20ID',Summary),filters:!(),index:'emp_*',interval:auto,query:(query_string:(analyze_wildcard:!t,query:'%22rtdc.l.rtdc.4042%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230" t="s">
        <v>836</v>
      </c>
      <c r="B123" s="226">
        <v>4041</v>
      </c>
      <c r="C123" s="228" t="s">
        <v>192</v>
      </c>
      <c r="D123" s="228" t="s">
        <v>595</v>
      </c>
      <c r="E123" s="227">
        <v>43067.752905092595</v>
      </c>
      <c r="F123" s="227">
        <v>43067.758645833332</v>
      </c>
      <c r="G123" s="226">
        <v>63</v>
      </c>
      <c r="H123" s="228" t="s">
        <v>436</v>
      </c>
      <c r="I123" s="227">
        <v>43067.785798611112</v>
      </c>
      <c r="J123" s="226">
        <v>0</v>
      </c>
      <c r="K123" s="238" t="str">
        <f t="shared" si="39"/>
        <v>4041/4042</v>
      </c>
      <c r="L123" s="246" t="str">
        <f>VLOOKUP(A123,'Trips&amp;Operators'!$C$1:$G$99911,5,FALSE)</f>
        <v>LORI SANTOS</v>
      </c>
      <c r="M123" s="225">
        <f t="shared" si="40"/>
        <v>2.715277778042946E-2</v>
      </c>
      <c r="N123" s="226">
        <f t="shared" si="57"/>
        <v>39.100000003818423</v>
      </c>
      <c r="O123" s="226"/>
      <c r="P123" s="226"/>
      <c r="Q123" s="229"/>
      <c r="R123" s="243"/>
      <c r="S123" s="250">
        <f t="shared" si="56"/>
        <v>1</v>
      </c>
      <c r="T123" s="243" t="str">
        <f t="shared" si="41"/>
        <v>Southbound</v>
      </c>
      <c r="U123" s="247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49" t="str">
        <f t="shared" si="42"/>
        <v>https://d0f6bd738d7f1b3e5a7ca70fe4ff75f0.us-east-1.aws.found.io/app/kibana#/discover/Steve-Slow-Train-Analysis-(2080s-and-2083s)?_g=(refreshInterval:(display:Off,pause:!f,section:0,value:0),time:(from:'2017-11-28T17:04:11-0700',mode:absolute,to:'2017-11-28T19:51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23" s="248" t="str">
        <f>IF(AA123&lt;VLOOKUP(AG123,Variables!$AC$3:$AD$8,2,FALSE),"Y","N")</f>
        <v>N</v>
      </c>
      <c r="X123" s="248">
        <f t="shared" si="58"/>
        <v>1</v>
      </c>
      <c r="Y123" s="248">
        <f t="shared" si="55"/>
        <v>23.289400000000001</v>
      </c>
      <c r="Z123" s="248">
        <f t="shared" si="54"/>
        <v>2.3400000000000001E-2</v>
      </c>
      <c r="AA123" s="248">
        <f t="shared" si="44"/>
        <v>23.266000000000002</v>
      </c>
      <c r="AB123" s="234" t="e">
        <f>VLOOKUP(A123,Enforcements!$C$7:$K$9,8,0)</f>
        <v>#N/A</v>
      </c>
      <c r="AC123" s="233" t="e">
        <f>VLOOKUP(A123,Enforcements!$C$7:$E$9,3,0)</f>
        <v>#N/A</v>
      </c>
      <c r="AD123" s="244">
        <f t="shared" si="45"/>
        <v>210</v>
      </c>
      <c r="AE123" s="236" t="str">
        <f t="shared" si="46"/>
        <v>aws s3 cp s3://rtdc.mdm.uploadarchive.raw/RTDC4041/ "%USERPROFILE%\AppData\Local\Temp\OnboardLogs"\RTDC4041\2017-11-28 --exclude "*" --recursive --include "*20171128*" &amp; "%USERPROFILE%\Documents\GitHub\mrs-test-scripts\Headless Mode &amp; Sideloading\WalkAndUnGZ.bat" "%USERPROFILE%\AppData\Local\Temp\OnboardLogs"\RTDC4041\2017-11-28 &amp; aws s3 cp s3://rtdc.mdm.uploadarchive.raw/RTDC4041/ "%USERPROFILE%\AppData\Local\Temp\OnboardLogs"\RTDC4041\2017-11-29 --exclude "*" --recursive --include "*20171129*" &amp; "%USERPROFILE%\Documents\GitHub\mrs-test-scripts\Headless Mode &amp; Sideloading\WalkAndUnGZ.bat" "%USERPROFILE%\AppData\Local\Temp\OnboardLogs"\RTDC4041\2017-11-29</v>
      </c>
      <c r="AF123" s="235" t="str">
        <f t="shared" si="47"/>
        <v>"C:\Program Files (x86)\AstroGrep\AstroGrep.exe" /e /r /s /spath="%USERPROFILE%\AppData\Local\Temp\OnboardLogs" /stypes="app*4041*20171129*" /stext=" 01:.+((SYSTEM_STATE.+slice.+state.+changed )|(ment ac)|(multiple cpu faults)|(system.+state.+changed )|(\[timeout)|(PRM\|1\|D)|(kpr)|(kdp)|(train st.+moving)|(\|lc)|(penalty))"</v>
      </c>
      <c r="AG123" s="245" t="str">
        <f t="shared" si="48"/>
        <v>EC</v>
      </c>
      <c r="AH123" s="237" t="str">
        <f t="shared" si="49"/>
        <v>"%USERPROFILE%\Documents\GitHub\eaglep3\Utilities\RefineRTDCRunTimes.py" --tripid 210-28 --locoid 4041 --swversion DE.1.0.9.0 --startMP 204:232894 --initTime 2017-11-28T18:04:11 --startdatetime 2017-11-28T18:12:27 --delay 63 --endMP 204:234 --enddatetime 2017-11-28T18:51:33 --enforcementcount 0 &gt;&gt;%USERPROFILE%\Documents\GitHub\eaglep3-reporting\EC\2017-11-28-refined-times.txt</v>
      </c>
      <c r="AI123" s="239" t="str">
        <f t="shared" si="50"/>
        <v>echo {"issue":{"subject":"","project_id":79,"tracker_id":40,"status_id":1,"priority_id":2,"assigned_to_id":338,"start_date":"2017-11-28","description":"","custom_fields":[{"id":1,"name":"Subdivision","value":"EC"},{"id":4,"name":"Milepost","value":"0.0234"},{"id":17,"name":"Train ID","value":"210-28"},{"id":16,"name":"Locomotive ID","value":"4041"},{"id":130,"name":"Impact","value":""},{"id":150,"name":"Time of Event (Mountain Time)","value":"18:51:33"},{"id":151,"name":"Denver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3" s="224"/>
      <c r="AK123" s="232"/>
      <c r="AL123" s="232"/>
      <c r="AM123" s="241" t="str">
        <f t="shared" si="51"/>
        <v>start /low /b %USERPROFILE%\Documents\GitHub\eaglep3\Utilities\DownloadLogsFromS3.py --loco 4041 --day 2017-11-28</v>
      </c>
      <c r="AN123" s="242" t="str">
        <f t="shared" si="52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01:51:33"},{"id":29,"name":"Sharepoint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231" t="str">
        <f t="shared" si="53"/>
        <v>https://d0f6bd738d7f1b3e5a7ca70fe4ff75f0.us-east-1.aws.found.io/app/kibana#/discover/Steve-Slow-Train-Analysis-(2080s-and-2083s)?_g=(refreshInterval:(display:Off,pause:!f,section:0,value:0),time:(from:'2017-11-28T17:04:11-0700',mode:absolute,to:'2017-11-28T19:51:33-0700'))&amp;_a=(columns:!('Message%20ID',Summary),filters:!(),index:'emp_*',interval:auto,query:(query_string:(analyze_wildcard:!t,query:'%22rtdc.l.rtdc.4041%22')),sort:!(Time.ISO8601,asc))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230" t="s">
        <v>825</v>
      </c>
      <c r="B124" s="226">
        <v>4034</v>
      </c>
      <c r="C124" s="228" t="s">
        <v>192</v>
      </c>
      <c r="D124" s="228" t="s">
        <v>608</v>
      </c>
      <c r="E124" s="227">
        <v>43067.724722222221</v>
      </c>
      <c r="F124" s="227">
        <v>43067.730520833335</v>
      </c>
      <c r="G124" s="226">
        <v>68</v>
      </c>
      <c r="H124" s="228" t="s">
        <v>965</v>
      </c>
      <c r="I124" s="227">
        <v>43067.755659722221</v>
      </c>
      <c r="J124" s="226">
        <v>0</v>
      </c>
      <c r="K124" s="238" t="str">
        <f t="shared" si="39"/>
        <v>4033/4034</v>
      </c>
      <c r="L124" s="246" t="str">
        <f>VLOOKUP(A124,'Trips&amp;Operators'!$C$1:$G$99911,5,FALSE)</f>
        <v>SAFIEF AEIMEN</v>
      </c>
      <c r="M124" s="225">
        <f t="shared" si="40"/>
        <v>2.5138888886431232E-2</v>
      </c>
      <c r="N124" s="226">
        <f t="shared" si="57"/>
        <v>36.199999996460974</v>
      </c>
      <c r="O124" s="226"/>
      <c r="P124" s="226"/>
      <c r="Q124" s="229"/>
      <c r="R124" s="243"/>
      <c r="S124" s="250">
        <f t="shared" si="56"/>
        <v>1</v>
      </c>
      <c r="T124" s="243" t="str">
        <f t="shared" si="41"/>
        <v>NorthBound</v>
      </c>
      <c r="U124" s="247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49" t="str">
        <f t="shared" si="42"/>
        <v>https://d0f6bd738d7f1b3e5a7ca70fe4ff75f0.us-east-1.aws.found.io/app/kibana#/discover/Steve-Slow-Train-Analysis-(2080s-and-2083s)?_g=(refreshInterval:(display:Off,pause:!f,section:0,value:0),time:(from:'2017-11-28T16:23:36-0700',mode:absolute,to:'2017-11-28T19:08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24" s="248" t="str">
        <f>IF(AA124&lt;VLOOKUP(AG124,Variables!$AC$3:$AD$8,2,FALSE),"Y","N")</f>
        <v>N</v>
      </c>
      <c r="X124" s="248">
        <f t="shared" si="58"/>
        <v>1</v>
      </c>
      <c r="Y124" s="248">
        <f t="shared" si="55"/>
        <v>5.0900000000000001E-2</v>
      </c>
      <c r="Z124" s="248">
        <f t="shared" si="54"/>
        <v>23.322500000000002</v>
      </c>
      <c r="AA124" s="248">
        <f t="shared" si="44"/>
        <v>23.271600000000003</v>
      </c>
      <c r="AB124" s="234" t="e">
        <f>VLOOKUP(A124,Enforcements!$C$7:$K$9,8,0)</f>
        <v>#N/A</v>
      </c>
      <c r="AC124" s="233" t="e">
        <f>VLOOKUP(A124,Enforcements!$C$7:$E$9,3,0)</f>
        <v>#N/A</v>
      </c>
      <c r="AD124" s="244">
        <f t="shared" si="45"/>
        <v>211</v>
      </c>
      <c r="AE124" s="236" t="str">
        <f t="shared" si="46"/>
        <v>aws s3 cp s3://rtdc.mdm.uploadarchive.raw/RTDC4034/ "%USERPROFILE%\AppData\Local\Temp\OnboardLogs"\RTDC4034\2017-11-28 --exclude "*" --recursive --include "*20171128*" &amp; "%USERPROFILE%\Documents\GitHub\mrs-test-scripts\Headless Mode &amp; Sideloading\WalkAndUnGZ.bat" "%USERPROFILE%\AppData\Local\Temp\OnboardLogs"\RTDC4034\2017-11-28 &amp; aws s3 cp s3://rtdc.mdm.uploadarchive.raw/RTDC4034/ "%USERPROFILE%\AppData\Local\Temp\OnboardLogs"\RTDC4034\2017-11-29 --exclude "*" --recursive --include "*20171129*" &amp; "%USERPROFILE%\Documents\GitHub\mrs-test-scripts\Headless Mode &amp; Sideloading\WalkAndUnGZ.bat" "%USERPROFILE%\AppData\Local\Temp\OnboardLogs"\RTDC4034\2017-11-29</v>
      </c>
      <c r="AF124" s="235" t="str">
        <f t="shared" si="47"/>
        <v>"C:\Program Files (x86)\AstroGrep\AstroGrep.exe" /e /r /s /spath="%USERPROFILE%\AppData\Local\Temp\OnboardLogs" /stypes="app*4034*20171129*" /stext=" 01:.+((SYSTEM_STATE.+slice.+state.+changed )|(ment ac)|(multiple cpu faults)|(system.+state.+changed )|(\[timeout)|(PRM\|1\|D)|(kpr)|(kdp)|(train st.+moving)|(\|lc)|(penalty))"</v>
      </c>
      <c r="AG124" s="245" t="str">
        <f t="shared" si="48"/>
        <v>EC</v>
      </c>
      <c r="AH124" s="237" t="str">
        <f t="shared" si="49"/>
        <v>"%USERPROFILE%\Documents\GitHub\eaglep3\Utilities\RefineRTDCRunTimes.py" --tripid 211-28 --locoid 4034 --swversion DE.1.0.9.0 --startMP 204:509 --initTime 2017-11-28T17:23:36 --startdatetime 2017-11-28T17:31:57 --delay 68 --endMP 204:233225 --enddatetime 2017-11-28T18:08:09 --enforcementcount 0 &gt;&gt;%USERPROFILE%\Documents\GitHub\eaglep3-reporting\EC\2017-11-28-refined-times.txt</v>
      </c>
      <c r="AI124" s="239" t="str">
        <f t="shared" si="50"/>
        <v>echo {"issue":{"subject":"","project_id":79,"tracker_id":40,"status_id":1,"priority_id":2,"assigned_to_id":338,"start_date":"2017-11-28","description":"","custom_fields":[{"id":1,"name":"Subdivision","value":"EC"},{"id":4,"name":"Milepost","value":"23.3225"},{"id":17,"name":"Train ID","value":"211-28"},{"id":16,"name":"Locomotive ID","value":"4034"},{"id":130,"name":"Impact","value":""},{"id":150,"name":"Time of Event (Mountain Time)","value":"18:08:09"},{"id":151,"name":"Denver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4" s="224"/>
      <c r="AK124" s="232"/>
      <c r="AL124" s="232"/>
      <c r="AM124" s="241" t="str">
        <f t="shared" si="51"/>
        <v>start /low /b %USERPROFILE%\Documents\GitHub\eaglep3\Utilities\DownloadLogsFromS3.py --loco 4034 --day 2017-11-28</v>
      </c>
      <c r="AN124" s="242" t="str">
        <f t="shared" si="52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01:08:09"},{"id":29,"name":"Sharepoint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231" t="str">
        <f t="shared" si="53"/>
        <v>https://d0f6bd738d7f1b3e5a7ca70fe4ff75f0.us-east-1.aws.found.io/app/kibana#/discover/Steve-Slow-Train-Analysis-(2080s-and-2083s)?_g=(refreshInterval:(display:Off,pause:!f,section:0,value:0),time:(from:'2017-11-28T16:23:36-0700',mode:absolute,to:'2017-11-28T19:08:09-0700'))&amp;_a=(columns:!('Message%20ID',Summary),filters:!(),index:'emp_*',interval:auto,query:(query_string:(analyze_wildcard:!t,query:'%22rtdc.l.rtdc.4034%22')),sort:!(Time.ISO8601,asc))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230" t="s">
        <v>839</v>
      </c>
      <c r="B125" s="226">
        <v>4033</v>
      </c>
      <c r="C125" s="228" t="s">
        <v>192</v>
      </c>
      <c r="D125" s="228" t="s">
        <v>589</v>
      </c>
      <c r="E125" s="227">
        <v>43067.759375000001</v>
      </c>
      <c r="F125" s="227">
        <v>43067.769120370373</v>
      </c>
      <c r="G125" s="226">
        <v>65</v>
      </c>
      <c r="H125" s="228" t="s">
        <v>893</v>
      </c>
      <c r="I125" s="227">
        <v>43067.795092592591</v>
      </c>
      <c r="J125" s="226">
        <v>0</v>
      </c>
      <c r="K125" s="238" t="str">
        <f t="shared" si="39"/>
        <v>4033/4034</v>
      </c>
      <c r="L125" s="246" t="str">
        <f>VLOOKUP(A125,'Trips&amp;Operators'!$C$1:$G$99911,5,FALSE)</f>
        <v>SAFIEF AEIMEN</v>
      </c>
      <c r="M125" s="225">
        <f t="shared" si="40"/>
        <v>2.5972222218115348E-2</v>
      </c>
      <c r="N125" s="226">
        <f t="shared" si="57"/>
        <v>37.399999994086102</v>
      </c>
      <c r="O125" s="226"/>
      <c r="P125" s="226"/>
      <c r="Q125" s="229"/>
      <c r="R125" s="243"/>
      <c r="S125" s="250">
        <f t="shared" si="56"/>
        <v>1</v>
      </c>
      <c r="T125" s="243" t="str">
        <f t="shared" si="41"/>
        <v>Southbound</v>
      </c>
      <c r="U125" s="247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49" t="str">
        <f t="shared" si="42"/>
        <v>https://d0f6bd738d7f1b3e5a7ca70fe4ff75f0.us-east-1.aws.found.io/app/kibana#/discover/Steve-Slow-Train-Analysis-(2080s-and-2083s)?_g=(refreshInterval:(display:Off,pause:!f,section:0,value:0),time:(from:'2017-11-28T17:13:30-0700',mode:absolute,to:'2017-11-28T20:04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25" s="248" t="str">
        <f>IF(AA125&lt;VLOOKUP(AG125,Variables!$AC$3:$AD$8,2,FALSE),"Y","N")</f>
        <v>N</v>
      </c>
      <c r="X125" s="248">
        <f t="shared" si="58"/>
        <v>1</v>
      </c>
      <c r="Y125" s="248">
        <f t="shared" si="55"/>
        <v>23.291499999999999</v>
      </c>
      <c r="Z125" s="248">
        <f t="shared" si="54"/>
        <v>2.0299999999999999E-2</v>
      </c>
      <c r="AA125" s="248">
        <f t="shared" si="44"/>
        <v>23.2712</v>
      </c>
      <c r="AB125" s="234" t="e">
        <f>VLOOKUP(A125,Enforcements!$C$7:$K$9,8,0)</f>
        <v>#N/A</v>
      </c>
      <c r="AC125" s="233" t="e">
        <f>VLOOKUP(A125,Enforcements!$C$7:$E$9,3,0)</f>
        <v>#N/A</v>
      </c>
      <c r="AD125" s="244">
        <f t="shared" si="45"/>
        <v>212</v>
      </c>
      <c r="AE125" s="236" t="str">
        <f t="shared" si="46"/>
        <v>aws s3 cp s3://rtdc.mdm.uploadarchive.raw/RTDC4033/ "%USERPROFILE%\AppData\Local\Temp\OnboardLogs"\RTDC4033\2017-11-28 --exclude "*" --recursive --include "*20171128*" &amp; "%USERPROFILE%\Documents\GitHub\mrs-test-scripts\Headless Mode &amp; Sideloading\WalkAndUnGZ.bat" "%USERPROFILE%\AppData\Local\Temp\OnboardLogs"\RTDC4033\2017-11-28 &amp; aws s3 cp s3://rtdc.mdm.uploadarchive.raw/RTDC4033/ "%USERPROFILE%\AppData\Local\Temp\OnboardLogs"\RTDC4033\2017-11-29 --exclude "*" --recursive --include "*20171129*" &amp; "%USERPROFILE%\Documents\GitHub\mrs-test-scripts\Headless Mode &amp; Sideloading\WalkAndUnGZ.bat" "%USERPROFILE%\AppData\Local\Temp\OnboardLogs"\RTDC4033\2017-11-29</v>
      </c>
      <c r="AF125" s="235" t="str">
        <f t="shared" si="47"/>
        <v>"C:\Program Files (x86)\AstroGrep\AstroGrep.exe" /e /r /s /spath="%USERPROFILE%\AppData\Local\Temp\OnboardLogs" /stypes="app*4033*20171129*" /stext=" 02:.+((SYSTEM_STATE.+slice.+state.+changed )|(ment ac)|(multiple cpu faults)|(system.+state.+changed )|(\[timeout)|(PRM\|1\|D)|(kpr)|(kdp)|(train st.+moving)|(\|lc)|(penalty))"</v>
      </c>
      <c r="AG125" s="245" t="str">
        <f t="shared" si="48"/>
        <v>EC</v>
      </c>
      <c r="AH125" s="237" t="str">
        <f t="shared" si="49"/>
        <v>"%USERPROFILE%\Documents\GitHub\eaglep3\Utilities\RefineRTDCRunTimes.py" --tripid 212-28 --locoid 4033 --swversion DE.1.0.9.0 --startMP 204:232915 --initTime 2017-11-28T18:13:30 --startdatetime 2017-11-28T18:27:32 --delay 65 --endMP 204:203 --enddatetime 2017-11-28T19:04:56 --enforcementcount 0 &gt;&gt;%USERPROFILE%\Documents\GitHub\eaglep3-reporting\EC\2017-11-28-refined-times.txt</v>
      </c>
      <c r="AI125" s="239" t="str">
        <f t="shared" si="50"/>
        <v>echo {"issue":{"subject":"","project_id":79,"tracker_id":40,"status_id":1,"priority_id":2,"assigned_to_id":338,"start_date":"2017-11-28","description":"","custom_fields":[{"id":1,"name":"Subdivision","value":"EC"},{"id":4,"name":"Milepost","value":"0.0203"},{"id":17,"name":"Train ID","value":"212-28"},{"id":16,"name":"Locomotive ID","value":"4033"},{"id":130,"name":"Impact","value":""},{"id":150,"name":"Time of Event (Mountain Time)","value":"19:04:56"},{"id":151,"name":"Denver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5" s="224"/>
      <c r="AK125" s="232"/>
      <c r="AL125" s="232"/>
      <c r="AM125" s="241" t="str">
        <f t="shared" si="51"/>
        <v>start /low /b %USERPROFILE%\Documents\GitHub\eaglep3\Utilities\DownloadLogsFromS3.py --loco 4033 --day 2017-11-28</v>
      </c>
      <c r="AN125" s="242" t="str">
        <f t="shared" si="52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02:04:56"},{"id":29,"name":"Sharepoint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231" t="str">
        <f t="shared" si="53"/>
        <v>https://d0f6bd738d7f1b3e5a7ca70fe4ff75f0.us-east-1.aws.found.io/app/kibana#/discover/Steve-Slow-Train-Analysis-(2080s-and-2083s)?_g=(refreshInterval:(display:Off,pause:!f,section:0,value:0),time:(from:'2017-11-28T17:13:30-0700',mode:absolute,to:'2017-11-28T20:04:56-0700'))&amp;_a=(columns:!('Message%20ID',Summary),filters:!(),index:'emp_*',interval:auto,query:(query_string:(analyze_wildcard:!t,query:'%22rtdc.l.rtdc.4033%22')),sort:!(Time.ISO8601,asc))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230" t="s">
        <v>829</v>
      </c>
      <c r="B126" s="226">
        <v>4008</v>
      </c>
      <c r="C126" s="228" t="s">
        <v>192</v>
      </c>
      <c r="D126" s="228" t="s">
        <v>600</v>
      </c>
      <c r="E126" s="227">
        <v>43067.73574074074</v>
      </c>
      <c r="F126" s="227">
        <v>43067.739861111113</v>
      </c>
      <c r="G126" s="226">
        <v>159</v>
      </c>
      <c r="H126" s="228" t="s">
        <v>594</v>
      </c>
      <c r="I126" s="227">
        <v>43067.764999999999</v>
      </c>
      <c r="J126" s="226">
        <v>0</v>
      </c>
      <c r="K126" s="238" t="str">
        <f t="shared" si="39"/>
        <v>4007/4008</v>
      </c>
      <c r="L126" s="246" t="str">
        <f>VLOOKUP(A126,'Trips&amp;Operators'!$C$1:$G$99911,5,FALSE)</f>
        <v>LOZA FIDEL</v>
      </c>
      <c r="M126" s="225">
        <f t="shared" si="40"/>
        <v>2.5138888886431232E-2</v>
      </c>
      <c r="N126" s="226">
        <f t="shared" si="57"/>
        <v>36.199999996460974</v>
      </c>
      <c r="O126" s="226"/>
      <c r="P126" s="226"/>
      <c r="Q126" s="229"/>
      <c r="R126" s="243"/>
      <c r="S126" s="250">
        <f t="shared" si="56"/>
        <v>1</v>
      </c>
      <c r="T126" s="243" t="str">
        <f t="shared" si="41"/>
        <v>NorthBound</v>
      </c>
      <c r="U126" s="247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49" t="str">
        <f t="shared" si="42"/>
        <v>https://d0f6bd738d7f1b3e5a7ca70fe4ff75f0.us-east-1.aws.found.io/app/kibana#/discover/Steve-Slow-Train-Analysis-(2080s-and-2083s)?_g=(refreshInterval:(display:Off,pause:!f,section:0,value:0),time:(from:'2017-11-28T16:39:28-0700',mode:absolute,to:'2017-11-28T19:21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26" s="248" t="str">
        <f>IF(AA126&lt;VLOOKUP(AG126,Variables!$AC$3:$AD$8,2,FALSE),"Y","N")</f>
        <v>N</v>
      </c>
      <c r="X126" s="248">
        <f t="shared" si="58"/>
        <v>1</v>
      </c>
      <c r="Y126" s="248">
        <f t="shared" si="55"/>
        <v>5.2900000000000003E-2</v>
      </c>
      <c r="Z126" s="248">
        <f t="shared" ref="Z126:Z157" si="59">RIGHT(H126,LEN(H126)-4)/10000</f>
        <v>23.321999999999999</v>
      </c>
      <c r="AA126" s="248">
        <f t="shared" si="44"/>
        <v>23.269099999999998</v>
      </c>
      <c r="AB126" s="234" t="e">
        <f>VLOOKUP(A126,Enforcements!$C$7:$K$9,8,0)</f>
        <v>#N/A</v>
      </c>
      <c r="AC126" s="233" t="e">
        <f>VLOOKUP(A126,Enforcements!$C$7:$E$9,3,0)</f>
        <v>#N/A</v>
      </c>
      <c r="AD126" s="244">
        <f t="shared" si="45"/>
        <v>213</v>
      </c>
      <c r="AE126" s="236" t="str">
        <f t="shared" si="46"/>
        <v>aws s3 cp s3://rtdc.mdm.uploadarchive.raw/RTDC4008/ "%USERPROFILE%\AppData\Local\Temp\OnboardLogs"\RTDC4008\2017-11-28 --exclude "*" --recursive --include "*20171128*" &amp; "%USERPROFILE%\Documents\GitHub\mrs-test-scripts\Headless Mode &amp; Sideloading\WalkAndUnGZ.bat" "%USERPROFILE%\AppData\Local\Temp\OnboardLogs"\RTDC4008\2017-11-28 &amp; aws s3 cp s3://rtdc.mdm.uploadarchive.raw/RTDC4008/ "%USERPROFILE%\AppData\Local\Temp\OnboardLogs"\RTDC4008\2017-11-29 --exclude "*" --recursive --include "*20171129*" &amp; "%USERPROFILE%\Documents\GitHub\mrs-test-scripts\Headless Mode &amp; Sideloading\WalkAndUnGZ.bat" "%USERPROFILE%\AppData\Local\Temp\OnboardLogs"\RTDC4008\2017-11-29</v>
      </c>
      <c r="AF126" s="235" t="str">
        <f t="shared" si="47"/>
        <v>"C:\Program Files (x86)\AstroGrep\AstroGrep.exe" /e /r /s /spath="%USERPROFILE%\AppData\Local\Temp\OnboardLogs" /stypes="app*4008*20171129*" /stext=" 01:.+((SYSTEM_STATE.+slice.+state.+changed )|(ment ac)|(multiple cpu faults)|(system.+state.+changed )|(\[timeout)|(PRM\|1\|D)|(kpr)|(kdp)|(train st.+moving)|(\|lc)|(penalty))"</v>
      </c>
      <c r="AG126" s="245" t="str">
        <f t="shared" si="48"/>
        <v>EC</v>
      </c>
      <c r="AH126" s="237" t="str">
        <f t="shared" si="49"/>
        <v>"%USERPROFILE%\Documents\GitHub\eaglep3\Utilities\RefineRTDCRunTimes.py" --tripid 213-28 --locoid 4008 --swversion DE.1.0.9.0 --startMP 204:529 --initTime 2017-11-28T17:39:28 --startdatetime 2017-11-28T17:45:24 --delay 159 --endMP 204:233220 --enddatetime 2017-11-28T18:21:36 --enforcementcount 0 &gt;&gt;%USERPROFILE%\Documents\GitHub\eaglep3-reporting\EC\2017-11-28-refined-times.txt</v>
      </c>
      <c r="AI126" s="239" t="str">
        <f t="shared" si="50"/>
        <v>echo {"issue":{"subject":"","project_id":79,"tracker_id":40,"status_id":1,"priority_id":2,"assigned_to_id":338,"start_date":"2017-11-28","description":"","custom_fields":[{"id":1,"name":"Subdivision","value":"EC"},{"id":4,"name":"Milepost","value":"23.322"},{"id":17,"name":"Train ID","value":"213-28"},{"id":16,"name":"Locomotive ID","value":"4008"},{"id":130,"name":"Impact","value":""},{"id":150,"name":"Time of Event (Mountain Time)","value":"18:21:36"},{"id":151,"name":"Denver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6" s="224"/>
      <c r="AK126" s="232"/>
      <c r="AL126" s="232"/>
      <c r="AM126" s="241" t="str">
        <f t="shared" si="51"/>
        <v>start /low /b %USERPROFILE%\Documents\GitHub\eaglep3\Utilities\DownloadLogsFromS3.py --loco 4008 --day 2017-11-28</v>
      </c>
      <c r="AN126" s="242" t="str">
        <f t="shared" si="52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01:21:36"},{"id":29,"name":"Sharepoint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231" t="str">
        <f t="shared" si="53"/>
        <v>https://d0f6bd738d7f1b3e5a7ca70fe4ff75f0.us-east-1.aws.found.io/app/kibana#/discover/Steve-Slow-Train-Analysis-(2080s-and-2083s)?_g=(refreshInterval:(display:Off,pause:!f,section:0,value:0),time:(from:'2017-11-28T16:39:28-0700',mode:absolute,to:'2017-11-28T19:21:36-0700'))&amp;_a=(columns:!('Message%20ID',Summary),filters:!(),index:'emp_*',interval:auto,query:(query_string:(analyze_wildcard:!t,query:'%22rtdc.l.rtdc.4008%22')),sort:!(Time.ISO8601,asc))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230" t="s">
        <v>845</v>
      </c>
      <c r="B127" s="226">
        <v>4007</v>
      </c>
      <c r="C127" s="228" t="s">
        <v>192</v>
      </c>
      <c r="D127" s="228" t="s">
        <v>966</v>
      </c>
      <c r="E127" s="227">
        <v>43067.775451388887</v>
      </c>
      <c r="F127" s="227">
        <v>43067.779363425929</v>
      </c>
      <c r="G127" s="226">
        <v>140</v>
      </c>
      <c r="H127" s="228" t="s">
        <v>437</v>
      </c>
      <c r="I127" s="227">
        <v>43067.804849537039</v>
      </c>
      <c r="J127" s="226">
        <v>0</v>
      </c>
      <c r="K127" s="238" t="str">
        <f t="shared" si="39"/>
        <v>4007/4008</v>
      </c>
      <c r="L127" s="246" t="str">
        <f>VLOOKUP(A127,'Trips&amp;Operators'!$C$1:$G$99911,5,FALSE)</f>
        <v>LOZA FIDEL</v>
      </c>
      <c r="M127" s="225">
        <f t="shared" si="40"/>
        <v>2.548611110978527E-2</v>
      </c>
      <c r="N127" s="226">
        <f t="shared" si="57"/>
        <v>36.699999998090789</v>
      </c>
      <c r="O127" s="226"/>
      <c r="P127" s="226"/>
      <c r="Q127" s="229"/>
      <c r="R127" s="243"/>
      <c r="S127" s="250">
        <f t="shared" si="56"/>
        <v>1</v>
      </c>
      <c r="T127" s="243" t="str">
        <f t="shared" si="41"/>
        <v>Southbound</v>
      </c>
      <c r="U127" s="247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49" t="str">
        <f t="shared" si="42"/>
        <v>https://d0f6bd738d7f1b3e5a7ca70fe4ff75f0.us-east-1.aws.found.io/app/kibana#/discover/Steve-Slow-Train-Analysis-(2080s-and-2083s)?_g=(refreshInterval:(display:Off,pause:!f,section:0,value:0),time:(from:'2017-11-28T17:36:39-0700',mode:absolute,to:'2017-11-28T20:18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27" s="248" t="str">
        <f>IF(AA127&lt;VLOOKUP(AG127,Variables!$AC$3:$AD$8,2,FALSE),"Y","N")</f>
        <v>N</v>
      </c>
      <c r="X127" s="248">
        <f t="shared" si="58"/>
        <v>1</v>
      </c>
      <c r="Y127" s="248">
        <f t="shared" si="55"/>
        <v>23.2925</v>
      </c>
      <c r="Z127" s="248">
        <f t="shared" si="59"/>
        <v>2.12E-2</v>
      </c>
      <c r="AA127" s="248">
        <f t="shared" si="44"/>
        <v>23.2713</v>
      </c>
      <c r="AB127" s="234" t="e">
        <f>VLOOKUP(A127,Enforcements!$C$7:$K$9,8,0)</f>
        <v>#N/A</v>
      </c>
      <c r="AC127" s="233" t="e">
        <f>VLOOKUP(A127,Enforcements!$C$7:$E$9,3,0)</f>
        <v>#N/A</v>
      </c>
      <c r="AD127" s="244">
        <f t="shared" si="45"/>
        <v>214</v>
      </c>
      <c r="AE127" s="236" t="str">
        <f t="shared" si="46"/>
        <v>aws s3 cp s3://rtdc.mdm.uploadarchive.raw/RTDC4007/ "%USERPROFILE%\AppData\Local\Temp\OnboardLogs"\RTDC4007\2017-11-28 --exclude "*" --recursive --include "*20171128*" &amp; "%USERPROFILE%\Documents\GitHub\mrs-test-scripts\Headless Mode &amp; Sideloading\WalkAndUnGZ.bat" "%USERPROFILE%\AppData\Local\Temp\OnboardLogs"\RTDC4007\2017-11-28 &amp; aws s3 cp s3://rtdc.mdm.uploadarchive.raw/RTDC4007/ "%USERPROFILE%\AppData\Local\Temp\OnboardLogs"\RTDC4007\2017-11-29 --exclude "*" --recursive --include "*20171129*" &amp; "%USERPROFILE%\Documents\GitHub\mrs-test-scripts\Headless Mode &amp; Sideloading\WalkAndUnGZ.bat" "%USERPROFILE%\AppData\Local\Temp\OnboardLogs"\RTDC4007\2017-11-29</v>
      </c>
      <c r="AF127" s="235" t="str">
        <f t="shared" si="47"/>
        <v>"C:\Program Files (x86)\AstroGrep\AstroGrep.exe" /e /r /s /spath="%USERPROFILE%\AppData\Local\Temp\OnboardLogs" /stypes="app*4007*20171129*" /stext=" 02:.+((SYSTEM_STATE.+slice.+state.+changed )|(ment ac)|(multiple cpu faults)|(system.+state.+changed )|(\[timeout)|(PRM\|1\|D)|(kpr)|(kdp)|(train st.+moving)|(\|lc)|(penalty))"</v>
      </c>
      <c r="AG127" s="245" t="str">
        <f t="shared" si="48"/>
        <v>EC</v>
      </c>
      <c r="AH127" s="237" t="str">
        <f t="shared" si="49"/>
        <v>"%USERPROFILE%\Documents\GitHub\eaglep3\Utilities\RefineRTDCRunTimes.py" --tripid 214-28 --locoid 4007 --swversion DE.1.0.9.0 --startMP 204:232925 --initTime 2017-11-28T18:36:39 --startdatetime 2017-11-28T18:42:17 --delay 140 --endMP 204:212 --enddatetime 2017-11-28T19:18:59 --enforcementcount 0 &gt;&gt;%USERPROFILE%\Documents\GitHub\eaglep3-reporting\EC\2017-11-28-refined-times.txt</v>
      </c>
      <c r="AI127" s="239" t="str">
        <f t="shared" si="50"/>
        <v>echo {"issue":{"subject":"","project_id":79,"tracker_id":40,"status_id":1,"priority_id":2,"assigned_to_id":338,"start_date":"2017-11-28","description":"","custom_fields":[{"id":1,"name":"Subdivision","value":"EC"},{"id":4,"name":"Milepost","value":"0.0212"},{"id":17,"name":"Train ID","value":"214-28"},{"id":16,"name":"Locomotive ID","value":"4007"},{"id":130,"name":"Impact","value":""},{"id":150,"name":"Time of Event (Mountain Time)","value":"19:18:59"},{"id":151,"name":"Denver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7" s="224"/>
      <c r="AK127" s="232"/>
      <c r="AL127" s="232"/>
      <c r="AM127" s="241" t="str">
        <f t="shared" si="51"/>
        <v>start /low /b %USERPROFILE%\Documents\GitHub\eaglep3\Utilities\DownloadLogsFromS3.py --loco 4007 --day 2017-11-28</v>
      </c>
      <c r="AN127" s="242" t="str">
        <f t="shared" si="52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02:18:59"},{"id":29,"name":"Sharepoint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231" t="str">
        <f t="shared" si="53"/>
        <v>https://d0f6bd738d7f1b3e5a7ca70fe4ff75f0.us-east-1.aws.found.io/app/kibana#/discover/Steve-Slow-Train-Analysis-(2080s-and-2083s)?_g=(refreshInterval:(display:Off,pause:!f,section:0,value:0),time:(from:'2017-11-28T17:36:39-0700',mode:absolute,to:'2017-11-28T20:18:59-0700'))&amp;_a=(columns:!('Message%20ID',Summary),filters:!(),index:'emp_*',interval:auto,query:(query_string:(analyze_wildcard:!t,query:'%22rtdc.l.rtdc.4007%22')),sort:!(Time.ISO8601,asc))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230" t="s">
        <v>834</v>
      </c>
      <c r="B128" s="226">
        <v>4050</v>
      </c>
      <c r="C128" s="228" t="s">
        <v>192</v>
      </c>
      <c r="D128" s="228" t="s">
        <v>967</v>
      </c>
      <c r="E128" s="227">
        <v>43067.744293981479</v>
      </c>
      <c r="F128" s="227">
        <v>43067.7503125</v>
      </c>
      <c r="G128" s="226">
        <v>73</v>
      </c>
      <c r="H128" s="228" t="s">
        <v>968</v>
      </c>
      <c r="I128" s="227">
        <v>43067.774594907409</v>
      </c>
      <c r="J128" s="226">
        <v>0</v>
      </c>
      <c r="K128" s="238" t="str">
        <f t="shared" si="39"/>
        <v>4049/4050</v>
      </c>
      <c r="L128" s="246" t="str">
        <f>VLOOKUP(A128,'Trips&amp;Operators'!$C$1:$G$99911,5,FALSE)</f>
        <v>SMITH MICHAEL</v>
      </c>
      <c r="M128" s="225">
        <f t="shared" si="40"/>
        <v>2.4282407408463769E-2</v>
      </c>
      <c r="N128" s="226">
        <f t="shared" si="57"/>
        <v>34.966666668187827</v>
      </c>
      <c r="O128" s="226"/>
      <c r="P128" s="226"/>
      <c r="Q128" s="229"/>
      <c r="R128" s="243"/>
      <c r="S128" s="250">
        <f t="shared" si="56"/>
        <v>1</v>
      </c>
      <c r="T128" s="243" t="str">
        <f t="shared" si="41"/>
        <v>NorthBound</v>
      </c>
      <c r="U128" s="247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49" t="str">
        <f t="shared" si="42"/>
        <v>https://d0f6bd738d7f1b3e5a7ca70fe4ff75f0.us-east-1.aws.found.io/app/kibana#/discover/Steve-Slow-Train-Analysis-(2080s-and-2083s)?_g=(refreshInterval:(display:Off,pause:!f,section:0,value:0),time:(from:'2017-11-28T16:51:47-0700',mode:absolute,to:'2017-11-28T19:35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28" s="248" t="str">
        <f>IF(AA128&lt;VLOOKUP(AG128,Variables!$AC$3:$AD$8,2,FALSE),"Y","N")</f>
        <v>N</v>
      </c>
      <c r="X128" s="248">
        <f t="shared" si="58"/>
        <v>1</v>
      </c>
      <c r="Y128" s="248">
        <f t="shared" si="55"/>
        <v>5.6599999999999998E-2</v>
      </c>
      <c r="Z128" s="248">
        <f t="shared" si="59"/>
        <v>23.320799999999998</v>
      </c>
      <c r="AA128" s="248">
        <f t="shared" si="44"/>
        <v>23.264199999999999</v>
      </c>
      <c r="AB128" s="234" t="e">
        <f>VLOOKUP(A128,Enforcements!$C$7:$K$9,8,0)</f>
        <v>#N/A</v>
      </c>
      <c r="AC128" s="233" t="e">
        <f>VLOOKUP(A128,Enforcements!$C$7:$E$9,3,0)</f>
        <v>#N/A</v>
      </c>
      <c r="AD128" s="244">
        <f t="shared" si="45"/>
        <v>215</v>
      </c>
      <c r="AE128" s="236" t="str">
        <f t="shared" si="46"/>
        <v>aws s3 cp s3://rtdc.mdm.uploadarchive.raw/RTDC4050/ "%USERPROFILE%\AppData\Local\Temp\OnboardLogs"\RTDC4050\2017-11-28 --exclude "*" --recursive --include "*20171128*" &amp; "%USERPROFILE%\Documents\GitHub\mrs-test-scripts\Headless Mode &amp; Sideloading\WalkAndUnGZ.bat" "%USERPROFILE%\AppData\Local\Temp\OnboardLogs"\RTDC4050\2017-11-28 &amp; aws s3 cp s3://rtdc.mdm.uploadarchive.raw/RTDC4050/ "%USERPROFILE%\AppData\Local\Temp\OnboardLogs"\RTDC4050\2017-11-29 --exclude "*" --recursive --include "*20171129*" &amp; "%USERPROFILE%\Documents\GitHub\mrs-test-scripts\Headless Mode &amp; Sideloading\WalkAndUnGZ.bat" "%USERPROFILE%\AppData\Local\Temp\OnboardLogs"\RTDC4050\2017-11-29</v>
      </c>
      <c r="AF128" s="235" t="str">
        <f t="shared" si="47"/>
        <v>"C:\Program Files (x86)\AstroGrep\AstroGrep.exe" /e /r /s /spath="%USERPROFILE%\AppData\Local\Temp\OnboardLogs" /stypes="app*4050*20171129*" /stext=" 01:.+((SYSTEM_STATE.+slice.+state.+changed )|(ment ac)|(multiple cpu faults)|(system.+state.+changed )|(\[timeout)|(PRM\|1\|D)|(kpr)|(kdp)|(train st.+moving)|(\|lc)|(penalty))"</v>
      </c>
      <c r="AG128" s="245" t="str">
        <f t="shared" si="48"/>
        <v>EC</v>
      </c>
      <c r="AH128" s="237" t="str">
        <f t="shared" si="49"/>
        <v>"%USERPROFILE%\Documents\GitHub\eaglep3\Utilities\RefineRTDCRunTimes.py" --tripid 215-28 --locoid 4050 --swversion DE.1.0.9.0 --startMP 204:566 --initTime 2017-11-28T17:51:47 --startdatetime 2017-11-28T18:00:27 --delay 73 --endMP 204:233208 --enddatetime 2017-11-28T18:35:25 --enforcementcount 0 &gt;&gt;%USERPROFILE%\Documents\GitHub\eaglep3-reporting\EC\2017-11-28-refined-times.txt</v>
      </c>
      <c r="AI128" s="239" t="str">
        <f t="shared" si="50"/>
        <v>echo {"issue":{"subject":"","project_id":79,"tracker_id":40,"status_id":1,"priority_id":2,"assigned_to_id":338,"start_date":"2017-11-28","description":"","custom_fields":[{"id":1,"name":"Subdivision","value":"EC"},{"id":4,"name":"Milepost","value":"23.3208"},{"id":17,"name":"Train ID","value":"215-28"},{"id":16,"name":"Locomotive ID","value":"4050"},{"id":130,"name":"Impact","value":""},{"id":150,"name":"Time of Event (Mountain Time)","value":"18:35:25"},{"id":151,"name":"Denver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8" s="224"/>
      <c r="AK128" s="232"/>
      <c r="AL128" s="232"/>
      <c r="AM128" s="241" t="str">
        <f t="shared" si="51"/>
        <v>start /low /b %USERPROFILE%\Documents\GitHub\eaglep3\Utilities\DownloadLogsFromS3.py --loco 4050 --day 2017-11-28</v>
      </c>
      <c r="AN128" s="242" t="str">
        <f t="shared" si="52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01:35:25"},{"id":29,"name":"Sharepoint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231" t="str">
        <f t="shared" si="53"/>
        <v>https://d0f6bd738d7f1b3e5a7ca70fe4ff75f0.us-east-1.aws.found.io/app/kibana#/discover/Steve-Slow-Train-Analysis-(2080s-and-2083s)?_g=(refreshInterval:(display:Off,pause:!f,section:0,value:0),time:(from:'2017-11-28T16:51:47-0700',mode:absolute,to:'2017-11-28T19:35:25-0700'))&amp;_a=(columns:!('Message%20ID',Summary),filters:!(),index:'emp_*',interval:auto,query:(query_string:(analyze_wildcard:!t,query:'%22rtdc.l.rtdc.4050%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230" t="s">
        <v>847</v>
      </c>
      <c r="B129" s="226">
        <v>4049</v>
      </c>
      <c r="C129" s="228" t="s">
        <v>192</v>
      </c>
      <c r="D129" s="228" t="s">
        <v>588</v>
      </c>
      <c r="E129" s="227">
        <v>43067.779444444444</v>
      </c>
      <c r="F129" s="227">
        <v>43067.789803240739</v>
      </c>
      <c r="G129" s="226">
        <v>62</v>
      </c>
      <c r="H129" s="228" t="s">
        <v>952</v>
      </c>
      <c r="I129" s="227">
        <v>43067.815601851849</v>
      </c>
      <c r="J129" s="226">
        <v>0</v>
      </c>
      <c r="K129" s="238" t="str">
        <f t="shared" si="39"/>
        <v>4049/4050</v>
      </c>
      <c r="L129" s="246" t="str">
        <f>VLOOKUP(A129,'Trips&amp;Operators'!$C$1:$G$99911,5,FALSE)</f>
        <v>SMITH MICHAEL</v>
      </c>
      <c r="M129" s="225">
        <f t="shared" si="40"/>
        <v>2.5798611110076308E-2</v>
      </c>
      <c r="N129" s="226">
        <f t="shared" si="57"/>
        <v>37.149999998509884</v>
      </c>
      <c r="O129" s="226"/>
      <c r="P129" s="226"/>
      <c r="Q129" s="229"/>
      <c r="R129" s="243"/>
      <c r="S129" s="250">
        <f t="shared" si="56"/>
        <v>1</v>
      </c>
      <c r="T129" s="243" t="str">
        <f t="shared" si="41"/>
        <v>Southbound</v>
      </c>
      <c r="U129" s="247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49" t="str">
        <f t="shared" si="42"/>
        <v>https://d0f6bd738d7f1b3e5a7ca70fe4ff75f0.us-east-1.aws.found.io/app/kibana#/discover/Steve-Slow-Train-Analysis-(2080s-and-2083s)?_g=(refreshInterval:(display:Off,pause:!f,section:0,value:0),time:(from:'2017-11-28T17:42:24-0700',mode:absolute,to:'2017-11-28T20:34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29" s="248" t="str">
        <f>IF(AA129&lt;VLOOKUP(AG129,Variables!$AC$3:$AD$8,2,FALSE),"Y","N")</f>
        <v>N</v>
      </c>
      <c r="X129" s="248">
        <f t="shared" si="58"/>
        <v>1</v>
      </c>
      <c r="Y129" s="248">
        <f t="shared" si="55"/>
        <v>23.2896</v>
      </c>
      <c r="Z129" s="248">
        <f t="shared" si="59"/>
        <v>2.58E-2</v>
      </c>
      <c r="AA129" s="248">
        <f t="shared" si="44"/>
        <v>23.2638</v>
      </c>
      <c r="AB129" s="234" t="e">
        <f>VLOOKUP(A129,Enforcements!$C$7:$K$9,8,0)</f>
        <v>#N/A</v>
      </c>
      <c r="AC129" s="233" t="e">
        <f>VLOOKUP(A129,Enforcements!$C$7:$E$9,3,0)</f>
        <v>#N/A</v>
      </c>
      <c r="AD129" s="244">
        <f t="shared" si="45"/>
        <v>216</v>
      </c>
      <c r="AE129" s="236" t="str">
        <f t="shared" si="46"/>
        <v>aws s3 cp s3://rtdc.mdm.uploadarchive.raw/RTDC4049/ "%USERPROFILE%\AppData\Local\Temp\OnboardLogs"\RTDC4049\2017-11-28 --exclude "*" --recursive --include "*20171128*" &amp; "%USERPROFILE%\Documents\GitHub\mrs-test-scripts\Headless Mode &amp; Sideloading\WalkAndUnGZ.bat" "%USERPROFILE%\AppData\Local\Temp\OnboardLogs"\RTDC4049\2017-11-28 &amp; aws s3 cp s3://rtdc.mdm.uploadarchive.raw/RTDC4049/ "%USERPROFILE%\AppData\Local\Temp\OnboardLogs"\RTDC4049\2017-11-29 --exclude "*" --recursive --include "*20171129*" &amp; "%USERPROFILE%\Documents\GitHub\mrs-test-scripts\Headless Mode &amp; Sideloading\WalkAndUnGZ.bat" "%USERPROFILE%\AppData\Local\Temp\OnboardLogs"\RTDC4049\2017-11-29</v>
      </c>
      <c r="AF129" s="235" t="str">
        <f t="shared" si="47"/>
        <v>"C:\Program Files (x86)\AstroGrep\AstroGrep.exe" /e /r /s /spath="%USERPROFILE%\AppData\Local\Temp\OnboardLogs" /stypes="app*4049*20171129*" /stext=" 02:.+((SYSTEM_STATE.+slice.+state.+changed )|(ment ac)|(multiple cpu faults)|(system.+state.+changed )|(\[timeout)|(PRM\|1\|D)|(kpr)|(kdp)|(train st.+moving)|(\|lc)|(penalty))"</v>
      </c>
      <c r="AG129" s="245" t="str">
        <f t="shared" si="48"/>
        <v>EC</v>
      </c>
      <c r="AH129" s="237" t="str">
        <f t="shared" si="49"/>
        <v>"%USERPROFILE%\Documents\GitHub\eaglep3\Utilities\RefineRTDCRunTimes.py" --tripid 216-28 --locoid 4049 --swversion DE.1.0.9.0 --startMP 204:232896 --initTime 2017-11-28T18:42:24 --startdatetime 2017-11-28T18:57:19 --delay 62 --endMP 204:258 --enddatetime 2017-11-28T19:34:28 --enforcementcount 0 &gt;&gt;%USERPROFILE%\Documents\GitHub\eaglep3-reporting\EC\2017-11-28-refined-times.txt</v>
      </c>
      <c r="AI129" s="239" t="str">
        <f t="shared" si="50"/>
        <v>echo {"issue":{"subject":"","project_id":79,"tracker_id":40,"status_id":1,"priority_id":2,"assigned_to_id":338,"start_date":"2017-11-28","description":"","custom_fields":[{"id":1,"name":"Subdivision","value":"EC"},{"id":4,"name":"Milepost","value":"0.0258"},{"id":17,"name":"Train ID","value":"216-28"},{"id":16,"name":"Locomotive ID","value":"4049"},{"id":130,"name":"Impact","value":""},{"id":150,"name":"Time of Event (Mountain Time)","value":"19:34:28"},{"id":151,"name":"Denver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9" s="224"/>
      <c r="AK129" s="232"/>
      <c r="AL129" s="232"/>
      <c r="AM129" s="241" t="str">
        <f t="shared" si="51"/>
        <v>start /low /b %USERPROFILE%\Documents\GitHub\eaglep3\Utilities\DownloadLogsFromS3.py --loco 4049 --day 2017-11-28</v>
      </c>
      <c r="AN129" s="242" t="str">
        <f t="shared" si="52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02:34:28"},{"id":29,"name":"Sharepoint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231" t="str">
        <f t="shared" si="53"/>
        <v>https://d0f6bd738d7f1b3e5a7ca70fe4ff75f0.us-east-1.aws.found.io/app/kibana#/discover/Steve-Slow-Train-Analysis-(2080s-and-2083s)?_g=(refreshInterval:(display:Off,pause:!f,section:0,value:0),time:(from:'2017-11-28T17:42:24-0700',mode:absolute,to:'2017-11-28T20:34:28-0700'))&amp;_a=(columns:!('Message%20ID',Summary),filters:!(),index:'emp_*',interval:auto,query:(query_string:(analyze_wildcard:!t,query:'%22rtdc.l.rtdc.4049%22')),sort:!(Time.ISO8601,asc))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24" customFormat="1" x14ac:dyDescent="0.25">
      <c r="A130" s="230" t="s">
        <v>838</v>
      </c>
      <c r="B130" s="226">
        <v>4060</v>
      </c>
      <c r="C130" s="228" t="s">
        <v>192</v>
      </c>
      <c r="D130" s="228" t="s">
        <v>600</v>
      </c>
      <c r="E130" s="227">
        <v>43067.757569444446</v>
      </c>
      <c r="F130" s="227">
        <v>43067.760937500003</v>
      </c>
      <c r="G130" s="226">
        <v>125</v>
      </c>
      <c r="H130" s="228" t="s">
        <v>934</v>
      </c>
      <c r="I130" s="227">
        <v>43067.786296296297</v>
      </c>
      <c r="J130" s="226">
        <v>0</v>
      </c>
      <c r="K130" s="238" t="str">
        <f t="shared" si="39"/>
        <v>4059/4060</v>
      </c>
      <c r="L130" s="246" t="str">
        <f>VLOOKUP(A130,'Trips&amp;Operators'!$C$1:$G$99911,5,FALSE)</f>
        <v>NICHOLSON WESLEY</v>
      </c>
      <c r="M130" s="225">
        <f t="shared" si="40"/>
        <v>2.5358796294312924E-2</v>
      </c>
      <c r="N130" s="226">
        <f t="shared" si="57"/>
        <v>36.516666663810611</v>
      </c>
      <c r="O130" s="226"/>
      <c r="P130" s="226"/>
      <c r="Q130" s="229"/>
      <c r="R130" s="243"/>
      <c r="S130" s="250">
        <f t="shared" si="56"/>
        <v>1</v>
      </c>
      <c r="T130" s="243" t="str">
        <f t="shared" si="41"/>
        <v>NorthBound</v>
      </c>
      <c r="U130" s="247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49" t="str">
        <f t="shared" si="42"/>
        <v>https://d0f6bd738d7f1b3e5a7ca70fe4ff75f0.us-east-1.aws.found.io/app/kibana#/discover/Steve-Slow-Train-Analysis-(2080s-and-2083s)?_g=(refreshInterval:(display:Off,pause:!f,section:0,value:0),time:(from:'2017-11-28T17:10:54-0700',mode:absolute,to:'2017-11-28T19:52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30" s="248" t="str">
        <f>IF(AA130&lt;VLOOKUP(AG130,Variables!$AC$3:$AD$8,2,FALSE),"Y","N")</f>
        <v>N</v>
      </c>
      <c r="X130" s="248">
        <f t="shared" si="58"/>
        <v>1</v>
      </c>
      <c r="Y130" s="248">
        <f t="shared" si="55"/>
        <v>5.2900000000000003E-2</v>
      </c>
      <c r="Z130" s="248">
        <f t="shared" si="59"/>
        <v>23.320900000000002</v>
      </c>
      <c r="AA130" s="248">
        <f t="shared" si="44"/>
        <v>23.268000000000001</v>
      </c>
      <c r="AB130" s="234" t="e">
        <f>VLOOKUP(A130,Enforcements!$C$7:$K$9,8,0)</f>
        <v>#N/A</v>
      </c>
      <c r="AC130" s="233" t="e">
        <f>VLOOKUP(A130,Enforcements!$C$7:$E$9,3,0)</f>
        <v>#N/A</v>
      </c>
      <c r="AD130" s="244">
        <f t="shared" si="45"/>
        <v>217</v>
      </c>
      <c r="AE130" s="236" t="str">
        <f t="shared" si="46"/>
        <v>aws s3 cp s3://rtdc.mdm.uploadarchive.raw/RTDC4060/ "%USERPROFILE%\AppData\Local\Temp\OnboardLogs"\RTDC4060\2017-11-28 --exclude "*" --recursive --include "*20171128*" &amp; "%USERPROFILE%\Documents\GitHub\mrs-test-scripts\Headless Mode &amp; Sideloading\WalkAndUnGZ.bat" "%USERPROFILE%\AppData\Local\Temp\OnboardLogs"\RTDC4060\2017-11-28 &amp; aws s3 cp s3://rtdc.mdm.uploadarchive.raw/RTDC4060/ "%USERPROFILE%\AppData\Local\Temp\OnboardLogs"\RTDC4060\2017-11-29 --exclude "*" --recursive --include "*20171129*" &amp; "%USERPROFILE%\Documents\GitHub\mrs-test-scripts\Headless Mode &amp; Sideloading\WalkAndUnGZ.bat" "%USERPROFILE%\AppData\Local\Temp\OnboardLogs"\RTDC4060\2017-11-29</v>
      </c>
      <c r="AF130" s="235" t="str">
        <f t="shared" si="47"/>
        <v>"C:\Program Files (x86)\AstroGrep\AstroGrep.exe" /e /r /s /spath="%USERPROFILE%\AppData\Local\Temp\OnboardLogs" /stypes="app*4060*20171129*" /stext=" 01:.+((SYSTEM_STATE.+slice.+state.+changed )|(ment ac)|(multiple cpu faults)|(system.+state.+changed )|(\[timeout)|(PRM\|1\|D)|(kpr)|(kdp)|(train st.+moving)|(\|lc)|(penalty))"</v>
      </c>
      <c r="AG130" s="245" t="str">
        <f t="shared" si="48"/>
        <v>EC</v>
      </c>
      <c r="AH130" s="237" t="str">
        <f t="shared" si="49"/>
        <v>"%USERPROFILE%\Documents\GitHub\eaglep3\Utilities\RefineRTDCRunTimes.py" --tripid 217-28 --locoid 4060 --swversion DE.1.0.9.0 --startMP 204:529 --initTime 2017-11-28T18:10:54 --startdatetime 2017-11-28T18:15:45 --delay 125 --endMP 204:233209 --enddatetime 2017-11-28T18:52:16 --enforcementcount 0 &gt;&gt;%USERPROFILE%\Documents\GitHub\eaglep3-reporting\EC\2017-11-28-refined-times.txt</v>
      </c>
      <c r="AI130" s="239" t="str">
        <f t="shared" si="50"/>
        <v>echo {"issue":{"subject":"","project_id":79,"tracker_id":40,"status_id":1,"priority_id":2,"assigned_to_id":338,"start_date":"2017-11-28","description":"","custom_fields":[{"id":1,"name":"Subdivision","value":"EC"},{"id":4,"name":"Milepost","value":"23.3209"},{"id":17,"name":"Train ID","value":"217-28"},{"id":16,"name":"Locomotive ID","value":"4060"},{"id":130,"name":"Impact","value":""},{"id":150,"name":"Time of Event (Mountain Time)","value":"18:52:16"},{"id":151,"name":"Denver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0" s="232"/>
      <c r="AL130" s="232"/>
      <c r="AM130" s="241" t="str">
        <f t="shared" si="51"/>
        <v>start /low /b %USERPROFILE%\Documents\GitHub\eaglep3\Utilities\DownloadLogsFromS3.py --loco 4060 --day 2017-11-28</v>
      </c>
      <c r="AN130" s="242" t="str">
        <f t="shared" si="52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01:52:16"},{"id":29,"name":"Sharepoint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231" t="str">
        <f t="shared" si="53"/>
        <v>https://d0f6bd738d7f1b3e5a7ca70fe4ff75f0.us-east-1.aws.found.io/app/kibana#/discover/Steve-Slow-Train-Analysis-(2080s-and-2083s)?_g=(refreshInterval:(display:Off,pause:!f,section:0,value:0),time:(from:'2017-11-28T17:10:54-0700',mode:absolute,to:'2017-11-28T19:52:16-0700'))&amp;_a=(columns:!('Message%20ID',Summary),filters:!(),index:'emp_*',interval:auto,query:(query_string:(analyze_wildcard:!t,query:'%22rtdc.l.rtdc.4060%22')),sort:!(Time.ISO8601,asc))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230" t="s">
        <v>850</v>
      </c>
      <c r="B131" s="226">
        <v>4059</v>
      </c>
      <c r="C131" s="228" t="s">
        <v>192</v>
      </c>
      <c r="D131" s="228" t="s">
        <v>946</v>
      </c>
      <c r="E131" s="227">
        <v>43067.790902777779</v>
      </c>
      <c r="F131" s="227">
        <v>43067.800219907411</v>
      </c>
      <c r="G131" s="226">
        <v>180</v>
      </c>
      <c r="H131" s="228" t="s">
        <v>418</v>
      </c>
      <c r="I131" s="227">
        <v>43067.827650462961</v>
      </c>
      <c r="J131" s="226">
        <v>0</v>
      </c>
      <c r="K131" s="238" t="str">
        <f t="shared" si="39"/>
        <v>4059/4060</v>
      </c>
      <c r="L131" s="246" t="str">
        <f>VLOOKUP(A131,'Trips&amp;Operators'!$C$1:$G$99911,5,FALSE)</f>
        <v>NICHOLSON WESLEY</v>
      </c>
      <c r="M131" s="225">
        <f t="shared" si="40"/>
        <v>2.7430555550381541E-2</v>
      </c>
      <c r="N131" s="226">
        <f t="shared" si="57"/>
        <v>39.499999992549419</v>
      </c>
      <c r="O131" s="226"/>
      <c r="P131" s="226"/>
      <c r="Q131" s="229"/>
      <c r="R131" s="243" t="s">
        <v>1099</v>
      </c>
      <c r="S131" s="250">
        <f t="shared" si="56"/>
        <v>1</v>
      </c>
      <c r="T131" s="243" t="str">
        <f t="shared" si="41"/>
        <v>Southbound</v>
      </c>
      <c r="U131" s="247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49" t="str">
        <f t="shared" si="42"/>
        <v>https://d0f6bd738d7f1b3e5a7ca70fe4ff75f0.us-east-1.aws.found.io/app/kibana#/discover/Steve-Slow-Train-Analysis-(2080s-and-2083s)?_g=(refreshInterval:(display:Off,pause:!f,section:0,value:0),time:(from:'2017-11-28T17:58:54-0700',mode:absolute,to:'2017-11-28T20:51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31" s="248" t="str">
        <f>IF(AA131&lt;VLOOKUP(AG131,Variables!$AC$3:$AD$8,2,FALSE),"Y","N")</f>
        <v>N</v>
      </c>
      <c r="X131" s="248">
        <f t="shared" si="58"/>
        <v>1</v>
      </c>
      <c r="Y131" s="248">
        <f t="shared" si="55"/>
        <v>23.287299999999998</v>
      </c>
      <c r="Z131" s="248">
        <f t="shared" si="59"/>
        <v>2.2700000000000001E-2</v>
      </c>
      <c r="AA131" s="248">
        <f t="shared" si="44"/>
        <v>23.264599999999998</v>
      </c>
      <c r="AB131" s="234" t="e">
        <f>VLOOKUP(A131,Enforcements!$C$7:$K$9,8,0)</f>
        <v>#N/A</v>
      </c>
      <c r="AC131" s="233" t="e">
        <f>VLOOKUP(A131,Enforcements!$C$7:$E$9,3,0)</f>
        <v>#N/A</v>
      </c>
      <c r="AD131" s="244">
        <f t="shared" si="45"/>
        <v>218</v>
      </c>
      <c r="AE131" s="236" t="str">
        <f t="shared" si="46"/>
        <v>aws s3 cp s3://rtdc.mdm.uploadarchive.raw/RTDC4059/ "%USERPROFILE%\AppData\Local\Temp\OnboardLogs"\RTDC4059\2017-11-28 --exclude "*" --recursive --include "*20171128*" &amp; "%USERPROFILE%\Documents\GitHub\mrs-test-scripts\Headless Mode &amp; Sideloading\WalkAndUnGZ.bat" "%USERPROFILE%\AppData\Local\Temp\OnboardLogs"\RTDC4059\2017-11-28 &amp; aws s3 cp s3://rtdc.mdm.uploadarchive.raw/RTDC4059/ "%USERPROFILE%\AppData\Local\Temp\OnboardLogs"\RTDC4059\2017-11-29 --exclude "*" --recursive --include "*20171129*" &amp; "%USERPROFILE%\Documents\GitHub\mrs-test-scripts\Headless Mode &amp; Sideloading\WalkAndUnGZ.bat" "%USERPROFILE%\AppData\Local\Temp\OnboardLogs"\RTDC4059\2017-11-29</v>
      </c>
      <c r="AF131" s="235" t="str">
        <f t="shared" si="47"/>
        <v>"C:\Program Files (x86)\AstroGrep\AstroGrep.exe" /e /r /s /spath="%USERPROFILE%\AppData\Local\Temp\OnboardLogs" /stypes="app*4059*20171129*" /stext=" 02:.+((SYSTEM_STATE.+slice.+state.+changed )|(ment ac)|(multiple cpu faults)|(system.+state.+changed )|(\[timeout)|(PRM\|1\|D)|(kpr)|(kdp)|(train st.+moving)|(\|lc)|(penalty))"</v>
      </c>
      <c r="AG131" s="245" t="str">
        <f t="shared" si="48"/>
        <v>EC</v>
      </c>
      <c r="AH131" s="237" t="str">
        <f t="shared" si="49"/>
        <v>"%USERPROFILE%\Documents\GitHub\eaglep3\Utilities\RefineRTDCRunTimes.py" --tripid 218-28 --locoid 4059 --swversion DE.1.0.9.0 --startMP 204:232873 --initTime 2017-11-28T18:58:54 --startdatetime 2017-11-28T19:12:19 --delay 180 --endMP 204:227 --enddatetime 2017-11-28T19:51:49 --enforcementcount 0 &gt;&gt;%USERPROFILE%\Documents\GitHub\eaglep3-reporting\EC\2017-11-28-refined-times.txt</v>
      </c>
      <c r="AI131" s="239" t="str">
        <f t="shared" si="50"/>
        <v>echo {"issue":{"subject":"Observed brief Wi-MAX data drop, caused brief red fence and unhealthy banner","project_id":79,"tracker_id":40,"status_id":1,"priority_id":2,"assigned_to_id":338,"start_date":"2017-11-28","description":"","custom_fields":[{"id":1,"name":"Subdivision","value":"EC"},{"id":4,"name":"Milepost","value":"0.0227"},{"id":17,"name":"Train ID","value":"218-28"},{"id":16,"name":"Locomotive ID","value":"4059"},{"id":130,"name":"Impact","value":""},{"id":150,"name":"Time of Event (Mountain Time)","value":"19:51:49"},{"id":151,"name":"Denver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1" s="224"/>
      <c r="AK131" s="232"/>
      <c r="AL131" s="232"/>
      <c r="AM131" s="241" t="str">
        <f t="shared" si="51"/>
        <v>start /low /b %USERPROFILE%\Documents\GitHub\eaglep3\Utilities\DownloadLogsFromS3.py --loco 4059 --day 2017-11-28</v>
      </c>
      <c r="AN131" s="242" t="str">
        <f t="shared" si="52"/>
        <v>echo {"issue":{"subject":"Observed brief Wi-MAX data drop, caused brief red fence and unhealthy banner","project_id":30,"tracker_id":4,"status_id":1,"priority_id":1,"assigned_to_id":10,"start_date":"2017-11-29","description":"","custom_fields":[{"id":30,"name":"Category","value":"Issue"},{"id":3,"name":"Functional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02:51:49"},{"id":29,"name":"Sharepoint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231" t="str">
        <f t="shared" si="53"/>
        <v>https://d0f6bd738d7f1b3e5a7ca70fe4ff75f0.us-east-1.aws.found.io/app/kibana#/discover/Steve-Slow-Train-Analysis-(2080s-and-2083s)?_g=(refreshInterval:(display:Off,pause:!f,section:0,value:0),time:(from:'2017-11-28T17:58:54-0700',mode:absolute,to:'2017-11-28T20:51:49-0700'))&amp;_a=(columns:!('Message%20ID',Summary),filters:!(),index:'emp_*',interval:auto,query:(query_string:(analyze_wildcard:!t,query:'%22rtdc.l.rtdc.4059%22')),sort:!(Time.ISO8601,asc))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230" t="s">
        <v>841</v>
      </c>
      <c r="B132" s="226">
        <v>4056</v>
      </c>
      <c r="C132" s="228" t="s">
        <v>192</v>
      </c>
      <c r="D132" s="228" t="s">
        <v>936</v>
      </c>
      <c r="E132" s="227">
        <v>43067.769872685189</v>
      </c>
      <c r="F132" s="227">
        <v>43067.771354166667</v>
      </c>
      <c r="G132" s="226">
        <v>74</v>
      </c>
      <c r="H132" s="228" t="s">
        <v>969</v>
      </c>
      <c r="I132" s="227">
        <v>43067.796678240738</v>
      </c>
      <c r="J132" s="226">
        <v>0</v>
      </c>
      <c r="K132" s="238" t="str">
        <f t="shared" si="39"/>
        <v>4055/4056</v>
      </c>
      <c r="L132" s="246" t="str">
        <f>VLOOKUP(A132,'Trips&amp;Operators'!$C$1:$G$99911,5,FALSE)</f>
        <v>ANDERS STEVEN</v>
      </c>
      <c r="M132" s="225">
        <f t="shared" si="40"/>
        <v>2.5324074071249925E-2</v>
      </c>
      <c r="N132" s="226">
        <f t="shared" si="57"/>
        <v>36.466666662599891</v>
      </c>
      <c r="O132" s="226"/>
      <c r="P132" s="226"/>
      <c r="Q132" s="229"/>
      <c r="R132" s="243"/>
      <c r="S132" s="250">
        <f t="shared" si="56"/>
        <v>1</v>
      </c>
      <c r="T132" s="243" t="str">
        <f t="shared" si="41"/>
        <v>NorthBound</v>
      </c>
      <c r="U132" s="247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49" t="str">
        <f t="shared" si="42"/>
        <v>https://d0f6bd738d7f1b3e5a7ca70fe4ff75f0.us-east-1.aws.found.io/app/kibana#/discover/Steve-Slow-Train-Analysis-(2080s-and-2083s)?_g=(refreshInterval:(display:Off,pause:!f,section:0,value:0),time:(from:'2017-11-28T17:28:37-0700',mode:absolute,to:'2017-11-28T20:07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32" s="248" t="str">
        <f>IF(AA132&lt;VLOOKUP(AG132,Variables!$AC$3:$AD$8,2,FALSE),"Y","N")</f>
        <v>N</v>
      </c>
      <c r="X132" s="248">
        <f t="shared" si="58"/>
        <v>1</v>
      </c>
      <c r="Y132" s="248">
        <f t="shared" si="55"/>
        <v>4.9299999999999997E-2</v>
      </c>
      <c r="Z132" s="248">
        <f t="shared" si="59"/>
        <v>23.3247</v>
      </c>
      <c r="AA132" s="248">
        <f t="shared" si="44"/>
        <v>23.275400000000001</v>
      </c>
      <c r="AB132" s="234" t="e">
        <f>VLOOKUP(A132,Enforcements!$C$7:$K$9,8,0)</f>
        <v>#N/A</v>
      </c>
      <c r="AC132" s="233" t="e">
        <f>VLOOKUP(A132,Enforcements!$C$7:$E$9,3,0)</f>
        <v>#N/A</v>
      </c>
      <c r="AD132" s="244">
        <f t="shared" si="45"/>
        <v>219</v>
      </c>
      <c r="AE132" s="236" t="str">
        <f t="shared" si="46"/>
        <v>aws s3 cp s3://rtdc.mdm.uploadarchive.raw/RTDC4056/ "%USERPROFILE%\AppData\Local\Temp\OnboardLogs"\RTDC4056\2017-11-28 --exclude "*" --recursive --include "*20171128*" &amp; "%USERPROFILE%\Documents\GitHub\mrs-test-scripts\Headless Mode &amp; Sideloading\WalkAndUnGZ.bat" "%USERPROFILE%\AppData\Local\Temp\OnboardLogs"\RTDC4056\2017-11-28 &amp; aws s3 cp s3://rtdc.mdm.uploadarchive.raw/RTDC4056/ "%USERPROFILE%\AppData\Local\Temp\OnboardLogs"\RTDC4056\2017-11-29 --exclude "*" --recursive --include "*20171129*" &amp; "%USERPROFILE%\Documents\GitHub\mrs-test-scripts\Headless Mode &amp; Sideloading\WalkAndUnGZ.bat" "%USERPROFILE%\AppData\Local\Temp\OnboardLogs"\RTDC4056\2017-11-29</v>
      </c>
      <c r="AF132" s="235" t="str">
        <f t="shared" si="47"/>
        <v>"C:\Program Files (x86)\AstroGrep\AstroGrep.exe" /e /r /s /spath="%USERPROFILE%\AppData\Local\Temp\OnboardLogs" /stypes="app*4056*20171129*" /stext=" 02:.+((SYSTEM_STATE.+slice.+state.+changed )|(ment ac)|(multiple cpu faults)|(system.+state.+changed )|(\[timeout)|(PRM\|1\|D)|(kpr)|(kdp)|(train st.+moving)|(\|lc)|(penalty))"</v>
      </c>
      <c r="AG132" s="245" t="str">
        <f t="shared" si="48"/>
        <v>EC</v>
      </c>
      <c r="AH132" s="237" t="str">
        <f t="shared" si="49"/>
        <v>"%USERPROFILE%\Documents\GitHub\eaglep3\Utilities\RefineRTDCRunTimes.py" --tripid 219-28 --locoid 4056 --swversion DE.1.0.9.0 --startMP 204:493 --initTime 2017-11-28T18:28:37 --startdatetime 2017-11-28T18:30:45 --delay 74 --endMP 204:233247 --enddatetime 2017-11-28T19:07:13 --enforcementcount 0 &gt;&gt;%USERPROFILE%\Documents\GitHub\eaglep3-reporting\EC\2017-11-28-refined-times.txt</v>
      </c>
      <c r="AI132" s="239" t="str">
        <f t="shared" si="50"/>
        <v>echo {"issue":{"subject":"","project_id":79,"tracker_id":40,"status_id":1,"priority_id":2,"assigned_to_id":338,"start_date":"2017-11-28","description":"","custom_fields":[{"id":1,"name":"Subdivision","value":"EC"},{"id":4,"name":"Milepost","value":"23.3247"},{"id":17,"name":"Train ID","value":"219-28"},{"id":16,"name":"Locomotive ID","value":"4056"},{"id":130,"name":"Impact","value":""},{"id":150,"name":"Time of Event (Mountain Time)","value":"19:07:13"},{"id":151,"name":"Denver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2" s="224"/>
      <c r="AK132" s="232"/>
      <c r="AL132" s="232"/>
      <c r="AM132" s="241" t="str">
        <f t="shared" si="51"/>
        <v>start /low /b %USERPROFILE%\Documents\GitHub\eaglep3\Utilities\DownloadLogsFromS3.py --loco 4056 --day 2017-11-28</v>
      </c>
      <c r="AN132" s="242" t="str">
        <f t="shared" si="52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02:07:13"},{"id":29,"name":"Sharepoint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231" t="str">
        <f t="shared" si="53"/>
        <v>https://d0f6bd738d7f1b3e5a7ca70fe4ff75f0.us-east-1.aws.found.io/app/kibana#/discover/Steve-Slow-Train-Analysis-(2080s-and-2083s)?_g=(refreshInterval:(display:Off,pause:!f,section:0,value:0),time:(from:'2017-11-28T17:28:37-0700',mode:absolute,to:'2017-11-28T20:07:13-0700'))&amp;_a=(columns:!('Message%20ID',Summary),filters:!(),index:'emp_*',interval:auto,query:(query_string:(analyze_wildcard:!t,query:'%22rtdc.l.rtdc.4056%22')),sort:!(Time.ISO8601,asc))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230" t="s">
        <v>852</v>
      </c>
      <c r="B133" s="226">
        <v>4055</v>
      </c>
      <c r="C133" s="228" t="s">
        <v>192</v>
      </c>
      <c r="D133" s="228" t="s">
        <v>493</v>
      </c>
      <c r="E133" s="227">
        <v>43067.798090277778</v>
      </c>
      <c r="F133" s="227">
        <v>43067.810972222222</v>
      </c>
      <c r="G133" s="226">
        <v>62</v>
      </c>
      <c r="H133" s="228" t="s">
        <v>593</v>
      </c>
      <c r="I133" s="227">
        <v>43067.83803240741</v>
      </c>
      <c r="J133" s="226">
        <v>0</v>
      </c>
      <c r="K133" s="238" t="str">
        <f t="shared" si="39"/>
        <v>4055/4056</v>
      </c>
      <c r="L133" s="246" t="str">
        <f>VLOOKUP(A133,'Trips&amp;Operators'!$C$1:$G$99911,5,FALSE)</f>
        <v>ANDERS STEVEN</v>
      </c>
      <c r="M133" s="225">
        <f t="shared" si="40"/>
        <v>2.7060185188020114E-2</v>
      </c>
      <c r="N133" s="226">
        <f t="shared" si="57"/>
        <v>38.966666670748964</v>
      </c>
      <c r="O133" s="226"/>
      <c r="P133" s="226"/>
      <c r="Q133" s="229"/>
      <c r="R133" s="243"/>
      <c r="S133" s="250">
        <f t="shared" si="56"/>
        <v>1</v>
      </c>
      <c r="T133" s="243" t="str">
        <f t="shared" si="41"/>
        <v>Southbound</v>
      </c>
      <c r="U133" s="247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49" t="str">
        <f t="shared" si="42"/>
        <v>https://d0f6bd738d7f1b3e5a7ca70fe4ff75f0.us-east-1.aws.found.io/app/kibana#/discover/Steve-Slow-Train-Analysis-(2080s-and-2083s)?_g=(refreshInterval:(display:Off,pause:!f,section:0,value:0),time:(from:'2017-11-28T18:09:15-0700',mode:absolute,to:'2017-11-28T21:06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33" s="248" t="str">
        <f>IF(AA133&lt;VLOOKUP(AG133,Variables!$AC$3:$AD$8,2,FALSE),"Y","N")</f>
        <v>N</v>
      </c>
      <c r="X133" s="248">
        <f t="shared" si="58"/>
        <v>1</v>
      </c>
      <c r="Y133" s="248">
        <f t="shared" si="55"/>
        <v>23.291899999999998</v>
      </c>
      <c r="Z133" s="248">
        <f t="shared" si="59"/>
        <v>2.2499999999999999E-2</v>
      </c>
      <c r="AA133" s="248">
        <f t="shared" si="44"/>
        <v>23.269399999999997</v>
      </c>
      <c r="AB133" s="234" t="e">
        <f>VLOOKUP(A133,Enforcements!$C$7:$K$9,8,0)</f>
        <v>#N/A</v>
      </c>
      <c r="AC133" s="233" t="e">
        <f>VLOOKUP(A133,Enforcements!$C$7:$E$9,3,0)</f>
        <v>#N/A</v>
      </c>
      <c r="AD133" s="244">
        <f t="shared" si="45"/>
        <v>220</v>
      </c>
      <c r="AE133" s="236" t="str">
        <f t="shared" si="46"/>
        <v>aws s3 cp s3://rtdc.mdm.uploadarchive.raw/RTDC4055/ "%USERPROFILE%\AppData\Local\Temp\OnboardLogs"\RTDC4055\2017-11-28 --exclude "*" --recursive --include "*20171128*" &amp; "%USERPROFILE%\Documents\GitHub\mrs-test-scripts\Headless Mode &amp; Sideloading\WalkAndUnGZ.bat" "%USERPROFILE%\AppData\Local\Temp\OnboardLogs"\RTDC4055\2017-11-28 &amp; aws s3 cp s3://rtdc.mdm.uploadarchive.raw/RTDC4055/ "%USERPROFILE%\AppData\Local\Temp\OnboardLogs"\RTDC4055\2017-11-29 --exclude "*" --recursive --include "*20171129*" &amp; "%USERPROFILE%\Documents\GitHub\mrs-test-scripts\Headless Mode &amp; Sideloading\WalkAndUnGZ.bat" "%USERPROFILE%\AppData\Local\Temp\OnboardLogs"\RTDC4055\2017-11-29</v>
      </c>
      <c r="AF133" s="235" t="str">
        <f t="shared" si="47"/>
        <v>"C:\Program Files (x86)\AstroGrep\AstroGrep.exe" /e /r /s /spath="%USERPROFILE%\AppData\Local\Temp\OnboardLogs" /stypes="app*4055*20171129*" /stext=" 03:.+((SYSTEM_STATE.+slice.+state.+changed )|(ment ac)|(multiple cpu faults)|(system.+state.+changed )|(\[timeout)|(PRM\|1\|D)|(kpr)|(kdp)|(train st.+moving)|(\|lc)|(penalty))"</v>
      </c>
      <c r="AG133" s="245" t="str">
        <f t="shared" si="48"/>
        <v>EC</v>
      </c>
      <c r="AH133" s="237" t="str">
        <f t="shared" si="49"/>
        <v>"%USERPROFILE%\Documents\GitHub\eaglep3\Utilities\RefineRTDCRunTimes.py" --tripid 220-28 --locoid 4055 --swversion DE.1.0.9.0 --startMP 204:232919 --initTime 2017-11-28T19:09:15 --startdatetime 2017-11-28T19:27:48 --delay 62 --endMP 204:225 --enddatetime 2017-11-28T20:06:46 --enforcementcount 0 &gt;&gt;%USERPROFILE%\Documents\GitHub\eaglep3-reporting\EC\2017-11-28-refined-times.txt</v>
      </c>
      <c r="AI133" s="239" t="str">
        <f t="shared" si="50"/>
        <v>echo {"issue":{"subject":"","project_id":79,"tracker_id":40,"status_id":1,"priority_id":2,"assigned_to_id":338,"start_date":"2017-11-28","description":"","custom_fields":[{"id":1,"name":"Subdivision","value":"EC"},{"id":4,"name":"Milepost","value":"0.0225"},{"id":17,"name":"Train ID","value":"220-28"},{"id":16,"name":"Locomotive ID","value":"4055"},{"id":130,"name":"Impact","value":""},{"id":150,"name":"Time of Event (Mountain Time)","value":"20:06:46"},{"id":151,"name":"Denver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3" s="224"/>
      <c r="AK133" s="232"/>
      <c r="AL133" s="232"/>
      <c r="AM133" s="241" t="str">
        <f t="shared" si="51"/>
        <v>start /low /b %USERPROFILE%\Documents\GitHub\eaglep3\Utilities\DownloadLogsFromS3.py --loco 4055 --day 2017-11-28</v>
      </c>
      <c r="AN133" s="242" t="str">
        <f t="shared" si="52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03:06:46"},{"id":29,"name":"Sharepoint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231" t="str">
        <f t="shared" si="53"/>
        <v>https://d0f6bd738d7f1b3e5a7ca70fe4ff75f0.us-east-1.aws.found.io/app/kibana#/discover/Steve-Slow-Train-Analysis-(2080s-and-2083s)?_g=(refreshInterval:(display:Off,pause:!f,section:0,value:0),time:(from:'2017-11-28T18:09:15-0700',mode:absolute,to:'2017-11-28T21:06:46-0700'))&amp;_a=(columns:!('Message%20ID',Summary),filters:!(),index:'emp_*',interval:auto,query:(query_string:(analyze_wildcard:!t,query:'%22rtdc.l.rtdc.4055%22')),sort:!(Time.ISO8601,asc))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230" t="s">
        <v>661</v>
      </c>
      <c r="B134" s="226">
        <v>4042</v>
      </c>
      <c r="C134" s="228" t="s">
        <v>192</v>
      </c>
      <c r="D134" s="228" t="s">
        <v>970</v>
      </c>
      <c r="E134" s="227">
        <v>43067.787314814814</v>
      </c>
      <c r="F134" s="227">
        <v>43067.791863425926</v>
      </c>
      <c r="G134" s="226">
        <v>119</v>
      </c>
      <c r="H134" s="228" t="s">
        <v>965</v>
      </c>
      <c r="I134" s="227">
        <v>43067.815844907411</v>
      </c>
      <c r="J134" s="226">
        <v>0</v>
      </c>
      <c r="K134" s="238" t="str">
        <f t="shared" si="39"/>
        <v>4041/4042</v>
      </c>
      <c r="L134" s="246" t="str">
        <f>VLOOKUP(A134,'Trips&amp;Operators'!$C$1:$G$99911,5,FALSE)</f>
        <v>RESPASS AARON</v>
      </c>
      <c r="M134" s="225">
        <f t="shared" si="40"/>
        <v>2.3981481484952383E-2</v>
      </c>
      <c r="N134" s="226">
        <f t="shared" si="57"/>
        <v>34.533333338331431</v>
      </c>
      <c r="O134" s="226"/>
      <c r="P134" s="226"/>
      <c r="Q134" s="229"/>
      <c r="R134" s="243"/>
      <c r="S134" s="250">
        <f t="shared" si="56"/>
        <v>1</v>
      </c>
      <c r="T134" s="243" t="str">
        <f t="shared" si="41"/>
        <v>NorthBound</v>
      </c>
      <c r="U134" s="247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49" t="str">
        <f t="shared" si="42"/>
        <v>https://d0f6bd738d7f1b3e5a7ca70fe4ff75f0.us-east-1.aws.found.io/app/kibana#/discover/Steve-Slow-Train-Analysis-(2080s-and-2083s)?_g=(refreshInterval:(display:Off,pause:!f,section:0,value:0),time:(from:'2017-11-28T17:53:44-0700',mode:absolute,to:'2017-11-28T20:34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34" s="248" t="str">
        <f>IF(AA134&lt;VLOOKUP(AG134,Variables!$AC$3:$AD$8,2,FALSE),"Y","N")</f>
        <v>N</v>
      </c>
      <c r="X134" s="248">
        <f t="shared" si="58"/>
        <v>1</v>
      </c>
      <c r="Y134" s="248">
        <f t="shared" si="55"/>
        <v>5.5100000000000003E-2</v>
      </c>
      <c r="Z134" s="248">
        <f t="shared" si="59"/>
        <v>23.322500000000002</v>
      </c>
      <c r="AA134" s="248">
        <f t="shared" si="44"/>
        <v>23.267400000000002</v>
      </c>
      <c r="AB134" s="234" t="e">
        <f>VLOOKUP(A134,Enforcements!$C$7:$K$9,8,0)</f>
        <v>#N/A</v>
      </c>
      <c r="AC134" s="233" t="e">
        <f>VLOOKUP(A134,Enforcements!$C$7:$E$9,3,0)</f>
        <v>#N/A</v>
      </c>
      <c r="AD134" s="244">
        <f t="shared" si="45"/>
        <v>221</v>
      </c>
      <c r="AE134" s="236" t="str">
        <f t="shared" si="46"/>
        <v>aws s3 cp s3://rtdc.mdm.uploadarchive.raw/RTDC4042/ "%USERPROFILE%\AppData\Local\Temp\OnboardLogs"\RTDC4042\2017-11-28 --exclude "*" --recursive --include "*20171128*" &amp; "%USERPROFILE%\Documents\GitHub\mrs-test-scripts\Headless Mode &amp; Sideloading\WalkAndUnGZ.bat" "%USERPROFILE%\AppData\Local\Temp\OnboardLogs"\RTDC4042\2017-11-28 &amp; aws s3 cp s3://rtdc.mdm.uploadarchive.raw/RTDC4042/ "%USERPROFILE%\AppData\Local\Temp\OnboardLogs"\RTDC4042\2017-11-29 --exclude "*" --recursive --include "*20171129*" &amp; "%USERPROFILE%\Documents\GitHub\mrs-test-scripts\Headless Mode &amp; Sideloading\WalkAndUnGZ.bat" "%USERPROFILE%\AppData\Local\Temp\OnboardLogs"\RTDC4042\2017-11-29</v>
      </c>
      <c r="AF134" s="235" t="str">
        <f t="shared" si="47"/>
        <v>"C:\Program Files (x86)\AstroGrep\AstroGrep.exe" /e /r /s /spath="%USERPROFILE%\AppData\Local\Temp\OnboardLogs" /stypes="app*4042*20171129*" /stext=" 02:.+((SYSTEM_STATE.+slice.+state.+changed )|(ment ac)|(multiple cpu faults)|(system.+state.+changed )|(\[timeout)|(PRM\|1\|D)|(kpr)|(kdp)|(train st.+moving)|(\|lc)|(penalty))"</v>
      </c>
      <c r="AG134" s="245" t="str">
        <f t="shared" si="48"/>
        <v>EC</v>
      </c>
      <c r="AH134" s="237" t="str">
        <f t="shared" si="49"/>
        <v>"%USERPROFILE%\Documents\GitHub\eaglep3\Utilities\RefineRTDCRunTimes.py" --tripid 221-28 --locoid 4042 --swversion DE.1.0.9.0 --startMP 204:551 --initTime 2017-11-28T18:53:44 --startdatetime 2017-11-28T19:00:17 --delay 119 --endMP 204:233225 --enddatetime 2017-11-28T19:34:49 --enforcementcount 0 &gt;&gt;%USERPROFILE%\Documents\GitHub\eaglep3-reporting\EC\2017-11-28-refined-times.txt</v>
      </c>
      <c r="AI134" s="239" t="str">
        <f t="shared" si="50"/>
        <v>echo {"issue":{"subject":"","project_id":79,"tracker_id":40,"status_id":1,"priority_id":2,"assigned_to_id":338,"start_date":"2017-11-28","description":"","custom_fields":[{"id":1,"name":"Subdivision","value":"EC"},{"id":4,"name":"Milepost","value":"23.3225"},{"id":17,"name":"Train ID","value":"221-28"},{"id":16,"name":"Locomotive ID","value":"4042"},{"id":130,"name":"Impact","value":""},{"id":150,"name":"Time of Event (Mountain Time)","value":"19:34:49"},{"id":151,"name":"Denver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4" s="224"/>
      <c r="AK134" s="232"/>
      <c r="AL134" s="232"/>
      <c r="AM134" s="241" t="str">
        <f t="shared" si="51"/>
        <v>start /low /b %USERPROFILE%\Documents\GitHub\eaglep3\Utilities\DownloadLogsFromS3.py --loco 4042 --day 2017-11-28</v>
      </c>
      <c r="AN134" s="242" t="str">
        <f t="shared" si="52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02:34:49"},{"id":29,"name":"Sharepoint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231" t="str">
        <f t="shared" si="53"/>
        <v>https://d0f6bd738d7f1b3e5a7ca70fe4ff75f0.us-east-1.aws.found.io/app/kibana#/discover/Steve-Slow-Train-Analysis-(2080s-and-2083s)?_g=(refreshInterval:(display:Off,pause:!f,section:0,value:0),time:(from:'2017-11-28T17:53:44-0700',mode:absolute,to:'2017-11-28T20:34:49-0700'))&amp;_a=(columns:!('Message%20ID',Summary),filters:!(),index:'emp_*',interval:auto,query:(query_string:(analyze_wildcard:!t,query:'%22rtdc.l.rtdc.4042%22')),sort:!(Time.ISO8601,asc))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230" t="s">
        <v>662</v>
      </c>
      <c r="B135" s="226">
        <v>4041</v>
      </c>
      <c r="C135" s="228" t="s">
        <v>192</v>
      </c>
      <c r="D135" s="228" t="s">
        <v>493</v>
      </c>
      <c r="E135" s="227">
        <v>43067.828912037039</v>
      </c>
      <c r="F135" s="227">
        <v>43067.831446759257</v>
      </c>
      <c r="G135" s="226">
        <v>92</v>
      </c>
      <c r="H135" s="228" t="s">
        <v>611</v>
      </c>
      <c r="I135" s="227">
        <v>43067.858472222222</v>
      </c>
      <c r="J135" s="226">
        <v>0</v>
      </c>
      <c r="K135" s="238" t="str">
        <f t="shared" si="39"/>
        <v>4041/4042</v>
      </c>
      <c r="L135" s="246" t="str">
        <f>VLOOKUP(A135,'Trips&amp;Operators'!$C$1:$G$99911,5,FALSE)</f>
        <v>RESPASS AARON</v>
      </c>
      <c r="M135" s="225">
        <f t="shared" si="40"/>
        <v>2.7025462964957114E-2</v>
      </c>
      <c r="N135" s="226">
        <f t="shared" si="57"/>
        <v>38.916666669538245</v>
      </c>
      <c r="O135" s="226"/>
      <c r="P135" s="226"/>
      <c r="Q135" s="229"/>
      <c r="R135" s="243"/>
      <c r="S135" s="250">
        <f t="shared" si="56"/>
        <v>1</v>
      </c>
      <c r="T135" s="243" t="str">
        <f t="shared" si="41"/>
        <v>Southbound</v>
      </c>
      <c r="U135" s="247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49" t="str">
        <f t="shared" si="42"/>
        <v>https://d0f6bd738d7f1b3e5a7ca70fe4ff75f0.us-east-1.aws.found.io/app/kibana#/discover/Steve-Slow-Train-Analysis-(2080s-and-2083s)?_g=(refreshInterval:(display:Off,pause:!f,section:0,value:0),time:(from:'2017-11-28T18:53:38-0700',mode:absolute,to:'2017-11-28T21:36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35" s="248" t="str">
        <f>IF(AA135&lt;VLOOKUP(AG135,Variables!$AC$3:$AD$8,2,FALSE),"Y","N")</f>
        <v>N</v>
      </c>
      <c r="X135" s="248">
        <f t="shared" si="58"/>
        <v>1</v>
      </c>
      <c r="Y135" s="248">
        <f t="shared" ref="Y135:Y166" si="60">RIGHT(D135,LEN(D135)-4)/10000</f>
        <v>23.291899999999998</v>
      </c>
      <c r="Z135" s="248">
        <f t="shared" si="59"/>
        <v>2.4899999999999999E-2</v>
      </c>
      <c r="AA135" s="248">
        <f t="shared" si="44"/>
        <v>23.266999999999999</v>
      </c>
      <c r="AB135" s="234" t="str">
        <f>VLOOKUP(A135,Enforcements!$C$7:$K$9,8,0)</f>
        <v>Bulletin (2)</v>
      </c>
      <c r="AC135" s="233" t="str">
        <f>VLOOKUP(A135,Enforcements!$C$7:$E$9,3,0)</f>
        <v>GRADE CROSSING</v>
      </c>
      <c r="AD135" s="244">
        <f t="shared" si="45"/>
        <v>222</v>
      </c>
      <c r="AE135" s="236" t="str">
        <f t="shared" si="46"/>
        <v>aws s3 cp s3://rtdc.mdm.uploadarchive.raw/RTDC4041/ "%USERPROFILE%\AppData\Local\Temp\OnboardLogs"\RTDC4041\2017-11-28 --exclude "*" --recursive --include "*20171128*" &amp; "%USERPROFILE%\Documents\GitHub\mrs-test-scripts\Headless Mode &amp; Sideloading\WalkAndUnGZ.bat" "%USERPROFILE%\AppData\Local\Temp\OnboardLogs"\RTDC4041\2017-11-28 &amp; aws s3 cp s3://rtdc.mdm.uploadarchive.raw/RTDC4041/ "%USERPROFILE%\AppData\Local\Temp\OnboardLogs"\RTDC4041\2017-11-29 --exclude "*" --recursive --include "*20171129*" &amp; "%USERPROFILE%\Documents\GitHub\mrs-test-scripts\Headless Mode &amp; Sideloading\WalkAndUnGZ.bat" "%USERPROFILE%\AppData\Local\Temp\OnboardLogs"\RTDC4041\2017-11-29</v>
      </c>
      <c r="AF135" s="235" t="str">
        <f t="shared" si="47"/>
        <v>"C:\Program Files (x86)\AstroGrep\AstroGrep.exe" /e /r /s /spath="%USERPROFILE%\AppData\Local\Temp\OnboardLogs" /stypes="app*4041*20171129*" /stext=" 03:.+((SYSTEM_STATE.+slice.+state.+changed )|(ment ac)|(multiple cpu faults)|(system.+state.+changed )|(\[timeout)|(PRM\|1\|D)|(kpr)|(kdp)|(train st.+moving)|(\|lc)|(penalty))"</v>
      </c>
      <c r="AG135" s="245" t="str">
        <f t="shared" si="48"/>
        <v>EC</v>
      </c>
      <c r="AH135" s="237" t="str">
        <f t="shared" si="49"/>
        <v>"%USERPROFILE%\Documents\GitHub\eaglep3\Utilities\RefineRTDCRunTimes.py" --tripid 222-28 --locoid 4041 --swversion DE.1.0.9.0 --startMP 204:232919 --initTime 2017-11-28T19:53:38 --startdatetime 2017-11-28T19:57:17 --delay 92 --endMP 204:249 --enddatetime 2017-11-28T20:36:12 --enforcementcount 0 &gt;&gt;%USERPROFILE%\Documents\GitHub\eaglep3-reporting\EC\2017-11-28-refined-times.txt</v>
      </c>
      <c r="AI135" s="239" t="str">
        <f t="shared" si="50"/>
        <v>echo {"issue":{"subject":"","project_id":79,"tracker_id":40,"status_id":1,"priority_id":2,"assigned_to_id":338,"start_date":"2017-11-28","description":"","custom_fields":[{"id":1,"name":"Subdivision","value":"EC"},{"id":4,"name":"Milepost","value":"0.0249"},{"id":17,"name":"Train ID","value":"222-28"},{"id":16,"name":"Locomotive ID","value":"4041"},{"id":130,"name":"Impact","value":""},{"id":150,"name":"Time of Event (Mountain Time)","value":"20:36:12"},{"id":151,"name":"Denver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5" s="224"/>
      <c r="AK135" s="232"/>
      <c r="AL135" s="232"/>
      <c r="AM135" s="241" t="str">
        <f t="shared" si="51"/>
        <v>start /low /b %USERPROFILE%\Documents\GitHub\eaglep3\Utilities\DownloadLogsFromS3.py --loco 4041 --day 2017-11-28</v>
      </c>
      <c r="AN135" s="242" t="str">
        <f t="shared" si="52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03:36:12"},{"id":29,"name":"Sharepoint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231" t="str">
        <f t="shared" si="53"/>
        <v>https://d0f6bd738d7f1b3e5a7ca70fe4ff75f0.us-east-1.aws.found.io/app/kibana#/discover/Steve-Slow-Train-Analysis-(2080s-and-2083s)?_g=(refreshInterval:(display:Off,pause:!f,section:0,value:0),time:(from:'2017-11-28T18:53:38-0700',mode:absolute,to:'2017-11-28T21:36:12-0700'))&amp;_a=(columns:!('Message%20ID',Summary),filters:!(),index:'emp_*',interval:auto,query:(query_string:(analyze_wildcard:!t,query:'%22rtdc.l.rtdc.4041%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230" t="s">
        <v>853</v>
      </c>
      <c r="B136" s="226">
        <v>4008</v>
      </c>
      <c r="C136" s="228" t="s">
        <v>192</v>
      </c>
      <c r="D136" s="228" t="s">
        <v>971</v>
      </c>
      <c r="E136" s="227">
        <v>43067.808703703704</v>
      </c>
      <c r="F136" s="227">
        <v>43067.812685185185</v>
      </c>
      <c r="G136" s="226">
        <v>107</v>
      </c>
      <c r="H136" s="228" t="s">
        <v>969</v>
      </c>
      <c r="I136" s="227">
        <v>43067.837071759262</v>
      </c>
      <c r="J136" s="226">
        <v>0</v>
      </c>
      <c r="K136" s="238" t="str">
        <f t="shared" si="39"/>
        <v>4007/4008</v>
      </c>
      <c r="L136" s="246" t="str">
        <f>VLOOKUP(A136,'Trips&amp;Operators'!$C$1:$G$99911,5,FALSE)</f>
        <v>LOZA FIDEL</v>
      </c>
      <c r="M136" s="225">
        <f t="shared" si="40"/>
        <v>2.4386574077652767E-2</v>
      </c>
      <c r="N136" s="226">
        <f t="shared" si="57"/>
        <v>35.116666671819985</v>
      </c>
      <c r="O136" s="226"/>
      <c r="P136" s="226"/>
      <c r="Q136" s="229"/>
      <c r="R136" s="243"/>
      <c r="S136" s="250">
        <f t="shared" si="56"/>
        <v>1</v>
      </c>
      <c r="T136" s="243" t="str">
        <f t="shared" si="41"/>
        <v>NorthBound</v>
      </c>
      <c r="U136" s="247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49" t="str">
        <f t="shared" si="42"/>
        <v>https://d0f6bd738d7f1b3e5a7ca70fe4ff75f0.us-east-1.aws.found.io/app/kibana#/discover/Steve-Slow-Train-Analysis-(2080s-and-2083s)?_g=(refreshInterval:(display:Off,pause:!f,section:0,value:0),time:(from:'2017-11-28T18:24:32-0700',mode:absolute,to:'2017-11-28T21:05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36" s="248" t="str">
        <f>IF(AA136&lt;VLOOKUP(AG136,Variables!$AC$3:$AD$8,2,FALSE),"Y","N")</f>
        <v>N</v>
      </c>
      <c r="X136" s="248">
        <f t="shared" si="58"/>
        <v>1</v>
      </c>
      <c r="Y136" s="248">
        <f t="shared" si="60"/>
        <v>5.1999999999999998E-2</v>
      </c>
      <c r="Z136" s="248">
        <f t="shared" si="59"/>
        <v>23.3247</v>
      </c>
      <c r="AA136" s="248">
        <f t="shared" si="44"/>
        <v>23.2727</v>
      </c>
      <c r="AB136" s="234" t="e">
        <f>VLOOKUP(A136,Enforcements!$C$7:$K$9,8,0)</f>
        <v>#N/A</v>
      </c>
      <c r="AC136" s="233" t="e">
        <f>VLOOKUP(A136,Enforcements!$C$7:$E$9,3,0)</f>
        <v>#N/A</v>
      </c>
      <c r="AD136" s="244">
        <f t="shared" si="45"/>
        <v>223</v>
      </c>
      <c r="AE136" s="236" t="str">
        <f t="shared" si="46"/>
        <v>aws s3 cp s3://rtdc.mdm.uploadarchive.raw/RTDC4008/ "%USERPROFILE%\AppData\Local\Temp\OnboardLogs"\RTDC4008\2017-11-28 --exclude "*" --recursive --include "*20171128*" &amp; "%USERPROFILE%\Documents\GitHub\mrs-test-scripts\Headless Mode &amp; Sideloading\WalkAndUnGZ.bat" "%USERPROFILE%\AppData\Local\Temp\OnboardLogs"\RTDC4008\2017-11-28 &amp; aws s3 cp s3://rtdc.mdm.uploadarchive.raw/RTDC4008/ "%USERPROFILE%\AppData\Local\Temp\OnboardLogs"\RTDC4008\2017-11-29 --exclude "*" --recursive --include "*20171129*" &amp; "%USERPROFILE%\Documents\GitHub\mrs-test-scripts\Headless Mode &amp; Sideloading\WalkAndUnGZ.bat" "%USERPROFILE%\AppData\Local\Temp\OnboardLogs"\RTDC4008\2017-11-29</v>
      </c>
      <c r="AF136" s="235" t="str">
        <f t="shared" si="47"/>
        <v>"C:\Program Files (x86)\AstroGrep\AstroGrep.exe" /e /r /s /spath="%USERPROFILE%\AppData\Local\Temp\OnboardLogs" /stypes="app*4008*20171129*" /stext=" 03:.+((SYSTEM_STATE.+slice.+state.+changed )|(ment ac)|(multiple cpu faults)|(system.+state.+changed )|(\[timeout)|(PRM\|1\|D)|(kpr)|(kdp)|(train st.+moving)|(\|lc)|(penalty))"</v>
      </c>
      <c r="AG136" s="245" t="str">
        <f t="shared" si="48"/>
        <v>EC</v>
      </c>
      <c r="AH136" s="237" t="str">
        <f t="shared" si="49"/>
        <v>"%USERPROFILE%\Documents\GitHub\eaglep3\Utilities\RefineRTDCRunTimes.py" --tripid 223-28 --locoid 4008 --swversion DE.1.0.9.0 --startMP 204:520 --initTime 2017-11-28T19:24:32 --startdatetime 2017-11-28T19:30:16 --delay 107 --endMP 204:233247 --enddatetime 2017-11-28T20:05:23 --enforcementcount 0 &gt;&gt;%USERPROFILE%\Documents\GitHub\eaglep3-reporting\EC\2017-11-28-refined-times.txt</v>
      </c>
      <c r="AI136" s="239" t="str">
        <f t="shared" si="50"/>
        <v>echo {"issue":{"subject":"","project_id":79,"tracker_id":40,"status_id":1,"priority_id":2,"assigned_to_id":338,"start_date":"2017-11-28","description":"","custom_fields":[{"id":1,"name":"Subdivision","value":"EC"},{"id":4,"name":"Milepost","value":"23.3247"},{"id":17,"name":"Train ID","value":"223-28"},{"id":16,"name":"Locomotive ID","value":"4008"},{"id":130,"name":"Impact","value":""},{"id":150,"name":"Time of Event (Mountain Time)","value":"20:05:23"},{"id":151,"name":"Denver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6" s="224"/>
      <c r="AK136" s="232"/>
      <c r="AL136" s="232"/>
      <c r="AM136" s="241" t="str">
        <f t="shared" si="51"/>
        <v>start /low /b %USERPROFILE%\Documents\GitHub\eaglep3\Utilities\DownloadLogsFromS3.py --loco 4008 --day 2017-11-28</v>
      </c>
      <c r="AN136" s="242" t="str">
        <f t="shared" si="52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03:05:23"},{"id":29,"name":"Sharepoint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231" t="str">
        <f t="shared" si="53"/>
        <v>https://d0f6bd738d7f1b3e5a7ca70fe4ff75f0.us-east-1.aws.found.io/app/kibana#/discover/Steve-Slow-Train-Analysis-(2080s-and-2083s)?_g=(refreshInterval:(display:Off,pause:!f,section:0,value:0),time:(from:'2017-11-28T18:24:32-0700',mode:absolute,to:'2017-11-28T21:05:23-0700'))&amp;_a=(columns:!('Message%20ID',Summary),filters:!(),index:'emp_*',interval:auto,query:(query_string:(analyze_wildcard:!t,query:'%22rtdc.l.rtdc.4008%22')),sort:!(Time.ISO8601,asc))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230" t="s">
        <v>861</v>
      </c>
      <c r="B137" s="226">
        <v>4007</v>
      </c>
      <c r="C137" s="228" t="s">
        <v>192</v>
      </c>
      <c r="D137" s="228" t="s">
        <v>468</v>
      </c>
      <c r="E137" s="227">
        <v>43067.849918981483</v>
      </c>
      <c r="F137" s="227">
        <v>43067.85261574074</v>
      </c>
      <c r="G137" s="226">
        <v>81</v>
      </c>
      <c r="H137" s="228" t="s">
        <v>491</v>
      </c>
      <c r="I137" s="227">
        <v>43067.87841435185</v>
      </c>
      <c r="J137" s="226">
        <v>0</v>
      </c>
      <c r="K137" s="238" t="str">
        <f t="shared" si="39"/>
        <v>4007/4008</v>
      </c>
      <c r="L137" s="246" t="str">
        <f>VLOOKUP(A137,'Trips&amp;Operators'!$C$1:$G$99911,5,FALSE)</f>
        <v>LOZA FIDEL</v>
      </c>
      <c r="M137" s="225">
        <f t="shared" si="40"/>
        <v>2.5798611110076308E-2</v>
      </c>
      <c r="N137" s="226">
        <f t="shared" si="57"/>
        <v>37.149999998509884</v>
      </c>
      <c r="O137" s="226"/>
      <c r="P137" s="226"/>
      <c r="Q137" s="229"/>
      <c r="R137" s="243"/>
      <c r="S137" s="250">
        <f t="shared" si="56"/>
        <v>1</v>
      </c>
      <c r="T137" s="243" t="str">
        <f t="shared" si="41"/>
        <v>Southbound</v>
      </c>
      <c r="U137" s="247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49" t="str">
        <f t="shared" si="42"/>
        <v>https://d0f6bd738d7f1b3e5a7ca70fe4ff75f0.us-east-1.aws.found.io/app/kibana#/discover/Steve-Slow-Train-Analysis-(2080s-and-2083s)?_g=(refreshInterval:(display:Off,pause:!f,section:0,value:0),time:(from:'2017-11-28T19:23:53-0700',mode:absolute,to:'2017-11-28T22:04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37" s="248" t="str">
        <f>IF(AA137&lt;VLOOKUP(AG137,Variables!$AC$3:$AD$8,2,FALSE),"Y","N")</f>
        <v>N</v>
      </c>
      <c r="X137" s="248">
        <f t="shared" si="58"/>
        <v>1</v>
      </c>
      <c r="Y137" s="248">
        <f t="shared" si="60"/>
        <v>23.293199999999999</v>
      </c>
      <c r="Z137" s="248">
        <f t="shared" si="59"/>
        <v>2.23E-2</v>
      </c>
      <c r="AA137" s="248">
        <f t="shared" si="44"/>
        <v>23.270899999999997</v>
      </c>
      <c r="AB137" s="234" t="e">
        <f>VLOOKUP(A137,Enforcements!$C$7:$K$9,8,0)</f>
        <v>#N/A</v>
      </c>
      <c r="AC137" s="233" t="e">
        <f>VLOOKUP(A137,Enforcements!$C$7:$E$9,3,0)</f>
        <v>#N/A</v>
      </c>
      <c r="AD137" s="244">
        <f t="shared" si="45"/>
        <v>224</v>
      </c>
      <c r="AE137" s="236" t="str">
        <f t="shared" si="46"/>
        <v>aws s3 cp s3://rtdc.mdm.uploadarchive.raw/RTDC4007/ "%USERPROFILE%\AppData\Local\Temp\OnboardLogs"\RTDC4007\2017-11-28 --exclude "*" --recursive --include "*20171128*" &amp; "%USERPROFILE%\Documents\GitHub\mrs-test-scripts\Headless Mode &amp; Sideloading\WalkAndUnGZ.bat" "%USERPROFILE%\AppData\Local\Temp\OnboardLogs"\RTDC4007\2017-11-28 &amp; aws s3 cp s3://rtdc.mdm.uploadarchive.raw/RTDC4007/ "%USERPROFILE%\AppData\Local\Temp\OnboardLogs"\RTDC4007\2017-11-29 --exclude "*" --recursive --include "*20171129*" &amp; "%USERPROFILE%\Documents\GitHub\mrs-test-scripts\Headless Mode &amp; Sideloading\WalkAndUnGZ.bat" "%USERPROFILE%\AppData\Local\Temp\OnboardLogs"\RTDC4007\2017-11-29</v>
      </c>
      <c r="AF137" s="235" t="str">
        <f t="shared" si="47"/>
        <v>"C:\Program Files (x86)\AstroGrep\AstroGrep.exe" /e /r /s /spath="%USERPROFILE%\AppData\Local\Temp\OnboardLogs" /stypes="app*4007*20171129*" /stext=" 04:.+((SYSTEM_STATE.+slice.+state.+changed )|(ment ac)|(multiple cpu faults)|(system.+state.+changed )|(\[timeout)|(PRM\|1\|D)|(kpr)|(kdp)|(train st.+moving)|(\|lc)|(penalty))"</v>
      </c>
      <c r="AG137" s="245" t="str">
        <f t="shared" si="48"/>
        <v>EC</v>
      </c>
      <c r="AH137" s="237" t="str">
        <f t="shared" si="49"/>
        <v>"%USERPROFILE%\Documents\GitHub\eaglep3\Utilities\RefineRTDCRunTimes.py" --tripid 224-28 --locoid 4007 --swversion DE.1.0.9.0 --startMP 204:232932 --initTime 2017-11-28T20:23:53 --startdatetime 2017-11-28T20:27:46 --delay 81 --endMP 204:223 --enddatetime 2017-11-28T21:04:55 --enforcementcount 0 &gt;&gt;%USERPROFILE%\Documents\GitHub\eaglep3-reporting\EC\2017-11-28-refined-times.txt</v>
      </c>
      <c r="AI137" s="239" t="str">
        <f t="shared" si="50"/>
        <v>echo {"issue":{"subject":"","project_id":79,"tracker_id":40,"status_id":1,"priority_id":2,"assigned_to_id":338,"start_date":"2017-11-28","description":"","custom_fields":[{"id":1,"name":"Subdivision","value":"EC"},{"id":4,"name":"Milepost","value":"0.0223"},{"id":17,"name":"Train ID","value":"224-28"},{"id":16,"name":"Locomotive ID","value":"4007"},{"id":130,"name":"Impact","value":""},{"id":150,"name":"Time of Event (Mountain Time)","value":"21:04:55"},{"id":151,"name":"Denver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7" s="224"/>
      <c r="AK137" s="232"/>
      <c r="AL137" s="232"/>
      <c r="AM137" s="241" t="str">
        <f t="shared" si="51"/>
        <v>start /low /b %USERPROFILE%\Documents\GitHub\eaglep3\Utilities\DownloadLogsFromS3.py --loco 4007 --day 2017-11-28</v>
      </c>
      <c r="AN137" s="242" t="str">
        <f t="shared" si="52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04:04:55"},{"id":29,"name":"Sharepoint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231" t="str">
        <f t="shared" si="53"/>
        <v>https://d0f6bd738d7f1b3e5a7ca70fe4ff75f0.us-east-1.aws.found.io/app/kibana#/discover/Steve-Slow-Train-Analysis-(2080s-and-2083s)?_g=(refreshInterval:(display:Off,pause:!f,section:0,value:0),time:(from:'2017-11-28T19:23:53-0700',mode:absolute,to:'2017-11-28T22:04:55-0700'))&amp;_a=(columns:!('Message%20ID',Summary),filters:!(),index:'emp_*',interval:auto,query:(query_string:(analyze_wildcard:!t,query:'%22rtdc.l.rtdc.4007%22')),sort:!(Time.ISO8601,asc))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230" t="s">
        <v>856</v>
      </c>
      <c r="B138" s="226">
        <v>4060</v>
      </c>
      <c r="C138" s="228" t="s">
        <v>192</v>
      </c>
      <c r="D138" s="228" t="s">
        <v>597</v>
      </c>
      <c r="E138" s="227">
        <v>43067.829375000001</v>
      </c>
      <c r="F138" s="227">
        <v>43067.833518518521</v>
      </c>
      <c r="G138" s="226">
        <v>92</v>
      </c>
      <c r="H138" s="228" t="s">
        <v>972</v>
      </c>
      <c r="I138" s="227">
        <v>43067.858391203707</v>
      </c>
      <c r="J138" s="226">
        <v>0</v>
      </c>
      <c r="K138" s="238" t="str">
        <f t="shared" si="39"/>
        <v>4059/4060</v>
      </c>
      <c r="L138" s="246" t="str">
        <f>VLOOKUP(A138,'Trips&amp;Operators'!$C$1:$G$99911,5,FALSE)</f>
        <v>NICHOLSON WESLEY</v>
      </c>
      <c r="M138" s="225">
        <f t="shared" si="40"/>
        <v>2.4872685185982846E-2</v>
      </c>
      <c r="N138" s="226">
        <f t="shared" si="57"/>
        <v>35.816666667815298</v>
      </c>
      <c r="O138" s="226"/>
      <c r="P138" s="226"/>
      <c r="Q138" s="229"/>
      <c r="R138" s="243"/>
      <c r="S138" s="250">
        <f t="shared" ref="S138:S163" si="61">1/IF(AG138="EC",12,1)*SUM(U138:U138)</f>
        <v>1</v>
      </c>
      <c r="T138" s="243" t="str">
        <f t="shared" si="41"/>
        <v>NorthBound</v>
      </c>
      <c r="U138" s="247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49" t="str">
        <f t="shared" si="42"/>
        <v>https://d0f6bd738d7f1b3e5a7ca70fe4ff75f0.us-east-1.aws.found.io/app/kibana#/discover/Steve-Slow-Train-Analysis-(2080s-and-2083s)?_g=(refreshInterval:(display:Off,pause:!f,section:0,value:0),time:(from:'2017-11-28T18:54:18-0700',mode:absolute,to:'2017-11-28T21:36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38" s="248" t="str">
        <f>IF(AA138&lt;VLOOKUP(AG138,Variables!$AC$3:$AD$8,2,FALSE),"Y","N")</f>
        <v>N</v>
      </c>
      <c r="X138" s="248">
        <f t="shared" si="58"/>
        <v>1</v>
      </c>
      <c r="Y138" s="248">
        <f t="shared" si="60"/>
        <v>5.0599999999999999E-2</v>
      </c>
      <c r="Z138" s="248">
        <f t="shared" si="59"/>
        <v>23.3185</v>
      </c>
      <c r="AA138" s="248">
        <f t="shared" si="44"/>
        <v>23.267900000000001</v>
      </c>
      <c r="AB138" s="234" t="e">
        <f>VLOOKUP(A138,Enforcements!$C$7:$K$9,8,0)</f>
        <v>#N/A</v>
      </c>
      <c r="AC138" s="233" t="e">
        <f>VLOOKUP(A138,Enforcements!$C$7:$E$9,3,0)</f>
        <v>#N/A</v>
      </c>
      <c r="AD138" s="244">
        <f t="shared" si="45"/>
        <v>225</v>
      </c>
      <c r="AE138" s="236" t="str">
        <f t="shared" si="46"/>
        <v>aws s3 cp s3://rtdc.mdm.uploadarchive.raw/RTDC4060/ "%USERPROFILE%\AppData\Local\Temp\OnboardLogs"\RTDC4060\2017-11-28 --exclude "*" --recursive --include "*20171128*" &amp; "%USERPROFILE%\Documents\GitHub\mrs-test-scripts\Headless Mode &amp; Sideloading\WalkAndUnGZ.bat" "%USERPROFILE%\AppData\Local\Temp\OnboardLogs"\RTDC4060\2017-11-28 &amp; aws s3 cp s3://rtdc.mdm.uploadarchive.raw/RTDC4060/ "%USERPROFILE%\AppData\Local\Temp\OnboardLogs"\RTDC4060\2017-11-29 --exclude "*" --recursive --include "*20171129*" &amp; "%USERPROFILE%\Documents\GitHub\mrs-test-scripts\Headless Mode &amp; Sideloading\WalkAndUnGZ.bat" "%USERPROFILE%\AppData\Local\Temp\OnboardLogs"\RTDC4060\2017-11-29</v>
      </c>
      <c r="AF138" s="235" t="str">
        <f t="shared" si="47"/>
        <v>"C:\Program Files (x86)\AstroGrep\AstroGrep.exe" /e /r /s /spath="%USERPROFILE%\AppData\Local\Temp\OnboardLogs" /stypes="app*4060*20171129*" /stext=" 03:.+((SYSTEM_STATE.+slice.+state.+changed )|(ment ac)|(multiple cpu faults)|(system.+state.+changed )|(\[timeout)|(PRM\|1\|D)|(kpr)|(kdp)|(train st.+moving)|(\|lc)|(penalty))"</v>
      </c>
      <c r="AG138" s="245" t="str">
        <f t="shared" si="48"/>
        <v>EC</v>
      </c>
      <c r="AH138" s="237" t="str">
        <f t="shared" si="49"/>
        <v>"%USERPROFILE%\Documents\GitHub\eaglep3\Utilities\RefineRTDCRunTimes.py" --tripid 225-28 --locoid 4060 --swversion DE.1.0.9.0 --startMP 204:506 --initTime 2017-11-28T19:54:18 --startdatetime 2017-11-28T20:00:16 --delay 92 --endMP 204:233185 --enddatetime 2017-11-28T20:36:05 --enforcementcount 0 &gt;&gt;%USERPROFILE%\Documents\GitHub\eaglep3-reporting\EC\2017-11-28-refined-times.txt</v>
      </c>
      <c r="AI138" s="239" t="str">
        <f t="shared" si="50"/>
        <v>echo {"issue":{"subject":"","project_id":79,"tracker_id":40,"status_id":1,"priority_id":2,"assigned_to_id":338,"start_date":"2017-11-28","description":"","custom_fields":[{"id":1,"name":"Subdivision","value":"EC"},{"id":4,"name":"Milepost","value":"23.3185"},{"id":17,"name":"Train ID","value":"225-28"},{"id":16,"name":"Locomotive ID","value":"4060"},{"id":130,"name":"Impact","value":""},{"id":150,"name":"Time of Event (Mountain Time)","value":"20:36:05"},{"id":151,"name":"Denver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8" s="224"/>
      <c r="AK138" s="232"/>
      <c r="AL138" s="232"/>
      <c r="AM138" s="241" t="str">
        <f t="shared" si="51"/>
        <v>start /low /b %USERPROFILE%\Documents\GitHub\eaglep3\Utilities\DownloadLogsFromS3.py --loco 4060 --day 2017-11-28</v>
      </c>
      <c r="AN138" s="242" t="str">
        <f t="shared" si="52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03:36:05"},{"id":29,"name":"Sharepoint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231" t="str">
        <f t="shared" si="53"/>
        <v>https://d0f6bd738d7f1b3e5a7ca70fe4ff75f0.us-east-1.aws.found.io/app/kibana#/discover/Steve-Slow-Train-Analysis-(2080s-and-2083s)?_g=(refreshInterval:(display:Off,pause:!f,section:0,value:0),time:(from:'2017-11-28T18:54:18-0700',mode:absolute,to:'2017-11-28T21:36:05-0700'))&amp;_a=(columns:!('Message%20ID',Summary),filters:!(),index:'emp_*',interval:auto,query:(query_string:(analyze_wildcard:!t,query:'%22rtdc.l.rtdc.4060%22')),sort:!(Time.ISO8601,asc))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230" t="s">
        <v>863</v>
      </c>
      <c r="B139" s="226">
        <v>4059</v>
      </c>
      <c r="C139" s="228" t="s">
        <v>192</v>
      </c>
      <c r="D139" s="228" t="s">
        <v>1093</v>
      </c>
      <c r="E139" s="227">
        <v>43067.861342592594</v>
      </c>
      <c r="F139" s="227">
        <v>43067.873495370368</v>
      </c>
      <c r="G139" s="226">
        <v>66</v>
      </c>
      <c r="H139" s="228" t="s">
        <v>1091</v>
      </c>
      <c r="I139" s="227">
        <v>43067.901620370372</v>
      </c>
      <c r="J139" s="226">
        <v>0</v>
      </c>
      <c r="K139" s="238" t="str">
        <f t="shared" si="39"/>
        <v>4059/4060</v>
      </c>
      <c r="L139" s="246" t="str">
        <f>VLOOKUP(A139,'Trips&amp;Operators'!$C$1:$G$99911,5,FALSE)</f>
        <v>NICHOLSON WESLEY</v>
      </c>
      <c r="M139" s="225">
        <f t="shared" si="40"/>
        <v>2.8125000004365575E-2</v>
      </c>
      <c r="N139" s="226">
        <f t="shared" ref="N139:N162" si="62">24*60*SUM($M139:$M139)</f>
        <v>40.500000006286427</v>
      </c>
      <c r="O139" s="226"/>
      <c r="P139" s="226"/>
      <c r="Q139" s="229"/>
      <c r="R139" s="243"/>
      <c r="S139" s="250">
        <f t="shared" si="61"/>
        <v>1</v>
      </c>
      <c r="T139" s="243" t="str">
        <f t="shared" si="41"/>
        <v>Southbound</v>
      </c>
      <c r="U139" s="247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49" t="str">
        <f t="shared" si="42"/>
        <v>https://d0f6bd738d7f1b3e5a7ca70fe4ff75f0.us-east-1.aws.found.io/app/kibana#/discover/Steve-Slow-Train-Analysis-(2080s-and-2083s)?_g=(refreshInterval:(display:Off,pause:!f,section:0,value:0),time:(from:'2017-11-28T19:40:20-0700',mode:absolute,to:'2017-11-28T22:38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39" s="248" t="str">
        <f>IF(AA139&lt;VLOOKUP(AG139,Variables!$AC$3:$AD$8,2,FALSE),"Y","N")</f>
        <v>N</v>
      </c>
      <c r="X139" s="248">
        <f t="shared" si="58"/>
        <v>1</v>
      </c>
      <c r="Y139" s="248">
        <f t="shared" si="60"/>
        <v>23.287400000000002</v>
      </c>
      <c r="Z139" s="248">
        <f t="shared" si="59"/>
        <v>2.4199999999999999E-2</v>
      </c>
      <c r="AA139" s="248">
        <f t="shared" si="44"/>
        <v>23.263200000000001</v>
      </c>
      <c r="AB139" s="234" t="e">
        <f>VLOOKUP(A139,Enforcements!$C$7:$K$9,8,0)</f>
        <v>#N/A</v>
      </c>
      <c r="AC139" s="233" t="e">
        <f>VLOOKUP(A139,Enforcements!$C$7:$E$9,3,0)</f>
        <v>#N/A</v>
      </c>
      <c r="AD139" s="244">
        <f t="shared" si="45"/>
        <v>226</v>
      </c>
      <c r="AE139" s="236" t="str">
        <f t="shared" si="46"/>
        <v>aws s3 cp s3://rtdc.mdm.uploadarchive.raw/RTDC4059/ "%USERPROFILE%\AppData\Local\Temp\OnboardLogs"\RTDC4059\2017-11-28 --exclude "*" --recursive --include "*20171128*" &amp; "%USERPROFILE%\Documents\GitHub\mrs-test-scripts\Headless Mode &amp; Sideloading\WalkAndUnGZ.bat" "%USERPROFILE%\AppData\Local\Temp\OnboardLogs"\RTDC4059\2017-11-28 &amp; aws s3 cp s3://rtdc.mdm.uploadarchive.raw/RTDC4059/ "%USERPROFILE%\AppData\Local\Temp\OnboardLogs"\RTDC4059\2017-11-29 --exclude "*" --recursive --include "*20171129*" &amp; "%USERPROFILE%\Documents\GitHub\mrs-test-scripts\Headless Mode &amp; Sideloading\WalkAndUnGZ.bat" "%USERPROFILE%\AppData\Local\Temp\OnboardLogs"\RTDC4059\2017-11-29</v>
      </c>
      <c r="AF139" s="235" t="str">
        <f t="shared" si="47"/>
        <v>"C:\Program Files (x86)\AstroGrep\AstroGrep.exe" /e /r /s /spath="%USERPROFILE%\AppData\Local\Temp\OnboardLogs" /stypes="app*4059*20171129*" /stext=" 04:.+((SYSTEM_STATE.+slice.+state.+changed )|(ment ac)|(multiple cpu faults)|(system.+state.+changed )|(\[timeout)|(PRM\|1\|D)|(kpr)|(kdp)|(train st.+moving)|(\|lc)|(penalty))"</v>
      </c>
      <c r="AG139" s="245" t="str">
        <f t="shared" si="48"/>
        <v>EC</v>
      </c>
      <c r="AH139" s="237" t="str">
        <f t="shared" si="49"/>
        <v>"%USERPROFILE%\Documents\GitHub\eaglep3\Utilities\RefineRTDCRunTimes.py" --tripid 226-28 --locoid 4059 --swversion DE.1.0.9.0 --startMP 204:232874 --initTime 2017-11-28T20:40:20 --startdatetime 2017-11-28T20:57:50 --delay 66 --endMP 204:242 --enddatetime 2017-11-28T21:38:20 --enforcementcount 0 &gt;&gt;%USERPROFILE%\Documents\GitHub\eaglep3-reporting\EC\2017-11-28-refined-times.txt</v>
      </c>
      <c r="AI139" s="239" t="str">
        <f t="shared" si="50"/>
        <v>echo {"issue":{"subject":"","project_id":79,"tracker_id":40,"status_id":1,"priority_id":2,"assigned_to_id":338,"start_date":"2017-11-28","description":"","custom_fields":[{"id":1,"name":"Subdivision","value":"EC"},{"id":4,"name":"Milepost","value":"0.0242"},{"id":17,"name":"Train ID","value":"226-28"},{"id":16,"name":"Locomotive ID","value":"4059"},{"id":130,"name":"Impact","value":""},{"id":150,"name":"Time of Event (Mountain Time)","value":"21:38:20"},{"id":151,"name":"Denver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9" s="224"/>
      <c r="AK139" s="232"/>
      <c r="AL139" s="232"/>
      <c r="AM139" s="241" t="str">
        <f t="shared" si="51"/>
        <v>start /low /b %USERPROFILE%\Documents\GitHub\eaglep3\Utilities\DownloadLogsFromS3.py --loco 4059 --day 2017-11-28</v>
      </c>
      <c r="AN139" s="242" t="str">
        <f t="shared" si="52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04:38:20"},{"id":29,"name":"Sharepoint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231" t="str">
        <f t="shared" si="53"/>
        <v>https://d0f6bd738d7f1b3e5a7ca70fe4ff75f0.us-east-1.aws.found.io/app/kibana#/discover/Steve-Slow-Train-Analysis-(2080s-and-2083s)?_g=(refreshInterval:(display:Off,pause:!f,section:0,value:0),time:(from:'2017-11-28T19:40:20-0700',mode:absolute,to:'2017-11-28T22:38:20-0700'))&amp;_a=(columns:!('Message%20ID',Summary),filters:!(),index:'emp_*',interval:auto,query:(query_string:(analyze_wildcard:!t,query:'%22rtdc.l.rtdc.4059%22')),sort:!(Time.ISO8601,asc))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230" t="s">
        <v>858</v>
      </c>
      <c r="B140" s="226">
        <v>4056</v>
      </c>
      <c r="C140" s="228" t="s">
        <v>192</v>
      </c>
      <c r="D140" s="228" t="s">
        <v>602</v>
      </c>
      <c r="E140" s="227">
        <v>43067.842372685183</v>
      </c>
      <c r="F140" s="227">
        <v>43067.854363425926</v>
      </c>
      <c r="G140" s="226">
        <v>80</v>
      </c>
      <c r="H140" s="228" t="s">
        <v>606</v>
      </c>
      <c r="I140" s="227">
        <v>43067.879224537035</v>
      </c>
      <c r="J140" s="226">
        <v>0</v>
      </c>
      <c r="K140" s="238" t="str">
        <f t="shared" si="39"/>
        <v>4055/4056</v>
      </c>
      <c r="L140" s="246" t="str">
        <f>VLOOKUP(A140,'Trips&amp;Operators'!$C$1:$G$99911,5,FALSE)</f>
        <v>ZEWDU DEREJE</v>
      </c>
      <c r="M140" s="225">
        <f t="shared" si="40"/>
        <v>2.4861111109203193E-2</v>
      </c>
      <c r="N140" s="226">
        <f t="shared" si="62"/>
        <v>35.799999997252598</v>
      </c>
      <c r="O140" s="226"/>
      <c r="P140" s="226"/>
      <c r="Q140" s="229"/>
      <c r="R140" s="243"/>
      <c r="S140" s="250">
        <f t="shared" si="61"/>
        <v>1</v>
      </c>
      <c r="T140" s="243" t="str">
        <f t="shared" si="41"/>
        <v>NorthBound</v>
      </c>
      <c r="U140" s="247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49" t="str">
        <f t="shared" si="42"/>
        <v>https://d0f6bd738d7f1b3e5a7ca70fe4ff75f0.us-east-1.aws.found.io/app/kibana#/discover/Steve-Slow-Train-Analysis-(2080s-and-2083s)?_g=(refreshInterval:(display:Off,pause:!f,section:0,value:0),time:(from:'2017-11-28T19:13:01-0700',mode:absolute,to:'2017-11-28T22:06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40" s="248" t="str">
        <f>IF(AA140&lt;VLOOKUP(AG140,Variables!$AC$3:$AD$8,2,FALSE),"Y","N")</f>
        <v>N</v>
      </c>
      <c r="X140" s="248">
        <f t="shared" si="58"/>
        <v>1</v>
      </c>
      <c r="Y140" s="248">
        <f t="shared" si="60"/>
        <v>5.3699999999999998E-2</v>
      </c>
      <c r="Z140" s="248">
        <f t="shared" si="59"/>
        <v>23.324400000000001</v>
      </c>
      <c r="AA140" s="248">
        <f t="shared" si="44"/>
        <v>23.270700000000001</v>
      </c>
      <c r="AB140" s="234" t="e">
        <f>VLOOKUP(A140,Enforcements!$C$7:$K$9,8,0)</f>
        <v>#N/A</v>
      </c>
      <c r="AC140" s="233" t="e">
        <f>VLOOKUP(A140,Enforcements!$C$7:$E$9,3,0)</f>
        <v>#N/A</v>
      </c>
      <c r="AD140" s="244">
        <f t="shared" si="45"/>
        <v>227</v>
      </c>
      <c r="AE140" s="236" t="str">
        <f t="shared" si="46"/>
        <v>aws s3 cp s3://rtdc.mdm.uploadarchive.raw/RTDC4056/ "%USERPROFILE%\AppData\Local\Temp\OnboardLogs"\RTDC4056\2017-11-28 --exclude "*" --recursive --include "*20171128*" &amp; "%USERPROFILE%\Documents\GitHub\mrs-test-scripts\Headless Mode &amp; Sideloading\WalkAndUnGZ.bat" "%USERPROFILE%\AppData\Local\Temp\OnboardLogs"\RTDC4056\2017-11-28 &amp; aws s3 cp s3://rtdc.mdm.uploadarchive.raw/RTDC4056/ "%USERPROFILE%\AppData\Local\Temp\OnboardLogs"\RTDC4056\2017-11-29 --exclude "*" --recursive --include "*20171129*" &amp; "%USERPROFILE%\Documents\GitHub\mrs-test-scripts\Headless Mode &amp; Sideloading\WalkAndUnGZ.bat" "%USERPROFILE%\AppData\Local\Temp\OnboardLogs"\RTDC4056\2017-11-29</v>
      </c>
      <c r="AF140" s="235" t="str">
        <f t="shared" si="47"/>
        <v>"C:\Program Files (x86)\AstroGrep\AstroGrep.exe" /e /r /s /spath="%USERPROFILE%\AppData\Local\Temp\OnboardLogs" /stypes="app*4056*20171129*" /stext=" 04:.+((SYSTEM_STATE.+slice.+state.+changed )|(ment ac)|(multiple cpu faults)|(system.+state.+changed )|(\[timeout)|(PRM\|1\|D)|(kpr)|(kdp)|(train st.+moving)|(\|lc)|(penalty))"</v>
      </c>
      <c r="AG140" s="245" t="str">
        <f t="shared" si="48"/>
        <v>EC</v>
      </c>
      <c r="AH140" s="237" t="str">
        <f t="shared" si="49"/>
        <v>"%USERPROFILE%\Documents\GitHub\eaglep3\Utilities\RefineRTDCRunTimes.py" --tripid 227-28 --locoid 4056 --swversion DE.1.0.9.0 --startMP 204:537 --initTime 2017-11-28T20:13:01 --startdatetime 2017-11-28T20:30:17 --delay 80 --endMP 204:233244 --enddatetime 2017-11-28T21:06:05 --enforcementcount 0 &gt;&gt;%USERPROFILE%\Documents\GitHub\eaglep3-reporting\EC\2017-11-28-refined-times.txt</v>
      </c>
      <c r="AI140" s="239" t="str">
        <f t="shared" si="50"/>
        <v>echo {"issue":{"subject":"","project_id":79,"tracker_id":40,"status_id":1,"priority_id":2,"assigned_to_id":338,"start_date":"2017-11-28","description":"","custom_fields":[{"id":1,"name":"Subdivision","value":"EC"},{"id":4,"name":"Milepost","value":"23.3244"},{"id":17,"name":"Train ID","value":"227-28"},{"id":16,"name":"Locomotive ID","value":"4056"},{"id":130,"name":"Impact","value":""},{"id":150,"name":"Time of Event (Mountain Time)","value":"21:06:05"},{"id":151,"name":"Denver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0" s="224"/>
      <c r="AK140" s="232"/>
      <c r="AL140" s="232"/>
      <c r="AM140" s="241" t="str">
        <f t="shared" si="51"/>
        <v>start /low /b %USERPROFILE%\Documents\GitHub\eaglep3\Utilities\DownloadLogsFromS3.py --loco 4056 --day 2017-11-28</v>
      </c>
      <c r="AN140" s="242" t="str">
        <f t="shared" si="52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04:06:05"},{"id":29,"name":"Sharepoint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231" t="str">
        <f t="shared" si="53"/>
        <v>https://d0f6bd738d7f1b3e5a7ca70fe4ff75f0.us-east-1.aws.found.io/app/kibana#/discover/Steve-Slow-Train-Analysis-(2080s-and-2083s)?_g=(refreshInterval:(display:Off,pause:!f,section:0,value:0),time:(from:'2017-11-28T19:13:01-0700',mode:absolute,to:'2017-11-28T22:06:05-0700'))&amp;_a=(columns:!('Message%20ID',Summary),filters:!(),index:'emp_*',interval:auto,query:(query_string:(analyze_wildcard:!t,query:'%22rtdc.l.rtdc.4056%22')),sort:!(Time.ISO8601,asc))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230" t="s">
        <v>868</v>
      </c>
      <c r="B141" s="226">
        <v>4055</v>
      </c>
      <c r="C141" s="228" t="s">
        <v>192</v>
      </c>
      <c r="D141" s="228" t="s">
        <v>973</v>
      </c>
      <c r="E141" s="227">
        <v>43067.89335648148</v>
      </c>
      <c r="F141" s="227">
        <v>43067.895138888889</v>
      </c>
      <c r="G141" s="226">
        <v>71</v>
      </c>
      <c r="H141" s="228" t="s">
        <v>974</v>
      </c>
      <c r="I141" s="227">
        <v>43067.921354166669</v>
      </c>
      <c r="J141" s="226">
        <v>0</v>
      </c>
      <c r="K141" s="238" t="str">
        <f t="shared" ref="K141:K204" si="63">IF(ISEVEN(B141),(B141-1)&amp;"/"&amp;B141,B141&amp;"/"&amp;(B141+1))</f>
        <v>4055/4056</v>
      </c>
      <c r="L141" s="246" t="str">
        <f>VLOOKUP(A141,'Trips&amp;Operators'!$C$1:$G$99911,5,FALSE)</f>
        <v>ZEWDU DEREJE</v>
      </c>
      <c r="M141" s="225">
        <f t="shared" ref="M141:M204" si="64">I141-F141</f>
        <v>2.6215277779556345E-2</v>
      </c>
      <c r="N141" s="226">
        <f t="shared" si="62"/>
        <v>37.750000002561137</v>
      </c>
      <c r="O141" s="226"/>
      <c r="P141" s="226"/>
      <c r="Q141" s="229"/>
      <c r="R141" s="243"/>
      <c r="S141" s="250">
        <f t="shared" si="61"/>
        <v>1</v>
      </c>
      <c r="T141" s="243" t="str">
        <f t="shared" ref="T141:T204" si="65">IF(ISEVEN(LEFT(AD141,4)),"Southbound","NorthBound")</f>
        <v>Southbound</v>
      </c>
      <c r="U141" s="247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49" t="str">
        <f t="shared" ref="V141:V204" si="66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-11-28T20:26:26-0700',mode:absolute,to:'2017-11-28T23:06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41" s="248" t="str">
        <f>IF(AA141&lt;VLOOKUP(AG141,Variables!$AC$3:$AD$8,2,FALSE),"Y","N")</f>
        <v>N</v>
      </c>
      <c r="X141" s="248">
        <f t="shared" ref="X141:X167" si="67">VALUE(LEFT(AD141,4))-VALUE(LEFT(AD140,4))</f>
        <v>1</v>
      </c>
      <c r="Y141" s="248">
        <f t="shared" si="60"/>
        <v>23.292100000000001</v>
      </c>
      <c r="Z141" s="248">
        <f t="shared" si="59"/>
        <v>2.3599999999999999E-2</v>
      </c>
      <c r="AA141" s="248">
        <f t="shared" ref="AA141:AA204" si="68">ABS(Z141-Y141)</f>
        <v>23.268500000000003</v>
      </c>
      <c r="AB141" s="234" t="e">
        <f>VLOOKUP(A141,Enforcements!$C$7:$K$9,8,0)</f>
        <v>#N/A</v>
      </c>
      <c r="AC141" s="233" t="e">
        <f>VLOOKUP(A141,Enforcements!$C$7:$E$9,3,0)</f>
        <v>#N/A</v>
      </c>
      <c r="AD141" s="244">
        <f t="shared" ref="AD141:AD204" si="69">VALUE(LEFT(A141,LEN(A141)-3))</f>
        <v>228</v>
      </c>
      <c r="AE141" s="236" t="str">
        <f t="shared" ref="AE141:AE204" si="70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s3://rtdc.mdm.uploadarchive.raw/RTDC4055/ "%USERPROFILE%\AppData\Local\Temp\OnboardLogs"\RTDC4055\2017-11-28 --exclude "*" --recursive --include "*20171128*" &amp; "%USERPROFILE%\Documents\GitHub\mrs-test-scripts\Headless Mode &amp; Sideloading\WalkAndUnGZ.bat" "%USERPROFILE%\AppData\Local\Temp\OnboardLogs"\RTDC4055\2017-11-28 &amp; aws s3 cp s3://rtdc.mdm.uploadarchive.raw/RTDC4055/ "%USERPROFILE%\AppData\Local\Temp\OnboardLogs"\RTDC4055\2017-11-29 --exclude "*" --recursive --include "*20171129*" &amp; "%USERPROFILE%\Documents\GitHub\mrs-test-scripts\Headless Mode &amp; Sideloading\WalkAndUnGZ.bat" "%USERPROFILE%\AppData\Local\Temp\OnboardLogs"\RTDC4055\2017-11-29</v>
      </c>
      <c r="AF141" s="235" t="str">
        <f t="shared" ref="AF141:AF204" si="71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/stypes="app*4055*20171129*" /stext=" 05:.+((SYSTEM_STATE.+slice.+state.+changed )|(ment ac)|(multiple cpu faults)|(system.+state.+changed )|(\[timeout)|(PRM\|1\|D)|(kpr)|(kdp)|(train st.+moving)|(\|lc)|(penalty))"</v>
      </c>
      <c r="AG141" s="245" t="str">
        <f t="shared" ref="AG141:AG204" si="72">DetSubdiv(A141)</f>
        <v>EC</v>
      </c>
      <c r="AH141" s="237" t="str">
        <f t="shared" si="49"/>
        <v>"%USERPROFILE%\Documents\GitHub\eaglep3\Utilities\RefineRTDCRunTimes.py" --tripid 228-28 --locoid 4055 --swversion DE.1.0.9.0 --startMP 204:232921 --initTime 2017-11-28T21:26:26 --startdatetime 2017-11-28T21:29:00 --delay 71 --endMP 204:236 --enddatetime 2017-11-28T22:06:45 --enforcementcount 0 &gt;&gt;%USERPROFILE%\Documents\GitHub\eaglep3-reporting\EC\2017-11-28-refined-times.txt</v>
      </c>
      <c r="AI141" s="239" t="str">
        <f t="shared" si="50"/>
        <v>echo {"issue":{"subject":"","project_id":79,"tracker_id":40,"status_id":1,"priority_id":2,"assigned_to_id":338,"start_date":"2017-11-28","description":"","custom_fields":[{"id":1,"name":"Subdivision","value":"EC"},{"id":4,"name":"Milepost","value":"0.0236"},{"id":17,"name":"Train ID","value":"228-28"},{"id":16,"name":"Locomotive ID","value":"4055"},{"id":130,"name":"Impact","value":""},{"id":150,"name":"Time of Event (Mountain Time)","value":"22:06:45"},{"id":151,"name":"Denver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1" s="224"/>
      <c r="AK141" s="232"/>
      <c r="AL141" s="232"/>
      <c r="AM141" s="241" t="str">
        <f t="shared" si="51"/>
        <v>start /low /b %USERPROFILE%\Documents\GitHub\eaglep3\Utilities\DownloadLogsFromS3.py --loco 4055 --day 2017-11-28</v>
      </c>
      <c r="AN141" s="242" t="str">
        <f t="shared" si="52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05:06:45"},{"id":29,"name":"Sharepoint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231" t="str">
        <f t="shared" si="53"/>
        <v>https://d0f6bd738d7f1b3e5a7ca70fe4ff75f0.us-east-1.aws.found.io/app/kibana#/discover/Steve-Slow-Train-Analysis-(2080s-and-2083s)?_g=(refreshInterval:(display:Off,pause:!f,section:0,value:0),time:(from:'2017-11-28T20:26:26-0700',mode:absolute,to:'2017-11-28T23:06:45-0700'))&amp;_a=(columns:!('Message%20ID',Summary),filters:!(),index:'emp_*',interval:auto,query:(query_string:(analyze_wildcard:!t,query:'%22rtdc.l.rtdc.4055%22')),sort:!(Time.ISO8601,asc))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230" t="s">
        <v>864</v>
      </c>
      <c r="B142" s="226">
        <v>4042</v>
      </c>
      <c r="C142" s="228" t="s">
        <v>192</v>
      </c>
      <c r="D142" s="228" t="s">
        <v>975</v>
      </c>
      <c r="E142" s="227">
        <v>43067.867638888885</v>
      </c>
      <c r="F142" s="227">
        <v>43067.875532407408</v>
      </c>
      <c r="G142" s="226">
        <v>112</v>
      </c>
      <c r="H142" s="228" t="s">
        <v>895</v>
      </c>
      <c r="I142" s="227">
        <v>43067.899756944447</v>
      </c>
      <c r="J142" s="226">
        <v>0</v>
      </c>
      <c r="K142" s="238" t="str">
        <f t="shared" si="63"/>
        <v>4041/4042</v>
      </c>
      <c r="L142" s="246" t="str">
        <f>VLOOKUP(A142,'Trips&amp;Operators'!$C$1:$G$99911,5,FALSE)</f>
        <v>RESPASS AARON</v>
      </c>
      <c r="M142" s="225">
        <f t="shared" si="64"/>
        <v>2.4224537039117422E-2</v>
      </c>
      <c r="N142" s="226">
        <f t="shared" si="62"/>
        <v>34.883333336329088</v>
      </c>
      <c r="O142" s="226"/>
      <c r="P142" s="226"/>
      <c r="Q142" s="229"/>
      <c r="R142" s="243"/>
      <c r="S142" s="250">
        <f t="shared" si="61"/>
        <v>1</v>
      </c>
      <c r="T142" s="243" t="str">
        <f t="shared" si="65"/>
        <v>NorthBound</v>
      </c>
      <c r="U142" s="247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49" t="str">
        <f t="shared" si="66"/>
        <v>https://d0f6bd738d7f1b3e5a7ca70fe4ff75f0.us-east-1.aws.found.io/app/kibana#/discover/Steve-Slow-Train-Analysis-(2080s-and-2083s)?_g=(refreshInterval:(display:Off,pause:!f,section:0,value:0),time:(from:'2017-11-28T19:49:24-0700',mode:absolute,to:'2017-11-28T22:35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42" s="248" t="str">
        <f>IF(AA142&lt;VLOOKUP(AG142,Variables!$AC$3:$AD$8,2,FALSE),"Y","N")</f>
        <v>N</v>
      </c>
      <c r="X142" s="248">
        <f t="shared" si="67"/>
        <v>1</v>
      </c>
      <c r="Y142" s="248">
        <f t="shared" si="60"/>
        <v>5.7500000000000002E-2</v>
      </c>
      <c r="Z142" s="248">
        <f t="shared" si="59"/>
        <v>23.325900000000001</v>
      </c>
      <c r="AA142" s="248">
        <f t="shared" si="68"/>
        <v>23.2684</v>
      </c>
      <c r="AB142" s="234" t="e">
        <f>VLOOKUP(A142,Enforcements!$C$7:$K$9,8,0)</f>
        <v>#N/A</v>
      </c>
      <c r="AC142" s="233" t="e">
        <f>VLOOKUP(A142,Enforcements!$C$7:$E$9,3,0)</f>
        <v>#N/A</v>
      </c>
      <c r="AD142" s="244">
        <f t="shared" si="69"/>
        <v>229</v>
      </c>
      <c r="AE142" s="236" t="str">
        <f t="shared" si="70"/>
        <v>aws s3 cp s3://rtdc.mdm.uploadarchive.raw/RTDC4042/ "%USERPROFILE%\AppData\Local\Temp\OnboardLogs"\RTDC4042\2017-11-28 --exclude "*" --recursive --include "*20171128*" &amp; "%USERPROFILE%\Documents\GitHub\mrs-test-scripts\Headless Mode &amp; Sideloading\WalkAndUnGZ.bat" "%USERPROFILE%\AppData\Local\Temp\OnboardLogs"\RTDC4042\2017-11-28 &amp; aws s3 cp s3://rtdc.mdm.uploadarchive.raw/RTDC4042/ "%USERPROFILE%\AppData\Local\Temp\OnboardLogs"\RTDC4042\2017-11-29 --exclude "*" --recursive --include "*20171129*" &amp; "%USERPROFILE%\Documents\GitHub\mrs-test-scripts\Headless Mode &amp; Sideloading\WalkAndUnGZ.bat" "%USERPROFILE%\AppData\Local\Temp\OnboardLogs"\RTDC4042\2017-11-29</v>
      </c>
      <c r="AF142" s="235" t="str">
        <f t="shared" si="71"/>
        <v>"C:\Program Files (x86)\AstroGrep\AstroGrep.exe" /e /r /s /spath="%USERPROFILE%\AppData\Local\Temp\OnboardLogs" /stypes="app*4042*20171129*" /stext=" 04:.+((SYSTEM_STATE.+slice.+state.+changed )|(ment ac)|(multiple cpu faults)|(system.+state.+changed )|(\[timeout)|(PRM\|1\|D)|(kpr)|(kdp)|(train st.+moving)|(\|lc)|(penalty))"</v>
      </c>
      <c r="AG142" s="245" t="str">
        <f t="shared" si="72"/>
        <v>EC</v>
      </c>
      <c r="AH142" s="237" t="str">
        <f t="shared" si="49"/>
        <v>"%USERPROFILE%\Documents\GitHub\eaglep3\Utilities\RefineRTDCRunTimes.py" --tripid 229-28 --locoid 4042 --swversion DE.1.0.9.0 --startMP 204:575 --initTime 2017-11-28T20:49:24 --startdatetime 2017-11-28T21:00:46 --delay 112 --endMP 204:233259 --enddatetime 2017-11-28T21:35:39 --enforcementcount 0 &gt;&gt;%USERPROFILE%\Documents\GitHub\eaglep3-reporting\EC\2017-11-28-refined-times.txt</v>
      </c>
      <c r="AI142" s="239" t="str">
        <f t="shared" si="50"/>
        <v>echo {"issue":{"subject":"","project_id":79,"tracker_id":40,"status_id":1,"priority_id":2,"assigned_to_id":338,"start_date":"2017-11-28","description":"","custom_fields":[{"id":1,"name":"Subdivision","value":"EC"},{"id":4,"name":"Milepost","value":"23.3259"},{"id":17,"name":"Train ID","value":"229-28"},{"id":16,"name":"Locomotive ID","value":"4042"},{"id":130,"name":"Impact","value":""},{"id":150,"name":"Time of Event (Mountain Time)","value":"21:35:39"},{"id":151,"name":"Denver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2" s="224"/>
      <c r="AK142" s="232"/>
      <c r="AL142" s="232"/>
      <c r="AM142" s="241" t="str">
        <f t="shared" si="51"/>
        <v>start /low /b %USERPROFILE%\Documents\GitHub\eaglep3\Utilities\DownloadLogsFromS3.py --loco 4042 --day 2017-11-28</v>
      </c>
      <c r="AN142" s="242" t="str">
        <f t="shared" si="52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04:35:39"},{"id":29,"name":"Sharepoint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231" t="str">
        <f t="shared" si="53"/>
        <v>https://d0f6bd738d7f1b3e5a7ca70fe4ff75f0.us-east-1.aws.found.io/app/kibana#/discover/Steve-Slow-Train-Analysis-(2080s-and-2083s)?_g=(refreshInterval:(display:Off,pause:!f,section:0,value:0),time:(from:'2017-11-28T19:49:24-0700',mode:absolute,to:'2017-11-28T22:35:39-0700'))&amp;_a=(columns:!('Message%20ID',Summary),filters:!(),index:'emp_*',interval:auto,query:(query_string:(analyze_wildcard:!t,query:'%22rtdc.l.rtdc.4042%22')),sort:!(Time.ISO8601,asc))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230" t="s">
        <v>870</v>
      </c>
      <c r="B143" s="226">
        <v>4041</v>
      </c>
      <c r="C143" s="228" t="s">
        <v>192</v>
      </c>
      <c r="D143" s="228" t="s">
        <v>601</v>
      </c>
      <c r="E143" s="227">
        <v>43067.911689814813</v>
      </c>
      <c r="F143" s="227">
        <v>43067.914814814816</v>
      </c>
      <c r="G143" s="226">
        <v>102</v>
      </c>
      <c r="H143" s="228" t="s">
        <v>976</v>
      </c>
      <c r="I143" s="227">
        <v>43067.940891203703</v>
      </c>
      <c r="J143" s="226">
        <v>0</v>
      </c>
      <c r="K143" s="238" t="str">
        <f t="shared" si="63"/>
        <v>4041/4042</v>
      </c>
      <c r="L143" s="246" t="str">
        <f>VLOOKUP(A143,'Trips&amp;Operators'!$C$1:$G$99911,5,FALSE)</f>
        <v>RESPASS AARON</v>
      </c>
      <c r="M143" s="225">
        <f t="shared" si="64"/>
        <v>2.6076388887304347E-2</v>
      </c>
      <c r="N143" s="226">
        <f t="shared" si="62"/>
        <v>37.54999999771826</v>
      </c>
      <c r="O143" s="226"/>
      <c r="P143" s="226"/>
      <c r="Q143" s="229"/>
      <c r="R143" s="243"/>
      <c r="S143" s="250">
        <f t="shared" si="61"/>
        <v>1</v>
      </c>
      <c r="T143" s="243" t="str">
        <f t="shared" si="65"/>
        <v>Southbound</v>
      </c>
      <c r="U143" s="247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49" t="str">
        <f t="shared" si="66"/>
        <v>https://d0f6bd738d7f1b3e5a7ca70fe4ff75f0.us-east-1.aws.found.io/app/kibana#/discover/Steve-Slow-Train-Analysis-(2080s-and-2083s)?_g=(refreshInterval:(display:Off,pause:!f,section:0,value:0),time:(from:'2017-11-28T20:52:50-0700',mode:absolute,to:'2017-11-28T23:34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43" s="248" t="str">
        <f>IF(AA143&lt;VLOOKUP(AG143,Variables!$AC$3:$AD$8,2,FALSE),"Y","N")</f>
        <v>N</v>
      </c>
      <c r="X143" s="248">
        <f t="shared" si="67"/>
        <v>1</v>
      </c>
      <c r="Y143" s="248">
        <f t="shared" si="60"/>
        <v>23.294</v>
      </c>
      <c r="Z143" s="248">
        <f t="shared" si="59"/>
        <v>2.69E-2</v>
      </c>
      <c r="AA143" s="248">
        <f t="shared" si="68"/>
        <v>23.267099999999999</v>
      </c>
      <c r="AB143" s="234" t="e">
        <f>VLOOKUP(A143,Enforcements!$C$7:$K$9,8,0)</f>
        <v>#N/A</v>
      </c>
      <c r="AC143" s="233" t="e">
        <f>VLOOKUP(A143,Enforcements!$C$7:$E$9,3,0)</f>
        <v>#N/A</v>
      </c>
      <c r="AD143" s="244">
        <f t="shared" si="69"/>
        <v>230</v>
      </c>
      <c r="AE143" s="236" t="str">
        <f t="shared" si="70"/>
        <v>aws s3 cp s3://rtdc.mdm.uploadarchive.raw/RTDC4041/ "%USERPROFILE%\AppData\Local\Temp\OnboardLogs"\RTDC4041\2017-11-28 --exclude "*" --recursive --include "*20171128*" &amp; "%USERPROFILE%\Documents\GitHub\mrs-test-scripts\Headless Mode &amp; Sideloading\WalkAndUnGZ.bat" "%USERPROFILE%\AppData\Local\Temp\OnboardLogs"\RTDC4041\2017-11-28 &amp; aws s3 cp s3://rtdc.mdm.uploadarchive.raw/RTDC4041/ "%USERPROFILE%\AppData\Local\Temp\OnboardLogs"\RTDC4041\2017-11-29 --exclude "*" --recursive --include "*20171129*" &amp; "%USERPROFILE%\Documents\GitHub\mrs-test-scripts\Headless Mode &amp; Sideloading\WalkAndUnGZ.bat" "%USERPROFILE%\AppData\Local\Temp\OnboardLogs"\RTDC4041\2017-11-29</v>
      </c>
      <c r="AF143" s="235" t="str">
        <f t="shared" si="71"/>
        <v>"C:\Program Files (x86)\AstroGrep\AstroGrep.exe" /e /r /s /spath="%USERPROFILE%\AppData\Local\Temp\OnboardLogs" /stypes="app*4041*20171129*" /stext=" 05:.+((SYSTEM_STATE.+slice.+state.+changed )|(ment ac)|(multiple cpu faults)|(system.+state.+changed )|(\[timeout)|(PRM\|1\|D)|(kpr)|(kdp)|(train st.+moving)|(\|lc)|(penalty))"</v>
      </c>
      <c r="AG143" s="245" t="str">
        <f t="shared" si="72"/>
        <v>EC</v>
      </c>
      <c r="AH143" s="237" t="str">
        <f t="shared" ref="AH143:AH208" si="73">refinertdcruntimes&amp;" --tripid "&amp;A143&amp;" --locoid "&amp;B143&amp;" --swversion "&amp;C143&amp;" --startMP "&amp;D143&amp;" --initTime "&amp;TEXT(E143,"yyyy-mm-ddTHH:MM:SS")&amp;" --startdatetime "&amp;TEXT(F143,"yyyy-mm-ddTHH:MM:SS")&amp;" --delay "&amp;G143&amp;" --endMP "&amp;H143&amp;" --enddatetime "&amp;TEXT(I143,"yyyy-mm-ddTHH:MM:SS")&amp;" --enforcementcount "&amp;J143&amp;IF(outputrefinedruntimes," &gt;&gt;"&amp;RefinedRTDCRunTimesOutputFile,"")</f>
        <v>"%USERPROFILE%\Documents\GitHub\eaglep3\Utilities\RefineRTDCRunTimes.py" --tripid 230-28 --locoid 4041 --swversion DE.1.0.9.0 --startMP 204:232940 --initTime 2017-11-28T21:52:50 --startdatetime 2017-11-28T21:57:20 --delay 102 --endMP 204:269 --enddatetime 2017-11-28T22:34:53 --enforcementcount 0 &gt;&gt;%USERPROFILE%\Documents\GitHub\eaglep3-reporting\EC\2017-11-28-refined-times.txt</v>
      </c>
      <c r="AI143" s="239" t="str">
        <f t="shared" ref="AI143:AI208" si="74">"echo {""issue"":{""subject"":"""&amp;R143&amp;""",""project_id"":79,""tracker_id"":40,""status_id"":"&amp;redmine_status&amp;",""priority_id"":"&amp;redmine_priority&amp;",""assigned_to_id"":"&amp;redmine_assignee&amp;",""start_date"":"""&amp;TEXT(I143,"YYYY-mm-dd")&amp;""",""description"":"""&amp;AJ143&amp;""",""custom_fields"":[{""id"":1,""name"":""Subdivision"",""value"":"""&amp;AG143&amp;"""},{""id"":4,""name"":""Milepost"",""value"":"""&amp;Z143&amp;"""},{""id"":17,""name"":""Train ID"",""value"":"""&amp;A143&amp;"""},{""id"":16,""name"":""Locomotive ID"",""value"":"""&amp;B143&amp;"""},{""id"":130,""name"":""Impact"",""value"":"""&amp;AK143&amp;"""},{""id"":150,""name"":""Time of Event (Mountain Time)"",""value"":"""&amp;TEXT(I143,"hh:mm:ss")&amp;"""},{""id"":151,""name"":""Denver Issue ID"",""value"":"""&amp;"""},{""id"":178,""name"":""Operational Impact"",""value"":"""&amp;redmine_op_impact&amp;"""},{""id"":179,""name"":""Denver Segment Assigned"",""value"":"""&amp;AL143&amp;"""}]}}"&amp;"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{"issue":{"subject":"","project_id":79,"tracker_id":40,"status_id":1,"priority_id":2,"assigned_to_id":338,"start_date":"2017-11-28","description":"","custom_fields":[{"id":1,"name":"Subdivision","value":"EC"},{"id":4,"name":"Milepost","value":"0.0269"},{"id":17,"name":"Train ID","value":"230-28"},{"id":16,"name":"Locomotive ID","value":"4041"},{"id":130,"name":"Impact","value":""},{"id":150,"name":"Time of Event (Mountain Time)","value":"22:34:53"},{"id":151,"name":"Denver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3" s="224"/>
      <c r="AK143" s="232"/>
      <c r="AL143" s="232"/>
      <c r="AM143" s="241" t="str">
        <f t="shared" ref="AM143:AM208" si="75">"start /low /b "&amp;dls3logs&amp;" --loco "&amp;B143&amp;" --day "&amp;TEXT(F143,"YYYY-MM-DD")</f>
        <v>start /low /b %USERPROFILE%\Documents\GitHub\eaglep3\Utilities\DownloadLogsFromS3.py --loco 4041 --day 2017-11-28</v>
      </c>
      <c r="AN143" s="242" t="str">
        <f t="shared" ref="AN143:AN208" si="76">"echo {""issue"":{""subject"":"""&amp;R143&amp;""",""project_id"":30,""tracker_id"":4,""status_id"":"&amp;redmine_status_wcr&amp;",""priority_id"":"&amp;redmine_priority_wcr&amp;",""assigned_to_id"":"&amp;redmine_assignee_wcr&amp;",""start_date"":"""&amp;TEXT(I143-utc_offset/24,"YYYY-mm-dd")&amp;""",""description"":"""&amp;AJ143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05:34:53"},{"id":29,"name":"Sharepoint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231" t="str">
        <f t="shared" ref="AO143:AO208" si="77"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Message%20ID',Summary),filters:!(),index:'emp_*',interval:auto,query:"&amp;"(query_string:(analyze_wildcard:!t,query:'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2017-11-28T20:52:50-0700',mode:absolute,to:'2017-11-28T23:34:53-0700'))&amp;_a=(columns:!('Message%20ID',Summary),filters:!(),index:'emp_*',interval:auto,query:(query_string:(analyze_wildcard:!t,query:'%22rtdc.l.rtdc.4041%22')),sort:!(Time.ISO8601,asc))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230" t="s">
        <v>866</v>
      </c>
      <c r="B144" s="226">
        <v>4008</v>
      </c>
      <c r="C144" s="228" t="s">
        <v>192</v>
      </c>
      <c r="D144" s="228" t="s">
        <v>602</v>
      </c>
      <c r="E144" s="227">
        <v>43067.883958333332</v>
      </c>
      <c r="F144" s="227">
        <v>43067.896145833336</v>
      </c>
      <c r="G144" s="226">
        <v>163</v>
      </c>
      <c r="H144" s="228" t="s">
        <v>613</v>
      </c>
      <c r="I144" s="227">
        <v>43067.920891203707</v>
      </c>
      <c r="J144" s="226">
        <v>0</v>
      </c>
      <c r="K144" s="238" t="str">
        <f t="shared" si="63"/>
        <v>4007/4008</v>
      </c>
      <c r="L144" s="246" t="str">
        <f>VLOOKUP(A144,'Trips&amp;Operators'!$C$1:$G$99911,5,FALSE)</f>
        <v>WEST BRYAN</v>
      </c>
      <c r="M144" s="225">
        <f t="shared" si="64"/>
        <v>2.47453703705105E-2</v>
      </c>
      <c r="N144" s="226">
        <f t="shared" si="62"/>
        <v>35.63333333353512</v>
      </c>
      <c r="O144" s="226"/>
      <c r="P144" s="226"/>
      <c r="Q144" s="229"/>
      <c r="R144" s="243"/>
      <c r="S144" s="250">
        <f t="shared" si="61"/>
        <v>1</v>
      </c>
      <c r="T144" s="243" t="str">
        <f t="shared" si="65"/>
        <v>NorthBound</v>
      </c>
      <c r="U144" s="247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49" t="str">
        <f t="shared" si="66"/>
        <v>https://d0f6bd738d7f1b3e5a7ca70fe4ff75f0.us-east-1.aws.found.io/app/kibana#/discover/Steve-Slow-Train-Analysis-(2080s-and-2083s)?_g=(refreshInterval:(display:Off,pause:!f,section:0,value:0),time:(from:'2017-11-28T20:12:54-0700',mode:absolute,to:'2017-11-28T23:06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44" s="248" t="str">
        <f>IF(AA144&lt;VLOOKUP(AG144,Variables!$AC$3:$AD$8,2,FALSE),"Y","N")</f>
        <v>N</v>
      </c>
      <c r="X144" s="248">
        <f t="shared" si="67"/>
        <v>1</v>
      </c>
      <c r="Y144" s="248">
        <f t="shared" si="60"/>
        <v>5.3699999999999998E-2</v>
      </c>
      <c r="Z144" s="248">
        <f t="shared" si="59"/>
        <v>23.327200000000001</v>
      </c>
      <c r="AA144" s="248">
        <f t="shared" si="68"/>
        <v>23.273500000000002</v>
      </c>
      <c r="AB144" s="234" t="e">
        <f>VLOOKUP(A144,Enforcements!$C$7:$K$9,8,0)</f>
        <v>#N/A</v>
      </c>
      <c r="AC144" s="233" t="e">
        <f>VLOOKUP(A144,Enforcements!$C$7:$E$9,3,0)</f>
        <v>#N/A</v>
      </c>
      <c r="AD144" s="244">
        <f t="shared" si="69"/>
        <v>231</v>
      </c>
      <c r="AE144" s="236" t="str">
        <f t="shared" si="70"/>
        <v>aws s3 cp s3://rtdc.mdm.uploadarchive.raw/RTDC4008/ "%USERPROFILE%\AppData\Local\Temp\OnboardLogs"\RTDC4008\2017-11-28 --exclude "*" --recursive --include "*20171128*" &amp; "%USERPROFILE%\Documents\GitHub\mrs-test-scripts\Headless Mode &amp; Sideloading\WalkAndUnGZ.bat" "%USERPROFILE%\AppData\Local\Temp\OnboardLogs"\RTDC4008\2017-11-28 &amp; aws s3 cp s3://rtdc.mdm.uploadarchive.raw/RTDC4008/ "%USERPROFILE%\AppData\Local\Temp\OnboardLogs"\RTDC4008\2017-11-29 --exclude "*" --recursive --include "*20171129*" &amp; "%USERPROFILE%\Documents\GitHub\mrs-test-scripts\Headless Mode &amp; Sideloading\WalkAndUnGZ.bat" "%USERPROFILE%\AppData\Local\Temp\OnboardLogs"\RTDC4008\2017-11-29</v>
      </c>
      <c r="AF144" s="235" t="str">
        <f t="shared" si="71"/>
        <v>"C:\Program Files (x86)\AstroGrep\AstroGrep.exe" /e /r /s /spath="%USERPROFILE%\AppData\Local\Temp\OnboardLogs" /stypes="app*4008*20171129*" /stext=" 05:.+((SYSTEM_STATE.+slice.+state.+changed )|(ment ac)|(multiple cpu faults)|(system.+state.+changed )|(\[timeout)|(PRM\|1\|D)|(kpr)|(kdp)|(train st.+moving)|(\|lc)|(penalty))"</v>
      </c>
      <c r="AG144" s="245" t="str">
        <f t="shared" si="72"/>
        <v>EC</v>
      </c>
      <c r="AH144" s="237" t="str">
        <f t="shared" si="73"/>
        <v>"%USERPROFILE%\Documents\GitHub\eaglep3\Utilities\RefineRTDCRunTimes.py" --tripid 231-28 --locoid 4008 --swversion DE.1.0.9.0 --startMP 204:537 --initTime 2017-11-28T21:12:54 --startdatetime 2017-11-28T21:30:27 --delay 163 --endMP 204:233272 --enddatetime 2017-11-28T22:06:05 --enforcementcount 0 &gt;&gt;%USERPROFILE%\Documents\GitHub\eaglep3-reporting\EC\2017-11-28-refined-times.txt</v>
      </c>
      <c r="AI144" s="239" t="str">
        <f t="shared" si="74"/>
        <v>echo {"issue":{"subject":"","project_id":79,"tracker_id":40,"status_id":1,"priority_id":2,"assigned_to_id":338,"start_date":"2017-11-28","description":"","custom_fields":[{"id":1,"name":"Subdivision","value":"EC"},{"id":4,"name":"Milepost","value":"23.3272"},{"id":17,"name":"Train ID","value":"231-28"},{"id":16,"name":"Locomotive ID","value":"4008"},{"id":130,"name":"Impact","value":""},{"id":150,"name":"Time of Event (Mountain Time)","value":"22:06:05"},{"id":151,"name":"Denver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4" s="224"/>
      <c r="AK144" s="232"/>
      <c r="AL144" s="232"/>
      <c r="AM144" s="241" t="str">
        <f t="shared" si="75"/>
        <v>start /low /b %USERPROFILE%\Documents\GitHub\eaglep3\Utilities\DownloadLogsFromS3.py --loco 4008 --day 2017-11-28</v>
      </c>
      <c r="AN144" s="242" t="str">
        <f t="shared" si="76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05:06:05"},{"id":29,"name":"Sharepoint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231" t="str">
        <f t="shared" si="77"/>
        <v>https://d0f6bd738d7f1b3e5a7ca70fe4ff75f0.us-east-1.aws.found.io/app/kibana#/discover/Steve-Slow-Train-Analysis-(2080s-and-2083s)?_g=(refreshInterval:(display:Off,pause:!f,section:0,value:0),time:(from:'2017-11-28T20:12:54-0700',mode:absolute,to:'2017-11-28T23:06:05-0700'))&amp;_a=(columns:!('Message%20ID',Summary),filters:!(),index:'emp_*',interval:auto,query:(query_string:(analyze_wildcard:!t,query:'%22rtdc.l.rtdc.4008%22')),sort:!(Time.ISO8601,asc))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230" t="s">
        <v>872</v>
      </c>
      <c r="B145" s="226">
        <v>4007</v>
      </c>
      <c r="C145" s="228" t="s">
        <v>192</v>
      </c>
      <c r="D145" s="228" t="s">
        <v>977</v>
      </c>
      <c r="E145" s="227">
        <v>43067.924930555557</v>
      </c>
      <c r="F145" s="227">
        <v>43067.935613425929</v>
      </c>
      <c r="G145" s="226">
        <v>87</v>
      </c>
      <c r="H145" s="228" t="s">
        <v>497</v>
      </c>
      <c r="I145" s="227">
        <v>43067.962199074071</v>
      </c>
      <c r="J145" s="226">
        <v>0</v>
      </c>
      <c r="K145" s="238" t="str">
        <f t="shared" si="63"/>
        <v>4007/4008</v>
      </c>
      <c r="L145" s="246" t="str">
        <f>VLOOKUP(A145,'Trips&amp;Operators'!$C$1:$G$99911,5,FALSE)</f>
        <v>WEST BRYAN</v>
      </c>
      <c r="M145" s="225">
        <f t="shared" si="64"/>
        <v>2.6585648141917773E-2</v>
      </c>
      <c r="N145" s="226">
        <f t="shared" si="62"/>
        <v>38.283333324361593</v>
      </c>
      <c r="O145" s="226"/>
      <c r="P145" s="226"/>
      <c r="Q145" s="229"/>
      <c r="R145" s="243"/>
      <c r="S145" s="250">
        <f t="shared" si="61"/>
        <v>1</v>
      </c>
      <c r="T145" s="243" t="str">
        <f t="shared" si="65"/>
        <v>Southbound</v>
      </c>
      <c r="U145" s="247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49" t="str">
        <f t="shared" si="66"/>
        <v>https://d0f6bd738d7f1b3e5a7ca70fe4ff75f0.us-east-1.aws.found.io/app/kibana#/discover/Steve-Slow-Train-Analysis-(2080s-and-2083s)?_g=(refreshInterval:(display:Off,pause:!f,section:0,value:0),time:(from:'2017-11-28T21:11:54-0700',mode:absolute,to:'2017-11-29T00:05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45" s="248" t="str">
        <f>IF(AA145&lt;VLOOKUP(AG145,Variables!$AC$3:$AD$8,2,FALSE),"Y","N")</f>
        <v>N</v>
      </c>
      <c r="X145" s="248">
        <f t="shared" si="67"/>
        <v>1</v>
      </c>
      <c r="Y145" s="248">
        <f t="shared" si="60"/>
        <v>23.295999999999999</v>
      </c>
      <c r="Z145" s="248">
        <f t="shared" si="59"/>
        <v>1.8700000000000001E-2</v>
      </c>
      <c r="AA145" s="248">
        <f t="shared" si="68"/>
        <v>23.2773</v>
      </c>
      <c r="AB145" s="234" t="e">
        <f>VLOOKUP(A145,Enforcements!$C$7:$K$9,8,0)</f>
        <v>#N/A</v>
      </c>
      <c r="AC145" s="233" t="e">
        <f>VLOOKUP(A145,Enforcements!$C$7:$E$9,3,0)</f>
        <v>#N/A</v>
      </c>
      <c r="AD145" s="244">
        <f t="shared" si="69"/>
        <v>232</v>
      </c>
      <c r="AE145" s="236" t="str">
        <f t="shared" si="70"/>
        <v>aws s3 cp s3://rtdc.mdm.uploadarchive.raw/RTDC4007/ "%USERPROFILE%\AppData\Local\Temp\OnboardLogs"\RTDC4007\2017-11-28 --exclude "*" --recursive --include "*20171128*" &amp; "%USERPROFILE%\Documents\GitHub\mrs-test-scripts\Headless Mode &amp; Sideloading\WalkAndUnGZ.bat" "%USERPROFILE%\AppData\Local\Temp\OnboardLogs"\RTDC4007\2017-11-28 &amp; aws s3 cp s3://rtdc.mdm.uploadarchive.raw/RTDC4007/ "%USERPROFILE%\AppData\Local\Temp\OnboardLogs"\RTDC4007\2017-11-29 --exclude "*" --recursive --include "*20171129*" &amp; "%USERPROFILE%\Documents\GitHub\mrs-test-scripts\Headless Mode &amp; Sideloading\WalkAndUnGZ.bat" "%USERPROFILE%\AppData\Local\Temp\OnboardLogs"\RTDC4007\2017-11-29</v>
      </c>
      <c r="AF145" s="235" t="str">
        <f t="shared" si="71"/>
        <v>"C:\Program Files (x86)\AstroGrep\AstroGrep.exe" /e /r /s /spath="%USERPROFILE%\AppData\Local\Temp\OnboardLogs" /stypes="app*4007*20171129*" /stext=" 06:.+((SYSTEM_STATE.+slice.+state.+changed )|(ment ac)|(multiple cpu faults)|(system.+state.+changed )|(\[timeout)|(PRM\|1\|D)|(kpr)|(kdp)|(train st.+moving)|(\|lc)|(penalty))"</v>
      </c>
      <c r="AG145" s="245" t="str">
        <f t="shared" si="72"/>
        <v>EC</v>
      </c>
      <c r="AH145" s="237" t="str">
        <f t="shared" si="73"/>
        <v>"%USERPROFILE%\Documents\GitHub\eaglep3\Utilities\RefineRTDCRunTimes.py" --tripid 232-28 --locoid 4007 --swversion DE.1.0.9.0 --startMP 204:232960 --initTime 2017-11-28T22:11:54 --startdatetime 2017-11-28T22:27:17 --delay 87 --endMP 204:187 --enddatetime 2017-11-28T23:05:34 --enforcementcount 0 &gt;&gt;%USERPROFILE%\Documents\GitHub\eaglep3-reporting\EC\2017-11-28-refined-times.txt</v>
      </c>
      <c r="AI145" s="239" t="str">
        <f t="shared" si="74"/>
        <v>echo {"issue":{"subject":"","project_id":79,"tracker_id":40,"status_id":1,"priority_id":2,"assigned_to_id":338,"start_date":"2017-11-28","description":"","custom_fields":[{"id":1,"name":"Subdivision","value":"EC"},{"id":4,"name":"Milepost","value":"0.0187"},{"id":17,"name":"Train ID","value":"232-28"},{"id":16,"name":"Locomotive ID","value":"4007"},{"id":130,"name":"Impact","value":""},{"id":150,"name":"Time of Event (Mountain Time)","value":"23:05:34"},{"id":151,"name":"Denver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5" s="224"/>
      <c r="AK145" s="232"/>
      <c r="AL145" s="232"/>
      <c r="AM145" s="241" t="str">
        <f t="shared" si="75"/>
        <v>start /low /b %USERPROFILE%\Documents\GitHub\eaglep3\Utilities\DownloadLogsFromS3.py --loco 4007 --day 2017-11-28</v>
      </c>
      <c r="AN145" s="242" t="str">
        <f t="shared" si="76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06:05:34"},{"id":29,"name":"Sharepoint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231" t="str">
        <f t="shared" si="77"/>
        <v>https://d0f6bd738d7f1b3e5a7ca70fe4ff75f0.us-east-1.aws.found.io/app/kibana#/discover/Steve-Slow-Train-Analysis-(2080s-and-2083s)?_g=(refreshInterval:(display:Off,pause:!f,section:0,value:0),time:(from:'2017-11-28T21:11:54-0700',mode:absolute,to:'2017-11-29T00:05:34-0700'))&amp;_a=(columns:!('Message%20ID',Summary),filters:!(),index:'emp_*',interval:auto,query:(query_string:(analyze_wildcard:!t,query:'%22rtdc.l.rtdc.4007%22')),sort:!(Time.ISO8601,asc))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24" customFormat="1" x14ac:dyDescent="0.25">
      <c r="A146" s="230" t="s">
        <v>869</v>
      </c>
      <c r="B146" s="226">
        <v>4060</v>
      </c>
      <c r="C146" s="228" t="s">
        <v>192</v>
      </c>
      <c r="D146" s="228" t="s">
        <v>598</v>
      </c>
      <c r="E146" s="227">
        <v>43067.904432870368</v>
      </c>
      <c r="F146" s="227">
        <v>43067.916851851849</v>
      </c>
      <c r="G146" s="226">
        <v>75</v>
      </c>
      <c r="H146" s="228" t="s">
        <v>596</v>
      </c>
      <c r="I146" s="227">
        <v>43067.94195601852</v>
      </c>
      <c r="J146" s="226">
        <v>0</v>
      </c>
      <c r="K146" s="238" t="str">
        <f t="shared" si="63"/>
        <v>4059/4060</v>
      </c>
      <c r="L146" s="246" t="str">
        <f>VLOOKUP(A146,'Trips&amp;Operators'!$C$1:$G$99911,5,FALSE)</f>
        <v>NICHOLSON WESLEY</v>
      </c>
      <c r="M146" s="225">
        <f t="shared" si="64"/>
        <v>2.510416667064419E-2</v>
      </c>
      <c r="N146" s="226">
        <f t="shared" si="62"/>
        <v>36.150000005727634</v>
      </c>
      <c r="O146" s="226"/>
      <c r="P146" s="226"/>
      <c r="Q146" s="229"/>
      <c r="R146" s="243"/>
      <c r="S146" s="250">
        <f t="shared" si="61"/>
        <v>1</v>
      </c>
      <c r="T146" s="243" t="str">
        <f t="shared" si="65"/>
        <v>NorthBound</v>
      </c>
      <c r="U146" s="247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49" t="str">
        <f t="shared" si="66"/>
        <v>https://d0f6bd738d7f1b3e5a7ca70fe4ff75f0.us-east-1.aws.found.io/app/kibana#/discover/Steve-Slow-Train-Analysis-(2080s-and-2083s)?_g=(refreshInterval:(display:Off,pause:!f,section:0,value:0),time:(from:'2017-11-28T20:42:23-0700',mode:absolute,to:'2017-11-28T23:36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46" s="248" t="str">
        <f>IF(AA146&lt;VLOOKUP(AG146,Variables!$AC$3:$AD$8,2,FALSE),"Y","N")</f>
        <v>N</v>
      </c>
      <c r="X146" s="248">
        <f t="shared" si="67"/>
        <v>1</v>
      </c>
      <c r="Y146" s="248">
        <f t="shared" si="60"/>
        <v>5.33E-2</v>
      </c>
      <c r="Z146" s="248">
        <f t="shared" si="59"/>
        <v>23.318899999999999</v>
      </c>
      <c r="AA146" s="248">
        <f t="shared" si="68"/>
        <v>23.265599999999999</v>
      </c>
      <c r="AB146" s="234" t="e">
        <f>VLOOKUP(A146,Enforcements!$C$7:$K$9,8,0)</f>
        <v>#N/A</v>
      </c>
      <c r="AC146" s="233" t="e">
        <f>VLOOKUP(A146,Enforcements!$C$7:$E$9,3,0)</f>
        <v>#N/A</v>
      </c>
      <c r="AD146" s="244">
        <f t="shared" si="69"/>
        <v>233</v>
      </c>
      <c r="AE146" s="236" t="str">
        <f t="shared" si="70"/>
        <v>aws s3 cp s3://rtdc.mdm.uploadarchive.raw/RTDC4060/ "%USERPROFILE%\AppData\Local\Temp\OnboardLogs"\RTDC4060\2017-11-28 --exclude "*" --recursive --include "*20171128*" &amp; "%USERPROFILE%\Documents\GitHub\mrs-test-scripts\Headless Mode &amp; Sideloading\WalkAndUnGZ.bat" "%USERPROFILE%\AppData\Local\Temp\OnboardLogs"\RTDC4060\2017-11-28 &amp; aws s3 cp s3://rtdc.mdm.uploadarchive.raw/RTDC4060/ "%USERPROFILE%\AppData\Local\Temp\OnboardLogs"\RTDC4060\2017-11-29 --exclude "*" --recursive --include "*20171129*" &amp; "%USERPROFILE%\Documents\GitHub\mrs-test-scripts\Headless Mode &amp; Sideloading\WalkAndUnGZ.bat" "%USERPROFILE%\AppData\Local\Temp\OnboardLogs"\RTDC4060\2017-11-29</v>
      </c>
      <c r="AF146" s="235" t="str">
        <f t="shared" si="71"/>
        <v>"C:\Program Files (x86)\AstroGrep\AstroGrep.exe" /e /r /s /spath="%USERPROFILE%\AppData\Local\Temp\OnboardLogs" /stypes="app*4060*20171129*" /stext=" 05:.+((SYSTEM_STATE.+slice.+state.+changed )|(ment ac)|(multiple cpu faults)|(system.+state.+changed )|(\[timeout)|(PRM\|1\|D)|(kpr)|(kdp)|(train st.+moving)|(\|lc)|(penalty))"</v>
      </c>
      <c r="AG146" s="245" t="str">
        <f t="shared" si="72"/>
        <v>EC</v>
      </c>
      <c r="AH146" s="237" t="str">
        <f t="shared" si="73"/>
        <v>"%USERPROFILE%\Documents\GitHub\eaglep3\Utilities\RefineRTDCRunTimes.py" --tripid 233-28 --locoid 4060 --swversion DE.1.0.9.0 --startMP 204:533 --initTime 2017-11-28T21:42:23 --startdatetime 2017-11-28T22:00:16 --delay 75 --endMP 204:233189 --enddatetime 2017-11-28T22:36:25 --enforcementcount 0 &gt;&gt;%USERPROFILE%\Documents\GitHub\eaglep3-reporting\EC\2017-11-28-refined-times.txt</v>
      </c>
      <c r="AI146" s="239" t="str">
        <f t="shared" si="74"/>
        <v>echo {"issue":{"subject":"","project_id":79,"tracker_id":40,"status_id":1,"priority_id":2,"assigned_to_id":338,"start_date":"2017-11-28","description":"","custom_fields":[{"id":1,"name":"Subdivision","value":"EC"},{"id":4,"name":"Milepost","value":"23.3189"},{"id":17,"name":"Train ID","value":"233-28"},{"id":16,"name":"Locomotive ID","value":"4060"},{"id":130,"name":"Impact","value":""},{"id":150,"name":"Time of Event (Mountain Time)","value":"22:36:25"},{"id":151,"name":"Denver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6" s="232"/>
      <c r="AL146" s="232"/>
      <c r="AM146" s="241" t="str">
        <f t="shared" si="75"/>
        <v>start /low /b %USERPROFILE%\Documents\GitHub\eaglep3\Utilities\DownloadLogsFromS3.py --loco 4060 --day 2017-11-28</v>
      </c>
      <c r="AN146" s="242" t="str">
        <f t="shared" si="76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05:36:25"},{"id":29,"name":"Sharepoint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231" t="str">
        <f t="shared" si="77"/>
        <v>https://d0f6bd738d7f1b3e5a7ca70fe4ff75f0.us-east-1.aws.found.io/app/kibana#/discover/Steve-Slow-Train-Analysis-(2080s-and-2083s)?_g=(refreshInterval:(display:Off,pause:!f,section:0,value:0),time:(from:'2017-11-28T20:42:23-0700',mode:absolute,to:'2017-11-28T23:36:25-0700'))&amp;_a=(columns:!('Message%20ID',Summary),filters:!(),index:'emp_*',interval:auto,query:(query_string:(analyze_wildcard:!t,query:'%22rtdc.l.rtdc.4060%22')),sort:!(Time.ISO8601,asc))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230" t="s">
        <v>874</v>
      </c>
      <c r="B147" s="226">
        <v>4059</v>
      </c>
      <c r="C147" s="228" t="s">
        <v>192</v>
      </c>
      <c r="D147" s="228" t="s">
        <v>978</v>
      </c>
      <c r="E147" s="227">
        <v>43067.948900462965</v>
      </c>
      <c r="F147" s="227">
        <v>43067.956574074073</v>
      </c>
      <c r="G147" s="226">
        <v>72</v>
      </c>
      <c r="H147" s="228" t="s">
        <v>974</v>
      </c>
      <c r="I147" s="227">
        <v>43067.987280092595</v>
      </c>
      <c r="J147" s="226">
        <v>0</v>
      </c>
      <c r="K147" s="238" t="str">
        <f t="shared" si="63"/>
        <v>4059/4060</v>
      </c>
      <c r="L147" s="246" t="str">
        <f>VLOOKUP(A147,'Trips&amp;Operators'!$C$1:$G$99911,5,FALSE)</f>
        <v>NICHOLSON WESLEY</v>
      </c>
      <c r="M147" s="225">
        <f t="shared" si="64"/>
        <v>3.0706018522323575E-2</v>
      </c>
      <c r="N147" s="226">
        <f t="shared" si="62"/>
        <v>44.216666672145948</v>
      </c>
      <c r="O147" s="226"/>
      <c r="P147" s="226"/>
      <c r="Q147" s="229"/>
      <c r="R147" s="243"/>
      <c r="S147" s="250">
        <f t="shared" si="61"/>
        <v>1</v>
      </c>
      <c r="T147" s="243" t="str">
        <f t="shared" si="65"/>
        <v>Southbound</v>
      </c>
      <c r="U147" s="247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49" t="str">
        <f t="shared" si="66"/>
        <v>https://d0f6bd738d7f1b3e5a7ca70fe4ff75f0.us-east-1.aws.found.io/app/kibana#/discover/Steve-Slow-Train-Analysis-(2080s-and-2083s)?_g=(refreshInterval:(display:Off,pause:!f,section:0,value:0),time:(from:'2017-11-28T21:46:25-0700',mode:absolute,to:'2017-11-29T00:41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47" s="248" t="str">
        <f>IF(AA147&lt;VLOOKUP(AG147,Variables!$AC$3:$AD$8,2,FALSE),"Y","N")</f>
        <v>N</v>
      </c>
      <c r="X147" s="248">
        <f t="shared" si="67"/>
        <v>1</v>
      </c>
      <c r="Y147" s="248">
        <f t="shared" si="60"/>
        <v>23.2881</v>
      </c>
      <c r="Z147" s="248">
        <f t="shared" si="59"/>
        <v>2.3599999999999999E-2</v>
      </c>
      <c r="AA147" s="248">
        <f t="shared" si="68"/>
        <v>23.264500000000002</v>
      </c>
      <c r="AB147" s="234" t="e">
        <f>VLOOKUP(A147,Enforcements!$C$7:$K$9,8,0)</f>
        <v>#N/A</v>
      </c>
      <c r="AC147" s="233" t="e">
        <f>VLOOKUP(A147,Enforcements!$C$7:$E$9,3,0)</f>
        <v>#N/A</v>
      </c>
      <c r="AD147" s="244">
        <f t="shared" si="69"/>
        <v>234</v>
      </c>
      <c r="AE147" s="236" t="str">
        <f t="shared" si="70"/>
        <v>aws s3 cp s3://rtdc.mdm.uploadarchive.raw/RTDC4059/ "%USERPROFILE%\AppData\Local\Temp\OnboardLogs"\RTDC4059\2017-11-28 --exclude "*" --recursive --include "*20171128*" &amp; "%USERPROFILE%\Documents\GitHub\mrs-test-scripts\Headless Mode &amp; Sideloading\WalkAndUnGZ.bat" "%USERPROFILE%\AppData\Local\Temp\OnboardLogs"\RTDC4059\2017-11-28 &amp; aws s3 cp s3://rtdc.mdm.uploadarchive.raw/RTDC4059/ "%USERPROFILE%\AppData\Local\Temp\OnboardLogs"\RTDC4059\2017-11-29 --exclude "*" --recursive --include "*20171129*" &amp; "%USERPROFILE%\Documents\GitHub\mrs-test-scripts\Headless Mode &amp; Sideloading\WalkAndUnGZ.bat" "%USERPROFILE%\AppData\Local\Temp\OnboardLogs"\RTDC4059\2017-11-29</v>
      </c>
      <c r="AF147" s="235" t="str">
        <f t="shared" si="71"/>
        <v>"C:\Program Files (x86)\AstroGrep\AstroGrep.exe" /e /r /s /spath="%USERPROFILE%\AppData\Local\Temp\OnboardLogs" /stypes="app*4059*20171129*" /stext=" 06:.+((SYSTEM_STATE.+slice.+state.+changed )|(ment ac)|(multiple cpu faults)|(system.+state.+changed )|(\[timeout)|(PRM\|1\|D)|(kpr)|(kdp)|(train st.+moving)|(\|lc)|(penalty))"</v>
      </c>
      <c r="AG147" s="245" t="str">
        <f t="shared" si="72"/>
        <v>EC</v>
      </c>
      <c r="AH147" s="237" t="str">
        <f t="shared" si="73"/>
        <v>"%USERPROFILE%\Documents\GitHub\eaglep3\Utilities\RefineRTDCRunTimes.py" --tripid 234-28 --locoid 4059 --swversion DE.1.0.9.0 --startMP 204:232881 --initTime 2017-11-28T22:46:25 --startdatetime 2017-11-28T22:57:28 --delay 72 --endMP 204:236 --enddatetime 2017-11-28T23:41:41 --enforcementcount 0 &gt;&gt;%USERPROFILE%\Documents\GitHub\eaglep3-reporting\EC\2017-11-28-refined-times.txt</v>
      </c>
      <c r="AI147" s="239" t="str">
        <f t="shared" si="74"/>
        <v>echo {"issue":{"subject":"","project_id":79,"tracker_id":40,"status_id":1,"priority_id":2,"assigned_to_id":338,"start_date":"2017-11-28","description":"","custom_fields":[{"id":1,"name":"Subdivision","value":"EC"},{"id":4,"name":"Milepost","value":"0.0236"},{"id":17,"name":"Train ID","value":"234-28"},{"id":16,"name":"Locomotive ID","value":"4059"},{"id":130,"name":"Impact","value":""},{"id":150,"name":"Time of Event (Mountain Time)","value":"23:41:41"},{"id":151,"name":"Denver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7" s="224"/>
      <c r="AK147" s="232"/>
      <c r="AL147" s="232"/>
      <c r="AM147" s="241" t="str">
        <f t="shared" si="75"/>
        <v>start /low /b %USERPROFILE%\Documents\GitHub\eaglep3\Utilities\DownloadLogsFromS3.py --loco 4059 --day 2017-11-28</v>
      </c>
      <c r="AN147" s="242" t="str">
        <f t="shared" si="76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06:41:41"},{"id":29,"name":"Sharepoint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231" t="str">
        <f t="shared" si="77"/>
        <v>https://d0f6bd738d7f1b3e5a7ca70fe4ff75f0.us-east-1.aws.found.io/app/kibana#/discover/Steve-Slow-Train-Analysis-(2080s-and-2083s)?_g=(refreshInterval:(display:Off,pause:!f,section:0,value:0),time:(from:'2017-11-28T21:46:25-0700',mode:absolute,to:'2017-11-29T00:41:41-0700'))&amp;_a=(columns:!('Message%20ID',Summary),filters:!(),index:'emp_*',interval:auto,query:(query_string:(analyze_wildcard:!t,query:'%22rtdc.l.rtdc.4059%22')),sort:!(Time.ISO8601,asc))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230" t="s">
        <v>873</v>
      </c>
      <c r="B148" s="226">
        <v>4056</v>
      </c>
      <c r="C148" s="228" t="s">
        <v>192</v>
      </c>
      <c r="D148" s="228" t="s">
        <v>979</v>
      </c>
      <c r="E148" s="227">
        <v>43067.934328703705</v>
      </c>
      <c r="F148" s="227">
        <v>43067.937962962962</v>
      </c>
      <c r="G148" s="226">
        <v>85</v>
      </c>
      <c r="H148" s="228" t="s">
        <v>969</v>
      </c>
      <c r="I148" s="227">
        <v>43067.963321759256</v>
      </c>
      <c r="J148" s="226">
        <v>0</v>
      </c>
      <c r="K148" s="238" t="str">
        <f t="shared" si="63"/>
        <v>4055/4056</v>
      </c>
      <c r="L148" s="246" t="str">
        <f>VLOOKUP(A148,'Trips&amp;Operators'!$C$1:$G$99911,5,FALSE)</f>
        <v>ANDERS STEVEN</v>
      </c>
      <c r="M148" s="225">
        <f t="shared" si="64"/>
        <v>2.5358796294312924E-2</v>
      </c>
      <c r="N148" s="226">
        <f t="shared" si="62"/>
        <v>36.516666663810611</v>
      </c>
      <c r="O148" s="226"/>
      <c r="P148" s="226"/>
      <c r="Q148" s="229"/>
      <c r="R148" s="243"/>
      <c r="S148" s="250">
        <f t="shared" si="61"/>
        <v>1</v>
      </c>
      <c r="T148" s="243" t="str">
        <f t="shared" si="65"/>
        <v>NorthBound</v>
      </c>
      <c r="U148" s="247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49" t="str">
        <f t="shared" si="66"/>
        <v>https://d0f6bd738d7f1b3e5a7ca70fe4ff75f0.us-east-1.aws.found.io/app/kibana#/discover/Steve-Slow-Train-Analysis-(2080s-and-2083s)?_g=(refreshInterval:(display:Off,pause:!f,section:0,value:0),time:(from:'2017-11-28T21:25:26-0700',mode:absolute,to:'2017-11-29T00:07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48" s="248" t="str">
        <f>IF(AA148&lt;VLOOKUP(AG148,Variables!$AC$3:$AD$8,2,FALSE),"Y","N")</f>
        <v>N</v>
      </c>
      <c r="X148" s="248">
        <f t="shared" si="67"/>
        <v>1</v>
      </c>
      <c r="Y148" s="248">
        <f t="shared" si="60"/>
        <v>5.3900000000000003E-2</v>
      </c>
      <c r="Z148" s="248">
        <f t="shared" si="59"/>
        <v>23.3247</v>
      </c>
      <c r="AA148" s="248">
        <f t="shared" si="68"/>
        <v>23.270800000000001</v>
      </c>
      <c r="AB148" s="234" t="e">
        <f>VLOOKUP(A148,Enforcements!$C$7:$K$9,8,0)</f>
        <v>#N/A</v>
      </c>
      <c r="AC148" s="233" t="e">
        <f>VLOOKUP(A148,Enforcements!$C$7:$E$9,3,0)</f>
        <v>#N/A</v>
      </c>
      <c r="AD148" s="244">
        <f t="shared" si="69"/>
        <v>235</v>
      </c>
      <c r="AE148" s="236" t="str">
        <f t="shared" si="70"/>
        <v>aws s3 cp s3://rtdc.mdm.uploadarchive.raw/RTDC4056/ "%USERPROFILE%\AppData\Local\Temp\OnboardLogs"\RTDC4056\2017-11-28 --exclude "*" --recursive --include "*20171128*" &amp; "%USERPROFILE%\Documents\GitHub\mrs-test-scripts\Headless Mode &amp; Sideloading\WalkAndUnGZ.bat" "%USERPROFILE%\AppData\Local\Temp\OnboardLogs"\RTDC4056\2017-11-28 &amp; aws s3 cp s3://rtdc.mdm.uploadarchive.raw/RTDC4056/ "%USERPROFILE%\AppData\Local\Temp\OnboardLogs"\RTDC4056\2017-11-29 --exclude "*" --recursive --include "*20171129*" &amp; "%USERPROFILE%\Documents\GitHub\mrs-test-scripts\Headless Mode &amp; Sideloading\WalkAndUnGZ.bat" "%USERPROFILE%\AppData\Local\Temp\OnboardLogs"\RTDC4056\2017-11-29</v>
      </c>
      <c r="AF148" s="235" t="str">
        <f t="shared" si="71"/>
        <v>"C:\Program Files (x86)\AstroGrep\AstroGrep.exe" /e /r /s /spath="%USERPROFILE%\AppData\Local\Temp\OnboardLogs" /stypes="app*4056*20171129*" /stext=" 06:.+((SYSTEM_STATE.+slice.+state.+changed )|(ment ac)|(multiple cpu faults)|(system.+state.+changed )|(\[timeout)|(PRM\|1\|D)|(kpr)|(kdp)|(train st.+moving)|(\|lc)|(penalty))"</v>
      </c>
      <c r="AG148" s="245" t="str">
        <f t="shared" si="72"/>
        <v>EC</v>
      </c>
      <c r="AH148" s="237" t="str">
        <f t="shared" si="73"/>
        <v>"%USERPROFILE%\Documents\GitHub\eaglep3\Utilities\RefineRTDCRunTimes.py" --tripid 235-28 --locoid 4056 --swversion DE.1.0.9.0 --startMP 204:539 --initTime 2017-11-28T22:25:26 --startdatetime 2017-11-28T22:30:40 --delay 85 --endMP 204:233247 --enddatetime 2017-11-28T23:07:11 --enforcementcount 0 &gt;&gt;%USERPROFILE%\Documents\GitHub\eaglep3-reporting\EC\2017-11-28-refined-times.txt</v>
      </c>
      <c r="AI148" s="239" t="str">
        <f t="shared" si="74"/>
        <v>echo {"issue":{"subject":"","project_id":79,"tracker_id":40,"status_id":1,"priority_id":2,"assigned_to_id":338,"start_date":"2017-11-28","description":"","custom_fields":[{"id":1,"name":"Subdivision","value":"EC"},{"id":4,"name":"Milepost","value":"23.3247"},{"id":17,"name":"Train ID","value":"235-28"},{"id":16,"name":"Locomotive ID","value":"4056"},{"id":130,"name":"Impact","value":""},{"id":150,"name":"Time of Event (Mountain Time)","value":"23:07:11"},{"id":151,"name":"Denver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8" s="224"/>
      <c r="AK148" s="232"/>
      <c r="AL148" s="232"/>
      <c r="AM148" s="241" t="str">
        <f t="shared" si="75"/>
        <v>start /low /b %USERPROFILE%\Documents\GitHub\eaglep3\Utilities\DownloadLogsFromS3.py --loco 4056 --day 2017-11-28</v>
      </c>
      <c r="AN148" s="242" t="str">
        <f t="shared" si="76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06:07:11"},{"id":29,"name":"Sharepoint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231" t="str">
        <f t="shared" si="77"/>
        <v>https://d0f6bd738d7f1b3e5a7ca70fe4ff75f0.us-east-1.aws.found.io/app/kibana#/discover/Steve-Slow-Train-Analysis-(2080s-and-2083s)?_g=(refreshInterval:(display:Off,pause:!f,section:0,value:0),time:(from:'2017-11-28T21:25:26-0700',mode:absolute,to:'2017-11-29T00:07:11-0700'))&amp;_a=(columns:!('Message%20ID',Summary),filters:!(),index:'emp_*',interval:auto,query:(query_string:(analyze_wildcard:!t,query:'%22rtdc.l.rtdc.4056%22')),sort:!(Time.ISO8601,asc))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230" t="s">
        <v>876</v>
      </c>
      <c r="B149" s="226">
        <v>4055</v>
      </c>
      <c r="C149" s="228" t="s">
        <v>192</v>
      </c>
      <c r="D149" s="228" t="s">
        <v>472</v>
      </c>
      <c r="E149" s="227">
        <v>43067.968136574076</v>
      </c>
      <c r="F149" s="227">
        <v>43067.977777777778</v>
      </c>
      <c r="G149" s="226">
        <v>74</v>
      </c>
      <c r="H149" s="228" t="s">
        <v>431</v>
      </c>
      <c r="I149" s="227">
        <v>43068.005046296297</v>
      </c>
      <c r="J149" s="226">
        <v>0</v>
      </c>
      <c r="K149" s="238" t="str">
        <f t="shared" si="63"/>
        <v>4055/4056</v>
      </c>
      <c r="L149" s="246" t="str">
        <f>VLOOKUP(A149,'Trips&amp;Operators'!$C$1:$G$99911,5,FALSE)</f>
        <v>ANDERS STEVEN</v>
      </c>
      <c r="M149" s="225">
        <f t="shared" si="64"/>
        <v>2.7268518519122154E-2</v>
      </c>
      <c r="N149" s="226">
        <f t="shared" si="62"/>
        <v>39.266666667535901</v>
      </c>
      <c r="O149" s="226"/>
      <c r="P149" s="226"/>
      <c r="Q149" s="229"/>
      <c r="R149" s="243"/>
      <c r="S149" s="250">
        <f t="shared" si="61"/>
        <v>1</v>
      </c>
      <c r="T149" s="243" t="str">
        <f t="shared" si="65"/>
        <v>Southbound</v>
      </c>
      <c r="U149" s="247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49" t="str">
        <f t="shared" si="66"/>
        <v>https://d0f6bd738d7f1b3e5a7ca70fe4ff75f0.us-east-1.aws.found.io/app/kibana#/discover/Steve-Slow-Train-Analysis-(2080s-and-2083s)?_g=(refreshInterval:(display:Off,pause:!f,section:0,value:0),time:(from:'2017-11-28T22:14:07-0700',mode:absolute,to:'2017-11-29T01:07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49" s="248" t="str">
        <f>IF(AA149&lt;VLOOKUP(AG149,Variables!$AC$3:$AD$8,2,FALSE),"Y","N")</f>
        <v>N</v>
      </c>
      <c r="X149" s="248">
        <f t="shared" si="67"/>
        <v>1</v>
      </c>
      <c r="Y149" s="248">
        <f t="shared" si="60"/>
        <v>23.293800000000001</v>
      </c>
      <c r="Z149" s="248">
        <f t="shared" si="59"/>
        <v>2.1999999999999999E-2</v>
      </c>
      <c r="AA149" s="248">
        <f t="shared" si="68"/>
        <v>23.271800000000002</v>
      </c>
      <c r="AB149" s="234" t="e">
        <f>VLOOKUP(A149,Enforcements!$C$7:$K$9,8,0)</f>
        <v>#N/A</v>
      </c>
      <c r="AC149" s="233" t="e">
        <f>VLOOKUP(A149,Enforcements!$C$7:$E$9,3,0)</f>
        <v>#N/A</v>
      </c>
      <c r="AD149" s="244">
        <f t="shared" si="69"/>
        <v>236</v>
      </c>
      <c r="AE149" s="236" t="str">
        <f t="shared" si="70"/>
        <v>aws s3 cp s3://rtdc.mdm.uploadarchive.raw/RTDC4055/ "%USERPROFILE%\AppData\Local\Temp\OnboardLogs"\RTDC4055\2017-11-28 --exclude "*" --recursive --include "*20171128*" &amp; "%USERPROFILE%\Documents\GitHub\mrs-test-scripts\Headless Mode &amp; Sideloading\WalkAndUnGZ.bat" "%USERPROFILE%\AppData\Local\Temp\OnboardLogs"\RTDC4055\2017-11-28 &amp; aws s3 cp s3://rtdc.mdm.uploadarchive.raw/RTDC4055/ "%USERPROFILE%\AppData\Local\Temp\OnboardLogs"\RTDC4055\2017-11-29 --exclude "*" --recursive --include "*20171129*" &amp; "%USERPROFILE%\Documents\GitHub\mrs-test-scripts\Headless Mode &amp; Sideloading\WalkAndUnGZ.bat" "%USERPROFILE%\AppData\Local\Temp\OnboardLogs"\RTDC4055\2017-11-29</v>
      </c>
      <c r="AF149" s="235" t="str">
        <f t="shared" si="71"/>
        <v>"C:\Program Files (x86)\AstroGrep\AstroGrep.exe" /e /r /s /spath="%USERPROFILE%\AppData\Local\Temp\OnboardLogs" /stypes="app*4055*20171129*" /stext=" 07:.+((SYSTEM_STATE.+slice.+state.+changed )|(ment ac)|(multiple cpu faults)|(system.+state.+changed )|(\[timeout)|(PRM\|1\|D)|(kpr)|(kdp)|(train st.+moving)|(\|lc)|(penalty))"</v>
      </c>
      <c r="AG149" s="245" t="str">
        <f t="shared" si="72"/>
        <v>EC</v>
      </c>
      <c r="AH149" s="237" t="str">
        <f t="shared" si="73"/>
        <v>"%USERPROFILE%\Documents\GitHub\eaglep3\Utilities\RefineRTDCRunTimes.py" --tripid 236-28 --locoid 4055 --swversion DE.1.0.9.0 --startMP 204:232938 --initTime 2017-11-28T23:14:07 --startdatetime 2017-11-28T23:28:00 --delay 74 --endMP 204:220 --enddatetime 2017-11-29T00:07:16 --enforcementcount 0 &gt;&gt;%USERPROFILE%\Documents\GitHub\eaglep3-reporting\EC\2017-11-28-refined-times.txt</v>
      </c>
      <c r="AI149" s="239" t="str">
        <f t="shared" si="74"/>
        <v>echo {"issue":{"subject":"","project_id":79,"tracker_id":40,"status_id":1,"priority_id":2,"assigned_to_id":338,"start_date":"2017-11-29","description":"","custom_fields":[{"id":1,"name":"Subdivision","value":"EC"},{"id":4,"name":"Milepost","value":"0.022"},{"id":17,"name":"Train ID","value":"236-28"},{"id":16,"name":"Locomotive ID","value":"4055"},{"id":130,"name":"Impact","value":""},{"id":150,"name":"Time of Event (Mountain Time)","value":"00:07:16"},{"id":151,"name":"Denver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9" s="224"/>
      <c r="AK149" s="232"/>
      <c r="AL149" s="232"/>
      <c r="AM149" s="241" t="str">
        <f t="shared" si="75"/>
        <v>start /low /b %USERPROFILE%\Documents\GitHub\eaglep3\Utilities\DownloadLogsFromS3.py --loco 4055 --day 2017-11-28</v>
      </c>
      <c r="AN149" s="242" t="str">
        <f t="shared" si="76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07:07:16"},{"id":29,"name":"Sharepoint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231" t="str">
        <f t="shared" si="77"/>
        <v>https://d0f6bd738d7f1b3e5a7ca70fe4ff75f0.us-east-1.aws.found.io/app/kibana#/discover/Steve-Slow-Train-Analysis-(2080s-and-2083s)?_g=(refreshInterval:(display:Off,pause:!f,section:0,value:0),time:(from:'2017-11-28T22:14:07-0700',mode:absolute,to:'2017-11-29T01:07:16-0700'))&amp;_a=(columns:!('Message%20ID',Summary),filters:!(),index:'emp_*',interval:auto,query:(query_string:(analyze_wildcard:!t,query:'%22rtdc.l.rtdc.4055%22')),sort:!(Time.ISO8601,asc))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24" customFormat="1" x14ac:dyDescent="0.25">
      <c r="A150" s="230" t="s">
        <v>664</v>
      </c>
      <c r="B150" s="226">
        <v>4042</v>
      </c>
      <c r="C150" s="228" t="s">
        <v>192</v>
      </c>
      <c r="D150" s="228" t="s">
        <v>951</v>
      </c>
      <c r="E150" s="227">
        <v>43067.953865740739</v>
      </c>
      <c r="F150" s="227">
        <v>43067.958553240744</v>
      </c>
      <c r="G150" s="226">
        <v>58</v>
      </c>
      <c r="H150" s="228" t="s">
        <v>599</v>
      </c>
      <c r="I150" s="227">
        <v>43067.983182870368</v>
      </c>
      <c r="J150" s="226">
        <v>0</v>
      </c>
      <c r="K150" s="238" t="str">
        <f t="shared" si="63"/>
        <v>4041/4042</v>
      </c>
      <c r="L150" s="246" t="str">
        <f>VLOOKUP(A150,'Trips&amp;Operators'!$C$1:$G$99911,5,FALSE)</f>
        <v>RESPASS AARON</v>
      </c>
      <c r="M150" s="225">
        <f t="shared" si="64"/>
        <v>2.4629629624541849E-2</v>
      </c>
      <c r="N150" s="226">
        <f t="shared" si="62"/>
        <v>35.466666659340262</v>
      </c>
      <c r="O150" s="226"/>
      <c r="P150" s="226"/>
      <c r="Q150" s="229"/>
      <c r="R150" s="243"/>
      <c r="S150" s="250">
        <f t="shared" si="61"/>
        <v>1</v>
      </c>
      <c r="T150" s="243" t="str">
        <f t="shared" si="65"/>
        <v>NorthBound</v>
      </c>
      <c r="U150" s="247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49" t="str">
        <f t="shared" si="66"/>
        <v>https://d0f6bd738d7f1b3e5a7ca70fe4ff75f0.us-east-1.aws.found.io/app/kibana#/discover/Steve-Slow-Train-Analysis-(2080s-and-2083s)?_g=(refreshInterval:(display:Off,pause:!f,section:0,value:0),time:(from:'2017-11-28T21:53:34-0700',mode:absolute,to:'2017-11-29T00:35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50" s="248" t="str">
        <f>IF(AA150&lt;VLOOKUP(AG150,Variables!$AC$3:$AD$8,2,FALSE),"Y","N")</f>
        <v>N</v>
      </c>
      <c r="X150" s="248">
        <f t="shared" si="67"/>
        <v>1</v>
      </c>
      <c r="Y150" s="248">
        <f t="shared" si="60"/>
        <v>5.57E-2</v>
      </c>
      <c r="Z150" s="248">
        <f t="shared" si="59"/>
        <v>23.322700000000001</v>
      </c>
      <c r="AA150" s="248">
        <f t="shared" si="68"/>
        <v>23.266999999999999</v>
      </c>
      <c r="AB150" s="234" t="str">
        <f>VLOOKUP(A150,Enforcements!$C$7:$K$9,8,0)</f>
        <v>Bulletin (2)</v>
      </c>
      <c r="AC150" s="233" t="str">
        <f>VLOOKUP(A150,Enforcements!$C$7:$E$9,3,0)</f>
        <v>GRADE CROSSING</v>
      </c>
      <c r="AD150" s="244">
        <f t="shared" si="69"/>
        <v>237</v>
      </c>
      <c r="AE150" s="236" t="str">
        <f t="shared" si="70"/>
        <v>aws s3 cp s3://rtdc.mdm.uploadarchive.raw/RTDC4042/ "%USERPROFILE%\AppData\Local\Temp\OnboardLogs"\RTDC4042\2017-11-28 --exclude "*" --recursive --include "*20171128*" &amp; "%USERPROFILE%\Documents\GitHub\mrs-test-scripts\Headless Mode &amp; Sideloading\WalkAndUnGZ.bat" "%USERPROFILE%\AppData\Local\Temp\OnboardLogs"\RTDC4042\2017-11-28 &amp; aws s3 cp s3://rtdc.mdm.uploadarchive.raw/RTDC4042/ "%USERPROFILE%\AppData\Local\Temp\OnboardLogs"\RTDC4042\2017-11-29 --exclude "*" --recursive --include "*20171129*" &amp; "%USERPROFILE%\Documents\GitHub\mrs-test-scripts\Headless Mode &amp; Sideloading\WalkAndUnGZ.bat" "%USERPROFILE%\AppData\Local\Temp\OnboardLogs"\RTDC4042\2017-11-29</v>
      </c>
      <c r="AF150" s="235" t="str">
        <f t="shared" si="71"/>
        <v>"C:\Program Files (x86)\AstroGrep\AstroGrep.exe" /e /r /s /spath="%USERPROFILE%\AppData\Local\Temp\OnboardLogs" /stypes="app*4042*20171129*" /stext=" 06:.+((SYSTEM_STATE.+slice.+state.+changed )|(ment ac)|(multiple cpu faults)|(system.+state.+changed )|(\[timeout)|(PRM\|1\|D)|(kpr)|(kdp)|(train st.+moving)|(\|lc)|(penalty))"</v>
      </c>
      <c r="AG150" s="245" t="str">
        <f t="shared" si="72"/>
        <v>EC</v>
      </c>
      <c r="AH150" s="237" t="str">
        <f t="shared" si="73"/>
        <v>"%USERPROFILE%\Documents\GitHub\eaglep3\Utilities\RefineRTDCRunTimes.py" --tripid 237-28 --locoid 4042 --swversion DE.1.0.9.0 --startMP 204:557 --initTime 2017-11-28T22:53:34 --startdatetime 2017-11-28T23:00:19 --delay 58 --endMP 204:233227 --enddatetime 2017-11-28T23:35:47 --enforcementcount 0 &gt;&gt;%USERPROFILE%\Documents\GitHub\eaglep3-reporting\EC\2017-11-28-refined-times.txt</v>
      </c>
      <c r="AI150" s="239" t="str">
        <f t="shared" si="74"/>
        <v>echo {"issue":{"subject":"","project_id":79,"tracker_id":40,"status_id":1,"priority_id":2,"assigned_to_id":338,"start_date":"2017-11-28","description":"","custom_fields":[{"id":1,"name":"Subdivision","value":"EC"},{"id":4,"name":"Milepost","value":"23.3227"},{"id":17,"name":"Train ID","value":"237-28"},{"id":16,"name":"Locomotive ID","value":"4042"},{"id":130,"name":"Impact","value":""},{"id":150,"name":"Time of Event (Mountain Time)","value":"23:35:47"},{"id":151,"name":"Denver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0" s="232"/>
      <c r="AL150" s="232"/>
      <c r="AM150" s="241" t="str">
        <f t="shared" si="75"/>
        <v>start /low /b %USERPROFILE%\Documents\GitHub\eaglep3\Utilities\DownloadLogsFromS3.py --loco 4042 --day 2017-11-28</v>
      </c>
      <c r="AN150" s="242" t="str">
        <f t="shared" si="76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06:35:47"},{"id":29,"name":"Sharepoint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231" t="str">
        <f t="shared" si="77"/>
        <v>https://d0f6bd738d7f1b3e5a7ca70fe4ff75f0.us-east-1.aws.found.io/app/kibana#/discover/Steve-Slow-Train-Analysis-(2080s-and-2083s)?_g=(refreshInterval:(display:Off,pause:!f,section:0,value:0),time:(from:'2017-11-28T21:53:34-0700',mode:absolute,to:'2017-11-29T00:35:47-0700'))&amp;_a=(columns:!('Message%20ID',Summary),filters:!(),index:'emp_*',interval:auto,query:(query_string:(analyze_wildcard:!t,query:'%22rtdc.l.rtdc.4042%22')),sort:!(Time.ISO8601,asc))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230" t="s">
        <v>879</v>
      </c>
      <c r="B151" s="226">
        <v>4041</v>
      </c>
      <c r="C151" s="228" t="s">
        <v>192</v>
      </c>
      <c r="D151" s="228" t="s">
        <v>605</v>
      </c>
      <c r="E151" s="227">
        <v>43067.994409722225</v>
      </c>
      <c r="F151" s="227">
        <v>43067.998090277775</v>
      </c>
      <c r="G151" s="226">
        <v>54</v>
      </c>
      <c r="H151" s="228" t="s">
        <v>980</v>
      </c>
      <c r="I151" s="227">
        <v>43068.023611111108</v>
      </c>
      <c r="J151" s="226">
        <v>0</v>
      </c>
      <c r="K151" s="238" t="str">
        <f t="shared" si="63"/>
        <v>4041/4042</v>
      </c>
      <c r="L151" s="246" t="str">
        <f>VLOOKUP(A151,'Trips&amp;Operators'!$C$1:$G$99911,5,FALSE)</f>
        <v>RESPASS AARON</v>
      </c>
      <c r="M151" s="225">
        <f t="shared" si="64"/>
        <v>2.5520833332848269E-2</v>
      </c>
      <c r="N151" s="226">
        <f t="shared" si="62"/>
        <v>36.749999999301508</v>
      </c>
      <c r="O151" s="226"/>
      <c r="P151" s="226"/>
      <c r="Q151" s="229"/>
      <c r="R151" s="243"/>
      <c r="S151" s="250">
        <f t="shared" si="61"/>
        <v>1</v>
      </c>
      <c r="T151" s="243" t="str">
        <f t="shared" si="65"/>
        <v>Southbound</v>
      </c>
      <c r="U151" s="247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49" t="str">
        <f t="shared" si="66"/>
        <v>https://d0f6bd738d7f1b3e5a7ca70fe4ff75f0.us-east-1.aws.found.io/app/kibana#/discover/Steve-Slow-Train-Analysis-(2080s-and-2083s)?_g=(refreshInterval:(display:Off,pause:!f,section:0,value:0),time:(from:'2017-11-28T22:51:57-0700',mode:absolute,to:'2017-11-29T01:34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51" s="248" t="str">
        <f>IF(AA151&lt;VLOOKUP(AG151,Variables!$AC$3:$AD$8,2,FALSE),"Y","N")</f>
        <v>N</v>
      </c>
      <c r="X151" s="248">
        <f t="shared" si="67"/>
        <v>1</v>
      </c>
      <c r="Y151" s="248">
        <f t="shared" si="60"/>
        <v>23.290600000000001</v>
      </c>
      <c r="Z151" s="248">
        <f t="shared" si="59"/>
        <v>2.7400000000000001E-2</v>
      </c>
      <c r="AA151" s="248">
        <f t="shared" si="68"/>
        <v>23.263200000000001</v>
      </c>
      <c r="AB151" s="234" t="e">
        <f>VLOOKUP(A151,Enforcements!$C$7:$K$9,8,0)</f>
        <v>#N/A</v>
      </c>
      <c r="AC151" s="233" t="e">
        <f>VLOOKUP(A151,Enforcements!$C$7:$E$9,3,0)</f>
        <v>#N/A</v>
      </c>
      <c r="AD151" s="244">
        <f t="shared" si="69"/>
        <v>238</v>
      </c>
      <c r="AE151" s="236" t="str">
        <f t="shared" si="70"/>
        <v>aws s3 cp s3://rtdc.mdm.uploadarchive.raw/RTDC4041/ "%USERPROFILE%\AppData\Local\Temp\OnboardLogs"\RTDC4041\2017-11-28 --exclude "*" --recursive --include "*20171128*" &amp; "%USERPROFILE%\Documents\GitHub\mrs-test-scripts\Headless Mode &amp; Sideloading\WalkAndUnGZ.bat" "%USERPROFILE%\AppData\Local\Temp\OnboardLogs"\RTDC4041\2017-11-28 &amp; aws s3 cp s3://rtdc.mdm.uploadarchive.raw/RTDC4041/ "%USERPROFILE%\AppData\Local\Temp\OnboardLogs"\RTDC4041\2017-11-29 --exclude "*" --recursive --include "*20171129*" &amp; "%USERPROFILE%\Documents\GitHub\mrs-test-scripts\Headless Mode &amp; Sideloading\WalkAndUnGZ.bat" "%USERPROFILE%\AppData\Local\Temp\OnboardLogs"\RTDC4041\2017-11-29</v>
      </c>
      <c r="AF151" s="235" t="str">
        <f t="shared" si="71"/>
        <v>"C:\Program Files (x86)\AstroGrep\AstroGrep.exe" /e /r /s /spath="%USERPROFILE%\AppData\Local\Temp\OnboardLogs" /stypes="app*4041*20171129*" /stext=" 07:.+((SYSTEM_STATE.+slice.+state.+changed )|(ment ac)|(multiple cpu faults)|(system.+state.+changed )|(\[timeout)|(PRM\|1\|D)|(kpr)|(kdp)|(train st.+moving)|(\|lc)|(penalty))"</v>
      </c>
      <c r="AG151" s="245" t="str">
        <f t="shared" si="72"/>
        <v>EC</v>
      </c>
      <c r="AH151" s="237" t="str">
        <f t="shared" si="73"/>
        <v>"%USERPROFILE%\Documents\GitHub\eaglep3\Utilities\RefineRTDCRunTimes.py" --tripid 238-28 --locoid 4041 --swversion DE.1.0.9.0 --startMP 204:232906 --initTime 2017-11-28T23:51:57 --startdatetime 2017-11-28T23:57:15 --delay 54 --endMP 204:274 --enddatetime 2017-11-29T00:34:00 --enforcementcount 0 &gt;&gt;%USERPROFILE%\Documents\GitHub\eaglep3-reporting\EC\2017-11-28-refined-times.txt</v>
      </c>
      <c r="AI151" s="239" t="str">
        <f t="shared" si="74"/>
        <v>echo {"issue":{"subject":"","project_id":79,"tracker_id":40,"status_id":1,"priority_id":2,"assigned_to_id":338,"start_date":"2017-11-29","description":"","custom_fields":[{"id":1,"name":"Subdivision","value":"EC"},{"id":4,"name":"Milepost","value":"0.0274"},{"id":17,"name":"Train ID","value":"238-28"},{"id":16,"name":"Locomotive ID","value":"4041"},{"id":130,"name":"Impact","value":""},{"id":150,"name":"Time of Event (Mountain Time)","value":"00:34:00"},{"id":151,"name":"Denver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1" s="224"/>
      <c r="AK151" s="232"/>
      <c r="AL151" s="232"/>
      <c r="AM151" s="241" t="str">
        <f t="shared" si="75"/>
        <v>start /low /b %USERPROFILE%\Documents\GitHub\eaglep3\Utilities\DownloadLogsFromS3.py --loco 4041 --day 2017-11-28</v>
      </c>
      <c r="AN151" s="242" t="str">
        <f t="shared" si="76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07:34:00"},{"id":29,"name":"Sharepoint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231" t="str">
        <f t="shared" si="77"/>
        <v>https://d0f6bd738d7f1b3e5a7ca70fe4ff75f0.us-east-1.aws.found.io/app/kibana#/discover/Steve-Slow-Train-Analysis-(2080s-and-2083s)?_g=(refreshInterval:(display:Off,pause:!f,section:0,value:0),time:(from:'2017-11-28T22:51:57-0700',mode:absolute,to:'2017-11-29T01:34:00-0700'))&amp;_a=(columns:!('Message%20ID',Summary),filters:!(),index:'emp_*',interval:auto,query:(query_string:(analyze_wildcard:!t,query:'%22rtdc.l.rtdc.4041%22')),sort:!(Time.ISO8601,asc))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230" t="s">
        <v>877</v>
      </c>
      <c r="B152" s="226">
        <v>4008</v>
      </c>
      <c r="C152" s="228" t="s">
        <v>192</v>
      </c>
      <c r="D152" s="228" t="s">
        <v>452</v>
      </c>
      <c r="E152" s="227">
        <v>43067.97284722222</v>
      </c>
      <c r="F152" s="227">
        <v>43067.979363425926</v>
      </c>
      <c r="G152" s="226">
        <v>70</v>
      </c>
      <c r="H152" s="228" t="s">
        <v>981</v>
      </c>
      <c r="I152" s="227">
        <v>43068.003587962965</v>
      </c>
      <c r="J152" s="226">
        <v>0</v>
      </c>
      <c r="K152" s="238" t="str">
        <f t="shared" si="63"/>
        <v>4007/4008</v>
      </c>
      <c r="L152" s="246" t="str">
        <f>VLOOKUP(A152,'Trips&amp;Operators'!$C$1:$G$99911,5,FALSE)</f>
        <v>LOZA FIDEL</v>
      </c>
      <c r="M152" s="225">
        <f t="shared" si="64"/>
        <v>2.4224537039117422E-2</v>
      </c>
      <c r="N152" s="226">
        <f t="shared" si="62"/>
        <v>34.883333336329088</v>
      </c>
      <c r="O152" s="226"/>
      <c r="P152" s="226"/>
      <c r="Q152" s="229"/>
      <c r="R152" s="243"/>
      <c r="S152" s="250">
        <f t="shared" si="61"/>
        <v>1</v>
      </c>
      <c r="T152" s="243" t="str">
        <f t="shared" si="65"/>
        <v>NorthBound</v>
      </c>
      <c r="U152" s="247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49" t="str">
        <f t="shared" si="66"/>
        <v>https://d0f6bd738d7f1b3e5a7ca70fe4ff75f0.us-east-1.aws.found.io/app/kibana#/discover/Steve-Slow-Train-Analysis-(2080s-and-2083s)?_g=(refreshInterval:(display:Off,pause:!f,section:0,value:0),time:(from:'2017-11-28T22:20:54-0700',mode:absolute,to:'2017-11-29T01:05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52" s="248" t="str">
        <f>IF(AA152&lt;VLOOKUP(AG152,Variables!$AC$3:$AD$8,2,FALSE),"Y","N")</f>
        <v>N</v>
      </c>
      <c r="X152" s="248">
        <f t="shared" si="67"/>
        <v>1</v>
      </c>
      <c r="Y152" s="248">
        <f t="shared" si="60"/>
        <v>5.0799999999999998E-2</v>
      </c>
      <c r="Z152" s="248">
        <f t="shared" si="59"/>
        <v>23.328499999999998</v>
      </c>
      <c r="AA152" s="248">
        <f t="shared" si="68"/>
        <v>23.277699999999999</v>
      </c>
      <c r="AB152" s="234" t="e">
        <f>VLOOKUP(A152,Enforcements!$C$7:$K$9,8,0)</f>
        <v>#N/A</v>
      </c>
      <c r="AC152" s="233" t="e">
        <f>VLOOKUP(A152,Enforcements!$C$7:$E$9,3,0)</f>
        <v>#N/A</v>
      </c>
      <c r="AD152" s="244">
        <f t="shared" si="69"/>
        <v>239</v>
      </c>
      <c r="AE152" s="236" t="str">
        <f t="shared" si="70"/>
        <v>aws s3 cp s3://rtdc.mdm.uploadarchive.raw/RTDC4008/ "%USERPROFILE%\AppData\Local\Temp\OnboardLogs"\RTDC4008\2017-11-28 --exclude "*" --recursive --include "*20171128*" &amp; "%USERPROFILE%\Documents\GitHub\mrs-test-scripts\Headless Mode &amp; Sideloading\WalkAndUnGZ.bat" "%USERPROFILE%\AppData\Local\Temp\OnboardLogs"\RTDC4008\2017-11-28 &amp; aws s3 cp s3://rtdc.mdm.uploadarchive.raw/RTDC4008/ "%USERPROFILE%\AppData\Local\Temp\OnboardLogs"\RTDC4008\2017-11-29 --exclude "*" --recursive --include "*20171129*" &amp; "%USERPROFILE%\Documents\GitHub\mrs-test-scripts\Headless Mode &amp; Sideloading\WalkAndUnGZ.bat" "%USERPROFILE%\AppData\Local\Temp\OnboardLogs"\RTDC4008\2017-11-29</v>
      </c>
      <c r="AF152" s="235" t="str">
        <f t="shared" si="71"/>
        <v>"C:\Program Files (x86)\AstroGrep\AstroGrep.exe" /e /r /s /spath="%USERPROFILE%\AppData\Local\Temp\OnboardLogs" /stypes="app*4008*20171129*" /stext=" 07:.+((SYSTEM_STATE.+slice.+state.+changed )|(ment ac)|(multiple cpu faults)|(system.+state.+changed )|(\[timeout)|(PRM\|1\|D)|(kpr)|(kdp)|(train st.+moving)|(\|lc)|(penalty))"</v>
      </c>
      <c r="AG152" s="245" t="str">
        <f t="shared" si="72"/>
        <v>EC</v>
      </c>
      <c r="AH152" s="237" t="str">
        <f t="shared" si="73"/>
        <v>"%USERPROFILE%\Documents\GitHub\eaglep3\Utilities\RefineRTDCRunTimes.py" --tripid 239-28 --locoid 4008 --swversion DE.1.0.9.0 --startMP 204:508 --initTime 2017-11-28T23:20:54 --startdatetime 2017-11-28T23:30:17 --delay 70 --endMP 204:233285 --enddatetime 2017-11-29T00:05:10 --enforcementcount 0 &gt;&gt;%USERPROFILE%\Documents\GitHub\eaglep3-reporting\EC\2017-11-28-refined-times.txt</v>
      </c>
      <c r="AI152" s="239" t="str">
        <f t="shared" si="74"/>
        <v>echo {"issue":{"subject":"","project_id":79,"tracker_id":40,"status_id":1,"priority_id":2,"assigned_to_id":338,"start_date":"2017-11-29","description":"","custom_fields":[{"id":1,"name":"Subdivision","value":"EC"},{"id":4,"name":"Milepost","value":"23.3285"},{"id":17,"name":"Train ID","value":"239-28"},{"id":16,"name":"Locomotive ID","value":"4008"},{"id":130,"name":"Impact","value":""},{"id":150,"name":"Time of Event (Mountain Time)","value":"00:05:10"},{"id":151,"name":"Denver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2" s="224"/>
      <c r="AK152" s="232"/>
      <c r="AL152" s="232"/>
      <c r="AM152" s="241" t="str">
        <f t="shared" si="75"/>
        <v>start /low /b %USERPROFILE%\Documents\GitHub\eaglep3\Utilities\DownloadLogsFromS3.py --loco 4008 --day 2017-11-28</v>
      </c>
      <c r="AN152" s="242" t="str">
        <f t="shared" si="76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07:05:10"},{"id":29,"name":"Sharepoint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231" t="str">
        <f t="shared" si="77"/>
        <v>https://d0f6bd738d7f1b3e5a7ca70fe4ff75f0.us-east-1.aws.found.io/app/kibana#/discover/Steve-Slow-Train-Analysis-(2080s-and-2083s)?_g=(refreshInterval:(display:Off,pause:!f,section:0,value:0),time:(from:'2017-11-28T22:20:54-0700',mode:absolute,to:'2017-11-29T01:05:10-0700'))&amp;_a=(columns:!('Message%20ID',Summary),filters:!(),index:'emp_*',interval:auto,query:(query_string:(analyze_wildcard:!t,query:'%22rtdc.l.rtdc.4008%22')),sort:!(Time.ISO8601,asc))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230" t="s">
        <v>881</v>
      </c>
      <c r="B153" s="226">
        <v>4007</v>
      </c>
      <c r="C153" s="228" t="s">
        <v>192</v>
      </c>
      <c r="D153" s="228" t="s">
        <v>977</v>
      </c>
      <c r="E153" s="227">
        <v>43068.015081018515</v>
      </c>
      <c r="F153" s="227">
        <v>43068.016435185185</v>
      </c>
      <c r="G153" s="226">
        <v>111</v>
      </c>
      <c r="H153" s="228" t="s">
        <v>916</v>
      </c>
      <c r="I153" s="227">
        <v>43068.045277777775</v>
      </c>
      <c r="J153" s="226">
        <v>0</v>
      </c>
      <c r="K153" s="238" t="str">
        <f t="shared" si="63"/>
        <v>4007/4008</v>
      </c>
      <c r="L153" s="246" t="str">
        <f>VLOOKUP(A153,'Trips&amp;Operators'!$C$1:$G$99911,5,FALSE)</f>
        <v>LOZA FIDEL</v>
      </c>
      <c r="M153" s="225">
        <f t="shared" si="64"/>
        <v>2.884259259008104E-2</v>
      </c>
      <c r="N153" s="226">
        <f t="shared" si="62"/>
        <v>41.533333329716697</v>
      </c>
      <c r="O153" s="226"/>
      <c r="P153" s="226"/>
      <c r="Q153" s="229"/>
      <c r="R153" s="243"/>
      <c r="S153" s="250">
        <f t="shared" si="61"/>
        <v>1</v>
      </c>
      <c r="T153" s="243" t="str">
        <f t="shared" si="65"/>
        <v>Southbound</v>
      </c>
      <c r="U153" s="247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49" t="str">
        <f t="shared" si="66"/>
        <v>https://d0f6bd738d7f1b3e5a7ca70fe4ff75f0.us-east-1.aws.found.io/app/kibana#/discover/Steve-Slow-Train-Analysis-(2080s-and-2083s)?_g=(refreshInterval:(display:Off,pause:!f,section:0,value:0),time:(from:'2017-11-28T23:21:43-0700',mode:absolute,to:'2017-11-29T02:05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53" s="248" t="str">
        <f>IF(AA153&lt;VLOOKUP(AG153,Variables!$AC$3:$AD$8,2,FALSE),"Y","N")</f>
        <v>N</v>
      </c>
      <c r="X153" s="248">
        <f t="shared" si="67"/>
        <v>1</v>
      </c>
      <c r="Y153" s="248">
        <f t="shared" si="60"/>
        <v>23.295999999999999</v>
      </c>
      <c r="Z153" s="248">
        <f t="shared" si="59"/>
        <v>2.1600000000000001E-2</v>
      </c>
      <c r="AA153" s="248">
        <f t="shared" si="68"/>
        <v>23.2744</v>
      </c>
      <c r="AB153" s="234" t="e">
        <f>VLOOKUP(A153,Enforcements!$C$7:$K$9,8,0)</f>
        <v>#N/A</v>
      </c>
      <c r="AC153" s="233" t="e">
        <f>VLOOKUP(A153,Enforcements!$C$7:$E$9,3,0)</f>
        <v>#N/A</v>
      </c>
      <c r="AD153" s="244">
        <f t="shared" si="69"/>
        <v>240</v>
      </c>
      <c r="AE153" s="236" t="str">
        <f t="shared" si="70"/>
        <v>aws s3 cp s3://rtdc.mdm.uploadarchive.raw/RTDC4007/ "%USERPROFILE%\AppData\Local\Temp\OnboardLogs"\RTDC4007\2017-11-29 --exclude "*" --recursive --include "*20171129*" &amp; "%USERPROFILE%\Documents\GitHub\mrs-test-scripts\Headless Mode &amp; Sideloading\WalkAndUnGZ.bat" "%USERPROFILE%\AppData\Local\Temp\OnboardLogs"\RTDC4007\2017-11-29 &amp; aws s3 cp s3://rtdc.mdm.uploadarchive.raw/RTDC4007/ "%USERPROFILE%\AppData\Local\Temp\OnboardLogs"\RTDC4007\2017-11-30 --exclude "*" --recursive --include "*20171130*" &amp; "%USERPROFILE%\Documents\GitHub\mrs-test-scripts\Headless Mode &amp; Sideloading\WalkAndUnGZ.bat" "%USERPROFILE%\AppData\Local\Temp\OnboardLogs"\RTDC4007\2017-11-30</v>
      </c>
      <c r="AF153" s="235" t="str">
        <f t="shared" si="71"/>
        <v>"C:\Program Files (x86)\AstroGrep\AstroGrep.exe" /e /r /s /spath="%USERPROFILE%\AppData\Local\Temp\OnboardLogs" /stypes="app*4007*20171129*" /stext=" 08:.+((SYSTEM_STATE.+slice.+state.+changed )|(ment ac)|(multiple cpu faults)|(system.+state.+changed )|(\[timeout)|(PRM\|1\|D)|(kpr)|(kdp)|(train st.+moving)|(\|lc)|(penalty))"</v>
      </c>
      <c r="AG153" s="245" t="str">
        <f t="shared" si="72"/>
        <v>EC</v>
      </c>
      <c r="AH153" s="237" t="str">
        <f t="shared" si="73"/>
        <v>"%USERPROFILE%\Documents\GitHub\eaglep3\Utilities\RefineRTDCRunTimes.py" --tripid 240-28 --locoid 4007 --swversion DE.1.0.9.0 --startMP 204:232960 --initTime 2017-11-29T00:21:43 --startdatetime 2017-11-29T00:23:40 --delay 111 --endMP 204:216 --enddatetime 2017-11-29T01:05:12 --enforcementcount 0 &gt;&gt;%USERPROFILE%\Documents\GitHub\eaglep3-reporting\EC\2017-11-28-refined-times.txt</v>
      </c>
      <c r="AI153" s="239" t="str">
        <f t="shared" si="74"/>
        <v>echo {"issue":{"subject":"","project_id":79,"tracker_id":40,"status_id":1,"priority_id":2,"assigned_to_id":338,"start_date":"2017-11-29","description":"","custom_fields":[{"id":1,"name":"Subdivision","value":"EC"},{"id":4,"name":"Milepost","value":"0.0216"},{"id":17,"name":"Train ID","value":"240-28"},{"id":16,"name":"Locomotive ID","value":"4007"},{"id":130,"name":"Impact","value":""},{"id":150,"name":"Time of Event (Mountain Time)","value":"01:05:12"},{"id":151,"name":"Denver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3" s="224"/>
      <c r="AK153" s="232"/>
      <c r="AL153" s="232"/>
      <c r="AM153" s="241" t="str">
        <f t="shared" si="75"/>
        <v>start /low /b %USERPROFILE%\Documents\GitHub\eaglep3\Utilities\DownloadLogsFromS3.py --loco 4007 --day 2017-11-29</v>
      </c>
      <c r="AN153" s="242" t="str">
        <f t="shared" si="76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08:05:12"},{"id":29,"name":"Sharepoint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231" t="str">
        <f t="shared" si="77"/>
        <v>https://d0f6bd738d7f1b3e5a7ca70fe4ff75f0.us-east-1.aws.found.io/app/kibana#/discover/Steve-Slow-Train-Analysis-(2080s-and-2083s)?_g=(refreshInterval:(display:Off,pause:!f,section:0,value:0),time:(from:'2017-11-28T23:21:43-0700',mode:absolute,to:'2017-11-29T02:05:12-0700'))&amp;_a=(columns:!('Message%20ID',Summary),filters:!(),index:'emp_*',interval:auto,query:(query_string:(analyze_wildcard:!t,query:'%22rtdc.l.rtdc.4007%22')),sort:!(Time.ISO8601,asc))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230" t="s">
        <v>665</v>
      </c>
      <c r="B154" s="226">
        <v>4060</v>
      </c>
      <c r="C154" s="228" t="s">
        <v>192</v>
      </c>
      <c r="D154" s="228" t="s">
        <v>979</v>
      </c>
      <c r="E154" s="227">
        <v>43067.994629629633</v>
      </c>
      <c r="F154" s="227">
        <v>43068.000208333331</v>
      </c>
      <c r="G154" s="226">
        <v>58</v>
      </c>
      <c r="H154" s="228" t="s">
        <v>982</v>
      </c>
      <c r="I154" s="227">
        <v>43068.026342592595</v>
      </c>
      <c r="J154" s="226">
        <v>0</v>
      </c>
      <c r="K154" s="238" t="str">
        <f t="shared" si="63"/>
        <v>4059/4060</v>
      </c>
      <c r="L154" s="246" t="str">
        <f>VLOOKUP(A154,'Trips&amp;Operators'!$C$1:$G$99911,5,FALSE)</f>
        <v>NICHOLSON WESLEY</v>
      </c>
      <c r="M154" s="225">
        <f t="shared" si="64"/>
        <v>2.6134259263926651E-2</v>
      </c>
      <c r="N154" s="226">
        <f t="shared" si="62"/>
        <v>37.633333340054378</v>
      </c>
      <c r="O154" s="226"/>
      <c r="P154" s="226"/>
      <c r="Q154" s="229"/>
      <c r="R154" s="243"/>
      <c r="S154" s="250">
        <f t="shared" si="61"/>
        <v>1</v>
      </c>
      <c r="T154" s="243" t="str">
        <f t="shared" si="65"/>
        <v>NorthBound</v>
      </c>
      <c r="U154" s="247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49" t="str">
        <f t="shared" si="66"/>
        <v>https://d0f6bd738d7f1b3e5a7ca70fe4ff75f0.us-east-1.aws.found.io/app/kibana#/discover/Steve-Slow-Train-Analysis-(2080s-and-2083s)?_g=(refreshInterval:(display:Off,pause:!f,section:0,value:0),time:(from:'2017-11-28T22:52:16-0700',mode:absolute,to:'2017-11-29T01:37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54" s="248" t="str">
        <f>IF(AA154&lt;VLOOKUP(AG154,Variables!$AC$3:$AD$8,2,FALSE),"Y","N")</f>
        <v>N</v>
      </c>
      <c r="X154" s="248">
        <f t="shared" si="67"/>
        <v>1</v>
      </c>
      <c r="Y154" s="248">
        <f t="shared" si="60"/>
        <v>5.3900000000000003E-2</v>
      </c>
      <c r="Z154" s="248">
        <f t="shared" si="59"/>
        <v>23.319500000000001</v>
      </c>
      <c r="AA154" s="248">
        <f t="shared" si="68"/>
        <v>23.265600000000003</v>
      </c>
      <c r="AB154" s="234" t="e">
        <f>VLOOKUP(A154,Enforcements!$C$7:$K$9,8,0)</f>
        <v>#N/A</v>
      </c>
      <c r="AC154" s="233" t="e">
        <f>VLOOKUP(A154,Enforcements!$C$7:$E$9,3,0)</f>
        <v>#N/A</v>
      </c>
      <c r="AD154" s="244">
        <f t="shared" si="69"/>
        <v>241</v>
      </c>
      <c r="AE154" s="236" t="str">
        <f t="shared" si="70"/>
        <v>aws s3 cp s3://rtdc.mdm.uploadarchive.raw/RTDC4060/ "%USERPROFILE%\AppData\Local\Temp\OnboardLogs"\RTDC4060\2017-11-29 --exclude "*" --recursive --include "*20171129*" &amp; "%USERPROFILE%\Documents\GitHub\mrs-test-scripts\Headless Mode &amp; Sideloading\WalkAndUnGZ.bat" "%USERPROFILE%\AppData\Local\Temp\OnboardLogs"\RTDC4060\2017-11-29 &amp; aws s3 cp s3://rtdc.mdm.uploadarchive.raw/RTDC4060/ "%USERPROFILE%\AppData\Local\Temp\OnboardLogs"\RTDC4060\2017-11-30 --exclude "*" --recursive --include "*20171130*" &amp; "%USERPROFILE%\Documents\GitHub\mrs-test-scripts\Headless Mode &amp; Sideloading\WalkAndUnGZ.bat" "%USERPROFILE%\AppData\Local\Temp\OnboardLogs"\RTDC4060\2017-11-30</v>
      </c>
      <c r="AF154" s="235" t="str">
        <f t="shared" si="71"/>
        <v>"C:\Program Files (x86)\AstroGrep\AstroGrep.exe" /e /r /s /spath="%USERPROFILE%\AppData\Local\Temp\OnboardLogs" /stypes="app*4060*20171129*" /stext=" 07:.+((SYSTEM_STATE.+slice.+state.+changed )|(ment ac)|(multiple cpu faults)|(system.+state.+changed )|(\[timeout)|(PRM\|1\|D)|(kpr)|(kdp)|(train st.+moving)|(\|lc)|(penalty))"</v>
      </c>
      <c r="AG154" s="245" t="str">
        <f t="shared" si="72"/>
        <v>EC</v>
      </c>
      <c r="AH154" s="237" t="str">
        <f t="shared" si="73"/>
        <v>"%USERPROFILE%\Documents\GitHub\eaglep3\Utilities\RefineRTDCRunTimes.py" --tripid 241-28 --locoid 4060 --swversion DE.1.0.9.0 --startMP 204:539 --initTime 2017-11-28T23:52:16 --startdatetime 2017-11-29T00:00:18 --delay 58 --endMP 204:233195 --enddatetime 2017-11-29T00:37:56 --enforcementcount 0 &gt;&gt;%USERPROFILE%\Documents\GitHub\eaglep3-reporting\EC\2017-11-28-refined-times.txt</v>
      </c>
      <c r="AI154" s="239" t="str">
        <f t="shared" si="74"/>
        <v>echo {"issue":{"subject":"","project_id":79,"tracker_id":40,"status_id":1,"priority_id":2,"assigned_to_id":338,"start_date":"2017-11-29","description":"","custom_fields":[{"id":1,"name":"Subdivision","value":"EC"},{"id":4,"name":"Milepost","value":"23.3195"},{"id":17,"name":"Train ID","value":"241-28"},{"id":16,"name":"Locomotive ID","value":"4060"},{"id":130,"name":"Impact","value":""},{"id":150,"name":"Time of Event (Mountain Time)","value":"00:37:56"},{"id":151,"name":"Denver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4" s="224"/>
      <c r="AK154" s="232"/>
      <c r="AL154" s="232"/>
      <c r="AM154" s="241" t="str">
        <f t="shared" si="75"/>
        <v>start /low /b %USERPROFILE%\Documents\GitHub\eaglep3\Utilities\DownloadLogsFromS3.py --loco 4060 --day 2017-11-29</v>
      </c>
      <c r="AN154" s="242" t="str">
        <f t="shared" si="76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07:37:56"},{"id":29,"name":"Sharepoint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231" t="str">
        <f t="shared" si="77"/>
        <v>https://d0f6bd738d7f1b3e5a7ca70fe4ff75f0.us-east-1.aws.found.io/app/kibana#/discover/Steve-Slow-Train-Analysis-(2080s-and-2083s)?_g=(refreshInterval:(display:Off,pause:!f,section:0,value:0),time:(from:'2017-11-28T22:52:16-0700',mode:absolute,to:'2017-11-29T01:37:56-0700'))&amp;_a=(columns:!('Message%20ID',Summary),filters:!(),index:'emp_*',interval:auto,query:(query_string:(analyze_wildcard:!t,query:'%22rtdc.l.rtdc.4060%22')),sort:!(Time.ISO8601,asc))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230" t="s">
        <v>883</v>
      </c>
      <c r="B155" s="226">
        <v>4059</v>
      </c>
      <c r="C155" s="228" t="s">
        <v>192</v>
      </c>
      <c r="D155" s="228" t="s">
        <v>1094</v>
      </c>
      <c r="E155" s="227">
        <v>43068.034641203703</v>
      </c>
      <c r="F155" s="227">
        <v>43068.040011574078</v>
      </c>
      <c r="G155" s="226">
        <v>78</v>
      </c>
      <c r="H155" s="228" t="s">
        <v>491</v>
      </c>
      <c r="I155" s="227">
        <v>43068.067488425928</v>
      </c>
      <c r="J155" s="226">
        <v>0</v>
      </c>
      <c r="K155" s="238" t="str">
        <f t="shared" si="63"/>
        <v>4059/4060</v>
      </c>
      <c r="L155" s="246" t="str">
        <f>VLOOKUP(A155,'Trips&amp;Operators'!$C$1:$G$99911,5,FALSE)</f>
        <v>NICHOLSON WESLEY</v>
      </c>
      <c r="M155" s="225">
        <f t="shared" si="64"/>
        <v>2.7476851850224193E-2</v>
      </c>
      <c r="N155" s="226">
        <f t="shared" si="62"/>
        <v>39.566666664322838</v>
      </c>
      <c r="O155" s="226"/>
      <c r="P155" s="226"/>
      <c r="Q155" s="229"/>
      <c r="R155" s="243"/>
      <c r="S155" s="250">
        <f t="shared" si="61"/>
        <v>1</v>
      </c>
      <c r="T155" s="243" t="str">
        <f t="shared" si="65"/>
        <v>Southbound</v>
      </c>
      <c r="U155" s="247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49" t="str">
        <f t="shared" si="66"/>
        <v>https://d0f6bd738d7f1b3e5a7ca70fe4ff75f0.us-east-1.aws.found.io/app/kibana#/discover/Steve-Slow-Train-Analysis-(2080s-and-2083s)?_g=(refreshInterval:(display:Off,pause:!f,section:0,value:0),time:(from:'2017-11-28T23:49:53-0700',mode:absolute,to:'2017-11-29T02:37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55" s="248" t="str">
        <f>IF(AA155&lt;VLOOKUP(AG155,Variables!$AC$3:$AD$8,2,FALSE),"Y","N")</f>
        <v>N</v>
      </c>
      <c r="X155" s="248">
        <f t="shared" si="67"/>
        <v>1</v>
      </c>
      <c r="Y155" s="248">
        <f t="shared" si="60"/>
        <v>23.2879</v>
      </c>
      <c r="Z155" s="248">
        <f t="shared" si="59"/>
        <v>2.23E-2</v>
      </c>
      <c r="AA155" s="248">
        <f t="shared" si="68"/>
        <v>23.265599999999999</v>
      </c>
      <c r="AB155" s="234" t="e">
        <f>VLOOKUP(A155,Enforcements!$C$7:$K$9,8,0)</f>
        <v>#N/A</v>
      </c>
      <c r="AC155" s="233" t="e">
        <f>VLOOKUP(A155,Enforcements!$C$7:$E$9,3,0)</f>
        <v>#N/A</v>
      </c>
      <c r="AD155" s="244">
        <f t="shared" si="69"/>
        <v>242</v>
      </c>
      <c r="AE155" s="236" t="str">
        <f t="shared" si="70"/>
        <v>aws s3 cp s3://rtdc.mdm.uploadarchive.raw/RTDC4059/ "%USERPROFILE%\AppData\Local\Temp\OnboardLogs"\RTDC4059\2017-11-29 --exclude "*" --recursive --include "*20171129*" &amp; "%USERPROFILE%\Documents\GitHub\mrs-test-scripts\Headless Mode &amp; Sideloading\WalkAndUnGZ.bat" "%USERPROFILE%\AppData\Local\Temp\OnboardLogs"\RTDC4059\2017-11-29 &amp; aws s3 cp s3://rtdc.mdm.uploadarchive.raw/RTDC4059/ "%USERPROFILE%\AppData\Local\Temp\OnboardLogs"\RTDC4059\2017-11-30 --exclude "*" --recursive --include "*20171130*" &amp; "%USERPROFILE%\Documents\GitHub\mrs-test-scripts\Headless Mode &amp; Sideloading\WalkAndUnGZ.bat" "%USERPROFILE%\AppData\Local\Temp\OnboardLogs"\RTDC4059\2017-11-30</v>
      </c>
      <c r="AF155" s="235" t="str">
        <f t="shared" si="71"/>
        <v>"C:\Program Files (x86)\AstroGrep\AstroGrep.exe" /e /r /s /spath="%USERPROFILE%\AppData\Local\Temp\OnboardLogs" /stypes="app*4059*20171129*" /stext=" 08:.+((SYSTEM_STATE.+slice.+state.+changed )|(ment ac)|(multiple cpu faults)|(system.+state.+changed )|(\[timeout)|(PRM\|1\|D)|(kpr)|(kdp)|(train st.+moving)|(\|lc)|(penalty))"</v>
      </c>
      <c r="AG155" s="245" t="str">
        <f t="shared" si="72"/>
        <v>EC</v>
      </c>
      <c r="AH155" s="237" t="str">
        <f t="shared" si="73"/>
        <v>"%USERPROFILE%\Documents\GitHub\eaglep3\Utilities\RefineRTDCRunTimes.py" --tripid 242-28 --locoid 4059 --swversion DE.1.0.9.0 --startMP 204:232879 --initTime 2017-11-29T00:49:53 --startdatetime 2017-11-29T00:57:37 --delay 78 --endMP 204:223 --enddatetime 2017-11-29T01:37:11 --enforcementcount 0 &gt;&gt;%USERPROFILE%\Documents\GitHub\eaglep3-reporting\EC\2017-11-28-refined-times.txt</v>
      </c>
      <c r="AI155" s="239" t="str">
        <f t="shared" si="74"/>
        <v>echo {"issue":{"subject":"","project_id":79,"tracker_id":40,"status_id":1,"priority_id":2,"assigned_to_id":338,"start_date":"2017-11-29","description":"","custom_fields":[{"id":1,"name":"Subdivision","value":"EC"},{"id":4,"name":"Milepost","value":"0.0223"},{"id":17,"name":"Train ID","value":"242-28"},{"id":16,"name":"Locomotive ID","value":"4059"},{"id":130,"name":"Impact","value":""},{"id":150,"name":"Time of Event (Mountain Time)","value":"01:37:11"},{"id":151,"name":"Denver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5" s="224"/>
      <c r="AK155" s="232"/>
      <c r="AL155" s="232"/>
      <c r="AM155" s="241" t="str">
        <f t="shared" si="75"/>
        <v>start /low /b %USERPROFILE%\Documents\GitHub\eaglep3\Utilities\DownloadLogsFromS3.py --loco 4059 --day 2017-11-29</v>
      </c>
      <c r="AN155" s="242" t="str">
        <f t="shared" si="76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08:37:11"},{"id":29,"name":"Sharepoint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231" t="str">
        <f t="shared" si="77"/>
        <v>https://d0f6bd738d7f1b3e5a7ca70fe4ff75f0.us-east-1.aws.found.io/app/kibana#/discover/Steve-Slow-Train-Analysis-(2080s-and-2083s)?_g=(refreshInterval:(display:Off,pause:!f,section:0,value:0),time:(from:'2017-11-28T23:49:53-0700',mode:absolute,to:'2017-11-29T02:37:11-0700'))&amp;_a=(columns:!('Message%20ID',Summary),filters:!(),index:'emp_*',interval:auto,query:(query_string:(analyze_wildcard:!t,query:'%22rtdc.l.rtdc.4059%22')),sort:!(Time.ISO8601,asc))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230" t="s">
        <v>880</v>
      </c>
      <c r="B156" s="226">
        <v>4056</v>
      </c>
      <c r="C156" s="228" t="s">
        <v>192</v>
      </c>
      <c r="D156" s="228" t="s">
        <v>600</v>
      </c>
      <c r="E156" s="227">
        <v>43068.009895833333</v>
      </c>
      <c r="F156" s="227">
        <v>43068.021226851852</v>
      </c>
      <c r="G156" s="226">
        <v>50</v>
      </c>
      <c r="H156" s="228" t="s">
        <v>956</v>
      </c>
      <c r="I156" s="227">
        <v>43068.047002314815</v>
      </c>
      <c r="J156" s="226">
        <v>0</v>
      </c>
      <c r="K156" s="238" t="str">
        <f t="shared" si="63"/>
        <v>4055/4056</v>
      </c>
      <c r="L156" s="246" t="str">
        <f>VLOOKUP(A156,'Trips&amp;Operators'!$C$1:$G$99911,5,FALSE)</f>
        <v>ANDERS STEVEN</v>
      </c>
      <c r="M156" s="225">
        <f t="shared" si="64"/>
        <v>2.5775462963792961E-2</v>
      </c>
      <c r="N156" s="226">
        <f t="shared" si="62"/>
        <v>37.116666667861864</v>
      </c>
      <c r="O156" s="226"/>
      <c r="P156" s="226"/>
      <c r="Q156" s="229"/>
      <c r="R156" s="243"/>
      <c r="S156" s="250">
        <f t="shared" si="61"/>
        <v>1</v>
      </c>
      <c r="T156" s="243" t="str">
        <f t="shared" si="65"/>
        <v>NorthBound</v>
      </c>
      <c r="U156" s="247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49" t="str">
        <f t="shared" si="66"/>
        <v>https://d0f6bd738d7f1b3e5a7ca70fe4ff75f0.us-east-1.aws.found.io/app/kibana#/discover/Steve-Slow-Train-Analysis-(2080s-and-2083s)?_g=(refreshInterval:(display:Off,pause:!f,section:0,value:0),time:(from:'2017-11-28T23:14:15-0700',mode:absolute,to:'2017-11-29T02:07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56" s="248" t="str">
        <f>IF(AA156&lt;VLOOKUP(AG156,Variables!$AC$3:$AD$8,2,FALSE),"Y","N")</f>
        <v>N</v>
      </c>
      <c r="X156" s="248">
        <f t="shared" si="67"/>
        <v>1</v>
      </c>
      <c r="Y156" s="248">
        <f t="shared" si="60"/>
        <v>5.2900000000000003E-2</v>
      </c>
      <c r="Z156" s="248">
        <f t="shared" si="59"/>
        <v>23.322299999999998</v>
      </c>
      <c r="AA156" s="248">
        <f t="shared" si="68"/>
        <v>23.269399999999997</v>
      </c>
      <c r="AB156" s="234" t="e">
        <f>VLOOKUP(A156,Enforcements!$C$7:$K$9,8,0)</f>
        <v>#N/A</v>
      </c>
      <c r="AC156" s="233" t="e">
        <f>VLOOKUP(A156,Enforcements!$C$7:$E$9,3,0)</f>
        <v>#N/A</v>
      </c>
      <c r="AD156" s="244">
        <f t="shared" si="69"/>
        <v>243</v>
      </c>
      <c r="AE156" s="236" t="str">
        <f t="shared" si="70"/>
        <v>aws s3 cp s3://rtdc.mdm.uploadarchive.raw/RTDC4056/ "%USERPROFILE%\AppData\Local\Temp\OnboardLogs"\RTDC4056\2017-11-29 --exclude "*" --recursive --include "*20171129*" &amp; "%USERPROFILE%\Documents\GitHub\mrs-test-scripts\Headless Mode &amp; Sideloading\WalkAndUnGZ.bat" "%USERPROFILE%\AppData\Local\Temp\OnboardLogs"\RTDC4056\2017-11-29 &amp; aws s3 cp s3://rtdc.mdm.uploadarchive.raw/RTDC4056/ "%USERPROFILE%\AppData\Local\Temp\OnboardLogs"\RTDC4056\2017-11-30 --exclude "*" --recursive --include "*20171130*" &amp; "%USERPROFILE%\Documents\GitHub\mrs-test-scripts\Headless Mode &amp; Sideloading\WalkAndUnGZ.bat" "%USERPROFILE%\AppData\Local\Temp\OnboardLogs"\RTDC4056\2017-11-30</v>
      </c>
      <c r="AF156" s="235" t="str">
        <f t="shared" si="71"/>
        <v>"C:\Program Files (x86)\AstroGrep\AstroGrep.exe" /e /r /s /spath="%USERPROFILE%\AppData\Local\Temp\OnboardLogs" /stypes="app*4056*20171129*" /stext=" 08:.+((SYSTEM_STATE.+slice.+state.+changed )|(ment ac)|(multiple cpu faults)|(system.+state.+changed )|(\[timeout)|(PRM\|1\|D)|(kpr)|(kdp)|(train st.+moving)|(\|lc)|(penalty))"</v>
      </c>
      <c r="AG156" s="245" t="str">
        <f t="shared" si="72"/>
        <v>EC</v>
      </c>
      <c r="AH156" s="237" t="str">
        <f t="shared" si="73"/>
        <v>"%USERPROFILE%\Documents\GitHub\eaglep3\Utilities\RefineRTDCRunTimes.py" --tripid 243-28 --locoid 4056 --swversion DE.1.0.9.0 --startMP 204:529 --initTime 2017-11-29T00:14:15 --startdatetime 2017-11-29T00:30:34 --delay 50 --endMP 204:233223 --enddatetime 2017-11-29T01:07:41 --enforcementcount 0 &gt;&gt;%USERPROFILE%\Documents\GitHub\eaglep3-reporting\EC\2017-11-28-refined-times.txt</v>
      </c>
      <c r="AI156" s="239" t="str">
        <f t="shared" si="74"/>
        <v>echo {"issue":{"subject":"","project_id":79,"tracker_id":40,"status_id":1,"priority_id":2,"assigned_to_id":338,"start_date":"2017-11-29","description":"","custom_fields":[{"id":1,"name":"Subdivision","value":"EC"},{"id":4,"name":"Milepost","value":"23.3223"},{"id":17,"name":"Train ID","value":"243-28"},{"id":16,"name":"Locomotive ID","value":"4056"},{"id":130,"name":"Impact","value":""},{"id":150,"name":"Time of Event (Mountain Time)","value":"01:07:41"},{"id":151,"name":"Denver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6" s="224"/>
      <c r="AK156" s="232"/>
      <c r="AL156" s="232"/>
      <c r="AM156" s="241" t="str">
        <f t="shared" si="75"/>
        <v>start /low /b %USERPROFILE%\Documents\GitHub\eaglep3\Utilities\DownloadLogsFromS3.py --loco 4056 --day 2017-11-29</v>
      </c>
      <c r="AN156" s="242" t="str">
        <f t="shared" si="76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08:07:41"},{"id":29,"name":"Sharepoint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231" t="str">
        <f t="shared" si="77"/>
        <v>https://d0f6bd738d7f1b3e5a7ca70fe4ff75f0.us-east-1.aws.found.io/app/kibana#/discover/Steve-Slow-Train-Analysis-(2080s-and-2083s)?_g=(refreshInterval:(display:Off,pause:!f,section:0,value:0),time:(from:'2017-11-28T23:14:15-0700',mode:absolute,to:'2017-11-29T02:07:41-0700'))&amp;_a=(columns:!('Message%20ID',Summary),filters:!(),index:'emp_*',interval:auto,query:(query_string:(analyze_wildcard:!t,query:'%22rtdc.l.rtdc.4056%22')),sort:!(Time.ISO8601,asc))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24" customFormat="1" x14ac:dyDescent="0.25">
      <c r="A157" s="230" t="s">
        <v>884</v>
      </c>
      <c r="B157" s="226">
        <v>4055</v>
      </c>
      <c r="C157" s="228" t="s">
        <v>192</v>
      </c>
      <c r="D157" s="228" t="s">
        <v>464</v>
      </c>
      <c r="E157" s="227">
        <v>43068.058668981481</v>
      </c>
      <c r="F157" s="227">
        <v>43068.060717592591</v>
      </c>
      <c r="G157" s="226">
        <v>70</v>
      </c>
      <c r="H157" s="228" t="s">
        <v>609</v>
      </c>
      <c r="I157" s="227">
        <v>43068.087696759256</v>
      </c>
      <c r="J157" s="226">
        <v>0</v>
      </c>
      <c r="K157" s="238" t="str">
        <f t="shared" si="63"/>
        <v>4055/4056</v>
      </c>
      <c r="L157" s="246" t="str">
        <f>VLOOKUP(A157,'Trips&amp;Operators'!$C$1:$G$99911,5,FALSE)</f>
        <v>ANDERS STEVEN</v>
      </c>
      <c r="M157" s="225">
        <f t="shared" si="64"/>
        <v>2.6979166665114462E-2</v>
      </c>
      <c r="N157" s="226">
        <f t="shared" si="62"/>
        <v>38.849999997764826</v>
      </c>
      <c r="O157" s="226"/>
      <c r="P157" s="226"/>
      <c r="Q157" s="229"/>
      <c r="R157" s="243"/>
      <c r="S157" s="250">
        <f t="shared" si="61"/>
        <v>1</v>
      </c>
      <c r="T157" s="243" t="str">
        <f t="shared" si="65"/>
        <v>Southbound</v>
      </c>
      <c r="U157" s="247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49" t="str">
        <f t="shared" si="66"/>
        <v>https://d0f6bd738d7f1b3e5a7ca70fe4ff75f0.us-east-1.aws.found.io/app/kibana#/discover/Steve-Slow-Train-Analysis-(2080s-and-2083s)?_g=(refreshInterval:(display:Off,pause:!f,section:0,value:0),time:(from:'2017-11-29T00:24:29-0700',mode:absolute,to:'2017-11-29T03:06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57" s="248" t="str">
        <f>IF(AA157&lt;VLOOKUP(AG157,Variables!$AC$3:$AD$8,2,FALSE),"Y","N")</f>
        <v>N</v>
      </c>
      <c r="X157" s="248">
        <f t="shared" si="67"/>
        <v>1</v>
      </c>
      <c r="Y157" s="248">
        <f t="shared" si="60"/>
        <v>23.290400000000002</v>
      </c>
      <c r="Z157" s="248">
        <f t="shared" si="59"/>
        <v>2.63E-2</v>
      </c>
      <c r="AA157" s="248">
        <f t="shared" si="68"/>
        <v>23.264100000000003</v>
      </c>
      <c r="AB157" s="234" t="e">
        <f>VLOOKUP(A157,Enforcements!$C$7:$K$9,8,0)</f>
        <v>#N/A</v>
      </c>
      <c r="AC157" s="233" t="e">
        <f>VLOOKUP(A157,Enforcements!$C$7:$E$9,3,0)</f>
        <v>#N/A</v>
      </c>
      <c r="AD157" s="244">
        <f t="shared" si="69"/>
        <v>244</v>
      </c>
      <c r="AE157" s="236" t="str">
        <f t="shared" si="70"/>
        <v>aws s3 cp s3://rtdc.mdm.uploadarchive.raw/RTDC4055/ "%USERPROFILE%\AppData\Local\Temp\OnboardLogs"\RTDC4055\2017-11-29 --exclude "*" --recursive --include "*20171129*" &amp; "%USERPROFILE%\Documents\GitHub\mrs-test-scripts\Headless Mode &amp; Sideloading\WalkAndUnGZ.bat" "%USERPROFILE%\AppData\Local\Temp\OnboardLogs"\RTDC4055\2017-11-29 &amp; aws s3 cp s3://rtdc.mdm.uploadarchive.raw/RTDC4055/ "%USERPROFILE%\AppData\Local\Temp\OnboardLogs"\RTDC4055\2017-11-30 --exclude "*" --recursive --include "*20171130*" &amp; "%USERPROFILE%\Documents\GitHub\mrs-test-scripts\Headless Mode &amp; Sideloading\WalkAndUnGZ.bat" "%USERPROFILE%\AppData\Local\Temp\OnboardLogs"\RTDC4055\2017-11-30</v>
      </c>
      <c r="AF157" s="235" t="str">
        <f t="shared" si="71"/>
        <v>"C:\Program Files (x86)\AstroGrep\AstroGrep.exe" /e /r /s /spath="%USERPROFILE%\AppData\Local\Temp\OnboardLogs" /stypes="app*4055*20171129*" /stext=" 09:.+((SYSTEM_STATE.+slice.+state.+changed )|(ment ac)|(multiple cpu faults)|(system.+state.+changed )|(\[timeout)|(PRM\|1\|D)|(kpr)|(kdp)|(train st.+moving)|(\|lc)|(penalty))"</v>
      </c>
      <c r="AG157" s="245" t="str">
        <f t="shared" si="72"/>
        <v>EC</v>
      </c>
      <c r="AH157" s="237" t="str">
        <f t="shared" si="73"/>
        <v>"%USERPROFILE%\Documents\GitHub\eaglep3\Utilities\RefineRTDCRunTimes.py" --tripid 244-28 --locoid 4055 --swversion DE.1.0.9.0 --startMP 204:232904 --initTime 2017-11-29T01:24:29 --startdatetime 2017-11-29T01:27:26 --delay 70 --endMP 204:263 --enddatetime 2017-11-29T02:06:17 --enforcementcount 0 &gt;&gt;%USERPROFILE%\Documents\GitHub\eaglep3-reporting\EC\2017-11-28-refined-times.txt</v>
      </c>
      <c r="AI157" s="239" t="str">
        <f t="shared" si="74"/>
        <v>echo {"issue":{"subject":"","project_id":79,"tracker_id":40,"status_id":1,"priority_id":2,"assigned_to_id":338,"start_date":"2017-11-29","description":"","custom_fields":[{"id":1,"name":"Subdivision","value":"EC"},{"id":4,"name":"Milepost","value":"0.0263"},{"id":17,"name":"Train ID","value":"244-28"},{"id":16,"name":"Locomotive ID","value":"4055"},{"id":130,"name":"Impact","value":""},{"id":150,"name":"Time of Event (Mountain Time)","value":"02:06:17"},{"id":151,"name":"Denver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7" s="232"/>
      <c r="AL157" s="232"/>
      <c r="AM157" s="241" t="str">
        <f t="shared" si="75"/>
        <v>start /low /b %USERPROFILE%\Documents\GitHub\eaglep3\Utilities\DownloadLogsFromS3.py --loco 4055 --day 2017-11-29</v>
      </c>
      <c r="AN157" s="242" t="str">
        <f t="shared" si="76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09:06:17"},{"id":29,"name":"Sharepoint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231" t="str">
        <f t="shared" si="77"/>
        <v>https://d0f6bd738d7f1b3e5a7ca70fe4ff75f0.us-east-1.aws.found.io/app/kibana#/discover/Steve-Slow-Train-Analysis-(2080s-and-2083s)?_g=(refreshInterval:(display:Off,pause:!f,section:0,value:0),time:(from:'2017-11-29T00:24:29-0700',mode:absolute,to:'2017-11-29T03:06:17-0700'))&amp;_a=(columns:!('Message%20ID',Summary),filters:!(),index:'emp_*',interval:auto,query:(query_string:(analyze_wildcard:!t,query:'%22rtdc.l.rtdc.4055%22')),sort:!(Time.ISO8601,asc))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230" t="s">
        <v>696</v>
      </c>
      <c r="B158" s="226">
        <v>4029</v>
      </c>
      <c r="C158" s="228" t="s">
        <v>192</v>
      </c>
      <c r="D158" s="228" t="s">
        <v>620</v>
      </c>
      <c r="E158" s="227">
        <v>43067.211550925924</v>
      </c>
      <c r="F158" s="227">
        <v>43067.213229166664</v>
      </c>
      <c r="G158" s="226">
        <v>76</v>
      </c>
      <c r="H158" s="228" t="s">
        <v>1016</v>
      </c>
      <c r="I158" s="227">
        <v>43067.226481481484</v>
      </c>
      <c r="J158" s="226">
        <v>0</v>
      </c>
      <c r="K158" s="238" t="str">
        <f t="shared" si="63"/>
        <v>4029/4030</v>
      </c>
      <c r="L158" s="246" t="str">
        <f>VLOOKUP(A158,'Trips&amp;Operators'!$C$1:$G$99911,5,FALSE)</f>
        <v>DAVIDSON DAVID</v>
      </c>
      <c r="M158" s="225">
        <f t="shared" si="64"/>
        <v>1.3252314820419997E-2</v>
      </c>
      <c r="N158" s="226">
        <f t="shared" si="62"/>
        <v>19.083333341404796</v>
      </c>
      <c r="O158" s="226"/>
      <c r="P158" s="226"/>
      <c r="Q158" s="229"/>
      <c r="R158" s="243"/>
      <c r="S158" s="250">
        <f t="shared" si="61"/>
        <v>1</v>
      </c>
      <c r="T158" s="243" t="str">
        <f t="shared" si="65"/>
        <v>Southbound</v>
      </c>
      <c r="U158" s="247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249" t="str">
        <f t="shared" si="66"/>
        <v>https://d0f6bd738d7f1b3e5a7ca70fe4ff75f0.us-east-1.aws.found.io/app/kibana#/discover/Steve-Slow-Train-Analysis-(2080s-and-2083s)?_g=(refreshInterval:(display:Off,pause:!f,section:0,value:0),time:(from:'2017-11-28T04:04:38-0700',mode:absolute,to:'2017-11-28T06:26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58" s="248" t="str">
        <f>IF(AA158&lt;VLOOKUP(AG158,Variables!$AC$3:$AD$8,2,FALSE),"Y","N")</f>
        <v>N</v>
      </c>
      <c r="X158" s="248">
        <f t="shared" si="67"/>
        <v>556</v>
      </c>
      <c r="Y158" s="248">
        <f t="shared" si="60"/>
        <v>5.8615000000000004</v>
      </c>
      <c r="Z158" s="248">
        <f t="shared" ref="Z158:Z187" si="78">RIGHT(H158,LEN(H158)-4)/10000</f>
        <v>7.6200000000000004E-2</v>
      </c>
      <c r="AA158" s="248">
        <f t="shared" si="68"/>
        <v>5.7853000000000003</v>
      </c>
      <c r="AB158" s="234" t="e">
        <f>VLOOKUP(A158,Enforcements!$C$7:$K$9,8,0)</f>
        <v>#N/A</v>
      </c>
      <c r="AC158" s="233" t="e">
        <f>VLOOKUP(A158,Enforcements!$C$7:$E$9,3,0)</f>
        <v>#N/A</v>
      </c>
      <c r="AD158" s="244">
        <f t="shared" si="69"/>
        <v>800</v>
      </c>
      <c r="AE158" s="236" t="str">
        <f t="shared" si="70"/>
        <v>aws s3 cp s3://rtdc.mdm.uploadarchive.raw/RTDC4029/ "%USERPROFILE%\AppData\Local\Temp\OnboardLogs"\RTDC4029\2017-11-28 --exclude "*" --recursive --include "*20171128*" &amp; "%USERPROFILE%\Documents\GitHub\mrs-test-scripts\Headless Mode &amp; Sideloading\WalkAndUnGZ.bat" "%USERPROFILE%\AppData\Local\Temp\OnboardLogs"\RTDC4029\2017-11-28 &amp; aws s3 cp s3://rtdc.mdm.uploadarchive.raw/RTDC4029/ "%USERPROFILE%\AppData\Local\Temp\OnboardLogs"\RTDC4029\2017-11-29 --exclude "*" --recursive --include "*20171129*" &amp; "%USERPROFILE%\Documents\GitHub\mrs-test-scripts\Headless Mode &amp; Sideloading\WalkAndUnGZ.bat" "%USERPROFILE%\AppData\Local\Temp\OnboardLogs"\RTDC4029\2017-11-29</v>
      </c>
      <c r="AF158" s="235" t="str">
        <f t="shared" si="71"/>
        <v>"C:\Program Files (x86)\AstroGrep\AstroGrep.exe" /e /r /s /spath="%USERPROFILE%\AppData\Local\Temp\OnboardLogs" /stypes="app*4029*20171128*" /stext=" 12:.+((SYSTEM_STATE.+slice.+state.+changed )|(ment ac)|(multiple cpu faults)|(system.+state.+changed )|(\[timeout)|(PRM\|1\|D)|(kpr)|(kdp)|(train st.+moving)|(\|lc)|(penalty))"</v>
      </c>
      <c r="AG158" s="245" t="str">
        <f t="shared" si="72"/>
        <v>NW</v>
      </c>
      <c r="AH158" s="237" t="str">
        <f t="shared" si="73"/>
        <v>"%USERPROFILE%\Documents\GitHub\eaglep3\Utilities\RefineRTDCRunTimes.py" --tripid 800-28 --locoid 4029 --swversion DE.1.0.9.0 --startMP 300:58615 --initTime 2017-11-28T05:04:38 --startdatetime 2017-11-28T05:07:03 --delay 76 --endMP 204:762 --enddatetime 2017-11-28T05:26:08 --enforcementcount 0 &gt;&gt;%USERPROFILE%\Documents\GitHub\eaglep3-reporting\EC\2017-11-28-refined-times.txt</v>
      </c>
      <c r="AI158" s="239" t="str">
        <f t="shared" si="74"/>
        <v>echo {"issue":{"subject":"","project_id":79,"tracker_id":40,"status_id":1,"priority_id":2,"assigned_to_id":338,"start_date":"2017-11-28","description":"","custom_fields":[{"id":1,"name":"Subdivision","value":"NW"},{"id":4,"name":"Milepost","value":"0.0762"},{"id":17,"name":"Train ID","value":"800-28"},{"id":16,"name":"Locomotive ID","value":"4029"},{"id":130,"name":"Impact","value":""},{"id":150,"name":"Time of Event (Mountain Time)","value":"05:26:08"},{"id":151,"name":"Denver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8" s="224"/>
      <c r="AK158" s="232"/>
      <c r="AL158" s="232"/>
      <c r="AM158" s="241" t="str">
        <f t="shared" si="75"/>
        <v>start /low /b %USERPROFILE%\Documents\GitHub\eaglep3\Utilities\DownloadLogsFromS3.py --loco 4029 --day 2017-11-28</v>
      </c>
      <c r="AN158" s="242" t="str">
        <f t="shared" si="76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12:26:08"},{"id":29,"name":"Sharepoint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231" t="str">
        <f t="shared" si="77"/>
        <v>https://d0f6bd738d7f1b3e5a7ca70fe4ff75f0.us-east-1.aws.found.io/app/kibana#/discover/Steve-Slow-Train-Analysis-(2080s-and-2083s)?_g=(refreshInterval:(display:Off,pause:!f,section:0,value:0),time:(from:'2017-11-28T04:04:38-0700',mode:absolute,to:'2017-11-28T06:26:08-0700'))&amp;_a=(columns:!('Message%20ID',Summary),filters:!(),index:'emp_*',interval:auto,query:(query_string:(analyze_wildcard:!t,query:'%22rtdc.l.rtdc.4029%22')),sort:!(Time.ISO8601,asc))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230" t="s">
        <v>701</v>
      </c>
      <c r="B159" s="226">
        <v>4030</v>
      </c>
      <c r="C159" s="228" t="s">
        <v>192</v>
      </c>
      <c r="D159" s="228" t="s">
        <v>1017</v>
      </c>
      <c r="E159" s="227">
        <v>43067.227812500001</v>
      </c>
      <c r="F159" s="227">
        <v>43067.235914351855</v>
      </c>
      <c r="G159" s="226">
        <v>63</v>
      </c>
      <c r="H159" s="228" t="s">
        <v>1018</v>
      </c>
      <c r="I159" s="227">
        <v>43067.245567129627</v>
      </c>
      <c r="J159" s="226">
        <v>0</v>
      </c>
      <c r="K159" s="238" t="str">
        <f t="shared" si="63"/>
        <v>4029/4030</v>
      </c>
      <c r="L159" s="246" t="str">
        <f>VLOOKUP(A159,'Trips&amp;Operators'!$C$1:$G$99911,5,FALSE)</f>
        <v>DAVIDSON DAVID</v>
      </c>
      <c r="M159" s="225">
        <f t="shared" si="64"/>
        <v>9.6527777714072727E-3</v>
      </c>
      <c r="N159" s="226">
        <f t="shared" si="62"/>
        <v>13.899999990826473</v>
      </c>
      <c r="O159" s="226"/>
      <c r="P159" s="226"/>
      <c r="Q159" s="229"/>
      <c r="R159" s="243"/>
      <c r="S159" s="250">
        <f t="shared" si="61"/>
        <v>1</v>
      </c>
      <c r="T159" s="243" t="str">
        <f t="shared" si="65"/>
        <v>NorthBound</v>
      </c>
      <c r="U159" s="247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249" t="str">
        <f t="shared" si="66"/>
        <v>https://d0f6bd738d7f1b3e5a7ca70fe4ff75f0.us-east-1.aws.found.io/app/kibana#/discover/Steve-Slow-Train-Analysis-(2080s-and-2083s)?_g=(refreshInterval:(display:Off,pause:!f,section:0,value:0),time:(from:'2017-11-28T04:28:03-0700',mode:absolute,to:'2017-11-28T06:53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59" s="248" t="str">
        <f>IF(AA159&lt;VLOOKUP(AG159,Variables!$AC$3:$AD$8,2,FALSE),"Y","N")</f>
        <v>N</v>
      </c>
      <c r="X159" s="248">
        <f t="shared" si="67"/>
        <v>1</v>
      </c>
      <c r="Y159" s="248">
        <f t="shared" si="60"/>
        <v>0.1069</v>
      </c>
      <c r="Z159" s="248">
        <f t="shared" si="78"/>
        <v>5.8944000000000001</v>
      </c>
      <c r="AA159" s="248">
        <f t="shared" si="68"/>
        <v>5.7874999999999996</v>
      </c>
      <c r="AB159" s="234" t="e">
        <f>VLOOKUP(A159,Enforcements!$C$7:$K$9,8,0)</f>
        <v>#N/A</v>
      </c>
      <c r="AC159" s="233" t="e">
        <f>VLOOKUP(A159,Enforcements!$C$7:$E$9,3,0)</f>
        <v>#N/A</v>
      </c>
      <c r="AD159" s="244">
        <f t="shared" si="69"/>
        <v>801</v>
      </c>
      <c r="AE159" s="236" t="str">
        <f t="shared" si="70"/>
        <v>aws s3 cp s3://rtdc.mdm.uploadarchive.raw/RTDC4030/ "%USERPROFILE%\AppData\Local\Temp\OnboardLogs"\RTDC4030\2017-11-28 --exclude "*" --recursive --include "*20171128*" &amp; "%USERPROFILE%\Documents\GitHub\mrs-test-scripts\Headless Mode &amp; Sideloading\WalkAndUnGZ.bat" "%USERPROFILE%\AppData\Local\Temp\OnboardLogs"\RTDC4030\2017-11-28 &amp; aws s3 cp s3://rtdc.mdm.uploadarchive.raw/RTDC4030/ "%USERPROFILE%\AppData\Local\Temp\OnboardLogs"\RTDC4030\2017-11-29 --exclude "*" --recursive --include "*20171129*" &amp; "%USERPROFILE%\Documents\GitHub\mrs-test-scripts\Headless Mode &amp; Sideloading\WalkAndUnGZ.bat" "%USERPROFILE%\AppData\Local\Temp\OnboardLogs"\RTDC4030\2017-11-29</v>
      </c>
      <c r="AF159" s="235" t="str">
        <f t="shared" si="71"/>
        <v>"C:\Program Files (x86)\AstroGrep\AstroGrep.exe" /e /r /s /spath="%USERPROFILE%\AppData\Local\Temp\OnboardLogs" /stypes="app*4030*20171128*" /stext=" 12:.+((SYSTEM_STATE.+slice.+state.+changed )|(ment ac)|(multiple cpu faults)|(system.+state.+changed )|(\[timeout)|(PRM\|1\|D)|(kpr)|(kdp)|(train st.+moving)|(\|lc)|(penalty))"</v>
      </c>
      <c r="AG159" s="245" t="str">
        <f t="shared" si="72"/>
        <v>NW</v>
      </c>
      <c r="AH159" s="237" t="str">
        <f t="shared" si="73"/>
        <v>"%USERPROFILE%\Documents\GitHub\eaglep3\Utilities\RefineRTDCRunTimes.py" --tripid 801-28 --locoid 4030 --swversion DE.1.0.9.0 --startMP 204:1069 --initTime 2017-11-28T05:28:03 --startdatetime 2017-11-28T05:39:43 --delay 63 --endMP 300:58944 --enddatetime 2017-11-28T05:53:37 --enforcementcount 0 &gt;&gt;%USERPROFILE%\Documents\GitHub\eaglep3-reporting\EC\2017-11-28-refined-times.txt</v>
      </c>
      <c r="AI159" s="239" t="str">
        <f t="shared" si="74"/>
        <v>echo {"issue":{"subject":"","project_id":79,"tracker_id":40,"status_id":1,"priority_id":2,"assigned_to_id":338,"start_date":"2017-11-28","description":"","custom_fields":[{"id":1,"name":"Subdivision","value":"NW"},{"id":4,"name":"Milepost","value":"5.8944"},{"id":17,"name":"Train ID","value":"801-28"},{"id":16,"name":"Locomotive ID","value":"4030"},{"id":130,"name":"Impact","value":""},{"id":150,"name":"Time of Event (Mountain Time)","value":"05:53:37"},{"id":151,"name":"Denver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9" s="224"/>
      <c r="AK159" s="232"/>
      <c r="AL159" s="232"/>
      <c r="AM159" s="241" t="str">
        <f t="shared" si="75"/>
        <v>start /low /b %USERPROFILE%\Documents\GitHub\eaglep3\Utilities\DownloadLogsFromS3.py --loco 4030 --day 2017-11-28</v>
      </c>
      <c r="AN159" s="242" t="str">
        <f t="shared" si="76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12:53:37"},{"id":29,"name":"Sharepoint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231" t="str">
        <f t="shared" si="77"/>
        <v>https://d0f6bd738d7f1b3e5a7ca70fe4ff75f0.us-east-1.aws.found.io/app/kibana#/discover/Steve-Slow-Train-Analysis-(2080s-and-2083s)?_g=(refreshInterval:(display:Off,pause:!f,section:0,value:0),time:(from:'2017-11-28T04:28:03-0700',mode:absolute,to:'2017-11-28T06:53:37-0700'))&amp;_a=(columns:!('Message%20ID',Summary),filters:!(),index:'emp_*',interval:auto,query:(query_string:(analyze_wildcard:!t,query:'%22rtdc.l.rtdc.4030%22')),sort:!(Time.ISO8601,asc))</v>
      </c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25">
      <c r="A160" s="230" t="s">
        <v>707</v>
      </c>
      <c r="B160" s="226">
        <v>4029</v>
      </c>
      <c r="C160" s="228" t="s">
        <v>192</v>
      </c>
      <c r="D160" s="228" t="s">
        <v>1019</v>
      </c>
      <c r="E160" s="227">
        <v>43067.246712962966</v>
      </c>
      <c r="F160" s="227">
        <v>43067.259027777778</v>
      </c>
      <c r="G160" s="226">
        <v>56</v>
      </c>
      <c r="H160" s="228" t="s">
        <v>1020</v>
      </c>
      <c r="I160" s="227">
        <v>43067.267835648148</v>
      </c>
      <c r="J160" s="226">
        <v>0</v>
      </c>
      <c r="K160" s="238" t="str">
        <f t="shared" si="63"/>
        <v>4029/4030</v>
      </c>
      <c r="L160" s="246" t="str">
        <f>VLOOKUP(A160,'Trips&amp;Operators'!$C$1:$G$99911,5,FALSE)</f>
        <v>DAVIDSON DAVID</v>
      </c>
      <c r="M160" s="225">
        <f t="shared" si="64"/>
        <v>8.8078703702194616E-3</v>
      </c>
      <c r="N160" s="226">
        <f t="shared" si="62"/>
        <v>12.683333333116025</v>
      </c>
      <c r="O160" s="226"/>
      <c r="P160" s="226"/>
      <c r="Q160" s="229"/>
      <c r="R160" s="243"/>
      <c r="S160" s="250">
        <f t="shared" si="61"/>
        <v>1</v>
      </c>
      <c r="T160" s="243" t="str">
        <f t="shared" si="65"/>
        <v>Southbound</v>
      </c>
      <c r="U160" s="247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249" t="str">
        <f t="shared" si="66"/>
        <v>https://d0f6bd738d7f1b3e5a7ca70fe4ff75f0.us-east-1.aws.found.io/app/kibana#/discover/Steve-Slow-Train-Analysis-(2080s-and-2083s)?_g=(refreshInterval:(display:Off,pause:!f,section:0,value:0),time:(from:'2017-11-28T04:55:16-0700',mode:absolute,to:'2017-11-28T07:25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60" s="248" t="str">
        <f>IF(AA160&lt;VLOOKUP(AG160,Variables!$AC$3:$AD$8,2,FALSE),"Y","N")</f>
        <v>N</v>
      </c>
      <c r="X160" s="248">
        <f t="shared" si="67"/>
        <v>1</v>
      </c>
      <c r="Y160" s="248">
        <f t="shared" si="60"/>
        <v>5.8623000000000003</v>
      </c>
      <c r="Z160" s="248">
        <f t="shared" si="78"/>
        <v>7.4800000000000005E-2</v>
      </c>
      <c r="AA160" s="248">
        <f t="shared" si="68"/>
        <v>5.7875000000000005</v>
      </c>
      <c r="AB160" s="234" t="e">
        <f>VLOOKUP(A160,Enforcements!$C$7:$K$9,8,0)</f>
        <v>#N/A</v>
      </c>
      <c r="AC160" s="233" t="e">
        <f>VLOOKUP(A160,Enforcements!$C$7:$E$9,3,0)</f>
        <v>#N/A</v>
      </c>
      <c r="AD160" s="244">
        <f t="shared" si="69"/>
        <v>802</v>
      </c>
      <c r="AE160" s="236" t="str">
        <f t="shared" si="70"/>
        <v>aws s3 cp s3://rtdc.mdm.uploadarchive.raw/RTDC4029/ "%USERPROFILE%\AppData\Local\Temp\OnboardLogs"\RTDC4029\2017-11-28 --exclude "*" --recursive --include "*20171128*" &amp; "%USERPROFILE%\Documents\GitHub\mrs-test-scripts\Headless Mode &amp; Sideloading\WalkAndUnGZ.bat" "%USERPROFILE%\AppData\Local\Temp\OnboardLogs"\RTDC4029\2017-11-28 &amp; aws s3 cp s3://rtdc.mdm.uploadarchive.raw/RTDC4029/ "%USERPROFILE%\AppData\Local\Temp\OnboardLogs"\RTDC4029\2017-11-29 --exclude "*" --recursive --include "*20171129*" &amp; "%USERPROFILE%\Documents\GitHub\mrs-test-scripts\Headless Mode &amp; Sideloading\WalkAndUnGZ.bat" "%USERPROFILE%\AppData\Local\Temp\OnboardLogs"\RTDC4029\2017-11-29</v>
      </c>
      <c r="AF160" s="235" t="str">
        <f t="shared" si="71"/>
        <v>"C:\Program Files (x86)\AstroGrep\AstroGrep.exe" /e /r /s /spath="%USERPROFILE%\AppData\Local\Temp\OnboardLogs" /stypes="app*4029*20171128*" /stext=" 13:.+((SYSTEM_STATE.+slice.+state.+changed )|(ment ac)|(multiple cpu faults)|(system.+state.+changed )|(\[timeout)|(PRM\|1\|D)|(kpr)|(kdp)|(train st.+moving)|(\|lc)|(penalty))"</v>
      </c>
      <c r="AG160" s="245" t="str">
        <f t="shared" si="72"/>
        <v>NW</v>
      </c>
      <c r="AH160" s="237" t="str">
        <f t="shared" si="73"/>
        <v>"%USERPROFILE%\Documents\GitHub\eaglep3\Utilities\RefineRTDCRunTimes.py" --tripid 802-28 --locoid 4029 --swversion DE.1.0.9.0 --startMP 300:58623 --initTime 2017-11-28T05:55:16 --startdatetime 2017-11-28T06:13:00 --delay 56 --endMP 204:748 --enddatetime 2017-11-28T06:25:41 --enforcementcount 0 &gt;&gt;%USERPROFILE%\Documents\GitHub\eaglep3-reporting\EC\2017-11-28-refined-times.txt</v>
      </c>
      <c r="AI160" s="239" t="str">
        <f t="shared" si="74"/>
        <v>echo {"issue":{"subject":"","project_id":79,"tracker_id":40,"status_id":1,"priority_id":2,"assigned_to_id":338,"start_date":"2017-11-28","description":"","custom_fields":[{"id":1,"name":"Subdivision","value":"NW"},{"id":4,"name":"Milepost","value":"0.0748"},{"id":17,"name":"Train ID","value":"802-28"},{"id":16,"name":"Locomotive ID","value":"4029"},{"id":130,"name":"Impact","value":""},{"id":150,"name":"Time of Event (Mountain Time)","value":"06:25:41"},{"id":151,"name":"Denver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0" s="224"/>
      <c r="AK160" s="232"/>
      <c r="AL160" s="232"/>
      <c r="AM160" s="241" t="str">
        <f t="shared" si="75"/>
        <v>start /low /b %USERPROFILE%\Documents\GitHub\eaglep3\Utilities\DownloadLogsFromS3.py --loco 4029 --day 2017-11-28</v>
      </c>
      <c r="AN160" s="242" t="str">
        <f t="shared" si="76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13:25:41"},{"id":29,"name":"Sharepoint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231" t="str">
        <f t="shared" si="77"/>
        <v>https://d0f6bd738d7f1b3e5a7ca70fe4ff75f0.us-east-1.aws.found.io/app/kibana#/discover/Steve-Slow-Train-Analysis-(2080s-and-2083s)?_g=(refreshInterval:(display:Off,pause:!f,section:0,value:0),time:(from:'2017-11-28T04:55:16-0700',mode:absolute,to:'2017-11-28T07:25:41-0700'))&amp;_a=(columns:!('Message%20ID',Summary),filters:!(),index:'emp_*',interval:auto,query:(query_string:(analyze_wildcard:!t,query:'%22rtdc.l.rtdc.4029%22')),sort:!(Time.ISO8601,asc))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25">
      <c r="A161" s="230" t="s">
        <v>636</v>
      </c>
      <c r="B161" s="226">
        <v>4002</v>
      </c>
      <c r="C161" s="228" t="s">
        <v>192</v>
      </c>
      <c r="D161" s="228" t="s">
        <v>1021</v>
      </c>
      <c r="E161" s="227">
        <v>43067.250474537039</v>
      </c>
      <c r="F161" s="227">
        <v>43067.256435185183</v>
      </c>
      <c r="G161" s="226">
        <v>167</v>
      </c>
      <c r="H161" s="228" t="s">
        <v>621</v>
      </c>
      <c r="I161" s="227">
        <v>43067.266701388886</v>
      </c>
      <c r="J161" s="226">
        <v>0</v>
      </c>
      <c r="K161" s="238" t="str">
        <f t="shared" si="63"/>
        <v>4001/4002</v>
      </c>
      <c r="L161" s="246" t="str">
        <f>VLOOKUP(A161,'Trips&amp;Operators'!$C$1:$G$99911,5,FALSE)</f>
        <v>LONG FULLER</v>
      </c>
      <c r="M161" s="225">
        <f t="shared" si="64"/>
        <v>1.0266203702485655E-2</v>
      </c>
      <c r="N161" s="226">
        <f t="shared" si="62"/>
        <v>14.783333331579342</v>
      </c>
      <c r="O161" s="226"/>
      <c r="P161" s="226"/>
      <c r="Q161" s="229"/>
      <c r="R161" s="243"/>
      <c r="S161" s="250">
        <f t="shared" si="61"/>
        <v>1</v>
      </c>
      <c r="T161" s="243" t="str">
        <f t="shared" si="65"/>
        <v>NorthBound</v>
      </c>
      <c r="U161" s="247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249" t="str">
        <f t="shared" si="66"/>
        <v>https://d0f6bd738d7f1b3e5a7ca70fe4ff75f0.us-east-1.aws.found.io/app/kibana#/discover/Steve-Slow-Train-Analysis-(2080s-and-2083s)?_g=(refreshInterval:(display:Off,pause:!f,section:0,value:0),time:(from:'2017-11-28T05:00:41-0700',mode:absolute,to:'2017-11-28T07:24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61" s="248" t="str">
        <f>IF(AA161&lt;VLOOKUP(AG161,Variables!$AC$3:$AD$8,2,FALSE),"Y","N")</f>
        <v>N</v>
      </c>
      <c r="X161" s="248">
        <f t="shared" si="67"/>
        <v>1</v>
      </c>
      <c r="Y161" s="248">
        <f t="shared" si="60"/>
        <v>0.1133</v>
      </c>
      <c r="Z161" s="248">
        <f t="shared" si="78"/>
        <v>5.8939000000000004</v>
      </c>
      <c r="AA161" s="248">
        <f t="shared" si="68"/>
        <v>5.7806000000000006</v>
      </c>
      <c r="AB161" s="234" t="e">
        <f>VLOOKUP(A161,Enforcements!$C$7:$K$9,8,0)</f>
        <v>#N/A</v>
      </c>
      <c r="AC161" s="233" t="e">
        <f>VLOOKUP(A161,Enforcements!$C$7:$E$9,3,0)</f>
        <v>#N/A</v>
      </c>
      <c r="AD161" s="244">
        <f t="shared" si="69"/>
        <v>803</v>
      </c>
      <c r="AE161" s="236" t="str">
        <f t="shared" si="70"/>
        <v>aws s3 cp s3://rtdc.mdm.uploadarchive.raw/RTDC4002/ "%USERPROFILE%\AppData\Local\Temp\OnboardLogs"\RTDC4002\2017-11-28 --exclude "*" --recursive --include "*20171128*" &amp; "%USERPROFILE%\Documents\GitHub\mrs-test-scripts\Headless Mode &amp; Sideloading\WalkAndUnGZ.bat" "%USERPROFILE%\AppData\Local\Temp\OnboardLogs"\RTDC4002\2017-11-28 &amp; aws s3 cp s3://rtdc.mdm.uploadarchive.raw/RTDC4002/ "%USERPROFILE%\AppData\Local\Temp\OnboardLogs"\RTDC4002\2017-11-29 --exclude "*" --recursive --include "*20171129*" &amp; "%USERPROFILE%\Documents\GitHub\mrs-test-scripts\Headless Mode &amp; Sideloading\WalkAndUnGZ.bat" "%USERPROFILE%\AppData\Local\Temp\OnboardLogs"\RTDC4002\2017-11-29</v>
      </c>
      <c r="AF161" s="235" t="str">
        <f t="shared" si="71"/>
        <v>"C:\Program Files (x86)\AstroGrep\AstroGrep.exe" /e /r /s /spath="%USERPROFILE%\AppData\Local\Temp\OnboardLogs" /stypes="app*4002*20171128*" /stext=" 13:.+((SYSTEM_STATE.+slice.+state.+changed )|(ment ac)|(multiple cpu faults)|(system.+state.+changed )|(\[timeout)|(PRM\|1\|D)|(kpr)|(kdp)|(train st.+moving)|(\|lc)|(penalty))"</v>
      </c>
      <c r="AG161" s="245" t="str">
        <f t="shared" si="72"/>
        <v>NW</v>
      </c>
      <c r="AH161" s="237" t="str">
        <f t="shared" si="73"/>
        <v>"%USERPROFILE%\Documents\GitHub\eaglep3\Utilities\RefineRTDCRunTimes.py" --tripid 803-28 --locoid 4002 --swversion DE.1.0.9.0 --startMP 204:1133 --initTime 2017-11-28T06:00:41 --startdatetime 2017-11-28T06:09:16 --delay 167 --endMP 300:58939 --enddatetime 2017-11-28T06:24:03 --enforcementcount 0 &gt;&gt;%USERPROFILE%\Documents\GitHub\eaglep3-reporting\EC\2017-11-28-refined-times.txt</v>
      </c>
      <c r="AI161" s="239" t="str">
        <f t="shared" si="74"/>
        <v>echo {"issue":{"subject":"","project_id":79,"tracker_id":40,"status_id":1,"priority_id":2,"assigned_to_id":338,"start_date":"2017-11-28","description":"","custom_fields":[{"id":1,"name":"Subdivision","value":"NW"},{"id":4,"name":"Milepost","value":"5.8939"},{"id":17,"name":"Train ID","value":"803-28"},{"id":16,"name":"Locomotive ID","value":"4002"},{"id":130,"name":"Impact","value":""},{"id":150,"name":"Time of Event (Mountain Time)","value":"06:24:03"},{"id":151,"name":"Denver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1" s="224"/>
      <c r="AK161" s="232"/>
      <c r="AL161" s="232"/>
      <c r="AM161" s="241" t="str">
        <f t="shared" si="75"/>
        <v>start /low /b %USERPROFILE%\Documents\GitHub\eaglep3\Utilities\DownloadLogsFromS3.py --loco 4002 --day 2017-11-28</v>
      </c>
      <c r="AN161" s="242" t="str">
        <f t="shared" si="76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13:24:03"},{"id":29,"name":"Sharepoint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231" t="str">
        <f t="shared" si="77"/>
        <v>https://d0f6bd738d7f1b3e5a7ca70fe4ff75f0.us-east-1.aws.found.io/app/kibana#/discover/Steve-Slow-Train-Analysis-(2080s-and-2083s)?_g=(refreshInterval:(display:Off,pause:!f,section:0,value:0),time:(from:'2017-11-28T05:00:41-0700',mode:absolute,to:'2017-11-28T07:24:03-0700'))&amp;_a=(columns:!('Message%20ID',Summary),filters:!(),index:'emp_*',interval:auto,query:(query_string:(analyze_wildcard:!t,query:'%22rtdc.l.rtdc.4002%22')),sort:!(Time.ISO8601,asc))</v>
      </c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24" customFormat="1" x14ac:dyDescent="0.25">
      <c r="A162" s="230" t="s">
        <v>712</v>
      </c>
      <c r="B162" s="226">
        <v>4001</v>
      </c>
      <c r="C162" s="228" t="s">
        <v>192</v>
      </c>
      <c r="D162" s="228" t="s">
        <v>625</v>
      </c>
      <c r="E162" s="227">
        <v>43067.268425925926</v>
      </c>
      <c r="F162" s="227">
        <v>43067.28125</v>
      </c>
      <c r="G162" s="226">
        <v>59</v>
      </c>
      <c r="H162" s="228" t="s">
        <v>1022</v>
      </c>
      <c r="I162" s="227">
        <v>43067.288715277777</v>
      </c>
      <c r="J162" s="226">
        <v>0</v>
      </c>
      <c r="K162" s="238" t="str">
        <f t="shared" si="63"/>
        <v>4001/4002</v>
      </c>
      <c r="L162" s="246" t="str">
        <f>VLOOKUP(A162,'Trips&amp;Operators'!$C$1:$G$99911,5,FALSE)</f>
        <v>LONG FULLER</v>
      </c>
      <c r="M162" s="225">
        <f t="shared" si="64"/>
        <v>7.4652777766459621E-3</v>
      </c>
      <c r="N162" s="226">
        <f t="shared" si="62"/>
        <v>10.749999998370185</v>
      </c>
      <c r="O162" s="226"/>
      <c r="P162" s="226"/>
      <c r="Q162" s="229"/>
      <c r="R162" s="243"/>
      <c r="S162" s="250">
        <f t="shared" si="61"/>
        <v>1</v>
      </c>
      <c r="T162" s="243" t="str">
        <f t="shared" si="65"/>
        <v>Southbound</v>
      </c>
      <c r="U162" s="247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49" t="str">
        <f t="shared" si="66"/>
        <v>https://d0f6bd738d7f1b3e5a7ca70fe4ff75f0.us-east-1.aws.found.io/app/kibana#/discover/Steve-Slow-Train-Analysis-(2080s-and-2083s)?_g=(refreshInterval:(display:Off,pause:!f,section:0,value:0),time:(from:'2017-11-28T05:26:32-0700',mode:absolute,to:'2017-11-28T07:55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62" s="248" t="str">
        <f>IF(AA162&lt;VLOOKUP(AG162,Variables!$AC$3:$AD$8,2,FALSE),"Y","N")</f>
        <v>N</v>
      </c>
      <c r="X162" s="248">
        <f t="shared" si="67"/>
        <v>1</v>
      </c>
      <c r="Y162" s="248">
        <f t="shared" si="60"/>
        <v>5.8625999999999996</v>
      </c>
      <c r="Z162" s="248">
        <f t="shared" si="78"/>
        <v>8.2900000000000001E-2</v>
      </c>
      <c r="AA162" s="248">
        <f t="shared" si="68"/>
        <v>5.7796999999999992</v>
      </c>
      <c r="AB162" s="234" t="e">
        <f>VLOOKUP(A162,Enforcements!$C$7:$K$9,8,0)</f>
        <v>#N/A</v>
      </c>
      <c r="AC162" s="233" t="e">
        <f>VLOOKUP(A162,Enforcements!$C$7:$E$9,3,0)</f>
        <v>#N/A</v>
      </c>
      <c r="AD162" s="244">
        <f t="shared" si="69"/>
        <v>804</v>
      </c>
      <c r="AE162" s="236" t="str">
        <f t="shared" si="70"/>
        <v>aws s3 cp s3://rtdc.mdm.uploadarchive.raw/RTDC4001/ "%USERPROFILE%\AppData\Local\Temp\OnboardLogs"\RTDC4001\2017-11-28 --exclude "*" --recursive --include "*20171128*" &amp; "%USERPROFILE%\Documents\GitHub\mrs-test-scripts\Headless Mode &amp; Sideloading\WalkAndUnGZ.bat" "%USERPROFILE%\AppData\Local\Temp\OnboardLogs"\RTDC4001\2017-11-28 &amp; aws s3 cp s3://rtdc.mdm.uploadarchive.raw/RTDC4001/ "%USERPROFILE%\AppData\Local\Temp\OnboardLogs"\RTDC4001\2017-11-29 --exclude "*" --recursive --include "*20171129*" &amp; "%USERPROFILE%\Documents\GitHub\mrs-test-scripts\Headless Mode &amp; Sideloading\WalkAndUnGZ.bat" "%USERPROFILE%\AppData\Local\Temp\OnboardLogs"\RTDC4001\2017-11-29</v>
      </c>
      <c r="AF162" s="235" t="str">
        <f t="shared" si="71"/>
        <v>"C:\Program Files (x86)\AstroGrep\AstroGrep.exe" /e /r /s /spath="%USERPROFILE%\AppData\Local\Temp\OnboardLogs" /stypes="app*4001*20171128*" /stext=" 13:.+((SYSTEM_STATE.+slice.+state.+changed )|(ment ac)|(multiple cpu faults)|(system.+state.+changed )|(\[timeout)|(PRM\|1\|D)|(kpr)|(kdp)|(train st.+moving)|(\|lc)|(penalty))"</v>
      </c>
      <c r="AG162" s="245" t="str">
        <f t="shared" si="72"/>
        <v>NW</v>
      </c>
      <c r="AH162" s="237" t="str">
        <f t="shared" si="73"/>
        <v>"%USERPROFILE%\Documents\GitHub\eaglep3\Utilities\RefineRTDCRunTimes.py" --tripid 804-28 --locoid 4001 --swversion DE.1.0.9.0 --startMP 300:58626 --initTime 2017-11-28T06:26:32 --startdatetime 2017-11-28T06:45:00 --delay 59 --endMP 204:829 --enddatetime 2017-11-28T06:55:45 --enforcementcount 0 &gt;&gt;%USERPROFILE%\Documents\GitHub\eaglep3-reporting\EC\2017-11-28-refined-times.txt</v>
      </c>
      <c r="AI162" s="239" t="str">
        <f t="shared" si="74"/>
        <v>echo {"issue":{"subject":"","project_id":79,"tracker_id":40,"status_id":1,"priority_id":2,"assigned_to_id":338,"start_date":"2017-11-28","description":"","custom_fields":[{"id":1,"name":"Subdivision","value":"NW"},{"id":4,"name":"Milepost","value":"0.0829"},{"id":17,"name":"Train ID","value":"804-28"},{"id":16,"name":"Locomotive ID","value":"4001"},{"id":130,"name":"Impact","value":""},{"id":150,"name":"Time of Event (Mountain Time)","value":"06:55:45"},{"id":151,"name":"Denver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2" s="232"/>
      <c r="AL162" s="232"/>
      <c r="AM162" s="241" t="str">
        <f t="shared" si="75"/>
        <v>start /low /b %USERPROFILE%\Documents\GitHub\eaglep3\Utilities\DownloadLogsFromS3.py --loco 4001 --day 2017-11-28</v>
      </c>
      <c r="AN162" s="242" t="str">
        <f t="shared" si="76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13:55:45"},{"id":29,"name":"Sharepoint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231" t="str">
        <f t="shared" si="77"/>
        <v>https://d0f6bd738d7f1b3e5a7ca70fe4ff75f0.us-east-1.aws.found.io/app/kibana#/discover/Steve-Slow-Train-Analysis-(2080s-and-2083s)?_g=(refreshInterval:(display:Off,pause:!f,section:0,value:0),time:(from:'2017-11-28T05:26:32-0700',mode:absolute,to:'2017-11-28T07:55:45-0700'))&amp;_a=(columns:!('Message%20ID',Summary),filters:!(),index:'emp_*',interval:auto,query:(query_string:(analyze_wildcard:!t,query:'%22rtdc.l.rtdc.4001%22')),sort:!(Time.ISO8601,asc))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24" customFormat="1" x14ac:dyDescent="0.25">
      <c r="A163" s="230" t="s">
        <v>639</v>
      </c>
      <c r="B163" s="226">
        <v>4030</v>
      </c>
      <c r="C163" s="228" t="s">
        <v>192</v>
      </c>
      <c r="D163" s="228" t="s">
        <v>1023</v>
      </c>
      <c r="E163" s="227">
        <v>43067.269537037035</v>
      </c>
      <c r="F163" s="227">
        <v>43067.27988425926</v>
      </c>
      <c r="G163" s="226">
        <v>55</v>
      </c>
      <c r="H163" s="228" t="s">
        <v>1024</v>
      </c>
      <c r="I163" s="227">
        <v>43067.280243055553</v>
      </c>
      <c r="J163" s="226">
        <v>0</v>
      </c>
      <c r="K163" s="238" t="str">
        <f t="shared" si="63"/>
        <v>4029/4030</v>
      </c>
      <c r="L163" s="246" t="str">
        <f>VLOOKUP(A163,'Trips&amp;Operators'!$C$1:$G$99911,5,FALSE)</f>
        <v>DAVIDSON DAVID</v>
      </c>
      <c r="M163" s="225">
        <f t="shared" si="64"/>
        <v>3.5879629285773262E-4</v>
      </c>
      <c r="N163" s="226"/>
      <c r="O163" s="226"/>
      <c r="P163" s="226">
        <f>24*60*SUM($M163:$M163)</f>
        <v>0.51666666171513498</v>
      </c>
      <c r="Q163" s="229"/>
      <c r="R163" s="243" t="s">
        <v>1096</v>
      </c>
      <c r="S163" s="250">
        <f t="shared" si="61"/>
        <v>0</v>
      </c>
      <c r="T163" s="243" t="str">
        <f t="shared" si="65"/>
        <v>NorthBound</v>
      </c>
      <c r="U163" s="247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0</v>
      </c>
      <c r="V163" s="249" t="str">
        <f t="shared" si="66"/>
        <v>https://d0f6bd738d7f1b3e5a7ca70fe4ff75f0.us-east-1.aws.found.io/app/kibana#/discover/Steve-Slow-Train-Analysis-(2080s-and-2083s)?_g=(refreshInterval:(display:Off,pause:!f,section:0,value:0),time:(from:'2017-11-28T05:28:08-0700',mode:absolute,to:'2017-11-28T07:43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63" s="248" t="str">
        <f>IF(AA163&lt;VLOOKUP(AG163,Variables!$AC$3:$AD$8,2,FALSE),"Y","N")</f>
        <v>Y</v>
      </c>
      <c r="X163" s="248">
        <f t="shared" si="67"/>
        <v>1</v>
      </c>
      <c r="Y163" s="248">
        <f t="shared" si="60"/>
        <v>0.10199999999999999</v>
      </c>
      <c r="Z163" s="248">
        <f t="shared" si="78"/>
        <v>0.3579</v>
      </c>
      <c r="AA163" s="248">
        <f t="shared" si="68"/>
        <v>0.25590000000000002</v>
      </c>
      <c r="AB163" s="234" t="e">
        <f>VLOOKUP(A163,Enforcements!$C$7:$K$9,8,0)</f>
        <v>#N/A</v>
      </c>
      <c r="AC163" s="233" t="e">
        <f>VLOOKUP(A163,Enforcements!$C$7:$E$9,3,0)</f>
        <v>#N/A</v>
      </c>
      <c r="AD163" s="244">
        <f t="shared" si="69"/>
        <v>805</v>
      </c>
      <c r="AE163" s="236" t="str">
        <f t="shared" si="70"/>
        <v>aws s3 cp s3://rtdc.mdm.uploadarchive.raw/RTDC4030/ "%USERPROFILE%\AppData\Local\Temp\OnboardLogs"\RTDC4030\2017-11-28 --exclude "*" --recursive --include "*20171128*" &amp; "%USERPROFILE%\Documents\GitHub\mrs-test-scripts\Headless Mode &amp; Sideloading\WalkAndUnGZ.bat" "%USERPROFILE%\AppData\Local\Temp\OnboardLogs"\RTDC4030\2017-11-28 &amp; aws s3 cp s3://rtdc.mdm.uploadarchive.raw/RTDC4030/ "%USERPROFILE%\AppData\Local\Temp\OnboardLogs"\RTDC4030\2017-11-29 --exclude "*" --recursive --include "*20171129*" &amp; "%USERPROFILE%\Documents\GitHub\mrs-test-scripts\Headless Mode &amp; Sideloading\WalkAndUnGZ.bat" "%USERPROFILE%\AppData\Local\Temp\OnboardLogs"\RTDC4030\2017-11-29</v>
      </c>
      <c r="AF163" s="235" t="str">
        <f t="shared" si="71"/>
        <v>"C:\Program Files (x86)\AstroGrep\AstroGrep.exe" /e /r /s /spath="%USERPROFILE%\AppData\Local\Temp\OnboardLogs" /stypes="app*4030*20171128*" /stext=" 13:.+((SYSTEM_STATE.+slice.+state.+changed )|(ment ac)|(multiple cpu faults)|(system.+state.+changed )|(\[timeout)|(PRM\|1\|D)|(kpr)|(kdp)|(train st.+moving)|(\|lc)|(penalty))"</v>
      </c>
      <c r="AG163" s="245" t="str">
        <f t="shared" si="72"/>
        <v>NW</v>
      </c>
      <c r="AH163" s="237" t="str">
        <f t="shared" si="73"/>
        <v>"%USERPROFILE%\Documents\GitHub\eaglep3\Utilities\RefineRTDCRunTimes.py" --tripid 805-28 --locoid 4030 --swversion DE.1.0.9.0 --startMP 204:1020 --initTime 2017-11-28T06:28:08 --startdatetime 2017-11-28T06:43:02 --delay 55 --endMP 204:3579 --enddatetime 2017-11-28T06:43:33 --enforcementcount 0 &gt;&gt;%USERPROFILE%\Documents\GitHub\eaglep3-reporting\EC\2017-11-28-refined-times.txt</v>
      </c>
      <c r="AI163" s="239" t="str">
        <f t="shared" si="74"/>
        <v>echo {"issue":{"subject":"Poor GPS @ DUS","project_id":79,"tracker_id":40,"status_id":1,"priority_id":2,"assigned_to_id":338,"start_date":"2017-11-28","description":"","custom_fields":[{"id":1,"name":"Subdivision","value":"NW"},{"id":4,"name":"Milepost","value":"0.3579"},{"id":17,"name":"Train ID","value":"805-28"},{"id":16,"name":"Locomotive ID","value":"4030"},{"id":130,"name":"Impact","value":""},{"id":150,"name":"Time of Event (Mountain Time)","value":"06:43:33"},{"id":151,"name":"Denver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3" s="232"/>
      <c r="AL163" s="232"/>
      <c r="AM163" s="241" t="str">
        <f t="shared" si="75"/>
        <v>start /low /b %USERPROFILE%\Documents\GitHub\eaglep3\Utilities\DownloadLogsFromS3.py --loco 4030 --day 2017-11-28</v>
      </c>
      <c r="AN163" s="242" t="str">
        <f t="shared" si="76"/>
        <v>echo {"issue":{"subject":"Poor GPS @ DUS","project_id":30,"tracker_id":4,"status_id":1,"priority_id":1,"assigned_to_id":10,"start_date":"2017-11-28","description":"","custom_fields":[{"id":30,"name":"Category","value":"Issue"},{"id":3,"name":"Functional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13:43:33"},{"id":29,"name":"Sharepoint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231" t="str">
        <f t="shared" si="77"/>
        <v>https://d0f6bd738d7f1b3e5a7ca70fe4ff75f0.us-east-1.aws.found.io/app/kibana#/discover/Steve-Slow-Train-Analysis-(2080s-and-2083s)?_g=(refreshInterval:(display:Off,pause:!f,section:0,value:0),time:(from:'2017-11-28T05:28:08-0700',mode:absolute,to:'2017-11-28T07:43:33-0700'))&amp;_a=(columns:!('Message%20ID',Summary),filters:!(),index:'emp_*',interval:auto,query:(query_string:(analyze_wildcard:!t,query:'%22rtdc.l.rtdc.4030%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230" t="s">
        <v>639</v>
      </c>
      <c r="B164" s="226">
        <v>4030</v>
      </c>
      <c r="C164" s="228" t="s">
        <v>192</v>
      </c>
      <c r="D164" s="228" t="s">
        <v>1025</v>
      </c>
      <c r="E164" s="227">
        <v>43067.278738425928</v>
      </c>
      <c r="F164" s="227">
        <v>43067.27988425926</v>
      </c>
      <c r="G164" s="226">
        <v>45</v>
      </c>
      <c r="H164" s="228" t="s">
        <v>1026</v>
      </c>
      <c r="I164" s="227">
        <v>43067.280243055553</v>
      </c>
      <c r="J164" s="226">
        <v>0</v>
      </c>
      <c r="K164" s="238" t="str">
        <f t="shared" si="63"/>
        <v>4029/4030</v>
      </c>
      <c r="L164" s="246" t="str">
        <f>VLOOKUP(A164,'Trips&amp;Operators'!$C$1:$G$99911,5,FALSE)</f>
        <v>DAVIDSON DAVID</v>
      </c>
      <c r="M164" s="225">
        <f t="shared" si="64"/>
        <v>3.5879629285773262E-4</v>
      </c>
      <c r="N164" s="226"/>
      <c r="O164" s="226"/>
      <c r="P164" s="226"/>
      <c r="Q164" s="229"/>
      <c r="R164" s="243"/>
      <c r="S164" s="250"/>
      <c r="T164" s="243" t="str">
        <f t="shared" si="65"/>
        <v>NorthBound</v>
      </c>
      <c r="U164" s="247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0</v>
      </c>
      <c r="V164" s="249" t="str">
        <f t="shared" si="66"/>
        <v>https://d0f6bd738d7f1b3e5a7ca70fe4ff75f0.us-east-1.aws.found.io/app/kibana#/discover/Steve-Slow-Train-Analysis-(2080s-and-2083s)?_g=(refreshInterval:(display:Off,pause:!f,section:0,value:0),time:(from:'2017-11-28T05:41:23-0700',mode:absolute,to:'2017-11-28T07:43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64" s="248" t="str">
        <f>IF(AA164&lt;VLOOKUP(AG164,Variables!$AC$3:$AD$8,2,FALSE),"Y","N")</f>
        <v>Y</v>
      </c>
      <c r="X164" s="248">
        <f t="shared" si="67"/>
        <v>0</v>
      </c>
      <c r="Y164" s="248">
        <f t="shared" si="60"/>
        <v>0.35610000000000003</v>
      </c>
      <c r="Z164" s="248">
        <f t="shared" si="78"/>
        <v>0.45629999999999998</v>
      </c>
      <c r="AA164" s="248">
        <f t="shared" si="68"/>
        <v>0.10019999999999996</v>
      </c>
      <c r="AB164" s="234" t="e">
        <f>VLOOKUP(A164,Enforcements!$C$7:$K$9,8,0)</f>
        <v>#N/A</v>
      </c>
      <c r="AC164" s="233" t="e">
        <f>VLOOKUP(A164,Enforcements!$C$7:$E$9,3,0)</f>
        <v>#N/A</v>
      </c>
      <c r="AD164" s="244">
        <f t="shared" si="69"/>
        <v>805</v>
      </c>
      <c r="AE164" s="236" t="str">
        <f t="shared" si="70"/>
        <v>aws s3 cp s3://rtdc.mdm.uploadarchive.raw/RTDC4030/ "%USERPROFILE%\AppData\Local\Temp\OnboardLogs"\RTDC4030\2017-11-28 --exclude "*" --recursive --include "*20171128*" &amp; "%USERPROFILE%\Documents\GitHub\mrs-test-scripts\Headless Mode &amp; Sideloading\WalkAndUnGZ.bat" "%USERPROFILE%\AppData\Local\Temp\OnboardLogs"\RTDC4030\2017-11-28 &amp; aws s3 cp s3://rtdc.mdm.uploadarchive.raw/RTDC4030/ "%USERPROFILE%\AppData\Local\Temp\OnboardLogs"\RTDC4030\2017-11-29 --exclude "*" --recursive --include "*20171129*" &amp; "%USERPROFILE%\Documents\GitHub\mrs-test-scripts\Headless Mode &amp; Sideloading\WalkAndUnGZ.bat" "%USERPROFILE%\AppData\Local\Temp\OnboardLogs"\RTDC4030\2017-11-29</v>
      </c>
      <c r="AF164" s="235" t="str">
        <f t="shared" si="71"/>
        <v>"C:\Program Files (x86)\AstroGrep\AstroGrep.exe" /e /r /s /spath="%USERPROFILE%\AppData\Local\Temp\OnboardLogs" /stypes="app*4030*20171128*" /stext=" 13:.+((SYSTEM_STATE.+slice.+state.+changed )|(ment ac)|(multiple cpu faults)|(system.+state.+changed )|(\[timeout)|(PRM\|1\|D)|(kpr)|(kdp)|(train st.+moving)|(\|lc)|(penalty))"</v>
      </c>
      <c r="AG164" s="245" t="str">
        <f t="shared" si="72"/>
        <v>NW</v>
      </c>
      <c r="AH164" s="237" t="str">
        <f t="shared" si="73"/>
        <v>"%USERPROFILE%\Documents\GitHub\eaglep3\Utilities\RefineRTDCRunTimes.py" --tripid 805-28 --locoid 4030 --swversion DE.1.0.9.0 --startMP 204:3561 --initTime 2017-11-28T06:41:23 --startdatetime 2017-11-28T06:43:02 --delay 45 --endMP 204:4563 --enddatetime 2017-11-28T06:43:33 --enforcementcount 0 &gt;&gt;%USERPROFILE%\Documents\GitHub\eaglep3-reporting\EC\2017-11-28-refined-times.txt</v>
      </c>
      <c r="AI164" s="239" t="str">
        <f t="shared" si="74"/>
        <v>echo {"issue":{"subject":"","project_id":79,"tracker_id":40,"status_id":1,"priority_id":2,"assigned_to_id":338,"start_date":"2017-11-28","description":"","custom_fields":[{"id":1,"name":"Subdivision","value":"NW"},{"id":4,"name":"Milepost","value":"0.4563"},{"id":17,"name":"Train ID","value":"805-28"},{"id":16,"name":"Locomotive ID","value":"4030"},{"id":130,"name":"Impact","value":""},{"id":150,"name":"Time of Event (Mountain Time)","value":"06:43:33"},{"id":151,"name":"Denver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4" s="224"/>
      <c r="AK164" s="232"/>
      <c r="AL164" s="232"/>
      <c r="AM164" s="241" t="str">
        <f t="shared" si="75"/>
        <v>start /low /b %USERPROFILE%\Documents\GitHub\eaglep3\Utilities\DownloadLogsFromS3.py --loco 4030 --day 2017-11-28</v>
      </c>
      <c r="AN164" s="242" t="str">
        <f t="shared" si="76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13:43:33"},{"id":29,"name":"Sharepoint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231" t="str">
        <f t="shared" si="77"/>
        <v>https://d0f6bd738d7f1b3e5a7ca70fe4ff75f0.us-east-1.aws.found.io/app/kibana#/discover/Steve-Slow-Train-Analysis-(2080s-and-2083s)?_g=(refreshInterval:(display:Off,pause:!f,section:0,value:0),time:(from:'2017-11-28T05:41:23-0700',mode:absolute,to:'2017-11-28T07:43:33-0700'))&amp;_a=(columns:!('Message%20ID',Summary),filters:!(),index:'emp_*',interval:auto,query:(query_string:(analyze_wildcard:!t,query:'%22rtdc.l.rtdc.4030%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230" t="s">
        <v>717</v>
      </c>
      <c r="B165" s="226">
        <v>4029</v>
      </c>
      <c r="C165" s="228" t="s">
        <v>192</v>
      </c>
      <c r="D165" s="228" t="s">
        <v>475</v>
      </c>
      <c r="E165" s="227">
        <v>43067.290127314816</v>
      </c>
      <c r="F165" s="227">
        <v>43067.302083333336</v>
      </c>
      <c r="G165" s="226">
        <v>48</v>
      </c>
      <c r="H165" s="228" t="s">
        <v>1027</v>
      </c>
      <c r="I165" s="227">
        <v>43067.309629629628</v>
      </c>
      <c r="J165" s="226">
        <v>0</v>
      </c>
      <c r="K165" s="238" t="str">
        <f t="shared" si="63"/>
        <v>4029/4030</v>
      </c>
      <c r="L165" s="246" t="str">
        <f>VLOOKUP(A165,'Trips&amp;Operators'!$C$1:$G$99911,5,FALSE)</f>
        <v>DAVIDSON DAVID</v>
      </c>
      <c r="M165" s="225">
        <f t="shared" si="64"/>
        <v>7.546296292275656E-3</v>
      </c>
      <c r="N165" s="226">
        <f t="shared" ref="N165:N186" si="79">24*60*SUM($M165:$M165)</f>
        <v>10.866666660876945</v>
      </c>
      <c r="O165" s="226"/>
      <c r="P165" s="226"/>
      <c r="Q165" s="229"/>
      <c r="R165" s="243"/>
      <c r="S165" s="250">
        <f t="shared" ref="S165:S186" si="80">1/IF(AG165="EC",12,1)*SUM(U165:U165)</f>
        <v>1</v>
      </c>
      <c r="T165" s="243" t="str">
        <f t="shared" si="65"/>
        <v>Southbound</v>
      </c>
      <c r="U165" s="247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49" t="str">
        <f t="shared" si="66"/>
        <v>https://d0f6bd738d7f1b3e5a7ca70fe4ff75f0.us-east-1.aws.found.io/app/kibana#/discover/Steve-Slow-Train-Analysis-(2080s-and-2083s)?_g=(refreshInterval:(display:Off,pause:!f,section:0,value:0),time:(from:'2017-11-28T05:57:47-0700',mode:absolute,to:'2017-11-28T08:25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65" s="248" t="str">
        <f>IF(AA165&lt;VLOOKUP(AG165,Variables!$AC$3:$AD$8,2,FALSE),"Y","N")</f>
        <v>N</v>
      </c>
      <c r="X165" s="248">
        <f t="shared" si="67"/>
        <v>1</v>
      </c>
      <c r="Y165" s="248">
        <f t="shared" si="60"/>
        <v>5.8611000000000004</v>
      </c>
      <c r="Z165" s="248">
        <f t="shared" si="78"/>
        <v>9.1300000000000006E-2</v>
      </c>
      <c r="AA165" s="248">
        <f t="shared" si="68"/>
        <v>5.7698</v>
      </c>
      <c r="AB165" s="234" t="e">
        <f>VLOOKUP(A165,Enforcements!$C$7:$K$9,8,0)</f>
        <v>#N/A</v>
      </c>
      <c r="AC165" s="233" t="e">
        <f>VLOOKUP(A165,Enforcements!$C$7:$E$9,3,0)</f>
        <v>#N/A</v>
      </c>
      <c r="AD165" s="244">
        <f t="shared" si="69"/>
        <v>806</v>
      </c>
      <c r="AE165" s="236" t="str">
        <f t="shared" si="70"/>
        <v>aws s3 cp s3://rtdc.mdm.uploadarchive.raw/RTDC4029/ "%USERPROFILE%\AppData\Local\Temp\OnboardLogs"\RTDC4029\2017-11-28 --exclude "*" --recursive --include "*20171128*" &amp; "%USERPROFILE%\Documents\GitHub\mrs-test-scripts\Headless Mode &amp; Sideloading\WalkAndUnGZ.bat" "%USERPROFILE%\AppData\Local\Temp\OnboardLogs"\RTDC4029\2017-11-28 &amp; aws s3 cp s3://rtdc.mdm.uploadarchive.raw/RTDC4029/ "%USERPROFILE%\AppData\Local\Temp\OnboardLogs"\RTDC4029\2017-11-29 --exclude "*" --recursive --include "*20171129*" &amp; "%USERPROFILE%\Documents\GitHub\mrs-test-scripts\Headless Mode &amp; Sideloading\WalkAndUnGZ.bat" "%USERPROFILE%\AppData\Local\Temp\OnboardLogs"\RTDC4029\2017-11-29</v>
      </c>
      <c r="AF165" s="235" t="str">
        <f t="shared" si="71"/>
        <v>"C:\Program Files (x86)\AstroGrep\AstroGrep.exe" /e /r /s /spath="%USERPROFILE%\AppData\Local\Temp\OnboardLogs" /stypes="app*4029*20171128*" /stext=" 14:.+((SYSTEM_STATE.+slice.+state.+changed )|(ment ac)|(multiple cpu faults)|(system.+state.+changed )|(\[timeout)|(PRM\|1\|D)|(kpr)|(kdp)|(train st.+moving)|(\|lc)|(penalty))"</v>
      </c>
      <c r="AG165" s="245" t="str">
        <f t="shared" si="72"/>
        <v>NW</v>
      </c>
      <c r="AH165" s="237" t="str">
        <f t="shared" si="73"/>
        <v>"%USERPROFILE%\Documents\GitHub\eaglep3\Utilities\RefineRTDCRunTimes.py" --tripid 806-28 --locoid 4029 --swversion DE.1.0.9.0 --startMP 300:58611 --initTime 2017-11-28T06:57:47 --startdatetime 2017-11-28T07:15:00 --delay 48 --endMP 204:913 --enddatetime 2017-11-28T07:25:52 --enforcementcount 0 &gt;&gt;%USERPROFILE%\Documents\GitHub\eaglep3-reporting\EC\2017-11-28-refined-times.txt</v>
      </c>
      <c r="AI165" s="239" t="str">
        <f t="shared" si="74"/>
        <v>echo {"issue":{"subject":"","project_id":79,"tracker_id":40,"status_id":1,"priority_id":2,"assigned_to_id":338,"start_date":"2017-11-28","description":"","custom_fields":[{"id":1,"name":"Subdivision","value":"NW"},{"id":4,"name":"Milepost","value":"0.0913"},{"id":17,"name":"Train ID","value":"806-28"},{"id":16,"name":"Locomotive ID","value":"4029"},{"id":130,"name":"Impact","value":""},{"id":150,"name":"Time of Event (Mountain Time)","value":"07:25:52"},{"id":151,"name":"Denver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5" s="224"/>
      <c r="AK165" s="232"/>
      <c r="AL165" s="232"/>
      <c r="AM165" s="241" t="str">
        <f t="shared" si="75"/>
        <v>start /low /b %USERPROFILE%\Documents\GitHub\eaglep3\Utilities\DownloadLogsFromS3.py --loco 4029 --day 2017-11-28</v>
      </c>
      <c r="AN165" s="242" t="str">
        <f t="shared" si="76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14:25:52"},{"id":29,"name":"Sharepoint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231" t="str">
        <f t="shared" si="77"/>
        <v>https://d0f6bd738d7f1b3e5a7ca70fe4ff75f0.us-east-1.aws.found.io/app/kibana#/discover/Steve-Slow-Train-Analysis-(2080s-and-2083s)?_g=(refreshInterval:(display:Off,pause:!f,section:0,value:0),time:(from:'2017-11-28T05:57:47-0700',mode:absolute,to:'2017-11-28T08:25:52-0700'))&amp;_a=(columns:!('Message%20ID',Summary),filters:!(),index:'emp_*',interval:auto,query:(query_string:(analyze_wildcard:!t,query:'%22rtdc.l.rtdc.4029%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25">
      <c r="A166" s="230" t="s">
        <v>718</v>
      </c>
      <c r="B166" s="226">
        <v>4002</v>
      </c>
      <c r="C166" s="228" t="s">
        <v>192</v>
      </c>
      <c r="D166" s="228" t="s">
        <v>501</v>
      </c>
      <c r="E166" s="227">
        <v>43067.292893518519</v>
      </c>
      <c r="F166" s="227">
        <v>43067.298159722224</v>
      </c>
      <c r="G166" s="226">
        <v>90</v>
      </c>
      <c r="H166" s="228" t="s">
        <v>1028</v>
      </c>
      <c r="I166" s="227">
        <v>43067.309178240743</v>
      </c>
      <c r="J166" s="226">
        <v>0</v>
      </c>
      <c r="K166" s="238" t="str">
        <f t="shared" si="63"/>
        <v>4001/4002</v>
      </c>
      <c r="L166" s="246" t="str">
        <f>VLOOKUP(A166,'Trips&amp;Operators'!$C$1:$G$99911,5,FALSE)</f>
        <v>LONG FULLER</v>
      </c>
      <c r="M166" s="225">
        <f t="shared" si="64"/>
        <v>1.1018518518540077E-2</v>
      </c>
      <c r="N166" s="226">
        <f t="shared" si="79"/>
        <v>15.866666666697711</v>
      </c>
      <c r="O166" s="226"/>
      <c r="P166" s="226"/>
      <c r="Q166" s="229"/>
      <c r="R166" s="243"/>
      <c r="S166" s="250">
        <f t="shared" si="80"/>
        <v>1</v>
      </c>
      <c r="T166" s="243" t="str">
        <f t="shared" si="65"/>
        <v>NorthBound</v>
      </c>
      <c r="U166" s="247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49" t="str">
        <f t="shared" si="66"/>
        <v>https://d0f6bd738d7f1b3e5a7ca70fe4ff75f0.us-east-1.aws.found.io/app/kibana#/discover/Steve-Slow-Train-Analysis-(2080s-and-2083s)?_g=(refreshInterval:(display:Off,pause:!f,section:0,value:0),time:(from:'2017-11-28T06:01:46-0700',mode:absolute,to:'2017-11-28T08:25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66" s="248" t="str">
        <f>IF(AA166&lt;VLOOKUP(AG166,Variables!$AC$3:$AD$8,2,FALSE),"Y","N")</f>
        <v>N</v>
      </c>
      <c r="X166" s="248">
        <f t="shared" si="67"/>
        <v>1</v>
      </c>
      <c r="Y166" s="248">
        <f t="shared" si="60"/>
        <v>0.1125</v>
      </c>
      <c r="Z166" s="248">
        <f t="shared" si="78"/>
        <v>5.8964999999999996</v>
      </c>
      <c r="AA166" s="248">
        <f t="shared" si="68"/>
        <v>5.7839999999999998</v>
      </c>
      <c r="AB166" s="234" t="e">
        <f>VLOOKUP(A166,Enforcements!$C$7:$K$9,8,0)</f>
        <v>#N/A</v>
      </c>
      <c r="AC166" s="233" t="e">
        <f>VLOOKUP(A166,Enforcements!$C$7:$E$9,3,0)</f>
        <v>#N/A</v>
      </c>
      <c r="AD166" s="244">
        <f t="shared" si="69"/>
        <v>807</v>
      </c>
      <c r="AE166" s="236" t="str">
        <f t="shared" si="70"/>
        <v>aws s3 cp s3://rtdc.mdm.uploadarchive.raw/RTDC4002/ "%USERPROFILE%\AppData\Local\Temp\OnboardLogs"\RTDC4002\2017-11-28 --exclude "*" --recursive --include "*20171128*" &amp; "%USERPROFILE%\Documents\GitHub\mrs-test-scripts\Headless Mode &amp; Sideloading\WalkAndUnGZ.bat" "%USERPROFILE%\AppData\Local\Temp\OnboardLogs"\RTDC4002\2017-11-28 &amp; aws s3 cp s3://rtdc.mdm.uploadarchive.raw/RTDC4002/ "%USERPROFILE%\AppData\Local\Temp\OnboardLogs"\RTDC4002\2017-11-29 --exclude "*" --recursive --include "*20171129*" &amp; "%USERPROFILE%\Documents\GitHub\mrs-test-scripts\Headless Mode &amp; Sideloading\WalkAndUnGZ.bat" "%USERPROFILE%\AppData\Local\Temp\OnboardLogs"\RTDC4002\2017-11-29</v>
      </c>
      <c r="AF166" s="235" t="str">
        <f t="shared" si="71"/>
        <v>"C:\Program Files (x86)\AstroGrep\AstroGrep.exe" /e /r /s /spath="%USERPROFILE%\AppData\Local\Temp\OnboardLogs" /stypes="app*4002*20171128*" /stext=" 14:.+((SYSTEM_STATE.+slice.+state.+changed )|(ment ac)|(multiple cpu faults)|(system.+state.+changed )|(\[timeout)|(PRM\|1\|D)|(kpr)|(kdp)|(train st.+moving)|(\|lc)|(penalty))"</v>
      </c>
      <c r="AG166" s="245" t="str">
        <f t="shared" si="72"/>
        <v>NW</v>
      </c>
      <c r="AH166" s="237" t="str">
        <f t="shared" si="73"/>
        <v>"%USERPROFILE%\Documents\GitHub\eaglep3\Utilities\RefineRTDCRunTimes.py" --tripid 807-28 --locoid 4002 --swversion DE.1.0.9.0 --startMP 204:1125 --initTime 2017-11-28T07:01:46 --startdatetime 2017-11-28T07:09:21 --delay 90 --endMP 300:58965 --enddatetime 2017-11-28T07:25:13 --enforcementcount 0 &gt;&gt;%USERPROFILE%\Documents\GitHub\eaglep3-reporting\EC\2017-11-28-refined-times.txt</v>
      </c>
      <c r="AI166" s="239" t="str">
        <f t="shared" si="74"/>
        <v>echo {"issue":{"subject":"","project_id":79,"tracker_id":40,"status_id":1,"priority_id":2,"assigned_to_id":338,"start_date":"2017-11-28","description":"","custom_fields":[{"id":1,"name":"Subdivision","value":"NW"},{"id":4,"name":"Milepost","value":"5.8965"},{"id":17,"name":"Train ID","value":"807-28"},{"id":16,"name":"Locomotive ID","value":"4002"},{"id":130,"name":"Impact","value":""},{"id":150,"name":"Time of Event (Mountain Time)","value":"07:25:13"},{"id":151,"name":"Denver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6" s="224"/>
      <c r="AK166" s="232"/>
      <c r="AL166" s="232"/>
      <c r="AM166" s="241" t="str">
        <f t="shared" si="75"/>
        <v>start /low /b %USERPROFILE%\Documents\GitHub\eaglep3\Utilities\DownloadLogsFromS3.py --loco 4002 --day 2017-11-28</v>
      </c>
      <c r="AN166" s="242" t="str">
        <f t="shared" si="76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14:25:13"},{"id":29,"name":"Sharepoint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231" t="str">
        <f t="shared" si="77"/>
        <v>https://d0f6bd738d7f1b3e5a7ca70fe4ff75f0.us-east-1.aws.found.io/app/kibana#/discover/Steve-Slow-Train-Analysis-(2080s-and-2083s)?_g=(refreshInterval:(display:Off,pause:!f,section:0,value:0),time:(from:'2017-11-28T06:01:46-0700',mode:absolute,to:'2017-11-28T08:25:13-0700'))&amp;_a=(columns:!('Message%20ID',Summary),filters:!(),index:'emp_*',interval:auto,query:(query_string:(analyze_wildcard:!t,query:'%22rtdc.l.rtdc.4002%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25">
      <c r="A167" s="230" t="s">
        <v>722</v>
      </c>
      <c r="B167" s="226">
        <v>4001</v>
      </c>
      <c r="C167" s="228" t="s">
        <v>192</v>
      </c>
      <c r="D167" s="228" t="s">
        <v>1029</v>
      </c>
      <c r="E167" s="227">
        <v>43067.310902777775</v>
      </c>
      <c r="F167" s="227">
        <v>43067.322916666664</v>
      </c>
      <c r="G167" s="226">
        <v>78</v>
      </c>
      <c r="H167" s="228" t="s">
        <v>1030</v>
      </c>
      <c r="I167" s="227">
        <v>43067.330694444441</v>
      </c>
      <c r="J167" s="226">
        <v>0</v>
      </c>
      <c r="K167" s="238" t="str">
        <f t="shared" si="63"/>
        <v>4001/4002</v>
      </c>
      <c r="L167" s="246" t="str">
        <f>VLOOKUP(A167,'Trips&amp;Operators'!$C$1:$G$99911,5,FALSE)</f>
        <v>LONG FULLER</v>
      </c>
      <c r="M167" s="225">
        <f t="shared" si="64"/>
        <v>7.7777777769370005E-3</v>
      </c>
      <c r="N167" s="226">
        <f t="shared" si="79"/>
        <v>11.199999998789281</v>
      </c>
      <c r="O167" s="226"/>
      <c r="P167" s="226"/>
      <c r="Q167" s="229"/>
      <c r="R167" s="243"/>
      <c r="S167" s="250">
        <f t="shared" si="80"/>
        <v>1</v>
      </c>
      <c r="T167" s="243" t="str">
        <f t="shared" si="65"/>
        <v>Southbound</v>
      </c>
      <c r="U167" s="247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49" t="str">
        <f t="shared" si="66"/>
        <v>https://d0f6bd738d7f1b3e5a7ca70fe4ff75f0.us-east-1.aws.found.io/app/kibana#/discover/Steve-Slow-Train-Analysis-(2080s-and-2083s)?_g=(refreshInterval:(display:Off,pause:!f,section:0,value:0),time:(from:'2017-11-28T06:27:42-0700',mode:absolute,to:'2017-11-28T08:56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67" s="248" t="str">
        <f>IF(AA167&lt;VLOOKUP(AG167,Variables!$AC$3:$AD$8,2,FALSE),"Y","N")</f>
        <v>N</v>
      </c>
      <c r="X167" s="248">
        <f t="shared" si="67"/>
        <v>1</v>
      </c>
      <c r="Y167" s="248">
        <f t="shared" ref="Y167:Y187" si="81">RIGHT(D167,LEN(D167)-4)/10000</f>
        <v>5.8638000000000003</v>
      </c>
      <c r="Z167" s="248">
        <f t="shared" si="78"/>
        <v>8.0100000000000005E-2</v>
      </c>
      <c r="AA167" s="248">
        <f t="shared" si="68"/>
        <v>5.7837000000000005</v>
      </c>
      <c r="AB167" s="234" t="e">
        <f>VLOOKUP(A167,Enforcements!$C$7:$K$9,8,0)</f>
        <v>#N/A</v>
      </c>
      <c r="AC167" s="233" t="e">
        <f>VLOOKUP(A167,Enforcements!$C$7:$E$9,3,0)</f>
        <v>#N/A</v>
      </c>
      <c r="AD167" s="244">
        <f t="shared" si="69"/>
        <v>808</v>
      </c>
      <c r="AE167" s="236" t="str">
        <f t="shared" si="70"/>
        <v>aws s3 cp s3://rtdc.mdm.uploadarchive.raw/RTDC4001/ "%USERPROFILE%\AppData\Local\Temp\OnboardLogs"\RTDC4001\2017-11-28 --exclude "*" --recursive --include "*20171128*" &amp; "%USERPROFILE%\Documents\GitHub\mrs-test-scripts\Headless Mode &amp; Sideloading\WalkAndUnGZ.bat" "%USERPROFILE%\AppData\Local\Temp\OnboardLogs"\RTDC4001\2017-11-28 &amp; aws s3 cp s3://rtdc.mdm.uploadarchive.raw/RTDC4001/ "%USERPROFILE%\AppData\Local\Temp\OnboardLogs"\RTDC4001\2017-11-29 --exclude "*" --recursive --include "*20171129*" &amp; "%USERPROFILE%\Documents\GitHub\mrs-test-scripts\Headless Mode &amp; Sideloading\WalkAndUnGZ.bat" "%USERPROFILE%\AppData\Local\Temp\OnboardLogs"\RTDC4001\2017-11-29</v>
      </c>
      <c r="AF167" s="235" t="str">
        <f t="shared" si="71"/>
        <v>"C:\Program Files (x86)\AstroGrep\AstroGrep.exe" /e /r /s /spath="%USERPROFILE%\AppData\Local\Temp\OnboardLogs" /stypes="app*4001*20171128*" /stext=" 14:.+((SYSTEM_STATE.+slice.+state.+changed )|(ment ac)|(multiple cpu faults)|(system.+state.+changed )|(\[timeout)|(PRM\|1\|D)|(kpr)|(kdp)|(train st.+moving)|(\|lc)|(penalty))"</v>
      </c>
      <c r="AG167" s="245" t="str">
        <f t="shared" si="72"/>
        <v>NW</v>
      </c>
      <c r="AH167" s="237" t="str">
        <f t="shared" si="73"/>
        <v>"%USERPROFILE%\Documents\GitHub\eaglep3\Utilities\RefineRTDCRunTimes.py" --tripid 808-28 --locoid 4001 --swversion DE.1.0.9.0 --startMP 300:58638 --initTime 2017-11-28T07:27:42 --startdatetime 2017-11-28T07:45:00 --delay 78 --endMP 204:801 --enddatetime 2017-11-28T07:56:12 --enforcementcount 0 &gt;&gt;%USERPROFILE%\Documents\GitHub\eaglep3-reporting\EC\2017-11-28-refined-times.txt</v>
      </c>
      <c r="AI167" s="239" t="str">
        <f t="shared" si="74"/>
        <v>echo {"issue":{"subject":"","project_id":79,"tracker_id":40,"status_id":1,"priority_id":2,"assigned_to_id":338,"start_date":"2017-11-28","description":"","custom_fields":[{"id":1,"name":"Subdivision","value":"NW"},{"id":4,"name":"Milepost","value":"0.0801"},{"id":17,"name":"Train ID","value":"808-28"},{"id":16,"name":"Locomotive ID","value":"4001"},{"id":130,"name":"Impact","value":""},{"id":150,"name":"Time of Event (Mountain Time)","value":"07:56:12"},{"id":151,"name":"Denver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7" s="224"/>
      <c r="AK167" s="232"/>
      <c r="AL167" s="232"/>
      <c r="AM167" s="241" t="str">
        <f t="shared" si="75"/>
        <v>start /low /b %USERPROFILE%\Documents\GitHub\eaglep3\Utilities\DownloadLogsFromS3.py --loco 4001 --day 2017-11-28</v>
      </c>
      <c r="AN167" s="242" t="str">
        <f t="shared" si="76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14:56:12"},{"id":29,"name":"Sharepoint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231" t="str">
        <f t="shared" si="77"/>
        <v>https://d0f6bd738d7f1b3e5a7ca70fe4ff75f0.us-east-1.aws.found.io/app/kibana#/discover/Steve-Slow-Train-Analysis-(2080s-and-2083s)?_g=(refreshInterval:(display:Off,pause:!f,section:0,value:0),time:(from:'2017-11-28T06:27:42-0700',mode:absolute,to:'2017-11-28T08:56:12-0700'))&amp;_a=(columns:!('Message%20ID',Summary),filters:!(),index:'emp_*',interval:auto,query:(query_string:(analyze_wildcard:!t,query:'%22rtdc.l.rtdc.4001%22')),sort:!(Time.ISO8601,asc))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230" t="s">
        <v>723</v>
      </c>
      <c r="B168" s="226">
        <v>4036</v>
      </c>
      <c r="C168" s="228" t="s">
        <v>192</v>
      </c>
      <c r="D168" s="228" t="s">
        <v>1032</v>
      </c>
      <c r="E168" s="227">
        <v>43067.314328703702</v>
      </c>
      <c r="F168" s="227">
        <v>43067.318958333337</v>
      </c>
      <c r="G168" s="226">
        <v>91</v>
      </c>
      <c r="H168" s="228" t="s">
        <v>622</v>
      </c>
      <c r="I168" s="227">
        <v>43067.328842592593</v>
      </c>
      <c r="J168" s="226">
        <v>0</v>
      </c>
      <c r="K168" s="238" t="str">
        <f t="shared" si="63"/>
        <v>4035/4036</v>
      </c>
      <c r="L168" s="246" t="str">
        <f>VLOOKUP(A168,'Trips&amp;Operators'!$C$1:$G$99911,5,FALSE)</f>
        <v>DAVIDSON DAVID</v>
      </c>
      <c r="M168" s="225">
        <f t="shared" si="64"/>
        <v>9.8842592560686171E-3</v>
      </c>
      <c r="N168" s="226">
        <f t="shared" si="79"/>
        <v>14.233333328738809</v>
      </c>
      <c r="O168" s="226"/>
      <c r="P168" s="226"/>
      <c r="Q168" s="229"/>
      <c r="R168" s="243"/>
      <c r="S168" s="250">
        <f t="shared" si="80"/>
        <v>1</v>
      </c>
      <c r="T168" s="243" t="str">
        <f t="shared" si="65"/>
        <v>NorthBound</v>
      </c>
      <c r="U168" s="247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49" t="str">
        <f t="shared" si="66"/>
        <v>https://d0f6bd738d7f1b3e5a7ca70fe4ff75f0.us-east-1.aws.found.io/app/kibana#/discover/Steve-Slow-Train-Analysis-(2080s-and-2083s)?_g=(refreshInterval:(display:Off,pause:!f,section:0,value:0),time:(from:'2017-11-28T06:32:38-0700',mode:absolute,to:'2017-11-28T08:53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68" s="248" t="str">
        <f>IF(AA168&lt;VLOOKUP(AG168,Variables!$AC$3:$AD$8,2,FALSE),"Y","N")</f>
        <v>N</v>
      </c>
      <c r="X168" s="248">
        <f t="shared" ref="X168:X170" si="82">VALUE(LEFT(AD168,4))-VALUE(LEFT(AD167,4))</f>
        <v>1</v>
      </c>
      <c r="Y168" s="248">
        <f t="shared" si="81"/>
        <v>0.1032</v>
      </c>
      <c r="Z168" s="248">
        <f t="shared" si="78"/>
        <v>5.8929</v>
      </c>
      <c r="AA168" s="248">
        <f t="shared" si="68"/>
        <v>5.7896999999999998</v>
      </c>
      <c r="AB168" s="234" t="e">
        <f>VLOOKUP(A168,Enforcements!$C$7:$K$9,8,0)</f>
        <v>#N/A</v>
      </c>
      <c r="AC168" s="233" t="e">
        <f>VLOOKUP(A168,Enforcements!$C$7:$E$9,3,0)</f>
        <v>#N/A</v>
      </c>
      <c r="AD168" s="244">
        <f t="shared" si="69"/>
        <v>809</v>
      </c>
      <c r="AE168" s="236" t="str">
        <f t="shared" si="70"/>
        <v>aws s3 cp s3://rtdc.mdm.uploadarchive.raw/RTDC4036/ "%USERPROFILE%\AppData\Local\Temp\OnboardLogs"\RTDC4036\2017-11-28 --exclude "*" --recursive --include "*20171128*" &amp; "%USERPROFILE%\Documents\GitHub\mrs-test-scripts\Headless Mode &amp; Sideloading\WalkAndUnGZ.bat" "%USERPROFILE%\AppData\Local\Temp\OnboardLogs"\RTDC4036\2017-11-28 &amp; aws s3 cp s3://rtdc.mdm.uploadarchive.raw/RTDC4036/ "%USERPROFILE%\AppData\Local\Temp\OnboardLogs"\RTDC4036\2017-11-29 --exclude "*" --recursive --include "*20171129*" &amp; "%USERPROFILE%\Documents\GitHub\mrs-test-scripts\Headless Mode &amp; Sideloading\WalkAndUnGZ.bat" "%USERPROFILE%\AppData\Local\Temp\OnboardLogs"\RTDC4036\2017-11-29</v>
      </c>
      <c r="AF168" s="235" t="str">
        <f t="shared" si="71"/>
        <v>"C:\Program Files (x86)\AstroGrep\AstroGrep.exe" /e /r /s /spath="%USERPROFILE%\AppData\Local\Temp\OnboardLogs" /stypes="app*4036*20171128*" /stext=" 14:.+((SYSTEM_STATE.+slice.+state.+changed )|(ment ac)|(multiple cpu faults)|(system.+state.+changed )|(\[timeout)|(PRM\|1\|D)|(kpr)|(kdp)|(train st.+moving)|(\|lc)|(penalty))"</v>
      </c>
      <c r="AG168" s="245" t="str">
        <f t="shared" si="72"/>
        <v>NW</v>
      </c>
      <c r="AH168" s="237" t="str">
        <f t="shared" si="73"/>
        <v>"%USERPROFILE%\Documents\GitHub\eaglep3\Utilities\RefineRTDCRunTimes.py" --tripid 809-28 --locoid 4036 --swversion DE.1.0.9.0 --startMP 204:1032 --initTime 2017-11-28T07:32:38 --startdatetime 2017-11-28T07:39:18 --delay 91 --endMP 300:58929 --enddatetime 2017-11-28T07:53:32 --enforcementcount 0 &gt;&gt;%USERPROFILE%\Documents\GitHub\eaglep3-reporting\EC\2017-11-28-refined-times.txt</v>
      </c>
      <c r="AI168" s="239" t="str">
        <f t="shared" si="74"/>
        <v>echo {"issue":{"subject":"","project_id":79,"tracker_id":40,"status_id":1,"priority_id":2,"assigned_to_id":338,"start_date":"2017-11-28","description":"","custom_fields":[{"id":1,"name":"Subdivision","value":"NW"},{"id":4,"name":"Milepost","value":"5.8929"},{"id":17,"name":"Train ID","value":"809-28"},{"id":16,"name":"Locomotive ID","value":"4036"},{"id":130,"name":"Impact","value":""},{"id":150,"name":"Time of Event (Mountain Time)","value":"07:53:32"},{"id":151,"name":"Denver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8" s="224"/>
      <c r="AK168" s="232"/>
      <c r="AL168" s="232"/>
      <c r="AM168" s="241" t="str">
        <f t="shared" si="75"/>
        <v>start /low /b %USERPROFILE%\Documents\GitHub\eaglep3\Utilities\DownloadLogsFromS3.py --loco 4036 --day 2017-11-28</v>
      </c>
      <c r="AN168" s="242" t="str">
        <f t="shared" si="76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14:53:32"},{"id":29,"name":"Sharepoint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231" t="str">
        <f t="shared" si="77"/>
        <v>https://d0f6bd738d7f1b3e5a7ca70fe4ff75f0.us-east-1.aws.found.io/app/kibana#/discover/Steve-Slow-Train-Analysis-(2080s-and-2083s)?_g=(refreshInterval:(display:Off,pause:!f,section:0,value:0),time:(from:'2017-11-28T06:32:38-0700',mode:absolute,to:'2017-11-28T08:53:32-0700'))&amp;_a=(columns:!('Message%20ID',Summary),filters:!(),index:'emp_*',interval:auto,query:(query_string:(analyze_wildcard:!t,query:'%22rtdc.l.rtdc.4036%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230" t="s">
        <v>642</v>
      </c>
      <c r="B169" s="226">
        <v>4035</v>
      </c>
      <c r="C169" s="228" t="s">
        <v>192</v>
      </c>
      <c r="D169" s="228" t="s">
        <v>618</v>
      </c>
      <c r="E169" s="227">
        <v>43067.329884259256</v>
      </c>
      <c r="F169" s="227">
        <v>43067.342361111114</v>
      </c>
      <c r="G169" s="226">
        <v>69</v>
      </c>
      <c r="H169" s="228" t="s">
        <v>1033</v>
      </c>
      <c r="I169" s="227">
        <v>43067.34957175926</v>
      </c>
      <c r="J169" s="226">
        <v>0</v>
      </c>
      <c r="K169" s="238" t="str">
        <f t="shared" si="63"/>
        <v>4035/4036</v>
      </c>
      <c r="L169" s="246" t="str">
        <f>VLOOKUP(A169,'Trips&amp;Operators'!$C$1:$G$99911,5,FALSE)</f>
        <v>DAVIDSON DAVID</v>
      </c>
      <c r="M169" s="225">
        <f t="shared" si="64"/>
        <v>7.2106481457012706E-3</v>
      </c>
      <c r="N169" s="226">
        <f t="shared" si="79"/>
        <v>10.38333332980983</v>
      </c>
      <c r="O169" s="226"/>
      <c r="P169" s="226"/>
      <c r="Q169" s="229"/>
      <c r="R169" s="243"/>
      <c r="S169" s="250">
        <f t="shared" si="80"/>
        <v>1</v>
      </c>
      <c r="T169" s="243" t="str">
        <f t="shared" si="65"/>
        <v>Southbound</v>
      </c>
      <c r="U169" s="247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49" t="str">
        <f t="shared" si="66"/>
        <v>https://d0f6bd738d7f1b3e5a7ca70fe4ff75f0.us-east-1.aws.found.io/app/kibana#/discover/Steve-Slow-Train-Analysis-(2080s-and-2083s)?_g=(refreshInterval:(display:Off,pause:!f,section:0,value:0),time:(from:'2017-11-28T06:55:02-0700',mode:absolute,to:'2017-11-28T09:23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69" s="248" t="str">
        <f>IF(AA169&lt;VLOOKUP(AG169,Variables!$AC$3:$AD$8,2,FALSE),"Y","N")</f>
        <v>Y</v>
      </c>
      <c r="X169" s="248">
        <f t="shared" si="82"/>
        <v>1</v>
      </c>
      <c r="Y169" s="248">
        <f t="shared" si="81"/>
        <v>5.8613</v>
      </c>
      <c r="Z169" s="248">
        <f t="shared" si="78"/>
        <v>0.4425</v>
      </c>
      <c r="AA169" s="248">
        <f t="shared" si="68"/>
        <v>5.4188000000000001</v>
      </c>
      <c r="AB169" s="234" t="e">
        <f>VLOOKUP(A169,Enforcements!$C$7:$K$9,8,0)</f>
        <v>#N/A</v>
      </c>
      <c r="AC169" s="233" t="e">
        <f>VLOOKUP(A169,Enforcements!$C$7:$E$9,3,0)</f>
        <v>#N/A</v>
      </c>
      <c r="AD169" s="244">
        <f t="shared" si="69"/>
        <v>810</v>
      </c>
      <c r="AE169" s="236" t="str">
        <f t="shared" si="70"/>
        <v>aws s3 cp s3://rtdc.mdm.uploadarchive.raw/RTDC4035/ "%USERPROFILE%\AppData\Local\Temp\OnboardLogs"\RTDC4035\2017-11-28 --exclude "*" --recursive --include "*20171128*" &amp; "%USERPROFILE%\Documents\GitHub\mrs-test-scripts\Headless Mode &amp; Sideloading\WalkAndUnGZ.bat" "%USERPROFILE%\AppData\Local\Temp\OnboardLogs"\RTDC4035\2017-11-28 &amp; aws s3 cp s3://rtdc.mdm.uploadarchive.raw/RTDC4035/ "%USERPROFILE%\AppData\Local\Temp\OnboardLogs"\RTDC4035\2017-11-29 --exclude "*" --recursive --include "*20171129*" &amp; "%USERPROFILE%\Documents\GitHub\mrs-test-scripts\Headless Mode &amp; Sideloading\WalkAndUnGZ.bat" "%USERPROFILE%\AppData\Local\Temp\OnboardLogs"\RTDC4035\2017-11-29</v>
      </c>
      <c r="AF169" s="235" t="str">
        <f t="shared" si="71"/>
        <v>"C:\Program Files (x86)\AstroGrep\AstroGrep.exe" /e /r /s /spath="%USERPROFILE%\AppData\Local\Temp\OnboardLogs" /stypes="app*4035*20171128*" /stext=" 15:.+((SYSTEM_STATE.+slice.+state.+changed )|(ment ac)|(multiple cpu faults)|(system.+state.+changed )|(\[timeout)|(PRM\|1\|D)|(kpr)|(kdp)|(train st.+moving)|(\|lc)|(penalty))"</v>
      </c>
      <c r="AG169" s="245" t="str">
        <f t="shared" si="72"/>
        <v>NW</v>
      </c>
      <c r="AH169" s="237" t="str">
        <f t="shared" si="73"/>
        <v>"%USERPROFILE%\Documents\GitHub\eaglep3\Utilities\RefineRTDCRunTimes.py" --tripid 810-28 --locoid 4035 --swversion DE.1.0.9.0 --startMP 300:58613 --initTime 2017-11-28T07:55:02 --startdatetime 2017-11-28T08:13:00 --delay 69 --endMP 204:4425 --enddatetime 2017-11-28T08:23:23 --enforcementcount 0 &gt;&gt;%USERPROFILE%\Documents\GitHub\eaglep3-reporting\EC\2017-11-28-refined-times.txt</v>
      </c>
      <c r="AI169" s="239" t="str">
        <f t="shared" si="74"/>
        <v>echo {"issue":{"subject":"","project_id":79,"tracker_id":40,"status_id":1,"priority_id":2,"assigned_to_id":338,"start_date":"2017-11-28","description":"","custom_fields":[{"id":1,"name":"Subdivision","value":"NW"},{"id":4,"name":"Milepost","value":"0.4425"},{"id":17,"name":"Train ID","value":"810-28"},{"id":16,"name":"Locomotive ID","value":"4035"},{"id":130,"name":"Impact","value":""},{"id":150,"name":"Time of Event (Mountain Time)","value":"08:23:23"},{"id":151,"name":"Denver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9" s="224"/>
      <c r="AK169" s="232"/>
      <c r="AL169" s="232"/>
      <c r="AM169" s="241" t="str">
        <f t="shared" si="75"/>
        <v>start /low /b %USERPROFILE%\Documents\GitHub\eaglep3\Utilities\DownloadLogsFromS3.py --loco 4035 --day 2017-11-28</v>
      </c>
      <c r="AN169" s="242" t="str">
        <f t="shared" si="76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15:23:23"},{"id":29,"name":"Sharepoint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231" t="str">
        <f t="shared" si="77"/>
        <v>https://d0f6bd738d7f1b3e5a7ca70fe4ff75f0.us-east-1.aws.found.io/app/kibana#/discover/Steve-Slow-Train-Analysis-(2080s-and-2083s)?_g=(refreshInterval:(display:Off,pause:!f,section:0,value:0),time:(from:'2017-11-28T06:55:02-0700',mode:absolute,to:'2017-11-28T09:23:23-0700'))&amp;_a=(columns:!('Message%20ID',Summary),filters:!(),index:'emp_*',interval:auto,query:(query_string:(analyze_wildcard:!t,query:'%22rtdc.l.rtdc.4035%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230" t="s">
        <v>643</v>
      </c>
      <c r="B170" s="226">
        <v>4002</v>
      </c>
      <c r="C170" s="228" t="s">
        <v>192</v>
      </c>
      <c r="D170" s="228" t="s">
        <v>1034</v>
      </c>
      <c r="E170" s="227">
        <v>43067.332974537036</v>
      </c>
      <c r="F170" s="227">
        <v>43067.339930555558</v>
      </c>
      <c r="G170" s="226">
        <v>63</v>
      </c>
      <c r="H170" s="228" t="s">
        <v>1010</v>
      </c>
      <c r="I170" s="227">
        <v>43067.350405092591</v>
      </c>
      <c r="J170" s="226">
        <v>0</v>
      </c>
      <c r="K170" s="238" t="str">
        <f t="shared" si="63"/>
        <v>4001/4002</v>
      </c>
      <c r="L170" s="246" t="str">
        <f>VLOOKUP(A170,'Trips&amp;Operators'!$C$1:$G$99911,5,FALSE)</f>
        <v>LONG FULLER</v>
      </c>
      <c r="M170" s="225">
        <f t="shared" si="64"/>
        <v>1.0474537033587694E-2</v>
      </c>
      <c r="N170" s="226">
        <f t="shared" si="79"/>
        <v>15.08333332836628</v>
      </c>
      <c r="O170" s="226"/>
      <c r="P170" s="226"/>
      <c r="Q170" s="229"/>
      <c r="R170" s="243"/>
      <c r="S170" s="250">
        <f t="shared" si="80"/>
        <v>1</v>
      </c>
      <c r="T170" s="243" t="str">
        <f t="shared" si="65"/>
        <v>NorthBound</v>
      </c>
      <c r="U170" s="247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49" t="str">
        <f t="shared" si="66"/>
        <v>https://d0f6bd738d7f1b3e5a7ca70fe4ff75f0.us-east-1.aws.found.io/app/kibana#/discover/Steve-Slow-Train-Analysis-(2080s-and-2083s)?_g=(refreshInterval:(display:Off,pause:!f,section:0,value:0),time:(from:'2017-11-28T06:59:29-0700',mode:absolute,to:'2017-11-28T09:24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70" s="248" t="str">
        <f>IF(AA170&lt;VLOOKUP(AG170,Variables!$AC$3:$AD$8,2,FALSE),"Y","N")</f>
        <v>N</v>
      </c>
      <c r="X170" s="248">
        <f t="shared" si="82"/>
        <v>1</v>
      </c>
      <c r="Y170" s="248">
        <f t="shared" si="81"/>
        <v>0.1104</v>
      </c>
      <c r="Z170" s="248">
        <f t="shared" si="78"/>
        <v>5.8967000000000001</v>
      </c>
      <c r="AA170" s="248">
        <f t="shared" si="68"/>
        <v>5.7862999999999998</v>
      </c>
      <c r="AB170" s="234" t="e">
        <f>VLOOKUP(A170,Enforcements!$C$7:$K$9,8,0)</f>
        <v>#N/A</v>
      </c>
      <c r="AC170" s="233" t="e">
        <f>VLOOKUP(A170,Enforcements!$C$7:$E$9,3,0)</f>
        <v>#N/A</v>
      </c>
      <c r="AD170" s="244">
        <f t="shared" si="69"/>
        <v>811</v>
      </c>
      <c r="AE170" s="236" t="str">
        <f t="shared" si="70"/>
        <v>aws s3 cp s3://rtdc.mdm.uploadarchive.raw/RTDC4002/ "%USERPROFILE%\AppData\Local\Temp\OnboardLogs"\RTDC4002\2017-11-28 --exclude "*" --recursive --include "*20171128*" &amp; "%USERPROFILE%\Documents\GitHub\mrs-test-scripts\Headless Mode &amp; Sideloading\WalkAndUnGZ.bat" "%USERPROFILE%\AppData\Local\Temp\OnboardLogs"\RTDC4002\2017-11-28 &amp; aws s3 cp s3://rtdc.mdm.uploadarchive.raw/RTDC4002/ "%USERPROFILE%\AppData\Local\Temp\OnboardLogs"\RTDC4002\2017-11-29 --exclude "*" --recursive --include "*20171129*" &amp; "%USERPROFILE%\Documents\GitHub\mrs-test-scripts\Headless Mode &amp; Sideloading\WalkAndUnGZ.bat" "%USERPROFILE%\AppData\Local\Temp\OnboardLogs"\RTDC4002\2017-11-29</v>
      </c>
      <c r="AF170" s="235" t="str">
        <f t="shared" si="71"/>
        <v>"C:\Program Files (x86)\AstroGrep\AstroGrep.exe" /e /r /s /spath="%USERPROFILE%\AppData\Local\Temp\OnboardLogs" /stypes="app*4002*20171128*" /stext=" 15:.+((SYSTEM_STATE.+slice.+state.+changed )|(ment ac)|(multiple cpu faults)|(system.+state.+changed )|(\[timeout)|(PRM\|1\|D)|(kpr)|(kdp)|(train st.+moving)|(\|lc)|(penalty))"</v>
      </c>
      <c r="AG170" s="245" t="str">
        <f t="shared" si="72"/>
        <v>NW</v>
      </c>
      <c r="AH170" s="237" t="str">
        <f t="shared" si="73"/>
        <v>"%USERPROFILE%\Documents\GitHub\eaglep3\Utilities\RefineRTDCRunTimes.py" --tripid 811-28 --locoid 4002 --swversion DE.1.0.9.0 --startMP 204:1104 --initTime 2017-11-28T07:59:29 --startdatetime 2017-11-28T08:09:30 --delay 63 --endMP 300:58967 --enddatetime 2017-11-28T08:24:35 --enforcementcount 0 &gt;&gt;%USERPROFILE%\Documents\GitHub\eaglep3-reporting\EC\2017-11-28-refined-times.txt</v>
      </c>
      <c r="AI170" s="239" t="str">
        <f t="shared" si="74"/>
        <v>echo {"issue":{"subject":"","project_id":79,"tracker_id":40,"status_id":1,"priority_id":2,"assigned_to_id":338,"start_date":"2017-11-28","description":"","custom_fields":[{"id":1,"name":"Subdivision","value":"NW"},{"id":4,"name":"Milepost","value":"5.8967"},{"id":17,"name":"Train ID","value":"811-28"},{"id":16,"name":"Locomotive ID","value":"4002"},{"id":130,"name":"Impact","value":""},{"id":150,"name":"Time of Event (Mountain Time)","value":"08:24:35"},{"id":151,"name":"Denver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0" s="224"/>
      <c r="AK170" s="232"/>
      <c r="AL170" s="232"/>
      <c r="AM170" s="241" t="str">
        <f t="shared" si="75"/>
        <v>start /low /b %USERPROFILE%\Documents\GitHub\eaglep3\Utilities\DownloadLogsFromS3.py --loco 4002 --day 2017-11-28</v>
      </c>
      <c r="AN170" s="242" t="str">
        <f t="shared" si="76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15:24:35"},{"id":29,"name":"Sharepoint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231" t="str">
        <f t="shared" si="77"/>
        <v>https://d0f6bd738d7f1b3e5a7ca70fe4ff75f0.us-east-1.aws.found.io/app/kibana#/discover/Steve-Slow-Train-Analysis-(2080s-and-2083s)?_g=(refreshInterval:(display:Off,pause:!f,section:0,value:0),time:(from:'2017-11-28T06:59:29-0700',mode:absolute,to:'2017-11-28T09:24:35-0700'))&amp;_a=(columns:!('Message%20ID',Summary),filters:!(),index:'emp_*',interval:auto,query:(query_string:(analyze_wildcard:!t,query:'%22rtdc.l.rtdc.4002%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25">
      <c r="A171" s="230" t="s">
        <v>731</v>
      </c>
      <c r="B171" s="226">
        <v>4001</v>
      </c>
      <c r="C171" s="228" t="s">
        <v>192</v>
      </c>
      <c r="D171" s="228" t="s">
        <v>1035</v>
      </c>
      <c r="E171" s="227">
        <v>43067.351944444446</v>
      </c>
      <c r="F171" s="227">
        <v>43067.363194444442</v>
      </c>
      <c r="G171" s="226">
        <v>65</v>
      </c>
      <c r="H171" s="228" t="s">
        <v>1036</v>
      </c>
      <c r="I171" s="227">
        <v>43067.37228009259</v>
      </c>
      <c r="J171" s="226">
        <v>0</v>
      </c>
      <c r="K171" s="238" t="str">
        <f t="shared" si="63"/>
        <v>4001/4002</v>
      </c>
      <c r="L171" s="246" t="str">
        <f>VLOOKUP(A171,'Trips&amp;Operators'!$C$1:$G$99911,5,FALSE)</f>
        <v>LONG FULLER</v>
      </c>
      <c r="M171" s="225">
        <f t="shared" si="64"/>
        <v>9.0856481474475004E-3</v>
      </c>
      <c r="N171" s="226">
        <f t="shared" si="79"/>
        <v>13.083333332324401</v>
      </c>
      <c r="O171" s="226"/>
      <c r="P171" s="226"/>
      <c r="Q171" s="229"/>
      <c r="R171" s="243"/>
      <c r="S171" s="250">
        <f t="shared" si="80"/>
        <v>1</v>
      </c>
      <c r="T171" s="243" t="str">
        <f t="shared" si="65"/>
        <v>Southbound</v>
      </c>
      <c r="U171" s="247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49" t="str">
        <f t="shared" si="66"/>
        <v>https://d0f6bd738d7f1b3e5a7ca70fe4ff75f0.us-east-1.aws.found.io/app/kibana#/discover/Steve-Slow-Train-Analysis-(2080s-and-2083s)?_g=(refreshInterval:(display:Off,pause:!f,section:0,value:0),time:(from:'2017-11-28T07:26:48-0700',mode:absolute,to:'2017-11-28T09:56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71" s="248" t="str">
        <f>IF(AA171&lt;VLOOKUP(AG171,Variables!$AC$3:$AD$8,2,FALSE),"Y","N")</f>
        <v>N</v>
      </c>
      <c r="X171" s="248">
        <f t="shared" ref="X171:X186" si="83">VALUE(LEFT(AD171,4))-VALUE(LEFT(AD170,4))</f>
        <v>1</v>
      </c>
      <c r="Y171" s="248">
        <f t="shared" si="81"/>
        <v>5.8654999999999999</v>
      </c>
      <c r="Z171" s="248">
        <f t="shared" si="78"/>
        <v>8.43E-2</v>
      </c>
      <c r="AA171" s="248">
        <f t="shared" si="68"/>
        <v>5.7812000000000001</v>
      </c>
      <c r="AB171" s="234" t="e">
        <f>VLOOKUP(A171,Enforcements!$C$7:$K$9,8,0)</f>
        <v>#N/A</v>
      </c>
      <c r="AC171" s="233" t="e">
        <f>VLOOKUP(A171,Enforcements!$C$7:$E$9,3,0)</f>
        <v>#N/A</v>
      </c>
      <c r="AD171" s="244">
        <f t="shared" si="69"/>
        <v>812</v>
      </c>
      <c r="AE171" s="236" t="str">
        <f t="shared" si="70"/>
        <v>aws s3 cp s3://rtdc.mdm.uploadarchive.raw/RTDC4001/ "%USERPROFILE%\AppData\Local\Temp\OnboardLogs"\RTDC4001\2017-11-28 --exclude "*" --recursive --include "*20171128*" &amp; "%USERPROFILE%\Documents\GitHub\mrs-test-scripts\Headless Mode &amp; Sideloading\WalkAndUnGZ.bat" "%USERPROFILE%\AppData\Local\Temp\OnboardLogs"\RTDC4001\2017-11-28 &amp; aws s3 cp s3://rtdc.mdm.uploadarchive.raw/RTDC4001/ "%USERPROFILE%\AppData\Local\Temp\OnboardLogs"\RTDC4001\2017-11-29 --exclude "*" --recursive --include "*20171129*" &amp; "%USERPROFILE%\Documents\GitHub\mrs-test-scripts\Headless Mode &amp; Sideloading\WalkAndUnGZ.bat" "%USERPROFILE%\AppData\Local\Temp\OnboardLogs"\RTDC4001\2017-11-29</v>
      </c>
      <c r="AF171" s="235" t="str">
        <f t="shared" si="71"/>
        <v>"C:\Program Files (x86)\AstroGrep\AstroGrep.exe" /e /r /s /spath="%USERPROFILE%\AppData\Local\Temp\OnboardLogs" /stypes="app*4001*20171128*" /stext=" 15:.+((SYSTEM_STATE.+slice.+state.+changed )|(ment ac)|(multiple cpu faults)|(system.+state.+changed )|(\[timeout)|(PRM\|1\|D)|(kpr)|(kdp)|(train st.+moving)|(\|lc)|(penalty))"</v>
      </c>
      <c r="AG171" s="245" t="str">
        <f t="shared" si="72"/>
        <v>NW</v>
      </c>
      <c r="AH171" s="237" t="str">
        <f t="shared" si="73"/>
        <v>"%USERPROFILE%\Documents\GitHub\eaglep3\Utilities\RefineRTDCRunTimes.py" --tripid 812-28 --locoid 4001 --swversion DE.1.0.9.0 --startMP 300:58655 --initTime 2017-11-28T08:26:48 --startdatetime 2017-11-28T08:43:00 --delay 65 --endMP 204:843 --enddatetime 2017-11-28T08:56:05 --enforcementcount 0 &gt;&gt;%USERPROFILE%\Documents\GitHub\eaglep3-reporting\EC\2017-11-28-refined-times.txt</v>
      </c>
      <c r="AI171" s="239" t="str">
        <f t="shared" si="74"/>
        <v>echo {"issue":{"subject":"","project_id":79,"tracker_id":40,"status_id":1,"priority_id":2,"assigned_to_id":338,"start_date":"2017-11-28","description":"","custom_fields":[{"id":1,"name":"Subdivision","value":"NW"},{"id":4,"name":"Milepost","value":"0.0843"},{"id":17,"name":"Train ID","value":"812-28"},{"id":16,"name":"Locomotive ID","value":"4001"},{"id":130,"name":"Impact","value":""},{"id":150,"name":"Time of Event (Mountain Time)","value":"08:56:05"},{"id":151,"name":"Denver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1" s="224"/>
      <c r="AK171" s="232"/>
      <c r="AL171" s="232"/>
      <c r="AM171" s="241" t="str">
        <f t="shared" si="75"/>
        <v>start /low /b %USERPROFILE%\Documents\GitHub\eaglep3\Utilities\DownloadLogsFromS3.py --loco 4001 --day 2017-11-28</v>
      </c>
      <c r="AN171" s="242" t="str">
        <f t="shared" si="76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15:56:05"},{"id":29,"name":"Sharepoint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231" t="str">
        <f t="shared" si="77"/>
        <v>https://d0f6bd738d7f1b3e5a7ca70fe4ff75f0.us-east-1.aws.found.io/app/kibana#/discover/Steve-Slow-Train-Analysis-(2080s-and-2083s)?_g=(refreshInterval:(display:Off,pause:!f,section:0,value:0),time:(from:'2017-11-28T07:26:48-0700',mode:absolute,to:'2017-11-28T09:56:05-0700'))&amp;_a=(columns:!('Message%20ID',Summary),filters:!(),index:'emp_*',interval:auto,query:(query_string:(analyze_wildcard:!t,query:'%22rtdc.l.rtdc.4001%22')),sort:!(Time.ISO8601,asc))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25">
      <c r="A172" s="230" t="s">
        <v>738</v>
      </c>
      <c r="B172" s="226">
        <v>4002</v>
      </c>
      <c r="C172" s="228" t="s">
        <v>192</v>
      </c>
      <c r="D172" s="228" t="s">
        <v>1037</v>
      </c>
      <c r="E172" s="227">
        <v>43067.379814814813</v>
      </c>
      <c r="F172" s="227">
        <v>43067.381539351853</v>
      </c>
      <c r="G172" s="226">
        <v>79</v>
      </c>
      <c r="H172" s="228" t="s">
        <v>1038</v>
      </c>
      <c r="I172" s="227">
        <v>43067.392650462964</v>
      </c>
      <c r="J172" s="226">
        <v>0</v>
      </c>
      <c r="K172" s="238" t="str">
        <f t="shared" si="63"/>
        <v>4001/4002</v>
      </c>
      <c r="L172" s="246" t="str">
        <f>VLOOKUP(A172,'Trips&amp;Operators'!$C$1:$G$99911,5,FALSE)</f>
        <v>LONG FULLER</v>
      </c>
      <c r="M172" s="225">
        <f t="shared" si="64"/>
        <v>1.1111111110949423E-2</v>
      </c>
      <c r="N172" s="226">
        <f t="shared" si="79"/>
        <v>15.999999999767169</v>
      </c>
      <c r="O172" s="226"/>
      <c r="P172" s="226"/>
      <c r="Q172" s="229"/>
      <c r="R172" s="243"/>
      <c r="S172" s="250">
        <f t="shared" si="80"/>
        <v>1</v>
      </c>
      <c r="T172" s="243" t="str">
        <f t="shared" si="65"/>
        <v>NorthBound</v>
      </c>
      <c r="U172" s="247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49" t="str">
        <f t="shared" si="66"/>
        <v>https://d0f6bd738d7f1b3e5a7ca70fe4ff75f0.us-east-1.aws.found.io/app/kibana#/discover/Steve-Slow-Train-Analysis-(2080s-and-2083s)?_g=(refreshInterval:(display:Off,pause:!f,section:0,value:0),time:(from:'2017-11-28T08:06:56-0700',mode:absolute,to:'2017-11-28T10:25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72" s="248" t="str">
        <f>IF(AA172&lt;VLOOKUP(AG172,Variables!$AC$3:$AD$8,2,FALSE),"Y","N")</f>
        <v>N</v>
      </c>
      <c r="X172" s="248">
        <f t="shared" si="83"/>
        <v>1</v>
      </c>
      <c r="Y172" s="248">
        <f t="shared" si="81"/>
        <v>0.1114</v>
      </c>
      <c r="Z172" s="248">
        <f t="shared" si="78"/>
        <v>5.8971</v>
      </c>
      <c r="AA172" s="248">
        <f t="shared" si="68"/>
        <v>5.7857000000000003</v>
      </c>
      <c r="AB172" s="234" t="e">
        <f>VLOOKUP(A172,Enforcements!$C$7:$K$9,8,0)</f>
        <v>#N/A</v>
      </c>
      <c r="AC172" s="233" t="e">
        <f>VLOOKUP(A172,Enforcements!$C$7:$E$9,3,0)</f>
        <v>#N/A</v>
      </c>
      <c r="AD172" s="244">
        <f t="shared" si="69"/>
        <v>813</v>
      </c>
      <c r="AE172" s="236" t="str">
        <f t="shared" si="70"/>
        <v>aws s3 cp s3://rtdc.mdm.uploadarchive.raw/RTDC4002/ "%USERPROFILE%\AppData\Local\Temp\OnboardLogs"\RTDC4002\2017-11-28 --exclude "*" --recursive --include "*20171128*" &amp; "%USERPROFILE%\Documents\GitHub\mrs-test-scripts\Headless Mode &amp; Sideloading\WalkAndUnGZ.bat" "%USERPROFILE%\AppData\Local\Temp\OnboardLogs"\RTDC4002\2017-11-28 &amp; aws s3 cp s3://rtdc.mdm.uploadarchive.raw/RTDC4002/ "%USERPROFILE%\AppData\Local\Temp\OnboardLogs"\RTDC4002\2017-11-29 --exclude "*" --recursive --include "*20171129*" &amp; "%USERPROFILE%\Documents\GitHub\mrs-test-scripts\Headless Mode &amp; Sideloading\WalkAndUnGZ.bat" "%USERPROFILE%\AppData\Local\Temp\OnboardLogs"\RTDC4002\2017-11-29</v>
      </c>
      <c r="AF172" s="235" t="str">
        <f t="shared" si="71"/>
        <v>"C:\Program Files (x86)\AstroGrep\AstroGrep.exe" /e /r /s /spath="%USERPROFILE%\AppData\Local\Temp\OnboardLogs" /stypes="app*4002*20171128*" /stext=" 16:.+((SYSTEM_STATE.+slice.+state.+changed )|(ment ac)|(multiple cpu faults)|(system.+state.+changed )|(\[timeout)|(PRM\|1\|D)|(kpr)|(kdp)|(train st.+moving)|(\|lc)|(penalty))"</v>
      </c>
      <c r="AG172" s="245" t="str">
        <f t="shared" si="72"/>
        <v>NW</v>
      </c>
      <c r="AH172" s="237" t="str">
        <f t="shared" si="73"/>
        <v>"%USERPROFILE%\Documents\GitHub\eaglep3\Utilities\RefineRTDCRunTimes.py" --tripid 813-28 --locoid 4002 --swversion DE.1.0.9.0 --startMP 204:1114 --initTime 2017-11-28T09:06:56 --startdatetime 2017-11-28T09:09:25 --delay 79 --endMP 300:58971 --enddatetime 2017-11-28T09:25:25 --enforcementcount 0 &gt;&gt;%USERPROFILE%\Documents\GitHub\eaglep3-reporting\EC\2017-11-28-refined-times.txt</v>
      </c>
      <c r="AI172" s="239" t="str">
        <f t="shared" si="74"/>
        <v>echo {"issue":{"subject":"","project_id":79,"tracker_id":40,"status_id":1,"priority_id":2,"assigned_to_id":338,"start_date":"2017-11-28","description":"","custom_fields":[{"id":1,"name":"Subdivision","value":"NW"},{"id":4,"name":"Milepost","value":"5.8971"},{"id":17,"name":"Train ID","value":"813-28"},{"id":16,"name":"Locomotive ID","value":"4002"},{"id":130,"name":"Impact","value":""},{"id":150,"name":"Time of Event (Mountain Time)","value":"09:25:25"},{"id":151,"name":"Denver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2" s="224"/>
      <c r="AK172" s="232"/>
      <c r="AL172" s="232"/>
      <c r="AM172" s="241" t="str">
        <f t="shared" si="75"/>
        <v>start /low /b %USERPROFILE%\Documents\GitHub\eaglep3\Utilities\DownloadLogsFromS3.py --loco 4002 --day 2017-11-28</v>
      </c>
      <c r="AN172" s="242" t="str">
        <f t="shared" si="76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16:25:25"},{"id":29,"name":"Sharepoint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231" t="str">
        <f t="shared" si="77"/>
        <v>https://d0f6bd738d7f1b3e5a7ca70fe4ff75f0.us-east-1.aws.found.io/app/kibana#/discover/Steve-Slow-Train-Analysis-(2080s-and-2083s)?_g=(refreshInterval:(display:Off,pause:!f,section:0,value:0),time:(from:'2017-11-28T08:06:56-0700',mode:absolute,to:'2017-11-28T10:25:25-0700'))&amp;_a=(columns:!('Message%20ID',Summary),filters:!(),index:'emp_*',interval:auto,query:(query_string:(analyze_wildcard:!t,query:'%22rtdc.l.rtdc.4002%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25">
      <c r="A173" s="230" t="s">
        <v>742</v>
      </c>
      <c r="B173" s="226">
        <v>4001</v>
      </c>
      <c r="C173" s="228" t="s">
        <v>192</v>
      </c>
      <c r="D173" s="228" t="s">
        <v>1039</v>
      </c>
      <c r="E173" s="227">
        <v>43067.394050925926</v>
      </c>
      <c r="F173" s="227">
        <v>43067.404861111114</v>
      </c>
      <c r="G173" s="226">
        <v>63</v>
      </c>
      <c r="H173" s="228" t="s">
        <v>1040</v>
      </c>
      <c r="I173" s="227">
        <v>43067.414027777777</v>
      </c>
      <c r="J173" s="226">
        <v>0</v>
      </c>
      <c r="K173" s="238" t="str">
        <f t="shared" si="63"/>
        <v>4001/4002</v>
      </c>
      <c r="L173" s="246" t="str">
        <f>VLOOKUP(A173,'Trips&amp;Operators'!$C$1:$G$99911,5,FALSE)</f>
        <v>LONG FULLER</v>
      </c>
      <c r="M173" s="225">
        <f t="shared" si="64"/>
        <v>9.1666666630771942E-3</v>
      </c>
      <c r="N173" s="226">
        <f t="shared" si="79"/>
        <v>13.19999999483116</v>
      </c>
      <c r="O173" s="226"/>
      <c r="P173" s="226"/>
      <c r="Q173" s="229"/>
      <c r="R173" s="243"/>
      <c r="S173" s="250">
        <f t="shared" si="80"/>
        <v>1</v>
      </c>
      <c r="T173" s="243" t="str">
        <f t="shared" si="65"/>
        <v>Southbound</v>
      </c>
      <c r="U173" s="247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49" t="str">
        <f t="shared" si="66"/>
        <v>https://d0f6bd738d7f1b3e5a7ca70fe4ff75f0.us-east-1.aws.found.io/app/kibana#/discover/Steve-Slow-Train-Analysis-(2080s-and-2083s)?_g=(refreshInterval:(display:Off,pause:!f,section:0,value:0),time:(from:'2017-11-28T08:27:26-0700',mode:absolute,to:'2017-11-28T10:56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73" s="248" t="str">
        <f>IF(AA173&lt;VLOOKUP(AG173,Variables!$AC$3:$AD$8,2,FALSE),"Y","N")</f>
        <v>N</v>
      </c>
      <c r="X173" s="248">
        <f t="shared" si="83"/>
        <v>1</v>
      </c>
      <c r="Y173" s="248">
        <f t="shared" si="81"/>
        <v>5.8655999999999997</v>
      </c>
      <c r="Z173" s="248">
        <f t="shared" si="78"/>
        <v>8.8800000000000004E-2</v>
      </c>
      <c r="AA173" s="248">
        <f t="shared" si="68"/>
        <v>5.7767999999999997</v>
      </c>
      <c r="AB173" s="234" t="e">
        <f>VLOOKUP(A173,Enforcements!$C$7:$K$9,8,0)</f>
        <v>#N/A</v>
      </c>
      <c r="AC173" s="233" t="e">
        <f>VLOOKUP(A173,Enforcements!$C$7:$E$9,3,0)</f>
        <v>#N/A</v>
      </c>
      <c r="AD173" s="244">
        <f t="shared" si="69"/>
        <v>814</v>
      </c>
      <c r="AE173" s="236" t="str">
        <f t="shared" si="70"/>
        <v>aws s3 cp s3://rtdc.mdm.uploadarchive.raw/RTDC4001/ "%USERPROFILE%\AppData\Local\Temp\OnboardLogs"\RTDC4001\2017-11-28 --exclude "*" --recursive --include "*20171128*" &amp; "%USERPROFILE%\Documents\GitHub\mrs-test-scripts\Headless Mode &amp; Sideloading\WalkAndUnGZ.bat" "%USERPROFILE%\AppData\Local\Temp\OnboardLogs"\RTDC4001\2017-11-28 &amp; aws s3 cp s3://rtdc.mdm.uploadarchive.raw/RTDC4001/ "%USERPROFILE%\AppData\Local\Temp\OnboardLogs"\RTDC4001\2017-11-29 --exclude "*" --recursive --include "*20171129*" &amp; "%USERPROFILE%\Documents\GitHub\mrs-test-scripts\Headless Mode &amp; Sideloading\WalkAndUnGZ.bat" "%USERPROFILE%\AppData\Local\Temp\OnboardLogs"\RTDC4001\2017-11-29</v>
      </c>
      <c r="AF173" s="235" t="str">
        <f t="shared" si="71"/>
        <v>"C:\Program Files (x86)\AstroGrep\AstroGrep.exe" /e /r /s /spath="%USERPROFILE%\AppData\Local\Temp\OnboardLogs" /stypes="app*4001*20171128*" /stext=" 16:.+((SYSTEM_STATE.+slice.+state.+changed )|(ment ac)|(multiple cpu faults)|(system.+state.+changed )|(\[timeout)|(PRM\|1\|D)|(kpr)|(kdp)|(train st.+moving)|(\|lc)|(penalty))"</v>
      </c>
      <c r="AG173" s="245" t="str">
        <f t="shared" si="72"/>
        <v>NW</v>
      </c>
      <c r="AH173" s="237" t="str">
        <f t="shared" si="73"/>
        <v>"%USERPROFILE%\Documents\GitHub\eaglep3\Utilities\RefineRTDCRunTimes.py" --tripid 814-28 --locoid 4001 --swversion DE.1.0.9.0 --startMP 300:58656 --initTime 2017-11-28T09:27:26 --startdatetime 2017-11-28T09:43:00 --delay 63 --endMP 204:888 --enddatetime 2017-11-28T09:56:12 --enforcementcount 0 &gt;&gt;%USERPROFILE%\Documents\GitHub\eaglep3-reporting\EC\2017-11-28-refined-times.txt</v>
      </c>
      <c r="AI173" s="239" t="str">
        <f t="shared" si="74"/>
        <v>echo {"issue":{"subject":"","project_id":79,"tracker_id":40,"status_id":1,"priority_id":2,"assigned_to_id":338,"start_date":"2017-11-28","description":"","custom_fields":[{"id":1,"name":"Subdivision","value":"NW"},{"id":4,"name":"Milepost","value":"0.0888"},{"id":17,"name":"Train ID","value":"814-28"},{"id":16,"name":"Locomotive ID","value":"4001"},{"id":130,"name":"Impact","value":""},{"id":150,"name":"Time of Event (Mountain Time)","value":"09:56:12"},{"id":151,"name":"Denver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3" s="224"/>
      <c r="AK173" s="232"/>
      <c r="AL173" s="232"/>
      <c r="AM173" s="241" t="str">
        <f t="shared" si="75"/>
        <v>start /low /b %USERPROFILE%\Documents\GitHub\eaglep3\Utilities\DownloadLogsFromS3.py --loco 4001 --day 2017-11-28</v>
      </c>
      <c r="AN173" s="242" t="str">
        <f t="shared" si="76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16:56:12"},{"id":29,"name":"Sharepoint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231" t="str">
        <f t="shared" si="77"/>
        <v>https://d0f6bd738d7f1b3e5a7ca70fe4ff75f0.us-east-1.aws.found.io/app/kibana#/discover/Steve-Slow-Train-Analysis-(2080s-and-2083s)?_g=(refreshInterval:(display:Off,pause:!f,section:0,value:0),time:(from:'2017-11-28T08:27:26-0700',mode:absolute,to:'2017-11-28T10:56:12-0700'))&amp;_a=(columns:!('Message%20ID',Summary),filters:!(),index:'emp_*',interval:auto,query:(query_string:(analyze_wildcard:!t,query:'%22rtdc.l.rtdc.4001%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25">
      <c r="A174" s="230" t="s">
        <v>746</v>
      </c>
      <c r="B174" s="226">
        <v>4002</v>
      </c>
      <c r="C174" s="228" t="s">
        <v>192</v>
      </c>
      <c r="D174" s="228" t="s">
        <v>1041</v>
      </c>
      <c r="E174" s="227">
        <v>43067.42082175926</v>
      </c>
      <c r="F174" s="227">
        <v>43067.423078703701</v>
      </c>
      <c r="G174" s="226">
        <v>58</v>
      </c>
      <c r="H174" s="228" t="s">
        <v>1028</v>
      </c>
      <c r="I174" s="227">
        <v>43067.432615740741</v>
      </c>
      <c r="J174" s="226">
        <v>0</v>
      </c>
      <c r="K174" s="238" t="str">
        <f t="shared" si="63"/>
        <v>4001/4002</v>
      </c>
      <c r="L174" s="246" t="str">
        <f>VLOOKUP(A174,'Trips&amp;Operators'!$C$1:$G$99911,5,FALSE)</f>
        <v>LONG FULLER</v>
      </c>
      <c r="M174" s="225">
        <f t="shared" si="64"/>
        <v>9.5370370399905369E-3</v>
      </c>
      <c r="N174" s="226">
        <f t="shared" si="79"/>
        <v>13.733333337586373</v>
      </c>
      <c r="O174" s="226"/>
      <c r="P174" s="226"/>
      <c r="Q174" s="229"/>
      <c r="R174" s="243"/>
      <c r="S174" s="250">
        <f t="shared" si="80"/>
        <v>1</v>
      </c>
      <c r="T174" s="243" t="str">
        <f t="shared" si="65"/>
        <v>NorthBound</v>
      </c>
      <c r="U174" s="247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49" t="str">
        <f t="shared" si="66"/>
        <v>https://d0f6bd738d7f1b3e5a7ca70fe4ff75f0.us-east-1.aws.found.io/app/kibana#/discover/Steve-Slow-Train-Analysis-(2080s-and-2083s)?_g=(refreshInterval:(display:Off,pause:!f,section:0,value:0),time:(from:'2017-11-28T09:05:59-0700',mode:absolute,to:'2017-11-28T11:22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74" s="248" t="str">
        <f>IF(AA174&lt;VLOOKUP(AG174,Variables!$AC$3:$AD$8,2,FALSE),"Y","N")</f>
        <v>N</v>
      </c>
      <c r="X174" s="248">
        <f t="shared" si="83"/>
        <v>1</v>
      </c>
      <c r="Y174" s="248">
        <f t="shared" si="81"/>
        <v>0.10829999999999999</v>
      </c>
      <c r="Z174" s="248">
        <f t="shared" si="78"/>
        <v>5.8964999999999996</v>
      </c>
      <c r="AA174" s="248">
        <f t="shared" si="68"/>
        <v>5.7881999999999998</v>
      </c>
      <c r="AB174" s="234" t="e">
        <f>VLOOKUP(A174,Enforcements!$C$7:$K$9,8,0)</f>
        <v>#N/A</v>
      </c>
      <c r="AC174" s="233" t="e">
        <f>VLOOKUP(A174,Enforcements!$C$7:$E$9,3,0)</f>
        <v>#N/A</v>
      </c>
      <c r="AD174" s="244">
        <f t="shared" si="69"/>
        <v>815</v>
      </c>
      <c r="AE174" s="236" t="str">
        <f t="shared" si="70"/>
        <v>aws s3 cp s3://rtdc.mdm.uploadarchive.raw/RTDC4002/ "%USERPROFILE%\AppData\Local\Temp\OnboardLogs"\RTDC4002\2017-11-28 --exclude "*" --recursive --include "*20171128*" &amp; "%USERPROFILE%\Documents\GitHub\mrs-test-scripts\Headless Mode &amp; Sideloading\WalkAndUnGZ.bat" "%USERPROFILE%\AppData\Local\Temp\OnboardLogs"\RTDC4002\2017-11-28 &amp; aws s3 cp s3://rtdc.mdm.uploadarchive.raw/RTDC4002/ "%USERPROFILE%\AppData\Local\Temp\OnboardLogs"\RTDC4002\2017-11-29 --exclude "*" --recursive --include "*20171129*" &amp; "%USERPROFILE%\Documents\GitHub\mrs-test-scripts\Headless Mode &amp; Sideloading\WalkAndUnGZ.bat" "%USERPROFILE%\AppData\Local\Temp\OnboardLogs"\RTDC4002\2017-11-29</v>
      </c>
      <c r="AF174" s="235" t="str">
        <f t="shared" si="71"/>
        <v>"C:\Program Files (x86)\AstroGrep\AstroGrep.exe" /e /r /s /spath="%USERPROFILE%\AppData\Local\Temp\OnboardLogs" /stypes="app*4002*20171128*" /stext=" 17:.+((SYSTEM_STATE.+slice.+state.+changed )|(ment ac)|(multiple cpu faults)|(system.+state.+changed )|(\[timeout)|(PRM\|1\|D)|(kpr)|(kdp)|(train st.+moving)|(\|lc)|(penalty))"</v>
      </c>
      <c r="AG174" s="245" t="str">
        <f t="shared" si="72"/>
        <v>NW</v>
      </c>
      <c r="AH174" s="237" t="str">
        <f t="shared" si="73"/>
        <v>"%USERPROFILE%\Documents\GitHub\eaglep3\Utilities\RefineRTDCRunTimes.py" --tripid 815-28 --locoid 4002 --swversion DE.1.0.9.0 --startMP 204:1083 --initTime 2017-11-28T10:05:59 --startdatetime 2017-11-28T10:09:14 --delay 58 --endMP 300:58965 --enddatetime 2017-11-28T10:22:58 --enforcementcount 0 &gt;&gt;%USERPROFILE%\Documents\GitHub\eaglep3-reporting\EC\2017-11-28-refined-times.txt</v>
      </c>
      <c r="AI174" s="239" t="str">
        <f t="shared" si="74"/>
        <v>echo {"issue":{"subject":"","project_id":79,"tracker_id":40,"status_id":1,"priority_id":2,"assigned_to_id":338,"start_date":"2017-11-28","description":"","custom_fields":[{"id":1,"name":"Subdivision","value":"NW"},{"id":4,"name":"Milepost","value":"5.8965"},{"id":17,"name":"Train ID","value":"815-28"},{"id":16,"name":"Locomotive ID","value":"4002"},{"id":130,"name":"Impact","value":""},{"id":150,"name":"Time of Event (Mountain Time)","value":"10:22:58"},{"id":151,"name":"Denver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4" s="224"/>
      <c r="AK174" s="232"/>
      <c r="AL174" s="232"/>
      <c r="AM174" s="241" t="str">
        <f t="shared" si="75"/>
        <v>start /low /b %USERPROFILE%\Documents\GitHub\eaglep3\Utilities\DownloadLogsFromS3.py --loco 4002 --day 2017-11-28</v>
      </c>
      <c r="AN174" s="242" t="str">
        <f t="shared" si="76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17:22:58"},{"id":29,"name":"Sharepoint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231" t="str">
        <f t="shared" si="77"/>
        <v>https://d0f6bd738d7f1b3e5a7ca70fe4ff75f0.us-east-1.aws.found.io/app/kibana#/discover/Steve-Slow-Train-Analysis-(2080s-and-2083s)?_g=(refreshInterval:(display:Off,pause:!f,section:0,value:0),time:(from:'2017-11-28T09:05:59-0700',mode:absolute,to:'2017-11-28T11:22:58-0700'))&amp;_a=(columns:!('Message%20ID',Summary),filters:!(),index:'emp_*',interval:auto,query:(query_string:(analyze_wildcard:!t,query:'%22rtdc.l.rtdc.4002%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25">
      <c r="A175" s="230" t="s">
        <v>750</v>
      </c>
      <c r="B175" s="226">
        <v>4001</v>
      </c>
      <c r="C175" s="228" t="s">
        <v>192</v>
      </c>
      <c r="D175" s="228" t="s">
        <v>1031</v>
      </c>
      <c r="E175" s="227">
        <v>43067.436932870369</v>
      </c>
      <c r="F175" s="227">
        <v>43067.446527777778</v>
      </c>
      <c r="G175" s="226">
        <v>57</v>
      </c>
      <c r="H175" s="228" t="s">
        <v>500</v>
      </c>
      <c r="I175" s="227">
        <v>43067.454861111109</v>
      </c>
      <c r="J175" s="226">
        <v>0</v>
      </c>
      <c r="K175" s="238" t="str">
        <f t="shared" si="63"/>
        <v>4001/4002</v>
      </c>
      <c r="L175" s="246" t="str">
        <f>VLOOKUP(A175,'Trips&amp;Operators'!$C$1:$G$99911,5,FALSE)</f>
        <v>LONG FULLER</v>
      </c>
      <c r="M175" s="225">
        <f t="shared" si="64"/>
        <v>8.333333331393078E-3</v>
      </c>
      <c r="N175" s="226">
        <f t="shared" si="79"/>
        <v>11.999999997206032</v>
      </c>
      <c r="O175" s="226"/>
      <c r="P175" s="226"/>
      <c r="Q175" s="229"/>
      <c r="R175" s="243"/>
      <c r="S175" s="250">
        <f t="shared" si="80"/>
        <v>1</v>
      </c>
      <c r="T175" s="243" t="str">
        <f t="shared" si="65"/>
        <v>Southbound</v>
      </c>
      <c r="U175" s="247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49" t="str">
        <f t="shared" si="66"/>
        <v>https://d0f6bd738d7f1b3e5a7ca70fe4ff75f0.us-east-1.aws.found.io/app/kibana#/discover/Steve-Slow-Train-Analysis-(2080s-and-2083s)?_g=(refreshInterval:(display:Off,pause:!f,section:0,value:0),time:(from:'2017-11-28T09:29:11-0700',mode:absolute,to:'2017-11-28T11:55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75" s="248" t="str">
        <f>IF(AA175&lt;VLOOKUP(AG175,Variables!$AC$3:$AD$8,2,FALSE),"Y","N")</f>
        <v>N</v>
      </c>
      <c r="X175" s="248">
        <f t="shared" si="83"/>
        <v>1</v>
      </c>
      <c r="Y175" s="248">
        <f t="shared" si="81"/>
        <v>5.8644999999999996</v>
      </c>
      <c r="Z175" s="248">
        <f t="shared" si="78"/>
        <v>8.4500000000000006E-2</v>
      </c>
      <c r="AA175" s="248">
        <f t="shared" si="68"/>
        <v>5.7799999999999994</v>
      </c>
      <c r="AB175" s="234" t="e">
        <f>VLOOKUP(A175,Enforcements!$C$7:$K$9,8,0)</f>
        <v>#N/A</v>
      </c>
      <c r="AC175" s="233" t="e">
        <f>VLOOKUP(A175,Enforcements!$C$7:$E$9,3,0)</f>
        <v>#N/A</v>
      </c>
      <c r="AD175" s="244">
        <f t="shared" si="69"/>
        <v>816</v>
      </c>
      <c r="AE175" s="236" t="str">
        <f t="shared" si="70"/>
        <v>aws s3 cp s3://rtdc.mdm.uploadarchive.raw/RTDC4001/ "%USERPROFILE%\AppData\Local\Temp\OnboardLogs"\RTDC4001\2017-11-28 --exclude "*" --recursive --include "*20171128*" &amp; "%USERPROFILE%\Documents\GitHub\mrs-test-scripts\Headless Mode &amp; Sideloading\WalkAndUnGZ.bat" "%USERPROFILE%\AppData\Local\Temp\OnboardLogs"\RTDC4001\2017-11-28 &amp; aws s3 cp s3://rtdc.mdm.uploadarchive.raw/RTDC4001/ "%USERPROFILE%\AppData\Local\Temp\OnboardLogs"\RTDC4001\2017-11-29 --exclude "*" --recursive --include "*20171129*" &amp; "%USERPROFILE%\Documents\GitHub\mrs-test-scripts\Headless Mode &amp; Sideloading\WalkAndUnGZ.bat" "%USERPROFILE%\AppData\Local\Temp\OnboardLogs"\RTDC4001\2017-11-29</v>
      </c>
      <c r="AF175" s="235" t="str">
        <f t="shared" si="71"/>
        <v>"C:\Program Files (x86)\AstroGrep\AstroGrep.exe" /e /r /s /spath="%USERPROFILE%\AppData\Local\Temp\OnboardLogs" /stypes="app*4001*20171128*" /stext=" 17:.+((SYSTEM_STATE.+slice.+state.+changed )|(ment ac)|(multiple cpu faults)|(system.+state.+changed )|(\[timeout)|(PRM\|1\|D)|(kpr)|(kdp)|(train st.+moving)|(\|lc)|(penalty))"</v>
      </c>
      <c r="AG175" s="245" t="str">
        <f t="shared" si="72"/>
        <v>NW</v>
      </c>
      <c r="AH175" s="237" t="str">
        <f t="shared" si="73"/>
        <v>"%USERPROFILE%\Documents\GitHub\eaglep3\Utilities\RefineRTDCRunTimes.py" --tripid 816-28 --locoid 4001 --swversion DE.1.0.9.0 --startMP 300:58645 --initTime 2017-11-28T10:29:11 --startdatetime 2017-11-28T10:43:00 --delay 57 --endMP 204:845 --enddatetime 2017-11-28T10:55:00 --enforcementcount 0 &gt;&gt;%USERPROFILE%\Documents\GitHub\eaglep3-reporting\EC\2017-11-28-refined-times.txt</v>
      </c>
      <c r="AI175" s="239" t="str">
        <f t="shared" si="74"/>
        <v>echo {"issue":{"subject":"","project_id":79,"tracker_id":40,"status_id":1,"priority_id":2,"assigned_to_id":338,"start_date":"2017-11-28","description":"","custom_fields":[{"id":1,"name":"Subdivision","value":"NW"},{"id":4,"name":"Milepost","value":"0.0845"},{"id":17,"name":"Train ID","value":"816-28"},{"id":16,"name":"Locomotive ID","value":"4001"},{"id":130,"name":"Impact","value":""},{"id":150,"name":"Time of Event (Mountain Time)","value":"10:55:00"},{"id":151,"name":"Denver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5" s="224"/>
      <c r="AK175" s="232"/>
      <c r="AL175" s="232"/>
      <c r="AM175" s="241" t="str">
        <f t="shared" si="75"/>
        <v>start /low /b %USERPROFILE%\Documents\GitHub\eaglep3\Utilities\DownloadLogsFromS3.py --loco 4001 --day 2017-11-28</v>
      </c>
      <c r="AN175" s="242" t="str">
        <f t="shared" si="76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17:55:00"},{"id":29,"name":"Sharepoint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231" t="str">
        <f t="shared" si="77"/>
        <v>https://d0f6bd738d7f1b3e5a7ca70fe4ff75f0.us-east-1.aws.found.io/app/kibana#/discover/Steve-Slow-Train-Analysis-(2080s-and-2083s)?_g=(refreshInterval:(display:Off,pause:!f,section:0,value:0),time:(from:'2017-11-28T09:29:11-0700',mode:absolute,to:'2017-11-28T11:55:00-0700'))&amp;_a=(columns:!('Message%20ID',Summary),filters:!(),index:'emp_*',interval:auto,query:(query_string:(analyze_wildcard:!t,query:'%22rtdc.l.rtdc.4001%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25">
      <c r="A176" s="230" t="s">
        <v>755</v>
      </c>
      <c r="B176" s="226">
        <v>4002</v>
      </c>
      <c r="C176" s="228" t="s">
        <v>192</v>
      </c>
      <c r="D176" s="228" t="s">
        <v>623</v>
      </c>
      <c r="E176" s="227">
        <v>43067.45685185185</v>
      </c>
      <c r="F176" s="227">
        <v>43067.464999999997</v>
      </c>
      <c r="G176" s="226">
        <v>83</v>
      </c>
      <c r="H176" s="228" t="s">
        <v>1018</v>
      </c>
      <c r="I176" s="227">
        <v>43067.475648148145</v>
      </c>
      <c r="J176" s="226">
        <v>0</v>
      </c>
      <c r="K176" s="238" t="str">
        <f t="shared" si="63"/>
        <v>4001/4002</v>
      </c>
      <c r="L176" s="246" t="str">
        <f>VLOOKUP(A176,'Trips&amp;Operators'!$C$1:$G$99911,5,FALSE)</f>
        <v>LONG FULLER</v>
      </c>
      <c r="M176" s="225">
        <f t="shared" si="64"/>
        <v>1.0648148148902692E-2</v>
      </c>
      <c r="N176" s="226">
        <f t="shared" si="79"/>
        <v>15.333333334419876</v>
      </c>
      <c r="O176" s="226"/>
      <c r="P176" s="226"/>
      <c r="Q176" s="229"/>
      <c r="R176" s="243"/>
      <c r="S176" s="250">
        <f t="shared" si="80"/>
        <v>1</v>
      </c>
      <c r="T176" s="243" t="str">
        <f t="shared" si="65"/>
        <v>NorthBound</v>
      </c>
      <c r="U176" s="247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49" t="str">
        <f t="shared" si="66"/>
        <v>https://d0f6bd738d7f1b3e5a7ca70fe4ff75f0.us-east-1.aws.found.io/app/kibana#/discover/Steve-Slow-Train-Analysis-(2080s-and-2083s)?_g=(refreshInterval:(display:Off,pause:!f,section:0,value:0),time:(from:'2017-11-28T09:57:52-0700',mode:absolute,to:'2017-11-28T12:24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76" s="248" t="str">
        <f>IF(AA176&lt;VLOOKUP(AG176,Variables!$AC$3:$AD$8,2,FALSE),"Y","N")</f>
        <v>N</v>
      </c>
      <c r="X176" s="248">
        <f t="shared" si="83"/>
        <v>1</v>
      </c>
      <c r="Y176" s="248">
        <f t="shared" si="81"/>
        <v>0.1119</v>
      </c>
      <c r="Z176" s="248">
        <f t="shared" si="78"/>
        <v>5.8944000000000001</v>
      </c>
      <c r="AA176" s="248">
        <f t="shared" si="68"/>
        <v>5.7824999999999998</v>
      </c>
      <c r="AB176" s="234" t="e">
        <f>VLOOKUP(A176,Enforcements!$C$7:$K$9,8,0)</f>
        <v>#N/A</v>
      </c>
      <c r="AC176" s="233" t="e">
        <f>VLOOKUP(A176,Enforcements!$C$7:$E$9,3,0)</f>
        <v>#N/A</v>
      </c>
      <c r="AD176" s="244">
        <f t="shared" si="69"/>
        <v>817</v>
      </c>
      <c r="AE176" s="236" t="str">
        <f t="shared" si="70"/>
        <v>aws s3 cp s3://rtdc.mdm.uploadarchive.raw/RTDC4002/ "%USERPROFILE%\AppData\Local\Temp\OnboardLogs"\RTDC4002\2017-11-28 --exclude "*" --recursive --include "*20171128*" &amp; "%USERPROFILE%\Documents\GitHub\mrs-test-scripts\Headless Mode &amp; Sideloading\WalkAndUnGZ.bat" "%USERPROFILE%\AppData\Local\Temp\OnboardLogs"\RTDC4002\2017-11-28 &amp; aws s3 cp s3://rtdc.mdm.uploadarchive.raw/RTDC4002/ "%USERPROFILE%\AppData\Local\Temp\OnboardLogs"\RTDC4002\2017-11-29 --exclude "*" --recursive --include "*20171129*" &amp; "%USERPROFILE%\Documents\GitHub\mrs-test-scripts\Headless Mode &amp; Sideloading\WalkAndUnGZ.bat" "%USERPROFILE%\AppData\Local\Temp\OnboardLogs"\RTDC4002\2017-11-29</v>
      </c>
      <c r="AF176" s="235" t="str">
        <f t="shared" si="71"/>
        <v>"C:\Program Files (x86)\AstroGrep\AstroGrep.exe" /e /r /s /spath="%USERPROFILE%\AppData\Local\Temp\OnboardLogs" /stypes="app*4002*20171128*" /stext=" 18:.+((SYSTEM_STATE.+slice.+state.+changed )|(ment ac)|(multiple cpu faults)|(system.+state.+changed )|(\[timeout)|(PRM\|1\|D)|(kpr)|(kdp)|(train st.+moving)|(\|lc)|(penalty))"</v>
      </c>
      <c r="AG176" s="245" t="str">
        <f t="shared" si="72"/>
        <v>NW</v>
      </c>
      <c r="AH176" s="237" t="str">
        <f t="shared" si="73"/>
        <v>"%USERPROFILE%\Documents\GitHub\eaglep3\Utilities\RefineRTDCRunTimes.py" --tripid 817-28 --locoid 4002 --swversion DE.1.0.9.0 --startMP 204:1119 --initTime 2017-11-28T10:57:52 --startdatetime 2017-11-28T11:09:36 --delay 83 --endMP 300:58944 --enddatetime 2017-11-28T11:24:56 --enforcementcount 0 &gt;&gt;%USERPROFILE%\Documents\GitHub\eaglep3-reporting\EC\2017-11-28-refined-times.txt</v>
      </c>
      <c r="AI176" s="239" t="str">
        <f t="shared" si="74"/>
        <v>echo {"issue":{"subject":"","project_id":79,"tracker_id":40,"status_id":1,"priority_id":2,"assigned_to_id":338,"start_date":"2017-11-28","description":"","custom_fields":[{"id":1,"name":"Subdivision","value":"NW"},{"id":4,"name":"Milepost","value":"5.8944"},{"id":17,"name":"Train ID","value":"817-28"},{"id":16,"name":"Locomotive ID","value":"4002"},{"id":130,"name":"Impact","value":""},{"id":150,"name":"Time of Event (Mountain Time)","value":"11:24:56"},{"id":151,"name":"Denver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6" s="224"/>
      <c r="AK176" s="232"/>
      <c r="AL176" s="232"/>
      <c r="AM176" s="241" t="str">
        <f t="shared" si="75"/>
        <v>start /low /b %USERPROFILE%\Documents\GitHub\eaglep3\Utilities\DownloadLogsFromS3.py --loco 4002 --day 2017-11-28</v>
      </c>
      <c r="AN176" s="242" t="str">
        <f t="shared" si="76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18:24:56"},{"id":29,"name":"Sharepoint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231" t="str">
        <f t="shared" si="77"/>
        <v>https://d0f6bd738d7f1b3e5a7ca70fe4ff75f0.us-east-1.aws.found.io/app/kibana#/discover/Steve-Slow-Train-Analysis-(2080s-and-2083s)?_g=(refreshInterval:(display:Off,pause:!f,section:0,value:0),time:(from:'2017-11-28T09:57:52-0700',mode:absolute,to:'2017-11-28T12:24:56-0700'))&amp;_a=(columns:!('Message%20ID',Summary),filters:!(),index:'emp_*',interval:auto,query:(query_string:(analyze_wildcard:!t,query:'%22rtdc.l.rtdc.4002%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25">
      <c r="A177" s="230" t="s">
        <v>653</v>
      </c>
      <c r="B177" s="226">
        <v>4001</v>
      </c>
      <c r="C177" s="228" t="s">
        <v>192</v>
      </c>
      <c r="D177" s="228" t="s">
        <v>1042</v>
      </c>
      <c r="E177" s="227">
        <v>43067.479791666665</v>
      </c>
      <c r="F177" s="227">
        <v>43067.487500000003</v>
      </c>
      <c r="G177" s="226">
        <v>163</v>
      </c>
      <c r="H177" s="228" t="s">
        <v>1043</v>
      </c>
      <c r="I177" s="227">
        <v>43067.496238425927</v>
      </c>
      <c r="J177" s="226">
        <v>0</v>
      </c>
      <c r="K177" s="238" t="str">
        <f t="shared" si="63"/>
        <v>4001/4002</v>
      </c>
      <c r="L177" s="246" t="str">
        <f>VLOOKUP(A177,'Trips&amp;Operators'!$C$1:$G$99911,5,FALSE)</f>
        <v>LONG FULLER</v>
      </c>
      <c r="M177" s="225">
        <f t="shared" si="64"/>
        <v>8.7384259240934625E-3</v>
      </c>
      <c r="N177" s="226">
        <f t="shared" si="79"/>
        <v>12.583333330694586</v>
      </c>
      <c r="O177" s="226"/>
      <c r="P177" s="226"/>
      <c r="Q177" s="229"/>
      <c r="R177" s="243"/>
      <c r="S177" s="250">
        <f t="shared" si="80"/>
        <v>1</v>
      </c>
      <c r="T177" s="243" t="str">
        <f t="shared" si="65"/>
        <v>Southbound</v>
      </c>
      <c r="U177" s="247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49" t="str">
        <f t="shared" si="66"/>
        <v>https://d0f6bd738d7f1b3e5a7ca70fe4ff75f0.us-east-1.aws.found.io/app/kibana#/discover/Steve-Slow-Train-Analysis-(2080s-and-2083s)?_g=(refreshInterval:(display:Off,pause:!f,section:0,value:0),time:(from:'2017-11-28T10:30:54-0700',mode:absolute,to:'2017-11-28T12:54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77" s="248" t="str">
        <f>IF(AA177&lt;VLOOKUP(AG177,Variables!$AC$3:$AD$8,2,FALSE),"Y","N")</f>
        <v>Y</v>
      </c>
      <c r="X177" s="248">
        <f t="shared" si="83"/>
        <v>1</v>
      </c>
      <c r="Y177" s="248">
        <f t="shared" si="81"/>
        <v>5.8624000000000001</v>
      </c>
      <c r="Z177" s="248">
        <f t="shared" si="78"/>
        <v>0.45579999999999998</v>
      </c>
      <c r="AA177" s="248">
        <f t="shared" si="68"/>
        <v>5.4066000000000001</v>
      </c>
      <c r="AB177" s="234" t="e">
        <f>VLOOKUP(A177,Enforcements!$C$7:$K$9,8,0)</f>
        <v>#N/A</v>
      </c>
      <c r="AC177" s="233" t="e">
        <f>VLOOKUP(A177,Enforcements!$C$7:$E$9,3,0)</f>
        <v>#N/A</v>
      </c>
      <c r="AD177" s="244">
        <f t="shared" si="69"/>
        <v>818</v>
      </c>
      <c r="AE177" s="236" t="str">
        <f t="shared" si="70"/>
        <v>aws s3 cp s3://rtdc.mdm.uploadarchive.raw/RTDC4001/ "%USERPROFILE%\AppData\Local\Temp\OnboardLogs"\RTDC4001\2017-11-28 --exclude "*" --recursive --include "*20171128*" &amp; "%USERPROFILE%\Documents\GitHub\mrs-test-scripts\Headless Mode &amp; Sideloading\WalkAndUnGZ.bat" "%USERPROFILE%\AppData\Local\Temp\OnboardLogs"\RTDC4001\2017-11-28 &amp; aws s3 cp s3://rtdc.mdm.uploadarchive.raw/RTDC4001/ "%USERPROFILE%\AppData\Local\Temp\OnboardLogs"\RTDC4001\2017-11-29 --exclude "*" --recursive --include "*20171129*" &amp; "%USERPROFILE%\Documents\GitHub\mrs-test-scripts\Headless Mode &amp; Sideloading\WalkAndUnGZ.bat" "%USERPROFILE%\AppData\Local\Temp\OnboardLogs"\RTDC4001\2017-11-29</v>
      </c>
      <c r="AF177" s="235" t="str">
        <f t="shared" si="71"/>
        <v>"C:\Program Files (x86)\AstroGrep\AstroGrep.exe" /e /r /s /spath="%USERPROFILE%\AppData\Local\Temp\OnboardLogs" /stypes="app*4001*20171128*" /stext=" 18:.+((SYSTEM_STATE.+slice.+state.+changed )|(ment ac)|(multiple cpu faults)|(system.+state.+changed )|(\[timeout)|(PRM\|1\|D)|(kpr)|(kdp)|(train st.+moving)|(\|lc)|(penalty))"</v>
      </c>
      <c r="AG177" s="245" t="str">
        <f t="shared" si="72"/>
        <v>NW</v>
      </c>
      <c r="AH177" s="237" t="str">
        <f t="shared" si="73"/>
        <v>"%USERPROFILE%\Documents\GitHub\eaglep3\Utilities\RefineRTDCRunTimes.py" --tripid 818-28 --locoid 4001 --swversion DE.1.0.9.0 --startMP 300:58624 --initTime 2017-11-28T11:30:54 --startdatetime 2017-11-28T11:42:00 --delay 163 --endMP 204:4558 --enddatetime 2017-11-28T11:54:35 --enforcementcount 0 &gt;&gt;%USERPROFILE%\Documents\GitHub\eaglep3-reporting\EC\2017-11-28-refined-times.txt</v>
      </c>
      <c r="AI177" s="239" t="str">
        <f t="shared" si="74"/>
        <v>echo {"issue":{"subject":"","project_id":79,"tracker_id":40,"status_id":1,"priority_id":2,"assigned_to_id":338,"start_date":"2017-11-28","description":"","custom_fields":[{"id":1,"name":"Subdivision","value":"NW"},{"id":4,"name":"Milepost","value":"0.4558"},{"id":17,"name":"Train ID","value":"818-28"},{"id":16,"name":"Locomotive ID","value":"4001"},{"id":130,"name":"Impact","value":""},{"id":150,"name":"Time of Event (Mountain Time)","value":"11:54:35"},{"id":151,"name":"Denver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7" s="224"/>
      <c r="AK177" s="232"/>
      <c r="AL177" s="232"/>
      <c r="AM177" s="241" t="str">
        <f t="shared" si="75"/>
        <v>start /low /b %USERPROFILE%\Documents\GitHub\eaglep3\Utilities\DownloadLogsFromS3.py --loco 4001 --day 2017-11-28</v>
      </c>
      <c r="AN177" s="242" t="str">
        <f t="shared" si="76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18:54:35"},{"id":29,"name":"Sharepoint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231" t="str">
        <f t="shared" si="77"/>
        <v>https://d0f6bd738d7f1b3e5a7ca70fe4ff75f0.us-east-1.aws.found.io/app/kibana#/discover/Steve-Slow-Train-Analysis-(2080s-and-2083s)?_g=(refreshInterval:(display:Off,pause:!f,section:0,value:0),time:(from:'2017-11-28T10:30:54-0700',mode:absolute,to:'2017-11-28T12:54:35-0700'))&amp;_a=(columns:!('Message%20ID',Summary),filters:!(),index:'emp_*',interval:auto,query:(query_string:(analyze_wildcard:!t,query:'%22rtdc.l.rtdc.4001%22')),sort:!(Time.ISO8601,asc))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25">
      <c r="A178" s="230" t="s">
        <v>767</v>
      </c>
      <c r="B178" s="226">
        <v>4002</v>
      </c>
      <c r="C178" s="228" t="s">
        <v>192</v>
      </c>
      <c r="D178" s="228" t="s">
        <v>1044</v>
      </c>
      <c r="E178" s="227">
        <v>43067.505439814813</v>
      </c>
      <c r="F178" s="227">
        <v>43067.507256944446</v>
      </c>
      <c r="G178" s="226">
        <v>78</v>
      </c>
      <c r="H178" s="228" t="s">
        <v>1045</v>
      </c>
      <c r="I178" s="227">
        <v>43067.517777777779</v>
      </c>
      <c r="J178" s="226">
        <v>0</v>
      </c>
      <c r="K178" s="238" t="str">
        <f t="shared" si="63"/>
        <v>4001/4002</v>
      </c>
      <c r="L178" s="246" t="str">
        <f>VLOOKUP(A178,'Trips&amp;Operators'!$C$1:$G$99911,5,FALSE)</f>
        <v>LONG FULLER</v>
      </c>
      <c r="M178" s="225">
        <f t="shared" si="64"/>
        <v>1.0520833333430346E-2</v>
      </c>
      <c r="N178" s="226">
        <f t="shared" si="79"/>
        <v>15.150000000139698</v>
      </c>
      <c r="O178" s="226"/>
      <c r="P178" s="226"/>
      <c r="Q178" s="229"/>
      <c r="R178" s="243"/>
      <c r="S178" s="250">
        <f t="shared" si="80"/>
        <v>1</v>
      </c>
      <c r="T178" s="243" t="str">
        <f t="shared" si="65"/>
        <v>NorthBound</v>
      </c>
      <c r="U178" s="247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49" t="str">
        <f t="shared" si="66"/>
        <v>https://d0f6bd738d7f1b3e5a7ca70fe4ff75f0.us-east-1.aws.found.io/app/kibana#/discover/Steve-Slow-Train-Analysis-(2080s-and-2083s)?_g=(refreshInterval:(display:Off,pause:!f,section:0,value:0),time:(from:'2017-11-28T11:07:50-0700',mode:absolute,to:'2017-11-28T13:25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78" s="248" t="str">
        <f>IF(AA178&lt;VLOOKUP(AG178,Variables!$AC$3:$AD$8,2,FALSE),"Y","N")</f>
        <v>N</v>
      </c>
      <c r="X178" s="248">
        <f t="shared" si="83"/>
        <v>1</v>
      </c>
      <c r="Y178" s="248">
        <f t="shared" si="81"/>
        <v>0.1135</v>
      </c>
      <c r="Z178" s="248">
        <f t="shared" si="78"/>
        <v>5.8940999999999999</v>
      </c>
      <c r="AA178" s="248">
        <f t="shared" si="68"/>
        <v>5.7805999999999997</v>
      </c>
      <c r="AB178" s="234" t="e">
        <f>VLOOKUP(A178,Enforcements!$C$7:$K$9,8,0)</f>
        <v>#N/A</v>
      </c>
      <c r="AC178" s="233" t="e">
        <f>VLOOKUP(A178,Enforcements!$C$7:$E$9,3,0)</f>
        <v>#N/A</v>
      </c>
      <c r="AD178" s="244">
        <f t="shared" si="69"/>
        <v>819</v>
      </c>
      <c r="AE178" s="236" t="str">
        <f t="shared" si="70"/>
        <v>aws s3 cp s3://rtdc.mdm.uploadarchive.raw/RTDC4002/ "%USERPROFILE%\AppData\Local\Temp\OnboardLogs"\RTDC4002\2017-11-28 --exclude "*" --recursive --include "*20171128*" &amp; "%USERPROFILE%\Documents\GitHub\mrs-test-scripts\Headless Mode &amp; Sideloading\WalkAndUnGZ.bat" "%USERPROFILE%\AppData\Local\Temp\OnboardLogs"\RTDC4002\2017-11-28 &amp; aws s3 cp s3://rtdc.mdm.uploadarchive.raw/RTDC4002/ "%USERPROFILE%\AppData\Local\Temp\OnboardLogs"\RTDC4002\2017-11-29 --exclude "*" --recursive --include "*20171129*" &amp; "%USERPROFILE%\Documents\GitHub\mrs-test-scripts\Headless Mode &amp; Sideloading\WalkAndUnGZ.bat" "%USERPROFILE%\AppData\Local\Temp\OnboardLogs"\RTDC4002\2017-11-29</v>
      </c>
      <c r="AF178" s="235" t="str">
        <f t="shared" si="71"/>
        <v>"C:\Program Files (x86)\AstroGrep\AstroGrep.exe" /e /r /s /spath="%USERPROFILE%\AppData\Local\Temp\OnboardLogs" /stypes="app*4002*20171128*" /stext=" 19:.+((SYSTEM_STATE.+slice.+state.+changed )|(ment ac)|(multiple cpu faults)|(system.+state.+changed )|(\[timeout)|(PRM\|1\|D)|(kpr)|(kdp)|(train st.+moving)|(\|lc)|(penalty))"</v>
      </c>
      <c r="AG178" s="245" t="str">
        <f t="shared" si="72"/>
        <v>NW</v>
      </c>
      <c r="AH178" s="237" t="str">
        <f t="shared" si="73"/>
        <v>"%USERPROFILE%\Documents\GitHub\eaglep3\Utilities\RefineRTDCRunTimes.py" --tripid 819-28 --locoid 4002 --swversion DE.1.0.9.0 --startMP 204:1135 --initTime 2017-11-28T12:07:50 --startdatetime 2017-11-28T12:10:27 --delay 78 --endMP 300:58941 --enddatetime 2017-11-28T12:25:36 --enforcementcount 0 &gt;&gt;%USERPROFILE%\Documents\GitHub\eaglep3-reporting\EC\2017-11-28-refined-times.txt</v>
      </c>
      <c r="AI178" s="239" t="str">
        <f t="shared" si="74"/>
        <v>echo {"issue":{"subject":"","project_id":79,"tracker_id":40,"status_id":1,"priority_id":2,"assigned_to_id":338,"start_date":"2017-11-28","description":"","custom_fields":[{"id":1,"name":"Subdivision","value":"NW"},{"id":4,"name":"Milepost","value":"5.8941"},{"id":17,"name":"Train ID","value":"819-28"},{"id":16,"name":"Locomotive ID","value":"4002"},{"id":130,"name":"Impact","value":""},{"id":150,"name":"Time of Event (Mountain Time)","value":"12:25:36"},{"id":151,"name":"Denver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8" s="224"/>
      <c r="AK178" s="232"/>
      <c r="AL178" s="232"/>
      <c r="AM178" s="241" t="str">
        <f t="shared" si="75"/>
        <v>start /low /b %USERPROFILE%\Documents\GitHub\eaglep3\Utilities\DownloadLogsFromS3.py --loco 4002 --day 2017-11-28</v>
      </c>
      <c r="AN178" s="242" t="str">
        <f t="shared" si="76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19:25:36"},{"id":29,"name":"Sharepoint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231" t="str">
        <f t="shared" si="77"/>
        <v>https://d0f6bd738d7f1b3e5a7ca70fe4ff75f0.us-east-1.aws.found.io/app/kibana#/discover/Steve-Slow-Train-Analysis-(2080s-and-2083s)?_g=(refreshInterval:(display:Off,pause:!f,section:0,value:0),time:(from:'2017-11-28T11:07:50-0700',mode:absolute,to:'2017-11-28T13:25:36-0700'))&amp;_a=(columns:!('Message%20ID',Summary),filters:!(),index:'emp_*',interval:auto,query:(query_string:(analyze_wildcard:!t,query:'%22rtdc.l.rtdc.4002%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0" customFormat="1" x14ac:dyDescent="0.25">
      <c r="A179" s="230" t="s">
        <v>654</v>
      </c>
      <c r="B179" s="226">
        <v>4001</v>
      </c>
      <c r="C179" s="228" t="s">
        <v>192</v>
      </c>
      <c r="D179" s="228" t="s">
        <v>620</v>
      </c>
      <c r="E179" s="227">
        <v>43067.519537037035</v>
      </c>
      <c r="F179" s="227">
        <v>43067.529166666667</v>
      </c>
      <c r="G179" s="226">
        <v>73</v>
      </c>
      <c r="H179" s="228" t="s">
        <v>1046</v>
      </c>
      <c r="I179" s="227">
        <v>43067.539780092593</v>
      </c>
      <c r="J179" s="226">
        <v>0</v>
      </c>
      <c r="K179" s="238" t="str">
        <f t="shared" si="63"/>
        <v>4001/4002</v>
      </c>
      <c r="L179" s="246" t="str">
        <f>VLOOKUP(A179,'Trips&amp;Operators'!$C$1:$G$99911,5,FALSE)</f>
        <v>LONG FULLER</v>
      </c>
      <c r="M179" s="225">
        <f t="shared" si="64"/>
        <v>1.0613425925839692E-2</v>
      </c>
      <c r="N179" s="226">
        <f t="shared" si="79"/>
        <v>15.283333333209157</v>
      </c>
      <c r="O179" s="226"/>
      <c r="P179" s="226"/>
      <c r="Q179" s="229"/>
      <c r="R179" s="243"/>
      <c r="S179" s="250">
        <f t="shared" si="80"/>
        <v>1</v>
      </c>
      <c r="T179" s="243" t="str">
        <f t="shared" si="65"/>
        <v>Southbound</v>
      </c>
      <c r="U179" s="247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49" t="str">
        <f t="shared" si="66"/>
        <v>https://d0f6bd738d7f1b3e5a7ca70fe4ff75f0.us-east-1.aws.found.io/app/kibana#/discover/Steve-Slow-Train-Analysis-(2080s-and-2083s)?_g=(refreshInterval:(display:Off,pause:!f,section:0,value:0),time:(from:'2017-11-28T11:28:08-0700',mode:absolute,to:'2017-11-28T13:57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79" s="248" t="str">
        <f>IF(AA179&lt;VLOOKUP(AG179,Variables!$AC$3:$AD$8,2,FALSE),"Y","N")</f>
        <v>N</v>
      </c>
      <c r="X179" s="248">
        <f t="shared" si="83"/>
        <v>1</v>
      </c>
      <c r="Y179" s="248">
        <f t="shared" si="81"/>
        <v>5.8615000000000004</v>
      </c>
      <c r="Z179" s="248">
        <f t="shared" si="78"/>
        <v>8.3799999999999999E-2</v>
      </c>
      <c r="AA179" s="248">
        <f t="shared" si="68"/>
        <v>5.7777000000000003</v>
      </c>
      <c r="AB179" s="234" t="e">
        <f>VLOOKUP(A179,Enforcements!$C$7:$K$9,8,0)</f>
        <v>#N/A</v>
      </c>
      <c r="AC179" s="233" t="e">
        <f>VLOOKUP(A179,Enforcements!$C$7:$E$9,3,0)</f>
        <v>#N/A</v>
      </c>
      <c r="AD179" s="244">
        <f t="shared" si="69"/>
        <v>820</v>
      </c>
      <c r="AE179" s="236" t="str">
        <f t="shared" si="70"/>
        <v>aws s3 cp s3://rtdc.mdm.uploadarchive.raw/RTDC4001/ "%USERPROFILE%\AppData\Local\Temp\OnboardLogs"\RTDC4001\2017-11-28 --exclude "*" --recursive --include "*20171128*" &amp; "%USERPROFILE%\Documents\GitHub\mrs-test-scripts\Headless Mode &amp; Sideloading\WalkAndUnGZ.bat" "%USERPROFILE%\AppData\Local\Temp\OnboardLogs"\RTDC4001\2017-11-28 &amp; aws s3 cp s3://rtdc.mdm.uploadarchive.raw/RTDC4001/ "%USERPROFILE%\AppData\Local\Temp\OnboardLogs"\RTDC4001\2017-11-29 --exclude "*" --recursive --include "*20171129*" &amp; "%USERPROFILE%\Documents\GitHub\mrs-test-scripts\Headless Mode &amp; Sideloading\WalkAndUnGZ.bat" "%USERPROFILE%\AppData\Local\Temp\OnboardLogs"\RTDC4001\2017-11-29</v>
      </c>
      <c r="AF179" s="235" t="str">
        <f t="shared" si="71"/>
        <v>"C:\Program Files (x86)\AstroGrep\AstroGrep.exe" /e /r /s /spath="%USERPROFILE%\AppData\Local\Temp\OnboardLogs" /stypes="app*4001*20171128*" /stext=" 19:.+((SYSTEM_STATE.+slice.+state.+changed )|(ment ac)|(multiple cpu faults)|(system.+state.+changed )|(\[timeout)|(PRM\|1\|D)|(kpr)|(kdp)|(train st.+moving)|(\|lc)|(penalty))"</v>
      </c>
      <c r="AG179" s="245" t="str">
        <f t="shared" si="72"/>
        <v>NW</v>
      </c>
      <c r="AH179" s="237" t="str">
        <f t="shared" si="73"/>
        <v>"%USERPROFILE%\Documents\GitHub\eaglep3\Utilities\RefineRTDCRunTimes.py" --tripid 820-28 --locoid 4001 --swversion DE.1.0.9.0 --startMP 300:58615 --initTime 2017-11-28T12:28:08 --startdatetime 2017-11-28T12:42:00 --delay 73 --endMP 204:838 --enddatetime 2017-11-28T12:57:17 --enforcementcount 0 &gt;&gt;%USERPROFILE%\Documents\GitHub\eaglep3-reporting\EC\2017-11-28-refined-times.txt</v>
      </c>
      <c r="AI179" s="239" t="str">
        <f t="shared" si="74"/>
        <v>echo {"issue":{"subject":"","project_id":79,"tracker_id":40,"status_id":1,"priority_id":2,"assigned_to_id":338,"start_date":"2017-11-28","description":"","custom_fields":[{"id":1,"name":"Subdivision","value":"NW"},{"id":4,"name":"Milepost","value":"0.0838"},{"id":17,"name":"Train ID","value":"820-28"},{"id":16,"name":"Locomotive ID","value":"4001"},{"id":130,"name":"Impact","value":""},{"id":150,"name":"Time of Event (Mountain Time)","value":"12:57:17"},{"id":151,"name":"Denver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9" s="224"/>
      <c r="AK179" s="232"/>
      <c r="AL179" s="232"/>
      <c r="AM179" s="241" t="str">
        <f t="shared" si="75"/>
        <v>start /low /b %USERPROFILE%\Documents\GitHub\eaglep3\Utilities\DownloadLogsFromS3.py --loco 4001 --day 2017-11-28</v>
      </c>
      <c r="AN179" s="242" t="str">
        <f t="shared" si="76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19:57:17"},{"id":29,"name":"Sharepoint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231" t="str">
        <f t="shared" si="77"/>
        <v>https://d0f6bd738d7f1b3e5a7ca70fe4ff75f0.us-east-1.aws.found.io/app/kibana#/discover/Steve-Slow-Train-Analysis-(2080s-and-2083s)?_g=(refreshInterval:(display:Off,pause:!f,section:0,value:0),time:(from:'2017-11-28T11:28:08-0700',mode:absolute,to:'2017-11-28T13:57:17-0700'))&amp;_a=(columns:!('Message%20ID',Summary),filters:!(),index:'emp_*',interval:auto,query:(query_string:(analyze_wildcard:!t,query:'%22rtdc.l.rtdc.4001%22')),sort:!(Time.ISO8601,asc))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25">
      <c r="A180" s="230" t="s">
        <v>655</v>
      </c>
      <c r="B180" s="226">
        <v>4002</v>
      </c>
      <c r="C180" s="228" t="s">
        <v>192</v>
      </c>
      <c r="D180" s="228" t="s">
        <v>623</v>
      </c>
      <c r="E180" s="227">
        <v>43067.541701388887</v>
      </c>
      <c r="F180" s="227">
        <v>43067.548078703701</v>
      </c>
      <c r="G180" s="226">
        <v>69</v>
      </c>
      <c r="H180" s="228" t="s">
        <v>622</v>
      </c>
      <c r="I180" s="227">
        <v>43067.558055555557</v>
      </c>
      <c r="J180" s="226">
        <v>0</v>
      </c>
      <c r="K180" s="238" t="str">
        <f t="shared" si="63"/>
        <v>4001/4002</v>
      </c>
      <c r="L180" s="246" t="str">
        <f>VLOOKUP(A180,'Trips&amp;Operators'!$C$1:$G$99911,5,FALSE)</f>
        <v>NEWELL JAMES</v>
      </c>
      <c r="M180" s="225">
        <f t="shared" si="64"/>
        <v>9.976851855753921E-3</v>
      </c>
      <c r="N180" s="226">
        <f t="shared" si="79"/>
        <v>14.366666672285646</v>
      </c>
      <c r="O180" s="226"/>
      <c r="P180" s="226"/>
      <c r="Q180" s="229"/>
      <c r="R180" s="243"/>
      <c r="S180" s="250">
        <f t="shared" si="80"/>
        <v>1</v>
      </c>
      <c r="T180" s="243" t="str">
        <f t="shared" si="65"/>
        <v>NorthBound</v>
      </c>
      <c r="U180" s="247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49" t="str">
        <f t="shared" si="66"/>
        <v>https://d0f6bd738d7f1b3e5a7ca70fe4ff75f0.us-east-1.aws.found.io/app/kibana#/discover/Steve-Slow-Train-Analysis-(2080s-and-2083s)?_g=(refreshInterval:(display:Off,pause:!f,section:0,value:0),time:(from:'2017-11-28T12:00:03-0700',mode:absolute,to:'2017-11-28T14:23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80" s="248" t="str">
        <f>IF(AA180&lt;VLOOKUP(AG180,Variables!$AC$3:$AD$8,2,FALSE),"Y","N")</f>
        <v>N</v>
      </c>
      <c r="X180" s="248">
        <f t="shared" si="83"/>
        <v>1</v>
      </c>
      <c r="Y180" s="248">
        <f t="shared" si="81"/>
        <v>0.1119</v>
      </c>
      <c r="Z180" s="248">
        <f t="shared" si="78"/>
        <v>5.8929</v>
      </c>
      <c r="AA180" s="248">
        <f t="shared" si="68"/>
        <v>5.7809999999999997</v>
      </c>
      <c r="AB180" s="234" t="e">
        <f>VLOOKUP(A180,Enforcements!$C$7:$K$9,8,0)</f>
        <v>#N/A</v>
      </c>
      <c r="AC180" s="233" t="e">
        <f>VLOOKUP(A180,Enforcements!$C$7:$E$9,3,0)</f>
        <v>#N/A</v>
      </c>
      <c r="AD180" s="244">
        <f t="shared" si="69"/>
        <v>821</v>
      </c>
      <c r="AE180" s="236" t="str">
        <f t="shared" si="70"/>
        <v>aws s3 cp s3://rtdc.mdm.uploadarchive.raw/RTDC4002/ "%USERPROFILE%\AppData\Local\Temp\OnboardLogs"\RTDC4002\2017-11-28 --exclude "*" --recursive --include "*20171128*" &amp; "%USERPROFILE%\Documents\GitHub\mrs-test-scripts\Headless Mode &amp; Sideloading\WalkAndUnGZ.bat" "%USERPROFILE%\AppData\Local\Temp\OnboardLogs"\RTDC4002\2017-11-28 &amp; aws s3 cp s3://rtdc.mdm.uploadarchive.raw/RTDC4002/ "%USERPROFILE%\AppData\Local\Temp\OnboardLogs"\RTDC4002\2017-11-29 --exclude "*" --recursive --include "*20171129*" &amp; "%USERPROFILE%\Documents\GitHub\mrs-test-scripts\Headless Mode &amp; Sideloading\WalkAndUnGZ.bat" "%USERPROFILE%\AppData\Local\Temp\OnboardLogs"\RTDC4002\2017-11-29</v>
      </c>
      <c r="AF180" s="235" t="str">
        <f t="shared" si="71"/>
        <v>"C:\Program Files (x86)\AstroGrep\AstroGrep.exe" /e /r /s /spath="%USERPROFILE%\AppData\Local\Temp\OnboardLogs" /stypes="app*4002*20171128*" /stext=" 20:.+((SYSTEM_STATE.+slice.+state.+changed )|(ment ac)|(multiple cpu faults)|(system.+state.+changed )|(\[timeout)|(PRM\|1\|D)|(kpr)|(kdp)|(train st.+moving)|(\|lc)|(penalty))"</v>
      </c>
      <c r="AG180" s="245" t="str">
        <f t="shared" si="72"/>
        <v>NW</v>
      </c>
      <c r="AH180" s="237" t="str">
        <f t="shared" si="73"/>
        <v>"%USERPROFILE%\Documents\GitHub\eaglep3\Utilities\RefineRTDCRunTimes.py" --tripid 821-28 --locoid 4002 --swversion DE.1.0.9.0 --startMP 204:1119 --initTime 2017-11-28T13:00:03 --startdatetime 2017-11-28T13:09:14 --delay 69 --endMP 300:58929 --enddatetime 2017-11-28T13:23:36 --enforcementcount 0 &gt;&gt;%USERPROFILE%\Documents\GitHub\eaglep3-reporting\EC\2017-11-28-refined-times.txt</v>
      </c>
      <c r="AI180" s="239" t="str">
        <f t="shared" si="74"/>
        <v>echo {"issue":{"subject":"","project_id":79,"tracker_id":40,"status_id":1,"priority_id":2,"assigned_to_id":338,"start_date":"2017-11-28","description":"","custom_fields":[{"id":1,"name":"Subdivision","value":"NW"},{"id":4,"name":"Milepost","value":"5.8929"},{"id":17,"name":"Train ID","value":"821-28"},{"id":16,"name":"Locomotive ID","value":"4002"},{"id":130,"name":"Impact","value":""},{"id":150,"name":"Time of Event (Mountain Time)","value":"13:23:36"},{"id":151,"name":"Denver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0" s="224"/>
      <c r="AK180" s="232"/>
      <c r="AL180" s="232"/>
      <c r="AM180" s="241" t="str">
        <f t="shared" si="75"/>
        <v>start /low /b %USERPROFILE%\Documents\GitHub\eaglep3\Utilities\DownloadLogsFromS3.py --loco 4002 --day 2017-11-28</v>
      </c>
      <c r="AN180" s="242" t="str">
        <f t="shared" si="76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20:23:36"},{"id":29,"name":"Sharepoint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231" t="str">
        <f t="shared" si="77"/>
        <v>https://d0f6bd738d7f1b3e5a7ca70fe4ff75f0.us-east-1.aws.found.io/app/kibana#/discover/Steve-Slow-Train-Analysis-(2080s-and-2083s)?_g=(refreshInterval:(display:Off,pause:!f,section:0,value:0),time:(from:'2017-11-28T12:00:03-0700',mode:absolute,to:'2017-11-28T14:23:36-0700'))&amp;_a=(columns:!('Message%20ID',Summary),filters:!(),index:'emp_*',interval:auto,query:(query_string:(analyze_wildcard:!t,query:'%22rtdc.l.rtdc.4002%22')),sort:!(Time.ISO8601,asc))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25">
      <c r="A181" s="230" t="s">
        <v>783</v>
      </c>
      <c r="B181" s="226">
        <v>4001</v>
      </c>
      <c r="C181" s="228" t="s">
        <v>192</v>
      </c>
      <c r="D181" s="228" t="s">
        <v>1047</v>
      </c>
      <c r="E181" s="227">
        <v>43067.559224537035</v>
      </c>
      <c r="F181" s="227">
        <v>43067.570833333331</v>
      </c>
      <c r="G181" s="226">
        <v>63</v>
      </c>
      <c r="H181" s="228" t="s">
        <v>1048</v>
      </c>
      <c r="I181" s="227">
        <v>43067.57984953704</v>
      </c>
      <c r="J181" s="226">
        <v>0</v>
      </c>
      <c r="K181" s="238" t="str">
        <f t="shared" si="63"/>
        <v>4001/4002</v>
      </c>
      <c r="L181" s="246" t="str">
        <f>VLOOKUP(A181,'Trips&amp;Operators'!$C$1:$G$99911,5,FALSE)</f>
        <v>NEWELL JAMES</v>
      </c>
      <c r="M181" s="225">
        <f t="shared" si="64"/>
        <v>9.0162037085974589E-3</v>
      </c>
      <c r="N181" s="226">
        <f t="shared" si="79"/>
        <v>12.983333340380341</v>
      </c>
      <c r="O181" s="226"/>
      <c r="P181" s="226"/>
      <c r="Q181" s="229"/>
      <c r="R181" s="243"/>
      <c r="S181" s="250">
        <f t="shared" si="80"/>
        <v>1</v>
      </c>
      <c r="T181" s="243" t="str">
        <f t="shared" si="65"/>
        <v>Southbound</v>
      </c>
      <c r="U181" s="247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49" t="str">
        <f t="shared" si="66"/>
        <v>https://d0f6bd738d7f1b3e5a7ca70fe4ff75f0.us-east-1.aws.found.io/app/kibana#/discover/Steve-Slow-Train-Analysis-(2080s-and-2083s)?_g=(refreshInterval:(display:Off,pause:!f,section:0,value:0),time:(from:'2017-11-28T12:25:17-0700',mode:absolute,to:'2017-11-28T14:54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81" s="248" t="str">
        <f>IF(AA181&lt;VLOOKUP(AG181,Variables!$AC$3:$AD$8,2,FALSE),"Y","N")</f>
        <v>N</v>
      </c>
      <c r="X181" s="248">
        <f t="shared" si="83"/>
        <v>1</v>
      </c>
      <c r="Y181" s="248">
        <f t="shared" si="81"/>
        <v>5.8616999999999999</v>
      </c>
      <c r="Z181" s="248">
        <f t="shared" si="78"/>
        <v>8.7999999999999995E-2</v>
      </c>
      <c r="AA181" s="248">
        <f t="shared" si="68"/>
        <v>5.7736999999999998</v>
      </c>
      <c r="AB181" s="234" t="e">
        <f>VLOOKUP(A181,Enforcements!$C$7:$K$9,8,0)</f>
        <v>#N/A</v>
      </c>
      <c r="AC181" s="233" t="e">
        <f>VLOOKUP(A181,Enforcements!$C$7:$E$9,3,0)</f>
        <v>#N/A</v>
      </c>
      <c r="AD181" s="244">
        <f t="shared" si="69"/>
        <v>822</v>
      </c>
      <c r="AE181" s="236" t="str">
        <f t="shared" si="70"/>
        <v>aws s3 cp s3://rtdc.mdm.uploadarchive.raw/RTDC4001/ "%USERPROFILE%\AppData\Local\Temp\OnboardLogs"\RTDC4001\2017-11-28 --exclude "*" --recursive --include "*20171128*" &amp; "%USERPROFILE%\Documents\GitHub\mrs-test-scripts\Headless Mode &amp; Sideloading\WalkAndUnGZ.bat" "%USERPROFILE%\AppData\Local\Temp\OnboardLogs"\RTDC4001\2017-11-28 &amp; aws s3 cp s3://rtdc.mdm.uploadarchive.raw/RTDC4001/ "%USERPROFILE%\AppData\Local\Temp\OnboardLogs"\RTDC4001\2017-11-29 --exclude "*" --recursive --include "*20171129*" &amp; "%USERPROFILE%\Documents\GitHub\mrs-test-scripts\Headless Mode &amp; Sideloading\WalkAndUnGZ.bat" "%USERPROFILE%\AppData\Local\Temp\OnboardLogs"\RTDC4001\2017-11-29</v>
      </c>
      <c r="AF181" s="235" t="str">
        <f t="shared" si="71"/>
        <v>"C:\Program Files (x86)\AstroGrep\AstroGrep.exe" /e /r /s /spath="%USERPROFILE%\AppData\Local\Temp\OnboardLogs" /stypes="app*4001*20171128*" /stext=" 20:.+((SYSTEM_STATE.+slice.+state.+changed )|(ment ac)|(multiple cpu faults)|(system.+state.+changed )|(\[timeout)|(PRM\|1\|D)|(kpr)|(kdp)|(train st.+moving)|(\|lc)|(penalty))"</v>
      </c>
      <c r="AG181" s="245" t="str">
        <f t="shared" si="72"/>
        <v>NW</v>
      </c>
      <c r="AH181" s="237" t="str">
        <f t="shared" si="73"/>
        <v>"%USERPROFILE%\Documents\GitHub\eaglep3\Utilities\RefineRTDCRunTimes.py" --tripid 822-28 --locoid 4001 --swversion DE.1.0.9.0 --startMP 300:58617 --initTime 2017-11-28T13:25:17 --startdatetime 2017-11-28T13:42:00 --delay 63 --endMP 204:880 --enddatetime 2017-11-28T13:54:59 --enforcementcount 0 &gt;&gt;%USERPROFILE%\Documents\GitHub\eaglep3-reporting\EC\2017-11-28-refined-times.txt</v>
      </c>
      <c r="AI181" s="239" t="str">
        <f t="shared" si="74"/>
        <v>echo {"issue":{"subject":"","project_id":79,"tracker_id":40,"status_id":1,"priority_id":2,"assigned_to_id":338,"start_date":"2017-11-28","description":"","custom_fields":[{"id":1,"name":"Subdivision","value":"NW"},{"id":4,"name":"Milepost","value":"0.088"},{"id":17,"name":"Train ID","value":"822-28"},{"id":16,"name":"Locomotive ID","value":"4001"},{"id":130,"name":"Impact","value":""},{"id":150,"name":"Time of Event (Mountain Time)","value":"13:54:59"},{"id":151,"name":"Denver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1" s="224"/>
      <c r="AK181" s="232"/>
      <c r="AL181" s="232"/>
      <c r="AM181" s="241" t="str">
        <f t="shared" si="75"/>
        <v>start /low /b %USERPROFILE%\Documents\GitHub\eaglep3\Utilities\DownloadLogsFromS3.py --loco 4001 --day 2017-11-28</v>
      </c>
      <c r="AN181" s="242" t="str">
        <f t="shared" si="76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20:54:59"},{"id":29,"name":"Sharepoint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231" t="str">
        <f t="shared" si="77"/>
        <v>https://d0f6bd738d7f1b3e5a7ca70fe4ff75f0.us-east-1.aws.found.io/app/kibana#/discover/Steve-Slow-Train-Analysis-(2080s-and-2083s)?_g=(refreshInterval:(display:Off,pause:!f,section:0,value:0),time:(from:'2017-11-28T12:25:17-0700',mode:absolute,to:'2017-11-28T14:54:59-0700'))&amp;_a=(columns:!('Message%20ID',Summary),filters:!(),index:'emp_*',interval:auto,query:(query_string:(analyze_wildcard:!t,query:'%22rtdc.l.rtdc.4001%22')),sort:!(Time.ISO8601,asc))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0" customFormat="1" x14ac:dyDescent="0.25">
      <c r="A182" s="230" t="s">
        <v>789</v>
      </c>
      <c r="B182" s="226">
        <v>4002</v>
      </c>
      <c r="C182" s="228" t="s">
        <v>192</v>
      </c>
      <c r="D182" s="228" t="s">
        <v>1049</v>
      </c>
      <c r="E182" s="227">
        <v>43067.581585648149</v>
      </c>
      <c r="F182" s="227">
        <v>43067.589756944442</v>
      </c>
      <c r="G182" s="226">
        <v>84</v>
      </c>
      <c r="H182" s="228" t="s">
        <v>622</v>
      </c>
      <c r="I182" s="227">
        <v>43067.599097222221</v>
      </c>
      <c r="J182" s="226">
        <v>0</v>
      </c>
      <c r="K182" s="238" t="str">
        <f t="shared" si="63"/>
        <v>4001/4002</v>
      </c>
      <c r="L182" s="246" t="str">
        <f>VLOOKUP(A182,'Trips&amp;Operators'!$C$1:$G$99911,5,FALSE)</f>
        <v>GUZMAN DANNY</v>
      </c>
      <c r="M182" s="225">
        <f t="shared" si="64"/>
        <v>9.340277778392192E-3</v>
      </c>
      <c r="N182" s="226">
        <f t="shared" si="79"/>
        <v>13.450000000884756</v>
      </c>
      <c r="O182" s="226"/>
      <c r="P182" s="226"/>
      <c r="Q182" s="229"/>
      <c r="R182" s="243"/>
      <c r="S182" s="250">
        <f t="shared" si="80"/>
        <v>1</v>
      </c>
      <c r="T182" s="243" t="str">
        <f t="shared" si="65"/>
        <v>NorthBound</v>
      </c>
      <c r="U182" s="247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49" t="str">
        <f t="shared" si="66"/>
        <v>https://d0f6bd738d7f1b3e5a7ca70fe4ff75f0.us-east-1.aws.found.io/app/kibana#/discover/Steve-Slow-Train-Analysis-(2080s-and-2083s)?_g=(refreshInterval:(display:Off,pause:!f,section:0,value:0),time:(from:'2017-11-28T12:57:29-0700',mode:absolute,to:'2017-11-28T15:22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82" s="248" t="str">
        <f>IF(AA182&lt;VLOOKUP(AG182,Variables!$AC$3:$AD$8,2,FALSE),"Y","N")</f>
        <v>N</v>
      </c>
      <c r="X182" s="248">
        <f t="shared" si="83"/>
        <v>1</v>
      </c>
      <c r="Y182" s="248">
        <f t="shared" si="81"/>
        <v>0.113</v>
      </c>
      <c r="Z182" s="248">
        <f t="shared" si="78"/>
        <v>5.8929</v>
      </c>
      <c r="AA182" s="248">
        <f t="shared" si="68"/>
        <v>5.7798999999999996</v>
      </c>
      <c r="AB182" s="234" t="e">
        <f>VLOOKUP(A182,Enforcements!$C$7:$K$9,8,0)</f>
        <v>#N/A</v>
      </c>
      <c r="AC182" s="233" t="e">
        <f>VLOOKUP(A182,Enforcements!$C$7:$E$9,3,0)</f>
        <v>#N/A</v>
      </c>
      <c r="AD182" s="244">
        <f t="shared" si="69"/>
        <v>823</v>
      </c>
      <c r="AE182" s="236" t="str">
        <f t="shared" si="70"/>
        <v>aws s3 cp s3://rtdc.mdm.uploadarchive.raw/RTDC4002/ "%USERPROFILE%\AppData\Local\Temp\OnboardLogs"\RTDC4002\2017-11-28 --exclude "*" --recursive --include "*20171128*" &amp; "%USERPROFILE%\Documents\GitHub\mrs-test-scripts\Headless Mode &amp; Sideloading\WalkAndUnGZ.bat" "%USERPROFILE%\AppData\Local\Temp\OnboardLogs"\RTDC4002\2017-11-28 &amp; aws s3 cp s3://rtdc.mdm.uploadarchive.raw/RTDC4002/ "%USERPROFILE%\AppData\Local\Temp\OnboardLogs"\RTDC4002\2017-11-29 --exclude "*" --recursive --include "*20171129*" &amp; "%USERPROFILE%\Documents\GitHub\mrs-test-scripts\Headless Mode &amp; Sideloading\WalkAndUnGZ.bat" "%USERPROFILE%\AppData\Local\Temp\OnboardLogs"\RTDC4002\2017-11-29</v>
      </c>
      <c r="AF182" s="235" t="str">
        <f t="shared" si="71"/>
        <v>"C:\Program Files (x86)\AstroGrep\AstroGrep.exe" /e /r /s /spath="%USERPROFILE%\AppData\Local\Temp\OnboardLogs" /stypes="app*4002*20171128*" /stext=" 21:.+((SYSTEM_STATE.+slice.+state.+changed )|(ment ac)|(multiple cpu faults)|(system.+state.+changed )|(\[timeout)|(PRM\|1\|D)|(kpr)|(kdp)|(train st.+moving)|(\|lc)|(penalty))"</v>
      </c>
      <c r="AG182" s="245" t="str">
        <f t="shared" si="72"/>
        <v>NW</v>
      </c>
      <c r="AH182" s="237" t="str">
        <f t="shared" si="73"/>
        <v>"%USERPROFILE%\Documents\GitHub\eaglep3\Utilities\RefineRTDCRunTimes.py" --tripid 823-28 --locoid 4002 --swversion DE.1.0.9.0 --startMP 204:1130 --initTime 2017-11-28T13:57:29 --startdatetime 2017-11-28T14:09:15 --delay 84 --endMP 300:58929 --enddatetime 2017-11-28T14:22:42 --enforcementcount 0 &gt;&gt;%USERPROFILE%\Documents\GitHub\eaglep3-reporting\EC\2017-11-28-refined-times.txt</v>
      </c>
      <c r="AI182" s="239" t="str">
        <f t="shared" si="74"/>
        <v>echo {"issue":{"subject":"","project_id":79,"tracker_id":40,"status_id":1,"priority_id":2,"assigned_to_id":338,"start_date":"2017-11-28","description":"","custom_fields":[{"id":1,"name":"Subdivision","value":"NW"},{"id":4,"name":"Milepost","value":"5.8929"},{"id":17,"name":"Train ID","value":"823-28"},{"id":16,"name":"Locomotive ID","value":"4002"},{"id":130,"name":"Impact","value":""},{"id":150,"name":"Time of Event (Mountain Time)","value":"14:22:42"},{"id":151,"name":"Denver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2" s="224"/>
      <c r="AK182" s="232"/>
      <c r="AL182" s="232"/>
      <c r="AM182" s="241" t="str">
        <f t="shared" si="75"/>
        <v>start /low /b %USERPROFILE%\Documents\GitHub\eaglep3\Utilities\DownloadLogsFromS3.py --loco 4002 --day 2017-11-28</v>
      </c>
      <c r="AN182" s="242" t="str">
        <f t="shared" si="76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21:22:42"},{"id":29,"name":"Sharepoint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231" t="str">
        <f t="shared" si="77"/>
        <v>https://d0f6bd738d7f1b3e5a7ca70fe4ff75f0.us-east-1.aws.found.io/app/kibana#/discover/Steve-Slow-Train-Analysis-(2080s-and-2083s)?_g=(refreshInterval:(display:Off,pause:!f,section:0,value:0),time:(from:'2017-11-28T12:57:29-0700',mode:absolute,to:'2017-11-28T15:22:42-0700'))&amp;_a=(columns:!('Message%20ID',Summary),filters:!(),index:'emp_*',interval:auto,query:(query_string:(analyze_wildcard:!t,query:'%22rtdc.l.rtdc.4002%22')),sort:!(Time.ISO8601,asc))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0" customFormat="1" x14ac:dyDescent="0.25">
      <c r="A183" s="230" t="s">
        <v>794</v>
      </c>
      <c r="B183" s="226">
        <v>4001</v>
      </c>
      <c r="C183" s="228" t="s">
        <v>192</v>
      </c>
      <c r="D183" s="228" t="s">
        <v>1019</v>
      </c>
      <c r="E183" s="227">
        <v>43067.600231481483</v>
      </c>
      <c r="F183" s="227">
        <v>43067.612500000003</v>
      </c>
      <c r="G183" s="226">
        <v>67</v>
      </c>
      <c r="H183" s="228" t="s">
        <v>1050</v>
      </c>
      <c r="I183" s="227">
        <v>43067.621458333335</v>
      </c>
      <c r="J183" s="226">
        <v>0</v>
      </c>
      <c r="K183" s="238" t="str">
        <f t="shared" si="63"/>
        <v>4001/4002</v>
      </c>
      <c r="L183" s="246" t="str">
        <f>VLOOKUP(A183,'Trips&amp;Operators'!$C$1:$G$99911,5,FALSE)</f>
        <v>GUZMAN DANNY</v>
      </c>
      <c r="M183" s="225">
        <f t="shared" si="64"/>
        <v>8.9583333319751546E-3</v>
      </c>
      <c r="N183" s="226">
        <f t="shared" si="79"/>
        <v>12.899999998044223</v>
      </c>
      <c r="O183" s="226"/>
      <c r="P183" s="226"/>
      <c r="Q183" s="229"/>
      <c r="R183" s="243"/>
      <c r="S183" s="250">
        <f t="shared" si="80"/>
        <v>1</v>
      </c>
      <c r="T183" s="243" t="str">
        <f t="shared" si="65"/>
        <v>Southbound</v>
      </c>
      <c r="U183" s="247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49" t="str">
        <f t="shared" si="66"/>
        <v>https://d0f6bd738d7f1b3e5a7ca70fe4ff75f0.us-east-1.aws.found.io/app/kibana#/discover/Steve-Slow-Train-Analysis-(2080s-and-2083s)?_g=(refreshInterval:(display:Off,pause:!f,section:0,value:0),time:(from:'2017-11-28T13:24:20-0700',mode:absolute,to:'2017-11-28T15:54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83" s="248" t="str">
        <f>IF(AA183&lt;VLOOKUP(AG183,Variables!$AC$3:$AD$8,2,FALSE),"Y","N")</f>
        <v>N</v>
      </c>
      <c r="X183" s="248">
        <f t="shared" si="83"/>
        <v>1</v>
      </c>
      <c r="Y183" s="248">
        <f t="shared" si="81"/>
        <v>5.8623000000000003</v>
      </c>
      <c r="Z183" s="248">
        <f t="shared" si="78"/>
        <v>7.8899999999999998E-2</v>
      </c>
      <c r="AA183" s="248">
        <f t="shared" si="68"/>
        <v>5.7834000000000003</v>
      </c>
      <c r="AB183" s="234" t="e">
        <f>VLOOKUP(A183,Enforcements!$C$7:$K$9,8,0)</f>
        <v>#N/A</v>
      </c>
      <c r="AC183" s="233" t="e">
        <f>VLOOKUP(A183,Enforcements!$C$7:$E$9,3,0)</f>
        <v>#N/A</v>
      </c>
      <c r="AD183" s="244">
        <f t="shared" si="69"/>
        <v>824</v>
      </c>
      <c r="AE183" s="236" t="str">
        <f t="shared" si="70"/>
        <v>aws s3 cp s3://rtdc.mdm.uploadarchive.raw/RTDC4001/ "%USERPROFILE%\AppData\Local\Temp\OnboardLogs"\RTDC4001\2017-11-28 --exclude "*" --recursive --include "*20171128*" &amp; "%USERPROFILE%\Documents\GitHub\mrs-test-scripts\Headless Mode &amp; Sideloading\WalkAndUnGZ.bat" "%USERPROFILE%\AppData\Local\Temp\OnboardLogs"\RTDC4001\2017-11-28 &amp; aws s3 cp s3://rtdc.mdm.uploadarchive.raw/RTDC4001/ "%USERPROFILE%\AppData\Local\Temp\OnboardLogs"\RTDC4001\2017-11-29 --exclude "*" --recursive --include "*20171129*" &amp; "%USERPROFILE%\Documents\GitHub\mrs-test-scripts\Headless Mode &amp; Sideloading\WalkAndUnGZ.bat" "%USERPROFILE%\AppData\Local\Temp\OnboardLogs"\RTDC4001\2017-11-29</v>
      </c>
      <c r="AF183" s="235" t="str">
        <f t="shared" si="71"/>
        <v>"C:\Program Files (x86)\AstroGrep\AstroGrep.exe" /e /r /s /spath="%USERPROFILE%\AppData\Local\Temp\OnboardLogs" /stypes="app*4001*20171128*" /stext=" 21:.+((SYSTEM_STATE.+slice.+state.+changed )|(ment ac)|(multiple cpu faults)|(system.+state.+changed )|(\[timeout)|(PRM\|1\|D)|(kpr)|(kdp)|(train st.+moving)|(\|lc)|(penalty))"</v>
      </c>
      <c r="AG183" s="245" t="str">
        <f t="shared" si="72"/>
        <v>NW</v>
      </c>
      <c r="AH183" s="237" t="str">
        <f t="shared" si="73"/>
        <v>"%USERPROFILE%\Documents\GitHub\eaglep3\Utilities\RefineRTDCRunTimes.py" --tripid 824-28 --locoid 4001 --swversion DE.1.0.9.0 --startMP 300:58623 --initTime 2017-11-28T14:24:20 --startdatetime 2017-11-28T14:42:00 --delay 67 --endMP 204:789 --enddatetime 2017-11-28T14:54:54 --enforcementcount 0 &gt;&gt;%USERPROFILE%\Documents\GitHub\eaglep3-reporting\EC\2017-11-28-refined-times.txt</v>
      </c>
      <c r="AI183" s="239" t="str">
        <f t="shared" si="74"/>
        <v>echo {"issue":{"subject":"","project_id":79,"tracker_id":40,"status_id":1,"priority_id":2,"assigned_to_id":338,"start_date":"2017-11-28","description":"","custom_fields":[{"id":1,"name":"Subdivision","value":"NW"},{"id":4,"name":"Milepost","value":"0.0789"},{"id":17,"name":"Train ID","value":"824-28"},{"id":16,"name":"Locomotive ID","value":"4001"},{"id":130,"name":"Impact","value":""},{"id":150,"name":"Time of Event (Mountain Time)","value":"14:54:54"},{"id":151,"name":"Denver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3" s="224"/>
      <c r="AK183" s="232"/>
      <c r="AL183" s="232"/>
      <c r="AM183" s="241" t="str">
        <f t="shared" si="75"/>
        <v>start /low /b %USERPROFILE%\Documents\GitHub\eaglep3\Utilities\DownloadLogsFromS3.py --loco 4001 --day 2017-11-28</v>
      </c>
      <c r="AN183" s="242" t="str">
        <f t="shared" si="76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21:54:54"},{"id":29,"name":"Sharepoint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231" t="str">
        <f t="shared" si="77"/>
        <v>https://d0f6bd738d7f1b3e5a7ca70fe4ff75f0.us-east-1.aws.found.io/app/kibana#/discover/Steve-Slow-Train-Analysis-(2080s-and-2083s)?_g=(refreshInterval:(display:Off,pause:!f,section:0,value:0),time:(from:'2017-11-28T13:24:20-0700',mode:absolute,to:'2017-11-28T15:54:54-0700'))&amp;_a=(columns:!('Message%20ID',Summary),filters:!(),index:'emp_*',interval:auto,query:(query_string:(analyze_wildcard:!t,query:'%22rtdc.l.rtdc.4001%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25">
      <c r="A184" s="230" t="s">
        <v>798</v>
      </c>
      <c r="B184" s="226">
        <v>4002</v>
      </c>
      <c r="C184" s="228" t="s">
        <v>192</v>
      </c>
      <c r="D184" s="228" t="s">
        <v>1051</v>
      </c>
      <c r="E184" s="227">
        <v>43067.622789351852</v>
      </c>
      <c r="F184" s="227">
        <v>43067.631423611114</v>
      </c>
      <c r="G184" s="226">
        <v>62</v>
      </c>
      <c r="H184" s="228" t="s">
        <v>621</v>
      </c>
      <c r="I184" s="227">
        <v>43067.640972222223</v>
      </c>
      <c r="J184" s="226">
        <v>0</v>
      </c>
      <c r="K184" s="238" t="str">
        <f t="shared" si="63"/>
        <v>4001/4002</v>
      </c>
      <c r="L184" s="246" t="str">
        <f>VLOOKUP(A184,'Trips&amp;Operators'!$C$1:$G$99911,5,FALSE)</f>
        <v>GUZMAN DANNY</v>
      </c>
      <c r="M184" s="225">
        <f t="shared" si="64"/>
        <v>9.5486111094942316E-3</v>
      </c>
      <c r="N184" s="226">
        <f t="shared" si="79"/>
        <v>13.749999997671694</v>
      </c>
      <c r="O184" s="226"/>
      <c r="P184" s="226"/>
      <c r="Q184" s="229"/>
      <c r="R184" s="243"/>
      <c r="S184" s="250">
        <f t="shared" si="80"/>
        <v>1</v>
      </c>
      <c r="T184" s="243" t="str">
        <f t="shared" si="65"/>
        <v>NorthBound</v>
      </c>
      <c r="U184" s="247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49" t="str">
        <f t="shared" si="66"/>
        <v>https://d0f6bd738d7f1b3e5a7ca70fe4ff75f0.us-east-1.aws.found.io/app/kibana#/discover/Steve-Slow-Train-Analysis-(2080s-and-2083s)?_g=(refreshInterval:(display:Off,pause:!f,section:0,value:0),time:(from:'2017-11-28T13:56:49-0700',mode:absolute,to:'2017-11-28T16:23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84" s="248" t="str">
        <f>IF(AA184&lt;VLOOKUP(AG184,Variables!$AC$3:$AD$8,2,FALSE),"Y","N")</f>
        <v>N</v>
      </c>
      <c r="X184" s="248">
        <f t="shared" si="83"/>
        <v>1</v>
      </c>
      <c r="Y184" s="248">
        <f t="shared" si="81"/>
        <v>0.1076</v>
      </c>
      <c r="Z184" s="248">
        <f t="shared" si="78"/>
        <v>5.8939000000000004</v>
      </c>
      <c r="AA184" s="248">
        <f t="shared" si="68"/>
        <v>5.7863000000000007</v>
      </c>
      <c r="AB184" s="234" t="e">
        <f>VLOOKUP(A184,Enforcements!$C$7:$K$9,8,0)</f>
        <v>#N/A</v>
      </c>
      <c r="AC184" s="233" t="e">
        <f>VLOOKUP(A184,Enforcements!$C$7:$E$9,3,0)</f>
        <v>#N/A</v>
      </c>
      <c r="AD184" s="244">
        <f t="shared" si="69"/>
        <v>825</v>
      </c>
      <c r="AE184" s="236" t="str">
        <f t="shared" si="70"/>
        <v>aws s3 cp s3://rtdc.mdm.uploadarchive.raw/RTDC4002/ "%USERPROFILE%\AppData\Local\Temp\OnboardLogs"\RTDC4002\2017-11-28 --exclude "*" --recursive --include "*20171128*" &amp; "%USERPROFILE%\Documents\GitHub\mrs-test-scripts\Headless Mode &amp; Sideloading\WalkAndUnGZ.bat" "%USERPROFILE%\AppData\Local\Temp\OnboardLogs"\RTDC4002\2017-11-28 &amp; aws s3 cp s3://rtdc.mdm.uploadarchive.raw/RTDC4002/ "%USERPROFILE%\AppData\Local\Temp\OnboardLogs"\RTDC4002\2017-11-29 --exclude "*" --recursive --include "*20171129*" &amp; "%USERPROFILE%\Documents\GitHub\mrs-test-scripts\Headless Mode &amp; Sideloading\WalkAndUnGZ.bat" "%USERPROFILE%\AppData\Local\Temp\OnboardLogs"\RTDC4002\2017-11-29</v>
      </c>
      <c r="AF184" s="235" t="str">
        <f t="shared" si="71"/>
        <v>"C:\Program Files (x86)\AstroGrep\AstroGrep.exe" /e /r /s /spath="%USERPROFILE%\AppData\Local\Temp\OnboardLogs" /stypes="app*4002*20171128*" /stext=" 22:.+((SYSTEM_STATE.+slice.+state.+changed )|(ment ac)|(multiple cpu faults)|(system.+state.+changed )|(\[timeout)|(PRM\|1\|D)|(kpr)|(kdp)|(train st.+moving)|(\|lc)|(penalty))"</v>
      </c>
      <c r="AG184" s="245" t="str">
        <f t="shared" si="72"/>
        <v>NW</v>
      </c>
      <c r="AH184" s="237" t="str">
        <f t="shared" si="73"/>
        <v>"%USERPROFILE%\Documents\GitHub\eaglep3\Utilities\RefineRTDCRunTimes.py" --tripid 825-28 --locoid 4002 --swversion DE.1.0.9.0 --startMP 204:1076 --initTime 2017-11-28T14:56:49 --startdatetime 2017-11-28T15:09:15 --delay 62 --endMP 300:58939 --enddatetime 2017-11-28T15:23:00 --enforcementcount 0 &gt;&gt;%USERPROFILE%\Documents\GitHub\eaglep3-reporting\EC\2017-11-28-refined-times.txt</v>
      </c>
      <c r="AI184" s="239" t="str">
        <f t="shared" si="74"/>
        <v>echo {"issue":{"subject":"","project_id":79,"tracker_id":40,"status_id":1,"priority_id":2,"assigned_to_id":338,"start_date":"2017-11-28","description":"","custom_fields":[{"id":1,"name":"Subdivision","value":"NW"},{"id":4,"name":"Milepost","value":"5.8939"},{"id":17,"name":"Train ID","value":"825-28"},{"id":16,"name":"Locomotive ID","value":"4002"},{"id":130,"name":"Impact","value":""},{"id":150,"name":"Time of Event (Mountain Time)","value":"15:23:00"},{"id":151,"name":"Denver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4" s="224"/>
      <c r="AK184" s="232"/>
      <c r="AL184" s="232"/>
      <c r="AM184" s="241" t="str">
        <f t="shared" si="75"/>
        <v>start /low /b %USERPROFILE%\Documents\GitHub\eaglep3\Utilities\DownloadLogsFromS3.py --loco 4002 --day 2017-11-28</v>
      </c>
      <c r="AN184" s="242" t="str">
        <f t="shared" si="76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22:23:00"},{"id":29,"name":"Sharepoint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231" t="str">
        <f t="shared" si="77"/>
        <v>https://d0f6bd738d7f1b3e5a7ca70fe4ff75f0.us-east-1.aws.found.io/app/kibana#/discover/Steve-Slow-Train-Analysis-(2080s-and-2083s)?_g=(refreshInterval:(display:Off,pause:!f,section:0,value:0),time:(from:'2017-11-28T13:56:49-0700',mode:absolute,to:'2017-11-28T16:23:00-0700'))&amp;_a=(columns:!('Message%20ID',Summary),filters:!(),index:'emp_*',interval:auto,query:(query_string:(analyze_wildcard:!t,query:'%22rtdc.l.rtdc.4002%22')),sort:!(Time.ISO8601,asc))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25">
      <c r="A185" s="230" t="s">
        <v>804</v>
      </c>
      <c r="B185" s="226">
        <v>4001</v>
      </c>
      <c r="C185" s="228" t="s">
        <v>192</v>
      </c>
      <c r="D185" s="228" t="s">
        <v>1047</v>
      </c>
      <c r="E185" s="227">
        <v>43067.642002314817</v>
      </c>
      <c r="F185" s="227">
        <v>43067.654166666667</v>
      </c>
      <c r="G185" s="226">
        <v>64</v>
      </c>
      <c r="H185" s="228" t="s">
        <v>1052</v>
      </c>
      <c r="I185" s="227">
        <v>43067.663194444445</v>
      </c>
      <c r="J185" s="226">
        <v>0</v>
      </c>
      <c r="K185" s="238" t="str">
        <f t="shared" si="63"/>
        <v>4001/4002</v>
      </c>
      <c r="L185" s="246" t="str">
        <f>VLOOKUP(A185,'Trips&amp;Operators'!$C$1:$G$99911,5,FALSE)</f>
        <v>GUZMAN DANNY</v>
      </c>
      <c r="M185" s="225">
        <f t="shared" si="64"/>
        <v>9.0277777781011537E-3</v>
      </c>
      <c r="N185" s="226">
        <f t="shared" si="79"/>
        <v>13.000000000465661</v>
      </c>
      <c r="O185" s="226"/>
      <c r="P185" s="226"/>
      <c r="Q185" s="229"/>
      <c r="R185" s="243"/>
      <c r="S185" s="250">
        <f t="shared" si="80"/>
        <v>1</v>
      </c>
      <c r="T185" s="243" t="str">
        <f t="shared" si="65"/>
        <v>Southbound</v>
      </c>
      <c r="U185" s="247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49" t="str">
        <f t="shared" si="66"/>
        <v>https://d0f6bd738d7f1b3e5a7ca70fe4ff75f0.us-east-1.aws.found.io/app/kibana#/discover/Steve-Slow-Train-Analysis-(2080s-and-2083s)?_g=(refreshInterval:(display:Off,pause:!f,section:0,value:0),time:(from:'2017-11-28T14:24:29-0700',mode:absolute,to:'2017-11-28T16:55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85" s="248" t="str">
        <f>IF(AA185&lt;VLOOKUP(AG185,Variables!$AC$3:$AD$8,2,FALSE),"Y","N")</f>
        <v>N</v>
      </c>
      <c r="X185" s="248">
        <f t="shared" si="83"/>
        <v>1</v>
      </c>
      <c r="Y185" s="248">
        <f t="shared" si="81"/>
        <v>5.8616999999999999</v>
      </c>
      <c r="Z185" s="248">
        <f t="shared" si="78"/>
        <v>8.0399999999999999E-2</v>
      </c>
      <c r="AA185" s="248">
        <f t="shared" si="68"/>
        <v>5.7812999999999999</v>
      </c>
      <c r="AB185" s="234" t="e">
        <f>VLOOKUP(A185,Enforcements!$C$7:$K$9,8,0)</f>
        <v>#N/A</v>
      </c>
      <c r="AC185" s="233" t="e">
        <f>VLOOKUP(A185,Enforcements!$C$7:$E$9,3,0)</f>
        <v>#N/A</v>
      </c>
      <c r="AD185" s="244">
        <f t="shared" si="69"/>
        <v>826</v>
      </c>
      <c r="AE185" s="236" t="str">
        <f t="shared" si="70"/>
        <v>aws s3 cp s3://rtdc.mdm.uploadarchive.raw/RTDC4001/ "%USERPROFILE%\AppData\Local\Temp\OnboardLogs"\RTDC4001\2017-11-28 --exclude "*" --recursive --include "*20171128*" &amp; "%USERPROFILE%\Documents\GitHub\mrs-test-scripts\Headless Mode &amp; Sideloading\WalkAndUnGZ.bat" "%USERPROFILE%\AppData\Local\Temp\OnboardLogs"\RTDC4001\2017-11-28 &amp; aws s3 cp s3://rtdc.mdm.uploadarchive.raw/RTDC4001/ "%USERPROFILE%\AppData\Local\Temp\OnboardLogs"\RTDC4001\2017-11-29 --exclude "*" --recursive --include "*20171129*" &amp; "%USERPROFILE%\Documents\GitHub\mrs-test-scripts\Headless Mode &amp; Sideloading\WalkAndUnGZ.bat" "%USERPROFILE%\AppData\Local\Temp\OnboardLogs"\RTDC4001\2017-11-29</v>
      </c>
      <c r="AF185" s="235" t="str">
        <f t="shared" si="71"/>
        <v>"C:\Program Files (x86)\AstroGrep\AstroGrep.exe" /e /r /s /spath="%USERPROFILE%\AppData\Local\Temp\OnboardLogs" /stypes="app*4001*20171128*" /stext=" 22:.+((SYSTEM_STATE.+slice.+state.+changed )|(ment ac)|(multiple cpu faults)|(system.+state.+changed )|(\[timeout)|(PRM\|1\|D)|(kpr)|(kdp)|(train st.+moving)|(\|lc)|(penalty))"</v>
      </c>
      <c r="AG185" s="245" t="str">
        <f t="shared" si="72"/>
        <v>NW</v>
      </c>
      <c r="AH185" s="237" t="str">
        <f t="shared" si="73"/>
        <v>"%USERPROFILE%\Documents\GitHub\eaglep3\Utilities\RefineRTDCRunTimes.py" --tripid 826-28 --locoid 4001 --swversion DE.1.0.9.0 --startMP 300:58617 --initTime 2017-11-28T15:24:29 --startdatetime 2017-11-28T15:42:00 --delay 64 --endMP 204:804 --enddatetime 2017-11-28T15:55:00 --enforcementcount 0 &gt;&gt;%USERPROFILE%\Documents\GitHub\eaglep3-reporting\EC\2017-11-28-refined-times.txt</v>
      </c>
      <c r="AI185" s="239" t="str">
        <f t="shared" si="74"/>
        <v>echo {"issue":{"subject":"","project_id":79,"tracker_id":40,"status_id":1,"priority_id":2,"assigned_to_id":338,"start_date":"2017-11-28","description":"","custom_fields":[{"id":1,"name":"Subdivision","value":"NW"},{"id":4,"name":"Milepost","value":"0.0804"},{"id":17,"name":"Train ID","value":"826-28"},{"id":16,"name":"Locomotive ID","value":"4001"},{"id":130,"name":"Impact","value":""},{"id":150,"name":"Time of Event (Mountain Time)","value":"15:55:00"},{"id":151,"name":"Denver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5" s="224"/>
      <c r="AK185" s="232"/>
      <c r="AL185" s="232"/>
      <c r="AM185" s="241" t="str">
        <f t="shared" si="75"/>
        <v>start /low /b %USERPROFILE%\Documents\GitHub\eaglep3\Utilities\DownloadLogsFromS3.py --loco 4001 --day 2017-11-28</v>
      </c>
      <c r="AN185" s="242" t="str">
        <f t="shared" si="76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22:55:00"},{"id":29,"name":"Sharepoint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231" t="str">
        <f t="shared" si="77"/>
        <v>https://d0f6bd738d7f1b3e5a7ca70fe4ff75f0.us-east-1.aws.found.io/app/kibana#/discover/Steve-Slow-Train-Analysis-(2080s-and-2083s)?_g=(refreshInterval:(display:Off,pause:!f,section:0,value:0),time:(from:'2017-11-28T14:24:29-0700',mode:absolute,to:'2017-11-28T16:55:00-0700'))&amp;_a=(columns:!('Message%20ID',Summary),filters:!(),index:'emp_*',interval:auto,query:(query_string:(analyze_wildcard:!t,query:'%22rtdc.l.rtdc.4001%22')),sort:!(Time.ISO8601,asc))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0" customFormat="1" x14ac:dyDescent="0.25">
      <c r="A186" s="230" t="s">
        <v>657</v>
      </c>
      <c r="B186" s="226">
        <v>4036</v>
      </c>
      <c r="C186" s="228" t="s">
        <v>192</v>
      </c>
      <c r="D186" s="228" t="s">
        <v>1053</v>
      </c>
      <c r="E186" s="227">
        <v>43067.653946759259</v>
      </c>
      <c r="F186" s="227">
        <v>43067.65421296296</v>
      </c>
      <c r="G186" s="226">
        <v>38</v>
      </c>
      <c r="H186" s="228" t="s">
        <v>1054</v>
      </c>
      <c r="I186" s="227">
        <v>43067.663541666669</v>
      </c>
      <c r="J186" s="226">
        <v>0</v>
      </c>
      <c r="K186" s="238" t="str">
        <f t="shared" si="63"/>
        <v>4035/4036</v>
      </c>
      <c r="L186" s="246" t="str">
        <f>VLOOKUP(A186,'Trips&amp;Operators'!$C$1:$G$99911,5,FALSE)</f>
        <v>STAMBAUGH JAMES</v>
      </c>
      <c r="M186" s="225">
        <f t="shared" si="64"/>
        <v>9.3287037088884972E-3</v>
      </c>
      <c r="N186" s="226">
        <f t="shared" si="79"/>
        <v>13.433333340799436</v>
      </c>
      <c r="O186" s="226"/>
      <c r="P186" s="226"/>
      <c r="Q186" s="229"/>
      <c r="R186" s="243" t="s">
        <v>1098</v>
      </c>
      <c r="S186" s="250">
        <f t="shared" si="80"/>
        <v>1</v>
      </c>
      <c r="T186" s="243" t="str">
        <f t="shared" si="65"/>
        <v>NorthBound</v>
      </c>
      <c r="U186" s="247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49" t="str">
        <f t="shared" si="66"/>
        <v>https://d0f6bd738d7f1b3e5a7ca70fe4ff75f0.us-east-1.aws.found.io/app/kibana#/discover/Steve-Slow-Train-Analysis-(2080s-and-2083s)?_g=(refreshInterval:(display:Off,pause:!f,section:0,value:0),time:(from:'2017-11-28T14:41:41-0700',mode:absolute,to:'2017-11-28T16:55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86" s="248" t="str">
        <f>IF(AA186&lt;VLOOKUP(AG186,Variables!$AC$3:$AD$8,2,FALSE),"Y","N")</f>
        <v>N</v>
      </c>
      <c r="X186" s="248">
        <f t="shared" si="83"/>
        <v>1</v>
      </c>
      <c r="Y186" s="248">
        <f t="shared" si="81"/>
        <v>0.18179999999999999</v>
      </c>
      <c r="Z186" s="248">
        <f t="shared" si="78"/>
        <v>5.8948</v>
      </c>
      <c r="AA186" s="248">
        <f t="shared" si="68"/>
        <v>5.7130000000000001</v>
      </c>
      <c r="AB186" s="234" t="e">
        <f>VLOOKUP(A186,Enforcements!$C$7:$K$9,8,0)</f>
        <v>#N/A</v>
      </c>
      <c r="AC186" s="233" t="e">
        <f>VLOOKUP(A186,Enforcements!$C$7:$E$9,3,0)</f>
        <v>#N/A</v>
      </c>
      <c r="AD186" s="244">
        <f t="shared" si="69"/>
        <v>827</v>
      </c>
      <c r="AE186" s="236" t="str">
        <f t="shared" si="70"/>
        <v>aws s3 cp s3://rtdc.mdm.uploadarchive.raw/RTDC4036/ "%USERPROFILE%\AppData\Local\Temp\OnboardLogs"\RTDC4036\2017-11-28 --exclude "*" --recursive --include "*20171128*" &amp; "%USERPROFILE%\Documents\GitHub\mrs-test-scripts\Headless Mode &amp; Sideloading\WalkAndUnGZ.bat" "%USERPROFILE%\AppData\Local\Temp\OnboardLogs"\RTDC4036\2017-11-28 &amp; aws s3 cp s3://rtdc.mdm.uploadarchive.raw/RTDC4036/ "%USERPROFILE%\AppData\Local\Temp\OnboardLogs"\RTDC4036\2017-11-29 --exclude "*" --recursive --include "*20171129*" &amp; "%USERPROFILE%\Documents\GitHub\mrs-test-scripts\Headless Mode &amp; Sideloading\WalkAndUnGZ.bat" "%USERPROFILE%\AppData\Local\Temp\OnboardLogs"\RTDC4036\2017-11-29</v>
      </c>
      <c r="AF186" s="235" t="str">
        <f t="shared" si="71"/>
        <v>"C:\Program Files (x86)\AstroGrep\AstroGrep.exe" /e /r /s /spath="%USERPROFILE%\AppData\Local\Temp\OnboardLogs" /stypes="app*4036*20171128*" /stext=" 22:.+((SYSTEM_STATE.+slice.+state.+changed )|(ment ac)|(multiple cpu faults)|(system.+state.+changed )|(\[timeout)|(PRM\|1\|D)|(kpr)|(kdp)|(train st.+moving)|(\|lc)|(penalty))"</v>
      </c>
      <c r="AG186" s="245" t="str">
        <f t="shared" si="72"/>
        <v>NW</v>
      </c>
      <c r="AH186" s="237" t="str">
        <f t="shared" si="73"/>
        <v>"%USERPROFILE%\Documents\GitHub\eaglep3\Utilities\RefineRTDCRunTimes.py" --tripid 827-28 --locoid 4036 --swversion DE.1.0.9.0 --startMP 204:1818 --initTime 2017-11-28T15:41:41 --startdatetime 2017-11-28T15:42:04 --delay 38 --endMP 300:58948 --enddatetime 2017-11-28T15:55:30 --enforcementcount 0 &gt;&gt;%USERPROFILE%\Documents\GitHub\eaglep3-reporting\EC\2017-11-28-refined-times.txt</v>
      </c>
      <c r="AI186" s="239" t="str">
        <f t="shared" si="74"/>
        <v>echo {"issue":{"subject":"Delayed by Poor GPS @ DUS","project_id":79,"tracker_id":40,"status_id":1,"priority_id":2,"assigned_to_id":338,"start_date":"2017-11-28","description":"","custom_fields":[{"id":1,"name":"Subdivision","value":"NW"},{"id":4,"name":"Milepost","value":"5.8948"},{"id":17,"name":"Train ID","value":"827-28"},{"id":16,"name":"Locomotive ID","value":"4036"},{"id":130,"name":"Impact","value":""},{"id":150,"name":"Time of Event (Mountain Time)","value":"15:55:30"},{"id":151,"name":"Denver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6" s="224"/>
      <c r="AK186" s="232"/>
      <c r="AL186" s="232"/>
      <c r="AM186" s="241" t="str">
        <f t="shared" si="75"/>
        <v>start /low /b %USERPROFILE%\Documents\GitHub\eaglep3\Utilities\DownloadLogsFromS3.py --loco 4036 --day 2017-11-28</v>
      </c>
      <c r="AN186" s="242" t="str">
        <f t="shared" si="76"/>
        <v>echo {"issue":{"subject":"Delayed by Poor GPS @ DUS","project_id":30,"tracker_id":4,"status_id":1,"priority_id":1,"assigned_to_id":10,"start_date":"2017-11-28","description":"","custom_fields":[{"id":30,"name":"Category","value":"Issue"},{"id":3,"name":"Functional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22:55:30"},{"id":29,"name":"Sharepoint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231" t="str">
        <f t="shared" si="77"/>
        <v>https://d0f6bd738d7f1b3e5a7ca70fe4ff75f0.us-east-1.aws.found.io/app/kibana#/discover/Steve-Slow-Train-Analysis-(2080s-and-2083s)?_g=(refreshInterval:(display:Off,pause:!f,section:0,value:0),time:(from:'2017-11-28T14:41:41-0700',mode:absolute,to:'2017-11-28T16:55:30-0700'))&amp;_a=(columns:!('Message%20ID',Summary),filters:!(),index:'emp_*',interval:auto,query:(query_string:(analyze_wildcard:!t,query:'%22rtdc.l.rtdc.4036%22')),sort:!(Time.ISO8601,asc))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0" customFormat="1" x14ac:dyDescent="0.25">
      <c r="A187" s="230" t="s">
        <v>657</v>
      </c>
      <c r="B187" s="226">
        <v>4036</v>
      </c>
      <c r="C187" s="228" t="s">
        <v>192</v>
      </c>
      <c r="D187" s="228" t="s">
        <v>1055</v>
      </c>
      <c r="E187" s="227">
        <v>43067.650636574072</v>
      </c>
      <c r="F187" s="227">
        <v>43067.65421296296</v>
      </c>
      <c r="G187" s="226">
        <v>38</v>
      </c>
      <c r="H187" s="228" t="s">
        <v>1054</v>
      </c>
      <c r="I187" s="227">
        <v>43067.663541666669</v>
      </c>
      <c r="J187" s="226">
        <v>0</v>
      </c>
      <c r="K187" s="238" t="str">
        <f t="shared" si="63"/>
        <v>4035/4036</v>
      </c>
      <c r="L187" s="246" t="str">
        <f>VLOOKUP(A187,'Trips&amp;Operators'!$C$1:$G$99911,5,FALSE)</f>
        <v>STAMBAUGH JAMES</v>
      </c>
      <c r="M187" s="225">
        <f t="shared" si="64"/>
        <v>9.3287037088884972E-3</v>
      </c>
      <c r="N187" s="226"/>
      <c r="O187" s="226"/>
      <c r="P187" s="226"/>
      <c r="Q187" s="229"/>
      <c r="R187" s="243"/>
      <c r="S187" s="250"/>
      <c r="T187" s="243" t="str">
        <f t="shared" si="65"/>
        <v>NorthBound</v>
      </c>
      <c r="U187" s="247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49" t="str">
        <f t="shared" si="66"/>
        <v>https://d0f6bd738d7f1b3e5a7ca70fe4ff75f0.us-east-1.aws.found.io/app/kibana#/discover/Steve-Slow-Train-Analysis-(2080s-and-2083s)?_g=(refreshInterval:(display:Off,pause:!f,section:0,value:0),time:(from:'2017-11-28T14:36:55-0700',mode:absolute,to:'2017-11-28T16:55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87" s="248" t="str">
        <f>IF(AA187&lt;VLOOKUP(AG187,Variables!$AC$3:$AD$8,2,FALSE),"Y","N")</f>
        <v>N</v>
      </c>
      <c r="X187" s="248">
        <f t="shared" ref="X187:X192" si="84">VALUE(LEFT(AD187,4))-VALUE(LEFT(AD186,4))</f>
        <v>0</v>
      </c>
      <c r="Y187" s="248">
        <f t="shared" si="81"/>
        <v>0.16270000000000001</v>
      </c>
      <c r="Z187" s="248">
        <f t="shared" si="78"/>
        <v>5.8948</v>
      </c>
      <c r="AA187" s="248">
        <f t="shared" si="68"/>
        <v>5.7321</v>
      </c>
      <c r="AB187" s="234" t="e">
        <f>VLOOKUP(A187,Enforcements!$C$7:$K$9,8,0)</f>
        <v>#N/A</v>
      </c>
      <c r="AC187" s="233" t="e">
        <f>VLOOKUP(A187,Enforcements!$C$7:$E$9,3,0)</f>
        <v>#N/A</v>
      </c>
      <c r="AD187" s="244">
        <f t="shared" si="69"/>
        <v>827</v>
      </c>
      <c r="AE187" s="236" t="str">
        <f t="shared" si="70"/>
        <v>aws s3 cp s3://rtdc.mdm.uploadarchive.raw/RTDC4036/ "%USERPROFILE%\AppData\Local\Temp\OnboardLogs"\RTDC4036\2017-11-28 --exclude "*" --recursive --include "*20171128*" &amp; "%USERPROFILE%\Documents\GitHub\mrs-test-scripts\Headless Mode &amp; Sideloading\WalkAndUnGZ.bat" "%USERPROFILE%\AppData\Local\Temp\OnboardLogs"\RTDC4036\2017-11-28 &amp; aws s3 cp s3://rtdc.mdm.uploadarchive.raw/RTDC4036/ "%USERPROFILE%\AppData\Local\Temp\OnboardLogs"\RTDC4036\2017-11-29 --exclude "*" --recursive --include "*20171129*" &amp; "%USERPROFILE%\Documents\GitHub\mrs-test-scripts\Headless Mode &amp; Sideloading\WalkAndUnGZ.bat" "%USERPROFILE%\AppData\Local\Temp\OnboardLogs"\RTDC4036\2017-11-29</v>
      </c>
      <c r="AF187" s="235" t="str">
        <f t="shared" si="71"/>
        <v>"C:\Program Files (x86)\AstroGrep\AstroGrep.exe" /e /r /s /spath="%USERPROFILE%\AppData\Local\Temp\OnboardLogs" /stypes="app*4036*20171128*" /stext=" 22:.+((SYSTEM_STATE.+slice.+state.+changed )|(ment ac)|(multiple cpu faults)|(system.+state.+changed )|(\[timeout)|(PRM\|1\|D)|(kpr)|(kdp)|(train st.+moving)|(\|lc)|(penalty))"</v>
      </c>
      <c r="AG187" s="245" t="str">
        <f t="shared" si="72"/>
        <v>NW</v>
      </c>
      <c r="AH187" s="237" t="str">
        <f t="shared" si="73"/>
        <v>"%USERPROFILE%\Documents\GitHub\eaglep3\Utilities\RefineRTDCRunTimes.py" --tripid 827-28 --locoid 4036 --swversion DE.1.0.9.0 --startMP 204:1627 --initTime 2017-11-28T15:36:55 --startdatetime 2017-11-28T15:42:04 --delay 38 --endMP 300:58948 --enddatetime 2017-11-28T15:55:30 --enforcementcount 0 &gt;&gt;%USERPROFILE%\Documents\GitHub\eaglep3-reporting\EC\2017-11-28-refined-times.txt</v>
      </c>
      <c r="AI187" s="239" t="str">
        <f t="shared" si="74"/>
        <v>echo {"issue":{"subject":"","project_id":79,"tracker_id":40,"status_id":1,"priority_id":2,"assigned_to_id":338,"start_date":"2017-11-28","description":"","custom_fields":[{"id":1,"name":"Subdivision","value":"NW"},{"id":4,"name":"Milepost","value":"5.8948"},{"id":17,"name":"Train ID","value":"827-28"},{"id":16,"name":"Locomotive ID","value":"4036"},{"id":130,"name":"Impact","value":""},{"id":150,"name":"Time of Event (Mountain Time)","value":"15:55:30"},{"id":151,"name":"Denver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7" s="224"/>
      <c r="AK187" s="232"/>
      <c r="AL187" s="232"/>
      <c r="AM187" s="241" t="str">
        <f t="shared" si="75"/>
        <v>start /low /b %USERPROFILE%\Documents\GitHub\eaglep3\Utilities\DownloadLogsFromS3.py --loco 4036 --day 2017-11-28</v>
      </c>
      <c r="AN187" s="242" t="str">
        <f t="shared" si="76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22:55:30"},{"id":29,"name":"Sharepoint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231" t="str">
        <f t="shared" si="77"/>
        <v>https://d0f6bd738d7f1b3e5a7ca70fe4ff75f0.us-east-1.aws.found.io/app/kibana#/discover/Steve-Slow-Train-Analysis-(2080s-and-2083s)?_g=(refreshInterval:(display:Off,pause:!f,section:0,value:0),time:(from:'2017-11-28T14:36:55-0700',mode:absolute,to:'2017-11-28T16:55:30-0700'))&amp;_a=(columns:!('Message%20ID',Summary),filters:!(),index:'emp_*',interval:auto,query:(query_string:(analyze_wildcard:!t,query:'%22rtdc.l.rtdc.4036%22')),sort:!(Time.ISO8601,asc))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24" customFormat="1" x14ac:dyDescent="0.25">
      <c r="A188" s="230" t="s">
        <v>809</v>
      </c>
      <c r="B188" s="226">
        <v>4035</v>
      </c>
      <c r="C188" s="228" t="s">
        <v>192</v>
      </c>
      <c r="D188" s="228" t="s">
        <v>1055</v>
      </c>
      <c r="E188" s="227">
        <v>43067.650636574072</v>
      </c>
      <c r="F188" s="227">
        <v>43067.675798611112</v>
      </c>
      <c r="G188" s="226">
        <v>85</v>
      </c>
      <c r="H188" s="228" t="s">
        <v>1056</v>
      </c>
      <c r="I188" s="227">
        <v>43067.683449074073</v>
      </c>
      <c r="J188" s="226">
        <v>0</v>
      </c>
      <c r="K188" s="238" t="str">
        <f t="shared" si="63"/>
        <v>4035/4036</v>
      </c>
      <c r="L188" s="246" t="str">
        <f>VLOOKUP(A188,'Trips&amp;Operators'!$C$1:$G$99911,5,FALSE)</f>
        <v>STAMBAUGH JAMES</v>
      </c>
      <c r="M188" s="225">
        <f t="shared" si="64"/>
        <v>7.6504629614646547E-3</v>
      </c>
      <c r="N188" s="226">
        <f t="shared" ref="N188:N219" si="85">24*60*SUM($M188:$M188)</f>
        <v>11.016666664509103</v>
      </c>
      <c r="O188" s="226"/>
      <c r="P188" s="226"/>
      <c r="Q188" s="229"/>
      <c r="R188" s="243"/>
      <c r="S188" s="250">
        <f t="shared" ref="S188:S219" si="86">1/IF(AG188="EC",12,1)*SUM(U188:U188)</f>
        <v>1</v>
      </c>
      <c r="T188" s="243" t="str">
        <f t="shared" si="65"/>
        <v>Southbound</v>
      </c>
      <c r="U188" s="247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49" t="str">
        <f t="shared" si="66"/>
        <v>https://d0f6bd738d7f1b3e5a7ca70fe4ff75f0.us-east-1.aws.found.io/app/kibana#/discover/Steve-Slow-Train-Analysis-(2080s-and-2083s)?_g=(refreshInterval:(display:Off,pause:!f,section:0,value:0),time:(from:'2017-11-28T14:36:55-0700',mode:absolute,to:'2017-11-28T17:24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88" s="248" t="str">
        <f>IF(AA188&lt;VLOOKUP(AG188,Variables!$AC$3:$AD$8,2,FALSE),"Y","N")</f>
        <v>N</v>
      </c>
      <c r="X188" s="248">
        <f t="shared" si="84"/>
        <v>1</v>
      </c>
      <c r="Y188" s="248">
        <v>5.8616999999999999</v>
      </c>
      <c r="Z188" s="248">
        <v>8.0399999999999999E-2</v>
      </c>
      <c r="AA188" s="248">
        <f t="shared" si="68"/>
        <v>5.7812999999999999</v>
      </c>
      <c r="AB188" s="234" t="e">
        <f>VLOOKUP(A188,Enforcements!$C$7:$K$9,8,0)</f>
        <v>#N/A</v>
      </c>
      <c r="AC188" s="233" t="e">
        <f>VLOOKUP(A188,Enforcements!$C$7:$E$9,3,0)</f>
        <v>#N/A</v>
      </c>
      <c r="AD188" s="244">
        <f t="shared" si="69"/>
        <v>828</v>
      </c>
      <c r="AE188" s="236" t="str">
        <f t="shared" si="70"/>
        <v>aws s3 cp s3://rtdc.mdm.uploadarchive.raw/RTDC4035/ "%USERPROFILE%\AppData\Local\Temp\OnboardLogs"\RTDC4035\2017-11-28 --exclude "*" --recursive --include "*20171128*" &amp; "%USERPROFILE%\Documents\GitHub\mrs-test-scripts\Headless Mode &amp; Sideloading\WalkAndUnGZ.bat" "%USERPROFILE%\AppData\Local\Temp\OnboardLogs"\RTDC4035\2017-11-28 &amp; aws s3 cp s3://rtdc.mdm.uploadarchive.raw/RTDC4035/ "%USERPROFILE%\AppData\Local\Temp\OnboardLogs"\RTDC4035\2017-11-29 --exclude "*" --recursive --include "*20171129*" &amp; "%USERPROFILE%\Documents\GitHub\mrs-test-scripts\Headless Mode &amp; Sideloading\WalkAndUnGZ.bat" "%USERPROFILE%\AppData\Local\Temp\OnboardLogs"\RTDC4035\2017-11-29</v>
      </c>
      <c r="AF188" s="235" t="str">
        <f t="shared" si="71"/>
        <v>"C:\Program Files (x86)\AstroGrep\AstroGrep.exe" /e /r /s /spath="%USERPROFILE%\AppData\Local\Temp\OnboardLogs" /stypes="app*4035*20171128*" /stext=" 23:.+((SYSTEM_STATE.+slice.+state.+changed )|(ment ac)|(multiple cpu faults)|(system.+state.+changed )|(\[timeout)|(PRM\|1\|D)|(kpr)|(kdp)|(train st.+moving)|(\|lc)|(penalty))"</v>
      </c>
      <c r="AG188" s="245" t="str">
        <f t="shared" si="72"/>
        <v>NW</v>
      </c>
      <c r="AH188" s="237" t="str">
        <f t="shared" ref="AH188" si="87">refinertdcruntimes&amp;" --tripid "&amp;A188&amp;" --locoid "&amp;B188&amp;" --swversion "&amp;C188&amp;" --startMP "&amp;D188&amp;" --initTime "&amp;TEXT(E188,"yyyy-mm-ddTHH:MM:SS")&amp;" --startdatetime "&amp;TEXT(F188,"yyyy-mm-ddTHH:MM:SS")&amp;" --delay "&amp;G188&amp;" --endMP "&amp;H188&amp;" --enddatetime "&amp;TEXT(I188,"yyyy-mm-ddTHH:MM:SS")&amp;" --enforcementcount "&amp;J188&amp;IF(outputrefinedruntimes," &gt;&gt;"&amp;RefinedRTDCRunTimesOutputFile,"")</f>
        <v>"%USERPROFILE%\Documents\GitHub\eaglep3\Utilities\RefineRTDCRunTimes.py" --tripid 828-28 --locoid 4035 --swversion DE.1.0.9.0 --startMP 204:1627 --initTime 2017-11-28T15:36:55 --startdatetime 2017-11-28T16:13:09 --delay 85 --endMP 204:1819 --enddatetime 2017-11-28T16:24:10 --enforcementcount 0 &gt;&gt;%USERPROFILE%\Documents\GitHub\eaglep3-reporting\EC\2017-11-28-refined-times.txt</v>
      </c>
      <c r="AI188" s="239" t="str">
        <f t="shared" ref="AI188" si="88">"echo {""issue"":{""subject"":"""&amp;R188&amp;""",""project_id"":79,""tracker_id"":40,""status_id"":"&amp;redmine_status&amp;",""priority_id"":"&amp;redmine_priority&amp;",""assigned_to_id"":"&amp;redmine_assignee&amp;",""start_date"":"""&amp;TEXT(I188,"YYYY-mm-dd")&amp;""",""description"":"""&amp;AJ188&amp;""",""custom_fields"":[{""id"":1,""name"":""Subdivision"",""value"":"""&amp;AG188&amp;"""},{""id"":4,""name"":""Milepost"",""value"":"""&amp;Z188&amp;"""},{""id"":17,""name"":""Train ID"",""value"":"""&amp;A188&amp;"""},{""id"":16,""name"":""Locomotive ID"",""value"":"""&amp;B188&amp;"""},{""id"":130,""name"":""Impact"",""value"":"""&amp;AK188&amp;"""},{""id"":150,""name"":""Time of Event (Mountain Time)"",""value"":"""&amp;TEXT(I188,"hh:mm:ss")&amp;"""},{""id"":151,""name"":""Denver Issue ID"",""value"":"""&amp;"""},{""id"":178,""name"":""Operational Impact"",""value"":"""&amp;redmine_op_impact&amp;"""},{""id"":179,""name"":""Denver Segment Assigned"",""value"":"""&amp;AL188&amp;"""}]}}"&amp;"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{"issue":{"subject":"","project_id":79,"tracker_id":40,"status_id":1,"priority_id":2,"assigned_to_id":338,"start_date":"2017-11-28","description":"","custom_fields":[{"id":1,"name":"Subdivision","value":"NW"},{"id":4,"name":"Milepost","value":"0.0804"},{"id":17,"name":"Train ID","value":"828-28"},{"id":16,"name":"Locomotive ID","value":"4035"},{"id":130,"name":"Impact","value":""},{"id":150,"name":"Time of Event (Mountain Time)","value":"16:24:10"},{"id":151,"name":"Denver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8" s="232"/>
      <c r="AL188" s="232"/>
      <c r="AM188" s="241" t="str">
        <f t="shared" ref="AM188" si="89">"start /low /b "&amp;dls3logs&amp;" --loco "&amp;B188&amp;" --day "&amp;TEXT(F188,"YYYY-MM-DD")</f>
        <v>start /low /b %USERPROFILE%\Documents\GitHub\eaglep3\Utilities\DownloadLogsFromS3.py --loco 4035 --day 2017-11-28</v>
      </c>
      <c r="AN188" s="242" t="str">
        <f t="shared" ref="AN188" si="90">"echo {""issue"":{""subject"":"""&amp;R188&amp;""",""project_id"":30,""tracker_id"":4,""status_id"":"&amp;redmine_status_wcr&amp;",""priority_id"":"&amp;redmine_priority_wcr&amp;",""assigned_to_id"":"&amp;redmine_assignee_wcr&amp;",""start_date"":"""&amp;TEXT(I188-utc_offset/24,"YYYY-mm-dd")&amp;""",""description"":"""&amp;AJ188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ID"",""value"":"""&amp;B188&amp;"""},{""id"":20,""name"":""RR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UTC"",""value"":"""&amp;TEXT(I188-utc_offset/24,"YYYY-MM-DD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23:24:10"},{"id":29,"name":"Sharepoint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231" t="str">
        <f t="shared" ref="AO188" si="91">"https://d0f6bd738d7f1b3e5a7ca70fe4ff75f0.us-east-1.aws.found.io/app/kibana#/discover/Steve-Slow-Train-Analysis-(2080s-and-2083s)?_g="&amp;"(refreshInterval:(display:Off,pause:!f,section:0,value:0),time:(from:'"&amp;TEXT(E188-1/24,"yyyy-MM-DDThh:mm:ss")&amp;utc_offset&amp;"00"&amp;"',mode:absolute,to:'"&amp;TEXT(I188+1/24,"yyyy-MM-DDThh:mm:ss")&amp;utc_offset&amp;"00"&amp;"'))&amp;_a=(columns:!('Message%20ID',Summary),filters:!(),index:'emp_*',interval:auto,query:"&amp;"(query_string:(analyze_wildcard:!t,query:'%22rtdc.l.rtdc."&amp;B188&amp;"%22')),sort:!(Time.ISO8601,asc))"</f>
        <v>https://d0f6bd738d7f1b3e5a7ca70fe4ff75f0.us-east-1.aws.found.io/app/kibana#/discover/Steve-Slow-Train-Analysis-(2080s-and-2083s)?_g=(refreshInterval:(display:Off,pause:!f,section:0,value:0),time:(from:'2017-11-28T14:36:55-0700',mode:absolute,to:'2017-11-28T17:24:10-0700'))&amp;_a=(columns:!('Message%20ID',Summary),filters:!(),index:'emp_*',interval:auto,query:(query_string:(analyze_wildcard:!t,query:'%22rtdc.l.rtdc.4035%22')),sort:!(Time.ISO8601,asc))</v>
      </c>
    </row>
    <row r="189" spans="1:91" s="20" customFormat="1" x14ac:dyDescent="0.25">
      <c r="A189" s="230" t="s">
        <v>808</v>
      </c>
      <c r="B189" s="226">
        <v>4002</v>
      </c>
      <c r="C189" s="228" t="s">
        <v>192</v>
      </c>
      <c r="D189" s="228" t="s">
        <v>1034</v>
      </c>
      <c r="E189" s="227">
        <v>43067.664837962962</v>
      </c>
      <c r="F189" s="227">
        <v>43067.673414351855</v>
      </c>
      <c r="G189" s="226">
        <v>56</v>
      </c>
      <c r="H189" s="228" t="s">
        <v>624</v>
      </c>
      <c r="I189" s="227">
        <v>43067.68372685185</v>
      </c>
      <c r="J189" s="226">
        <v>0</v>
      </c>
      <c r="K189" s="238" t="str">
        <f t="shared" si="63"/>
        <v>4001/4002</v>
      </c>
      <c r="L189" s="246" t="str">
        <f>VLOOKUP(A189,'Trips&amp;Operators'!$C$1:$G$99911,5,FALSE)</f>
        <v>GUZMAN DANNY</v>
      </c>
      <c r="M189" s="225">
        <f t="shared" si="64"/>
        <v>1.0312499995052349E-2</v>
      </c>
      <c r="N189" s="226">
        <f t="shared" si="85"/>
        <v>14.849999992875382</v>
      </c>
      <c r="O189" s="226"/>
      <c r="P189" s="226"/>
      <c r="Q189" s="229"/>
      <c r="R189" s="243"/>
      <c r="S189" s="250">
        <f t="shared" si="86"/>
        <v>1</v>
      </c>
      <c r="T189" s="243" t="str">
        <f t="shared" si="65"/>
        <v>NorthBound</v>
      </c>
      <c r="U189" s="247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49" t="str">
        <f t="shared" si="66"/>
        <v>https://d0f6bd738d7f1b3e5a7ca70fe4ff75f0.us-east-1.aws.found.io/app/kibana#/discover/Steve-Slow-Train-Analysis-(2080s-and-2083s)?_g=(refreshInterval:(display:Off,pause:!f,section:0,value:0),time:(from:'2017-11-28T14:57:22-0700',mode:absolute,to:'2017-11-28T17:24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89" s="248" t="str">
        <f>IF(AA189&lt;VLOOKUP(AG189,Variables!$AC$3:$AD$8,2,FALSE),"Y","N")</f>
        <v>N</v>
      </c>
      <c r="X189" s="248">
        <f t="shared" si="84"/>
        <v>1</v>
      </c>
      <c r="Y189" s="248">
        <f t="shared" ref="Y189:Y195" si="92">RIGHT(D189,LEN(D189)-4)/10000</f>
        <v>0.1104</v>
      </c>
      <c r="Z189" s="248">
        <f t="shared" ref="Z189:Z195" si="93">RIGHT(H189,LEN(H189)-4)/10000</f>
        <v>5.8936999999999999</v>
      </c>
      <c r="AA189" s="248">
        <f t="shared" si="68"/>
        <v>5.7832999999999997</v>
      </c>
      <c r="AB189" s="234" t="e">
        <f>VLOOKUP(A189,Enforcements!$C$7:$K$9,8,0)</f>
        <v>#N/A</v>
      </c>
      <c r="AC189" s="233" t="e">
        <f>VLOOKUP(A189,Enforcements!$C$7:$E$9,3,0)</f>
        <v>#N/A</v>
      </c>
      <c r="AD189" s="244">
        <f t="shared" si="69"/>
        <v>829</v>
      </c>
      <c r="AE189" s="236" t="str">
        <f t="shared" si="70"/>
        <v>aws s3 cp s3://rtdc.mdm.uploadarchive.raw/RTDC4002/ "%USERPROFILE%\AppData\Local\Temp\OnboardLogs"\RTDC4002\2017-11-28 --exclude "*" --recursive --include "*20171128*" &amp; "%USERPROFILE%\Documents\GitHub\mrs-test-scripts\Headless Mode &amp; Sideloading\WalkAndUnGZ.bat" "%USERPROFILE%\AppData\Local\Temp\OnboardLogs"\RTDC4002\2017-11-28 &amp; aws s3 cp s3://rtdc.mdm.uploadarchive.raw/RTDC4002/ "%USERPROFILE%\AppData\Local\Temp\OnboardLogs"\RTDC4002\2017-11-29 --exclude "*" --recursive --include "*20171129*" &amp; "%USERPROFILE%\Documents\GitHub\mrs-test-scripts\Headless Mode &amp; Sideloading\WalkAndUnGZ.bat" "%USERPROFILE%\AppData\Local\Temp\OnboardLogs"\RTDC4002\2017-11-29</v>
      </c>
      <c r="AF189" s="235" t="str">
        <f t="shared" si="71"/>
        <v>"C:\Program Files (x86)\AstroGrep\AstroGrep.exe" /e /r /s /spath="%USERPROFILE%\AppData\Local\Temp\OnboardLogs" /stypes="app*4002*20171128*" /stext=" 23:.+((SYSTEM_STATE.+slice.+state.+changed )|(ment ac)|(multiple cpu faults)|(system.+state.+changed )|(\[timeout)|(PRM\|1\|D)|(kpr)|(kdp)|(train st.+moving)|(\|lc)|(penalty))"</v>
      </c>
      <c r="AG189" s="245" t="str">
        <f t="shared" si="72"/>
        <v>NW</v>
      </c>
      <c r="AH189" s="237" t="str">
        <f t="shared" si="73"/>
        <v>"%USERPROFILE%\Documents\GitHub\eaglep3\Utilities\RefineRTDCRunTimes.py" --tripid 829-28 --locoid 4002 --swversion DE.1.0.9.0 --startMP 204:1104 --initTime 2017-11-28T15:57:22 --startdatetime 2017-11-28T16:09:43 --delay 56 --endMP 300:58937 --enddatetime 2017-11-28T16:24:34 --enforcementcount 0 &gt;&gt;%USERPROFILE%\Documents\GitHub\eaglep3-reporting\EC\2017-11-28-refined-times.txt</v>
      </c>
      <c r="AI189" s="239" t="str">
        <f t="shared" si="74"/>
        <v>echo {"issue":{"subject":"","project_id":79,"tracker_id":40,"status_id":1,"priority_id":2,"assigned_to_id":338,"start_date":"2017-11-28","description":"","custom_fields":[{"id":1,"name":"Subdivision","value":"NW"},{"id":4,"name":"Milepost","value":"5.8937"},{"id":17,"name":"Train ID","value":"829-28"},{"id":16,"name":"Locomotive ID","value":"4002"},{"id":130,"name":"Impact","value":""},{"id":150,"name":"Time of Event (Mountain Time)","value":"16:24:34"},{"id":151,"name":"Denver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9" s="224"/>
      <c r="AK189" s="232"/>
      <c r="AL189" s="232"/>
      <c r="AM189" s="241" t="str">
        <f t="shared" si="75"/>
        <v>start /low /b %USERPROFILE%\Documents\GitHub\eaglep3\Utilities\DownloadLogsFromS3.py --loco 4002 --day 2017-11-28</v>
      </c>
      <c r="AN189" s="242" t="str">
        <f t="shared" si="76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23:24:34"},{"id":29,"name":"Sharepoint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231" t="str">
        <f t="shared" si="77"/>
        <v>https://d0f6bd738d7f1b3e5a7ca70fe4ff75f0.us-east-1.aws.found.io/app/kibana#/discover/Steve-Slow-Train-Analysis-(2080s-and-2083s)?_g=(refreshInterval:(display:Off,pause:!f,section:0,value:0),time:(from:'2017-11-28T14:57:22-0700',mode:absolute,to:'2017-11-28T17:24:34-0700'))&amp;_a=(columns:!('Message%20ID',Summary),filters:!(),index:'emp_*',interval:auto,query:(query_string:(analyze_wildcard:!t,query:'%22rtdc.l.rtdc.4002%22')),sort:!(Time.ISO8601,asc))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0" customFormat="1" x14ac:dyDescent="0.25">
      <c r="A190" s="230" t="s">
        <v>815</v>
      </c>
      <c r="B190" s="226">
        <v>4001</v>
      </c>
      <c r="C190" s="228" t="s">
        <v>192</v>
      </c>
      <c r="D190" s="228" t="s">
        <v>475</v>
      </c>
      <c r="E190" s="227">
        <v>43067.684988425928</v>
      </c>
      <c r="F190" s="227">
        <v>43067.695833333331</v>
      </c>
      <c r="G190" s="226">
        <v>58</v>
      </c>
      <c r="H190" s="228" t="s">
        <v>1057</v>
      </c>
      <c r="I190" s="227">
        <v>43067.705497685187</v>
      </c>
      <c r="J190" s="226">
        <v>0</v>
      </c>
      <c r="K190" s="238" t="str">
        <f t="shared" si="63"/>
        <v>4001/4002</v>
      </c>
      <c r="L190" s="246" t="str">
        <f>VLOOKUP(A190,'Trips&amp;Operators'!$C$1:$G$99911,5,FALSE)</f>
        <v>GUZMAN DANNY</v>
      </c>
      <c r="M190" s="225">
        <f t="shared" si="64"/>
        <v>9.6643518554628827E-3</v>
      </c>
      <c r="N190" s="226">
        <f t="shared" si="85"/>
        <v>13.916666671866551</v>
      </c>
      <c r="O190" s="226"/>
      <c r="P190" s="226"/>
      <c r="Q190" s="229"/>
      <c r="R190" s="243"/>
      <c r="S190" s="250">
        <f t="shared" si="86"/>
        <v>1</v>
      </c>
      <c r="T190" s="243" t="str">
        <f t="shared" si="65"/>
        <v>Southbound</v>
      </c>
      <c r="U190" s="247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49" t="str">
        <f t="shared" si="66"/>
        <v>https://d0f6bd738d7f1b3e5a7ca70fe4ff75f0.us-east-1.aws.found.io/app/kibana#/discover/Steve-Slow-Train-Analysis-(2080s-and-2083s)?_g=(refreshInterval:(display:Off,pause:!f,section:0,value:0),time:(from:'2017-11-28T15:26:23-0700',mode:absolute,to:'2017-11-28T17:55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90" s="248" t="str">
        <f>IF(AA190&lt;VLOOKUP(AG190,Variables!$AC$3:$AD$8,2,FALSE),"Y","N")</f>
        <v>N</v>
      </c>
      <c r="X190" s="248">
        <f t="shared" si="84"/>
        <v>1</v>
      </c>
      <c r="Y190" s="248">
        <f t="shared" si="92"/>
        <v>5.8611000000000004</v>
      </c>
      <c r="Z190" s="248">
        <f t="shared" si="93"/>
        <v>1.46E-2</v>
      </c>
      <c r="AA190" s="248">
        <f t="shared" si="68"/>
        <v>5.8465000000000007</v>
      </c>
      <c r="AB190" s="234" t="e">
        <f>VLOOKUP(A190,Enforcements!$C$7:$K$9,8,0)</f>
        <v>#N/A</v>
      </c>
      <c r="AC190" s="233" t="e">
        <f>VLOOKUP(A190,Enforcements!$C$7:$E$9,3,0)</f>
        <v>#N/A</v>
      </c>
      <c r="AD190" s="244">
        <f t="shared" si="69"/>
        <v>830</v>
      </c>
      <c r="AE190" s="236" t="str">
        <f t="shared" si="70"/>
        <v>aws s3 cp s3://rtdc.mdm.uploadarchive.raw/RTDC4001/ "%USERPROFILE%\AppData\Local\Temp\OnboardLogs"\RTDC4001\2017-11-28 --exclude "*" --recursive --include "*20171128*" &amp; "%USERPROFILE%\Documents\GitHub\mrs-test-scripts\Headless Mode &amp; Sideloading\WalkAndUnGZ.bat" "%USERPROFILE%\AppData\Local\Temp\OnboardLogs"\RTDC4001\2017-11-28 &amp; aws s3 cp s3://rtdc.mdm.uploadarchive.raw/RTDC4001/ "%USERPROFILE%\AppData\Local\Temp\OnboardLogs"\RTDC4001\2017-11-29 --exclude "*" --recursive --include "*20171129*" &amp; "%USERPROFILE%\Documents\GitHub\mrs-test-scripts\Headless Mode &amp; Sideloading\WalkAndUnGZ.bat" "%USERPROFILE%\AppData\Local\Temp\OnboardLogs"\RTDC4001\2017-11-29</v>
      </c>
      <c r="AF190" s="235" t="str">
        <f t="shared" si="71"/>
        <v>"C:\Program Files (x86)\AstroGrep\AstroGrep.exe" /e /r /s /spath="%USERPROFILE%\AppData\Local\Temp\OnboardLogs" /stypes="app*4001*20171128*" /stext=" 23:.+((SYSTEM_STATE.+slice.+state.+changed )|(ment ac)|(multiple cpu faults)|(system.+state.+changed )|(\[timeout)|(PRM\|1\|D)|(kpr)|(kdp)|(train st.+moving)|(\|lc)|(penalty))"</v>
      </c>
      <c r="AG190" s="245" t="str">
        <f t="shared" si="72"/>
        <v>NW</v>
      </c>
      <c r="AH190" s="237" t="str">
        <f t="shared" si="73"/>
        <v>"%USERPROFILE%\Documents\GitHub\eaglep3\Utilities\RefineRTDCRunTimes.py" --tripid 830-28 --locoid 4001 --swversion DE.1.0.9.0 --startMP 300:58611 --initTime 2017-11-28T16:26:23 --startdatetime 2017-11-28T16:42:00 --delay 58 --endMP 204:146 --enddatetime 2017-11-28T16:55:55 --enforcementcount 0 &gt;&gt;%USERPROFILE%\Documents\GitHub\eaglep3-reporting\EC\2017-11-28-refined-times.txt</v>
      </c>
      <c r="AI190" s="239" t="str">
        <f t="shared" si="74"/>
        <v>echo {"issue":{"subject":"","project_id":79,"tracker_id":40,"status_id":1,"priority_id":2,"assigned_to_id":338,"start_date":"2017-11-28","description":"","custom_fields":[{"id":1,"name":"Subdivision","value":"NW"},{"id":4,"name":"Milepost","value":"0.0146"},{"id":17,"name":"Train ID","value":"830-28"},{"id":16,"name":"Locomotive ID","value":"4001"},{"id":130,"name":"Impact","value":""},{"id":150,"name":"Time of Event (Mountain Time)","value":"16:55:55"},{"id":151,"name":"Denver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0" s="224"/>
      <c r="AK190" s="232"/>
      <c r="AL190" s="232"/>
      <c r="AM190" s="241" t="str">
        <f t="shared" si="75"/>
        <v>start /low /b %USERPROFILE%\Documents\GitHub\eaglep3\Utilities\DownloadLogsFromS3.py --loco 4001 --day 2017-11-28</v>
      </c>
      <c r="AN190" s="242" t="str">
        <f t="shared" si="76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23:55:55"},{"id":29,"name":"Sharepoint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231" t="str">
        <f t="shared" si="77"/>
        <v>https://d0f6bd738d7f1b3e5a7ca70fe4ff75f0.us-east-1.aws.found.io/app/kibana#/discover/Steve-Slow-Train-Analysis-(2080s-and-2083s)?_g=(refreshInterval:(display:Off,pause:!f,section:0,value:0),time:(from:'2017-11-28T15:26:23-0700',mode:absolute,to:'2017-11-28T17:55:55-0700'))&amp;_a=(columns:!('Message%20ID',Summary),filters:!(),index:'emp_*',interval:auto,query:(query_string:(analyze_wildcard:!t,query:'%22rtdc.l.rtdc.4001%22')),sort:!(Time.ISO8601,asc))</v>
      </c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0" customFormat="1" x14ac:dyDescent="0.25">
      <c r="A191" s="230" t="s">
        <v>816</v>
      </c>
      <c r="B191" s="226">
        <v>4036</v>
      </c>
      <c r="C191" s="228" t="s">
        <v>192</v>
      </c>
      <c r="D191" s="228" t="s">
        <v>1058</v>
      </c>
      <c r="E191" s="227">
        <v>43067.691631944443</v>
      </c>
      <c r="F191" s="227">
        <v>43067.694097222222</v>
      </c>
      <c r="G191" s="226">
        <v>62</v>
      </c>
      <c r="H191" s="228" t="s">
        <v>1054</v>
      </c>
      <c r="I191" s="227">
        <v>43067.70412037037</v>
      </c>
      <c r="J191" s="226">
        <v>0</v>
      </c>
      <c r="K191" s="238" t="str">
        <f t="shared" si="63"/>
        <v>4035/4036</v>
      </c>
      <c r="L191" s="246" t="str">
        <f>VLOOKUP(A191,'Trips&amp;Operators'!$C$1:$G$99911,5,FALSE)</f>
        <v>STAMBAUGH JAMES</v>
      </c>
      <c r="M191" s="225">
        <f t="shared" si="64"/>
        <v>1.0023148148320615E-2</v>
      </c>
      <c r="N191" s="226">
        <f t="shared" si="85"/>
        <v>14.433333333581686</v>
      </c>
      <c r="O191" s="226"/>
      <c r="P191" s="226"/>
      <c r="Q191" s="229"/>
      <c r="R191" s="243"/>
      <c r="S191" s="250">
        <f t="shared" si="86"/>
        <v>1</v>
      </c>
      <c r="T191" s="243" t="str">
        <f t="shared" si="65"/>
        <v>NorthBound</v>
      </c>
      <c r="U191" s="247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49" t="str">
        <f t="shared" si="66"/>
        <v>https://d0f6bd738d7f1b3e5a7ca70fe4ff75f0.us-east-1.aws.found.io/app/kibana#/discover/Steve-Slow-Train-Analysis-(2080s-and-2083s)?_g=(refreshInterval:(display:Off,pause:!f,section:0,value:0),time:(from:'2017-11-28T15:35:57-0700',mode:absolute,to:'2017-11-28T17:53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91" s="248" t="str">
        <f>IF(AA191&lt;VLOOKUP(AG191,Variables!$AC$3:$AD$8,2,FALSE),"Y","N")</f>
        <v>N</v>
      </c>
      <c r="X191" s="248">
        <f t="shared" si="84"/>
        <v>1</v>
      </c>
      <c r="Y191" s="248">
        <f t="shared" si="92"/>
        <v>9.7900000000000001E-2</v>
      </c>
      <c r="Z191" s="248">
        <f t="shared" si="93"/>
        <v>5.8948</v>
      </c>
      <c r="AA191" s="248">
        <f t="shared" si="68"/>
        <v>5.7968999999999999</v>
      </c>
      <c r="AB191" s="234" t="e">
        <f>VLOOKUP(A191,Enforcements!$C$7:$K$9,8,0)</f>
        <v>#N/A</v>
      </c>
      <c r="AC191" s="233" t="e">
        <f>VLOOKUP(A191,Enforcements!$C$7:$E$9,3,0)</f>
        <v>#N/A</v>
      </c>
      <c r="AD191" s="244">
        <f t="shared" si="69"/>
        <v>831</v>
      </c>
      <c r="AE191" s="236" t="str">
        <f t="shared" si="70"/>
        <v>aws s3 cp s3://rtdc.mdm.uploadarchive.raw/RTDC4036/ "%USERPROFILE%\AppData\Local\Temp\OnboardLogs"\RTDC4036\2017-11-28 --exclude "*" --recursive --include "*20171128*" &amp; "%USERPROFILE%\Documents\GitHub\mrs-test-scripts\Headless Mode &amp; Sideloading\WalkAndUnGZ.bat" "%USERPROFILE%\AppData\Local\Temp\OnboardLogs"\RTDC4036\2017-11-28 &amp; aws s3 cp s3://rtdc.mdm.uploadarchive.raw/RTDC4036/ "%USERPROFILE%\AppData\Local\Temp\OnboardLogs"\RTDC4036\2017-11-29 --exclude "*" --recursive --include "*20171129*" &amp; "%USERPROFILE%\Documents\GitHub\mrs-test-scripts\Headless Mode &amp; Sideloading\WalkAndUnGZ.bat" "%USERPROFILE%\AppData\Local\Temp\OnboardLogs"\RTDC4036\2017-11-29</v>
      </c>
      <c r="AF191" s="235" t="str">
        <f t="shared" si="71"/>
        <v>"C:\Program Files (x86)\AstroGrep\AstroGrep.exe" /e /r /s /spath="%USERPROFILE%\AppData\Local\Temp\OnboardLogs" /stypes="app*4036*20171128*" /stext=" 23:.+((SYSTEM_STATE.+slice.+state.+changed )|(ment ac)|(multiple cpu faults)|(system.+state.+changed )|(\[timeout)|(PRM\|1\|D)|(kpr)|(kdp)|(train st.+moving)|(\|lc)|(penalty))"</v>
      </c>
      <c r="AG191" s="245" t="str">
        <f t="shared" si="72"/>
        <v>NW</v>
      </c>
      <c r="AH191" s="237" t="str">
        <f t="shared" si="73"/>
        <v>"%USERPROFILE%\Documents\GitHub\eaglep3\Utilities\RefineRTDCRunTimes.py" --tripid 831-28 --locoid 4036 --swversion DE.1.0.9.0 --startMP 204:979 --initTime 2017-11-28T16:35:57 --startdatetime 2017-11-28T16:39:30 --delay 62 --endMP 300:58948 --enddatetime 2017-11-28T16:53:56 --enforcementcount 0 &gt;&gt;%USERPROFILE%\Documents\GitHub\eaglep3-reporting\EC\2017-11-28-refined-times.txt</v>
      </c>
      <c r="AI191" s="239" t="str">
        <f t="shared" si="74"/>
        <v>echo {"issue":{"subject":"","project_id":79,"tracker_id":40,"status_id":1,"priority_id":2,"assigned_to_id":338,"start_date":"2017-11-28","description":"","custom_fields":[{"id":1,"name":"Subdivision","value":"NW"},{"id":4,"name":"Milepost","value":"5.8948"},{"id":17,"name":"Train ID","value":"831-28"},{"id":16,"name":"Locomotive ID","value":"4036"},{"id":130,"name":"Impact","value":""},{"id":150,"name":"Time of Event (Mountain Time)","value":"16:53:56"},{"id":151,"name":"Denver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1" s="224"/>
      <c r="AK191" s="232"/>
      <c r="AL191" s="232"/>
      <c r="AM191" s="241" t="str">
        <f t="shared" si="75"/>
        <v>start /low /b %USERPROFILE%\Documents\GitHub\eaglep3\Utilities\DownloadLogsFromS3.py --loco 4036 --day 2017-11-28</v>
      </c>
      <c r="AN191" s="242" t="str">
        <f t="shared" si="76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23:53:56"},{"id":29,"name":"Sharepoint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231" t="str">
        <f t="shared" si="77"/>
        <v>https://d0f6bd738d7f1b3e5a7ca70fe4ff75f0.us-east-1.aws.found.io/app/kibana#/discover/Steve-Slow-Train-Analysis-(2080s-and-2083s)?_g=(refreshInterval:(display:Off,pause:!f,section:0,value:0),time:(from:'2017-11-28T15:35:57-0700',mode:absolute,to:'2017-11-28T17:53:56-0700'))&amp;_a=(columns:!('Message%20ID',Summary),filters:!(),index:'emp_*',interval:auto,query:(query_string:(analyze_wildcard:!t,query:'%22rtdc.l.rtdc.4036%22')),sort:!(Time.ISO8601,asc))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0" customFormat="1" x14ac:dyDescent="0.25">
      <c r="A192" s="230" t="s">
        <v>818</v>
      </c>
      <c r="B192" s="226">
        <v>4035</v>
      </c>
      <c r="C192" s="228" t="s">
        <v>192</v>
      </c>
      <c r="D192" s="228" t="s">
        <v>1059</v>
      </c>
      <c r="E192" s="227">
        <v>43067.705127314817</v>
      </c>
      <c r="F192" s="227">
        <v>43067.717361111114</v>
      </c>
      <c r="G192" s="226">
        <v>48</v>
      </c>
      <c r="H192" s="228" t="s">
        <v>1060</v>
      </c>
      <c r="I192" s="227">
        <v>43067.725127314814</v>
      </c>
      <c r="J192" s="226">
        <v>0</v>
      </c>
      <c r="K192" s="238" t="str">
        <f t="shared" si="63"/>
        <v>4035/4036</v>
      </c>
      <c r="L192" s="246" t="str">
        <f>VLOOKUP(A192,'Trips&amp;Operators'!$C$1:$G$99911,5,FALSE)</f>
        <v>STAMBAUGH JAMES</v>
      </c>
      <c r="M192" s="225">
        <f t="shared" si="64"/>
        <v>7.7662037001573481E-3</v>
      </c>
      <c r="N192" s="226">
        <f t="shared" si="85"/>
        <v>11.183333328226581</v>
      </c>
      <c r="O192" s="226"/>
      <c r="P192" s="226"/>
      <c r="Q192" s="229"/>
      <c r="R192" s="243"/>
      <c r="S192" s="250">
        <f t="shared" si="86"/>
        <v>1</v>
      </c>
      <c r="T192" s="243" t="str">
        <f t="shared" si="65"/>
        <v>Southbound</v>
      </c>
      <c r="U192" s="247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49" t="str">
        <f t="shared" si="66"/>
        <v>https://d0f6bd738d7f1b3e5a7ca70fe4ff75f0.us-east-1.aws.found.io/app/kibana#/discover/Steve-Slow-Train-Analysis-(2080s-and-2083s)?_g=(refreshInterval:(display:Off,pause:!f,section:0,value:0),time:(from:'2017-11-28T15:55:23-0700',mode:absolute,to:'2017-11-28T18:24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92" s="248" t="str">
        <f>IF(AA192&lt;VLOOKUP(AG192,Variables!$AC$3:$AD$8,2,FALSE),"Y","N")</f>
        <v>N</v>
      </c>
      <c r="X192" s="248">
        <f t="shared" si="84"/>
        <v>1</v>
      </c>
      <c r="Y192" s="248">
        <f t="shared" si="92"/>
        <v>5.8632</v>
      </c>
      <c r="Z192" s="248">
        <f t="shared" si="93"/>
        <v>1.2800000000000001E-2</v>
      </c>
      <c r="AA192" s="248">
        <f t="shared" si="68"/>
        <v>5.8503999999999996</v>
      </c>
      <c r="AB192" s="234" t="e">
        <f>VLOOKUP(A192,Enforcements!$C$7:$K$9,8,0)</f>
        <v>#N/A</v>
      </c>
      <c r="AC192" s="233" t="e">
        <f>VLOOKUP(A192,Enforcements!$C$7:$E$9,3,0)</f>
        <v>#N/A</v>
      </c>
      <c r="AD192" s="244">
        <f t="shared" si="69"/>
        <v>832</v>
      </c>
      <c r="AE192" s="236" t="str">
        <f t="shared" si="70"/>
        <v>aws s3 cp s3://rtdc.mdm.uploadarchive.raw/RTDC4035/ "%USERPROFILE%\AppData\Local\Temp\OnboardLogs"\RTDC4035\2017-11-28 --exclude "*" --recursive --include "*20171128*" &amp; "%USERPROFILE%\Documents\GitHub\mrs-test-scripts\Headless Mode &amp; Sideloading\WalkAndUnGZ.bat" "%USERPROFILE%\AppData\Local\Temp\OnboardLogs"\RTDC4035\2017-11-28 &amp; aws s3 cp s3://rtdc.mdm.uploadarchive.raw/RTDC4035/ "%USERPROFILE%\AppData\Local\Temp\OnboardLogs"\RTDC4035\2017-11-29 --exclude "*" --recursive --include "*20171129*" &amp; "%USERPROFILE%\Documents\GitHub\mrs-test-scripts\Headless Mode &amp; Sideloading\WalkAndUnGZ.bat" "%USERPROFILE%\AppData\Local\Temp\OnboardLogs"\RTDC4035\2017-11-29</v>
      </c>
      <c r="AF192" s="235" t="str">
        <f t="shared" si="71"/>
        <v>"C:\Program Files (x86)\AstroGrep\AstroGrep.exe" /e /r /s /spath="%USERPROFILE%\AppData\Local\Temp\OnboardLogs" /stypes="app*4035*20171129*" /stext=" 00:.+((SYSTEM_STATE.+slice.+state.+changed )|(ment ac)|(multiple cpu faults)|(system.+state.+changed )|(\[timeout)|(PRM\|1\|D)|(kpr)|(kdp)|(train st.+moving)|(\|lc)|(penalty))"</v>
      </c>
      <c r="AG192" s="245" t="str">
        <f t="shared" si="72"/>
        <v>NW</v>
      </c>
      <c r="AH192" s="237" t="str">
        <f t="shared" si="73"/>
        <v>"%USERPROFILE%\Documents\GitHub\eaglep3\Utilities\RefineRTDCRunTimes.py" --tripid 832-28 --locoid 4035 --swversion DE.1.0.9.0 --startMP 300:58632 --initTime 2017-11-28T16:55:23 --startdatetime 2017-11-28T17:13:00 --delay 48 --endMP 204:128 --enddatetime 2017-11-28T17:24:11 --enforcementcount 0 &gt;&gt;%USERPROFILE%\Documents\GitHub\eaglep3-reporting\EC\2017-11-28-refined-times.txt</v>
      </c>
      <c r="AI192" s="239" t="str">
        <f t="shared" si="74"/>
        <v>echo {"issue":{"subject":"","project_id":79,"tracker_id":40,"status_id":1,"priority_id":2,"assigned_to_id":338,"start_date":"2017-11-28","description":"","custom_fields":[{"id":1,"name":"Subdivision","value":"NW"},{"id":4,"name":"Milepost","value":"0.0128"},{"id":17,"name":"Train ID","value":"832-28"},{"id":16,"name":"Locomotive ID","value":"4035"},{"id":130,"name":"Impact","value":""},{"id":150,"name":"Time of Event (Mountain Time)","value":"17:24:11"},{"id":151,"name":"Denver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2" s="224"/>
      <c r="AK192" s="232"/>
      <c r="AL192" s="232"/>
      <c r="AM192" s="241" t="str">
        <f t="shared" si="75"/>
        <v>start /low /b %USERPROFILE%\Documents\GitHub\eaglep3\Utilities\DownloadLogsFromS3.py --loco 4035 --day 2017-11-28</v>
      </c>
      <c r="AN192" s="242" t="str">
        <f t="shared" si="76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00:24:11"},{"id":29,"name":"Sharepoint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231" t="str">
        <f t="shared" si="77"/>
        <v>https://d0f6bd738d7f1b3e5a7ca70fe4ff75f0.us-east-1.aws.found.io/app/kibana#/discover/Steve-Slow-Train-Analysis-(2080s-and-2083s)?_g=(refreshInterval:(display:Off,pause:!f,section:0,value:0),time:(from:'2017-11-28T15:55:23-0700',mode:absolute,to:'2017-11-28T18:24:11-0700'))&amp;_a=(columns:!('Message%20ID',Summary),filters:!(),index:'emp_*',interval:auto,query:(query_string:(analyze_wildcard:!t,query:'%22rtdc.l.rtdc.4035%22')),sort:!(Time.ISO8601,asc))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0" customFormat="1" x14ac:dyDescent="0.25">
      <c r="A193" s="230" t="s">
        <v>822</v>
      </c>
      <c r="B193" s="226">
        <v>4002</v>
      </c>
      <c r="C193" s="228" t="s">
        <v>192</v>
      </c>
      <c r="D193" s="228" t="s">
        <v>591</v>
      </c>
      <c r="E193" s="227">
        <v>43067.707696759258</v>
      </c>
      <c r="F193" s="227">
        <v>43067.714814814812</v>
      </c>
      <c r="G193" s="226">
        <v>87</v>
      </c>
      <c r="H193" s="228" t="s">
        <v>621</v>
      </c>
      <c r="I193" s="227">
        <v>43067.725706018522</v>
      </c>
      <c r="J193" s="226">
        <v>0</v>
      </c>
      <c r="K193" s="238" t="str">
        <f t="shared" si="63"/>
        <v>4001/4002</v>
      </c>
      <c r="L193" s="246" t="str">
        <f>VLOOKUP(A193,'Trips&amp;Operators'!$C$1:$G$99911,5,FALSE)</f>
        <v>GUZMAN DANNY</v>
      </c>
      <c r="M193" s="225">
        <f t="shared" si="64"/>
        <v>1.0891203710343689E-2</v>
      </c>
      <c r="N193" s="226">
        <f t="shared" si="85"/>
        <v>15.683333342894912</v>
      </c>
      <c r="O193" s="226"/>
      <c r="P193" s="226"/>
      <c r="Q193" s="229"/>
      <c r="R193" s="243"/>
      <c r="S193" s="250">
        <f t="shared" si="86"/>
        <v>1</v>
      </c>
      <c r="T193" s="243" t="str">
        <f t="shared" si="65"/>
        <v>NorthBound</v>
      </c>
      <c r="U193" s="247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49" t="str">
        <f t="shared" si="66"/>
        <v>https://d0f6bd738d7f1b3e5a7ca70fe4ff75f0.us-east-1.aws.found.io/app/kibana#/discover/Steve-Slow-Train-Analysis-(2080s-and-2083s)?_g=(refreshInterval:(display:Off,pause:!f,section:0,value:0),time:(from:'2017-11-28T15:59:05-0700',mode:absolute,to:'2017-11-28T18:25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93" s="248" t="str">
        <f>IF(AA193&lt;VLOOKUP(AG193,Variables!$AC$3:$AD$8,2,FALSE),"Y","N")</f>
        <v>N</v>
      </c>
      <c r="X193" s="248">
        <f>VALUE(LEFT(AD193,4))-VALUE(LEFT(AD192,4))</f>
        <v>1</v>
      </c>
      <c r="Y193" s="248">
        <f t="shared" si="92"/>
        <v>4.5499999999999999E-2</v>
      </c>
      <c r="Z193" s="248">
        <f t="shared" si="93"/>
        <v>5.8939000000000004</v>
      </c>
      <c r="AA193" s="248">
        <f t="shared" si="68"/>
        <v>5.8484000000000007</v>
      </c>
      <c r="AB193" s="234" t="e">
        <f>VLOOKUP(A193,Enforcements!$C$7:$K$9,8,0)</f>
        <v>#N/A</v>
      </c>
      <c r="AC193" s="233" t="e">
        <f>VLOOKUP(A193,Enforcements!$C$7:$E$9,3,0)</f>
        <v>#N/A</v>
      </c>
      <c r="AD193" s="244">
        <f t="shared" si="69"/>
        <v>833</v>
      </c>
      <c r="AE193" s="236" t="str">
        <f t="shared" si="70"/>
        <v>aws s3 cp s3://rtdc.mdm.uploadarchive.raw/RTDC4002/ "%USERPROFILE%\AppData\Local\Temp\OnboardLogs"\RTDC4002\2017-11-28 --exclude "*" --recursive --include "*20171128*" &amp; "%USERPROFILE%\Documents\GitHub\mrs-test-scripts\Headless Mode &amp; Sideloading\WalkAndUnGZ.bat" "%USERPROFILE%\AppData\Local\Temp\OnboardLogs"\RTDC4002\2017-11-28 &amp; aws s3 cp s3://rtdc.mdm.uploadarchive.raw/RTDC4002/ "%USERPROFILE%\AppData\Local\Temp\OnboardLogs"\RTDC4002\2017-11-29 --exclude "*" --recursive --include "*20171129*" &amp; "%USERPROFILE%\Documents\GitHub\mrs-test-scripts\Headless Mode &amp; Sideloading\WalkAndUnGZ.bat" "%USERPROFILE%\AppData\Local\Temp\OnboardLogs"\RTDC4002\2017-11-29</v>
      </c>
      <c r="AF193" s="235" t="str">
        <f t="shared" si="71"/>
        <v>"C:\Program Files (x86)\AstroGrep\AstroGrep.exe" /e /r /s /spath="%USERPROFILE%\AppData\Local\Temp\OnboardLogs" /stypes="app*4002*20171129*" /stext=" 00:.+((SYSTEM_STATE.+slice.+state.+changed )|(ment ac)|(multiple cpu faults)|(system.+state.+changed )|(\[timeout)|(PRM\|1\|D)|(kpr)|(kdp)|(train st.+moving)|(\|lc)|(penalty))"</v>
      </c>
      <c r="AG193" s="245" t="str">
        <f t="shared" si="72"/>
        <v>NW</v>
      </c>
      <c r="AH193" s="237" t="str">
        <f t="shared" si="73"/>
        <v>"%USERPROFILE%\Documents\GitHub\eaglep3\Utilities\RefineRTDCRunTimes.py" --tripid 833-28 --locoid 4002 --swversion DE.1.0.9.0 --startMP 204:455 --initTime 2017-11-28T16:59:05 --startdatetime 2017-11-28T17:09:20 --delay 87 --endMP 300:58939 --enddatetime 2017-11-28T17:25:01 --enforcementcount 0 &gt;&gt;%USERPROFILE%\Documents\GitHub\eaglep3-reporting\EC\2017-11-28-refined-times.txt</v>
      </c>
      <c r="AI193" s="239" t="str">
        <f t="shared" si="74"/>
        <v>echo {"issue":{"subject":"","project_id":79,"tracker_id":40,"status_id":1,"priority_id":2,"assigned_to_id":338,"start_date":"2017-11-28","description":"","custom_fields":[{"id":1,"name":"Subdivision","value":"NW"},{"id":4,"name":"Milepost","value":"5.8939"},{"id":17,"name":"Train ID","value":"833-28"},{"id":16,"name":"Locomotive ID","value":"4002"},{"id":130,"name":"Impact","value":""},{"id":150,"name":"Time of Event (Mountain Time)","value":"17:25:01"},{"id":151,"name":"Denver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3" s="224"/>
      <c r="AK193" s="232"/>
      <c r="AL193" s="232"/>
      <c r="AM193" s="241" t="str">
        <f t="shared" si="75"/>
        <v>start /low /b %USERPROFILE%\Documents\GitHub\eaglep3\Utilities\DownloadLogsFromS3.py --loco 4002 --day 2017-11-28</v>
      </c>
      <c r="AN193" s="242" t="str">
        <f t="shared" si="76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00:25:01"},{"id":29,"name":"Sharepoint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231" t="str">
        <f t="shared" si="77"/>
        <v>https://d0f6bd738d7f1b3e5a7ca70fe4ff75f0.us-east-1.aws.found.io/app/kibana#/discover/Steve-Slow-Train-Analysis-(2080s-and-2083s)?_g=(refreshInterval:(display:Off,pause:!f,section:0,value:0),time:(from:'2017-11-28T15:59:05-0700',mode:absolute,to:'2017-11-28T18:25:01-0700'))&amp;_a=(columns:!('Message%20ID',Summary),filters:!(),index:'emp_*',interval:auto,query:(query_string:(analyze_wildcard:!t,query:'%22rtdc.l.rtdc.4002%22')),sort:!(Time.ISO8601,asc))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0" customFormat="1" x14ac:dyDescent="0.25">
      <c r="A194" s="230" t="s">
        <v>826</v>
      </c>
      <c r="B194" s="226">
        <v>4001</v>
      </c>
      <c r="C194" s="228" t="s">
        <v>192</v>
      </c>
      <c r="D194" s="228" t="s">
        <v>1047</v>
      </c>
      <c r="E194" s="227">
        <v>43067.726701388892</v>
      </c>
      <c r="F194" s="227">
        <v>43067.737500000003</v>
      </c>
      <c r="G194" s="226">
        <v>56</v>
      </c>
      <c r="H194" s="228" t="s">
        <v>1061</v>
      </c>
      <c r="I194" s="227">
        <v>43067.746932870374</v>
      </c>
      <c r="J194" s="226">
        <v>0</v>
      </c>
      <c r="K194" s="238" t="str">
        <f t="shared" si="63"/>
        <v>4001/4002</v>
      </c>
      <c r="L194" s="246" t="str">
        <f>VLOOKUP(A194,'Trips&amp;Operators'!$C$1:$G$99911,5,FALSE)</f>
        <v>GUZMAN DANNY</v>
      </c>
      <c r="M194" s="225">
        <f t="shared" si="64"/>
        <v>9.4328703708015382E-3</v>
      </c>
      <c r="N194" s="226">
        <f t="shared" si="85"/>
        <v>13.583333333954215</v>
      </c>
      <c r="O194" s="226"/>
      <c r="P194" s="226"/>
      <c r="Q194" s="229"/>
      <c r="R194" s="243"/>
      <c r="S194" s="250">
        <f t="shared" si="86"/>
        <v>1</v>
      </c>
      <c r="T194" s="243" t="str">
        <f t="shared" si="65"/>
        <v>Southbound</v>
      </c>
      <c r="U194" s="247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49" t="str">
        <f t="shared" si="66"/>
        <v>https://d0f6bd738d7f1b3e5a7ca70fe4ff75f0.us-east-1.aws.found.io/app/kibana#/discover/Steve-Slow-Train-Analysis-(2080s-and-2083s)?_g=(refreshInterval:(display:Off,pause:!f,section:0,value:0),time:(from:'2017-11-28T16:26:27-0700',mode:absolute,to:'2017-11-28T18:55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94" s="248" t="str">
        <f>IF(AA194&lt;VLOOKUP(AG194,Variables!$AC$3:$AD$8,2,FALSE),"Y","N")</f>
        <v>N</v>
      </c>
      <c r="X194" s="248">
        <f>VALUE(LEFT(AD194,4))-VALUE(LEFT(AD193,4))</f>
        <v>1</v>
      </c>
      <c r="Y194" s="248">
        <f t="shared" si="92"/>
        <v>5.8616999999999999</v>
      </c>
      <c r="Z194" s="248">
        <f t="shared" si="93"/>
        <v>1.5299999999999999E-2</v>
      </c>
      <c r="AA194" s="248">
        <f t="shared" si="68"/>
        <v>5.8464</v>
      </c>
      <c r="AB194" s="234" t="e">
        <f>VLOOKUP(A194,Enforcements!$C$7:$K$9,8,0)</f>
        <v>#N/A</v>
      </c>
      <c r="AC194" s="233" t="e">
        <f>VLOOKUP(A194,Enforcements!$C$7:$E$9,3,0)</f>
        <v>#N/A</v>
      </c>
      <c r="AD194" s="244">
        <f t="shared" si="69"/>
        <v>834</v>
      </c>
      <c r="AE194" s="236" t="str">
        <f t="shared" si="70"/>
        <v>aws s3 cp s3://rtdc.mdm.uploadarchive.raw/RTDC4001/ "%USERPROFILE%\AppData\Local\Temp\OnboardLogs"\RTDC4001\2017-11-28 --exclude "*" --recursive --include "*20171128*" &amp; "%USERPROFILE%\Documents\GitHub\mrs-test-scripts\Headless Mode &amp; Sideloading\WalkAndUnGZ.bat" "%USERPROFILE%\AppData\Local\Temp\OnboardLogs"\RTDC4001\2017-11-28 &amp; aws s3 cp s3://rtdc.mdm.uploadarchive.raw/RTDC4001/ "%USERPROFILE%\AppData\Local\Temp\OnboardLogs"\RTDC4001\2017-11-29 --exclude "*" --recursive --include "*20171129*" &amp; "%USERPROFILE%\Documents\GitHub\mrs-test-scripts\Headless Mode &amp; Sideloading\WalkAndUnGZ.bat" "%USERPROFILE%\AppData\Local\Temp\OnboardLogs"\RTDC4001\2017-11-29</v>
      </c>
      <c r="AF194" s="235" t="str">
        <f t="shared" si="71"/>
        <v>"C:\Program Files (x86)\AstroGrep\AstroGrep.exe" /e /r /s /spath="%USERPROFILE%\AppData\Local\Temp\OnboardLogs" /stypes="app*4001*20171129*" /stext=" 00:.+((SYSTEM_STATE.+slice.+state.+changed )|(ment ac)|(multiple cpu faults)|(system.+state.+changed )|(\[timeout)|(PRM\|1\|D)|(kpr)|(kdp)|(train st.+moving)|(\|lc)|(penalty))"</v>
      </c>
      <c r="AG194" s="245" t="str">
        <f t="shared" si="72"/>
        <v>NW</v>
      </c>
      <c r="AH194" s="237" t="str">
        <f t="shared" si="73"/>
        <v>"%USERPROFILE%\Documents\GitHub\eaglep3\Utilities\RefineRTDCRunTimes.py" --tripid 834-28 --locoid 4001 --swversion DE.1.0.9.0 --startMP 300:58617 --initTime 2017-11-28T17:26:27 --startdatetime 2017-11-28T17:42:00 --delay 56 --endMP 204:153 --enddatetime 2017-11-28T17:55:35 --enforcementcount 0 &gt;&gt;%USERPROFILE%\Documents\GitHub\eaglep3-reporting\EC\2017-11-28-refined-times.txt</v>
      </c>
      <c r="AI194" s="239" t="str">
        <f t="shared" si="74"/>
        <v>echo {"issue":{"subject":"","project_id":79,"tracker_id":40,"status_id":1,"priority_id":2,"assigned_to_id":338,"start_date":"2017-11-28","description":"","custom_fields":[{"id":1,"name":"Subdivision","value":"NW"},{"id":4,"name":"Milepost","value":"0.0153"},{"id":17,"name":"Train ID","value":"834-28"},{"id":16,"name":"Locomotive ID","value":"4001"},{"id":130,"name":"Impact","value":""},{"id":150,"name":"Time of Event (Mountain Time)","value":"17:55:35"},{"id":151,"name":"Denver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4" s="224"/>
      <c r="AK194" s="232"/>
      <c r="AL194" s="232"/>
      <c r="AM194" s="241" t="str">
        <f t="shared" si="75"/>
        <v>start /low /b %USERPROFILE%\Documents\GitHub\eaglep3\Utilities\DownloadLogsFromS3.py --loco 4001 --day 2017-11-28</v>
      </c>
      <c r="AN194" s="242" t="str">
        <f t="shared" si="76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00:55:35"},{"id":29,"name":"Sharepoint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231" t="str">
        <f t="shared" si="77"/>
        <v>https://d0f6bd738d7f1b3e5a7ca70fe4ff75f0.us-east-1.aws.found.io/app/kibana#/discover/Steve-Slow-Train-Analysis-(2080s-and-2083s)?_g=(refreshInterval:(display:Off,pause:!f,section:0,value:0),time:(from:'2017-11-28T16:26:27-0700',mode:absolute,to:'2017-11-28T18:55:35-0700'))&amp;_a=(columns:!('Message%20ID',Summary),filters:!(),index:'emp_*',interval:auto,query:(query_string:(analyze_wildcard:!t,query:'%22rtdc.l.rtdc.4001%22')),sort:!(Time.ISO8601,asc))</v>
      </c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0" customFormat="1" x14ac:dyDescent="0.25">
      <c r="A195" s="230" t="s">
        <v>827</v>
      </c>
      <c r="B195" s="226">
        <v>4036</v>
      </c>
      <c r="C195" s="228" t="s">
        <v>192</v>
      </c>
      <c r="D195" s="228" t="s">
        <v>587</v>
      </c>
      <c r="E195" s="227">
        <v>43067.732048611113</v>
      </c>
      <c r="F195" s="227">
        <v>43067.736238425925</v>
      </c>
      <c r="G195" s="226">
        <v>57</v>
      </c>
      <c r="H195" s="228" t="s">
        <v>476</v>
      </c>
      <c r="I195" s="227">
        <v>43067.745983796296</v>
      </c>
      <c r="J195" s="226">
        <v>0</v>
      </c>
      <c r="K195" s="238" t="str">
        <f t="shared" si="63"/>
        <v>4035/4036</v>
      </c>
      <c r="L195" s="246" t="str">
        <f>VLOOKUP(A195,'Trips&amp;Operators'!$C$1:$G$99911,5,FALSE)</f>
        <v>STAMBAUGH JAMES</v>
      </c>
      <c r="M195" s="225">
        <f t="shared" si="64"/>
        <v>9.7453703710925765E-3</v>
      </c>
      <c r="N195" s="226">
        <f t="shared" si="85"/>
        <v>14.03333333437331</v>
      </c>
      <c r="O195" s="226"/>
      <c r="P195" s="226"/>
      <c r="Q195" s="229"/>
      <c r="R195" s="243"/>
      <c r="S195" s="250">
        <f t="shared" si="86"/>
        <v>1</v>
      </c>
      <c r="T195" s="243" t="str">
        <f t="shared" si="65"/>
        <v>NorthBound</v>
      </c>
      <c r="U195" s="247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49" t="str">
        <f t="shared" si="66"/>
        <v>https://d0f6bd738d7f1b3e5a7ca70fe4ff75f0.us-east-1.aws.found.io/app/kibana#/discover/Steve-Slow-Train-Analysis-(2080s-and-2083s)?_g=(refreshInterval:(display:Off,pause:!f,section:0,value:0),time:(from:'2017-11-28T16:34:09-0700',mode:absolute,to:'2017-11-28T18:54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95" s="248" t="str">
        <f>IF(AA195&lt;VLOOKUP(AG195,Variables!$AC$3:$AD$8,2,FALSE),"Y","N")</f>
        <v>N</v>
      </c>
      <c r="X195" s="248">
        <f>VALUE(LEFT(AD195,4))-VALUE(LEFT(AD194,4))</f>
        <v>1</v>
      </c>
      <c r="Y195" s="248">
        <f t="shared" si="92"/>
        <v>4.5100000000000001E-2</v>
      </c>
      <c r="Z195" s="248">
        <f t="shared" si="93"/>
        <v>5.8930999999999996</v>
      </c>
      <c r="AA195" s="248">
        <f t="shared" si="68"/>
        <v>5.8479999999999999</v>
      </c>
      <c r="AB195" s="234" t="e">
        <f>VLOOKUP(A195,Enforcements!$C$7:$K$9,8,0)</f>
        <v>#N/A</v>
      </c>
      <c r="AC195" s="233" t="e">
        <f>VLOOKUP(A195,Enforcements!$C$7:$E$9,3,0)</f>
        <v>#N/A</v>
      </c>
      <c r="AD195" s="244">
        <f t="shared" si="69"/>
        <v>835</v>
      </c>
      <c r="AE195" s="236" t="str">
        <f t="shared" si="70"/>
        <v>aws s3 cp s3://rtdc.mdm.uploadarchive.raw/RTDC4036/ "%USERPROFILE%\AppData\Local\Temp\OnboardLogs"\RTDC4036\2017-11-28 --exclude "*" --recursive --include "*20171128*" &amp; "%USERPROFILE%\Documents\GitHub\mrs-test-scripts\Headless Mode &amp; Sideloading\WalkAndUnGZ.bat" "%USERPROFILE%\AppData\Local\Temp\OnboardLogs"\RTDC4036\2017-11-28 &amp; aws s3 cp s3://rtdc.mdm.uploadarchive.raw/RTDC4036/ "%USERPROFILE%\AppData\Local\Temp\OnboardLogs"\RTDC4036\2017-11-29 --exclude "*" --recursive --include "*20171129*" &amp; "%USERPROFILE%\Documents\GitHub\mrs-test-scripts\Headless Mode &amp; Sideloading\WalkAndUnGZ.bat" "%USERPROFILE%\AppData\Local\Temp\OnboardLogs"\RTDC4036\2017-11-29</v>
      </c>
      <c r="AF195" s="235" t="str">
        <f t="shared" si="71"/>
        <v>"C:\Program Files (x86)\AstroGrep\AstroGrep.exe" /e /r /s /spath="%USERPROFILE%\AppData\Local\Temp\OnboardLogs" /stypes="app*4036*20171129*" /stext=" 00:.+((SYSTEM_STATE.+slice.+state.+changed )|(ment ac)|(multiple cpu faults)|(system.+state.+changed )|(\[timeout)|(PRM\|1\|D)|(kpr)|(kdp)|(train st.+moving)|(\|lc)|(penalty))"</v>
      </c>
      <c r="AG195" s="245" t="str">
        <f t="shared" si="72"/>
        <v>NW</v>
      </c>
      <c r="AH195" s="237" t="str">
        <f t="shared" si="73"/>
        <v>"%USERPROFILE%\Documents\GitHub\eaglep3\Utilities\RefineRTDCRunTimes.py" --tripid 835-28 --locoid 4036 --swversion DE.1.0.9.0 --startMP 204:451 --initTime 2017-11-28T17:34:09 --startdatetime 2017-11-28T17:40:11 --delay 57 --endMP 300:58931 --enddatetime 2017-11-28T17:54:13 --enforcementcount 0 &gt;&gt;%USERPROFILE%\Documents\GitHub\eaglep3-reporting\EC\2017-11-28-refined-times.txt</v>
      </c>
      <c r="AI195" s="239" t="str">
        <f t="shared" si="74"/>
        <v>echo {"issue":{"subject":"","project_id":79,"tracker_id":40,"status_id":1,"priority_id":2,"assigned_to_id":338,"start_date":"2017-11-28","description":"","custom_fields":[{"id":1,"name":"Subdivision","value":"NW"},{"id":4,"name":"Milepost","value":"5.8931"},{"id":17,"name":"Train ID","value":"835-28"},{"id":16,"name":"Locomotive ID","value":"4036"},{"id":130,"name":"Impact","value":""},{"id":150,"name":"Time of Event (Mountain Time)","value":"17:54:13"},{"id":151,"name":"Denver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5" s="224"/>
      <c r="AK195" s="232"/>
      <c r="AL195" s="232"/>
      <c r="AM195" s="241" t="str">
        <f t="shared" si="75"/>
        <v>start /low /b %USERPROFILE%\Documents\GitHub\eaglep3\Utilities\DownloadLogsFromS3.py --loco 4036 --day 2017-11-28</v>
      </c>
      <c r="AN195" s="242" t="str">
        <f t="shared" si="76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00:54:13"},{"id":29,"name":"Sharepoint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231" t="str">
        <f t="shared" si="77"/>
        <v>https://d0f6bd738d7f1b3e5a7ca70fe4ff75f0.us-east-1.aws.found.io/app/kibana#/discover/Steve-Slow-Train-Analysis-(2080s-and-2083s)?_g=(refreshInterval:(display:Off,pause:!f,section:0,value:0),time:(from:'2017-11-28T16:34:09-0700',mode:absolute,to:'2017-11-28T18:54:13-0700'))&amp;_a=(columns:!('Message%20ID',Summary),filters:!(),index:'emp_*',interval:auto,query:(query_string:(analyze_wildcard:!t,query:'%22rtdc.l.rtdc.4036%22')),sort:!(Time.ISO8601,asc))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24" customFormat="1" x14ac:dyDescent="0.25">
      <c r="A196" s="230" t="s">
        <v>835</v>
      </c>
      <c r="B196" s="226">
        <v>4035</v>
      </c>
      <c r="C196" s="228" t="s">
        <v>192</v>
      </c>
      <c r="D196" s="228" t="s">
        <v>587</v>
      </c>
      <c r="E196" s="227">
        <v>43067.732048611113</v>
      </c>
      <c r="F196" s="227">
        <v>43067.759085648147</v>
      </c>
      <c r="G196" s="226">
        <v>57</v>
      </c>
      <c r="H196" s="228" t="s">
        <v>476</v>
      </c>
      <c r="I196" s="227">
        <v>43067.766759259262</v>
      </c>
      <c r="J196" s="226">
        <v>0</v>
      </c>
      <c r="K196" s="238" t="str">
        <f t="shared" si="63"/>
        <v>4035/4036</v>
      </c>
      <c r="L196" s="246" t="str">
        <f>VLOOKUP(A196,'Trips&amp;Operators'!$C$1:$G$99911,5,FALSE)</f>
        <v>STAMBAUGH JAMES</v>
      </c>
      <c r="M196" s="225">
        <f t="shared" si="64"/>
        <v>7.6736111150239594E-3</v>
      </c>
      <c r="N196" s="226">
        <f t="shared" si="85"/>
        <v>11.050000005634502</v>
      </c>
      <c r="O196" s="226"/>
      <c r="P196" s="226"/>
      <c r="Q196" s="229"/>
      <c r="R196" s="243"/>
      <c r="S196" s="250">
        <f t="shared" si="86"/>
        <v>1</v>
      </c>
      <c r="T196" s="243" t="str">
        <f t="shared" si="65"/>
        <v>Southbound</v>
      </c>
      <c r="U196" s="247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49" t="str">
        <f t="shared" si="66"/>
        <v>https://d0f6bd738d7f1b3e5a7ca70fe4ff75f0.us-east-1.aws.found.io/app/kibana#/discover/Steve-Slow-Train-Analysis-(2080s-and-2083s)?_g=(refreshInterval:(display:Off,pause:!f,section:0,value:0),time:(from:'2017-11-28T16:34:09-0700',mode:absolute,to:'2017-11-28T19:24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96" s="248" t="str">
        <f>IF(AA196&lt;VLOOKUP(AG196,Variables!$AC$3:$AD$8,2,FALSE),"Y","N")</f>
        <v>N</v>
      </c>
      <c r="X196" s="248">
        <f>VALUE(LEFT(AD196,4))-VALUE(LEFT(AD195,4))</f>
        <v>1</v>
      </c>
      <c r="Y196" s="248">
        <v>5.8616999999999999</v>
      </c>
      <c r="Z196" s="248">
        <v>1.5299999999999999E-2</v>
      </c>
      <c r="AA196" s="248">
        <f t="shared" si="68"/>
        <v>5.8464</v>
      </c>
      <c r="AB196" s="234" t="e">
        <f>VLOOKUP(A196,Enforcements!$C$7:$K$9,8,0)</f>
        <v>#N/A</v>
      </c>
      <c r="AC196" s="233" t="e">
        <f>VLOOKUP(A196,Enforcements!$C$7:$E$9,3,0)</f>
        <v>#N/A</v>
      </c>
      <c r="AD196" s="244">
        <f t="shared" si="69"/>
        <v>836</v>
      </c>
      <c r="AE196" s="236" t="str">
        <f t="shared" si="70"/>
        <v>aws s3 cp s3://rtdc.mdm.uploadarchive.raw/RTDC4035/ "%USERPROFILE%\AppData\Local\Temp\OnboardLogs"\RTDC4035\2017-11-28 --exclude "*" --recursive --include "*20171128*" &amp; "%USERPROFILE%\Documents\GitHub\mrs-test-scripts\Headless Mode &amp; Sideloading\WalkAndUnGZ.bat" "%USERPROFILE%\AppData\Local\Temp\OnboardLogs"\RTDC4035\2017-11-28 &amp; aws s3 cp s3://rtdc.mdm.uploadarchive.raw/RTDC4035/ "%USERPROFILE%\AppData\Local\Temp\OnboardLogs"\RTDC4035\2017-11-29 --exclude "*" --recursive --include "*20171129*" &amp; "%USERPROFILE%\Documents\GitHub\mrs-test-scripts\Headless Mode &amp; Sideloading\WalkAndUnGZ.bat" "%USERPROFILE%\AppData\Local\Temp\OnboardLogs"\RTDC4035\2017-11-29</v>
      </c>
      <c r="AF196" s="235" t="str">
        <f t="shared" si="71"/>
        <v>"C:\Program Files (x86)\AstroGrep\AstroGrep.exe" /e /r /s /spath="%USERPROFILE%\AppData\Local\Temp\OnboardLogs" /stypes="app*4035*20171129*" /stext=" 01:.+((SYSTEM_STATE.+slice.+state.+changed )|(ment ac)|(multiple cpu faults)|(system.+state.+changed )|(\[timeout)|(PRM\|1\|D)|(kpr)|(kdp)|(train st.+moving)|(\|lc)|(penalty))"</v>
      </c>
      <c r="AG196" s="245" t="str">
        <f t="shared" si="72"/>
        <v>NW</v>
      </c>
      <c r="AH196" s="237" t="str">
        <f t="shared" ref="AH196" si="94">refinertdcruntimes&amp;" --tripid "&amp;A196&amp;" --locoid "&amp;B196&amp;" --swversion "&amp;C196&amp;" --startMP "&amp;D196&amp;" --initTime "&amp;TEXT(E196,"yyyy-mm-ddTHH:MM:SS")&amp;" --startdatetime "&amp;TEXT(F196,"yyyy-mm-ddTHH:MM:SS")&amp;" --delay "&amp;G196&amp;" --endMP "&amp;H196&amp;" --enddatetime "&amp;TEXT(I196,"yyyy-mm-ddTHH:MM:SS")&amp;" --enforcementcount "&amp;J196&amp;IF(outputrefinedruntimes," &gt;&gt;"&amp;RefinedRTDCRunTimesOutputFile,"")</f>
        <v>"%USERPROFILE%\Documents\GitHub\eaglep3\Utilities\RefineRTDCRunTimes.py" --tripid 836-28 --locoid 4035 --swversion DE.1.0.9.0 --startMP 204:451 --initTime 2017-11-28T17:34:09 --startdatetime 2017-11-28T18:13:05 --delay 57 --endMP 300:58931 --enddatetime 2017-11-28T18:24:08 --enforcementcount 0 &gt;&gt;%USERPROFILE%\Documents\GitHub\eaglep3-reporting\EC\2017-11-28-refined-times.txt</v>
      </c>
      <c r="AI196" s="239" t="str">
        <f t="shared" ref="AI196" si="95">"echo {""issue"":{""subject"":"""&amp;R196&amp;""",""project_id"":79,""tracker_id"":40,""status_id"":"&amp;redmine_status&amp;",""priority_id"":"&amp;redmine_priority&amp;",""assigned_to_id"":"&amp;redmine_assignee&amp;",""start_date"":"""&amp;TEXT(I196,"YYYY-mm-dd")&amp;""",""description"":"""&amp;AJ196&amp;""",""custom_fields"":[{""id"":1,""name"":""Subdivision"",""value"":"""&amp;AG196&amp;"""},{""id"":4,""name"":""Milepost"",""value"":"""&amp;Z196&amp;"""},{""id"":17,""name"":""Train ID"",""value"":"""&amp;A196&amp;"""},{""id"":16,""name"":""Locomotive ID"",""value"":"""&amp;B196&amp;"""},{""id"":130,""name"":""Impact"",""value"":"""&amp;AK196&amp;"""},{""id"":150,""name"":""Time of Event (Mountain Time)"",""value"":"""&amp;TEXT(I196,"hh:mm:ss")&amp;"""},{""id"":151,""name"":""Denver Issue ID"",""value"":"""&amp;"""},{""id"":178,""name"":""Operational Impact"",""value"":"""&amp;redmine_op_impact&amp;"""},{""id"":179,""name"":""Denver Segment Assigned"",""value"":"""&amp;AL196&amp;"""}]}}"&amp;"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{"issue":{"subject":"","project_id":79,"tracker_id":40,"status_id":1,"priority_id":2,"assigned_to_id":338,"start_date":"2017-11-28","description":"","custom_fields":[{"id":1,"name":"Subdivision","value":"NW"},{"id":4,"name":"Milepost","value":"0.0153"},{"id":17,"name":"Train ID","value":"836-28"},{"id":16,"name":"Locomotive ID","value":"4035"},{"id":130,"name":"Impact","value":""},{"id":150,"name":"Time of Event (Mountain Time)","value":"18:24:08"},{"id":151,"name":"Denver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6" s="232"/>
      <c r="AL196" s="232"/>
      <c r="AM196" s="241" t="str">
        <f t="shared" ref="AM196" si="96">"start /low /b "&amp;dls3logs&amp;" --loco "&amp;B196&amp;" --day "&amp;TEXT(F196,"YYYY-MM-DD")</f>
        <v>start /low /b %USERPROFILE%\Documents\GitHub\eaglep3\Utilities\DownloadLogsFromS3.py --loco 4035 --day 2017-11-28</v>
      </c>
      <c r="AN196" s="242" t="str">
        <f t="shared" ref="AN196" si="97">"echo {""issue"":{""subject"":"""&amp;R196&amp;""",""project_id"":30,""tracker_id"":4,""status_id"":"&amp;redmine_status_wcr&amp;",""priority_id"":"&amp;redmine_priority_wcr&amp;",""assigned_to_id"":"&amp;redmine_assignee_wcr&amp;",""start_date"":"""&amp;TEXT(I196-utc_offset/24,"YYYY-mm-dd")&amp;""",""description"":"""&amp;AJ196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ID"",""value"":"""&amp;B196&amp;"""},{""id"":20,""name"":""RR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UTC"",""value"":"""&amp;TEXT(I196-utc_offset/24,"YYYY-MM-DD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01:24:08"},{"id":29,"name":"Sharepoint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231" t="str">
        <f t="shared" ref="AO196" si="98">"https://d0f6bd738d7f1b3e5a7ca70fe4ff75f0.us-east-1.aws.found.io/app/kibana#/discover/Steve-Slow-Train-Analysis-(2080s-and-2083s)?_g="&amp;"(refreshInterval:(display:Off,pause:!f,section:0,value:0),time:(from:'"&amp;TEXT(E196-1/24,"yyyy-MM-DDThh:mm:ss")&amp;utc_offset&amp;"00"&amp;"',mode:absolute,to:'"&amp;TEXT(I196+1/24,"yyyy-MM-DDThh:mm:ss")&amp;utc_offset&amp;"00"&amp;"'))&amp;_a=(columns:!('Message%20ID',Summary),filters:!(),index:'emp_*',interval:auto,query:"&amp;"(query_string:(analyze_wildcard:!t,query:'%22rtdc.l.rtdc."&amp;B196&amp;"%22')),sort:!(Time.ISO8601,asc))"</f>
        <v>https://d0f6bd738d7f1b3e5a7ca70fe4ff75f0.us-east-1.aws.found.io/app/kibana#/discover/Steve-Slow-Train-Analysis-(2080s-and-2083s)?_g=(refreshInterval:(display:Off,pause:!f,section:0,value:0),time:(from:'2017-11-28T16:34:09-0700',mode:absolute,to:'2017-11-28T19:24:08-0700'))&amp;_a=(columns:!('Message%20ID',Summary),filters:!(),index:'emp_*',interval:auto,query:(query_string:(analyze_wildcard:!t,query:'%22rtdc.l.rtdc.4035%22')),sort:!(Time.ISO8601,asc))</v>
      </c>
    </row>
    <row r="197" spans="1:91" s="20" customFormat="1" x14ac:dyDescent="0.25">
      <c r="A197" s="230" t="s">
        <v>837</v>
      </c>
      <c r="B197" s="226">
        <v>4002</v>
      </c>
      <c r="C197" s="228" t="s">
        <v>192</v>
      </c>
      <c r="D197" s="228" t="s">
        <v>627</v>
      </c>
      <c r="E197" s="227">
        <v>43067.753460648149</v>
      </c>
      <c r="F197" s="227">
        <v>43067.75644675926</v>
      </c>
      <c r="G197" s="226">
        <v>68</v>
      </c>
      <c r="H197" s="228" t="s">
        <v>443</v>
      </c>
      <c r="I197" s="227">
        <v>43067.767291666663</v>
      </c>
      <c r="J197" s="226">
        <v>0</v>
      </c>
      <c r="K197" s="238" t="str">
        <f t="shared" si="63"/>
        <v>4001/4002</v>
      </c>
      <c r="L197" s="246" t="str">
        <f>VLOOKUP(A197,'Trips&amp;Operators'!$C$1:$G$99911,5,FALSE)</f>
        <v>GUZMAN DANNY</v>
      </c>
      <c r="M197" s="225">
        <f t="shared" si="64"/>
        <v>1.0844907403225079E-2</v>
      </c>
      <c r="N197" s="226">
        <f t="shared" si="85"/>
        <v>15.616666660644114</v>
      </c>
      <c r="O197" s="226"/>
      <c r="P197" s="226"/>
      <c r="Q197" s="229"/>
      <c r="R197" s="243"/>
      <c r="S197" s="250">
        <f t="shared" si="86"/>
        <v>1</v>
      </c>
      <c r="T197" s="243" t="str">
        <f t="shared" si="65"/>
        <v>NorthBound</v>
      </c>
      <c r="U197" s="247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49" t="str">
        <f t="shared" si="66"/>
        <v>https://d0f6bd738d7f1b3e5a7ca70fe4ff75f0.us-east-1.aws.found.io/app/kibana#/discover/Steve-Slow-Train-Analysis-(2080s-and-2083s)?_g=(refreshInterval:(display:Off,pause:!f,section:0,value:0),time:(from:'2017-11-28T17:04:59-0700',mode:absolute,to:'2017-11-28T19:24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97" s="248" t="str">
        <f>IF(AA197&lt;VLOOKUP(AG197,Variables!$AC$3:$AD$8,2,FALSE),"Y","N")</f>
        <v>N</v>
      </c>
      <c r="X197" s="248">
        <f t="shared" ref="X197:X200" si="99">VALUE(LEFT(AD197,4))-VALUE(LEFT(AD196,4))</f>
        <v>1</v>
      </c>
      <c r="Y197" s="248">
        <f t="shared" ref="Y197:Y203" si="100">RIGHT(D197,LEN(D197)-4)/10000</f>
        <v>4.4999999999999998E-2</v>
      </c>
      <c r="Z197" s="248">
        <f t="shared" ref="Z197:Z203" si="101">RIGHT(H197,LEN(H197)-4)/10000</f>
        <v>5.8924000000000003</v>
      </c>
      <c r="AA197" s="248">
        <f t="shared" si="68"/>
        <v>5.8474000000000004</v>
      </c>
      <c r="AB197" s="234" t="e">
        <f>VLOOKUP(A197,Enforcements!$C$7:$K$9,8,0)</f>
        <v>#N/A</v>
      </c>
      <c r="AC197" s="233" t="e">
        <f>VLOOKUP(A197,Enforcements!$C$7:$E$9,3,0)</f>
        <v>#N/A</v>
      </c>
      <c r="AD197" s="244">
        <f t="shared" si="69"/>
        <v>837</v>
      </c>
      <c r="AE197" s="236" t="str">
        <f t="shared" si="70"/>
        <v>aws s3 cp s3://rtdc.mdm.uploadarchive.raw/RTDC4002/ "%USERPROFILE%\AppData\Local\Temp\OnboardLogs"\RTDC4002\2017-11-28 --exclude "*" --recursive --include "*20171128*" &amp; "%USERPROFILE%\Documents\GitHub\mrs-test-scripts\Headless Mode &amp; Sideloading\WalkAndUnGZ.bat" "%USERPROFILE%\AppData\Local\Temp\OnboardLogs"\RTDC4002\2017-11-28 &amp; aws s3 cp s3://rtdc.mdm.uploadarchive.raw/RTDC4002/ "%USERPROFILE%\AppData\Local\Temp\OnboardLogs"\RTDC4002\2017-11-29 --exclude "*" --recursive --include "*20171129*" &amp; "%USERPROFILE%\Documents\GitHub\mrs-test-scripts\Headless Mode &amp; Sideloading\WalkAndUnGZ.bat" "%USERPROFILE%\AppData\Local\Temp\OnboardLogs"\RTDC4002\2017-11-29</v>
      </c>
      <c r="AF197" s="235" t="str">
        <f t="shared" si="71"/>
        <v>"C:\Program Files (x86)\AstroGrep\AstroGrep.exe" /e /r /s /spath="%USERPROFILE%\AppData\Local\Temp\OnboardLogs" /stypes="app*4002*20171129*" /stext=" 01:.+((SYSTEM_STATE.+slice.+state.+changed )|(ment ac)|(multiple cpu faults)|(system.+state.+changed )|(\[timeout)|(PRM\|1\|D)|(kpr)|(kdp)|(train st.+moving)|(\|lc)|(penalty))"</v>
      </c>
      <c r="AG197" s="245" t="str">
        <f t="shared" si="72"/>
        <v>NW</v>
      </c>
      <c r="AH197" s="237" t="str">
        <f t="shared" si="73"/>
        <v>"%USERPROFILE%\Documents\GitHub\eaglep3\Utilities\RefineRTDCRunTimes.py" --tripid 837-28 --locoid 4002 --swversion DE.1.0.9.0 --startMP 204:450 --initTime 2017-11-28T18:04:59 --startdatetime 2017-11-28T18:09:17 --delay 68 --endMP 300:58924 --enddatetime 2017-11-28T18:24:54 --enforcementcount 0 &gt;&gt;%USERPROFILE%\Documents\GitHub\eaglep3-reporting\EC\2017-11-28-refined-times.txt</v>
      </c>
      <c r="AI197" s="239" t="str">
        <f t="shared" si="74"/>
        <v>echo {"issue":{"subject":"","project_id":79,"tracker_id":40,"status_id":1,"priority_id":2,"assigned_to_id":338,"start_date":"2017-11-28","description":"","custom_fields":[{"id":1,"name":"Subdivision","value":"NW"},{"id":4,"name":"Milepost","value":"5.8924"},{"id":17,"name":"Train ID","value":"837-28"},{"id":16,"name":"Locomotive ID","value":"4002"},{"id":130,"name":"Impact","value":""},{"id":150,"name":"Time of Event (Mountain Time)","value":"18:24:54"},{"id":151,"name":"Denver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7" s="224"/>
      <c r="AK197" s="232"/>
      <c r="AL197" s="232"/>
      <c r="AM197" s="241" t="str">
        <f t="shared" si="75"/>
        <v>start /low /b %USERPROFILE%\Documents\GitHub\eaglep3\Utilities\DownloadLogsFromS3.py --loco 4002 --day 2017-11-28</v>
      </c>
      <c r="AN197" s="242" t="str">
        <f t="shared" si="76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01:24:54"},{"id":29,"name":"Sharepoint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231" t="str">
        <f t="shared" si="77"/>
        <v>https://d0f6bd738d7f1b3e5a7ca70fe4ff75f0.us-east-1.aws.found.io/app/kibana#/discover/Steve-Slow-Train-Analysis-(2080s-and-2083s)?_g=(refreshInterval:(display:Off,pause:!f,section:0,value:0),time:(from:'2017-11-28T17:04:59-0700',mode:absolute,to:'2017-11-28T19:24:54-0700'))&amp;_a=(columns:!('Message%20ID',Summary),filters:!(),index:'emp_*',interval:auto,query:(query_string:(analyze_wildcard:!t,query:'%22rtdc.l.rtdc.4002%22')),sort:!(Time.ISO8601,asc))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0" customFormat="1" x14ac:dyDescent="0.25">
      <c r="A198" s="230" t="s">
        <v>840</v>
      </c>
      <c r="B198" s="226">
        <v>4001</v>
      </c>
      <c r="C198" s="228" t="s">
        <v>192</v>
      </c>
      <c r="D198" s="228" t="s">
        <v>475</v>
      </c>
      <c r="E198" s="227">
        <v>43067.76834490741</v>
      </c>
      <c r="F198" s="227">
        <v>43067.779166666667</v>
      </c>
      <c r="G198" s="226">
        <v>55</v>
      </c>
      <c r="H198" s="228" t="s">
        <v>626</v>
      </c>
      <c r="I198" s="227">
        <v>43067.790358796294</v>
      </c>
      <c r="J198" s="226">
        <v>0</v>
      </c>
      <c r="K198" s="238" t="str">
        <f t="shared" si="63"/>
        <v>4001/4002</v>
      </c>
      <c r="L198" s="246" t="str">
        <f>VLOOKUP(A198,'Trips&amp;Operators'!$C$1:$G$99911,5,FALSE)</f>
        <v>GUZMAN DANNY</v>
      </c>
      <c r="M198" s="225">
        <f t="shared" si="64"/>
        <v>1.1192129626579117E-2</v>
      </c>
      <c r="N198" s="226">
        <f t="shared" si="85"/>
        <v>16.116666662273929</v>
      </c>
      <c r="O198" s="226"/>
      <c r="P198" s="226"/>
      <c r="Q198" s="229"/>
      <c r="R198" s="243"/>
      <c r="S198" s="250">
        <f t="shared" si="86"/>
        <v>1</v>
      </c>
      <c r="T198" s="243" t="str">
        <f t="shared" si="65"/>
        <v>Southbound</v>
      </c>
      <c r="U198" s="247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49" t="str">
        <f t="shared" si="66"/>
        <v>https://d0f6bd738d7f1b3e5a7ca70fe4ff75f0.us-east-1.aws.found.io/app/kibana#/discover/Steve-Slow-Train-Analysis-(2080s-and-2083s)?_g=(refreshInterval:(display:Off,pause:!f,section:0,value:0),time:(from:'2017-11-28T17:26:25-0700',mode:absolute,to:'2017-11-28T19:58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98" s="248" t="str">
        <f>IF(AA198&lt;VLOOKUP(AG198,Variables!$AC$3:$AD$8,2,FALSE),"Y","N")</f>
        <v>N</v>
      </c>
      <c r="X198" s="248">
        <f t="shared" si="99"/>
        <v>1</v>
      </c>
      <c r="Y198" s="248">
        <f t="shared" si="100"/>
        <v>5.8611000000000004</v>
      </c>
      <c r="Z198" s="248">
        <f t="shared" si="101"/>
        <v>1.44E-2</v>
      </c>
      <c r="AA198" s="248">
        <f t="shared" si="68"/>
        <v>5.8467000000000002</v>
      </c>
      <c r="AB198" s="234" t="e">
        <f>VLOOKUP(A198,Enforcements!$C$7:$K$9,8,0)</f>
        <v>#N/A</v>
      </c>
      <c r="AC198" s="233" t="e">
        <f>VLOOKUP(A198,Enforcements!$C$7:$E$9,3,0)</f>
        <v>#N/A</v>
      </c>
      <c r="AD198" s="244">
        <f t="shared" si="69"/>
        <v>838</v>
      </c>
      <c r="AE198" s="236" t="str">
        <f t="shared" si="70"/>
        <v>aws s3 cp s3://rtdc.mdm.uploadarchive.raw/RTDC4001/ "%USERPROFILE%\AppData\Local\Temp\OnboardLogs"\RTDC4001\2017-11-28 --exclude "*" --recursive --include "*20171128*" &amp; "%USERPROFILE%\Documents\GitHub\mrs-test-scripts\Headless Mode &amp; Sideloading\WalkAndUnGZ.bat" "%USERPROFILE%\AppData\Local\Temp\OnboardLogs"\RTDC4001\2017-11-28 &amp; aws s3 cp s3://rtdc.mdm.uploadarchive.raw/RTDC4001/ "%USERPROFILE%\AppData\Local\Temp\OnboardLogs"\RTDC4001\2017-11-29 --exclude "*" --recursive --include "*20171129*" &amp; "%USERPROFILE%\Documents\GitHub\mrs-test-scripts\Headless Mode &amp; Sideloading\WalkAndUnGZ.bat" "%USERPROFILE%\AppData\Local\Temp\OnboardLogs"\RTDC4001\2017-11-29</v>
      </c>
      <c r="AF198" s="235" t="str">
        <f t="shared" si="71"/>
        <v>"C:\Program Files (x86)\AstroGrep\AstroGrep.exe" /e /r /s /spath="%USERPROFILE%\AppData\Local\Temp\OnboardLogs" /stypes="app*4001*20171129*" /stext=" 01:.+((SYSTEM_STATE.+slice.+state.+changed )|(ment ac)|(multiple cpu faults)|(system.+state.+changed )|(\[timeout)|(PRM\|1\|D)|(kpr)|(kdp)|(train st.+moving)|(\|lc)|(penalty))"</v>
      </c>
      <c r="AG198" s="245" t="str">
        <f t="shared" si="72"/>
        <v>NW</v>
      </c>
      <c r="AH198" s="237" t="str">
        <f t="shared" si="73"/>
        <v>"%USERPROFILE%\Documents\GitHub\eaglep3\Utilities\RefineRTDCRunTimes.py" --tripid 838-28 --locoid 4001 --swversion DE.1.0.9.0 --startMP 300:58611 --initTime 2017-11-28T18:26:25 --startdatetime 2017-11-28T18:42:00 --delay 55 --endMP 204:144 --enddatetime 2017-11-28T18:58:07 --enforcementcount 0 &gt;&gt;%USERPROFILE%\Documents\GitHub\eaglep3-reporting\EC\2017-11-28-refined-times.txt</v>
      </c>
      <c r="AI198" s="239" t="str">
        <f t="shared" si="74"/>
        <v>echo {"issue":{"subject":"","project_id":79,"tracker_id":40,"status_id":1,"priority_id":2,"assigned_to_id":338,"start_date":"2017-11-28","description":"","custom_fields":[{"id":1,"name":"Subdivision","value":"NW"},{"id":4,"name":"Milepost","value":"0.0144"},{"id":17,"name":"Train ID","value":"838-28"},{"id":16,"name":"Locomotive ID","value":"4001"},{"id":130,"name":"Impact","value":""},{"id":150,"name":"Time of Event (Mountain Time)","value":"18:58:07"},{"id":151,"name":"Denver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8" s="224"/>
      <c r="AK198" s="232"/>
      <c r="AL198" s="232"/>
      <c r="AM198" s="241" t="str">
        <f t="shared" si="75"/>
        <v>start /low /b %USERPROFILE%\Documents\GitHub\eaglep3\Utilities\DownloadLogsFromS3.py --loco 4001 --day 2017-11-28</v>
      </c>
      <c r="AN198" s="242" t="str">
        <f t="shared" si="76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01:58:07"},{"id":29,"name":"Sharepoint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231" t="str">
        <f t="shared" si="77"/>
        <v>https://d0f6bd738d7f1b3e5a7ca70fe4ff75f0.us-east-1.aws.found.io/app/kibana#/discover/Steve-Slow-Train-Analysis-(2080s-and-2083s)?_g=(refreshInterval:(display:Off,pause:!f,section:0,value:0),time:(from:'2017-11-28T17:26:25-0700',mode:absolute,to:'2017-11-28T19:58:07-0700'))&amp;_a=(columns:!('Message%20ID',Summary),filters:!(),index:'emp_*',interval:auto,query:(query_string:(analyze_wildcard:!t,query:'%22rtdc.l.rtdc.4001%22')),sort:!(Time.ISO8601,asc))</v>
      </c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0" customFormat="1" x14ac:dyDescent="0.25">
      <c r="A199" s="230" t="s">
        <v>844</v>
      </c>
      <c r="B199" s="226">
        <v>4036</v>
      </c>
      <c r="C199" s="228" t="s">
        <v>192</v>
      </c>
      <c r="D199" s="228" t="s">
        <v>591</v>
      </c>
      <c r="E199" s="227">
        <v>43067.773252314815</v>
      </c>
      <c r="F199" s="227">
        <v>43067.777430555558</v>
      </c>
      <c r="G199" s="226">
        <v>62</v>
      </c>
      <c r="H199" s="228" t="s">
        <v>499</v>
      </c>
      <c r="I199" s="227">
        <v>43067.788483796299</v>
      </c>
      <c r="J199" s="226">
        <v>0</v>
      </c>
      <c r="K199" s="238" t="str">
        <f t="shared" si="63"/>
        <v>4035/4036</v>
      </c>
      <c r="L199" s="246" t="str">
        <f>VLOOKUP(A199,'Trips&amp;Operators'!$C$1:$G$99911,5,FALSE)</f>
        <v>STAMBAUGH JAMES</v>
      </c>
      <c r="M199" s="225">
        <f t="shared" si="64"/>
        <v>1.1053240741603076E-2</v>
      </c>
      <c r="N199" s="226">
        <f t="shared" si="85"/>
        <v>15.91666666790843</v>
      </c>
      <c r="O199" s="226"/>
      <c r="P199" s="226"/>
      <c r="Q199" s="229"/>
      <c r="R199" s="243"/>
      <c r="S199" s="250">
        <f t="shared" si="86"/>
        <v>1</v>
      </c>
      <c r="T199" s="243" t="str">
        <f t="shared" si="65"/>
        <v>NorthBound</v>
      </c>
      <c r="U199" s="247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49" t="str">
        <f t="shared" si="66"/>
        <v>https://d0f6bd738d7f1b3e5a7ca70fe4ff75f0.us-east-1.aws.found.io/app/kibana#/discover/Steve-Slow-Train-Analysis-(2080s-and-2083s)?_g=(refreshInterval:(display:Off,pause:!f,section:0,value:0),time:(from:'2017-11-28T17:33:29-0700',mode:absolute,to:'2017-11-28T19:55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99" s="248" t="str">
        <f>IF(AA199&lt;VLOOKUP(AG199,Variables!$AC$3:$AD$8,2,FALSE),"Y","N")</f>
        <v>N</v>
      </c>
      <c r="X199" s="248">
        <f t="shared" si="99"/>
        <v>1</v>
      </c>
      <c r="Y199" s="248">
        <f t="shared" si="100"/>
        <v>4.5499999999999999E-2</v>
      </c>
      <c r="Z199" s="248">
        <f t="shared" si="101"/>
        <v>5.8925999999999998</v>
      </c>
      <c r="AA199" s="248">
        <f t="shared" si="68"/>
        <v>5.8471000000000002</v>
      </c>
      <c r="AB199" s="234" t="e">
        <f>VLOOKUP(A199,Enforcements!$C$7:$K$9,8,0)</f>
        <v>#N/A</v>
      </c>
      <c r="AC199" s="233" t="e">
        <f>VLOOKUP(A199,Enforcements!$C$7:$E$9,3,0)</f>
        <v>#N/A</v>
      </c>
      <c r="AD199" s="244">
        <f t="shared" si="69"/>
        <v>839</v>
      </c>
      <c r="AE199" s="236" t="str">
        <f t="shared" si="70"/>
        <v>aws s3 cp s3://rtdc.mdm.uploadarchive.raw/RTDC4036/ "%USERPROFILE%\AppData\Local\Temp\OnboardLogs"\RTDC4036\2017-11-28 --exclude "*" --recursive --include "*20171128*" &amp; "%USERPROFILE%\Documents\GitHub\mrs-test-scripts\Headless Mode &amp; Sideloading\WalkAndUnGZ.bat" "%USERPROFILE%\AppData\Local\Temp\OnboardLogs"\RTDC4036\2017-11-28 &amp; aws s3 cp s3://rtdc.mdm.uploadarchive.raw/RTDC4036/ "%USERPROFILE%\AppData\Local\Temp\OnboardLogs"\RTDC4036\2017-11-29 --exclude "*" --recursive --include "*20171129*" &amp; "%USERPROFILE%\Documents\GitHub\mrs-test-scripts\Headless Mode &amp; Sideloading\WalkAndUnGZ.bat" "%USERPROFILE%\AppData\Local\Temp\OnboardLogs"\RTDC4036\2017-11-29</v>
      </c>
      <c r="AF199" s="235" t="str">
        <f t="shared" si="71"/>
        <v>"C:\Program Files (x86)\AstroGrep\AstroGrep.exe" /e /r /s /spath="%USERPROFILE%\AppData\Local\Temp\OnboardLogs" /stypes="app*4036*20171129*" /stext=" 01:.+((SYSTEM_STATE.+slice.+state.+changed )|(ment ac)|(multiple cpu faults)|(system.+state.+changed )|(\[timeout)|(PRM\|1\|D)|(kpr)|(kdp)|(train st.+moving)|(\|lc)|(penalty))"</v>
      </c>
      <c r="AG199" s="245" t="str">
        <f t="shared" si="72"/>
        <v>NW</v>
      </c>
      <c r="AH199" s="237" t="str">
        <f t="shared" si="73"/>
        <v>"%USERPROFILE%\Documents\GitHub\eaglep3\Utilities\RefineRTDCRunTimes.py" --tripid 839-28 --locoid 4036 --swversion DE.1.0.9.0 --startMP 204:455 --initTime 2017-11-28T18:33:29 --startdatetime 2017-11-28T18:39:30 --delay 62 --endMP 300:58926 --enddatetime 2017-11-28T18:55:25 --enforcementcount 0 &gt;&gt;%USERPROFILE%\Documents\GitHub\eaglep3-reporting\EC\2017-11-28-refined-times.txt</v>
      </c>
      <c r="AI199" s="239" t="str">
        <f t="shared" si="74"/>
        <v>echo {"issue":{"subject":"","project_id":79,"tracker_id":40,"status_id":1,"priority_id":2,"assigned_to_id":338,"start_date":"2017-11-28","description":"","custom_fields":[{"id":1,"name":"Subdivision","value":"NW"},{"id":4,"name":"Milepost","value":"5.8926"},{"id":17,"name":"Train ID","value":"839-28"},{"id":16,"name":"Locomotive ID","value":"4036"},{"id":130,"name":"Impact","value":""},{"id":150,"name":"Time of Event (Mountain Time)","value":"18:55:25"},{"id":151,"name":"Denver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9" s="224"/>
      <c r="AK199" s="232"/>
      <c r="AL199" s="232"/>
      <c r="AM199" s="241" t="str">
        <f t="shared" si="75"/>
        <v>start /low /b %USERPROFILE%\Documents\GitHub\eaglep3\Utilities\DownloadLogsFromS3.py --loco 4036 --day 2017-11-28</v>
      </c>
      <c r="AN199" s="242" t="str">
        <f t="shared" si="76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01:55:25"},{"id":29,"name":"Sharepoint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231" t="str">
        <f t="shared" si="77"/>
        <v>https://d0f6bd738d7f1b3e5a7ca70fe4ff75f0.us-east-1.aws.found.io/app/kibana#/discover/Steve-Slow-Train-Analysis-(2080s-and-2083s)?_g=(refreshInterval:(display:Off,pause:!f,section:0,value:0),time:(from:'2017-11-28T17:33:29-0700',mode:absolute,to:'2017-11-28T19:55:25-0700'))&amp;_a=(columns:!('Message%20ID',Summary),filters:!(),index:'emp_*',interval:auto,query:(query_string:(analyze_wildcard:!t,query:'%22rtdc.l.rtdc.4036%22')),sort:!(Time.ISO8601,asc))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0" customFormat="1" x14ac:dyDescent="0.25">
      <c r="A200" s="230" t="s">
        <v>854</v>
      </c>
      <c r="B200" s="226">
        <v>4001</v>
      </c>
      <c r="C200" s="228" t="s">
        <v>192</v>
      </c>
      <c r="D200" s="228" t="s">
        <v>1062</v>
      </c>
      <c r="E200" s="227">
        <v>43067.809513888889</v>
      </c>
      <c r="F200" s="227">
        <v>43067.820833333331</v>
      </c>
      <c r="G200" s="226">
        <v>52</v>
      </c>
      <c r="H200" s="228" t="s">
        <v>1063</v>
      </c>
      <c r="I200" s="227">
        <v>43067.830879629626</v>
      </c>
      <c r="J200" s="226">
        <v>0</v>
      </c>
      <c r="K200" s="238" t="str">
        <f t="shared" si="63"/>
        <v>4001/4002</v>
      </c>
      <c r="L200" s="246" t="str">
        <f>VLOOKUP(A200,'Trips&amp;Operators'!$C$1:$G$99911,5,FALSE)</f>
        <v>GUZMAN DANNY</v>
      </c>
      <c r="M200" s="225">
        <f t="shared" si="64"/>
        <v>1.0046296294603962E-2</v>
      </c>
      <c r="N200" s="226">
        <f t="shared" si="85"/>
        <v>14.466666664229706</v>
      </c>
      <c r="O200" s="226"/>
      <c r="P200" s="226"/>
      <c r="Q200" s="229"/>
      <c r="R200" s="243"/>
      <c r="S200" s="250">
        <f t="shared" si="86"/>
        <v>1</v>
      </c>
      <c r="T200" s="243" t="str">
        <f t="shared" si="65"/>
        <v>Southbound</v>
      </c>
      <c r="U200" s="247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49" t="str">
        <f t="shared" si="66"/>
        <v>https://d0f6bd738d7f1b3e5a7ca70fe4ff75f0.us-east-1.aws.found.io/app/kibana#/discover/Steve-Slow-Train-Analysis-(2080s-and-2083s)?_g=(refreshInterval:(display:Off,pause:!f,section:0,value:0),time:(from:'2017-11-28T18:25:42-0700',mode:absolute,to:'2017-11-28T20:56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00" s="248" t="str">
        <f>IF(AA200&lt;VLOOKUP(AG200,Variables!$AC$3:$AD$8,2,FALSE),"Y","N")</f>
        <v>N</v>
      </c>
      <c r="X200" s="248">
        <f t="shared" si="99"/>
        <v>1</v>
      </c>
      <c r="Y200" s="248">
        <f t="shared" si="100"/>
        <v>5.8619000000000003</v>
      </c>
      <c r="Z200" s="248">
        <f t="shared" si="101"/>
        <v>1.4200000000000001E-2</v>
      </c>
      <c r="AA200" s="248">
        <f t="shared" si="68"/>
        <v>5.8477000000000006</v>
      </c>
      <c r="AB200" s="234" t="e">
        <f>VLOOKUP(A200,Enforcements!$C$7:$K$9,8,0)</f>
        <v>#N/A</v>
      </c>
      <c r="AC200" s="233" t="e">
        <f>VLOOKUP(A200,Enforcements!$C$7:$E$9,3,0)</f>
        <v>#N/A</v>
      </c>
      <c r="AD200" s="244">
        <f t="shared" si="69"/>
        <v>840</v>
      </c>
      <c r="AE200" s="236" t="str">
        <f t="shared" si="70"/>
        <v>aws s3 cp s3://rtdc.mdm.uploadarchive.raw/RTDC4001/ "%USERPROFILE%\AppData\Local\Temp\OnboardLogs"\RTDC4001\2017-11-28 --exclude "*" --recursive --include "*20171128*" &amp; "%USERPROFILE%\Documents\GitHub\mrs-test-scripts\Headless Mode &amp; Sideloading\WalkAndUnGZ.bat" "%USERPROFILE%\AppData\Local\Temp\OnboardLogs"\RTDC4001\2017-11-28 &amp; aws s3 cp s3://rtdc.mdm.uploadarchive.raw/RTDC4001/ "%USERPROFILE%\AppData\Local\Temp\OnboardLogs"\RTDC4001\2017-11-29 --exclude "*" --recursive --include "*20171129*" &amp; "%USERPROFILE%\Documents\GitHub\mrs-test-scripts\Headless Mode &amp; Sideloading\WalkAndUnGZ.bat" "%USERPROFILE%\AppData\Local\Temp\OnboardLogs"\RTDC4001\2017-11-29</v>
      </c>
      <c r="AF200" s="235" t="str">
        <f t="shared" si="71"/>
        <v>"C:\Program Files (x86)\AstroGrep\AstroGrep.exe" /e /r /s /spath="%USERPROFILE%\AppData\Local\Temp\OnboardLogs" /stypes="app*4001*20171129*" /stext=" 02:.+((SYSTEM_STATE.+slice.+state.+changed )|(ment ac)|(multiple cpu faults)|(system.+state.+changed )|(\[timeout)|(PRM\|1\|D)|(kpr)|(kdp)|(train st.+moving)|(\|lc)|(penalty))"</v>
      </c>
      <c r="AG200" s="245" t="str">
        <f t="shared" si="72"/>
        <v>NW</v>
      </c>
      <c r="AH200" s="237" t="str">
        <f t="shared" si="73"/>
        <v>"%USERPROFILE%\Documents\GitHub\eaglep3\Utilities\RefineRTDCRunTimes.py" --tripid 840-28 --locoid 4001 --swversion DE.1.0.9.0 --startMP 300:58619 --initTime 2017-11-28T19:25:42 --startdatetime 2017-11-28T19:42:00 --delay 52 --endMP 204:142 --enddatetime 2017-11-28T19:56:28 --enforcementcount 0 &gt;&gt;%USERPROFILE%\Documents\GitHub\eaglep3-reporting\EC\2017-11-28-refined-times.txt</v>
      </c>
      <c r="AI200" s="239" t="str">
        <f t="shared" si="74"/>
        <v>echo {"issue":{"subject":"","project_id":79,"tracker_id":40,"status_id":1,"priority_id":2,"assigned_to_id":338,"start_date":"2017-11-28","description":"","custom_fields":[{"id":1,"name":"Subdivision","value":"NW"},{"id":4,"name":"Milepost","value":"0.0142"},{"id":17,"name":"Train ID","value":"840-28"},{"id":16,"name":"Locomotive ID","value":"4001"},{"id":130,"name":"Impact","value":""},{"id":150,"name":"Time of Event (Mountain Time)","value":"19:56:28"},{"id":151,"name":"Denver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0" s="224"/>
      <c r="AK200" s="232"/>
      <c r="AL200" s="232"/>
      <c r="AM200" s="241" t="str">
        <f t="shared" si="75"/>
        <v>start /low /b %USERPROFILE%\Documents\GitHub\eaglep3\Utilities\DownloadLogsFromS3.py --loco 4001 --day 2017-11-28</v>
      </c>
      <c r="AN200" s="242" t="str">
        <f t="shared" si="76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02:56:28"},{"id":29,"name":"Sharepoint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231" t="str">
        <f t="shared" si="77"/>
        <v>https://d0f6bd738d7f1b3e5a7ca70fe4ff75f0.us-east-1.aws.found.io/app/kibana#/discover/Steve-Slow-Train-Analysis-(2080s-and-2083s)?_g=(refreshInterval:(display:Off,pause:!f,section:0,value:0),time:(from:'2017-11-28T18:25:42-0700',mode:absolute,to:'2017-11-28T20:56:28-0700'))&amp;_a=(columns:!('Message%20ID',Summary),filters:!(),index:'emp_*',interval:auto,query:(query_string:(analyze_wildcard:!t,query:'%22rtdc.l.rtdc.4001%22')),sort:!(Time.ISO8601,asc))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0" customFormat="1" x14ac:dyDescent="0.25">
      <c r="A201" s="230" t="s">
        <v>849</v>
      </c>
      <c r="B201" s="226">
        <v>4002</v>
      </c>
      <c r="C201" s="228" t="s">
        <v>192</v>
      </c>
      <c r="D201" s="228" t="s">
        <v>1064</v>
      </c>
      <c r="E201" s="227">
        <v>43067.791759259257</v>
      </c>
      <c r="F201" s="227">
        <v>43067.798113425924</v>
      </c>
      <c r="G201" s="226">
        <v>54</v>
      </c>
      <c r="H201" s="228" t="s">
        <v>624</v>
      </c>
      <c r="I201" s="227">
        <v>43067.808553240742</v>
      </c>
      <c r="J201" s="226">
        <v>0</v>
      </c>
      <c r="K201" s="238" t="str">
        <f t="shared" si="63"/>
        <v>4001/4002</v>
      </c>
      <c r="L201" s="246" t="str">
        <f>VLOOKUP(A201,'Trips&amp;Operators'!$C$1:$G$99911,5,FALSE)</f>
        <v>GUZMAN DANNY</v>
      </c>
      <c r="M201" s="225">
        <f t="shared" si="64"/>
        <v>1.0439814817800652E-2</v>
      </c>
      <c r="N201" s="226">
        <f t="shared" si="85"/>
        <v>15.033333337632939</v>
      </c>
      <c r="O201" s="226"/>
      <c r="P201" s="226"/>
      <c r="Q201" s="229"/>
      <c r="R201" s="243"/>
      <c r="S201" s="250">
        <f t="shared" si="86"/>
        <v>1</v>
      </c>
      <c r="T201" s="243" t="str">
        <f t="shared" si="65"/>
        <v>NorthBound</v>
      </c>
      <c r="U201" s="247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49" t="str">
        <f t="shared" si="66"/>
        <v>https://d0f6bd738d7f1b3e5a7ca70fe4ff75f0.us-east-1.aws.found.io/app/kibana#/discover/Steve-Slow-Train-Analysis-(2080s-and-2083s)?_g=(refreshInterval:(display:Off,pause:!f,section:0,value:0),time:(from:'2017-11-28T18:00:08-0700',mode:absolute,to:'2017-11-28T20:24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01" s="248" t="str">
        <f>IF(AA201&lt;VLOOKUP(AG201,Variables!$AC$3:$AD$8,2,FALSE),"Y","N")</f>
        <v>N</v>
      </c>
      <c r="X201" s="248">
        <f t="shared" ref="X201:X239" si="102">VALUE(LEFT(AD201,4))-VALUE(LEFT(AD200,4))</f>
        <v>1</v>
      </c>
      <c r="Y201" s="248">
        <f t="shared" si="100"/>
        <v>4.4200000000000003E-2</v>
      </c>
      <c r="Z201" s="248">
        <f t="shared" si="101"/>
        <v>5.8936999999999999</v>
      </c>
      <c r="AA201" s="248">
        <f t="shared" si="68"/>
        <v>5.8494999999999999</v>
      </c>
      <c r="AB201" s="234" t="e">
        <f>VLOOKUP(A201,Enforcements!$C$7:$K$9,8,0)</f>
        <v>#N/A</v>
      </c>
      <c r="AC201" s="233" t="e">
        <f>VLOOKUP(A201,Enforcements!$C$7:$E$9,3,0)</f>
        <v>#N/A</v>
      </c>
      <c r="AD201" s="244">
        <f t="shared" si="69"/>
        <v>841</v>
      </c>
      <c r="AE201" s="236" t="str">
        <f t="shared" si="70"/>
        <v>aws s3 cp s3://rtdc.mdm.uploadarchive.raw/RTDC4002/ "%USERPROFILE%\AppData\Local\Temp\OnboardLogs"\RTDC4002\2017-11-28 --exclude "*" --recursive --include "*20171128*" &amp; "%USERPROFILE%\Documents\GitHub\mrs-test-scripts\Headless Mode &amp; Sideloading\WalkAndUnGZ.bat" "%USERPROFILE%\AppData\Local\Temp\OnboardLogs"\RTDC4002\2017-11-28 &amp; aws s3 cp s3://rtdc.mdm.uploadarchive.raw/RTDC4002/ "%USERPROFILE%\AppData\Local\Temp\OnboardLogs"\RTDC4002\2017-11-29 --exclude "*" --recursive --include "*20171129*" &amp; "%USERPROFILE%\Documents\GitHub\mrs-test-scripts\Headless Mode &amp; Sideloading\WalkAndUnGZ.bat" "%USERPROFILE%\AppData\Local\Temp\OnboardLogs"\RTDC4002\2017-11-29</v>
      </c>
      <c r="AF201" s="235" t="str">
        <f t="shared" si="71"/>
        <v>"C:\Program Files (x86)\AstroGrep\AstroGrep.exe" /e /r /s /spath="%USERPROFILE%\AppData\Local\Temp\OnboardLogs" /stypes="app*4002*20171129*" /stext=" 02:.+((SYSTEM_STATE.+slice.+state.+changed )|(ment ac)|(multiple cpu faults)|(system.+state.+changed )|(\[timeout)|(PRM\|1\|D)|(kpr)|(kdp)|(train st.+moving)|(\|lc)|(penalty))"</v>
      </c>
      <c r="AG201" s="245" t="str">
        <f t="shared" si="72"/>
        <v>NW</v>
      </c>
      <c r="AH201" s="237" t="str">
        <f t="shared" si="73"/>
        <v>"%USERPROFILE%\Documents\GitHub\eaglep3\Utilities\RefineRTDCRunTimes.py" --tripid 841-28 --locoid 4002 --swversion DE.1.0.9.0 --startMP 204:442 --initTime 2017-11-28T19:00:08 --startdatetime 2017-11-28T19:09:17 --delay 54 --endMP 300:58937 --enddatetime 2017-11-28T19:24:19 --enforcementcount 0 &gt;&gt;%USERPROFILE%\Documents\GitHub\eaglep3-reporting\EC\2017-11-28-refined-times.txt</v>
      </c>
      <c r="AI201" s="239" t="str">
        <f t="shared" si="74"/>
        <v>echo {"issue":{"subject":"","project_id":79,"tracker_id":40,"status_id":1,"priority_id":2,"assigned_to_id":338,"start_date":"2017-11-28","description":"","custom_fields":[{"id":1,"name":"Subdivision","value":"NW"},{"id":4,"name":"Milepost","value":"5.8937"},{"id":17,"name":"Train ID","value":"841-28"},{"id":16,"name":"Locomotive ID","value":"4002"},{"id":130,"name":"Impact","value":""},{"id":150,"name":"Time of Event (Mountain Time)","value":"19:24:19"},{"id":151,"name":"Denver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1" s="224"/>
      <c r="AK201" s="232"/>
      <c r="AL201" s="232"/>
      <c r="AM201" s="241" t="str">
        <f t="shared" si="75"/>
        <v>start /low /b %USERPROFILE%\Documents\GitHub\eaglep3\Utilities\DownloadLogsFromS3.py --loco 4002 --day 2017-11-28</v>
      </c>
      <c r="AN201" s="242" t="str">
        <f t="shared" si="76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02:24:19"},{"id":29,"name":"Sharepoint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231" t="str">
        <f t="shared" si="77"/>
        <v>https://d0f6bd738d7f1b3e5a7ca70fe4ff75f0.us-east-1.aws.found.io/app/kibana#/discover/Steve-Slow-Train-Analysis-(2080s-and-2083s)?_g=(refreshInterval:(display:Off,pause:!f,section:0,value:0),time:(from:'2017-11-28T18:00:08-0700',mode:absolute,to:'2017-11-28T20:24:19-0700'))&amp;_a=(columns:!('Message%20ID',Summary),filters:!(),index:'emp_*',interval:auto,query:(query_string:(analyze_wildcard:!t,query:'%22rtdc.l.rtdc.4002%22')),sort:!(Time.ISO8601,asc))</v>
      </c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0" customFormat="1" x14ac:dyDescent="0.25">
      <c r="A202" s="230" t="s">
        <v>862</v>
      </c>
      <c r="B202" s="226">
        <v>4001</v>
      </c>
      <c r="C202" s="228" t="s">
        <v>192</v>
      </c>
      <c r="D202" s="228" t="s">
        <v>1019</v>
      </c>
      <c r="E202" s="227">
        <v>43067.852233796293</v>
      </c>
      <c r="F202" s="227">
        <v>43067.862500000003</v>
      </c>
      <c r="G202" s="226">
        <v>50</v>
      </c>
      <c r="H202" s="228" t="s">
        <v>1061</v>
      </c>
      <c r="I202" s="227">
        <v>43067.872083333335</v>
      </c>
      <c r="J202" s="226">
        <v>0</v>
      </c>
      <c r="K202" s="238" t="str">
        <f t="shared" si="63"/>
        <v>4001/4002</v>
      </c>
      <c r="L202" s="246" t="str">
        <f>VLOOKUP(A202,'Trips&amp;Operators'!$C$1:$G$99911,5,FALSE)</f>
        <v>GUZMAN DANNY</v>
      </c>
      <c r="M202" s="225">
        <f t="shared" si="64"/>
        <v>9.5833333325572312E-3</v>
      </c>
      <c r="N202" s="226">
        <f t="shared" si="85"/>
        <v>13.799999998882413</v>
      </c>
      <c r="O202" s="226"/>
      <c r="P202" s="226"/>
      <c r="Q202" s="229"/>
      <c r="R202" s="243"/>
      <c r="S202" s="250">
        <f t="shared" si="86"/>
        <v>1</v>
      </c>
      <c r="T202" s="243" t="str">
        <f t="shared" si="65"/>
        <v>Southbound</v>
      </c>
      <c r="U202" s="247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49" t="str">
        <f t="shared" si="66"/>
        <v>https://d0f6bd738d7f1b3e5a7ca70fe4ff75f0.us-east-1.aws.found.io/app/kibana#/discover/Steve-Slow-Train-Analysis-(2080s-and-2083s)?_g=(refreshInterval:(display:Off,pause:!f,section:0,value:0),time:(from:'2017-11-28T19:27:13-0700',mode:absolute,to:'2017-11-28T21:55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02" s="248" t="str">
        <f>IF(AA202&lt;VLOOKUP(AG202,Variables!$AC$3:$AD$8,2,FALSE),"Y","N")</f>
        <v>N</v>
      </c>
      <c r="X202" s="248">
        <f t="shared" si="102"/>
        <v>1</v>
      </c>
      <c r="Y202" s="248">
        <f t="shared" si="100"/>
        <v>5.8623000000000003</v>
      </c>
      <c r="Z202" s="248">
        <f t="shared" si="101"/>
        <v>1.5299999999999999E-2</v>
      </c>
      <c r="AA202" s="248">
        <f t="shared" si="68"/>
        <v>5.8470000000000004</v>
      </c>
      <c r="AB202" s="234" t="e">
        <f>VLOOKUP(A202,Enforcements!$C$7:$K$9,8,0)</f>
        <v>#N/A</v>
      </c>
      <c r="AC202" s="233" t="e">
        <f>VLOOKUP(A202,Enforcements!$C$7:$E$9,3,0)</f>
        <v>#N/A</v>
      </c>
      <c r="AD202" s="244">
        <f t="shared" si="69"/>
        <v>842</v>
      </c>
      <c r="AE202" s="236" t="str">
        <f t="shared" si="70"/>
        <v>aws s3 cp s3://rtdc.mdm.uploadarchive.raw/RTDC4001/ "%USERPROFILE%\AppData\Local\Temp\OnboardLogs"\RTDC4001\2017-11-28 --exclude "*" --recursive --include "*20171128*" &amp; "%USERPROFILE%\Documents\GitHub\mrs-test-scripts\Headless Mode &amp; Sideloading\WalkAndUnGZ.bat" "%USERPROFILE%\AppData\Local\Temp\OnboardLogs"\RTDC4001\2017-11-28 &amp; aws s3 cp s3://rtdc.mdm.uploadarchive.raw/RTDC4001/ "%USERPROFILE%\AppData\Local\Temp\OnboardLogs"\RTDC4001\2017-11-29 --exclude "*" --recursive --include "*20171129*" &amp; "%USERPROFILE%\Documents\GitHub\mrs-test-scripts\Headless Mode &amp; Sideloading\WalkAndUnGZ.bat" "%USERPROFILE%\AppData\Local\Temp\OnboardLogs"\RTDC4001\2017-11-29</v>
      </c>
      <c r="AF202" s="235" t="str">
        <f t="shared" si="71"/>
        <v>"C:\Program Files (x86)\AstroGrep\AstroGrep.exe" /e /r /s /spath="%USERPROFILE%\AppData\Local\Temp\OnboardLogs" /stypes="app*4001*20171129*" /stext=" 03:.+((SYSTEM_STATE.+slice.+state.+changed )|(ment ac)|(multiple cpu faults)|(system.+state.+changed )|(\[timeout)|(PRM\|1\|D)|(kpr)|(kdp)|(train st.+moving)|(\|lc)|(penalty))"</v>
      </c>
      <c r="AG202" s="245" t="str">
        <f t="shared" si="72"/>
        <v>NW</v>
      </c>
      <c r="AH202" s="237" t="str">
        <f t="shared" si="73"/>
        <v>"%USERPROFILE%\Documents\GitHub\eaglep3\Utilities\RefineRTDCRunTimes.py" --tripid 842-28 --locoid 4001 --swversion DE.1.0.9.0 --startMP 300:58623 --initTime 2017-11-28T20:27:13 --startdatetime 2017-11-28T20:42:00 --delay 50 --endMP 204:153 --enddatetime 2017-11-28T20:55:48 --enforcementcount 0 &gt;&gt;%USERPROFILE%\Documents\GitHub\eaglep3-reporting\EC\2017-11-28-refined-times.txt</v>
      </c>
      <c r="AI202" s="239" t="str">
        <f t="shared" si="74"/>
        <v>echo {"issue":{"subject":"","project_id":79,"tracker_id":40,"status_id":1,"priority_id":2,"assigned_to_id":338,"start_date":"2017-11-28","description":"","custom_fields":[{"id":1,"name":"Subdivision","value":"NW"},{"id":4,"name":"Milepost","value":"0.0153"},{"id":17,"name":"Train ID","value":"842-28"},{"id":16,"name":"Locomotive ID","value":"4001"},{"id":130,"name":"Impact","value":""},{"id":150,"name":"Time of Event (Mountain Time)","value":"20:55:48"},{"id":151,"name":"Denver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2" s="224"/>
      <c r="AK202" s="232"/>
      <c r="AL202" s="232"/>
      <c r="AM202" s="241" t="str">
        <f t="shared" si="75"/>
        <v>start /low /b %USERPROFILE%\Documents\GitHub\eaglep3\Utilities\DownloadLogsFromS3.py --loco 4001 --day 2017-11-28</v>
      </c>
      <c r="AN202" s="242" t="str">
        <f t="shared" si="76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03:55:48"},{"id":29,"name":"Sharepoint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231" t="str">
        <f t="shared" si="77"/>
        <v>https://d0f6bd738d7f1b3e5a7ca70fe4ff75f0.us-east-1.aws.found.io/app/kibana#/discover/Steve-Slow-Train-Analysis-(2080s-and-2083s)?_g=(refreshInterval:(display:Off,pause:!f,section:0,value:0),time:(from:'2017-11-28T19:27:13-0700',mode:absolute,to:'2017-11-28T21:55:48-0700'))&amp;_a=(columns:!('Message%20ID',Summary),filters:!(),index:'emp_*',interval:auto,query:(query_string:(analyze_wildcard:!t,query:'%22rtdc.l.rtdc.4001%22')),sort:!(Time.ISO8601,asc))</v>
      </c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0" customFormat="1" x14ac:dyDescent="0.25">
      <c r="A203" s="230" t="s">
        <v>857</v>
      </c>
      <c r="B203" s="226">
        <v>4002</v>
      </c>
      <c r="C203" s="228" t="s">
        <v>192</v>
      </c>
      <c r="D203" s="228" t="s">
        <v>1065</v>
      </c>
      <c r="E203" s="227">
        <v>43067.832499999997</v>
      </c>
      <c r="F203" s="227">
        <v>43067.862500000003</v>
      </c>
      <c r="G203" s="226">
        <v>56</v>
      </c>
      <c r="H203" s="228" t="s">
        <v>621</v>
      </c>
      <c r="I203" s="227">
        <v>43067.872083333335</v>
      </c>
      <c r="J203" s="226">
        <v>0</v>
      </c>
      <c r="K203" s="238" t="str">
        <f t="shared" si="63"/>
        <v>4001/4002</v>
      </c>
      <c r="L203" s="246" t="str">
        <f>VLOOKUP(A203,'Trips&amp;Operators'!$C$1:$G$99911,5,FALSE)</f>
        <v>GUZMAN DANNY</v>
      </c>
      <c r="M203" s="225">
        <f t="shared" si="64"/>
        <v>9.5833333325572312E-3</v>
      </c>
      <c r="N203" s="226">
        <f t="shared" si="85"/>
        <v>13.799999998882413</v>
      </c>
      <c r="O203" s="226"/>
      <c r="P203" s="226"/>
      <c r="Q203" s="229"/>
      <c r="R203" s="243"/>
      <c r="S203" s="250">
        <f t="shared" si="86"/>
        <v>1</v>
      </c>
      <c r="T203" s="243" t="str">
        <f t="shared" si="65"/>
        <v>NorthBound</v>
      </c>
      <c r="U203" s="247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49" t="str">
        <f t="shared" si="66"/>
        <v>https://d0f6bd738d7f1b3e5a7ca70fe4ff75f0.us-east-1.aws.found.io/app/kibana#/discover/Steve-Slow-Train-Analysis-(2080s-and-2083s)?_g=(refreshInterval:(display:Off,pause:!f,section:0,value:0),time:(from:'2017-11-28T18:58:48-0700',mode:absolute,to:'2017-11-28T21:55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03" s="248" t="str">
        <f>IF(AA203&lt;VLOOKUP(AG203,Variables!$AC$3:$AD$8,2,FALSE),"Y","N")</f>
        <v>N</v>
      </c>
      <c r="X203" s="248">
        <f t="shared" si="102"/>
        <v>1</v>
      </c>
      <c r="Y203" s="248">
        <f t="shared" si="100"/>
        <v>4.3900000000000002E-2</v>
      </c>
      <c r="Z203" s="248">
        <f t="shared" si="101"/>
        <v>5.8939000000000004</v>
      </c>
      <c r="AA203" s="248">
        <f t="shared" si="68"/>
        <v>5.8500000000000005</v>
      </c>
      <c r="AB203" s="234" t="e">
        <f>VLOOKUP(A203,Enforcements!$C$7:$K$9,8,0)</f>
        <v>#N/A</v>
      </c>
      <c r="AC203" s="233" t="e">
        <f>VLOOKUP(A203,Enforcements!$C$7:$E$9,3,0)</f>
        <v>#N/A</v>
      </c>
      <c r="AD203" s="244">
        <f t="shared" si="69"/>
        <v>843</v>
      </c>
      <c r="AE203" s="236" t="str">
        <f t="shared" si="70"/>
        <v>aws s3 cp s3://rtdc.mdm.uploadarchive.raw/RTDC4002/ "%USERPROFILE%\AppData\Local\Temp\OnboardLogs"\RTDC4002\2017-11-28 --exclude "*" --recursive --include "*20171128*" &amp; "%USERPROFILE%\Documents\GitHub\mrs-test-scripts\Headless Mode &amp; Sideloading\WalkAndUnGZ.bat" "%USERPROFILE%\AppData\Local\Temp\OnboardLogs"\RTDC4002\2017-11-28 &amp; aws s3 cp s3://rtdc.mdm.uploadarchive.raw/RTDC4002/ "%USERPROFILE%\AppData\Local\Temp\OnboardLogs"\RTDC4002\2017-11-29 --exclude "*" --recursive --include "*20171129*" &amp; "%USERPROFILE%\Documents\GitHub\mrs-test-scripts\Headless Mode &amp; Sideloading\WalkAndUnGZ.bat" "%USERPROFILE%\AppData\Local\Temp\OnboardLogs"\RTDC4002\2017-11-29</v>
      </c>
      <c r="AF203" s="235" t="str">
        <f t="shared" si="71"/>
        <v>"C:\Program Files (x86)\AstroGrep\AstroGrep.exe" /e /r /s /spath="%USERPROFILE%\AppData\Local\Temp\OnboardLogs" /stypes="app*4002*20171129*" /stext=" 03:.+((SYSTEM_STATE.+slice.+state.+changed )|(ment ac)|(multiple cpu faults)|(system.+state.+changed )|(\[timeout)|(PRM\|1\|D)|(kpr)|(kdp)|(train st.+moving)|(\|lc)|(penalty))"</v>
      </c>
      <c r="AG203" s="245" t="str">
        <f t="shared" si="72"/>
        <v>NW</v>
      </c>
      <c r="AH203" s="237" t="str">
        <f t="shared" si="73"/>
        <v>"%USERPROFILE%\Documents\GitHub\eaglep3\Utilities\RefineRTDCRunTimes.py" --tripid 843-28 --locoid 4002 --swversion DE.1.0.9.0 --startMP 204:439 --initTime 2017-11-28T19:58:48 --startdatetime 2017-11-28T20:42:00 --delay 56 --endMP 300:58939 --enddatetime 2017-11-28T20:55:48 --enforcementcount 0 &gt;&gt;%USERPROFILE%\Documents\GitHub\eaglep3-reporting\EC\2017-11-28-refined-times.txt</v>
      </c>
      <c r="AI203" s="239" t="str">
        <f t="shared" si="74"/>
        <v>echo {"issue":{"subject":"","project_id":79,"tracker_id":40,"status_id":1,"priority_id":2,"assigned_to_id":338,"start_date":"2017-11-28","description":"","custom_fields":[{"id":1,"name":"Subdivision","value":"NW"},{"id":4,"name":"Milepost","value":"5.8939"},{"id":17,"name":"Train ID","value":"843-28"},{"id":16,"name":"Locomotive ID","value":"4002"},{"id":130,"name":"Impact","value":""},{"id":150,"name":"Time of Event (Mountain Time)","value":"20:55:48"},{"id":151,"name":"Denver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3" s="224"/>
      <c r="AK203" s="232"/>
      <c r="AL203" s="232"/>
      <c r="AM203" s="241" t="str">
        <f t="shared" si="75"/>
        <v>start /low /b %USERPROFILE%\Documents\GitHub\eaglep3\Utilities\DownloadLogsFromS3.py --loco 4002 --day 2017-11-28</v>
      </c>
      <c r="AN203" s="242" t="str">
        <f t="shared" si="76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03:55:48"},{"id":29,"name":"Sharepoint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231" t="str">
        <f t="shared" si="77"/>
        <v>https://d0f6bd738d7f1b3e5a7ca70fe4ff75f0.us-east-1.aws.found.io/app/kibana#/discover/Steve-Slow-Train-Analysis-(2080s-and-2083s)?_g=(refreshInterval:(display:Off,pause:!f,section:0,value:0),time:(from:'2017-11-28T18:58:48-0700',mode:absolute,to:'2017-11-28T21:55:48-0700'))&amp;_a=(columns:!('Message%20ID',Summary),filters:!(),index:'emp_*',interval:auto,query:(query_string:(analyze_wildcard:!t,query:'%22rtdc.l.rtdc.4002%22')),sort:!(Time.ISO8601,asc))</v>
      </c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24" customFormat="1" x14ac:dyDescent="0.25">
      <c r="A204" s="230" t="s">
        <v>867</v>
      </c>
      <c r="B204" s="226">
        <v>4001</v>
      </c>
      <c r="C204" s="228" t="s">
        <v>192</v>
      </c>
      <c r="D204" s="228" t="s">
        <v>1065</v>
      </c>
      <c r="E204" s="227">
        <v>43067.832499999997</v>
      </c>
      <c r="F204" s="227">
        <v>43067.905138888891</v>
      </c>
      <c r="G204" s="226">
        <v>56</v>
      </c>
      <c r="H204" s="228" t="s">
        <v>621</v>
      </c>
      <c r="I204" s="227">
        <v>43067.912685185183</v>
      </c>
      <c r="J204" s="226">
        <v>0</v>
      </c>
      <c r="K204" s="238" t="str">
        <f t="shared" si="63"/>
        <v>4001/4002</v>
      </c>
      <c r="L204" s="246" t="str">
        <f>VLOOKUP(A204,'Trips&amp;Operators'!$C$1:$G$99911,5,FALSE)</f>
        <v>STAMBAUGH JAMES</v>
      </c>
      <c r="M204" s="225">
        <f t="shared" si="64"/>
        <v>7.546296292275656E-3</v>
      </c>
      <c r="N204" s="226">
        <f t="shared" si="85"/>
        <v>10.866666660876945</v>
      </c>
      <c r="O204" s="226"/>
      <c r="P204" s="226"/>
      <c r="Q204" s="229"/>
      <c r="R204" s="243"/>
      <c r="S204" s="250">
        <f t="shared" si="86"/>
        <v>1</v>
      </c>
      <c r="T204" s="243" t="str">
        <f t="shared" si="65"/>
        <v>Southbound</v>
      </c>
      <c r="U204" s="247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49" t="str">
        <f t="shared" si="66"/>
        <v>https://d0f6bd738d7f1b3e5a7ca70fe4ff75f0.us-east-1.aws.found.io/app/kibana#/discover/Steve-Slow-Train-Analysis-(2080s-and-2083s)?_g=(refreshInterval:(display:Off,pause:!f,section:0,value:0),time:(from:'2017-11-28T18:58:48-0700',mode:absolute,to:'2017-11-28T22:54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04" s="248" t="str">
        <f>IF(AA204&lt;VLOOKUP(AG204,Variables!$AC$3:$AD$8,2,FALSE),"Y","N")</f>
        <v>N</v>
      </c>
      <c r="X204" s="248">
        <f t="shared" si="102"/>
        <v>1</v>
      </c>
      <c r="Y204" s="248">
        <v>5.8623000000000003</v>
      </c>
      <c r="Z204" s="248">
        <v>1.5299999999999999E-2</v>
      </c>
      <c r="AA204" s="248">
        <f t="shared" si="68"/>
        <v>5.8470000000000004</v>
      </c>
      <c r="AB204" s="234" t="e">
        <f>VLOOKUP(A204,Enforcements!$C$7:$K$9,8,0)</f>
        <v>#N/A</v>
      </c>
      <c r="AC204" s="233" t="e">
        <f>VLOOKUP(A204,Enforcements!$C$7:$E$9,3,0)</f>
        <v>#N/A</v>
      </c>
      <c r="AD204" s="244">
        <f t="shared" si="69"/>
        <v>844</v>
      </c>
      <c r="AE204" s="236" t="str">
        <f t="shared" si="70"/>
        <v>aws s3 cp s3://rtdc.mdm.uploadarchive.raw/RTDC4001/ "%USERPROFILE%\AppData\Local\Temp\OnboardLogs"\RTDC4001\2017-11-28 --exclude "*" --recursive --include "*20171128*" &amp; "%USERPROFILE%\Documents\GitHub\mrs-test-scripts\Headless Mode &amp; Sideloading\WalkAndUnGZ.bat" "%USERPROFILE%\AppData\Local\Temp\OnboardLogs"\RTDC4001\2017-11-28 &amp; aws s3 cp s3://rtdc.mdm.uploadarchive.raw/RTDC4001/ "%USERPROFILE%\AppData\Local\Temp\OnboardLogs"\RTDC4001\2017-11-29 --exclude "*" --recursive --include "*20171129*" &amp; "%USERPROFILE%\Documents\GitHub\mrs-test-scripts\Headless Mode &amp; Sideloading\WalkAndUnGZ.bat" "%USERPROFILE%\AppData\Local\Temp\OnboardLogs"\RTDC4001\2017-11-29</v>
      </c>
      <c r="AF204" s="235" t="str">
        <f t="shared" si="71"/>
        <v>"C:\Program Files (x86)\AstroGrep\AstroGrep.exe" /e /r /s /spath="%USERPROFILE%\AppData\Local\Temp\OnboardLogs" /stypes="app*4001*20171129*" /stext=" 04:.+((SYSTEM_STATE.+slice.+state.+changed )|(ment ac)|(multiple cpu faults)|(system.+state.+changed )|(\[timeout)|(PRM\|1\|D)|(kpr)|(kdp)|(train st.+moving)|(\|lc)|(penalty))"</v>
      </c>
      <c r="AG204" s="245" t="str">
        <f t="shared" si="72"/>
        <v>NW</v>
      </c>
      <c r="AH204" s="237" t="str">
        <f t="shared" ref="AH204" si="103">refinertdcruntimes&amp;" --tripid "&amp;A204&amp;" --locoid "&amp;B204&amp;" --swversion "&amp;C204&amp;" --startMP "&amp;D204&amp;" --initTime "&amp;TEXT(E204,"yyyy-mm-ddTHH:MM:SS")&amp;" --startdatetime "&amp;TEXT(F204,"yyyy-mm-ddTHH:MM:SS")&amp;" --delay "&amp;G204&amp;" --endMP "&amp;H204&amp;" --enddatetime "&amp;TEXT(I204,"yyyy-mm-ddTHH:MM:SS")&amp;" --enforcementcount "&amp;J204&amp;IF(outputrefinedruntimes," &gt;&gt;"&amp;RefinedRTDCRunTimesOutputFile,"")</f>
        <v>"%USERPROFILE%\Documents\GitHub\eaglep3\Utilities\RefineRTDCRunTimes.py" --tripid 844-28 --locoid 4001 --swversion DE.1.0.9.0 --startMP 204:439 --initTime 2017-11-28T19:58:48 --startdatetime 2017-11-28T21:43:24 --delay 56 --endMP 300:58939 --enddatetime 2017-11-28T21:54:16 --enforcementcount 0 &gt;&gt;%USERPROFILE%\Documents\GitHub\eaglep3-reporting\EC\2017-11-28-refined-times.txt</v>
      </c>
      <c r="AI204" s="239" t="str">
        <f t="shared" ref="AI204" si="104">"echo {""issue"":{""subject"":"""&amp;R204&amp;""",""project_id"":79,""tracker_id"":40,""status_id"":"&amp;redmine_status&amp;",""priority_id"":"&amp;redmine_priority&amp;",""assigned_to_id"":"&amp;redmine_assignee&amp;",""start_date"":"""&amp;TEXT(I204,"YYYY-mm-dd")&amp;""",""description"":"""&amp;AJ204&amp;""",""custom_fields"":[{""id"":1,""name"":""Subdivision"",""value"":"""&amp;AG204&amp;"""},{""id"":4,""name"":""Milepost"",""value"":"""&amp;Z204&amp;"""},{""id"":17,""name"":""Train ID"",""value"":"""&amp;A204&amp;"""},{""id"":16,""name"":""Locomotive ID"",""value"":"""&amp;B204&amp;"""},{""id"":130,""name"":""Impact"",""value"":"""&amp;AK204&amp;"""},{""id"":150,""name"":""Time of Event (Mountain Time)"",""value"":"""&amp;TEXT(I204,"hh:mm:ss")&amp;"""},{""id"":151,""name"":""Denver Issue ID"",""value"":"""&amp;"""},{""id"":178,""name"":""Operational Impact"",""value"":"""&amp;redmine_op_impact&amp;"""},{""id"":179,""name"":""Denver Segment Assigned"",""value"":"""&amp;AL204&amp;"""}]}}"&amp;"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{"issue":{"subject":"","project_id":79,"tracker_id":40,"status_id":1,"priority_id":2,"assigned_to_id":338,"start_date":"2017-11-28","description":"","custom_fields":[{"id":1,"name":"Subdivision","value":"NW"},{"id":4,"name":"Milepost","value":"0.0153"},{"id":17,"name":"Train ID","value":"844-28"},{"id":16,"name":"Locomotive ID","value":"4001"},{"id":130,"name":"Impact","value":""},{"id":150,"name":"Time of Event (Mountain Time)","value":"21:54:16"},{"id":151,"name":"Denver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4" s="232"/>
      <c r="AL204" s="232"/>
      <c r="AM204" s="241" t="str">
        <f t="shared" ref="AM204" si="105">"start /low /b "&amp;dls3logs&amp;" --loco "&amp;B204&amp;" --day "&amp;TEXT(F204,"YYYY-MM-DD")</f>
        <v>start /low /b %USERPROFILE%\Documents\GitHub\eaglep3\Utilities\DownloadLogsFromS3.py --loco 4001 --day 2017-11-28</v>
      </c>
      <c r="AN204" s="242" t="str">
        <f t="shared" ref="AN204" si="106">"echo {""issue"":{""subject"":"""&amp;R204&amp;""",""project_id"":30,""tracker_id"":4,""status_id"":"&amp;redmine_status_wcr&amp;",""priority_id"":"&amp;redmine_priority_wcr&amp;",""assigned_to_id"":"&amp;redmine_assignee_wcr&amp;",""start_date"":"""&amp;TEXT(I204-utc_offset/24,"YYYY-mm-dd")&amp;""",""description"":"""&amp;AJ204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04:54:16"},{"id":29,"name":"Sharepoint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231" t="str">
        <f t="shared" ref="AO204" si="107">"https://d0f6bd738d7f1b3e5a7ca70fe4ff75f0.us-east-1.aws.found.io/app/kibana#/discover/Steve-Slow-Train-Analysis-(2080s-and-2083s)?_g="&amp;"(refreshInterval:(display:Off,pause:!f,section:0,value:0),time:(from:'"&amp;TEXT(E204-1/24,"yyyy-MM-DDThh:mm:ss")&amp;utc_offset&amp;"00"&amp;"',mode:absolute,to:'"&amp;TEXT(I204+1/24,"yyyy-MM-DDThh:mm:ss")&amp;utc_offset&amp;"00"&amp;"'))&amp;_a=(columns:!('Message%20ID',Summary),filters:!(),index:'emp_*',interval:auto,query:"&amp;"(query_string:(analyze_wildcard:!t,query:'%22rtdc.l.rtdc."&amp;B204&amp;"%22')),sort:!(Time.ISO8601,asc))"</f>
        <v>https://d0f6bd738d7f1b3e5a7ca70fe4ff75f0.us-east-1.aws.found.io/app/kibana#/discover/Steve-Slow-Train-Analysis-(2080s-and-2083s)?_g=(refreshInterval:(display:Off,pause:!f,section:0,value:0),time:(from:'2017-11-28T18:58:48-0700',mode:absolute,to:'2017-11-28T22:54:16-0700'))&amp;_a=(columns:!('Message%20ID',Summary),filters:!(),index:'emp_*',interval:auto,query:(query_string:(analyze_wildcard:!t,query:'%22rtdc.l.rtdc.4001%22')),sort:!(Time.ISO8601,asc))</v>
      </c>
    </row>
    <row r="205" spans="1:91" s="20" customFormat="1" x14ac:dyDescent="0.25">
      <c r="A205" s="230" t="s">
        <v>865</v>
      </c>
      <c r="B205" s="226">
        <v>4002</v>
      </c>
      <c r="C205" s="228" t="s">
        <v>192</v>
      </c>
      <c r="D205" s="228" t="s">
        <v>1066</v>
      </c>
      <c r="E205" s="227">
        <v>43067.878078703703</v>
      </c>
      <c r="F205" s="227">
        <v>43067.881574074076</v>
      </c>
      <c r="G205" s="226">
        <v>70</v>
      </c>
      <c r="H205" s="228" t="s">
        <v>1067</v>
      </c>
      <c r="I205" s="227">
        <v>43067.890879629631</v>
      </c>
      <c r="J205" s="226">
        <v>0</v>
      </c>
      <c r="K205" s="238" t="str">
        <f t="shared" ref="K205:K239" si="108">IF(ISEVEN(B205),(B205-1)&amp;"/"&amp;B205,B205&amp;"/"&amp;(B205+1))</f>
        <v>4001/4002</v>
      </c>
      <c r="L205" s="246" t="str">
        <f>VLOOKUP(A205,'Trips&amp;Operators'!$C$1:$G$99911,5,FALSE)</f>
        <v>STAMBAUGH JAMES</v>
      </c>
      <c r="M205" s="225">
        <f t="shared" ref="M205:M239" si="109">I205-F205</f>
        <v>9.3055555553291924E-3</v>
      </c>
      <c r="N205" s="226">
        <f t="shared" si="85"/>
        <v>13.399999999674037</v>
      </c>
      <c r="O205" s="226"/>
      <c r="P205" s="226"/>
      <c r="Q205" s="229"/>
      <c r="R205" s="243"/>
      <c r="S205" s="250">
        <f t="shared" si="86"/>
        <v>1</v>
      </c>
      <c r="T205" s="243" t="str">
        <f t="shared" ref="T205:T239" si="110">IF(ISEVEN(LEFT(AD205,4)),"Southbound","NorthBound")</f>
        <v>NorthBound</v>
      </c>
      <c r="U205" s="247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49" t="str">
        <f t="shared" ref="V205:V239" si="111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-11-28T20:04:26-0700',mode:absolute,to:'2017-11-28T22:22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05" s="248" t="str">
        <f>IF(AA205&lt;VLOOKUP(AG205,Variables!$AC$3:$AD$8,2,FALSE),"Y","N")</f>
        <v>N</v>
      </c>
      <c r="X205" s="248">
        <f t="shared" si="102"/>
        <v>1</v>
      </c>
      <c r="Y205" s="248">
        <f t="shared" ref="Y205:Y239" si="112">RIGHT(D205,LEN(D205)-4)/10000</f>
        <v>4.5900000000000003E-2</v>
      </c>
      <c r="Z205" s="248">
        <f t="shared" ref="Z205:Z239" si="113">RIGHT(H205,LEN(H205)-4)/10000</f>
        <v>5.8933</v>
      </c>
      <c r="AA205" s="248">
        <f t="shared" ref="AA205:AA268" si="114">ABS(Z205-Y205)</f>
        <v>5.8474000000000004</v>
      </c>
      <c r="AB205" s="234" t="e">
        <f>VLOOKUP(A205,Enforcements!$C$7:$K$9,8,0)</f>
        <v>#N/A</v>
      </c>
      <c r="AC205" s="233" t="e">
        <f>VLOOKUP(A205,Enforcements!$C$7:$E$9,3,0)</f>
        <v>#N/A</v>
      </c>
      <c r="AD205" s="244">
        <f t="shared" ref="AD205:AD239" si="115">VALUE(LEFT(A205,LEN(A205)-3))</f>
        <v>845</v>
      </c>
      <c r="AE205" s="236" t="str">
        <f t="shared" ref="AE205:AE239" si="116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s3://rtdc.mdm.uploadarchive.raw/RTDC4002/ "%USERPROFILE%\AppData\Local\Temp\OnboardLogs"\RTDC4002\2017-11-28 --exclude "*" --recursive --include "*20171128*" &amp; "%USERPROFILE%\Documents\GitHub\mrs-test-scripts\Headless Mode &amp; Sideloading\WalkAndUnGZ.bat" "%USERPROFILE%\AppData\Local\Temp\OnboardLogs"\RTDC4002\2017-11-28 &amp; aws s3 cp s3://rtdc.mdm.uploadarchive.raw/RTDC4002/ "%USERPROFILE%\AppData\Local\Temp\OnboardLogs"\RTDC4002\2017-11-29 --exclude "*" --recursive --include "*20171129*" &amp; "%USERPROFILE%\Documents\GitHub\mrs-test-scripts\Headless Mode &amp; Sideloading\WalkAndUnGZ.bat" "%USERPROFILE%\AppData\Local\Temp\OnboardLogs"\RTDC4002\2017-11-29</v>
      </c>
      <c r="AF205" s="235" t="str">
        <f t="shared" ref="AF205:AF239" si="117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/stypes="app*4002*20171129*" /stext=" 04:.+((SYSTEM_STATE.+slice.+state.+changed )|(ment ac)|(multiple cpu faults)|(system.+state.+changed )|(\[timeout)|(PRM\|1\|D)|(kpr)|(kdp)|(train st.+moving)|(\|lc)|(penalty))"</v>
      </c>
      <c r="AG205" s="245" t="str">
        <f t="shared" ref="AG205:AG239" si="118">DetSubdiv(A205)</f>
        <v>NW</v>
      </c>
      <c r="AH205" s="237" t="str">
        <f t="shared" si="73"/>
        <v>"%USERPROFILE%\Documents\GitHub\eaglep3\Utilities\RefineRTDCRunTimes.py" --tripid 845-28 --locoid 4002 --swversion DE.1.0.9.0 --startMP 204:459 --initTime 2017-11-28T21:04:26 --startdatetime 2017-11-28T21:09:28 --delay 70 --endMP 300:58933 --enddatetime 2017-11-28T21:22:52 --enforcementcount 0 &gt;&gt;%USERPROFILE%\Documents\GitHub\eaglep3-reporting\EC\2017-11-28-refined-times.txt</v>
      </c>
      <c r="AI205" s="239" t="str">
        <f t="shared" si="74"/>
        <v>echo {"issue":{"subject":"","project_id":79,"tracker_id":40,"status_id":1,"priority_id":2,"assigned_to_id":338,"start_date":"2017-11-28","description":"","custom_fields":[{"id":1,"name":"Subdivision","value":"NW"},{"id":4,"name":"Milepost","value":"5.8933"},{"id":17,"name":"Train ID","value":"845-28"},{"id":16,"name":"Locomotive ID","value":"4002"},{"id":130,"name":"Impact","value":""},{"id":150,"name":"Time of Event (Mountain Time)","value":"21:22:52"},{"id":151,"name":"Denver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5" s="224"/>
      <c r="AK205" s="232"/>
      <c r="AL205" s="232"/>
      <c r="AM205" s="241" t="str">
        <f t="shared" si="75"/>
        <v>start /low /b %USERPROFILE%\Documents\GitHub\eaglep3\Utilities\DownloadLogsFromS3.py --loco 4002 --day 2017-11-28</v>
      </c>
      <c r="AN205" s="242" t="str">
        <f t="shared" si="76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04:22:52"},{"id":29,"name":"Sharepoint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231" t="str">
        <f t="shared" si="77"/>
        <v>https://d0f6bd738d7f1b3e5a7ca70fe4ff75f0.us-east-1.aws.found.io/app/kibana#/discover/Steve-Slow-Train-Analysis-(2080s-and-2083s)?_g=(refreshInterval:(display:Off,pause:!f,section:0,value:0),time:(from:'2017-11-28T20:04:26-0700',mode:absolute,to:'2017-11-28T22:22:52-0700'))&amp;_a=(columns:!('Message%20ID',Summary),filters:!(),index:'emp_*',interval:auto,query:(query_string:(analyze_wildcard:!t,query:'%22rtdc.l.rtdc.4002%22')),sort:!(Time.ISO8601,asc))</v>
      </c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0" customFormat="1" x14ac:dyDescent="0.25">
      <c r="A206" s="230" t="s">
        <v>663</v>
      </c>
      <c r="B206" s="226">
        <v>4001</v>
      </c>
      <c r="C206" s="228" t="s">
        <v>192</v>
      </c>
      <c r="D206" s="228" t="s">
        <v>1042</v>
      </c>
      <c r="E206" s="227">
        <v>43067.933611111112</v>
      </c>
      <c r="F206" s="227">
        <v>43067.945833333331</v>
      </c>
      <c r="G206" s="226">
        <v>50</v>
      </c>
      <c r="H206" s="228" t="s">
        <v>1068</v>
      </c>
      <c r="I206" s="227">
        <v>43067.953043981484</v>
      </c>
      <c r="J206" s="226">
        <v>0</v>
      </c>
      <c r="K206" s="238" t="str">
        <f t="shared" si="108"/>
        <v>4001/4002</v>
      </c>
      <c r="L206" s="246" t="str">
        <f>VLOOKUP(A206,'Trips&amp;Operators'!$C$1:$G$99911,5,FALSE)</f>
        <v>STAMBAUGH JAMES</v>
      </c>
      <c r="M206" s="225">
        <f t="shared" si="109"/>
        <v>7.2106481529772282E-3</v>
      </c>
      <c r="N206" s="226">
        <f t="shared" si="85"/>
        <v>10.383333340287209</v>
      </c>
      <c r="O206" s="226"/>
      <c r="P206" s="226"/>
      <c r="Q206" s="229"/>
      <c r="R206" s="243"/>
      <c r="S206" s="250">
        <f t="shared" si="86"/>
        <v>1</v>
      </c>
      <c r="T206" s="243" t="str">
        <f t="shared" si="110"/>
        <v>Southbound</v>
      </c>
      <c r="U206" s="247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49" t="str">
        <f t="shared" si="111"/>
        <v>https://d0f6bd738d7f1b3e5a7ca70fe4ff75f0.us-east-1.aws.found.io/app/kibana#/discover/Steve-Slow-Train-Analysis-(2080s-and-2083s)?_g=(refreshInterval:(display:Off,pause:!f,section:0,value:0),time:(from:'2017-11-28T21:24:24-0700',mode:absolute,to:'2017-11-28T23:52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06" s="248" t="str">
        <f>IF(AA206&lt;VLOOKUP(AG206,Variables!$AC$3:$AD$8,2,FALSE),"Y","N")</f>
        <v>Y</v>
      </c>
      <c r="X206" s="248">
        <f t="shared" si="102"/>
        <v>1</v>
      </c>
      <c r="Y206" s="248">
        <f t="shared" si="112"/>
        <v>5.8624000000000001</v>
      </c>
      <c r="Z206" s="248">
        <f t="shared" si="113"/>
        <v>0.43580000000000002</v>
      </c>
      <c r="AA206" s="248">
        <f t="shared" si="114"/>
        <v>5.4265999999999996</v>
      </c>
      <c r="AB206" s="234" t="e">
        <f>VLOOKUP(A206,Enforcements!$C$7:$K$9,8,0)</f>
        <v>#N/A</v>
      </c>
      <c r="AC206" s="233" t="e">
        <f>VLOOKUP(A206,Enforcements!$C$7:$E$9,3,0)</f>
        <v>#N/A</v>
      </c>
      <c r="AD206" s="244">
        <f t="shared" si="115"/>
        <v>846</v>
      </c>
      <c r="AE206" s="236" t="str">
        <f t="shared" si="116"/>
        <v>aws s3 cp s3://rtdc.mdm.uploadarchive.raw/RTDC4001/ "%USERPROFILE%\AppData\Local\Temp\OnboardLogs"\RTDC4001\2017-11-28 --exclude "*" --recursive --include "*20171128*" &amp; "%USERPROFILE%\Documents\GitHub\mrs-test-scripts\Headless Mode &amp; Sideloading\WalkAndUnGZ.bat" "%USERPROFILE%\AppData\Local\Temp\OnboardLogs"\RTDC4001\2017-11-28 &amp; aws s3 cp s3://rtdc.mdm.uploadarchive.raw/RTDC4001/ "%USERPROFILE%\AppData\Local\Temp\OnboardLogs"\RTDC4001\2017-11-29 --exclude "*" --recursive --include "*20171129*" &amp; "%USERPROFILE%\Documents\GitHub\mrs-test-scripts\Headless Mode &amp; Sideloading\WalkAndUnGZ.bat" "%USERPROFILE%\AppData\Local\Temp\OnboardLogs"\RTDC4001\2017-11-29</v>
      </c>
      <c r="AF206" s="235" t="str">
        <f t="shared" si="117"/>
        <v>"C:\Program Files (x86)\AstroGrep\AstroGrep.exe" /e /r /s /spath="%USERPROFILE%\AppData\Local\Temp\OnboardLogs" /stypes="app*4001*20171129*" /stext=" 05:.+((SYSTEM_STATE.+slice.+state.+changed )|(ment ac)|(multiple cpu faults)|(system.+state.+changed )|(\[timeout)|(PRM\|1\|D)|(kpr)|(kdp)|(train st.+moving)|(\|lc)|(penalty))"</v>
      </c>
      <c r="AG206" s="245" t="str">
        <f t="shared" si="118"/>
        <v>NW</v>
      </c>
      <c r="AH206" s="237" t="str">
        <f t="shared" si="73"/>
        <v>"%USERPROFILE%\Documents\GitHub\eaglep3\Utilities\RefineRTDCRunTimes.py" --tripid 846-28 --locoid 4001 --swversion DE.1.0.9.0 --startMP 300:58624 --initTime 2017-11-28T22:24:24 --startdatetime 2017-11-28T22:42:00 --delay 50 --endMP 204:4358 --enddatetime 2017-11-28T22:52:23 --enforcementcount 0 &gt;&gt;%USERPROFILE%\Documents\GitHub\eaglep3-reporting\EC\2017-11-28-refined-times.txt</v>
      </c>
      <c r="AI206" s="239" t="str">
        <f t="shared" si="74"/>
        <v>echo {"issue":{"subject":"","project_id":79,"tracker_id":40,"status_id":1,"priority_id":2,"assigned_to_id":338,"start_date":"2017-11-28","description":"","custom_fields":[{"id":1,"name":"Subdivision","value":"NW"},{"id":4,"name":"Milepost","value":"0.4358"},{"id":17,"name":"Train ID","value":"846-28"},{"id":16,"name":"Locomotive ID","value":"4001"},{"id":130,"name":"Impact","value":""},{"id":150,"name":"Time of Event (Mountain Time)","value":"22:52:23"},{"id":151,"name":"Denver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6" s="224"/>
      <c r="AK206" s="232"/>
      <c r="AL206" s="232"/>
      <c r="AM206" s="241" t="str">
        <f t="shared" si="75"/>
        <v>start /low /b %USERPROFILE%\Documents\GitHub\eaglep3\Utilities\DownloadLogsFromS3.py --loco 4001 --day 2017-11-28</v>
      </c>
      <c r="AN206" s="242" t="str">
        <f t="shared" si="76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05:52:23"},{"id":29,"name":"Sharepoint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231" t="str">
        <f t="shared" si="77"/>
        <v>https://d0f6bd738d7f1b3e5a7ca70fe4ff75f0.us-east-1.aws.found.io/app/kibana#/discover/Steve-Slow-Train-Analysis-(2080s-and-2083s)?_g=(refreshInterval:(display:Off,pause:!f,section:0,value:0),time:(from:'2017-11-28T21:24:24-0700',mode:absolute,to:'2017-11-28T23:52:23-0700'))&amp;_a=(columns:!('Message%20ID',Summary),filters:!(),index:'emp_*',interval:auto,query:(query_string:(analyze_wildcard:!t,query:'%22rtdc.l.rtdc.4001%22')),sort:!(Time.ISO8601,asc))</v>
      </c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0" customFormat="1" x14ac:dyDescent="0.25">
      <c r="A207" s="230" t="s">
        <v>871</v>
      </c>
      <c r="B207" s="226">
        <v>4002</v>
      </c>
      <c r="C207" s="228" t="s">
        <v>192</v>
      </c>
      <c r="D207" s="228" t="s">
        <v>628</v>
      </c>
      <c r="E207" s="227">
        <v>43067.920011574075</v>
      </c>
      <c r="F207" s="227">
        <v>43067.923194444447</v>
      </c>
      <c r="G207" s="226">
        <v>58</v>
      </c>
      <c r="H207" s="228" t="s">
        <v>1067</v>
      </c>
      <c r="I207" s="227">
        <v>43067.932604166665</v>
      </c>
      <c r="J207" s="226">
        <v>0</v>
      </c>
      <c r="K207" s="238" t="str">
        <f t="shared" si="108"/>
        <v>4001/4002</v>
      </c>
      <c r="L207" s="246" t="str">
        <f>VLOOKUP(A207,'Trips&amp;Operators'!$C$1:$G$99911,5,FALSE)</f>
        <v>STAMBAUGH JAMES</v>
      </c>
      <c r="M207" s="225">
        <f t="shared" si="109"/>
        <v>9.4097222172422335E-3</v>
      </c>
      <c r="N207" s="226">
        <f t="shared" si="85"/>
        <v>13.549999992828816</v>
      </c>
      <c r="O207" s="226"/>
      <c r="P207" s="226"/>
      <c r="Q207" s="229"/>
      <c r="R207" s="243"/>
      <c r="S207" s="250">
        <f t="shared" si="86"/>
        <v>1</v>
      </c>
      <c r="T207" s="243" t="str">
        <f t="shared" si="110"/>
        <v>NorthBound</v>
      </c>
      <c r="U207" s="247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49" t="str">
        <f t="shared" si="111"/>
        <v>https://d0f6bd738d7f1b3e5a7ca70fe4ff75f0.us-east-1.aws.found.io/app/kibana#/discover/Steve-Slow-Train-Analysis-(2080s-and-2083s)?_g=(refreshInterval:(display:Off,pause:!f,section:0,value:0),time:(from:'2017-11-28T21:04:49-0700',mode:absolute,to:'2017-11-28T23:22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07" s="248" t="str">
        <f>IF(AA207&lt;VLOOKUP(AG207,Variables!$AC$3:$AD$8,2,FALSE),"Y","N")</f>
        <v>N</v>
      </c>
      <c r="X207" s="248">
        <f t="shared" si="102"/>
        <v>1</v>
      </c>
      <c r="Y207" s="248">
        <f t="shared" si="112"/>
        <v>9.6699999999999994E-2</v>
      </c>
      <c r="Z207" s="248">
        <f t="shared" si="113"/>
        <v>5.8933</v>
      </c>
      <c r="AA207" s="248">
        <f t="shared" si="114"/>
        <v>5.7965999999999998</v>
      </c>
      <c r="AB207" s="234" t="e">
        <f>VLOOKUP(A207,Enforcements!$C$7:$K$9,8,0)</f>
        <v>#N/A</v>
      </c>
      <c r="AC207" s="233" t="e">
        <f>VLOOKUP(A207,Enforcements!$C$7:$E$9,3,0)</f>
        <v>#N/A</v>
      </c>
      <c r="AD207" s="244">
        <f t="shared" si="115"/>
        <v>847</v>
      </c>
      <c r="AE207" s="236" t="str">
        <f t="shared" si="116"/>
        <v>aws s3 cp s3://rtdc.mdm.uploadarchive.raw/RTDC4002/ "%USERPROFILE%\AppData\Local\Temp\OnboardLogs"\RTDC4002\2017-11-28 --exclude "*" --recursive --include "*20171128*" &amp; "%USERPROFILE%\Documents\GitHub\mrs-test-scripts\Headless Mode &amp; Sideloading\WalkAndUnGZ.bat" "%USERPROFILE%\AppData\Local\Temp\OnboardLogs"\RTDC4002\2017-11-28 &amp; aws s3 cp s3://rtdc.mdm.uploadarchive.raw/RTDC4002/ "%USERPROFILE%\AppData\Local\Temp\OnboardLogs"\RTDC4002\2017-11-29 --exclude "*" --recursive --include "*20171129*" &amp; "%USERPROFILE%\Documents\GitHub\mrs-test-scripts\Headless Mode &amp; Sideloading\WalkAndUnGZ.bat" "%USERPROFILE%\AppData\Local\Temp\OnboardLogs"\RTDC4002\2017-11-29</v>
      </c>
      <c r="AF207" s="235" t="str">
        <f t="shared" si="117"/>
        <v>"C:\Program Files (x86)\AstroGrep\AstroGrep.exe" /e /r /s /spath="%USERPROFILE%\AppData\Local\Temp\OnboardLogs" /stypes="app*4002*20171129*" /stext=" 05:.+((SYSTEM_STATE.+slice.+state.+changed )|(ment ac)|(multiple cpu faults)|(system.+state.+changed )|(\[timeout)|(PRM\|1\|D)|(kpr)|(kdp)|(train st.+moving)|(\|lc)|(penalty))"</v>
      </c>
      <c r="AG207" s="245" t="str">
        <f t="shared" si="118"/>
        <v>NW</v>
      </c>
      <c r="AH207" s="237" t="str">
        <f t="shared" si="73"/>
        <v>"%USERPROFILE%\Documents\GitHub\eaglep3\Utilities\RefineRTDCRunTimes.py" --tripid 847-28 --locoid 4002 --swversion DE.1.0.9.0 --startMP 204:967 --initTime 2017-11-28T22:04:49 --startdatetime 2017-11-28T22:09:24 --delay 58 --endMP 300:58933 --enddatetime 2017-11-28T22:22:57 --enforcementcount 0 &gt;&gt;%USERPROFILE%\Documents\GitHub\eaglep3-reporting\EC\2017-11-28-refined-times.txt</v>
      </c>
      <c r="AI207" s="239" t="str">
        <f t="shared" si="74"/>
        <v>echo {"issue":{"subject":"","project_id":79,"tracker_id":40,"status_id":1,"priority_id":2,"assigned_to_id":338,"start_date":"2017-11-28","description":"","custom_fields":[{"id":1,"name":"Subdivision","value":"NW"},{"id":4,"name":"Milepost","value":"5.8933"},{"id":17,"name":"Train ID","value":"847-28"},{"id":16,"name":"Locomotive ID","value":"4002"},{"id":130,"name":"Impact","value":""},{"id":150,"name":"Time of Event (Mountain Time)","value":"22:22:57"},{"id":151,"name":"Denver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7" s="224"/>
      <c r="AK207" s="232"/>
      <c r="AL207" s="232"/>
      <c r="AM207" s="241" t="str">
        <f t="shared" si="75"/>
        <v>start /low /b %USERPROFILE%\Documents\GitHub\eaglep3\Utilities\DownloadLogsFromS3.py --loco 4002 --day 2017-11-28</v>
      </c>
      <c r="AN207" s="242" t="str">
        <f t="shared" si="76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05:22:57"},{"id":29,"name":"Sharepoint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231" t="str">
        <f t="shared" si="77"/>
        <v>https://d0f6bd738d7f1b3e5a7ca70fe4ff75f0.us-east-1.aws.found.io/app/kibana#/discover/Steve-Slow-Train-Analysis-(2080s-and-2083s)?_g=(refreshInterval:(display:Off,pause:!f,section:0,value:0),time:(from:'2017-11-28T21:04:49-0700',mode:absolute,to:'2017-11-28T23:22:57-0700'))&amp;_a=(columns:!('Message%20ID',Summary),filters:!(),index:'emp_*',interval:auto,query:(query_string:(analyze_wildcard:!t,query:'%22rtdc.l.rtdc.4002%22')),sort:!(Time.ISO8601,asc))</v>
      </c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s="20" customFormat="1" x14ac:dyDescent="0.25">
      <c r="A208" s="230" t="s">
        <v>875</v>
      </c>
      <c r="B208" s="226">
        <v>4002</v>
      </c>
      <c r="C208" s="228" t="s">
        <v>192</v>
      </c>
      <c r="D208" s="228" t="s">
        <v>1069</v>
      </c>
      <c r="E208" s="227">
        <v>43067.961747685185</v>
      </c>
      <c r="F208" s="227">
        <v>43067.964826388888</v>
      </c>
      <c r="G208" s="226">
        <v>63</v>
      </c>
      <c r="H208" s="228" t="s">
        <v>499</v>
      </c>
      <c r="I208" s="227">
        <v>43067.973749999997</v>
      </c>
      <c r="J208" s="226">
        <v>0</v>
      </c>
      <c r="K208" s="238" t="str">
        <f t="shared" si="108"/>
        <v>4001/4002</v>
      </c>
      <c r="L208" s="246" t="str">
        <f>VLOOKUP(A208,'Trips&amp;Operators'!$C$1:$G$99911,5,FALSE)</f>
        <v>STAMBAUGH JAMES</v>
      </c>
      <c r="M208" s="225">
        <f t="shared" si="109"/>
        <v>8.923611108912155E-3</v>
      </c>
      <c r="N208" s="226">
        <f t="shared" si="85"/>
        <v>12.849999996833503</v>
      </c>
      <c r="O208" s="226"/>
      <c r="P208" s="226"/>
      <c r="Q208" s="229"/>
      <c r="R208" s="243"/>
      <c r="S208" s="250">
        <f t="shared" si="86"/>
        <v>1</v>
      </c>
      <c r="T208" s="243" t="str">
        <f t="shared" si="110"/>
        <v>NorthBound</v>
      </c>
      <c r="U208" s="247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49" t="str">
        <f t="shared" si="111"/>
        <v>https://d0f6bd738d7f1b3e5a7ca70fe4ff75f0.us-east-1.aws.found.io/app/kibana#/discover/Steve-Slow-Train-Analysis-(2080s-and-2083s)?_g=(refreshInterval:(display:Off,pause:!f,section:0,value:0),time:(from:'2017-11-28T22:04:55-0700',mode:absolute,to:'2017-11-29T00:22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08" s="248" t="str">
        <f>IF(AA208&lt;VLOOKUP(AG208,Variables!$AC$3:$AD$8,2,FALSE),"Y","N")</f>
        <v>N</v>
      </c>
      <c r="X208" s="248">
        <f t="shared" si="102"/>
        <v>2</v>
      </c>
      <c r="Y208" s="248">
        <f t="shared" si="112"/>
        <v>9.7600000000000006E-2</v>
      </c>
      <c r="Z208" s="248">
        <f t="shared" si="113"/>
        <v>5.8925999999999998</v>
      </c>
      <c r="AA208" s="248">
        <f t="shared" si="114"/>
        <v>5.7949999999999999</v>
      </c>
      <c r="AB208" s="234" t="e">
        <f>VLOOKUP(A208,Enforcements!$C$7:$K$9,8,0)</f>
        <v>#N/A</v>
      </c>
      <c r="AC208" s="233" t="e">
        <f>VLOOKUP(A208,Enforcements!$C$7:$E$9,3,0)</f>
        <v>#N/A</v>
      </c>
      <c r="AD208" s="244">
        <f t="shared" si="115"/>
        <v>849</v>
      </c>
      <c r="AE208" s="236" t="str">
        <f t="shared" si="116"/>
        <v>aws s3 cp s3://rtdc.mdm.uploadarchive.raw/RTDC4002/ "%USERPROFILE%\AppData\Local\Temp\OnboardLogs"\RTDC4002\2017-11-28 --exclude "*" --recursive --include "*20171128*" &amp; "%USERPROFILE%\Documents\GitHub\mrs-test-scripts\Headless Mode &amp; Sideloading\WalkAndUnGZ.bat" "%USERPROFILE%\AppData\Local\Temp\OnboardLogs"\RTDC4002\2017-11-28 &amp; aws s3 cp s3://rtdc.mdm.uploadarchive.raw/RTDC4002/ "%USERPROFILE%\AppData\Local\Temp\OnboardLogs"\RTDC4002\2017-11-29 --exclude "*" --recursive --include "*20171129*" &amp; "%USERPROFILE%\Documents\GitHub\mrs-test-scripts\Headless Mode &amp; Sideloading\WalkAndUnGZ.bat" "%USERPROFILE%\AppData\Local\Temp\OnboardLogs"\RTDC4002\2017-11-29</v>
      </c>
      <c r="AF208" s="235" t="str">
        <f t="shared" si="117"/>
        <v>"C:\Program Files (x86)\AstroGrep\AstroGrep.exe" /e /r /s /spath="%USERPROFILE%\AppData\Local\Temp\OnboardLogs" /stypes="app*4002*20171129*" /stext=" 06:.+((SYSTEM_STATE.+slice.+state.+changed )|(ment ac)|(multiple cpu faults)|(system.+state.+changed )|(\[timeout)|(PRM\|1\|D)|(kpr)|(kdp)|(train st.+moving)|(\|lc)|(penalty))"</v>
      </c>
      <c r="AG208" s="245" t="str">
        <f t="shared" si="118"/>
        <v>NW</v>
      </c>
      <c r="AH208" s="237" t="str">
        <f t="shared" si="73"/>
        <v>"%USERPROFILE%\Documents\GitHub\eaglep3\Utilities\RefineRTDCRunTimes.py" --tripid 849-28 --locoid 4002 --swversion DE.1.0.9.0 --startMP 204:976 --initTime 2017-11-28T23:04:55 --startdatetime 2017-11-28T23:09:21 --delay 63 --endMP 300:58926 --enddatetime 2017-11-28T23:22:12 --enforcementcount 0 &gt;&gt;%USERPROFILE%\Documents\GitHub\eaglep3-reporting\EC\2017-11-28-refined-times.txt</v>
      </c>
      <c r="AI208" s="239" t="str">
        <f t="shared" si="74"/>
        <v>echo {"issue":{"subject":"","project_id":79,"tracker_id":40,"status_id":1,"priority_id":2,"assigned_to_id":338,"start_date":"2017-11-28","description":"","custom_fields":[{"id":1,"name":"Subdivision","value":"NW"},{"id":4,"name":"Milepost","value":"5.8926"},{"id":17,"name":"Train ID","value":"849-28"},{"id":16,"name":"Locomotive ID","value":"4002"},{"id":130,"name":"Impact","value":""},{"id":150,"name":"Time of Event (Mountain Time)","value":"23:22:12"},{"id":151,"name":"Denver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8" s="224"/>
      <c r="AK208" s="232"/>
      <c r="AL208" s="232"/>
      <c r="AM208" s="241" t="str">
        <f t="shared" si="75"/>
        <v>start /low /b %USERPROFILE%\Documents\GitHub\eaglep3\Utilities\DownloadLogsFromS3.py --loco 4002 --day 2017-11-28</v>
      </c>
      <c r="AN208" s="242" t="str">
        <f t="shared" si="76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06:22:12"},{"id":29,"name":"Sharepoint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231" t="str">
        <f t="shared" si="77"/>
        <v>https://d0f6bd738d7f1b3e5a7ca70fe4ff75f0.us-east-1.aws.found.io/app/kibana#/discover/Steve-Slow-Train-Analysis-(2080s-and-2083s)?_g=(refreshInterval:(display:Off,pause:!f,section:0,value:0),time:(from:'2017-11-28T22:04:55-0700',mode:absolute,to:'2017-11-29T00:22:12-0700'))&amp;_a=(columns:!('Message%20ID',Summary),filters:!(),index:'emp_*',interval:auto,query:(query_string:(analyze_wildcard:!t,query:'%22rtdc.l.rtdc.4002%22')),sort:!(Time.ISO8601,asc))</v>
      </c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0" customFormat="1" x14ac:dyDescent="0.25">
      <c r="A209" s="230" t="s">
        <v>666</v>
      </c>
      <c r="B209" s="226">
        <v>4035</v>
      </c>
      <c r="C209" s="228" t="s">
        <v>192</v>
      </c>
      <c r="D209" s="228" t="s">
        <v>616</v>
      </c>
      <c r="E209" s="227">
        <v>43067.116516203707</v>
      </c>
      <c r="F209" s="227">
        <v>43067.119745370372</v>
      </c>
      <c r="G209" s="226">
        <v>77</v>
      </c>
      <c r="H209" s="228" t="s">
        <v>473</v>
      </c>
      <c r="I209" s="227">
        <v>43067.1247337963</v>
      </c>
      <c r="J209" s="226">
        <v>0</v>
      </c>
      <c r="K209" s="238" t="str">
        <f t="shared" si="108"/>
        <v>4035/4036</v>
      </c>
      <c r="L209" s="246" t="str">
        <f>VLOOKUP(A209,'Trips&amp;Operators'!$C$1:$G$99911,5,FALSE)</f>
        <v>ROCHA YAOTL</v>
      </c>
      <c r="M209" s="225">
        <f t="shared" si="109"/>
        <v>4.9884259278769605E-3</v>
      </c>
      <c r="N209" s="226">
        <f t="shared" si="85"/>
        <v>7.1833333361428231</v>
      </c>
      <c r="O209" s="226"/>
      <c r="P209" s="226"/>
      <c r="Q209" s="229"/>
      <c r="R209" s="243"/>
      <c r="S209" s="250">
        <f t="shared" si="86"/>
        <v>1</v>
      </c>
      <c r="T209" s="243" t="str">
        <f t="shared" si="110"/>
        <v>Southbound</v>
      </c>
      <c r="U209" s="247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249" t="str">
        <f t="shared" si="111"/>
        <v>https://d0f6bd738d7f1b3e5a7ca70fe4ff75f0.us-east-1.aws.found.io/app/kibana#/discover/Steve-Slow-Train-Analysis-(2080s-and-2083s)?_g=(refreshInterval:(display:Off,pause:!f,section:0,value:0),time:(from:'2017-11-28T01:47:47-0700',mode:absolute,to:'2017-11-28T03:59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09" s="248" t="str">
        <f>IF(AA209&lt;VLOOKUP(AG209,Variables!$AC$3:$AD$8,2,FALSE),"Y","N")</f>
        <v>Y</v>
      </c>
      <c r="X209" s="248">
        <f t="shared" si="102"/>
        <v>-549</v>
      </c>
      <c r="Y209" s="248">
        <f t="shared" si="112"/>
        <v>2.2387000000000001</v>
      </c>
      <c r="Z209" s="248">
        <f t="shared" si="113"/>
        <v>1.49E-2</v>
      </c>
      <c r="AA209" s="248">
        <f t="shared" si="114"/>
        <v>2.2238000000000002</v>
      </c>
      <c r="AB209" s="234" t="e">
        <f>VLOOKUP(A209,Enforcements!$C$7:$K$9,8,0)</f>
        <v>#N/A</v>
      </c>
      <c r="AC209" s="233" t="e">
        <f>VLOOKUP(A209,Enforcements!$C$7:$E$9,3,0)</f>
        <v>#N/A</v>
      </c>
      <c r="AD209" s="244">
        <f t="shared" si="115"/>
        <v>300</v>
      </c>
      <c r="AE209" s="236" t="str">
        <f t="shared" si="116"/>
        <v>aws s3 cp s3://rtdc.mdm.uploadarchive.raw/RTDC4035/ "%USERPROFILE%\AppData\Local\Temp\OnboardLogs"\RTDC4035\2017-11-28 --exclude "*" --recursive --include "*20171128*" &amp; "%USERPROFILE%\Documents\GitHub\mrs-test-scripts\Headless Mode &amp; Sideloading\WalkAndUnGZ.bat" "%USERPROFILE%\AppData\Local\Temp\OnboardLogs"\RTDC4035\2017-11-28 &amp; aws s3 cp s3://rtdc.mdm.uploadarchive.raw/RTDC4035/ "%USERPROFILE%\AppData\Local\Temp\OnboardLogs"\RTDC4035\2017-11-29 --exclude "*" --recursive --include "*20171129*" &amp; "%USERPROFILE%\Documents\GitHub\mrs-test-scripts\Headless Mode &amp; Sideloading\WalkAndUnGZ.bat" "%USERPROFILE%\AppData\Local\Temp\OnboardLogs"\RTDC4035\2017-11-29</v>
      </c>
      <c r="AF209" s="235" t="str">
        <f t="shared" si="117"/>
        <v>"C:\Program Files (x86)\AstroGrep\AstroGrep.exe" /e /r /s /spath="%USERPROFILE%\AppData\Local\Temp\OnboardLogs" /stypes="app*4035*20171128*" /stext=" 09:.+((SYSTEM_STATE.+slice.+state.+changed )|(ment ac)|(multiple cpu faults)|(system.+state.+changed )|(\[timeout)|(PRM\|1\|D)|(kpr)|(kdp)|(train st.+moving)|(\|lc)|(penalty))"</v>
      </c>
      <c r="AG209" s="245" t="str">
        <f t="shared" si="118"/>
        <v>Other</v>
      </c>
      <c r="AH209" s="237" t="str">
        <f t="shared" ref="AH209:AH239" si="119">refinertdcruntimes&amp;" --tripid "&amp;A209&amp;" --locoid "&amp;B209&amp;" --swversion "&amp;C209&amp;" --startMP "&amp;D209&amp;" --initTime "&amp;TEXT(E209,"yyyy-mm-ddTHH:MM:SS")&amp;" --startdatetime "&amp;TEXT(F209,"yyyy-mm-ddTHH:MM:SS")&amp;" --delay "&amp;G209&amp;" --endMP "&amp;H209&amp;" --enddatetime "&amp;TEXT(I209,"yyyy-mm-ddTHH:MM:SS")&amp;" --enforcementcount "&amp;J209&amp;IF(outputrefinedruntimes," &gt;&gt;"&amp;RefinedRTDCRunTimesOutputFile,"")</f>
        <v>"%USERPROFILE%\Documents\GitHub\eaglep3\Utilities\RefineRTDCRunTimes.py" --tripid 300-28 --locoid 4035 --swversion DE.1.0.9.0 --startMP 300:22387 --initTime 2017-11-28T02:47:47 --startdatetime 2017-11-28T02:52:26 --delay 77 --endMP 204:149 --enddatetime 2017-11-28T02:59:37 --enforcementcount 0 &gt;&gt;%USERPROFILE%\Documents\GitHub\eaglep3-reporting\EC\2017-11-28-refined-times.txt</v>
      </c>
      <c r="AI209" s="239" t="str">
        <f t="shared" ref="AI209:AI239" si="120">"echo {""issue"":{""subject"":"""&amp;R209&amp;""",""project_id"":79,""tracker_id"":40,""status_id"":"&amp;redmine_status&amp;",""priority_id"":"&amp;redmine_priority&amp;",""assigned_to_id"":"&amp;redmine_assignee&amp;",""start_date"":"""&amp;TEXT(I209,"YYYY-mm-dd")&amp;""",""description"":"""&amp;AJ209&amp;""",""custom_fields"":[{""id"":1,""name"":""Subdivision"",""value"":"""&amp;AG209&amp;"""},{""id"":4,""name"":""Milepost"",""value"":"""&amp;Z209&amp;"""},{""id"":17,""name"":""Train ID"",""value"":"""&amp;A209&amp;"""},{""id"":16,""name"":""Locomotive ID"",""value"":"""&amp;B209&amp;"""},{""id"":130,""name"":""Impact"",""value"":"""&amp;AK209&amp;"""},{""id"":150,""name"":""Time of Event (Mountain Time)"",""value"":"""&amp;TEXT(I209,"hh:mm:ss")&amp;"""},{""id"":151,""name"":""Denver Issue ID"",""value"":"""&amp;"""},{""id"":178,""name"":""Operational Impact"",""value"":"""&amp;redmine_op_impact&amp;"""},{""id"":179,""name"":""Denver Segment Assigned"",""value"":"""&amp;AL209&amp;"""}]}}"&amp;"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{"issue":{"subject":"","project_id":79,"tracker_id":40,"status_id":1,"priority_id":2,"assigned_to_id":338,"start_date":"2017-11-28","description":"","custom_fields":[{"id":1,"name":"Subdivision","value":"Other"},{"id":4,"name":"Milepost","value":"0.0149"},{"id":17,"name":"Train ID","value":"300-28"},{"id":16,"name":"Locomotive ID","value":"4035"},{"id":130,"name":"Impact","value":""},{"id":150,"name":"Time of Event (Mountain Time)","value":"02:59:37"},{"id":151,"name":"Denver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9" s="224"/>
      <c r="AK209" s="232"/>
      <c r="AL209" s="232"/>
      <c r="AM209" s="241" t="str">
        <f t="shared" ref="AM209:AM239" si="121">"start /low /b "&amp;dls3logs&amp;" --loco "&amp;B209&amp;" --day "&amp;TEXT(F209,"YYYY-MM-DD")</f>
        <v>start /low /b %USERPROFILE%\Documents\GitHub\eaglep3\Utilities\DownloadLogsFromS3.py --loco 4035 --day 2017-11-28</v>
      </c>
      <c r="AN209" s="242" t="str">
        <f t="shared" ref="AN209:AN239" si="122">"echo {""issue"":{""subject"":"""&amp;R209&amp;""",""project_id"":30,""tracker_id"":4,""status_id"":"&amp;redmine_status_wcr&amp;",""priority_id"":"&amp;redmine_priority_wcr&amp;",""assigned_to_id"":"&amp;redmine_assignee_wcr&amp;",""start_date"":"""&amp;TEXT(I209-utc_offset/24,"YYYY-mm-dd")&amp;""",""description"":"""&amp;AJ209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09:59:37"},{"id":29,"name":"Sharepoint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231" t="str">
        <f t="shared" ref="AO209:AO239" si="123">"https://d0f6bd738d7f1b3e5a7ca70fe4ff75f0.us-east-1.aws.found.io/app/kibana#/discover/Steve-Slow-Train-Analysis-(2080s-and-2083s)?_g="&amp;"(refreshInterval:(display:Off,pause:!f,section:0,value:0),time:(from:'"&amp;TEXT(E209-1/24,"yyyy-MM-DDThh:mm:ss")&amp;utc_offset&amp;"00"&amp;"',mode:absolute,to:'"&amp;TEXT(I209+1/24,"yyyy-MM-DDThh:mm:ss")&amp;utc_offset&amp;"00"&amp;"'))&amp;_a=(columns:!('Message%20ID',Summary),filters:!(),index:'emp_*',interval:auto,query:"&amp;"(query_string:(analyze_wildcard:!t,query:'%22rtdc.l.rtdc."&amp;B209&amp;"%22')),sort:!(Time.ISO8601,asc))"</f>
        <v>https://d0f6bd738d7f1b3e5a7ca70fe4ff75f0.us-east-1.aws.found.io/app/kibana#/discover/Steve-Slow-Train-Analysis-(2080s-and-2083s)?_g=(refreshInterval:(display:Off,pause:!f,section:0,value:0),time:(from:'2017-11-28T01:47:47-0700',mode:absolute,to:'2017-11-28T03:59:37-0700'))&amp;_a=(columns:!('Message%20ID',Summary),filters:!(),index:'emp_*',interval:auto,query:(query_string:(analyze_wildcard:!t,query:'%22rtdc.l.rtdc.4035%22')),sort:!(Time.ISO8601,asc))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0" customFormat="1" x14ac:dyDescent="0.25">
      <c r="A210" s="230" t="s">
        <v>846</v>
      </c>
      <c r="B210" s="226">
        <v>4040</v>
      </c>
      <c r="C210" s="228" t="s">
        <v>192</v>
      </c>
      <c r="D210" s="228" t="s">
        <v>580</v>
      </c>
      <c r="E210" s="227">
        <v>43067.776296296295</v>
      </c>
      <c r="F210" s="227">
        <v>43067.777673611112</v>
      </c>
      <c r="G210" s="226">
        <v>51</v>
      </c>
      <c r="H210" s="228" t="s">
        <v>506</v>
      </c>
      <c r="I210" s="227">
        <v>43067.783761574072</v>
      </c>
      <c r="J210" s="226">
        <v>0</v>
      </c>
      <c r="K210" s="238" t="str">
        <f t="shared" si="108"/>
        <v>4039/4040</v>
      </c>
      <c r="L210" s="246" t="str">
        <f>VLOOKUP(A210,'Trips&amp;Operators'!$C$1:$G$99911,5,FALSE)</f>
        <v>LEVIN SCOTT</v>
      </c>
      <c r="M210" s="225">
        <f t="shared" si="109"/>
        <v>6.0879629600094631E-3</v>
      </c>
      <c r="N210" s="226">
        <f t="shared" si="85"/>
        <v>8.7666666624136269</v>
      </c>
      <c r="O210" s="226"/>
      <c r="P210" s="226"/>
      <c r="Q210" s="229"/>
      <c r="R210" s="243"/>
      <c r="S210" s="250">
        <f t="shared" si="86"/>
        <v>1</v>
      </c>
      <c r="T210" s="243" t="str">
        <f t="shared" si="110"/>
        <v>NorthBound</v>
      </c>
      <c r="U210" s="247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249" t="str">
        <f t="shared" si="111"/>
        <v>https://d0f6bd738d7f1b3e5a7ca70fe4ff75f0.us-east-1.aws.found.io/app/kibana#/discover/Steve-Slow-Train-Analysis-(2080s-and-2083s)?_g=(refreshInterval:(display:Off,pause:!f,section:0,value:0),time:(from:'2017-11-28T17:37:52-0700',mode:absolute,to:'2017-11-28T19:48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10" s="248" t="str">
        <f>IF(AA210&lt;VLOOKUP(AG210,Variables!$AC$3:$AD$8,2,FALSE),"Y","N")</f>
        <v>Y</v>
      </c>
      <c r="X210" s="248">
        <f t="shared" si="102"/>
        <v>1</v>
      </c>
      <c r="Y210" s="248">
        <f t="shared" si="112"/>
        <v>4.7100000000000003E-2</v>
      </c>
      <c r="Z210" s="248">
        <f t="shared" si="113"/>
        <v>2.3346</v>
      </c>
      <c r="AA210" s="248">
        <f t="shared" si="114"/>
        <v>2.2875000000000001</v>
      </c>
      <c r="AB210" s="234" t="e">
        <f>VLOOKUP(A210,Enforcements!$C$7:$K$9,8,0)</f>
        <v>#N/A</v>
      </c>
      <c r="AC210" s="233" t="e">
        <f>VLOOKUP(A210,Enforcements!$C$7:$E$9,3,0)</f>
        <v>#N/A</v>
      </c>
      <c r="AD210" s="244">
        <f t="shared" si="115"/>
        <v>301</v>
      </c>
      <c r="AE210" s="236" t="str">
        <f t="shared" si="116"/>
        <v>aws s3 cp s3://rtdc.mdm.uploadarchive.raw/RTDC4040/ "%USERPROFILE%\AppData\Local\Temp\OnboardLogs"\RTDC4040\2017-11-28 --exclude "*" --recursive --include "*20171128*" &amp; "%USERPROFILE%\Documents\GitHub\mrs-test-scripts\Headless Mode &amp; Sideloading\WalkAndUnGZ.bat" "%USERPROFILE%\AppData\Local\Temp\OnboardLogs"\RTDC4040\2017-11-28 &amp; aws s3 cp s3://rtdc.mdm.uploadarchive.raw/RTDC4040/ "%USERPROFILE%\AppData\Local\Temp\OnboardLogs"\RTDC4040\2017-11-29 --exclude "*" --recursive --include "*20171129*" &amp; "%USERPROFILE%\Documents\GitHub\mrs-test-scripts\Headless Mode &amp; Sideloading\WalkAndUnGZ.bat" "%USERPROFILE%\AppData\Local\Temp\OnboardLogs"\RTDC4040\2017-11-29</v>
      </c>
      <c r="AF210" s="235" t="str">
        <f t="shared" si="117"/>
        <v>"C:\Program Files (x86)\AstroGrep\AstroGrep.exe" /e /r /s /spath="%USERPROFILE%\AppData\Local\Temp\OnboardLogs" /stypes="app*4040*20171129*" /stext=" 01:.+((SYSTEM_STATE.+slice.+state.+changed )|(ment ac)|(multiple cpu faults)|(system.+state.+changed )|(\[timeout)|(PRM\|1\|D)|(kpr)|(kdp)|(train st.+moving)|(\|lc)|(penalty))"</v>
      </c>
      <c r="AG210" s="245" t="str">
        <f t="shared" si="118"/>
        <v>Other</v>
      </c>
      <c r="AH210" s="237" t="str">
        <f t="shared" si="119"/>
        <v>"%USERPROFILE%\Documents\GitHub\eaglep3\Utilities\RefineRTDCRunTimes.py" --tripid 301-28 --locoid 4040 --swversion DE.1.0.9.0 --startMP 204:471 --initTime 2017-11-28T18:37:52 --startdatetime 2017-11-28T18:39:51 --delay 51 --endMP 300:23346 --enddatetime 2017-11-28T18:48:37 --enforcementcount 0 &gt;&gt;%USERPROFILE%\Documents\GitHub\eaglep3-reporting\EC\2017-11-28-refined-times.txt</v>
      </c>
      <c r="AI210" s="239" t="str">
        <f t="shared" si="120"/>
        <v>echo {"issue":{"subject":"","project_id":79,"tracker_id":40,"status_id":1,"priority_id":2,"assigned_to_id":338,"start_date":"2017-11-28","description":"","custom_fields":[{"id":1,"name":"Subdivision","value":"Other"},{"id":4,"name":"Milepost","value":"2.3346"},{"id":17,"name":"Train ID","value":"301-28"},{"id":16,"name":"Locomotive ID","value":"4040"},{"id":130,"name":"Impact","value":""},{"id":150,"name":"Time of Event (Mountain Time)","value":"18:48:37"},{"id":151,"name":"Denver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0" s="224"/>
      <c r="AK210" s="232"/>
      <c r="AL210" s="232"/>
      <c r="AM210" s="241" t="str">
        <f t="shared" si="121"/>
        <v>start /low /b %USERPROFILE%\Documents\GitHub\eaglep3\Utilities\DownloadLogsFromS3.py --loco 4040 --day 2017-11-28</v>
      </c>
      <c r="AN210" s="242" t="str">
        <f t="shared" si="122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01:48:37"},{"id":29,"name":"Sharepoint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231" t="str">
        <f t="shared" si="123"/>
        <v>https://d0f6bd738d7f1b3e5a7ca70fe4ff75f0.us-east-1.aws.found.io/app/kibana#/discover/Steve-Slow-Train-Analysis-(2080s-and-2083s)?_g=(refreshInterval:(display:Off,pause:!f,section:0,value:0),time:(from:'2017-11-28T17:37:52-0700',mode:absolute,to:'2017-11-28T19:48:37-0700'))&amp;_a=(columns:!('Message%20ID',Summary),filters:!(),index:'emp_*',interval:auto,query:(query_string:(analyze_wildcard:!t,query:'%22rtdc.l.rtdc.4040%22')),sort:!(Time.ISO8601,asc))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0" customFormat="1" x14ac:dyDescent="0.25">
      <c r="A211" s="230" t="s">
        <v>673</v>
      </c>
      <c r="B211" s="226">
        <v>4007</v>
      </c>
      <c r="C211" s="228" t="s">
        <v>192</v>
      </c>
      <c r="D211" s="228" t="s">
        <v>983</v>
      </c>
      <c r="E211" s="227">
        <v>43067.141053240739</v>
      </c>
      <c r="F211" s="227">
        <v>43067.145219907405</v>
      </c>
      <c r="G211" s="226">
        <v>81</v>
      </c>
      <c r="H211" s="228" t="s">
        <v>490</v>
      </c>
      <c r="I211" s="227">
        <v>43067.150555555556</v>
      </c>
      <c r="J211" s="226">
        <v>0</v>
      </c>
      <c r="K211" s="238" t="str">
        <f t="shared" si="108"/>
        <v>4007/4008</v>
      </c>
      <c r="L211" s="246" t="str">
        <f>VLOOKUP(A211,'Trips&amp;Operators'!$C$1:$G$99911,5,FALSE)</f>
        <v>NICHOLAS PLOYSA</v>
      </c>
      <c r="M211" s="225">
        <f t="shared" si="109"/>
        <v>5.3356481512309983E-3</v>
      </c>
      <c r="N211" s="226">
        <f t="shared" si="85"/>
        <v>7.6833333377726376</v>
      </c>
      <c r="O211" s="226"/>
      <c r="P211" s="226"/>
      <c r="Q211" s="229"/>
      <c r="R211" s="243"/>
      <c r="S211" s="250">
        <f t="shared" si="86"/>
        <v>1</v>
      </c>
      <c r="T211" s="243" t="str">
        <f t="shared" si="110"/>
        <v>Southbound</v>
      </c>
      <c r="U211" s="247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249" t="str">
        <f t="shared" si="111"/>
        <v>https://d0f6bd738d7f1b3e5a7ca70fe4ff75f0.us-east-1.aws.found.io/app/kibana#/discover/Steve-Slow-Train-Analysis-(2080s-and-2083s)?_g=(refreshInterval:(display:Off,pause:!f,section:0,value:0),time:(from:'2017-11-28T02:23:07-0700',mode:absolute,to:'2017-11-28T04:36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11" s="248" t="str">
        <f>IF(AA211&lt;VLOOKUP(AG211,Variables!$AC$3:$AD$8,2,FALSE),"Y","N")</f>
        <v>Y</v>
      </c>
      <c r="X211" s="248">
        <f t="shared" si="102"/>
        <v>1</v>
      </c>
      <c r="Y211" s="248">
        <f t="shared" si="112"/>
        <v>2.3374000000000001</v>
      </c>
      <c r="Z211" s="248">
        <f t="shared" si="113"/>
        <v>2.0500000000000001E-2</v>
      </c>
      <c r="AA211" s="248">
        <f t="shared" si="114"/>
        <v>2.3169</v>
      </c>
      <c r="AB211" s="234" t="e">
        <f>VLOOKUP(A211,Enforcements!$C$7:$K$9,8,0)</f>
        <v>#N/A</v>
      </c>
      <c r="AC211" s="233" t="e">
        <f>VLOOKUP(A211,Enforcements!$C$7:$E$9,3,0)</f>
        <v>#N/A</v>
      </c>
      <c r="AD211" s="244">
        <f t="shared" si="115"/>
        <v>302</v>
      </c>
      <c r="AE211" s="236" t="str">
        <f t="shared" si="116"/>
        <v>aws s3 cp s3://rtdc.mdm.uploadarchive.raw/RTDC4007/ "%USERPROFILE%\AppData\Local\Temp\OnboardLogs"\RTDC4007\2017-11-28 --exclude "*" --recursive --include "*20171128*" &amp; "%USERPROFILE%\Documents\GitHub\mrs-test-scripts\Headless Mode &amp; Sideloading\WalkAndUnGZ.bat" "%USERPROFILE%\AppData\Local\Temp\OnboardLogs"\RTDC4007\2017-11-28 &amp; aws s3 cp s3://rtdc.mdm.uploadarchive.raw/RTDC4007/ "%USERPROFILE%\AppData\Local\Temp\OnboardLogs"\RTDC4007\2017-11-29 --exclude "*" --recursive --include "*20171129*" &amp; "%USERPROFILE%\Documents\GitHub\mrs-test-scripts\Headless Mode &amp; Sideloading\WalkAndUnGZ.bat" "%USERPROFILE%\AppData\Local\Temp\OnboardLogs"\RTDC4007\2017-11-29</v>
      </c>
      <c r="AF211" s="235" t="str">
        <f t="shared" si="117"/>
        <v>"C:\Program Files (x86)\AstroGrep\AstroGrep.exe" /e /r /s /spath="%USERPROFILE%\AppData\Local\Temp\OnboardLogs" /stypes="app*4007*20171128*" /stext=" 10:.+((SYSTEM_STATE.+slice.+state.+changed )|(ment ac)|(multiple cpu faults)|(system.+state.+changed )|(\[timeout)|(PRM\|1\|D)|(kpr)|(kdp)|(train st.+moving)|(\|lc)|(penalty))"</v>
      </c>
      <c r="AG211" s="245" t="str">
        <f t="shared" si="118"/>
        <v>Other</v>
      </c>
      <c r="AH211" s="237" t="str">
        <f t="shared" si="119"/>
        <v>"%USERPROFILE%\Documents\GitHub\eaglep3\Utilities\RefineRTDCRunTimes.py" --tripid 302-28 --locoid 4007 --swversion DE.1.0.9.0 --startMP 300:23374 --initTime 2017-11-28T03:23:07 --startdatetime 2017-11-28T03:29:07 --delay 81 --endMP 204:205 --enddatetime 2017-11-28T03:36:48 --enforcementcount 0 &gt;&gt;%USERPROFILE%\Documents\GitHub\eaglep3-reporting\EC\2017-11-28-refined-times.txt</v>
      </c>
      <c r="AI211" s="239" t="str">
        <f t="shared" si="120"/>
        <v>echo {"issue":{"subject":"","project_id":79,"tracker_id":40,"status_id":1,"priority_id":2,"assigned_to_id":338,"start_date":"2017-11-28","description":"","custom_fields":[{"id":1,"name":"Subdivision","value":"Other"},{"id":4,"name":"Milepost","value":"0.0205"},{"id":17,"name":"Train ID","value":"302-28"},{"id":16,"name":"Locomotive ID","value":"4007"},{"id":130,"name":"Impact","value":""},{"id":150,"name":"Time of Event (Mountain Time)","value":"03:36:48"},{"id":151,"name":"Denver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1" s="224"/>
      <c r="AK211" s="232"/>
      <c r="AL211" s="232"/>
      <c r="AM211" s="241" t="str">
        <f t="shared" si="121"/>
        <v>start /low /b %USERPROFILE%\Documents\GitHub\eaglep3\Utilities\DownloadLogsFromS3.py --loco 4007 --day 2017-11-28</v>
      </c>
      <c r="AN211" s="242" t="str">
        <f t="shared" si="12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10:36:48"},{"id":29,"name":"Sharepoint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231" t="str">
        <f t="shared" si="123"/>
        <v>https://d0f6bd738d7f1b3e5a7ca70fe4ff75f0.us-east-1.aws.found.io/app/kibana#/discover/Steve-Slow-Train-Analysis-(2080s-and-2083s)?_g=(refreshInterval:(display:Off,pause:!f,section:0,value:0),time:(from:'2017-11-28T02:23:07-0700',mode:absolute,to:'2017-11-28T04:36:48-0700'))&amp;_a=(columns:!('Message%20ID',Summary),filters:!(),index:'emp_*',interval:auto,query:(query_string:(analyze_wildcard:!t,query:'%22rtdc.l.rtdc.4007%22')),sort:!(Time.ISO8601,asc))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0" customFormat="1" x14ac:dyDescent="0.25">
      <c r="A212" s="230" t="s">
        <v>851</v>
      </c>
      <c r="B212" s="226">
        <v>4034</v>
      </c>
      <c r="C212" s="228" t="s">
        <v>192</v>
      </c>
      <c r="D212" s="228" t="s">
        <v>984</v>
      </c>
      <c r="E212" s="227">
        <v>43067.797743055555</v>
      </c>
      <c r="F212" s="227">
        <v>43067.80201388889</v>
      </c>
      <c r="G212" s="226">
        <v>76</v>
      </c>
      <c r="H212" s="228" t="s">
        <v>985</v>
      </c>
      <c r="I212" s="227">
        <v>43067.808738425927</v>
      </c>
      <c r="J212" s="226">
        <v>0</v>
      </c>
      <c r="K212" s="238" t="str">
        <f t="shared" si="108"/>
        <v>4033/4034</v>
      </c>
      <c r="L212" s="246" t="str">
        <f>VLOOKUP(A212,'Trips&amp;Operators'!$C$1:$G$99911,5,FALSE)</f>
        <v>SAFIEF AEIMEN</v>
      </c>
      <c r="M212" s="225">
        <f t="shared" si="109"/>
        <v>6.7245370373711921E-3</v>
      </c>
      <c r="N212" s="226">
        <f t="shared" si="85"/>
        <v>9.6833333338145167</v>
      </c>
      <c r="O212" s="226"/>
      <c r="P212" s="226"/>
      <c r="Q212" s="229"/>
      <c r="R212" s="243"/>
      <c r="S212" s="250">
        <f t="shared" si="86"/>
        <v>1</v>
      </c>
      <c r="T212" s="243" t="str">
        <f t="shared" si="110"/>
        <v>NorthBound</v>
      </c>
      <c r="U212" s="247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249" t="str">
        <f t="shared" si="111"/>
        <v>https://d0f6bd738d7f1b3e5a7ca70fe4ff75f0.us-east-1.aws.found.io/app/kibana#/discover/Steve-Slow-Train-Analysis-(2080s-and-2083s)?_g=(refreshInterval:(display:Off,pause:!f,section:0,value:0),time:(from:'2017-11-28T18:08:45-0700',mode:absolute,to:'2017-11-28T20:24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12" s="248" t="str">
        <f>IF(AA212&lt;VLOOKUP(AG212,Variables!$AC$3:$AD$8,2,FALSE),"Y","N")</f>
        <v>Y</v>
      </c>
      <c r="X212" s="248">
        <f t="shared" si="102"/>
        <v>1</v>
      </c>
      <c r="Y212" s="248">
        <f t="shared" si="112"/>
        <v>5.1700000000000003E-2</v>
      </c>
      <c r="Z212" s="248">
        <f t="shared" si="113"/>
        <v>2.3304</v>
      </c>
      <c r="AA212" s="248">
        <f t="shared" si="114"/>
        <v>2.2787000000000002</v>
      </c>
      <c r="AB212" s="234" t="e">
        <f>VLOOKUP(A212,Enforcements!$C$7:$K$9,8,0)</f>
        <v>#N/A</v>
      </c>
      <c r="AC212" s="233" t="e">
        <f>VLOOKUP(A212,Enforcements!$C$7:$E$9,3,0)</f>
        <v>#N/A</v>
      </c>
      <c r="AD212" s="244">
        <f t="shared" si="115"/>
        <v>303</v>
      </c>
      <c r="AE212" s="236" t="str">
        <f t="shared" si="116"/>
        <v>aws s3 cp s3://rtdc.mdm.uploadarchive.raw/RTDC4034/ "%USERPROFILE%\AppData\Local\Temp\OnboardLogs"\RTDC4034\2017-11-28 --exclude "*" --recursive --include "*20171128*" &amp; "%USERPROFILE%\Documents\GitHub\mrs-test-scripts\Headless Mode &amp; Sideloading\WalkAndUnGZ.bat" "%USERPROFILE%\AppData\Local\Temp\OnboardLogs"\RTDC4034\2017-11-28 &amp; aws s3 cp s3://rtdc.mdm.uploadarchive.raw/RTDC4034/ "%USERPROFILE%\AppData\Local\Temp\OnboardLogs"\RTDC4034\2017-11-29 --exclude "*" --recursive --include "*20171129*" &amp; "%USERPROFILE%\Documents\GitHub\mrs-test-scripts\Headless Mode &amp; Sideloading\WalkAndUnGZ.bat" "%USERPROFILE%\AppData\Local\Temp\OnboardLogs"\RTDC4034\2017-11-29</v>
      </c>
      <c r="AF212" s="235" t="str">
        <f t="shared" si="117"/>
        <v>"C:\Program Files (x86)\AstroGrep\AstroGrep.exe" /e /r /s /spath="%USERPROFILE%\AppData\Local\Temp\OnboardLogs" /stypes="app*4034*20171129*" /stext=" 02:.+((SYSTEM_STATE.+slice.+state.+changed )|(ment ac)|(multiple cpu faults)|(system.+state.+changed )|(\[timeout)|(PRM\|1\|D)|(kpr)|(kdp)|(train st.+moving)|(\|lc)|(penalty))"</v>
      </c>
      <c r="AG212" s="245" t="str">
        <f t="shared" si="118"/>
        <v>Other</v>
      </c>
      <c r="AH212" s="237" t="str">
        <f t="shared" si="119"/>
        <v>"%USERPROFILE%\Documents\GitHub\eaglep3\Utilities\RefineRTDCRunTimes.py" --tripid 303-28 --locoid 4034 --swversion DE.1.0.9.0 --startMP 204:517 --initTime 2017-11-28T19:08:45 --startdatetime 2017-11-28T19:14:54 --delay 76 --endMP 300:23304 --enddatetime 2017-11-28T19:24:35 --enforcementcount 0 &gt;&gt;%USERPROFILE%\Documents\GitHub\eaglep3-reporting\EC\2017-11-28-refined-times.txt</v>
      </c>
      <c r="AI212" s="239" t="str">
        <f t="shared" si="120"/>
        <v>echo {"issue":{"subject":"","project_id":79,"tracker_id":40,"status_id":1,"priority_id":2,"assigned_to_id":338,"start_date":"2017-11-28","description":"","custom_fields":[{"id":1,"name":"Subdivision","value":"Other"},{"id":4,"name":"Milepost","value":"2.3304"},{"id":17,"name":"Train ID","value":"303-28"},{"id":16,"name":"Locomotive ID","value":"4034"},{"id":130,"name":"Impact","value":""},{"id":150,"name":"Time of Event (Mountain Time)","value":"19:24:35"},{"id":151,"name":"Denver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2" s="224"/>
      <c r="AK212" s="232"/>
      <c r="AL212" s="232"/>
      <c r="AM212" s="241" t="str">
        <f t="shared" si="121"/>
        <v>start /low /b %USERPROFILE%\Documents\GitHub\eaglep3\Utilities\DownloadLogsFromS3.py --loco 4034 --day 2017-11-28</v>
      </c>
      <c r="AN212" s="242" t="str">
        <f t="shared" si="122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02:24:35"},{"id":29,"name":"Sharepoint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231" t="str">
        <f t="shared" si="123"/>
        <v>https://d0f6bd738d7f1b3e5a7ca70fe4ff75f0.us-east-1.aws.found.io/app/kibana#/discover/Steve-Slow-Train-Analysis-(2080s-and-2083s)?_g=(refreshInterval:(display:Off,pause:!f,section:0,value:0),time:(from:'2017-11-28T18:08:45-0700',mode:absolute,to:'2017-11-28T20:24:35-0700'))&amp;_a=(columns:!('Message%20ID',Summary),filters:!(),index:'emp_*',interval:auto,query:(query_string:(analyze_wildcard:!t,query:'%22rtdc.l.rtdc.4034%22')),sort:!(Time.ISO8601,asc))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0" customFormat="1" x14ac:dyDescent="0.25">
      <c r="A213" s="230" t="s">
        <v>675</v>
      </c>
      <c r="B213" s="226">
        <v>4059</v>
      </c>
      <c r="C213" s="228" t="s">
        <v>192</v>
      </c>
      <c r="D213" s="228" t="s">
        <v>986</v>
      </c>
      <c r="E213" s="227">
        <v>43067.16064814815</v>
      </c>
      <c r="F213" s="227">
        <v>43067.164050925923</v>
      </c>
      <c r="G213" s="226">
        <v>74</v>
      </c>
      <c r="H213" s="228" t="s">
        <v>439</v>
      </c>
      <c r="I213" s="227">
        <v>43067.169976851852</v>
      </c>
      <c r="J213" s="226">
        <v>0</v>
      </c>
      <c r="K213" s="238" t="str">
        <f t="shared" si="108"/>
        <v>4059/4060</v>
      </c>
      <c r="L213" s="246" t="str">
        <f>VLOOKUP(A213,'Trips&amp;Operators'!$C$1:$G$99911,5,FALSE)</f>
        <v>THOMPSON LESTER</v>
      </c>
      <c r="M213" s="225">
        <f t="shared" si="109"/>
        <v>5.9259259287500754E-3</v>
      </c>
      <c r="N213" s="226">
        <f t="shared" si="85"/>
        <v>8.5333333374001086</v>
      </c>
      <c r="O213" s="226"/>
      <c r="P213" s="226"/>
      <c r="Q213" s="229"/>
      <c r="R213" s="243"/>
      <c r="S213" s="250">
        <f t="shared" si="86"/>
        <v>1</v>
      </c>
      <c r="T213" s="243" t="str">
        <f t="shared" si="110"/>
        <v>Southbound</v>
      </c>
      <c r="U213" s="247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249" t="str">
        <f t="shared" si="111"/>
        <v>https://d0f6bd738d7f1b3e5a7ca70fe4ff75f0.us-east-1.aws.found.io/app/kibana#/discover/Steve-Slow-Train-Analysis-(2080s-and-2083s)?_g=(refreshInterval:(display:Off,pause:!f,section:0,value:0),time:(from:'2017-11-28T02:51:20-0700',mode:absolute,to:'2017-11-28T05:04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13" s="248" t="str">
        <f>IF(AA213&lt;VLOOKUP(AG213,Variables!$AC$3:$AD$8,2,FALSE),"Y","N")</f>
        <v>Y</v>
      </c>
      <c r="X213" s="248">
        <f t="shared" si="102"/>
        <v>1</v>
      </c>
      <c r="Y213" s="248">
        <f t="shared" si="112"/>
        <v>2.3481000000000001</v>
      </c>
      <c r="Z213" s="248">
        <f t="shared" si="113"/>
        <v>1.54E-2</v>
      </c>
      <c r="AA213" s="248">
        <f t="shared" si="114"/>
        <v>2.3327</v>
      </c>
      <c r="AB213" s="234" t="e">
        <f>VLOOKUP(A213,Enforcements!$C$7:$K$9,8,0)</f>
        <v>#N/A</v>
      </c>
      <c r="AC213" s="233" t="e">
        <f>VLOOKUP(A213,Enforcements!$C$7:$E$9,3,0)</f>
        <v>#N/A</v>
      </c>
      <c r="AD213" s="244">
        <f t="shared" si="115"/>
        <v>304</v>
      </c>
      <c r="AE213" s="236" t="str">
        <f t="shared" si="116"/>
        <v>aws s3 cp s3://rtdc.mdm.uploadarchive.raw/RTDC4059/ "%USERPROFILE%\AppData\Local\Temp\OnboardLogs"\RTDC4059\2017-11-28 --exclude "*" --recursive --include "*20171128*" &amp; "%USERPROFILE%\Documents\GitHub\mrs-test-scripts\Headless Mode &amp; Sideloading\WalkAndUnGZ.bat" "%USERPROFILE%\AppData\Local\Temp\OnboardLogs"\RTDC4059\2017-11-28 &amp; aws s3 cp s3://rtdc.mdm.uploadarchive.raw/RTDC4059/ "%USERPROFILE%\AppData\Local\Temp\OnboardLogs"\RTDC4059\2017-11-29 --exclude "*" --recursive --include "*20171129*" &amp; "%USERPROFILE%\Documents\GitHub\mrs-test-scripts\Headless Mode &amp; Sideloading\WalkAndUnGZ.bat" "%USERPROFILE%\AppData\Local\Temp\OnboardLogs"\RTDC4059\2017-11-29</v>
      </c>
      <c r="AF213" s="235" t="str">
        <f t="shared" si="117"/>
        <v>"C:\Program Files (x86)\AstroGrep\AstroGrep.exe" /e /r /s /spath="%USERPROFILE%\AppData\Local\Temp\OnboardLogs" /stypes="app*4059*20171128*" /stext=" 11:.+((SYSTEM_STATE.+slice.+state.+changed )|(ment ac)|(multiple cpu faults)|(system.+state.+changed )|(\[timeout)|(PRM\|1\|D)|(kpr)|(kdp)|(train st.+moving)|(\|lc)|(penalty))"</v>
      </c>
      <c r="AG213" s="245" t="str">
        <f t="shared" si="118"/>
        <v>Other</v>
      </c>
      <c r="AH213" s="237" t="str">
        <f t="shared" si="119"/>
        <v>"%USERPROFILE%\Documents\GitHub\eaglep3\Utilities\RefineRTDCRunTimes.py" --tripid 304-28 --locoid 4059 --swversion DE.1.0.9.0 --startMP 300:23481 --initTime 2017-11-28T03:51:20 --startdatetime 2017-11-28T03:56:14 --delay 74 --endMP 204:154 --enddatetime 2017-11-28T04:04:46 --enforcementcount 0 &gt;&gt;%USERPROFILE%\Documents\GitHub\eaglep3-reporting\EC\2017-11-28-refined-times.txt</v>
      </c>
      <c r="AI213" s="239" t="str">
        <f t="shared" si="120"/>
        <v>echo {"issue":{"subject":"","project_id":79,"tracker_id":40,"status_id":1,"priority_id":2,"assigned_to_id":338,"start_date":"2017-11-28","description":"","custom_fields":[{"id":1,"name":"Subdivision","value":"Other"},{"id":4,"name":"Milepost","value":"0.0154"},{"id":17,"name":"Train ID","value":"304-28"},{"id":16,"name":"Locomotive ID","value":"4059"},{"id":130,"name":"Impact","value":""},{"id":150,"name":"Time of Event (Mountain Time)","value":"04:04:46"},{"id":151,"name":"Denver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3" s="224"/>
      <c r="AK213" s="232"/>
      <c r="AL213" s="232"/>
      <c r="AM213" s="241" t="str">
        <f t="shared" si="121"/>
        <v>start /low /b %USERPROFILE%\Documents\GitHub\eaglep3\Utilities\DownloadLogsFromS3.py --loco 4059 --day 2017-11-28</v>
      </c>
      <c r="AN213" s="242" t="str">
        <f t="shared" si="12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11:04:46"},{"id":29,"name":"Sharepoint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231" t="str">
        <f t="shared" si="123"/>
        <v>https://d0f6bd738d7f1b3e5a7ca70fe4ff75f0.us-east-1.aws.found.io/app/kibana#/discover/Steve-Slow-Train-Analysis-(2080s-and-2083s)?_g=(refreshInterval:(display:Off,pause:!f,section:0,value:0),time:(from:'2017-11-28T02:51:20-0700',mode:absolute,to:'2017-11-28T05:04:46-0700'))&amp;_a=(columns:!('Message%20ID',Summary),filters:!(),index:'emp_*',interval:auto,query:(query_string:(analyze_wildcard:!t,query:'%22rtdc.l.rtdc.4059%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24" customFormat="1" x14ac:dyDescent="0.25">
      <c r="A214" s="230" t="s">
        <v>855</v>
      </c>
      <c r="B214" s="226">
        <v>4050</v>
      </c>
      <c r="C214" s="228" t="s">
        <v>192</v>
      </c>
      <c r="D214" s="228" t="s">
        <v>614</v>
      </c>
      <c r="E214" s="227">
        <v>43067.818553240744</v>
      </c>
      <c r="F214" s="227">
        <v>43067.820462962962</v>
      </c>
      <c r="G214" s="226">
        <v>55</v>
      </c>
      <c r="H214" s="228" t="s">
        <v>987</v>
      </c>
      <c r="I214" s="227">
        <v>43067.827523148146</v>
      </c>
      <c r="J214" s="226">
        <v>0</v>
      </c>
      <c r="K214" s="238" t="str">
        <f t="shared" si="108"/>
        <v>4049/4050</v>
      </c>
      <c r="L214" s="246" t="str">
        <f>VLOOKUP(A214,'Trips&amp;Operators'!$C$1:$G$99911,5,FALSE)</f>
        <v>SMITH MICHAEL</v>
      </c>
      <c r="M214" s="225">
        <f t="shared" si="109"/>
        <v>7.0601851839455776E-3</v>
      </c>
      <c r="N214" s="226">
        <f t="shared" si="85"/>
        <v>10.166666664881632</v>
      </c>
      <c r="O214" s="226"/>
      <c r="P214" s="226"/>
      <c r="Q214" s="229"/>
      <c r="R214" s="243"/>
      <c r="S214" s="250">
        <f t="shared" si="86"/>
        <v>1</v>
      </c>
      <c r="T214" s="243" t="str">
        <f t="shared" si="110"/>
        <v>NorthBound</v>
      </c>
      <c r="U214" s="247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249" t="str">
        <f t="shared" si="111"/>
        <v>https://d0f6bd738d7f1b3e5a7ca70fe4ff75f0.us-east-1.aws.found.io/app/kibana#/discover/Steve-Slow-Train-Analysis-(2080s-and-2083s)?_g=(refreshInterval:(display:Off,pause:!f,section:0,value:0),time:(from:'2017-11-28T18:38:43-0700',mode:absolute,to:'2017-11-28T20:51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14" s="248" t="str">
        <f>IF(AA214&lt;VLOOKUP(AG214,Variables!$AC$3:$AD$8,2,FALSE),"Y","N")</f>
        <v>Y</v>
      </c>
      <c r="X214" s="248">
        <f t="shared" si="102"/>
        <v>1</v>
      </c>
      <c r="Y214" s="248">
        <f t="shared" si="112"/>
        <v>5.5899999999999998E-2</v>
      </c>
      <c r="Z214" s="248">
        <f t="shared" si="113"/>
        <v>2.3298999999999999</v>
      </c>
      <c r="AA214" s="248">
        <f t="shared" si="114"/>
        <v>2.274</v>
      </c>
      <c r="AB214" s="234" t="e">
        <f>VLOOKUP(A214,Enforcements!$C$7:$K$9,8,0)</f>
        <v>#N/A</v>
      </c>
      <c r="AC214" s="233" t="e">
        <f>VLOOKUP(A214,Enforcements!$C$7:$E$9,3,0)</f>
        <v>#N/A</v>
      </c>
      <c r="AD214" s="244">
        <f t="shared" si="115"/>
        <v>305</v>
      </c>
      <c r="AE214" s="236" t="str">
        <f t="shared" si="116"/>
        <v>aws s3 cp s3://rtdc.mdm.uploadarchive.raw/RTDC4050/ "%USERPROFILE%\AppData\Local\Temp\OnboardLogs"\RTDC4050\2017-11-28 --exclude "*" --recursive --include "*20171128*" &amp; "%USERPROFILE%\Documents\GitHub\mrs-test-scripts\Headless Mode &amp; Sideloading\WalkAndUnGZ.bat" "%USERPROFILE%\AppData\Local\Temp\OnboardLogs"\RTDC4050\2017-11-28 &amp; aws s3 cp s3://rtdc.mdm.uploadarchive.raw/RTDC4050/ "%USERPROFILE%\AppData\Local\Temp\OnboardLogs"\RTDC4050\2017-11-29 --exclude "*" --recursive --include "*20171129*" &amp; "%USERPROFILE%\Documents\GitHub\mrs-test-scripts\Headless Mode &amp; Sideloading\WalkAndUnGZ.bat" "%USERPROFILE%\AppData\Local\Temp\OnboardLogs"\RTDC4050\2017-11-29</v>
      </c>
      <c r="AF214" s="235" t="str">
        <f t="shared" si="117"/>
        <v>"C:\Program Files (x86)\AstroGrep\AstroGrep.exe" /e /r /s /spath="%USERPROFILE%\AppData\Local\Temp\OnboardLogs" /stypes="app*4050*20171129*" /stext=" 02:.+((SYSTEM_STATE.+slice.+state.+changed )|(ment ac)|(multiple cpu faults)|(system.+state.+changed )|(\[timeout)|(PRM\|1\|D)|(kpr)|(kdp)|(train st.+moving)|(\|lc)|(penalty))"</v>
      </c>
      <c r="AG214" s="245" t="str">
        <f t="shared" si="118"/>
        <v>Other</v>
      </c>
      <c r="AH214" s="237" t="str">
        <f t="shared" si="119"/>
        <v>"%USERPROFILE%\Documents\GitHub\eaglep3\Utilities\RefineRTDCRunTimes.py" --tripid 305-28 --locoid 4050 --swversion DE.1.0.9.0 --startMP 204:559 --initTime 2017-11-28T19:38:43 --startdatetime 2017-11-28T19:41:28 --delay 55 --endMP 300:23299 --enddatetime 2017-11-28T19:51:38 --enforcementcount 0 &gt;&gt;%USERPROFILE%\Documents\GitHub\eaglep3-reporting\EC\2017-11-28-refined-times.txt</v>
      </c>
      <c r="AI214" s="239" t="str">
        <f t="shared" si="120"/>
        <v>echo {"issue":{"subject":"","project_id":79,"tracker_id":40,"status_id":1,"priority_id":2,"assigned_to_id":338,"start_date":"2017-11-28","description":"","custom_fields":[{"id":1,"name":"Subdivision","value":"Other"},{"id":4,"name":"Milepost","value":"2.3299"},{"id":17,"name":"Train ID","value":"305-28"},{"id":16,"name":"Locomotive ID","value":"4050"},{"id":130,"name":"Impact","value":""},{"id":150,"name":"Time of Event (Mountain Time)","value":"19:51:38"},{"id":151,"name":"Denver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4" s="232"/>
      <c r="AL214" s="232"/>
      <c r="AM214" s="241" t="str">
        <f t="shared" si="121"/>
        <v>start /low /b %USERPROFILE%\Documents\GitHub\eaglep3\Utilities\DownloadLogsFromS3.py --loco 4050 --day 2017-11-28</v>
      </c>
      <c r="AN214" s="242" t="str">
        <f t="shared" si="122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02:51:38"},{"id":29,"name":"Sharepoint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231" t="str">
        <f t="shared" si="123"/>
        <v>https://d0f6bd738d7f1b3e5a7ca70fe4ff75f0.us-east-1.aws.found.io/app/kibana#/discover/Steve-Slow-Train-Analysis-(2080s-and-2083s)?_g=(refreshInterval:(display:Off,pause:!f,section:0,value:0),time:(from:'2017-11-28T18:38:43-0700',mode:absolute,to:'2017-11-28T20:51:38-0700'))&amp;_a=(columns:!('Message%20ID',Summary),filters:!(),index:'emp_*',interval:auto,query:(query_string:(analyze_wildcard:!t,query:'%22rtdc.l.rtdc.4050%22')),sort:!(Time.ISO8601,asc))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20" customFormat="1" x14ac:dyDescent="0.25">
      <c r="A215" s="230" t="s">
        <v>678</v>
      </c>
      <c r="B215" s="226">
        <v>4055</v>
      </c>
      <c r="C215" s="228" t="s">
        <v>192</v>
      </c>
      <c r="D215" s="228" t="s">
        <v>988</v>
      </c>
      <c r="E215" s="227">
        <v>43067.167256944442</v>
      </c>
      <c r="F215" s="227">
        <v>43067.171342592592</v>
      </c>
      <c r="G215" s="226">
        <v>93</v>
      </c>
      <c r="H215" s="228" t="s">
        <v>574</v>
      </c>
      <c r="I215" s="227">
        <v>43067.17591435185</v>
      </c>
      <c r="J215" s="226">
        <v>0</v>
      </c>
      <c r="K215" s="238" t="str">
        <f t="shared" si="108"/>
        <v>4055/4056</v>
      </c>
      <c r="L215" s="246" t="str">
        <f>VLOOKUP(A215,'Trips&amp;Operators'!$C$1:$G$99911,5,FALSE)</f>
        <v>BEAM ROSS</v>
      </c>
      <c r="M215" s="225">
        <f t="shared" si="109"/>
        <v>4.5717592583969235E-3</v>
      </c>
      <c r="N215" s="226">
        <f t="shared" si="85"/>
        <v>6.5833333320915699</v>
      </c>
      <c r="O215" s="226"/>
      <c r="P215" s="226"/>
      <c r="Q215" s="229"/>
      <c r="R215" s="243"/>
      <c r="S215" s="250">
        <f t="shared" si="86"/>
        <v>1</v>
      </c>
      <c r="T215" s="243" t="str">
        <f t="shared" si="110"/>
        <v>Southbound</v>
      </c>
      <c r="U215" s="247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249" t="str">
        <f t="shared" si="111"/>
        <v>https://d0f6bd738d7f1b3e5a7ca70fe4ff75f0.us-east-1.aws.found.io/app/kibana#/discover/Steve-Slow-Train-Analysis-(2080s-and-2083s)?_g=(refreshInterval:(display:Off,pause:!f,section:0,value:0),time:(from:'2017-11-28T03:00:51-0700',mode:absolute,to:'2017-11-28T05:13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15" s="248" t="str">
        <f>IF(AA215&lt;VLOOKUP(AG215,Variables!$AC$3:$AD$8,2,FALSE),"Y","N")</f>
        <v>Y</v>
      </c>
      <c r="X215" s="248">
        <f t="shared" si="102"/>
        <v>1</v>
      </c>
      <c r="Y215" s="248">
        <f t="shared" si="112"/>
        <v>2.1667999999999998</v>
      </c>
      <c r="Z215" s="248">
        <f t="shared" si="113"/>
        <v>1.4999999999999999E-2</v>
      </c>
      <c r="AA215" s="248">
        <f t="shared" si="114"/>
        <v>2.1517999999999997</v>
      </c>
      <c r="AB215" s="234" t="e">
        <f>VLOOKUP(A215,Enforcements!$C$7:$K$9,8,0)</f>
        <v>#N/A</v>
      </c>
      <c r="AC215" s="233" t="e">
        <f>VLOOKUP(A215,Enforcements!$C$7:$E$9,3,0)</f>
        <v>#N/A</v>
      </c>
      <c r="AD215" s="244">
        <f t="shared" si="115"/>
        <v>306</v>
      </c>
      <c r="AE215" s="236" t="str">
        <f t="shared" si="116"/>
        <v>aws s3 cp s3://rtdc.mdm.uploadarchive.raw/RTDC4055/ "%USERPROFILE%\AppData\Local\Temp\OnboardLogs"\RTDC4055\2017-11-28 --exclude "*" --recursive --include "*20171128*" &amp; "%USERPROFILE%\Documents\GitHub\mrs-test-scripts\Headless Mode &amp; Sideloading\WalkAndUnGZ.bat" "%USERPROFILE%\AppData\Local\Temp\OnboardLogs"\RTDC4055\2017-11-28 &amp; aws s3 cp s3://rtdc.mdm.uploadarchive.raw/RTDC4055/ "%USERPROFILE%\AppData\Local\Temp\OnboardLogs"\RTDC4055\2017-11-29 --exclude "*" --recursive --include "*20171129*" &amp; "%USERPROFILE%\Documents\GitHub\mrs-test-scripts\Headless Mode &amp; Sideloading\WalkAndUnGZ.bat" "%USERPROFILE%\AppData\Local\Temp\OnboardLogs"\RTDC4055\2017-11-29</v>
      </c>
      <c r="AF215" s="235" t="str">
        <f t="shared" si="117"/>
        <v>"C:\Program Files (x86)\AstroGrep\AstroGrep.exe" /e /r /s /spath="%USERPROFILE%\AppData\Local\Temp\OnboardLogs" /stypes="app*4055*20171128*" /stext=" 11:.+((SYSTEM_STATE.+slice.+state.+changed )|(ment ac)|(multiple cpu faults)|(system.+state.+changed )|(\[timeout)|(PRM\|1\|D)|(kpr)|(kdp)|(train st.+moving)|(\|lc)|(penalty))"</v>
      </c>
      <c r="AG215" s="245" t="str">
        <f t="shared" si="118"/>
        <v>Other</v>
      </c>
      <c r="AH215" s="237" t="str">
        <f t="shared" si="119"/>
        <v>"%USERPROFILE%\Documents\GitHub\eaglep3\Utilities\RefineRTDCRunTimes.py" --tripid 306-28 --locoid 4055 --swversion DE.1.0.9.0 --startMP 300:21668 --initTime 2017-11-28T04:00:51 --startdatetime 2017-11-28T04:06:44 --delay 93 --endMP 204:150 --enddatetime 2017-11-28T04:13:19 --enforcementcount 0 &gt;&gt;%USERPROFILE%\Documents\GitHub\eaglep3-reporting\EC\2017-11-28-refined-times.txt</v>
      </c>
      <c r="AI215" s="239" t="str">
        <f t="shared" si="120"/>
        <v>echo {"issue":{"subject":"","project_id":79,"tracker_id":40,"status_id":1,"priority_id":2,"assigned_to_id":338,"start_date":"2017-11-28","description":"","custom_fields":[{"id":1,"name":"Subdivision","value":"Other"},{"id":4,"name":"Milepost","value":"0.015"},{"id":17,"name":"Train ID","value":"306-28"},{"id":16,"name":"Locomotive ID","value":"4055"},{"id":130,"name":"Impact","value":""},{"id":150,"name":"Time of Event (Mountain Time)","value":"04:13:19"},{"id":151,"name":"Denver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5" s="224"/>
      <c r="AK215" s="232"/>
      <c r="AL215" s="232"/>
      <c r="AM215" s="241" t="str">
        <f t="shared" si="121"/>
        <v>start /low /b %USERPROFILE%\Documents\GitHub\eaglep3\Utilities\DownloadLogsFromS3.py --loco 4055 --day 2017-11-28</v>
      </c>
      <c r="AN215" s="242" t="str">
        <f t="shared" si="12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11:13:19"},{"id":29,"name":"Sharepoint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 s="231" t="str">
        <f t="shared" si="123"/>
        <v>https://d0f6bd738d7f1b3e5a7ca70fe4ff75f0.us-east-1.aws.found.io/app/kibana#/discover/Steve-Slow-Train-Analysis-(2080s-and-2083s)?_g=(refreshInterval:(display:Off,pause:!f,section:0,value:0),time:(from:'2017-11-28T03:00:51-0700',mode:absolute,to:'2017-11-28T05:13:19-0700'))&amp;_a=(columns:!('Message%20ID',Summary),filters:!(),index:'emp_*',interval:auto,query:(query_string:(analyze_wildcard:!t,query:'%22rtdc.l.rtdc.4055%22')),sort:!(Time.ISO8601,asc))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0" customFormat="1" x14ac:dyDescent="0.25">
      <c r="A216" s="230" t="s">
        <v>685</v>
      </c>
      <c r="B216" s="226">
        <v>4039</v>
      </c>
      <c r="C216" s="228" t="s">
        <v>192</v>
      </c>
      <c r="D216" s="228" t="s">
        <v>989</v>
      </c>
      <c r="E216" s="227">
        <v>43067.182858796295</v>
      </c>
      <c r="F216" s="227">
        <v>43067.187199074076</v>
      </c>
      <c r="G216" s="226">
        <v>159</v>
      </c>
      <c r="H216" s="228" t="s">
        <v>494</v>
      </c>
      <c r="I216" s="227">
        <v>43067.19226851852</v>
      </c>
      <c r="J216" s="226">
        <v>0</v>
      </c>
      <c r="K216" s="238" t="str">
        <f t="shared" si="108"/>
        <v>4039/4040</v>
      </c>
      <c r="L216" s="246" t="str">
        <f>VLOOKUP(A216,'Trips&amp;Operators'!$C$1:$G$99911,5,FALSE)</f>
        <v>LAMAR NEKESHA</v>
      </c>
      <c r="M216" s="225">
        <f t="shared" si="109"/>
        <v>5.0694444435066544E-3</v>
      </c>
      <c r="N216" s="226">
        <f t="shared" si="85"/>
        <v>7.2999999986495823</v>
      </c>
      <c r="O216" s="226"/>
      <c r="P216" s="226"/>
      <c r="Q216" s="229"/>
      <c r="R216" s="243"/>
      <c r="S216" s="250">
        <f t="shared" si="86"/>
        <v>1</v>
      </c>
      <c r="T216" s="243" t="str">
        <f t="shared" si="110"/>
        <v>Southbound</v>
      </c>
      <c r="U216" s="247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249" t="str">
        <f t="shared" si="111"/>
        <v>https://d0f6bd738d7f1b3e5a7ca70fe4ff75f0.us-east-1.aws.found.io/app/kibana#/discover/Steve-Slow-Train-Analysis-(2080s-and-2083s)?_g=(refreshInterval:(display:Off,pause:!f,section:0,value:0),time:(from:'2017-11-28T03:23:19-0700',mode:absolute,to:'2017-11-28T05:36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16" s="248" t="str">
        <f>IF(AA216&lt;VLOOKUP(AG216,Variables!$AC$3:$AD$8,2,FALSE),"Y","N")</f>
        <v>Y</v>
      </c>
      <c r="X216" s="248">
        <f t="shared" si="102"/>
        <v>2</v>
      </c>
      <c r="Y216" s="248">
        <f t="shared" si="112"/>
        <v>2.2322000000000002</v>
      </c>
      <c r="Z216" s="248">
        <f t="shared" si="113"/>
        <v>1.7999999999999999E-2</v>
      </c>
      <c r="AA216" s="248">
        <f t="shared" si="114"/>
        <v>2.2142000000000004</v>
      </c>
      <c r="AB216" s="234" t="e">
        <f>VLOOKUP(A216,Enforcements!$C$7:$K$9,8,0)</f>
        <v>#N/A</v>
      </c>
      <c r="AC216" s="233" t="e">
        <f>VLOOKUP(A216,Enforcements!$C$7:$E$9,3,0)</f>
        <v>#N/A</v>
      </c>
      <c r="AD216" s="244">
        <f t="shared" si="115"/>
        <v>308</v>
      </c>
      <c r="AE216" s="236" t="str">
        <f t="shared" si="116"/>
        <v>aws s3 cp s3://rtdc.mdm.uploadarchive.raw/RTDC4039/ "%USERPROFILE%\AppData\Local\Temp\OnboardLogs"\RTDC4039\2017-11-28 --exclude "*" --recursive --include "*20171128*" &amp; "%USERPROFILE%\Documents\GitHub\mrs-test-scripts\Headless Mode &amp; Sideloading\WalkAndUnGZ.bat" "%USERPROFILE%\AppData\Local\Temp\OnboardLogs"\RTDC4039\2017-11-28 &amp; aws s3 cp s3://rtdc.mdm.uploadarchive.raw/RTDC4039/ "%USERPROFILE%\AppData\Local\Temp\OnboardLogs"\RTDC4039\2017-11-29 --exclude "*" --recursive --include "*20171129*" &amp; "%USERPROFILE%\Documents\GitHub\mrs-test-scripts\Headless Mode &amp; Sideloading\WalkAndUnGZ.bat" "%USERPROFILE%\AppData\Local\Temp\OnboardLogs"\RTDC4039\2017-11-29</v>
      </c>
      <c r="AF216" s="235" t="str">
        <f t="shared" si="117"/>
        <v>"C:\Program Files (x86)\AstroGrep\AstroGrep.exe" /e /r /s /spath="%USERPROFILE%\AppData\Local\Temp\OnboardLogs" /stypes="app*4039*20171128*" /stext=" 11:.+((SYSTEM_STATE.+slice.+state.+changed )|(ment ac)|(multiple cpu faults)|(system.+state.+changed )|(\[timeout)|(PRM\|1\|D)|(kpr)|(kdp)|(train st.+moving)|(\|lc)|(penalty))"</v>
      </c>
      <c r="AG216" s="245" t="str">
        <f t="shared" si="118"/>
        <v>Other</v>
      </c>
      <c r="AH216" s="237" t="str">
        <f t="shared" si="119"/>
        <v>"%USERPROFILE%\Documents\GitHub\eaglep3\Utilities\RefineRTDCRunTimes.py" --tripid 308-28 --locoid 4039 --swversion DE.1.0.9.0 --startMP 300:22322 --initTime 2017-11-28T04:23:19 --startdatetime 2017-11-28T04:29:34 --delay 159 --endMP 204:180 --enddatetime 2017-11-28T04:36:52 --enforcementcount 0 &gt;&gt;%USERPROFILE%\Documents\GitHub\eaglep3-reporting\EC\2017-11-28-refined-times.txt</v>
      </c>
      <c r="AI216" s="239" t="str">
        <f t="shared" si="120"/>
        <v>echo {"issue":{"subject":"","project_id":79,"tracker_id":40,"status_id":1,"priority_id":2,"assigned_to_id":338,"start_date":"2017-11-28","description":"","custom_fields":[{"id":1,"name":"Subdivision","value":"Other"},{"id":4,"name":"Milepost","value":"0.018"},{"id":17,"name":"Train ID","value":"308-28"},{"id":16,"name":"Locomotive ID","value":"4039"},{"id":130,"name":"Impact","value":""},{"id":150,"name":"Time of Event (Mountain Time)","value":"04:36:52"},{"id":151,"name":"Denver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6" s="224"/>
      <c r="AK216" s="232"/>
      <c r="AL216" s="232"/>
      <c r="AM216" s="241" t="str">
        <f t="shared" si="121"/>
        <v>start /low /b %USERPROFILE%\Documents\GitHub\eaglep3\Utilities\DownloadLogsFromS3.py --loco 4039 --day 2017-11-28</v>
      </c>
      <c r="AN216" s="242" t="str">
        <f t="shared" si="12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11:36:52"},{"id":29,"name":"Sharepoint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 s="231" t="str">
        <f t="shared" si="123"/>
        <v>https://d0f6bd738d7f1b3e5a7ca70fe4ff75f0.us-east-1.aws.found.io/app/kibana#/discover/Steve-Slow-Train-Analysis-(2080s-and-2083s)?_g=(refreshInterval:(display:Off,pause:!f,section:0,value:0),time:(from:'2017-11-28T03:23:19-0700',mode:absolute,to:'2017-11-28T05:36:52-0700'))&amp;_a=(columns:!('Message%20ID',Summary),filters:!(),index:'emp_*',interval:auto,query:(query_string:(analyze_wildcard:!t,query:'%22rtdc.l.rtdc.4039%22')),sort:!(Time.ISO8601,asc))</v>
      </c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0" customFormat="1" x14ac:dyDescent="0.25">
      <c r="A217" s="230" t="s">
        <v>885</v>
      </c>
      <c r="B217" s="226">
        <v>4060</v>
      </c>
      <c r="C217" s="228" t="s">
        <v>192</v>
      </c>
      <c r="D217" s="228" t="s">
        <v>452</v>
      </c>
      <c r="E217" s="227">
        <v>43068.06994212963</v>
      </c>
      <c r="F217" s="227">
        <v>43068.071597222224</v>
      </c>
      <c r="G217" s="226">
        <v>69</v>
      </c>
      <c r="H217" s="228" t="s">
        <v>504</v>
      </c>
      <c r="I217" s="227">
        <v>43068.091817129629</v>
      </c>
      <c r="J217" s="226">
        <v>0</v>
      </c>
      <c r="K217" s="238" t="str">
        <f t="shared" si="108"/>
        <v>4059/4060</v>
      </c>
      <c r="L217" s="246" t="str">
        <f>VLOOKUP(A217,'Trips&amp;Operators'!$C$1:$G$99911,5,FALSE)</f>
        <v>NICHOLSON WESLEY</v>
      </c>
      <c r="M217" s="225">
        <f t="shared" si="109"/>
        <v>2.0219907404680271E-2</v>
      </c>
      <c r="N217" s="226">
        <f t="shared" si="85"/>
        <v>29.11666666273959</v>
      </c>
      <c r="O217" s="226"/>
      <c r="P217" s="226"/>
      <c r="Q217" s="229"/>
      <c r="R217" s="243"/>
      <c r="S217" s="250">
        <f t="shared" si="86"/>
        <v>1</v>
      </c>
      <c r="T217" s="243" t="str">
        <f t="shared" si="110"/>
        <v>NorthBound</v>
      </c>
      <c r="U217" s="247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249" t="str">
        <f t="shared" si="111"/>
        <v>https://d0f6bd738d7f1b3e5a7ca70fe4ff75f0.us-east-1.aws.found.io/app/kibana#/discover/Steve-Slow-Train-Analysis-(2080s-and-2083s)?_g=(refreshInterval:(display:Off,pause:!f,section:0,value:0),time:(from:'2017-11-29T00:40:43-0700',mode:absolute,to:'2017-11-29T03:12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17" s="248" t="str">
        <f>IF(AA217&lt;VLOOKUP(AG217,Variables!$AC$3:$AD$8,2,FALSE),"Y","N")</f>
        <v>Y</v>
      </c>
      <c r="X217" s="248">
        <f t="shared" si="102"/>
        <v>1</v>
      </c>
      <c r="Y217" s="248">
        <f t="shared" si="112"/>
        <v>5.0799999999999998E-2</v>
      </c>
      <c r="Z217" s="248">
        <f t="shared" si="113"/>
        <v>2.3300999999999998</v>
      </c>
      <c r="AA217" s="248">
        <f t="shared" si="114"/>
        <v>2.2792999999999997</v>
      </c>
      <c r="AB217" s="234" t="e">
        <f>VLOOKUP(A217,Enforcements!$C$7:$K$9,8,0)</f>
        <v>#N/A</v>
      </c>
      <c r="AC217" s="233" t="e">
        <f>VLOOKUP(A217,Enforcements!$C$7:$E$9,3,0)</f>
        <v>#N/A</v>
      </c>
      <c r="AD217" s="244">
        <f t="shared" si="115"/>
        <v>309</v>
      </c>
      <c r="AE217" s="236" t="str">
        <f t="shared" si="116"/>
        <v>aws s3 cp s3://rtdc.mdm.uploadarchive.raw/RTDC4060/ "%USERPROFILE%\AppData\Local\Temp\OnboardLogs"\RTDC4060\2017-11-29 --exclude "*" --recursive --include "*20171129*" &amp; "%USERPROFILE%\Documents\GitHub\mrs-test-scripts\Headless Mode &amp; Sideloading\WalkAndUnGZ.bat" "%USERPROFILE%\AppData\Local\Temp\OnboardLogs"\RTDC4060\2017-11-29 &amp; aws s3 cp s3://rtdc.mdm.uploadarchive.raw/RTDC4060/ "%USERPROFILE%\AppData\Local\Temp\OnboardLogs"\RTDC4060\2017-11-30 --exclude "*" --recursive --include "*20171130*" &amp; "%USERPROFILE%\Documents\GitHub\mrs-test-scripts\Headless Mode &amp; Sideloading\WalkAndUnGZ.bat" "%USERPROFILE%\AppData\Local\Temp\OnboardLogs"\RTDC4060\2017-11-30</v>
      </c>
      <c r="AF217" s="235" t="str">
        <f t="shared" si="117"/>
        <v>"C:\Program Files (x86)\AstroGrep\AstroGrep.exe" /e /r /s /spath="%USERPROFILE%\AppData\Local\Temp\OnboardLogs" /stypes="app*4060*20171129*" /stext=" 09:.+((SYSTEM_STATE.+slice.+state.+changed )|(ment ac)|(multiple cpu faults)|(system.+state.+changed )|(\[timeout)|(PRM\|1\|D)|(kpr)|(kdp)|(train st.+moving)|(\|lc)|(penalty))"</v>
      </c>
      <c r="AG217" s="245" t="str">
        <f t="shared" si="118"/>
        <v>Other</v>
      </c>
      <c r="AH217" s="237" t="str">
        <f t="shared" si="119"/>
        <v>"%USERPROFILE%\Documents\GitHub\eaglep3\Utilities\RefineRTDCRunTimes.py" --tripid 309-28 --locoid 4060 --swversion DE.1.0.9.0 --startMP 204:508 --initTime 2017-11-29T01:40:43 --startdatetime 2017-11-29T01:43:06 --delay 69 --endMP 300:23301 --enddatetime 2017-11-29T02:12:13 --enforcementcount 0 &gt;&gt;%USERPROFILE%\Documents\GitHub\eaglep3-reporting\EC\2017-11-28-refined-times.txt</v>
      </c>
      <c r="AI217" s="239" t="str">
        <f t="shared" si="120"/>
        <v>echo {"issue":{"subject":"","project_id":79,"tracker_id":40,"status_id":1,"priority_id":2,"assigned_to_id":338,"start_date":"2017-11-29","description":"","custom_fields":[{"id":1,"name":"Subdivision","value":"Other"},{"id":4,"name":"Milepost","value":"2.3301"},{"id":17,"name":"Train ID","value":"309-28"},{"id":16,"name":"Locomotive ID","value":"4060"},{"id":130,"name":"Impact","value":""},{"id":150,"name":"Time of Event (Mountain Time)","value":"02:12:13"},{"id":151,"name":"Denver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7" s="224"/>
      <c r="AK217" s="232"/>
      <c r="AL217" s="232"/>
      <c r="AM217" s="241" t="str">
        <f t="shared" si="121"/>
        <v>start /low /b %USERPROFILE%\Documents\GitHub\eaglep3\Utilities\DownloadLogsFromS3.py --loco 4060 --day 2017-11-29</v>
      </c>
      <c r="AN217" s="242" t="str">
        <f t="shared" si="122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09:12:13"},{"id":29,"name":"Sharepoint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 s="231" t="str">
        <f t="shared" si="123"/>
        <v>https://d0f6bd738d7f1b3e5a7ca70fe4ff75f0.us-east-1.aws.found.io/app/kibana#/discover/Steve-Slow-Train-Analysis-(2080s-and-2083s)?_g=(refreshInterval:(display:Off,pause:!f,section:0,value:0),time:(from:'2017-11-29T00:40:43-0700',mode:absolute,to:'2017-11-29T03:12:13-0700'))&amp;_a=(columns:!('Message%20ID',Summary),filters:!(),index:'emp_*',interval:auto,query:(query_string:(analyze_wildcard:!t,query:'%22rtdc.l.rtdc.4060%22')),sort:!(Time.ISO8601,asc))</v>
      </c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0" customFormat="1" x14ac:dyDescent="0.25">
      <c r="A218" s="230" t="s">
        <v>689</v>
      </c>
      <c r="B218" s="226">
        <v>4033</v>
      </c>
      <c r="C218" s="228" t="s">
        <v>192</v>
      </c>
      <c r="D218" s="228" t="s">
        <v>990</v>
      </c>
      <c r="E218" s="227">
        <v>43067.197199074071</v>
      </c>
      <c r="F218" s="227">
        <v>43067.199479166666</v>
      </c>
      <c r="G218" s="226">
        <v>70</v>
      </c>
      <c r="H218" s="228" t="s">
        <v>908</v>
      </c>
      <c r="I218" s="227">
        <v>43067.204837962963</v>
      </c>
      <c r="J218" s="226">
        <v>0</v>
      </c>
      <c r="K218" s="238" t="str">
        <f t="shared" si="108"/>
        <v>4033/4034</v>
      </c>
      <c r="L218" s="246" t="str">
        <f>VLOOKUP(A218,'Trips&amp;Operators'!$C$1:$G$99911,5,FALSE)</f>
        <v>YANAI IAN</v>
      </c>
      <c r="M218" s="225">
        <f t="shared" si="109"/>
        <v>5.3587962975143455E-3</v>
      </c>
      <c r="N218" s="226">
        <f t="shared" si="85"/>
        <v>7.7166666684206575</v>
      </c>
      <c r="O218" s="226"/>
      <c r="P218" s="226"/>
      <c r="Q218" s="229"/>
      <c r="R218" s="243"/>
      <c r="S218" s="250">
        <f t="shared" si="86"/>
        <v>1</v>
      </c>
      <c r="T218" s="243" t="str">
        <f t="shared" si="110"/>
        <v>Southbound</v>
      </c>
      <c r="U218" s="247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249" t="str">
        <f t="shared" si="111"/>
        <v>https://d0f6bd738d7f1b3e5a7ca70fe4ff75f0.us-east-1.aws.found.io/app/kibana#/discover/Steve-Slow-Train-Analysis-(2080s-and-2083s)?_g=(refreshInterval:(display:Off,pause:!f,section:0,value:0),time:(from:'2017-11-28T03:43:58-0700',mode:absolute,to:'2017-11-28T05:54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218" s="248" t="str">
        <f>IF(AA218&lt;VLOOKUP(AG218,Variables!$AC$3:$AD$8,2,FALSE),"Y","N")</f>
        <v>Y</v>
      </c>
      <c r="X218" s="248">
        <f t="shared" si="102"/>
        <v>1</v>
      </c>
      <c r="Y218" s="248">
        <f t="shared" si="112"/>
        <v>2.3727999999999998</v>
      </c>
      <c r="Z218" s="248">
        <f t="shared" si="113"/>
        <v>1.38E-2</v>
      </c>
      <c r="AA218" s="248">
        <f t="shared" si="114"/>
        <v>2.359</v>
      </c>
      <c r="AB218" s="234" t="e">
        <f>VLOOKUP(A218,Enforcements!$C$7:$K$9,8,0)</f>
        <v>#N/A</v>
      </c>
      <c r="AC218" s="233" t="e">
        <f>VLOOKUP(A218,Enforcements!$C$7:$E$9,3,0)</f>
        <v>#N/A</v>
      </c>
      <c r="AD218" s="244">
        <f t="shared" si="115"/>
        <v>310</v>
      </c>
      <c r="AE218" s="236" t="str">
        <f t="shared" si="116"/>
        <v>aws s3 cp s3://rtdc.mdm.uploadarchive.raw/RTDC4033/ "%USERPROFILE%\AppData\Local\Temp\OnboardLogs"\RTDC4033\2017-11-28 --exclude "*" --recursive --include "*20171128*" &amp; "%USERPROFILE%\Documents\GitHub\mrs-test-scripts\Headless Mode &amp; Sideloading\WalkAndUnGZ.bat" "%USERPROFILE%\AppData\Local\Temp\OnboardLogs"\RTDC4033\2017-11-28 &amp; aws s3 cp s3://rtdc.mdm.uploadarchive.raw/RTDC4033/ "%USERPROFILE%\AppData\Local\Temp\OnboardLogs"\RTDC4033\2017-11-29 --exclude "*" --recursive --include "*20171129*" &amp; "%USERPROFILE%\Documents\GitHub\mrs-test-scripts\Headless Mode &amp; Sideloading\WalkAndUnGZ.bat" "%USERPROFILE%\AppData\Local\Temp\OnboardLogs"\RTDC4033\2017-11-29</v>
      </c>
      <c r="AF218" s="235" t="str">
        <f t="shared" si="117"/>
        <v>"C:\Program Files (x86)\AstroGrep\AstroGrep.exe" /e /r /s /spath="%USERPROFILE%\AppData\Local\Temp\OnboardLogs" /stypes="app*4033*20171128*" /stext=" 11:.+((SYSTEM_STATE.+slice.+state.+changed )|(ment ac)|(multiple cpu faults)|(system.+state.+changed )|(\[timeout)|(PRM\|1\|D)|(kpr)|(kdp)|(train st.+moving)|(\|lc)|(penalty))"</v>
      </c>
      <c r="AG218" s="245" t="str">
        <f t="shared" si="118"/>
        <v>Other</v>
      </c>
      <c r="AH218" s="237" t="str">
        <f t="shared" si="119"/>
        <v>"%USERPROFILE%\Documents\GitHub\eaglep3\Utilities\RefineRTDCRunTimes.py" --tripid 310-28 --locoid 4033 --swversion DE.1.0.9.0 --startMP 300:23728 --initTime 2017-11-28T04:43:58 --startdatetime 2017-11-28T04:47:15 --delay 70 --endMP 204:138 --enddatetime 2017-11-28T04:54:58 --enforcementcount 0 &gt;&gt;%USERPROFILE%\Documents\GitHub\eaglep3-reporting\EC\2017-11-28-refined-times.txt</v>
      </c>
      <c r="AI218" s="239" t="str">
        <f t="shared" si="120"/>
        <v>echo {"issue":{"subject":"","project_id":79,"tracker_id":40,"status_id":1,"priority_id":2,"assigned_to_id":338,"start_date":"2017-11-28","description":"","custom_fields":[{"id":1,"name":"Subdivision","value":"Other"},{"id":4,"name":"Milepost","value":"0.0138"},{"id":17,"name":"Train ID","value":"310-28"},{"id":16,"name":"Locomotive ID","value":"4033"},{"id":130,"name":"Impact","value":""},{"id":150,"name":"Time of Event (Mountain Time)","value":"04:54:58"},{"id":151,"name":"Denver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8" s="224"/>
      <c r="AK218" s="232"/>
      <c r="AL218" s="232"/>
      <c r="AM218" s="241" t="str">
        <f t="shared" si="121"/>
        <v>start /low /b %USERPROFILE%\Documents\GitHub\eaglep3\Utilities\DownloadLogsFromS3.py --loco 4033 --day 2017-11-28</v>
      </c>
      <c r="AN218" s="242" t="str">
        <f t="shared" si="12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11:54:58"},{"id":29,"name":"Sharepoint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 s="231" t="str">
        <f t="shared" si="123"/>
        <v>https://d0f6bd738d7f1b3e5a7ca70fe4ff75f0.us-east-1.aws.found.io/app/kibana#/discover/Steve-Slow-Train-Analysis-(2080s-and-2083s)?_g=(refreshInterval:(display:Off,pause:!f,section:0,value:0),time:(from:'2017-11-28T03:43:58-0700',mode:absolute,to:'2017-11-28T05:54:58-0700'))&amp;_a=(columns:!('Message%20ID',Summary),filters:!(),index:'emp_*',interval:auto,query:(query_string:(analyze_wildcard:!t,query:'%22rtdc.l.rtdc.4033%22')),sort:!(Time.ISO8601,asc))</v>
      </c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24" customFormat="1" x14ac:dyDescent="0.25">
      <c r="A219" s="230" t="s">
        <v>699</v>
      </c>
      <c r="B219" s="226">
        <v>4049</v>
      </c>
      <c r="C219" s="228" t="s">
        <v>192</v>
      </c>
      <c r="D219" s="228" t="s">
        <v>991</v>
      </c>
      <c r="E219" s="227">
        <v>43067.217395833337</v>
      </c>
      <c r="F219" s="227">
        <v>43067.220486111109</v>
      </c>
      <c r="G219" s="226">
        <v>94</v>
      </c>
      <c r="H219" s="228" t="s">
        <v>609</v>
      </c>
      <c r="I219" s="227">
        <v>43067.226180555554</v>
      </c>
      <c r="J219" s="226">
        <v>0</v>
      </c>
      <c r="K219" s="238" t="str">
        <f t="shared" si="108"/>
        <v>4049/4050</v>
      </c>
      <c r="L219" s="246" t="str">
        <f>VLOOKUP(A219,'Trips&amp;Operators'!$C$1:$G$99911,5,FALSE)</f>
        <v>MACDONALD THOMAS</v>
      </c>
      <c r="M219" s="225">
        <f t="shared" si="109"/>
        <v>5.694444444088731E-3</v>
      </c>
      <c r="N219" s="226">
        <f t="shared" si="85"/>
        <v>8.1999999994877726</v>
      </c>
      <c r="O219" s="226"/>
      <c r="P219" s="226"/>
      <c r="Q219" s="229"/>
      <c r="R219" s="243"/>
      <c r="S219" s="250">
        <f t="shared" si="86"/>
        <v>1</v>
      </c>
      <c r="T219" s="243" t="str">
        <f t="shared" si="110"/>
        <v>Southbound</v>
      </c>
      <c r="U219" s="247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249" t="str">
        <f t="shared" si="111"/>
        <v>https://d0f6bd738d7f1b3e5a7ca70fe4ff75f0.us-east-1.aws.found.io/app/kibana#/discover/Steve-Slow-Train-Analysis-(2080s-and-2083s)?_g=(refreshInterval:(display:Off,pause:!f,section:0,value:0),time:(from:'2017-11-28T04:13:03-0700',mode:absolute,to:'2017-11-28T06:25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19" s="248" t="str">
        <f>IF(AA219&lt;VLOOKUP(AG219,Variables!$AC$3:$AD$8,2,FALSE),"Y","N")</f>
        <v>Y</v>
      </c>
      <c r="X219" s="248">
        <f t="shared" si="102"/>
        <v>2</v>
      </c>
      <c r="Y219" s="248">
        <f t="shared" si="112"/>
        <v>2.3534999999999999</v>
      </c>
      <c r="Z219" s="248">
        <f t="shared" si="113"/>
        <v>2.63E-2</v>
      </c>
      <c r="AA219" s="248">
        <f t="shared" si="114"/>
        <v>2.3271999999999999</v>
      </c>
      <c r="AB219" s="234" t="e">
        <f>VLOOKUP(A219,Enforcements!$C$7:$K$9,8,0)</f>
        <v>#N/A</v>
      </c>
      <c r="AC219" s="233" t="e">
        <f>VLOOKUP(A219,Enforcements!$C$7:$E$9,3,0)</f>
        <v>#N/A</v>
      </c>
      <c r="AD219" s="244">
        <f t="shared" si="115"/>
        <v>312</v>
      </c>
      <c r="AE219" s="236" t="str">
        <f t="shared" si="116"/>
        <v>aws s3 cp s3://rtdc.mdm.uploadarchive.raw/RTDC4049/ "%USERPROFILE%\AppData\Local\Temp\OnboardLogs"\RTDC4049\2017-11-28 --exclude "*" --recursive --include "*20171128*" &amp; "%USERPROFILE%\Documents\GitHub\mrs-test-scripts\Headless Mode &amp; Sideloading\WalkAndUnGZ.bat" "%USERPROFILE%\AppData\Local\Temp\OnboardLogs"\RTDC4049\2017-11-28 &amp; aws s3 cp s3://rtdc.mdm.uploadarchive.raw/RTDC4049/ "%USERPROFILE%\AppData\Local\Temp\OnboardLogs"\RTDC4049\2017-11-29 --exclude "*" --recursive --include "*20171129*" &amp; "%USERPROFILE%\Documents\GitHub\mrs-test-scripts\Headless Mode &amp; Sideloading\WalkAndUnGZ.bat" "%USERPROFILE%\AppData\Local\Temp\OnboardLogs"\RTDC4049\2017-11-29</v>
      </c>
      <c r="AF219" s="235" t="str">
        <f t="shared" si="117"/>
        <v>"C:\Program Files (x86)\AstroGrep\AstroGrep.exe" /e /r /s /spath="%USERPROFILE%\AppData\Local\Temp\OnboardLogs" /stypes="app*4049*20171128*" /stext=" 12:.+((SYSTEM_STATE.+slice.+state.+changed )|(ment ac)|(multiple cpu faults)|(system.+state.+changed )|(\[timeout)|(PRM\|1\|D)|(kpr)|(kdp)|(train st.+moving)|(\|lc)|(penalty))"</v>
      </c>
      <c r="AG219" s="245" t="str">
        <f t="shared" si="118"/>
        <v>Other</v>
      </c>
      <c r="AH219" s="237" t="str">
        <f t="shared" si="119"/>
        <v>"%USERPROFILE%\Documents\GitHub\eaglep3\Utilities\RefineRTDCRunTimes.py" --tripid 312-28 --locoid 4049 --swversion DE.1.0.9.0 --startMP 300:23535 --initTime 2017-11-28T05:13:03 --startdatetime 2017-11-28T05:17:30 --delay 94 --endMP 204:263 --enddatetime 2017-11-28T05:25:42 --enforcementcount 0 &gt;&gt;%USERPROFILE%\Documents\GitHub\eaglep3-reporting\EC\2017-11-28-refined-times.txt</v>
      </c>
      <c r="AI219" s="239" t="str">
        <f t="shared" si="120"/>
        <v>echo {"issue":{"subject":"","project_id":79,"tracker_id":40,"status_id":1,"priority_id":2,"assigned_to_id":338,"start_date":"2017-11-28","description":"","custom_fields":[{"id":1,"name":"Subdivision","value":"Other"},{"id":4,"name":"Milepost","value":"0.0263"},{"id":17,"name":"Train ID","value":"312-28"},{"id":16,"name":"Locomotive ID","value":"4049"},{"id":130,"name":"Impact","value":""},{"id":150,"name":"Time of Event (Mountain Time)","value":"05:25:42"},{"id":151,"name":"Denver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9" s="232"/>
      <c r="AL219" s="232"/>
      <c r="AM219" s="241" t="str">
        <f t="shared" si="121"/>
        <v>start /low /b %USERPROFILE%\Documents\GitHub\eaglep3\Utilities\DownloadLogsFromS3.py --loco 4049 --day 2017-11-28</v>
      </c>
      <c r="AN219" s="242" t="str">
        <f t="shared" si="12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12:25:42"},{"id":29,"name":"Sharepoint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 s="231" t="str">
        <f t="shared" si="123"/>
        <v>https://d0f6bd738d7f1b3e5a7ca70fe4ff75f0.us-east-1.aws.found.io/app/kibana#/discover/Steve-Slow-Train-Analysis-(2080s-and-2083s)?_g=(refreshInterval:(display:Off,pause:!f,section:0,value:0),time:(from:'2017-11-28T04:13:03-0700',mode:absolute,to:'2017-11-28T06:25:42-0700'))&amp;_a=(columns:!('Message%20ID',Summary),filters:!(),index:'emp_*',interval:auto,query:(query_string:(analyze_wildcard:!t,query:'%22rtdc.l.rtdc.4049%22')),sort:!(Time.ISO8601,asc))</v>
      </c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0" customFormat="1" x14ac:dyDescent="0.25">
      <c r="A220" s="230" t="s">
        <v>692</v>
      </c>
      <c r="B220" s="226">
        <v>4030</v>
      </c>
      <c r="C220" s="228" t="s">
        <v>192</v>
      </c>
      <c r="D220" s="228" t="s">
        <v>1070</v>
      </c>
      <c r="E220" s="227">
        <v>43067.198506944442</v>
      </c>
      <c r="F220" s="227">
        <v>43067.204629629632</v>
      </c>
      <c r="G220" s="226">
        <v>103</v>
      </c>
      <c r="H220" s="228" t="s">
        <v>443</v>
      </c>
      <c r="I220" s="227">
        <v>43067.210613425923</v>
      </c>
      <c r="J220" s="226">
        <v>0</v>
      </c>
      <c r="K220" s="238" t="str">
        <f t="shared" si="108"/>
        <v>4029/4030</v>
      </c>
      <c r="L220" s="246" t="str">
        <f>VLOOKUP(A220,'Trips&amp;Operators'!$C$1:$G$99911,5,FALSE)</f>
        <v>DAVIDSON DAVID</v>
      </c>
      <c r="M220" s="225">
        <f t="shared" si="109"/>
        <v>5.9837962908204645E-3</v>
      </c>
      <c r="N220" s="226">
        <f t="shared" ref="N220:N239" si="124">24*60*SUM($M220:$M220)</f>
        <v>8.6166666587814689</v>
      </c>
      <c r="O220" s="226"/>
      <c r="P220" s="226"/>
      <c r="Q220" s="229"/>
      <c r="R220" s="243"/>
      <c r="S220" s="250">
        <f t="shared" ref="S220:S239" si="125">1/IF(AG220="EC",12,1)*SUM(U220:U220)</f>
        <v>0</v>
      </c>
      <c r="T220" s="243" t="str">
        <f t="shared" si="110"/>
        <v>NorthBound</v>
      </c>
      <c r="U220" s="247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249" t="str">
        <f t="shared" si="111"/>
        <v>https://d0f6bd738d7f1b3e5a7ca70fe4ff75f0.us-east-1.aws.found.io/app/kibana#/discover/Steve-Slow-Train-Analysis-(2080s-and-2083s)?_g=(refreshInterval:(display:Off,pause:!f,section:0,value:0),time:(from:'2017-11-28T03:45:51-0700',mode:absolute,to:'2017-11-28T06:03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20" s="248" t="str">
        <f>IF(AA220&lt;VLOOKUP(AG220,Variables!$AC$3:$AD$8,2,FALSE),"Y","N")</f>
        <v>Y</v>
      </c>
      <c r="X220" s="248">
        <f t="shared" si="102"/>
        <v>589</v>
      </c>
      <c r="Y220" s="248">
        <f t="shared" si="112"/>
        <v>3.0188000000000001</v>
      </c>
      <c r="Z220" s="248">
        <f t="shared" si="113"/>
        <v>5.8924000000000003</v>
      </c>
      <c r="AA220" s="248">
        <f t="shared" si="114"/>
        <v>2.8736000000000002</v>
      </c>
      <c r="AB220" s="234" t="e">
        <f>VLOOKUP(A220,Enforcements!$C$7:$K$9,8,0)</f>
        <v>#N/A</v>
      </c>
      <c r="AC220" s="233" t="e">
        <f>VLOOKUP(A220,Enforcements!$C$7:$E$9,3,0)</f>
        <v>#N/A</v>
      </c>
      <c r="AD220" s="244">
        <f t="shared" si="115"/>
        <v>901</v>
      </c>
      <c r="AE220" s="236" t="str">
        <f t="shared" si="116"/>
        <v>aws s3 cp s3://rtdc.mdm.uploadarchive.raw/RTDC4030/ "%USERPROFILE%\AppData\Local\Temp\OnboardLogs"\RTDC4030\2017-11-28 --exclude "*" --recursive --include "*20171128*" &amp; "%USERPROFILE%\Documents\GitHub\mrs-test-scripts\Headless Mode &amp; Sideloading\WalkAndUnGZ.bat" "%USERPROFILE%\AppData\Local\Temp\OnboardLogs"\RTDC4030\2017-11-28 &amp; aws s3 cp s3://rtdc.mdm.uploadarchive.raw/RTDC4030/ "%USERPROFILE%\AppData\Local\Temp\OnboardLogs"\RTDC4030\2017-11-29 --exclude "*" --recursive --include "*20171129*" &amp; "%USERPROFILE%\Documents\GitHub\mrs-test-scripts\Headless Mode &amp; Sideloading\WalkAndUnGZ.bat" "%USERPROFILE%\AppData\Local\Temp\OnboardLogs"\RTDC4030\2017-11-29</v>
      </c>
      <c r="AF220" s="235" t="str">
        <f t="shared" si="117"/>
        <v>"C:\Program Files (x86)\AstroGrep\AstroGrep.exe" /e /r /s /spath="%USERPROFILE%\AppData\Local\Temp\OnboardLogs" /stypes="app*4030*20171128*" /stext=" 12:.+((SYSTEM_STATE.+slice.+state.+changed )|(ment ac)|(multiple cpu faults)|(system.+state.+changed )|(\[timeout)|(PRM\|1\|D)|(kpr)|(kdp)|(train st.+moving)|(\|lc)|(penalty))"</v>
      </c>
      <c r="AG220" s="245" t="str">
        <f t="shared" si="118"/>
        <v>Other</v>
      </c>
      <c r="AH220" s="237" t="str">
        <f t="shared" si="119"/>
        <v>"%USERPROFILE%\Documents\GitHub\eaglep3\Utilities\RefineRTDCRunTimes.py" --tripid 901-28 --locoid 4030 --swversion DE.1.0.9.0 --startMP 300:30188 --initTime 2017-11-28T04:45:51 --startdatetime 2017-11-28T04:54:40 --delay 103 --endMP 300:58924 --enddatetime 2017-11-28T05:03:17 --enforcementcount 0 &gt;&gt;%USERPROFILE%\Documents\GitHub\eaglep3-reporting\EC\2017-11-28-refined-times.txt</v>
      </c>
      <c r="AI220" s="239" t="str">
        <f t="shared" si="120"/>
        <v>echo {"issue":{"subject":"","project_id":79,"tracker_id":40,"status_id":1,"priority_id":2,"assigned_to_id":338,"start_date":"2017-11-28","description":"","custom_fields":[{"id":1,"name":"Subdivision","value":"Other"},{"id":4,"name":"Milepost","value":"5.8924"},{"id":17,"name":"Train ID","value":"901-28"},{"id":16,"name":"Locomotive ID","value":"4030"},{"id":130,"name":"Impact","value":""},{"id":150,"name":"Time of Event (Mountain Time)","value":"05:03:17"},{"id":151,"name":"Denver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0" s="224"/>
      <c r="AK220" s="232"/>
      <c r="AL220" s="232"/>
      <c r="AM220" s="241" t="str">
        <f t="shared" si="121"/>
        <v>start /low /b %USERPROFILE%\Documents\GitHub\eaglep3\Utilities\DownloadLogsFromS3.py --loco 4030 --day 2017-11-28</v>
      </c>
      <c r="AN220" s="242" t="str">
        <f t="shared" si="12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12:03:17"},{"id":29,"name":"Sharepoint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 s="231" t="str">
        <f t="shared" si="123"/>
        <v>https://d0f6bd738d7f1b3e5a7ca70fe4ff75f0.us-east-1.aws.found.io/app/kibana#/discover/Steve-Slow-Train-Analysis-(2080s-and-2083s)?_g=(refreshInterval:(display:Off,pause:!f,section:0,value:0),time:(from:'2017-11-28T03:45:51-0700',mode:absolute,to:'2017-11-28T06:03:17-0700'))&amp;_a=(columns:!('Message%20ID',Summary),filters:!(),index:'emp_*',interval:auto,query:(query_string:(analyze_wildcard:!t,query:'%22rtdc.l.rtdc.4030%22')),sort:!(Time.ISO8601,asc))</v>
      </c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0" customFormat="1" x14ac:dyDescent="0.25">
      <c r="A221" s="230" t="s">
        <v>704</v>
      </c>
      <c r="B221" s="226">
        <v>4001</v>
      </c>
      <c r="C221" s="228" t="s">
        <v>192</v>
      </c>
      <c r="D221" s="228" t="s">
        <v>1071</v>
      </c>
      <c r="E221" s="227">
        <v>43067.234722222223</v>
      </c>
      <c r="F221" s="227">
        <v>43067.241446759261</v>
      </c>
      <c r="G221" s="226">
        <v>144</v>
      </c>
      <c r="H221" s="228" t="s">
        <v>500</v>
      </c>
      <c r="I221" s="227">
        <v>43067.247835648152</v>
      </c>
      <c r="J221" s="226">
        <v>0</v>
      </c>
      <c r="K221" s="238" t="str">
        <f t="shared" si="108"/>
        <v>4001/4002</v>
      </c>
      <c r="L221" s="246" t="str">
        <f>VLOOKUP(A221,'Trips&amp;Operators'!$C$1:$G$99911,5,FALSE)</f>
        <v>LONG FULLER</v>
      </c>
      <c r="M221" s="225">
        <f t="shared" si="109"/>
        <v>6.3888888907968067E-3</v>
      </c>
      <c r="N221" s="226">
        <f t="shared" si="124"/>
        <v>9.2000000027474016</v>
      </c>
      <c r="O221" s="226"/>
      <c r="P221" s="226"/>
      <c r="Q221" s="229"/>
      <c r="R221" s="243"/>
      <c r="S221" s="250">
        <f t="shared" si="125"/>
        <v>1</v>
      </c>
      <c r="T221" s="243" t="str">
        <f t="shared" si="110"/>
        <v>Southbound</v>
      </c>
      <c r="U221" s="247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249" t="str">
        <f t="shared" si="111"/>
        <v>https://d0f6bd738d7f1b3e5a7ca70fe4ff75f0.us-east-1.aws.found.io/app/kibana#/discover/Steve-Slow-Train-Analysis-(2080s-and-2083s)?_g=(refreshInterval:(display:Off,pause:!f,section:0,value:0),time:(from:'2017-11-28T04:38:00-0700',mode:absolute,to:'2017-11-28T06:56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21" s="248" t="str">
        <f>IF(AA221&lt;VLOOKUP(AG221,Variables!$AC$3:$AD$8,2,FALSE),"Y","N")</f>
        <v>Y</v>
      </c>
      <c r="X221" s="248">
        <f t="shared" si="102"/>
        <v>1</v>
      </c>
      <c r="Y221" s="248">
        <f t="shared" si="112"/>
        <v>2.3797999999999999</v>
      </c>
      <c r="Z221" s="248">
        <f t="shared" si="113"/>
        <v>8.4500000000000006E-2</v>
      </c>
      <c r="AA221" s="248">
        <f t="shared" si="114"/>
        <v>2.2953000000000001</v>
      </c>
      <c r="AB221" s="234" t="e">
        <f>VLOOKUP(A221,Enforcements!$C$7:$K$9,8,0)</f>
        <v>#N/A</v>
      </c>
      <c r="AC221" s="233" t="e">
        <f>VLOOKUP(A221,Enforcements!$C$7:$E$9,3,0)</f>
        <v>#N/A</v>
      </c>
      <c r="AD221" s="244">
        <f t="shared" si="115"/>
        <v>902</v>
      </c>
      <c r="AE221" s="236" t="str">
        <f t="shared" si="116"/>
        <v>aws s3 cp s3://rtdc.mdm.uploadarchive.raw/RTDC4001/ "%USERPROFILE%\AppData\Local\Temp\OnboardLogs"\RTDC4001\2017-11-28 --exclude "*" --recursive --include "*20171128*" &amp; "%USERPROFILE%\Documents\GitHub\mrs-test-scripts\Headless Mode &amp; Sideloading\WalkAndUnGZ.bat" "%USERPROFILE%\AppData\Local\Temp\OnboardLogs"\RTDC4001\2017-11-28 &amp; aws s3 cp s3://rtdc.mdm.uploadarchive.raw/RTDC4001/ "%USERPROFILE%\AppData\Local\Temp\OnboardLogs"\RTDC4001\2017-11-29 --exclude "*" --recursive --include "*20171129*" &amp; "%USERPROFILE%\Documents\GitHub\mrs-test-scripts\Headless Mode &amp; Sideloading\WalkAndUnGZ.bat" "%USERPROFILE%\AppData\Local\Temp\OnboardLogs"\RTDC4001\2017-11-29</v>
      </c>
      <c r="AF221" s="235" t="str">
        <f t="shared" si="117"/>
        <v>"C:\Program Files (x86)\AstroGrep\AstroGrep.exe" /e /r /s /spath="%USERPROFILE%\AppData\Local\Temp\OnboardLogs" /stypes="app*4001*20171128*" /stext=" 12:.+((SYSTEM_STATE.+slice.+state.+changed )|(ment ac)|(multiple cpu faults)|(system.+state.+changed )|(\[timeout)|(PRM\|1\|D)|(kpr)|(kdp)|(train st.+moving)|(\|lc)|(penalty))"</v>
      </c>
      <c r="AG221" s="245" t="str">
        <f t="shared" si="118"/>
        <v>Other</v>
      </c>
      <c r="AH221" s="237" t="str">
        <f t="shared" si="119"/>
        <v>"%USERPROFILE%\Documents\GitHub\eaglep3\Utilities\RefineRTDCRunTimes.py" --tripid 902-28 --locoid 4001 --swversion DE.1.0.9.0 --startMP 300:23798 --initTime 2017-11-28T05:38:00 --startdatetime 2017-11-28T05:47:41 --delay 144 --endMP 204:845 --enddatetime 2017-11-28T05:56:53 --enforcementcount 0 &gt;&gt;%USERPROFILE%\Documents\GitHub\eaglep3-reporting\EC\2017-11-28-refined-times.txt</v>
      </c>
      <c r="AI221" s="239" t="str">
        <f t="shared" si="120"/>
        <v>echo {"issue":{"subject":"","project_id":79,"tracker_id":40,"status_id":1,"priority_id":2,"assigned_to_id":338,"start_date":"2017-11-28","description":"","custom_fields":[{"id":1,"name":"Subdivision","value":"Other"},{"id":4,"name":"Milepost","value":"0.0845"},{"id":17,"name":"Train ID","value":"902-28"},{"id":16,"name":"Locomotive ID","value":"4001"},{"id":130,"name":"Impact","value":""},{"id":150,"name":"Time of Event (Mountain Time)","value":"05:56:53"},{"id":151,"name":"Denver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1" s="224"/>
      <c r="AK221" s="232"/>
      <c r="AL221" s="232"/>
      <c r="AM221" s="241" t="str">
        <f t="shared" si="121"/>
        <v>start /low /b %USERPROFILE%\Documents\GitHub\eaglep3\Utilities\DownloadLogsFromS3.py --loco 4001 --day 2017-11-28</v>
      </c>
      <c r="AN221" s="242" t="str">
        <f t="shared" si="12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12:56:53"},{"id":29,"name":"Sharepoint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 s="231" t="str">
        <f t="shared" si="123"/>
        <v>https://d0f6bd738d7f1b3e5a7ca70fe4ff75f0.us-east-1.aws.found.io/app/kibana#/discover/Steve-Slow-Train-Analysis-(2080s-and-2083s)?_g=(refreshInterval:(display:Off,pause:!f,section:0,value:0),time:(from:'2017-11-28T04:38:00-0700',mode:absolute,to:'2017-11-28T06:56:53-0700'))&amp;_a=(columns:!('Message%20ID',Summary),filters:!(),index:'emp_*',interval:auto,query:(query_string:(analyze_wildcard:!t,query:'%22rtdc.l.rtdc.4001%22')),sort:!(Time.ISO8601,asc))</v>
      </c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0" customFormat="1" x14ac:dyDescent="0.25">
      <c r="A222" s="230" t="s">
        <v>732</v>
      </c>
      <c r="B222" s="226">
        <v>4036</v>
      </c>
      <c r="C222" s="228" t="s">
        <v>192</v>
      </c>
      <c r="D222" s="228" t="s">
        <v>619</v>
      </c>
      <c r="E222" s="227">
        <v>43067.353344907409</v>
      </c>
      <c r="F222" s="227">
        <v>43067.354895833334</v>
      </c>
      <c r="G222" s="226">
        <v>49</v>
      </c>
      <c r="H222" s="228" t="s">
        <v>630</v>
      </c>
      <c r="I222" s="227">
        <v>43067.360636574071</v>
      </c>
      <c r="J222" s="226">
        <v>0</v>
      </c>
      <c r="K222" s="238" t="str">
        <f t="shared" si="108"/>
        <v>4035/4036</v>
      </c>
      <c r="L222" s="246" t="str">
        <f>VLOOKUP(A222,'Trips&amp;Operators'!$C$1:$G$99911,5,FALSE)</f>
        <v>DAVIDSON DAVID</v>
      </c>
      <c r="M222" s="225">
        <f t="shared" si="109"/>
        <v>5.7407407366554253E-3</v>
      </c>
      <c r="N222" s="226">
        <f t="shared" si="124"/>
        <v>8.2666666607838124</v>
      </c>
      <c r="O222" s="226"/>
      <c r="P222" s="226"/>
      <c r="Q222" s="229"/>
      <c r="R222" s="243"/>
      <c r="S222" s="250">
        <f t="shared" si="125"/>
        <v>1</v>
      </c>
      <c r="T222" s="243" t="str">
        <f t="shared" si="110"/>
        <v>NorthBound</v>
      </c>
      <c r="U222" s="247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249" t="str">
        <f t="shared" si="111"/>
        <v>https://d0f6bd738d7f1b3e5a7ca70fe4ff75f0.us-east-1.aws.found.io/app/kibana#/discover/Steve-Slow-Train-Analysis-(2080s-and-2083s)?_g=(refreshInterval:(display:Off,pause:!f,section:0,value:0),time:(from:'2017-11-28T07:28:49-0700',mode:absolute,to:'2017-11-28T09:39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222" s="248" t="str">
        <f>IF(AA222&lt;VLOOKUP(AG222,Variables!$AC$3:$AD$8,2,FALSE),"Y","N")</f>
        <v>Y</v>
      </c>
      <c r="X222" s="248">
        <f t="shared" si="102"/>
        <v>1</v>
      </c>
      <c r="Y222" s="248">
        <f t="shared" si="112"/>
        <v>0.1137</v>
      </c>
      <c r="Z222" s="248">
        <f t="shared" si="113"/>
        <v>2.4230999999999998</v>
      </c>
      <c r="AA222" s="248">
        <f t="shared" si="114"/>
        <v>2.3093999999999997</v>
      </c>
      <c r="AB222" s="234" t="e">
        <f>VLOOKUP(A222,Enforcements!$C$7:$K$9,8,0)</f>
        <v>#N/A</v>
      </c>
      <c r="AC222" s="233" t="e">
        <f>VLOOKUP(A222,Enforcements!$C$7:$E$9,3,0)</f>
        <v>#N/A</v>
      </c>
      <c r="AD222" s="244">
        <f t="shared" si="115"/>
        <v>903</v>
      </c>
      <c r="AE222" s="236" t="str">
        <f t="shared" si="116"/>
        <v>aws s3 cp s3://rtdc.mdm.uploadarchive.raw/RTDC4036/ "%USERPROFILE%\AppData\Local\Temp\OnboardLogs"\RTDC4036\2017-11-28 --exclude "*" --recursive --include "*20171128*" &amp; "%USERPROFILE%\Documents\GitHub\mrs-test-scripts\Headless Mode &amp; Sideloading\WalkAndUnGZ.bat" "%USERPROFILE%\AppData\Local\Temp\OnboardLogs"\RTDC4036\2017-11-28 &amp; aws s3 cp s3://rtdc.mdm.uploadarchive.raw/RTDC4036/ "%USERPROFILE%\AppData\Local\Temp\OnboardLogs"\RTDC4036\2017-11-29 --exclude "*" --recursive --include "*20171129*" &amp; "%USERPROFILE%\Documents\GitHub\mrs-test-scripts\Headless Mode &amp; Sideloading\WalkAndUnGZ.bat" "%USERPROFILE%\AppData\Local\Temp\OnboardLogs"\RTDC4036\2017-11-29</v>
      </c>
      <c r="AF222" s="235" t="str">
        <f t="shared" si="117"/>
        <v>"C:\Program Files (x86)\AstroGrep\AstroGrep.exe" /e /r /s /spath="%USERPROFILE%\AppData\Local\Temp\OnboardLogs" /stypes="app*4036*20171128*" /stext=" 15:.+((SYSTEM_STATE.+slice.+state.+changed )|(ment ac)|(multiple cpu faults)|(system.+state.+changed )|(\[timeout)|(PRM\|1\|D)|(kpr)|(kdp)|(train st.+moving)|(\|lc)|(penalty))"</v>
      </c>
      <c r="AG222" s="245" t="str">
        <f t="shared" si="118"/>
        <v>Other</v>
      </c>
      <c r="AH222" s="237" t="str">
        <f t="shared" si="119"/>
        <v>"%USERPROFILE%\Documents\GitHub\eaglep3\Utilities\RefineRTDCRunTimes.py" --tripid 903-28 --locoid 4036 --swversion DE.1.0.9.0 --startMP 204:1137 --initTime 2017-11-28T08:28:49 --startdatetime 2017-11-28T08:31:03 --delay 49 --endMP 300:24231 --enddatetime 2017-11-28T08:39:19 --enforcementcount 0 &gt;&gt;%USERPROFILE%\Documents\GitHub\eaglep3-reporting\EC\2017-11-28-refined-times.txt</v>
      </c>
      <c r="AI222" s="239" t="str">
        <f t="shared" si="120"/>
        <v>echo {"issue":{"subject":"","project_id":79,"tracker_id":40,"status_id":1,"priority_id":2,"assigned_to_id":338,"start_date":"2017-11-28","description":"","custom_fields":[{"id":1,"name":"Subdivision","value":"Other"},{"id":4,"name":"Milepost","value":"2.4231"},{"id":17,"name":"Train ID","value":"903-28"},{"id":16,"name":"Locomotive ID","value":"4036"},{"id":130,"name":"Impact","value":""},{"id":150,"name":"Time of Event (Mountain Time)","value":"08:39:19"},{"id":151,"name":"Denver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2" s="224"/>
      <c r="AK222" s="232"/>
      <c r="AL222" s="232"/>
      <c r="AM222" s="241" t="str">
        <f t="shared" si="121"/>
        <v>start /low /b %USERPROFILE%\Documents\GitHub\eaglep3\Utilities\DownloadLogsFromS3.py --loco 4036 --day 2017-11-28</v>
      </c>
      <c r="AN222" s="242" t="str">
        <f t="shared" si="12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15:39:19"},{"id":29,"name":"Sharepoint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 s="231" t="str">
        <f t="shared" si="123"/>
        <v>https://d0f6bd738d7f1b3e5a7ca70fe4ff75f0.us-east-1.aws.found.io/app/kibana#/discover/Steve-Slow-Train-Analysis-(2080s-and-2083s)?_g=(refreshInterval:(display:Off,pause:!f,section:0,value:0),time:(from:'2017-11-28T07:28:49-0700',mode:absolute,to:'2017-11-28T09:39:19-0700'))&amp;_a=(columns:!('Message%20ID',Summary),filters:!(),index:'emp_*',interval:auto,query:(query_string:(analyze_wildcard:!t,query:'%22rtdc.l.rtdc.4036%22')),sort:!(Time.ISO8601,asc))</v>
      </c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0" customFormat="1" x14ac:dyDescent="0.25">
      <c r="A223" s="230" t="s">
        <v>802</v>
      </c>
      <c r="B223" s="226">
        <v>4035</v>
      </c>
      <c r="C223" s="228" t="s">
        <v>192</v>
      </c>
      <c r="D223" s="228" t="s">
        <v>1072</v>
      </c>
      <c r="E223" s="227">
        <v>43067.636493055557</v>
      </c>
      <c r="F223" s="227">
        <v>43067.644513888888</v>
      </c>
      <c r="G223" s="226">
        <v>67</v>
      </c>
      <c r="H223" s="228" t="s">
        <v>1073</v>
      </c>
      <c r="I223" s="227">
        <v>43067.649282407408</v>
      </c>
      <c r="J223" s="226">
        <v>0</v>
      </c>
      <c r="K223" s="238" t="str">
        <f t="shared" si="108"/>
        <v>4035/4036</v>
      </c>
      <c r="L223" s="246" t="str">
        <f>VLOOKUP(A223,'Trips&amp;Operators'!$C$1:$G$99911,5,FALSE)</f>
        <v>STAMBAUGH JAMES</v>
      </c>
      <c r="M223" s="225">
        <f t="shared" si="109"/>
        <v>4.7685185199952684E-3</v>
      </c>
      <c r="N223" s="226">
        <f t="shared" si="124"/>
        <v>6.8666666687931865</v>
      </c>
      <c r="O223" s="226"/>
      <c r="P223" s="226"/>
      <c r="Q223" s="229"/>
      <c r="R223" s="243"/>
      <c r="S223" s="250">
        <f t="shared" si="125"/>
        <v>1</v>
      </c>
      <c r="T223" s="243" t="str">
        <f t="shared" si="110"/>
        <v>Southbound</v>
      </c>
      <c r="U223" s="247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249" t="str">
        <f t="shared" si="111"/>
        <v>https://d0f6bd738d7f1b3e5a7ca70fe4ff75f0.us-east-1.aws.found.io/app/kibana#/discover/Steve-Slow-Train-Analysis-(2080s-and-2083s)?_g=(refreshInterval:(display:Off,pause:!f,section:0,value:0),time:(from:'2017-11-28T14:16:33-0700',mode:absolute,to:'2017-11-28T16:34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23" s="248" t="str">
        <f>IF(AA223&lt;VLOOKUP(AG223,Variables!$AC$3:$AD$8,2,FALSE),"Y","N")</f>
        <v>Y</v>
      </c>
      <c r="X223" s="248">
        <f t="shared" si="102"/>
        <v>1</v>
      </c>
      <c r="Y223" s="248">
        <f t="shared" si="112"/>
        <v>2.3435999999999999</v>
      </c>
      <c r="Z223" s="248">
        <f t="shared" si="113"/>
        <v>6.8199999999999997E-2</v>
      </c>
      <c r="AA223" s="248">
        <f t="shared" si="114"/>
        <v>2.2753999999999999</v>
      </c>
      <c r="AB223" s="234" t="e">
        <f>VLOOKUP(A223,Enforcements!$C$7:$K$9,8,0)</f>
        <v>#N/A</v>
      </c>
      <c r="AC223" s="233" t="e">
        <f>VLOOKUP(A223,Enforcements!$C$7:$E$9,3,0)</f>
        <v>#N/A</v>
      </c>
      <c r="AD223" s="244">
        <f t="shared" si="115"/>
        <v>904</v>
      </c>
      <c r="AE223" s="236" t="str">
        <f t="shared" si="116"/>
        <v>aws s3 cp s3://rtdc.mdm.uploadarchive.raw/RTDC4035/ "%USERPROFILE%\AppData\Local\Temp\OnboardLogs"\RTDC4035\2017-11-28 --exclude "*" --recursive --include "*20171128*" &amp; "%USERPROFILE%\Documents\GitHub\mrs-test-scripts\Headless Mode &amp; Sideloading\WalkAndUnGZ.bat" "%USERPROFILE%\AppData\Local\Temp\OnboardLogs"\RTDC4035\2017-11-28 &amp; aws s3 cp s3://rtdc.mdm.uploadarchive.raw/RTDC4035/ "%USERPROFILE%\AppData\Local\Temp\OnboardLogs"\RTDC4035\2017-11-29 --exclude "*" --recursive --include "*20171129*" &amp; "%USERPROFILE%\Documents\GitHub\mrs-test-scripts\Headless Mode &amp; Sideloading\WalkAndUnGZ.bat" "%USERPROFILE%\AppData\Local\Temp\OnboardLogs"\RTDC4035\2017-11-29</v>
      </c>
      <c r="AF223" s="235" t="str">
        <f t="shared" si="117"/>
        <v>"C:\Program Files (x86)\AstroGrep\AstroGrep.exe" /e /r /s /spath="%USERPROFILE%\AppData\Local\Temp\OnboardLogs" /stypes="app*4035*20171128*" /stext=" 22:.+((SYSTEM_STATE.+slice.+state.+changed )|(ment ac)|(multiple cpu faults)|(system.+state.+changed )|(\[timeout)|(PRM\|1\|D)|(kpr)|(kdp)|(train st.+moving)|(\|lc)|(penalty))"</v>
      </c>
      <c r="AG223" s="245" t="str">
        <f t="shared" si="118"/>
        <v>Other</v>
      </c>
      <c r="AH223" s="237" t="str">
        <f t="shared" si="119"/>
        <v>"%USERPROFILE%\Documents\GitHub\eaglep3\Utilities\RefineRTDCRunTimes.py" --tripid 904-28 --locoid 4035 --swversion DE.1.0.9.0 --startMP 300:23436 --initTime 2017-11-28T15:16:33 --startdatetime 2017-11-28T15:28:06 --delay 67 --endMP 204:682 --enddatetime 2017-11-28T15:34:58 --enforcementcount 0 &gt;&gt;%USERPROFILE%\Documents\GitHub\eaglep3-reporting\EC\2017-11-28-refined-times.txt</v>
      </c>
      <c r="AI223" s="239" t="str">
        <f t="shared" si="120"/>
        <v>echo {"issue":{"subject":"","project_id":79,"tracker_id":40,"status_id":1,"priority_id":2,"assigned_to_id":338,"start_date":"2017-11-28","description":"","custom_fields":[{"id":1,"name":"Subdivision","value":"Other"},{"id":4,"name":"Milepost","value":"0.0682"},{"id":17,"name":"Train ID","value":"904-28"},{"id":16,"name":"Locomotive ID","value":"4035"},{"id":130,"name":"Impact","value":""},{"id":150,"name":"Time of Event (Mountain Time)","value":"15:34:58"},{"id":151,"name":"Denver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3" s="224"/>
      <c r="AK223" s="232"/>
      <c r="AL223" s="232"/>
      <c r="AM223" s="241" t="str">
        <f t="shared" si="121"/>
        <v>start /low /b %USERPROFILE%\Documents\GitHub\eaglep3\Utilities\DownloadLogsFromS3.py --loco 4035 --day 2017-11-28</v>
      </c>
      <c r="AN223" s="242" t="str">
        <f t="shared" si="12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22:34:58"},{"id":29,"name":"Sharepoint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 s="231" t="str">
        <f t="shared" si="123"/>
        <v>https://d0f6bd738d7f1b3e5a7ca70fe4ff75f0.us-east-1.aws.found.io/app/kibana#/discover/Steve-Slow-Train-Analysis-(2080s-and-2083s)?_g=(refreshInterval:(display:Off,pause:!f,section:0,value:0),time:(from:'2017-11-28T14:16:33-0700',mode:absolute,to:'2017-11-28T16:34:58-0700'))&amp;_a=(columns:!('Message%20ID',Summary),filters:!(),index:'emp_*',interval:auto,query:(query_string:(analyze_wildcard:!t,query:'%22rtdc.l.rtdc.4035%22')),sort:!(Time.ISO8601,asc))</v>
      </c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0" customFormat="1" x14ac:dyDescent="0.25">
      <c r="A224" s="230" t="s">
        <v>848</v>
      </c>
      <c r="B224" s="226">
        <v>4035</v>
      </c>
      <c r="C224" s="228" t="s">
        <v>192</v>
      </c>
      <c r="D224" s="228" t="s">
        <v>1047</v>
      </c>
      <c r="E224" s="227">
        <v>43067.789155092592</v>
      </c>
      <c r="F224" s="227">
        <v>43067.790254629632</v>
      </c>
      <c r="G224" s="226">
        <v>52</v>
      </c>
      <c r="H224" s="228" t="s">
        <v>1074</v>
      </c>
      <c r="I224" s="227">
        <v>43067.795949074076</v>
      </c>
      <c r="J224" s="226">
        <v>0</v>
      </c>
      <c r="K224" s="238" t="str">
        <f t="shared" si="108"/>
        <v>4035/4036</v>
      </c>
      <c r="L224" s="246" t="str">
        <f>VLOOKUP(A224,'Trips&amp;Operators'!$C$1:$G$99911,5,FALSE)</f>
        <v>STAMBAUGH JAMES</v>
      </c>
      <c r="M224" s="225">
        <f t="shared" si="109"/>
        <v>5.694444444088731E-3</v>
      </c>
      <c r="N224" s="226">
        <f t="shared" si="124"/>
        <v>8.1999999994877726</v>
      </c>
      <c r="O224" s="226"/>
      <c r="P224" s="226"/>
      <c r="Q224" s="229"/>
      <c r="R224" s="243"/>
      <c r="S224" s="250">
        <f t="shared" si="125"/>
        <v>0</v>
      </c>
      <c r="T224" s="243" t="str">
        <f t="shared" si="110"/>
        <v>Southbound</v>
      </c>
      <c r="U224" s="247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249" t="str">
        <f t="shared" si="111"/>
        <v>https://d0f6bd738d7f1b3e5a7ca70fe4ff75f0.us-east-1.aws.found.io/app/kibana#/discover/Steve-Slow-Train-Analysis-(2080s-and-2083s)?_g=(refreshInterval:(display:Off,pause:!f,section:0,value:0),time:(from:'2017-11-28T17:56:23-0700',mode:absolute,to:'2017-11-28T20:06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24" s="248" t="str">
        <f>IF(AA224&lt;VLOOKUP(AG224,Variables!$AC$3:$AD$8,2,FALSE),"Y","N")</f>
        <v>Y</v>
      </c>
      <c r="X224" s="248">
        <f t="shared" si="102"/>
        <v>2</v>
      </c>
      <c r="Y224" s="248">
        <f t="shared" si="112"/>
        <v>5.8616999999999999</v>
      </c>
      <c r="Z224" s="248">
        <f t="shared" si="113"/>
        <v>2.8765000000000001</v>
      </c>
      <c r="AA224" s="248">
        <f t="shared" si="114"/>
        <v>2.9851999999999999</v>
      </c>
      <c r="AB224" s="234" t="e">
        <f>VLOOKUP(A224,Enforcements!$C$7:$K$9,8,0)</f>
        <v>#N/A</v>
      </c>
      <c r="AC224" s="233" t="e">
        <f>VLOOKUP(A224,Enforcements!$C$7:$E$9,3,0)</f>
        <v>#N/A</v>
      </c>
      <c r="AD224" s="244">
        <f t="shared" si="115"/>
        <v>906</v>
      </c>
      <c r="AE224" s="236" t="str">
        <f t="shared" si="116"/>
        <v>aws s3 cp s3://rtdc.mdm.uploadarchive.raw/RTDC4035/ "%USERPROFILE%\AppData\Local\Temp\OnboardLogs"\RTDC4035\2017-11-28 --exclude "*" --recursive --include "*20171128*" &amp; "%USERPROFILE%\Documents\GitHub\mrs-test-scripts\Headless Mode &amp; Sideloading\WalkAndUnGZ.bat" "%USERPROFILE%\AppData\Local\Temp\OnboardLogs"\RTDC4035\2017-11-28 &amp; aws s3 cp s3://rtdc.mdm.uploadarchive.raw/RTDC4035/ "%USERPROFILE%\AppData\Local\Temp\OnboardLogs"\RTDC4035\2017-11-29 --exclude "*" --recursive --include "*20171129*" &amp; "%USERPROFILE%\Documents\GitHub\mrs-test-scripts\Headless Mode &amp; Sideloading\WalkAndUnGZ.bat" "%USERPROFILE%\AppData\Local\Temp\OnboardLogs"\RTDC4035\2017-11-29</v>
      </c>
      <c r="AF224" s="235" t="str">
        <f t="shared" si="117"/>
        <v>"C:\Program Files (x86)\AstroGrep\AstroGrep.exe" /e /r /s /spath="%USERPROFILE%\AppData\Local\Temp\OnboardLogs" /stypes="app*4035*20171129*" /stext=" 02:.+((SYSTEM_STATE.+slice.+state.+changed )|(ment ac)|(multiple cpu faults)|(system.+state.+changed )|(\[timeout)|(PRM\|1\|D)|(kpr)|(kdp)|(train st.+moving)|(\|lc)|(penalty))"</v>
      </c>
      <c r="AG224" s="245" t="str">
        <f t="shared" si="118"/>
        <v>Other</v>
      </c>
      <c r="AH224" s="237" t="str">
        <f t="shared" si="119"/>
        <v>"%USERPROFILE%\Documents\GitHub\eaglep3\Utilities\RefineRTDCRunTimes.py" --tripid 906-28 --locoid 4035 --swversion DE.1.0.9.0 --startMP 300:58617 --initTime 2017-11-28T18:56:23 --startdatetime 2017-11-28T18:57:58 --delay 52 --endMP 300:28765 --enddatetime 2017-11-28T19:06:10 --enforcementcount 0 &gt;&gt;%USERPROFILE%\Documents\GitHub\eaglep3-reporting\EC\2017-11-28-refined-times.txt</v>
      </c>
      <c r="AI224" s="239" t="str">
        <f t="shared" si="120"/>
        <v>echo {"issue":{"subject":"","project_id":79,"tracker_id":40,"status_id":1,"priority_id":2,"assigned_to_id":338,"start_date":"2017-11-28","description":"","custom_fields":[{"id":1,"name":"Subdivision","value":"Other"},{"id":4,"name":"Milepost","value":"2.8765"},{"id":17,"name":"Train ID","value":"906-28"},{"id":16,"name":"Locomotive ID","value":"4035"},{"id":130,"name":"Impact","value":""},{"id":150,"name":"Time of Event (Mountain Time)","value":"19:06:10"},{"id":151,"name":"Denver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4" s="224"/>
      <c r="AK224" s="232"/>
      <c r="AL224" s="232"/>
      <c r="AM224" s="241" t="str">
        <f t="shared" si="121"/>
        <v>start /low /b %USERPROFILE%\Documents\GitHub\eaglep3\Utilities\DownloadLogsFromS3.py --loco 4035 --day 2017-11-28</v>
      </c>
      <c r="AN224" s="242" t="str">
        <f t="shared" si="122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02:06:10"},{"id":29,"name":"Sharepoint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 s="231" t="str">
        <f t="shared" si="123"/>
        <v>https://d0f6bd738d7f1b3e5a7ca70fe4ff75f0.us-east-1.aws.found.io/app/kibana#/discover/Steve-Slow-Train-Analysis-(2080s-and-2083s)?_g=(refreshInterval:(display:Off,pause:!f,section:0,value:0),time:(from:'2017-11-28T17:56:23-0700',mode:absolute,to:'2017-11-28T20:06:10-0700'))&amp;_a=(columns:!('Message%20ID',Summary),filters:!(),index:'emp_*',interval:auto,query:(query_string:(analyze_wildcard:!t,query:'%22rtdc.l.rtdc.4035%22')),sort:!(Time.ISO8601,asc))</v>
      </c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0" customFormat="1" x14ac:dyDescent="0.25">
      <c r="A225" s="230" t="s">
        <v>667</v>
      </c>
      <c r="B225" s="226">
        <v>4036</v>
      </c>
      <c r="C225" s="228" t="s">
        <v>192</v>
      </c>
      <c r="D225" s="228" t="s">
        <v>897</v>
      </c>
      <c r="E225" s="227">
        <v>43067.128298611111</v>
      </c>
      <c r="F225" s="227">
        <v>43067.137928240743</v>
      </c>
      <c r="G225" s="226">
        <v>80</v>
      </c>
      <c r="H225" s="228" t="s">
        <v>992</v>
      </c>
      <c r="I225" s="227">
        <v>43067.138865740744</v>
      </c>
      <c r="J225" s="226">
        <v>0</v>
      </c>
      <c r="K225" s="238" t="str">
        <f t="shared" si="108"/>
        <v>4035/4036</v>
      </c>
      <c r="L225" s="246" t="str">
        <f>VLOOKUP(A225,'Trips&amp;Operators'!$C$1:$G$99911,5,FALSE)</f>
        <v>ACKERMAN JARED</v>
      </c>
      <c r="M225" s="225">
        <f t="shared" si="109"/>
        <v>9.3750000087311491E-4</v>
      </c>
      <c r="N225" s="226">
        <f t="shared" si="124"/>
        <v>1.3500000012572855</v>
      </c>
      <c r="O225" s="226"/>
      <c r="P225" s="226"/>
      <c r="Q225" s="229"/>
      <c r="R225" s="243"/>
      <c r="S225" s="250">
        <f t="shared" si="125"/>
        <v>0</v>
      </c>
      <c r="T225" s="243" t="str">
        <f t="shared" si="110"/>
        <v>NorthBound</v>
      </c>
      <c r="U225" s="247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249" t="str">
        <f t="shared" si="111"/>
        <v>https://d0f6bd738d7f1b3e5a7ca70fe4ff75f0.us-east-1.aws.found.io/app/kibana#/discover/Steve-Slow-Train-Analysis-(2080s-and-2083s)?_g=(refreshInterval:(display:Off,pause:!f,section:0,value:0),time:(from:'2017-11-28T02:04:45-0700',mode:absolute,to:'2017-11-28T04:19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225" s="248" t="str">
        <f>IF(AA225&lt;VLOOKUP(AG225,Variables!$AC$3:$AD$8,2,FALSE),"Y","N")</f>
        <v>Y</v>
      </c>
      <c r="X225" s="248">
        <f t="shared" si="102"/>
        <v>-855</v>
      </c>
      <c r="Y225" s="248">
        <f t="shared" si="112"/>
        <v>4.6199999999999998E-2</v>
      </c>
      <c r="Z225" s="248">
        <f t="shared" si="113"/>
        <v>0.34689999999999999</v>
      </c>
      <c r="AA225" s="248">
        <f t="shared" si="114"/>
        <v>0.30069999999999997</v>
      </c>
      <c r="AB225" s="234" t="e">
        <f>VLOOKUP(A225,Enforcements!$C$7:$K$9,8,0)</f>
        <v>#N/A</v>
      </c>
      <c r="AC225" s="233" t="e">
        <f>VLOOKUP(A225,Enforcements!$C$7:$E$9,3,0)</f>
        <v>#N/A</v>
      </c>
      <c r="AD225" s="244">
        <f t="shared" si="115"/>
        <v>51</v>
      </c>
      <c r="AE225" s="236" t="str">
        <f t="shared" si="116"/>
        <v>aws s3 cp s3://rtdc.mdm.uploadarchive.raw/RTDC4036/ "%USERPROFILE%\AppData\Local\Temp\OnboardLogs"\RTDC4036\2017-11-28 --exclude "*" --recursive --include "*20171128*" &amp; "%USERPROFILE%\Documents\GitHub\mrs-test-scripts\Headless Mode &amp; Sideloading\WalkAndUnGZ.bat" "%USERPROFILE%\AppData\Local\Temp\OnboardLogs"\RTDC4036\2017-11-28 &amp; aws s3 cp s3://rtdc.mdm.uploadarchive.raw/RTDC4036/ "%USERPROFILE%\AppData\Local\Temp\OnboardLogs"\RTDC4036\2017-11-29 --exclude "*" --recursive --include "*20171129*" &amp; "%USERPROFILE%\Documents\GitHub\mrs-test-scripts\Headless Mode &amp; Sideloading\WalkAndUnGZ.bat" "%USERPROFILE%\AppData\Local\Temp\OnboardLogs"\RTDC4036\2017-11-29</v>
      </c>
      <c r="AF225" s="235" t="str">
        <f t="shared" si="117"/>
        <v>"C:\Program Files (x86)\AstroGrep\AstroGrep.exe" /e /r /s /spath="%USERPROFILE%\AppData\Local\Temp\OnboardLogs" /stypes="app*4036*20171128*" /stext=" 10:.+((SYSTEM_STATE.+slice.+state.+changed )|(ment ac)|(multiple cpu faults)|(system.+state.+changed )|(\[timeout)|(PRM\|1\|D)|(kpr)|(kdp)|(train st.+moving)|(\|lc)|(penalty))"</v>
      </c>
      <c r="AG225" s="245" t="str">
        <f t="shared" si="118"/>
        <v>Shuttle/Test</v>
      </c>
      <c r="AH225" s="237" t="str">
        <f t="shared" si="119"/>
        <v>"%USERPROFILE%\Documents\GitHub\eaglep3\Utilities\RefineRTDCRunTimes.py" --tripid 51-28 --locoid 4036 --swversion DE.1.0.9.0 --startMP 204:462 --initTime 2017-11-28T03:04:45 --startdatetime 2017-11-28T03:18:37 --delay 80 --endMP 204:3469 --enddatetime 2017-11-28T03:19:58 --enforcementcount 0 &gt;&gt;%USERPROFILE%\Documents\GitHub\eaglep3-reporting\EC\2017-11-28-refined-times.txt</v>
      </c>
      <c r="AI225" s="239" t="str">
        <f t="shared" si="120"/>
        <v>echo {"issue":{"subject":"","project_id":79,"tracker_id":40,"status_id":1,"priority_id":2,"assigned_to_id":338,"start_date":"2017-11-28","description":"","custom_fields":[{"id":1,"name":"Subdivision","value":"Shuttle/Test"},{"id":4,"name":"Milepost","value":"0.3469"},{"id":17,"name":"Train ID","value":"51-28"},{"id":16,"name":"Locomotive ID","value":"4036"},{"id":130,"name":"Impact","value":""},{"id":150,"name":"Time of Event (Mountain Time)","value":"03:19:58"},{"id":151,"name":"Denver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5" s="224"/>
      <c r="AK225" s="232"/>
      <c r="AL225" s="232"/>
      <c r="AM225" s="241" t="str">
        <f t="shared" si="121"/>
        <v>start /low /b %USERPROFILE%\Documents\GitHub\eaglep3\Utilities\DownloadLogsFromS3.py --loco 4036 --day 2017-11-28</v>
      </c>
      <c r="AN225" s="242" t="str">
        <f t="shared" si="12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10:19:58"},{"id":29,"name":"Sharepoint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 s="231" t="str">
        <f t="shared" si="123"/>
        <v>https://d0f6bd738d7f1b3e5a7ca70fe4ff75f0.us-east-1.aws.found.io/app/kibana#/discover/Steve-Slow-Train-Analysis-(2080s-and-2083s)?_g=(refreshInterval:(display:Off,pause:!f,section:0,value:0),time:(from:'2017-11-28T02:04:45-0700',mode:absolute,to:'2017-11-28T04:19:58-0700'))&amp;_a=(columns:!('Message%20ID',Summary),filters:!(),index:'emp_*',interval:auto,query:(query_string:(analyze_wildcard:!t,query:'%22rtdc.l.rtdc.4036%22')),sort:!(Time.ISO8601,asc))</v>
      </c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s="20" customFormat="1" x14ac:dyDescent="0.25">
      <c r="A226" s="230" t="s">
        <v>667</v>
      </c>
      <c r="B226" s="226">
        <v>4058</v>
      </c>
      <c r="C226" s="228" t="s">
        <v>192</v>
      </c>
      <c r="D226" s="228" t="s">
        <v>993</v>
      </c>
      <c r="E226" s="227">
        <v>43067.682719907411</v>
      </c>
      <c r="F226" s="227">
        <v>43067.692511574074</v>
      </c>
      <c r="G226" s="226">
        <v>82</v>
      </c>
      <c r="H226" s="228" t="s">
        <v>615</v>
      </c>
      <c r="I226" s="227">
        <v>43067.698587962965</v>
      </c>
      <c r="J226" s="226">
        <v>0</v>
      </c>
      <c r="K226" s="238" t="str">
        <f t="shared" si="108"/>
        <v>4057/4058</v>
      </c>
      <c r="L226" s="246" t="str">
        <f>VLOOKUP(A226,'Trips&amp;Operators'!$C$1:$G$99911,5,FALSE)</f>
        <v>ACKERMAN JARED</v>
      </c>
      <c r="M226" s="225">
        <f t="shared" si="109"/>
        <v>6.0763888905057684E-3</v>
      </c>
      <c r="N226" s="226">
        <f t="shared" si="124"/>
        <v>8.7500000023283064</v>
      </c>
      <c r="O226" s="226"/>
      <c r="P226" s="226"/>
      <c r="Q226" s="229"/>
      <c r="R226" s="243"/>
      <c r="S226" s="250">
        <f t="shared" si="125"/>
        <v>1</v>
      </c>
      <c r="T226" s="243" t="str">
        <f t="shared" si="110"/>
        <v>NorthBound</v>
      </c>
      <c r="U226" s="247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1</v>
      </c>
      <c r="V226" s="249" t="str">
        <f t="shared" si="111"/>
        <v>https://d0f6bd738d7f1b3e5a7ca70fe4ff75f0.us-east-1.aws.found.io/app/kibana#/discover/Steve-Slow-Train-Analysis-(2080s-and-2083s)?_g=(refreshInterval:(display:Off,pause:!f,section:0,value:0),time:(from:'2017-11-28T15:23:07-0700',mode:absolute,to:'2017-11-28T17:45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26" s="248" t="str">
        <f>IF(AA226&lt;VLOOKUP(AG226,Variables!$AC$3:$AD$8,2,FALSE),"Y","N")</f>
        <v>Y</v>
      </c>
      <c r="X226" s="248">
        <f t="shared" si="102"/>
        <v>0</v>
      </c>
      <c r="Y226" s="248">
        <f t="shared" si="112"/>
        <v>0.1162</v>
      </c>
      <c r="Z226" s="248">
        <f t="shared" si="113"/>
        <v>2.3306</v>
      </c>
      <c r="AA226" s="248">
        <f t="shared" si="114"/>
        <v>2.2143999999999999</v>
      </c>
      <c r="AB226" s="234" t="e">
        <f>VLOOKUP(A226,Enforcements!$C$7:$K$9,8,0)</f>
        <v>#N/A</v>
      </c>
      <c r="AC226" s="233" t="e">
        <f>VLOOKUP(A226,Enforcements!$C$7:$E$9,3,0)</f>
        <v>#N/A</v>
      </c>
      <c r="AD226" s="244">
        <f t="shared" si="115"/>
        <v>51</v>
      </c>
      <c r="AE226" s="236" t="str">
        <f t="shared" si="116"/>
        <v>aws s3 cp s3://rtdc.mdm.uploadarchive.raw/RTDC4058/ "%USERPROFILE%\AppData\Local\Temp\OnboardLogs"\RTDC4058\2017-11-28 --exclude "*" --recursive --include "*20171128*" &amp; "%USERPROFILE%\Documents\GitHub\mrs-test-scripts\Headless Mode &amp; Sideloading\WalkAndUnGZ.bat" "%USERPROFILE%\AppData\Local\Temp\OnboardLogs"\RTDC4058\2017-11-28 &amp; aws s3 cp s3://rtdc.mdm.uploadarchive.raw/RTDC4058/ "%USERPROFILE%\AppData\Local\Temp\OnboardLogs"\RTDC4058\2017-11-29 --exclude "*" --recursive --include "*20171129*" &amp; "%USERPROFILE%\Documents\GitHub\mrs-test-scripts\Headless Mode &amp; Sideloading\WalkAndUnGZ.bat" "%USERPROFILE%\AppData\Local\Temp\OnboardLogs"\RTDC4058\2017-11-29</v>
      </c>
      <c r="AF226" s="235" t="str">
        <f t="shared" si="117"/>
        <v>"C:\Program Files (x86)\AstroGrep\AstroGrep.exe" /e /r /s /spath="%USERPROFILE%\AppData\Local\Temp\OnboardLogs" /stypes="app*4058*20171128*" /stext=" 23:.+((SYSTEM_STATE.+slice.+state.+changed )|(ment ac)|(multiple cpu faults)|(system.+state.+changed )|(\[timeout)|(PRM\|1\|D)|(kpr)|(kdp)|(train st.+moving)|(\|lc)|(penalty))"</v>
      </c>
      <c r="AG226" s="245" t="str">
        <f t="shared" si="118"/>
        <v>Shuttle/Test</v>
      </c>
      <c r="AH226" s="237" t="str">
        <f t="shared" si="119"/>
        <v>"%USERPROFILE%\Documents\GitHub\eaglep3\Utilities\RefineRTDCRunTimes.py" --tripid 51-28 --locoid 4058 --swversion DE.1.0.9.0 --startMP 204:1162 --initTime 2017-11-28T16:23:07 --startdatetime 2017-11-28T16:37:13 --delay 82 --endMP 300:23306 --enddatetime 2017-11-28T16:45:58 --enforcementcount 0 &gt;&gt;%USERPROFILE%\Documents\GitHub\eaglep3-reporting\EC\2017-11-28-refined-times.txt</v>
      </c>
      <c r="AI226" s="239" t="str">
        <f t="shared" si="120"/>
        <v>echo {"issue":{"subject":"","project_id":79,"tracker_id":40,"status_id":1,"priority_id":2,"assigned_to_id":338,"start_date":"2017-11-28","description":"","custom_fields":[{"id":1,"name":"Subdivision","value":"Shuttle/Test"},{"id":4,"name":"Milepost","value":"2.3306"},{"id":17,"name":"Train ID","value":"51-28"},{"id":16,"name":"Locomotive ID","value":"4058"},{"id":130,"name":"Impact","value":""},{"id":150,"name":"Time of Event (Mountain Time)","value":"16:45:58"},{"id":151,"name":"Denver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6" s="224"/>
      <c r="AK226" s="232"/>
      <c r="AL226" s="232"/>
      <c r="AM226" s="241" t="str">
        <f t="shared" si="121"/>
        <v>start /low /b %USERPROFILE%\Documents\GitHub\eaglep3\Utilities\DownloadLogsFromS3.py --loco 4058 --day 2017-11-28</v>
      </c>
      <c r="AN226" s="242" t="str">
        <f t="shared" si="12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23:45:58"},{"id":29,"name":"Sharepoint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 s="231" t="str">
        <f t="shared" si="123"/>
        <v>https://d0f6bd738d7f1b3e5a7ca70fe4ff75f0.us-east-1.aws.found.io/app/kibana#/discover/Steve-Slow-Train-Analysis-(2080s-and-2083s)?_g=(refreshInterval:(display:Off,pause:!f,section:0,value:0),time:(from:'2017-11-28T15:23:07-0700',mode:absolute,to:'2017-11-28T17:45:58-0700'))&amp;_a=(columns:!('Message%20ID',Summary),filters:!(),index:'emp_*',interval:auto,query:(query_string:(analyze_wildcard:!t,query:'%22rtdc.l.rtdc.4058%22')),sort:!(Time.ISO8601,asc))</v>
      </c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s="20" customFormat="1" x14ac:dyDescent="0.25">
      <c r="A227" s="230" t="s">
        <v>672</v>
      </c>
      <c r="B227" s="226">
        <v>4035</v>
      </c>
      <c r="C227" s="228" t="s">
        <v>192</v>
      </c>
      <c r="D227" s="228" t="s">
        <v>994</v>
      </c>
      <c r="E227" s="227">
        <v>43067.140196759261</v>
      </c>
      <c r="F227" s="227">
        <v>43067.14162037037</v>
      </c>
      <c r="G227" s="226">
        <v>68</v>
      </c>
      <c r="H227" s="228" t="s">
        <v>995</v>
      </c>
      <c r="I227" s="227">
        <v>43067.142476851855</v>
      </c>
      <c r="J227" s="226">
        <v>0</v>
      </c>
      <c r="K227" s="238" t="str">
        <f t="shared" si="108"/>
        <v>4035/4036</v>
      </c>
      <c r="L227" s="246" t="str">
        <f>VLOOKUP(A227,'Trips&amp;Operators'!$C$1:$G$99911,5,FALSE)</f>
        <v>ACKERMAN JARED</v>
      </c>
      <c r="M227" s="225">
        <f t="shared" si="109"/>
        <v>8.5648148524342105E-4</v>
      </c>
      <c r="N227" s="226">
        <f t="shared" si="124"/>
        <v>1.2333333387505263</v>
      </c>
      <c r="O227" s="226"/>
      <c r="P227" s="226"/>
      <c r="Q227" s="229"/>
      <c r="R227" s="243"/>
      <c r="S227" s="250">
        <f t="shared" si="125"/>
        <v>0</v>
      </c>
      <c r="T227" s="243" t="str">
        <f t="shared" si="110"/>
        <v>Southbound</v>
      </c>
      <c r="U227" s="247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249" t="str">
        <f t="shared" si="111"/>
        <v>https://d0f6bd738d7f1b3e5a7ca70fe4ff75f0.us-east-1.aws.found.io/app/kibana#/discover/Steve-Slow-Train-Analysis-(2080s-and-2083s)?_g=(refreshInterval:(display:Off,pause:!f,section:0,value:0),time:(from:'2017-11-28T02:21:53-0700',mode:absolute,to:'2017-11-28T04:25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27" s="248" t="str">
        <f>IF(AA227&lt;VLOOKUP(AG227,Variables!$AC$3:$AD$8,2,FALSE),"Y","N")</f>
        <v>Y</v>
      </c>
      <c r="X227" s="248">
        <f t="shared" si="102"/>
        <v>1</v>
      </c>
      <c r="Y227" s="248">
        <f t="shared" si="112"/>
        <v>0.31340000000000001</v>
      </c>
      <c r="Z227" s="248">
        <f t="shared" si="113"/>
        <v>0.1169</v>
      </c>
      <c r="AA227" s="248">
        <f t="shared" si="114"/>
        <v>0.19650000000000001</v>
      </c>
      <c r="AB227" s="234" t="e">
        <f>VLOOKUP(A227,Enforcements!$C$7:$K$9,8,0)</f>
        <v>#N/A</v>
      </c>
      <c r="AC227" s="233" t="e">
        <f>VLOOKUP(A227,Enforcements!$C$7:$E$9,3,0)</f>
        <v>#N/A</v>
      </c>
      <c r="AD227" s="244">
        <f t="shared" si="115"/>
        <v>52</v>
      </c>
      <c r="AE227" s="236" t="str">
        <f t="shared" si="116"/>
        <v>aws s3 cp s3://rtdc.mdm.uploadarchive.raw/RTDC4035/ "%USERPROFILE%\AppData\Local\Temp\OnboardLogs"\RTDC4035\2017-11-28 --exclude "*" --recursive --include "*20171128*" &amp; "%USERPROFILE%\Documents\GitHub\mrs-test-scripts\Headless Mode &amp; Sideloading\WalkAndUnGZ.bat" "%USERPROFILE%\AppData\Local\Temp\OnboardLogs"\RTDC4035\2017-11-28 &amp; aws s3 cp s3://rtdc.mdm.uploadarchive.raw/RTDC4035/ "%USERPROFILE%\AppData\Local\Temp\OnboardLogs"\RTDC4035\2017-11-29 --exclude "*" --recursive --include "*20171129*" &amp; "%USERPROFILE%\Documents\GitHub\mrs-test-scripts\Headless Mode &amp; Sideloading\WalkAndUnGZ.bat" "%USERPROFILE%\AppData\Local\Temp\OnboardLogs"\RTDC4035\2017-11-29</v>
      </c>
      <c r="AF227" s="235" t="str">
        <f t="shared" si="117"/>
        <v>"C:\Program Files (x86)\AstroGrep\AstroGrep.exe" /e /r /s /spath="%USERPROFILE%\AppData\Local\Temp\OnboardLogs" /stypes="app*4035*20171128*" /stext=" 10:.+((SYSTEM_STATE.+slice.+state.+changed )|(ment ac)|(multiple cpu faults)|(system.+state.+changed )|(\[timeout)|(PRM\|1\|D)|(kpr)|(kdp)|(train st.+moving)|(\|lc)|(penalty))"</v>
      </c>
      <c r="AG227" s="245" t="str">
        <f t="shared" si="118"/>
        <v>Shuttle/Test</v>
      </c>
      <c r="AH227" s="237" t="str">
        <f t="shared" si="119"/>
        <v>"%USERPROFILE%\Documents\GitHub\eaglep3\Utilities\RefineRTDCRunTimes.py" --tripid 52-28 --locoid 4035 --swversion DE.1.0.9.0 --startMP 204:3134 --initTime 2017-11-28T03:21:53 --startdatetime 2017-11-28T03:23:56 --delay 68 --endMP 204:1169 --enddatetime 2017-11-28T03:25:10 --enforcementcount 0 &gt;&gt;%USERPROFILE%\Documents\GitHub\eaglep3-reporting\EC\2017-11-28-refined-times.txt</v>
      </c>
      <c r="AI227" s="239" t="str">
        <f t="shared" si="120"/>
        <v>echo {"issue":{"subject":"","project_id":79,"tracker_id":40,"status_id":1,"priority_id":2,"assigned_to_id":338,"start_date":"2017-11-28","description":"","custom_fields":[{"id":1,"name":"Subdivision","value":"Shuttle/Test"},{"id":4,"name":"Milepost","value":"0.1169"},{"id":17,"name":"Train ID","value":"52-28"},{"id":16,"name":"Locomotive ID","value":"4035"},{"id":130,"name":"Impact","value":""},{"id":150,"name":"Time of Event (Mountain Time)","value":"03:25:10"},{"id":151,"name":"Denver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7" s="224"/>
      <c r="AK227" s="232"/>
      <c r="AL227" s="232"/>
      <c r="AM227" s="241" t="str">
        <f t="shared" si="121"/>
        <v>start /low /b %USERPROFILE%\Documents\GitHub\eaglep3\Utilities\DownloadLogsFromS3.py --loco 4035 --day 2017-11-28</v>
      </c>
      <c r="AN227" s="242" t="str">
        <f t="shared" si="12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10:25:10"},{"id":29,"name":"Sharepoint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 s="231" t="str">
        <f t="shared" si="123"/>
        <v>https://d0f6bd738d7f1b3e5a7ca70fe4ff75f0.us-east-1.aws.found.io/app/kibana#/discover/Steve-Slow-Train-Analysis-(2080s-and-2083s)?_g=(refreshInterval:(display:Off,pause:!f,section:0,value:0),time:(from:'2017-11-28T02:21:53-0700',mode:absolute,to:'2017-11-28T04:25:10-0700'))&amp;_a=(columns:!('Message%20ID',Summary),filters:!(),index:'emp_*',interval:auto,query:(query_string:(analyze_wildcard:!t,query:'%22rtdc.l.rtdc.4035%22')),sort:!(Time.ISO8601,asc))</v>
      </c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s="20" customFormat="1" x14ac:dyDescent="0.25">
      <c r="A228" s="230" t="s">
        <v>752</v>
      </c>
      <c r="B228" s="226">
        <v>4013</v>
      </c>
      <c r="C228" s="228" t="s">
        <v>192</v>
      </c>
      <c r="D228" s="228" t="s">
        <v>996</v>
      </c>
      <c r="E228" s="227">
        <v>43067.445</v>
      </c>
      <c r="F228" s="227">
        <v>43067.448506944442</v>
      </c>
      <c r="G228" s="226">
        <v>65</v>
      </c>
      <c r="H228" s="228" t="s">
        <v>997</v>
      </c>
      <c r="I228" s="227">
        <v>43067.4534375</v>
      </c>
      <c r="J228" s="226">
        <v>0</v>
      </c>
      <c r="K228" s="238" t="str">
        <f t="shared" si="108"/>
        <v>4013/4014</v>
      </c>
      <c r="L228" s="246" t="str">
        <f>VLOOKUP(A228,'Trips&amp;Operators'!$C$1:$G$99911,5,FALSE)</f>
        <v>MOSES BRADLEY</v>
      </c>
      <c r="M228" s="225">
        <f t="shared" si="109"/>
        <v>4.9305555585306138E-3</v>
      </c>
      <c r="N228" s="226">
        <f t="shared" si="124"/>
        <v>7.1000000042840838</v>
      </c>
      <c r="O228" s="226"/>
      <c r="P228" s="226"/>
      <c r="Q228" s="229"/>
      <c r="R228" s="243"/>
      <c r="S228" s="250">
        <f t="shared" si="125"/>
        <v>1</v>
      </c>
      <c r="T228" s="243" t="str">
        <f t="shared" si="110"/>
        <v>Southbound</v>
      </c>
      <c r="U228" s="247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1</v>
      </c>
      <c r="V228" s="249" t="str">
        <f t="shared" si="111"/>
        <v>https://d0f6bd738d7f1b3e5a7ca70fe4ff75f0.us-east-1.aws.found.io/app/kibana#/discover/Steve-Slow-Train-Analysis-(2080s-and-2083s)?_g=(refreshInterval:(display:Off,pause:!f,section:0,value:0),time:(from:'2017-11-28T09:40:48-0700',mode:absolute,to:'2017-11-28T11:52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28" s="248" t="str">
        <f>IF(AA228&lt;VLOOKUP(AG228,Variables!$AC$3:$AD$8,2,FALSE),"Y","N")</f>
        <v>Y</v>
      </c>
      <c r="X228" s="248">
        <f t="shared" si="102"/>
        <v>2</v>
      </c>
      <c r="Y228" s="248">
        <f t="shared" si="112"/>
        <v>2.0430000000000001</v>
      </c>
      <c r="Z228" s="248">
        <f t="shared" si="113"/>
        <v>1.29E-2</v>
      </c>
      <c r="AA228" s="248">
        <f t="shared" si="114"/>
        <v>2.0301</v>
      </c>
      <c r="AB228" s="234" t="e">
        <f>VLOOKUP(A228,Enforcements!$C$7:$K$9,8,0)</f>
        <v>#N/A</v>
      </c>
      <c r="AC228" s="233" t="e">
        <f>VLOOKUP(A228,Enforcements!$C$7:$E$9,3,0)</f>
        <v>#N/A</v>
      </c>
      <c r="AD228" s="244">
        <f t="shared" si="115"/>
        <v>54</v>
      </c>
      <c r="AE228" s="236" t="str">
        <f t="shared" si="116"/>
        <v>aws s3 cp s3://rtdc.mdm.uploadarchive.raw/RTDC4013/ "%USERPROFILE%\AppData\Local\Temp\OnboardLogs"\RTDC4013\2017-11-28 --exclude "*" --recursive --include "*20171128*" &amp; "%USERPROFILE%\Documents\GitHub\mrs-test-scripts\Headless Mode &amp; Sideloading\WalkAndUnGZ.bat" "%USERPROFILE%\AppData\Local\Temp\OnboardLogs"\RTDC4013\2017-11-28 &amp; aws s3 cp s3://rtdc.mdm.uploadarchive.raw/RTDC4013/ "%USERPROFILE%\AppData\Local\Temp\OnboardLogs"\RTDC4013\2017-11-29 --exclude "*" --recursive --include "*20171129*" &amp; "%USERPROFILE%\Documents\GitHub\mrs-test-scripts\Headless Mode &amp; Sideloading\WalkAndUnGZ.bat" "%USERPROFILE%\AppData\Local\Temp\OnboardLogs"\RTDC4013\2017-11-29</v>
      </c>
      <c r="AF228" s="235" t="str">
        <f t="shared" si="117"/>
        <v>"C:\Program Files (x86)\AstroGrep\AstroGrep.exe" /e /r /s /spath="%USERPROFILE%\AppData\Local\Temp\OnboardLogs" /stypes="app*4013*20171128*" /stext=" 17:.+((SYSTEM_STATE.+slice.+state.+changed )|(ment ac)|(multiple cpu faults)|(system.+state.+changed )|(\[timeout)|(PRM\|1\|D)|(kpr)|(kdp)|(train st.+moving)|(\|lc)|(penalty))"</v>
      </c>
      <c r="AG228" s="245" t="str">
        <f t="shared" si="118"/>
        <v>Shuttle/Test</v>
      </c>
      <c r="AH228" s="237" t="str">
        <f t="shared" si="119"/>
        <v>"%USERPROFILE%\Documents\GitHub\eaglep3\Utilities\RefineRTDCRunTimes.py" --tripid 54-28 --locoid 4013 --swversion DE.1.0.9.0 --startMP 300:20430 --initTime 2017-11-28T10:40:48 --startdatetime 2017-11-28T10:45:51 --delay 65 --endMP 204:129 --enddatetime 2017-11-28T10:52:57 --enforcementcount 0 &gt;&gt;%USERPROFILE%\Documents\GitHub\eaglep3-reporting\EC\2017-11-28-refined-times.txt</v>
      </c>
      <c r="AI228" s="239" t="str">
        <f t="shared" si="120"/>
        <v>echo {"issue":{"subject":"","project_id":79,"tracker_id":40,"status_id":1,"priority_id":2,"assigned_to_id":338,"start_date":"2017-11-28","description":"","custom_fields":[{"id":1,"name":"Subdivision","value":"Shuttle/Test"},{"id":4,"name":"Milepost","value":"0.0129"},{"id":17,"name":"Train ID","value":"54-28"},{"id":16,"name":"Locomotive ID","value":"4013"},{"id":130,"name":"Impact","value":""},{"id":150,"name":"Time of Event (Mountain Time)","value":"10:52:57"},{"id":151,"name":"Denver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8" s="224"/>
      <c r="AK228" s="232"/>
      <c r="AL228" s="232"/>
      <c r="AM228" s="241" t="str">
        <f t="shared" si="121"/>
        <v>start /low /b %USERPROFILE%\Documents\GitHub\eaglep3\Utilities\DownloadLogsFromS3.py --loco 4013 --day 2017-11-28</v>
      </c>
      <c r="AN228" s="242" t="str">
        <f t="shared" si="12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17:52:57"},{"id":29,"name":"Sharepoint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 s="231" t="str">
        <f t="shared" si="123"/>
        <v>https://d0f6bd738d7f1b3e5a7ca70fe4ff75f0.us-east-1.aws.found.io/app/kibana#/discover/Steve-Slow-Train-Analysis-(2080s-and-2083s)?_g=(refreshInterval:(display:Off,pause:!f,section:0,value:0),time:(from:'2017-11-28T09:40:48-0700',mode:absolute,to:'2017-11-28T11:52:57-0700'))&amp;_a=(columns:!('Message%20ID',Summary),filters:!(),index:'emp_*',interval:auto,query:(query_string:(analyze_wildcard:!t,query:'%22rtdc.l.rtdc.4013%22')),sort:!(Time.ISO8601,asc))</v>
      </c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s="20" customFormat="1" x14ac:dyDescent="0.25">
      <c r="A229" s="230" t="s">
        <v>759</v>
      </c>
      <c r="B229" s="226">
        <v>4014</v>
      </c>
      <c r="C229" s="228" t="s">
        <v>192</v>
      </c>
      <c r="D229" s="228" t="s">
        <v>998</v>
      </c>
      <c r="E229" s="227">
        <v>43067.474907407406</v>
      </c>
      <c r="F229" s="227">
        <v>43067.476655092592</v>
      </c>
      <c r="G229" s="226">
        <v>61</v>
      </c>
      <c r="H229" s="228" t="s">
        <v>999</v>
      </c>
      <c r="I229" s="227">
        <v>43067.481747685182</v>
      </c>
      <c r="J229" s="226">
        <v>0</v>
      </c>
      <c r="K229" s="238" t="str">
        <f t="shared" si="108"/>
        <v>4013/4014</v>
      </c>
      <c r="L229" s="246" t="str">
        <f>VLOOKUP(A229,'Trips&amp;Operators'!$C$1:$G$99911,5,FALSE)</f>
        <v>BIRENBAUM THOMAS</v>
      </c>
      <c r="M229" s="225">
        <f t="shared" si="109"/>
        <v>5.0925925897900015E-3</v>
      </c>
      <c r="N229" s="226">
        <f t="shared" si="124"/>
        <v>7.3333333292976022</v>
      </c>
      <c r="O229" s="226"/>
      <c r="P229" s="226"/>
      <c r="Q229" s="229"/>
      <c r="R229" s="243"/>
      <c r="S229" s="250">
        <f t="shared" si="125"/>
        <v>1</v>
      </c>
      <c r="T229" s="243" t="str">
        <f t="shared" si="110"/>
        <v>NorthBound</v>
      </c>
      <c r="U229" s="247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1</v>
      </c>
      <c r="V229" s="249" t="str">
        <f t="shared" si="111"/>
        <v>https://d0f6bd738d7f1b3e5a7ca70fe4ff75f0.us-east-1.aws.found.io/app/kibana#/discover/Steve-Slow-Train-Analysis-(2080s-and-2083s)?_g=(refreshInterval:(display:Off,pause:!f,section:0,value:0),time:(from:'2017-11-28T10:23:52-0700',mode:absolute,to:'2017-11-28T12:33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29" s="248" t="str">
        <f>IF(AA229&lt;VLOOKUP(AG229,Variables!$AC$3:$AD$8,2,FALSE),"Y","N")</f>
        <v>Y</v>
      </c>
      <c r="X229" s="248">
        <f t="shared" si="102"/>
        <v>1</v>
      </c>
      <c r="Y229" s="248">
        <f t="shared" si="112"/>
        <v>4.1300000000000003E-2</v>
      </c>
      <c r="Z229" s="248">
        <f t="shared" si="113"/>
        <v>2.4220000000000002</v>
      </c>
      <c r="AA229" s="248">
        <f t="shared" si="114"/>
        <v>2.3807</v>
      </c>
      <c r="AB229" s="234" t="e">
        <f>VLOOKUP(A229,Enforcements!$C$7:$K$9,8,0)</f>
        <v>#N/A</v>
      </c>
      <c r="AC229" s="233" t="e">
        <f>VLOOKUP(A229,Enforcements!$C$7:$E$9,3,0)</f>
        <v>#N/A</v>
      </c>
      <c r="AD229" s="244">
        <f t="shared" si="115"/>
        <v>55</v>
      </c>
      <c r="AE229" s="236" t="str">
        <f t="shared" si="116"/>
        <v>aws s3 cp s3://rtdc.mdm.uploadarchive.raw/RTDC4014/ "%USERPROFILE%\AppData\Local\Temp\OnboardLogs"\RTDC4014\2017-11-28 --exclude "*" --recursive --include "*20171128*" &amp; "%USERPROFILE%\Documents\GitHub\mrs-test-scripts\Headless Mode &amp; Sideloading\WalkAndUnGZ.bat" "%USERPROFILE%\AppData\Local\Temp\OnboardLogs"\RTDC4014\2017-11-28 &amp; aws s3 cp s3://rtdc.mdm.uploadarchive.raw/RTDC4014/ "%USERPROFILE%\AppData\Local\Temp\OnboardLogs"\RTDC4014\2017-11-29 --exclude "*" --recursive --include "*20171129*" &amp; "%USERPROFILE%\Documents\GitHub\mrs-test-scripts\Headless Mode &amp; Sideloading\WalkAndUnGZ.bat" "%USERPROFILE%\AppData\Local\Temp\OnboardLogs"\RTDC4014\2017-11-29</v>
      </c>
      <c r="AF229" s="235" t="str">
        <f t="shared" si="117"/>
        <v>"C:\Program Files (x86)\AstroGrep\AstroGrep.exe" /e /r /s /spath="%USERPROFILE%\AppData\Local\Temp\OnboardLogs" /stypes="app*4014*20171128*" /stext=" 18:.+((SYSTEM_STATE.+slice.+state.+changed )|(ment ac)|(multiple cpu faults)|(system.+state.+changed )|(\[timeout)|(PRM\|1\|D)|(kpr)|(kdp)|(train st.+moving)|(\|lc)|(penalty))"</v>
      </c>
      <c r="AG229" s="245" t="str">
        <f t="shared" si="118"/>
        <v>Shuttle/Test</v>
      </c>
      <c r="AH229" s="237" t="str">
        <f t="shared" si="119"/>
        <v>"%USERPROFILE%\Documents\GitHub\eaglep3\Utilities\RefineRTDCRunTimes.py" --tripid 55-28 --locoid 4014 --swversion DE.1.0.9.0 --startMP 204:413 --initTime 2017-11-28T11:23:52 --startdatetime 2017-11-28T11:26:23 --delay 61 --endMP 300:24220 --enddatetime 2017-11-28T11:33:43 --enforcementcount 0 &gt;&gt;%USERPROFILE%\Documents\GitHub\eaglep3-reporting\EC\2017-11-28-refined-times.txt</v>
      </c>
      <c r="AI229" s="239" t="str">
        <f t="shared" si="120"/>
        <v>echo {"issue":{"subject":"","project_id":79,"tracker_id":40,"status_id":1,"priority_id":2,"assigned_to_id":338,"start_date":"2017-11-28","description":"","custom_fields":[{"id":1,"name":"Subdivision","value":"Shuttle/Test"},{"id":4,"name":"Milepost","value":"2.422"},{"id":17,"name":"Train ID","value":"55-28"},{"id":16,"name":"Locomotive ID","value":"4014"},{"id":130,"name":"Impact","value":""},{"id":150,"name":"Time of Event (Mountain Time)","value":"11:33:43"},{"id":151,"name":"Denver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9" s="224"/>
      <c r="AK229" s="232"/>
      <c r="AL229" s="232"/>
      <c r="AM229" s="241" t="str">
        <f t="shared" si="121"/>
        <v>start /low /b %USERPROFILE%\Documents\GitHub\eaglep3\Utilities\DownloadLogsFromS3.py --loco 4014 --day 2017-11-28</v>
      </c>
      <c r="AN229" s="242" t="str">
        <f t="shared" si="12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18:33:43"},{"id":29,"name":"Sharepoint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 s="231" t="str">
        <f t="shared" si="123"/>
        <v>https://d0f6bd738d7f1b3e5a7ca70fe4ff75f0.us-east-1.aws.found.io/app/kibana#/discover/Steve-Slow-Train-Analysis-(2080s-and-2083s)?_g=(refreshInterval:(display:Off,pause:!f,section:0,value:0),time:(from:'2017-11-28T10:23:52-0700',mode:absolute,to:'2017-11-28T12:33:43-0700'))&amp;_a=(columns:!('Message%20ID',Summary),filters:!(),index:'emp_*',interval:auto,query:(query_string:(analyze_wildcard:!t,query:'%22rtdc.l.rtdc.4014%22')),sort:!(Time.ISO8601,asc))</v>
      </c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s="20" customFormat="1" x14ac:dyDescent="0.25">
      <c r="A230" s="230" t="s">
        <v>719</v>
      </c>
      <c r="B230" s="226">
        <v>4035</v>
      </c>
      <c r="C230" s="228" t="s">
        <v>192</v>
      </c>
      <c r="D230" s="228" t="s">
        <v>1000</v>
      </c>
      <c r="E230" s="227">
        <v>43067.308622685188</v>
      </c>
      <c r="F230" s="227">
        <v>43067.310162037036</v>
      </c>
      <c r="G230" s="226">
        <v>79</v>
      </c>
      <c r="H230" s="228" t="s">
        <v>1001</v>
      </c>
      <c r="I230" s="227">
        <v>43067.311840277776</v>
      </c>
      <c r="J230" s="226">
        <v>0</v>
      </c>
      <c r="K230" s="238" t="str">
        <f t="shared" si="108"/>
        <v>4035/4036</v>
      </c>
      <c r="L230" s="246" t="str">
        <f>VLOOKUP(A230,'Trips&amp;Operators'!$C$1:$G$99911,5,FALSE)</f>
        <v>ACKERMAN JARED</v>
      </c>
      <c r="M230" s="225">
        <f t="shared" si="109"/>
        <v>1.6782407401478849E-3</v>
      </c>
      <c r="N230" s="226">
        <f t="shared" si="124"/>
        <v>2.4166666658129543</v>
      </c>
      <c r="O230" s="226"/>
      <c r="P230" s="226"/>
      <c r="Q230" s="229"/>
      <c r="R230" s="243"/>
      <c r="S230" s="250">
        <f t="shared" si="125"/>
        <v>0</v>
      </c>
      <c r="T230" s="243" t="str">
        <f t="shared" si="110"/>
        <v>Southbound</v>
      </c>
      <c r="U230" s="247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249" t="str">
        <f t="shared" si="111"/>
        <v>https://d0f6bd738d7f1b3e5a7ca70fe4ff75f0.us-east-1.aws.found.io/app/kibana#/discover/Steve-Slow-Train-Analysis-(2080s-and-2083s)?_g=(refreshInterval:(display:Off,pause:!f,section:0,value:0),time:(from:'2017-11-28T06:24:25-0700',mode:absolute,to:'2017-11-28T08:29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30" s="248" t="str">
        <f>IF(AA230&lt;VLOOKUP(AG230,Variables!$AC$3:$AD$8,2,FALSE),"Y","N")</f>
        <v>Y</v>
      </c>
      <c r="X230" s="248">
        <f t="shared" si="102"/>
        <v>5</v>
      </c>
      <c r="Y230" s="248">
        <f t="shared" si="112"/>
        <v>0.4929</v>
      </c>
      <c r="Z230" s="248">
        <f t="shared" si="113"/>
        <v>7.5499999999999998E-2</v>
      </c>
      <c r="AA230" s="248">
        <f t="shared" si="114"/>
        <v>0.41739999999999999</v>
      </c>
      <c r="AB230" s="234" t="e">
        <f>VLOOKUP(A230,Enforcements!$C$7:$K$9,8,0)</f>
        <v>#N/A</v>
      </c>
      <c r="AC230" s="233" t="e">
        <f>VLOOKUP(A230,Enforcements!$C$7:$E$9,3,0)</f>
        <v>#N/A</v>
      </c>
      <c r="AD230" s="244">
        <f t="shared" si="115"/>
        <v>60</v>
      </c>
      <c r="AE230" s="236" t="str">
        <f t="shared" si="116"/>
        <v>aws s3 cp s3://rtdc.mdm.uploadarchive.raw/RTDC4035/ "%USERPROFILE%\AppData\Local\Temp\OnboardLogs"\RTDC4035\2017-11-28 --exclude "*" --recursive --include "*20171128*" &amp; "%USERPROFILE%\Documents\GitHub\mrs-test-scripts\Headless Mode &amp; Sideloading\WalkAndUnGZ.bat" "%USERPROFILE%\AppData\Local\Temp\OnboardLogs"\RTDC4035\2017-11-28 &amp; aws s3 cp s3://rtdc.mdm.uploadarchive.raw/RTDC4035/ "%USERPROFILE%\AppData\Local\Temp\OnboardLogs"\RTDC4035\2017-11-29 --exclude "*" --recursive --include "*20171129*" &amp; "%USERPROFILE%\Documents\GitHub\mrs-test-scripts\Headless Mode &amp; Sideloading\WalkAndUnGZ.bat" "%USERPROFILE%\AppData\Local\Temp\OnboardLogs"\RTDC4035\2017-11-29</v>
      </c>
      <c r="AF230" s="235" t="str">
        <f t="shared" si="117"/>
        <v>"C:\Program Files (x86)\AstroGrep\AstroGrep.exe" /e /r /s /spath="%USERPROFILE%\AppData\Local\Temp\OnboardLogs" /stypes="app*4035*20171128*" /stext=" 14:.+((SYSTEM_STATE.+slice.+state.+changed )|(ment ac)|(multiple cpu faults)|(system.+state.+changed )|(\[timeout)|(PRM\|1\|D)|(kpr)|(kdp)|(train st.+moving)|(\|lc)|(penalty))"</v>
      </c>
      <c r="AG230" s="245" t="str">
        <f t="shared" si="118"/>
        <v>Shuttle/Test</v>
      </c>
      <c r="AH230" s="237" t="str">
        <f t="shared" si="119"/>
        <v>"%USERPROFILE%\Documents\GitHub\eaglep3\Utilities\RefineRTDCRunTimes.py" --tripid 60-28 --locoid 4035 --swversion DE.1.0.9.0 --startMP 300:4929 --initTime 2017-11-28T07:24:25 --startdatetime 2017-11-28T07:26:38 --delay 79 --endMP 204:755 --enddatetime 2017-11-28T07:29:03 --enforcementcount 0 &gt;&gt;%USERPROFILE%\Documents\GitHub\eaglep3-reporting\EC\2017-11-28-refined-times.txt</v>
      </c>
      <c r="AI230" s="239" t="str">
        <f t="shared" si="120"/>
        <v>echo {"issue":{"subject":"","project_id":79,"tracker_id":40,"status_id":1,"priority_id":2,"assigned_to_id":338,"start_date":"2017-11-28","description":"","custom_fields":[{"id":1,"name":"Subdivision","value":"Shuttle/Test"},{"id":4,"name":"Milepost","value":"0.0755"},{"id":17,"name":"Train ID","value":"60-28"},{"id":16,"name":"Locomotive ID","value":"4035"},{"id":130,"name":"Impact","value":""},{"id":150,"name":"Time of Event (Mountain Time)","value":"07:29:03"},{"id":151,"name":"Denver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0" s="224"/>
      <c r="AK230" s="232"/>
      <c r="AL230" s="232"/>
      <c r="AM230" s="241" t="str">
        <f t="shared" si="121"/>
        <v>start /low /b %USERPROFILE%\Documents\GitHub\eaglep3\Utilities\DownloadLogsFromS3.py --loco 4035 --day 2017-11-28</v>
      </c>
      <c r="AN230" s="242" t="str">
        <f t="shared" si="12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14:29:03"},{"id":29,"name":"Sharepoint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 s="231" t="str">
        <f t="shared" si="123"/>
        <v>https://d0f6bd738d7f1b3e5a7ca70fe4ff75f0.us-east-1.aws.found.io/app/kibana#/discover/Steve-Slow-Train-Analysis-(2080s-and-2083s)?_g=(refreshInterval:(display:Off,pause:!f,section:0,value:0),time:(from:'2017-11-28T06:24:25-0700',mode:absolute,to:'2017-11-28T08:29:03-0700'))&amp;_a=(columns:!('Message%20ID',Summary),filters:!(),index:'emp_*',interval:auto,query:(query_string:(analyze_wildcard:!t,query:'%22rtdc.l.rtdc.4035%22')),sort:!(Time.ISO8601,asc))</v>
      </c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s="20" customFormat="1" x14ac:dyDescent="0.25">
      <c r="A231" s="230" t="s">
        <v>719</v>
      </c>
      <c r="B231" s="226">
        <v>4036</v>
      </c>
      <c r="C231" s="228" t="s">
        <v>192</v>
      </c>
      <c r="D231" s="228" t="s">
        <v>1002</v>
      </c>
      <c r="E231" s="227">
        <v>43067.300381944442</v>
      </c>
      <c r="F231" s="227">
        <v>43067.310162037036</v>
      </c>
      <c r="G231" s="226">
        <v>92</v>
      </c>
      <c r="H231" s="228" t="s">
        <v>1003</v>
      </c>
      <c r="I231" s="227">
        <v>43067.311840277776</v>
      </c>
      <c r="J231" s="226">
        <v>0</v>
      </c>
      <c r="K231" s="238" t="str">
        <f t="shared" si="108"/>
        <v>4035/4036</v>
      </c>
      <c r="L231" s="246" t="str">
        <f>VLOOKUP(A231,'Trips&amp;Operators'!$C$1:$G$99911,5,FALSE)</f>
        <v>ACKERMAN JARED</v>
      </c>
      <c r="M231" s="225">
        <f t="shared" si="109"/>
        <v>1.6782407401478849E-3</v>
      </c>
      <c r="N231" s="226">
        <f t="shared" si="124"/>
        <v>2.4166666658129543</v>
      </c>
      <c r="O231" s="226"/>
      <c r="P231" s="226"/>
      <c r="Q231" s="229"/>
      <c r="R231" s="243"/>
      <c r="S231" s="250">
        <f t="shared" si="125"/>
        <v>0</v>
      </c>
      <c r="T231" s="243" t="str">
        <f t="shared" si="110"/>
        <v>Southbound</v>
      </c>
      <c r="U231" s="247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249" t="str">
        <f t="shared" si="111"/>
        <v>https://d0f6bd738d7f1b3e5a7ca70fe4ff75f0.us-east-1.aws.found.io/app/kibana#/discover/Steve-Slow-Train-Analysis-(2080s-and-2083s)?_g=(refreshInterval:(display:Off,pause:!f,section:0,value:0),time:(from:'2017-11-28T06:12:33-0700',mode:absolute,to:'2017-11-28T08:29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231" s="248" t="str">
        <f>IF(AA231&lt;VLOOKUP(AG231,Variables!$AC$3:$AD$8,2,FALSE),"Y","N")</f>
        <v>Y</v>
      </c>
      <c r="X231" s="248">
        <f t="shared" si="102"/>
        <v>0</v>
      </c>
      <c r="Y231" s="248">
        <f t="shared" si="112"/>
        <v>0.14879999999999999</v>
      </c>
      <c r="Z231" s="248">
        <f t="shared" si="113"/>
        <v>0.52559999999999996</v>
      </c>
      <c r="AA231" s="248">
        <f t="shared" si="114"/>
        <v>0.37679999999999997</v>
      </c>
      <c r="AB231" s="234" t="e">
        <f>VLOOKUP(A231,Enforcements!$C$7:$K$9,8,0)</f>
        <v>#N/A</v>
      </c>
      <c r="AC231" s="233" t="e">
        <f>VLOOKUP(A231,Enforcements!$C$7:$E$9,3,0)</f>
        <v>#N/A</v>
      </c>
      <c r="AD231" s="244">
        <f t="shared" si="115"/>
        <v>60</v>
      </c>
      <c r="AE231" s="236" t="str">
        <f t="shared" si="116"/>
        <v>aws s3 cp s3://rtdc.mdm.uploadarchive.raw/RTDC4036/ "%USERPROFILE%\AppData\Local\Temp\OnboardLogs"\RTDC4036\2017-11-28 --exclude "*" --recursive --include "*20171128*" &amp; "%USERPROFILE%\Documents\GitHub\mrs-test-scripts\Headless Mode &amp; Sideloading\WalkAndUnGZ.bat" "%USERPROFILE%\AppData\Local\Temp\OnboardLogs"\RTDC4036\2017-11-28 &amp; aws s3 cp s3://rtdc.mdm.uploadarchive.raw/RTDC4036/ "%USERPROFILE%\AppData\Local\Temp\OnboardLogs"\RTDC4036\2017-11-29 --exclude "*" --recursive --include "*20171129*" &amp; "%USERPROFILE%\Documents\GitHub\mrs-test-scripts\Headless Mode &amp; Sideloading\WalkAndUnGZ.bat" "%USERPROFILE%\AppData\Local\Temp\OnboardLogs"\RTDC4036\2017-11-29</v>
      </c>
      <c r="AF231" s="235" t="str">
        <f t="shared" si="117"/>
        <v>"C:\Program Files (x86)\AstroGrep\AstroGrep.exe" /e /r /s /spath="%USERPROFILE%\AppData\Local\Temp\OnboardLogs" /stypes="app*4036*20171128*" /stext=" 14:.+((SYSTEM_STATE.+slice.+state.+changed )|(ment ac)|(multiple cpu faults)|(system.+state.+changed )|(\[timeout)|(PRM\|1\|D)|(kpr)|(kdp)|(train st.+moving)|(\|lc)|(penalty))"</v>
      </c>
      <c r="AG231" s="245" t="str">
        <f t="shared" si="118"/>
        <v>Shuttle/Test</v>
      </c>
      <c r="AH231" s="237" t="str">
        <f t="shared" si="119"/>
        <v>"%USERPROFILE%\Documents\GitHub\eaglep3\Utilities\RefineRTDCRunTimes.py" --tripid 60-28 --locoid 4036 --swversion DE.1.0.9.0 --startMP 204:1488 --initTime 2017-11-28T07:12:33 --startdatetime 2017-11-28T07:26:38 --delay 92 --endMP 300:5256 --enddatetime 2017-11-28T07:29:03 --enforcementcount 0 &gt;&gt;%USERPROFILE%\Documents\GitHub\eaglep3-reporting\EC\2017-11-28-refined-times.txt</v>
      </c>
      <c r="AI231" s="239" t="str">
        <f t="shared" si="120"/>
        <v>echo {"issue":{"subject":"","project_id":79,"tracker_id":40,"status_id":1,"priority_id":2,"assigned_to_id":338,"start_date":"2017-11-28","description":"","custom_fields":[{"id":1,"name":"Subdivision","value":"Shuttle/Test"},{"id":4,"name":"Milepost","value":"0.5256"},{"id":17,"name":"Train ID","value":"60-28"},{"id":16,"name":"Locomotive ID","value":"4036"},{"id":130,"name":"Impact","value":""},{"id":150,"name":"Time of Event (Mountain Time)","value":"07:29:03"},{"id":151,"name":"Denver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1" s="224"/>
      <c r="AK231" s="232"/>
      <c r="AL231" s="232"/>
      <c r="AM231" s="241" t="str">
        <f t="shared" si="121"/>
        <v>start /low /b %USERPROFILE%\Documents\GitHub\eaglep3\Utilities\DownloadLogsFromS3.py --loco 4036 --day 2017-11-28</v>
      </c>
      <c r="AN231" s="242" t="str">
        <f t="shared" si="12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14:29:03"},{"id":29,"name":"Sharepoint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 s="231" t="str">
        <f t="shared" si="123"/>
        <v>https://d0f6bd738d7f1b3e5a7ca70fe4ff75f0.us-east-1.aws.found.io/app/kibana#/discover/Steve-Slow-Train-Analysis-(2080s-and-2083s)?_g=(refreshInterval:(display:Off,pause:!f,section:0,value:0),time:(from:'2017-11-28T06:12:33-0700',mode:absolute,to:'2017-11-28T08:29:03-0700'))&amp;_a=(columns:!('Message%20ID',Summary),filters:!(),index:'emp_*',interval:auto,query:(query_string:(analyze_wildcard:!t,query:'%22rtdc.l.rtdc.4036%22')),sort:!(Time.ISO8601,asc))</v>
      </c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s="20" customFormat="1" x14ac:dyDescent="0.25">
      <c r="A232" s="230" t="s">
        <v>734</v>
      </c>
      <c r="B232" s="226">
        <v>4058</v>
      </c>
      <c r="C232" s="228" t="s">
        <v>192</v>
      </c>
      <c r="D232" s="228" t="s">
        <v>897</v>
      </c>
      <c r="E232" s="227">
        <v>43067.360729166663</v>
      </c>
      <c r="F232" s="227">
        <v>43067.3675</v>
      </c>
      <c r="G232" s="226">
        <v>76</v>
      </c>
      <c r="H232" s="228" t="s">
        <v>1008</v>
      </c>
      <c r="I232" s="227">
        <v>43067.368564814817</v>
      </c>
      <c r="J232" s="226">
        <v>0</v>
      </c>
      <c r="K232" s="238" t="str">
        <f t="shared" si="108"/>
        <v>4057/4058</v>
      </c>
      <c r="L232" s="246" t="str">
        <f>VLOOKUP(A232,'Trips&amp;Operators'!$C$1:$G$99911,5,FALSE)</f>
        <v>SPECTOR MICHAEL</v>
      </c>
      <c r="M232" s="225">
        <f t="shared" si="109"/>
        <v>1.0648148163454607E-3</v>
      </c>
      <c r="N232" s="226">
        <f t="shared" si="124"/>
        <v>1.5333333355374634</v>
      </c>
      <c r="O232" s="226"/>
      <c r="P232" s="226"/>
      <c r="Q232" s="229"/>
      <c r="R232" s="243"/>
      <c r="S232" s="250">
        <f t="shared" si="125"/>
        <v>0</v>
      </c>
      <c r="T232" s="243" t="str">
        <f t="shared" si="110"/>
        <v>NorthBound</v>
      </c>
      <c r="U232" s="247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249" t="str">
        <f t="shared" si="111"/>
        <v>https://d0f6bd738d7f1b3e5a7ca70fe4ff75f0.us-east-1.aws.found.io/app/kibana#/discover/Steve-Slow-Train-Analysis-(2080s-and-2083s)?_g=(refreshInterval:(display:Off,pause:!f,section:0,value:0),time:(from:'2017-11-28T07:39:27-0700',mode:absolute,to:'2017-11-28T09:50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32" s="248" t="str">
        <f>IF(AA232&lt;VLOOKUP(AG232,Variables!$AC$3:$AD$8,2,FALSE),"Y","N")</f>
        <v>Y</v>
      </c>
      <c r="X232" s="248">
        <f t="shared" si="102"/>
        <v>1</v>
      </c>
      <c r="Y232" s="248">
        <f t="shared" si="112"/>
        <v>4.6199999999999998E-2</v>
      </c>
      <c r="Z232" s="248">
        <f t="shared" si="113"/>
        <v>0.35420000000000001</v>
      </c>
      <c r="AA232" s="248">
        <f t="shared" si="114"/>
        <v>0.308</v>
      </c>
      <c r="AB232" s="234" t="e">
        <f>VLOOKUP(A232,Enforcements!$C$7:$K$9,8,0)</f>
        <v>#N/A</v>
      </c>
      <c r="AC232" s="233" t="e">
        <f>VLOOKUP(A232,Enforcements!$C$7:$E$9,3,0)</f>
        <v>#N/A</v>
      </c>
      <c r="AD232" s="244">
        <f t="shared" si="115"/>
        <v>61</v>
      </c>
      <c r="AE232" s="236" t="str">
        <f t="shared" si="116"/>
        <v>aws s3 cp s3://rtdc.mdm.uploadarchive.raw/RTDC4058/ "%USERPROFILE%\AppData\Local\Temp\OnboardLogs"\RTDC4058\2017-11-28 --exclude "*" --recursive --include "*20171128*" &amp; "%USERPROFILE%\Documents\GitHub\mrs-test-scripts\Headless Mode &amp; Sideloading\WalkAndUnGZ.bat" "%USERPROFILE%\AppData\Local\Temp\OnboardLogs"\RTDC4058\2017-11-28 &amp; aws s3 cp s3://rtdc.mdm.uploadarchive.raw/RTDC4058/ "%USERPROFILE%\AppData\Local\Temp\OnboardLogs"\RTDC4058\2017-11-29 --exclude "*" --recursive --include "*20171129*" &amp; "%USERPROFILE%\Documents\GitHub\mrs-test-scripts\Headless Mode &amp; Sideloading\WalkAndUnGZ.bat" "%USERPROFILE%\AppData\Local\Temp\OnboardLogs"\RTDC4058\2017-11-29</v>
      </c>
      <c r="AF232" s="235" t="str">
        <f t="shared" si="117"/>
        <v>"C:\Program Files (x86)\AstroGrep\AstroGrep.exe" /e /r /s /spath="%USERPROFILE%\AppData\Local\Temp\OnboardLogs" /stypes="app*4058*20171128*" /stext=" 15:.+((SYSTEM_STATE.+slice.+state.+changed )|(ment ac)|(multiple cpu faults)|(system.+state.+changed )|(\[timeout)|(PRM\|1\|D)|(kpr)|(kdp)|(train st.+moving)|(\|lc)|(penalty))"</v>
      </c>
      <c r="AG232" s="245" t="str">
        <f t="shared" si="118"/>
        <v>Shuttle/Test</v>
      </c>
      <c r="AH232" s="237" t="str">
        <f t="shared" si="119"/>
        <v>"%USERPROFILE%\Documents\GitHub\eaglep3\Utilities\RefineRTDCRunTimes.py" --tripid 61-28 --locoid 4058 --swversion DE.1.0.9.0 --startMP 204:462 --initTime 2017-11-28T08:39:27 --startdatetime 2017-11-28T08:49:12 --delay 76 --endMP 204:3542 --enddatetime 2017-11-28T08:50:44 --enforcementcount 0 &gt;&gt;%USERPROFILE%\Documents\GitHub\eaglep3-reporting\EC\2017-11-28-refined-times.txt</v>
      </c>
      <c r="AI232" s="239" t="str">
        <f t="shared" si="120"/>
        <v>echo {"issue":{"subject":"","project_id":79,"tracker_id":40,"status_id":1,"priority_id":2,"assigned_to_id":338,"start_date":"2017-11-28","description":"","custom_fields":[{"id":1,"name":"Subdivision","value":"Shuttle/Test"},{"id":4,"name":"Milepost","value":"0.3542"},{"id":17,"name":"Train ID","value":"61-28"},{"id":16,"name":"Locomotive ID","value":"4058"},{"id":130,"name":"Impact","value":""},{"id":150,"name":"Time of Event (Mountain Time)","value":"08:50:44"},{"id":151,"name":"Denver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2" s="224"/>
      <c r="AK232" s="232"/>
      <c r="AL232" s="232"/>
      <c r="AM232" s="241" t="str">
        <f t="shared" si="121"/>
        <v>start /low /b %USERPROFILE%\Documents\GitHub\eaglep3\Utilities\DownloadLogsFromS3.py --loco 4058 --day 2017-11-28</v>
      </c>
      <c r="AN232" s="242" t="str">
        <f t="shared" si="12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15:50:44"},{"id":29,"name":"Sharepoint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 s="231" t="str">
        <f t="shared" si="123"/>
        <v>https://d0f6bd738d7f1b3e5a7ca70fe4ff75f0.us-east-1.aws.found.io/app/kibana#/discover/Steve-Slow-Train-Analysis-(2080s-and-2083s)?_g=(refreshInterval:(display:Off,pause:!f,section:0,value:0),time:(from:'2017-11-28T07:39:27-0700',mode:absolute,to:'2017-11-28T09:50:44-0700'))&amp;_a=(columns:!('Message%20ID',Summary),filters:!(),index:'emp_*',interval:auto,query:(query_string:(analyze_wildcard:!t,query:'%22rtdc.l.rtdc.4058%22')),sort:!(Time.ISO8601,asc))</v>
      </c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s="20" customFormat="1" x14ac:dyDescent="0.25">
      <c r="A233" s="230" t="s">
        <v>734</v>
      </c>
      <c r="B233" s="226">
        <v>4057</v>
      </c>
      <c r="C233" s="228" t="s">
        <v>192</v>
      </c>
      <c r="D233" s="228" t="s">
        <v>1006</v>
      </c>
      <c r="E233" s="227">
        <v>43067.365891203706</v>
      </c>
      <c r="F233" s="227">
        <v>43067.3675</v>
      </c>
      <c r="G233" s="226">
        <v>72</v>
      </c>
      <c r="H233" s="228" t="s">
        <v>1007</v>
      </c>
      <c r="I233" s="227">
        <v>43067.368564814817</v>
      </c>
      <c r="J233" s="226">
        <v>0</v>
      </c>
      <c r="K233" s="238" t="str">
        <f t="shared" si="108"/>
        <v>4057/4058</v>
      </c>
      <c r="L233" s="246" t="str">
        <f>VLOOKUP(A233,'Trips&amp;Operators'!$C$1:$G$99911,5,FALSE)</f>
        <v>SPECTOR MICHAEL</v>
      </c>
      <c r="M233" s="225">
        <f t="shared" si="109"/>
        <v>1.0648148163454607E-3</v>
      </c>
      <c r="N233" s="226">
        <f t="shared" si="124"/>
        <v>1.5333333355374634</v>
      </c>
      <c r="O233" s="226"/>
      <c r="P233" s="226"/>
      <c r="Q233" s="229"/>
      <c r="R233" s="243"/>
      <c r="S233" s="250">
        <f t="shared" si="125"/>
        <v>0</v>
      </c>
      <c r="T233" s="243" t="str">
        <f t="shared" si="110"/>
        <v>NorthBound</v>
      </c>
      <c r="U233" s="247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249" t="str">
        <f t="shared" si="111"/>
        <v>https://d0f6bd738d7f1b3e5a7ca70fe4ff75f0.us-east-1.aws.found.io/app/kibana#/discover/Steve-Slow-Train-Analysis-(2080s-and-2083s)?_g=(refreshInterval:(display:Off,pause:!f,section:0,value:0),time:(from:'2017-11-28T07:46:53-0700',mode:absolute,to:'2017-11-28T09:50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33" s="248" t="str">
        <f>IF(AA233&lt;VLOOKUP(AG233,Variables!$AC$3:$AD$8,2,FALSE),"Y","N")</f>
        <v>Y</v>
      </c>
      <c r="X233" s="248">
        <f t="shared" si="102"/>
        <v>0</v>
      </c>
      <c r="Y233" s="248">
        <f t="shared" si="112"/>
        <v>0.3201</v>
      </c>
      <c r="Z233" s="248">
        <f t="shared" si="113"/>
        <v>0.1207</v>
      </c>
      <c r="AA233" s="248">
        <f t="shared" si="114"/>
        <v>0.19939999999999999</v>
      </c>
      <c r="AB233" s="234" t="e">
        <f>VLOOKUP(A233,Enforcements!$C$7:$K$9,8,0)</f>
        <v>#N/A</v>
      </c>
      <c r="AC233" s="233" t="e">
        <f>VLOOKUP(A233,Enforcements!$C$7:$E$9,3,0)</f>
        <v>#N/A</v>
      </c>
      <c r="AD233" s="244">
        <f t="shared" si="115"/>
        <v>61</v>
      </c>
      <c r="AE233" s="236" t="str">
        <f t="shared" si="116"/>
        <v>aws s3 cp s3://rtdc.mdm.uploadarchive.raw/RTDC4057/ "%USERPROFILE%\AppData\Local\Temp\OnboardLogs"\RTDC4057\2017-11-28 --exclude "*" --recursive --include "*20171128*" &amp; "%USERPROFILE%\Documents\GitHub\mrs-test-scripts\Headless Mode &amp; Sideloading\WalkAndUnGZ.bat" "%USERPROFILE%\AppData\Local\Temp\OnboardLogs"\RTDC4057\2017-11-28 &amp; aws s3 cp s3://rtdc.mdm.uploadarchive.raw/RTDC4057/ "%USERPROFILE%\AppData\Local\Temp\OnboardLogs"\RTDC4057\2017-11-29 --exclude "*" --recursive --include "*20171129*" &amp; "%USERPROFILE%\Documents\GitHub\mrs-test-scripts\Headless Mode &amp; Sideloading\WalkAndUnGZ.bat" "%USERPROFILE%\AppData\Local\Temp\OnboardLogs"\RTDC4057\2017-11-29</v>
      </c>
      <c r="AF233" s="235" t="str">
        <f t="shared" si="117"/>
        <v>"C:\Program Files (x86)\AstroGrep\AstroGrep.exe" /e /r /s /spath="%USERPROFILE%\AppData\Local\Temp\OnboardLogs" /stypes="app*4057*20171128*" /stext=" 15:.+((SYSTEM_STATE.+slice.+state.+changed )|(ment ac)|(multiple cpu faults)|(system.+state.+changed )|(\[timeout)|(PRM\|1\|D)|(kpr)|(kdp)|(train st.+moving)|(\|lc)|(penalty))"</v>
      </c>
      <c r="AG233" s="245" t="str">
        <f t="shared" si="118"/>
        <v>Shuttle/Test</v>
      </c>
      <c r="AH233" s="237" t="str">
        <f t="shared" si="119"/>
        <v>"%USERPROFILE%\Documents\GitHub\eaglep3\Utilities\RefineRTDCRunTimes.py" --tripid 61-28 --locoid 4057 --swversion DE.1.0.9.0 --startMP 204:3201 --initTime 2017-11-28T08:46:53 --startdatetime 2017-11-28T08:49:12 --delay 72 --endMP 204:1207 --enddatetime 2017-11-28T08:50:44 --enforcementcount 0 &gt;&gt;%USERPROFILE%\Documents\GitHub\eaglep3-reporting\EC\2017-11-28-refined-times.txt</v>
      </c>
      <c r="AI233" s="239" t="str">
        <f t="shared" si="120"/>
        <v>echo {"issue":{"subject":"","project_id":79,"tracker_id":40,"status_id":1,"priority_id":2,"assigned_to_id":338,"start_date":"2017-11-28","description":"","custom_fields":[{"id":1,"name":"Subdivision","value":"Shuttle/Test"},{"id":4,"name":"Milepost","value":"0.1207"},{"id":17,"name":"Train ID","value":"61-28"},{"id":16,"name":"Locomotive ID","value":"4057"},{"id":130,"name":"Impact","value":""},{"id":150,"name":"Time of Event (Mountain Time)","value":"08:50:44"},{"id":151,"name":"Denver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3" s="224"/>
      <c r="AK233" s="232"/>
      <c r="AL233" s="232"/>
      <c r="AM233" s="241" t="str">
        <f t="shared" si="121"/>
        <v>start /low /b %USERPROFILE%\Documents\GitHub\eaglep3\Utilities\DownloadLogsFromS3.py --loco 4057 --day 2017-11-28</v>
      </c>
      <c r="AN233" s="242" t="str">
        <f t="shared" si="12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15:50:44"},{"id":29,"name":"Sharepoint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 s="231" t="str">
        <f t="shared" si="123"/>
        <v>https://d0f6bd738d7f1b3e5a7ca70fe4ff75f0.us-east-1.aws.found.io/app/kibana#/discover/Steve-Slow-Train-Analysis-(2080s-and-2083s)?_g=(refreshInterval:(display:Off,pause:!f,section:0,value:0),time:(from:'2017-11-28T07:46:53-0700',mode:absolute,to:'2017-11-28T09:50:44-0700'))&amp;_a=(columns:!('Message%20ID',Summary),filters:!(),index:'emp_*',interval:auto,query:(query_string:(analyze_wildcard:!t,query:'%22rtdc.l.rtdc.4057%22')),sort:!(Time.ISO8601,asc))</v>
      </c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s="20" customFormat="1" x14ac:dyDescent="0.25">
      <c r="A234" s="230" t="s">
        <v>734</v>
      </c>
      <c r="B234" s="226">
        <v>4036</v>
      </c>
      <c r="C234" s="228" t="s">
        <v>192</v>
      </c>
      <c r="D234" s="228" t="s">
        <v>1009</v>
      </c>
      <c r="E234" s="227">
        <v>43067.531122685185</v>
      </c>
      <c r="F234" s="227">
        <v>43067.560474537036</v>
      </c>
      <c r="G234" s="226">
        <v>76</v>
      </c>
      <c r="H234" s="228" t="s">
        <v>1010</v>
      </c>
      <c r="I234" s="227">
        <v>43067.567511574074</v>
      </c>
      <c r="J234" s="226">
        <v>0</v>
      </c>
      <c r="K234" s="238" t="str">
        <f t="shared" si="108"/>
        <v>4035/4036</v>
      </c>
      <c r="L234" s="246" t="str">
        <f>VLOOKUP(A234,'Trips&amp;Operators'!$C$1:$G$99911,5,FALSE)</f>
        <v>SPECTOR MICHAEL</v>
      </c>
      <c r="M234" s="225">
        <f t="shared" si="109"/>
        <v>7.0370370376622304E-3</v>
      </c>
      <c r="N234" s="226">
        <f t="shared" si="124"/>
        <v>10.133333334233612</v>
      </c>
      <c r="O234" s="226"/>
      <c r="P234" s="226"/>
      <c r="Q234" s="229"/>
      <c r="R234" s="243"/>
      <c r="S234" s="250">
        <f t="shared" si="125"/>
        <v>1</v>
      </c>
      <c r="T234" s="243" t="str">
        <f t="shared" si="110"/>
        <v>NorthBound</v>
      </c>
      <c r="U234" s="247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1</v>
      </c>
      <c r="V234" s="249" t="str">
        <f t="shared" si="111"/>
        <v>https://d0f6bd738d7f1b3e5a7ca70fe4ff75f0.us-east-1.aws.found.io/app/kibana#/discover/Steve-Slow-Train-Analysis-(2080s-and-2083s)?_g=(refreshInterval:(display:Off,pause:!f,section:0,value:0),time:(from:'2017-11-28T11:44:49-0700',mode:absolute,to:'2017-11-28T14:37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234" s="248" t="str">
        <f>IF(AA234&lt;VLOOKUP(AG234,Variables!$AC$3:$AD$8,2,FALSE),"Y","N")</f>
        <v>Y</v>
      </c>
      <c r="X234" s="248">
        <f t="shared" si="102"/>
        <v>0</v>
      </c>
      <c r="Y234" s="248">
        <f t="shared" si="112"/>
        <v>9.3799999999999994E-2</v>
      </c>
      <c r="Z234" s="248">
        <f t="shared" si="113"/>
        <v>5.8967000000000001</v>
      </c>
      <c r="AA234" s="248">
        <f t="shared" si="114"/>
        <v>5.8029000000000002</v>
      </c>
      <c r="AB234" s="234" t="e">
        <f>VLOOKUP(A234,Enforcements!$C$7:$K$9,8,0)</f>
        <v>#N/A</v>
      </c>
      <c r="AC234" s="233" t="e">
        <f>VLOOKUP(A234,Enforcements!$C$7:$E$9,3,0)</f>
        <v>#N/A</v>
      </c>
      <c r="AD234" s="244">
        <f t="shared" si="115"/>
        <v>61</v>
      </c>
      <c r="AE234" s="236" t="str">
        <f t="shared" si="116"/>
        <v>aws s3 cp s3://rtdc.mdm.uploadarchive.raw/RTDC4036/ "%USERPROFILE%\AppData\Local\Temp\OnboardLogs"\RTDC4036\2017-11-28 --exclude "*" --recursive --include "*20171128*" &amp; "%USERPROFILE%\Documents\GitHub\mrs-test-scripts\Headless Mode &amp; Sideloading\WalkAndUnGZ.bat" "%USERPROFILE%\AppData\Local\Temp\OnboardLogs"\RTDC4036\2017-11-28 &amp; aws s3 cp s3://rtdc.mdm.uploadarchive.raw/RTDC4036/ "%USERPROFILE%\AppData\Local\Temp\OnboardLogs"\RTDC4036\2017-11-29 --exclude "*" --recursive --include "*20171129*" &amp; "%USERPROFILE%\Documents\GitHub\mrs-test-scripts\Headless Mode &amp; Sideloading\WalkAndUnGZ.bat" "%USERPROFILE%\AppData\Local\Temp\OnboardLogs"\RTDC4036\2017-11-29</v>
      </c>
      <c r="AF234" s="235" t="str">
        <f t="shared" si="117"/>
        <v>"C:\Program Files (x86)\AstroGrep\AstroGrep.exe" /e /r /s /spath="%USERPROFILE%\AppData\Local\Temp\OnboardLogs" /stypes="app*4036*20171128*" /stext=" 20:.+((SYSTEM_STATE.+slice.+state.+changed )|(ment ac)|(multiple cpu faults)|(system.+state.+changed )|(\[timeout)|(PRM\|1\|D)|(kpr)|(kdp)|(train st.+moving)|(\|lc)|(penalty))"</v>
      </c>
      <c r="AG234" s="245" t="str">
        <f t="shared" si="118"/>
        <v>Shuttle/Test</v>
      </c>
      <c r="AH234" s="237" t="str">
        <f t="shared" si="119"/>
        <v>"%USERPROFILE%\Documents\GitHub\eaglep3\Utilities\RefineRTDCRunTimes.py" --tripid 61-28 --locoid 4036 --swversion DE.1.0.9.0 --startMP 204:938 --initTime 2017-11-28T12:44:49 --startdatetime 2017-11-28T13:27:05 --delay 76 --endMP 300:58967 --enddatetime 2017-11-28T13:37:13 --enforcementcount 0 &gt;&gt;%USERPROFILE%\Documents\GitHub\eaglep3-reporting\EC\2017-11-28-refined-times.txt</v>
      </c>
      <c r="AI234" s="239" t="str">
        <f t="shared" si="120"/>
        <v>echo {"issue":{"subject":"","project_id":79,"tracker_id":40,"status_id":1,"priority_id":2,"assigned_to_id":338,"start_date":"2017-11-28","description":"","custom_fields":[{"id":1,"name":"Subdivision","value":"Shuttle/Test"},{"id":4,"name":"Milepost","value":"5.8967"},{"id":17,"name":"Train ID","value":"61-28"},{"id":16,"name":"Locomotive ID","value":"4036"},{"id":130,"name":"Impact","value":""},{"id":150,"name":"Time of Event (Mountain Time)","value":"13:37:13"},{"id":151,"name":"Denver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4" s="224"/>
      <c r="AK234" s="232"/>
      <c r="AL234" s="232"/>
      <c r="AM234" s="241" t="str">
        <f t="shared" si="121"/>
        <v>start /low /b %USERPROFILE%\Documents\GitHub\eaglep3\Utilities\DownloadLogsFromS3.py --loco 4036 --day 2017-11-28</v>
      </c>
      <c r="AN234" s="242" t="str">
        <f t="shared" si="12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20:37:13"},{"id":29,"name":"Sharepoint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 s="231" t="str">
        <f t="shared" si="123"/>
        <v>https://d0f6bd738d7f1b3e5a7ca70fe4ff75f0.us-east-1.aws.found.io/app/kibana#/discover/Steve-Slow-Train-Analysis-(2080s-and-2083s)?_g=(refreshInterval:(display:Off,pause:!f,section:0,value:0),time:(from:'2017-11-28T11:44:49-0700',mode:absolute,to:'2017-11-28T14:37:13-0700'))&amp;_a=(columns:!('Message%20ID',Summary),filters:!(),index:'emp_*',interval:auto,query:(query_string:(analyze_wildcard:!t,query:'%22rtdc.l.rtdc.4036%22')),sort:!(Time.ISO8601,asc))</v>
      </c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s="20" customFormat="1" x14ac:dyDescent="0.25">
      <c r="A235" s="230" t="s">
        <v>734</v>
      </c>
      <c r="B235" s="226">
        <v>4036</v>
      </c>
      <c r="C235" s="228" t="s">
        <v>192</v>
      </c>
      <c r="D235" s="228" t="s">
        <v>1004</v>
      </c>
      <c r="E235" s="227">
        <v>43067.55872685185</v>
      </c>
      <c r="F235" s="227">
        <v>43067.560474537036</v>
      </c>
      <c r="G235" s="226">
        <v>51</v>
      </c>
      <c r="H235" s="228" t="s">
        <v>1005</v>
      </c>
      <c r="I235" s="227">
        <v>43067.567511574074</v>
      </c>
      <c r="J235" s="226">
        <v>0</v>
      </c>
      <c r="K235" s="238" t="str">
        <f t="shared" si="108"/>
        <v>4035/4036</v>
      </c>
      <c r="L235" s="246" t="str">
        <f>VLOOKUP(A235,'Trips&amp;Operators'!$C$1:$G$99911,5,FALSE)</f>
        <v>SPECTOR MICHAEL</v>
      </c>
      <c r="M235" s="225">
        <f t="shared" si="109"/>
        <v>7.0370370376622304E-3</v>
      </c>
      <c r="N235" s="226">
        <f t="shared" si="124"/>
        <v>10.133333334233612</v>
      </c>
      <c r="O235" s="226"/>
      <c r="P235" s="226"/>
      <c r="Q235" s="229"/>
      <c r="R235" s="243"/>
      <c r="S235" s="250">
        <f t="shared" si="125"/>
        <v>1</v>
      </c>
      <c r="T235" s="243" t="str">
        <f t="shared" si="110"/>
        <v>NorthBound</v>
      </c>
      <c r="U235" s="247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1</v>
      </c>
      <c r="V235" s="249" t="str">
        <f t="shared" si="111"/>
        <v>https://d0f6bd738d7f1b3e5a7ca70fe4ff75f0.us-east-1.aws.found.io/app/kibana#/discover/Steve-Slow-Train-Analysis-(2080s-and-2083s)?_g=(refreshInterval:(display:Off,pause:!f,section:0,value:0),time:(from:'2017-11-28T12:24:34-0700',mode:absolute,to:'2017-11-28T14:37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235" s="248" t="str">
        <f>IF(AA235&lt;VLOOKUP(AG235,Variables!$AC$3:$AD$8,2,FALSE),"Y","N")</f>
        <v>Y</v>
      </c>
      <c r="X235" s="248">
        <f t="shared" si="102"/>
        <v>0</v>
      </c>
      <c r="Y235" s="248">
        <f t="shared" si="112"/>
        <v>9.5799999999999996E-2</v>
      </c>
      <c r="Z235" s="248">
        <f t="shared" si="113"/>
        <v>2.4281000000000001</v>
      </c>
      <c r="AA235" s="248">
        <f t="shared" si="114"/>
        <v>2.3323</v>
      </c>
      <c r="AB235" s="234" t="e">
        <f>VLOOKUP(A235,Enforcements!$C$7:$K$9,8,0)</f>
        <v>#N/A</v>
      </c>
      <c r="AC235" s="233" t="e">
        <f>VLOOKUP(A235,Enforcements!$C$7:$E$9,3,0)</f>
        <v>#N/A</v>
      </c>
      <c r="AD235" s="244">
        <f t="shared" si="115"/>
        <v>61</v>
      </c>
      <c r="AE235" s="236" t="str">
        <f t="shared" si="116"/>
        <v>aws s3 cp s3://rtdc.mdm.uploadarchive.raw/RTDC4036/ "%USERPROFILE%\AppData\Local\Temp\OnboardLogs"\RTDC4036\2017-11-28 --exclude "*" --recursive --include "*20171128*" &amp; "%USERPROFILE%\Documents\GitHub\mrs-test-scripts\Headless Mode &amp; Sideloading\WalkAndUnGZ.bat" "%USERPROFILE%\AppData\Local\Temp\OnboardLogs"\RTDC4036\2017-11-28 &amp; aws s3 cp s3://rtdc.mdm.uploadarchive.raw/RTDC4036/ "%USERPROFILE%\AppData\Local\Temp\OnboardLogs"\RTDC4036\2017-11-29 --exclude "*" --recursive --include "*20171129*" &amp; "%USERPROFILE%\Documents\GitHub\mrs-test-scripts\Headless Mode &amp; Sideloading\WalkAndUnGZ.bat" "%USERPROFILE%\AppData\Local\Temp\OnboardLogs"\RTDC4036\2017-11-29</v>
      </c>
      <c r="AF235" s="235" t="str">
        <f t="shared" si="117"/>
        <v>"C:\Program Files (x86)\AstroGrep\AstroGrep.exe" /e /r /s /spath="%USERPROFILE%\AppData\Local\Temp\OnboardLogs" /stypes="app*4036*20171128*" /stext=" 20:.+((SYSTEM_STATE.+slice.+state.+changed )|(ment ac)|(multiple cpu faults)|(system.+state.+changed )|(\[timeout)|(PRM\|1\|D)|(kpr)|(kdp)|(train st.+moving)|(\|lc)|(penalty))"</v>
      </c>
      <c r="AG235" s="245" t="str">
        <f t="shared" si="118"/>
        <v>Shuttle/Test</v>
      </c>
      <c r="AH235" s="237" t="str">
        <f t="shared" si="119"/>
        <v>"%USERPROFILE%\Documents\GitHub\eaglep3\Utilities\RefineRTDCRunTimes.py" --tripid 61-28 --locoid 4036 --swversion DE.1.0.9.0 --startMP 204:958 --initTime 2017-11-28T13:24:34 --startdatetime 2017-11-28T13:27:05 --delay 51 --endMP 300:24281 --enddatetime 2017-11-28T13:37:13 --enforcementcount 0 &gt;&gt;%USERPROFILE%\Documents\GitHub\eaglep3-reporting\EC\2017-11-28-refined-times.txt</v>
      </c>
      <c r="AI235" s="239" t="str">
        <f t="shared" si="120"/>
        <v>echo {"issue":{"subject":"","project_id":79,"tracker_id":40,"status_id":1,"priority_id":2,"assigned_to_id":338,"start_date":"2017-11-28","description":"","custom_fields":[{"id":1,"name":"Subdivision","value":"Shuttle/Test"},{"id":4,"name":"Milepost","value":"2.4281"},{"id":17,"name":"Train ID","value":"61-28"},{"id":16,"name":"Locomotive ID","value":"4036"},{"id":130,"name":"Impact","value":""},{"id":150,"name":"Time of Event (Mountain Time)","value":"13:37:13"},{"id":151,"name":"Denver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5" s="224"/>
      <c r="AK235" s="232"/>
      <c r="AL235" s="232"/>
      <c r="AM235" s="241" t="str">
        <f t="shared" si="121"/>
        <v>start /low /b %USERPROFILE%\Documents\GitHub\eaglep3\Utilities\DownloadLogsFromS3.py --loco 4036 --day 2017-11-28</v>
      </c>
      <c r="AN235" s="242" t="str">
        <f t="shared" si="12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20:37:13"},{"id":29,"name":"Sharepoint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5" s="231" t="str">
        <f t="shared" si="123"/>
        <v>https://d0f6bd738d7f1b3e5a7ca70fe4ff75f0.us-east-1.aws.found.io/app/kibana#/discover/Steve-Slow-Train-Analysis-(2080s-and-2083s)?_g=(refreshInterval:(display:Off,pause:!f,section:0,value:0),time:(from:'2017-11-28T12:24:34-0700',mode:absolute,to:'2017-11-28T14:37:13-0700'))&amp;_a=(columns:!('Message%20ID',Summary),filters:!(),index:'emp_*',interval:auto,query:(query_string:(analyze_wildcard:!t,query:'%22rtdc.l.rtdc.4036%22')),sort:!(Time.ISO8601,asc))</v>
      </c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:91" s="20" customFormat="1" x14ac:dyDescent="0.25">
      <c r="A236" s="230" t="s">
        <v>775</v>
      </c>
      <c r="B236" s="226">
        <v>4035</v>
      </c>
      <c r="C236" s="228" t="s">
        <v>192</v>
      </c>
      <c r="D236" s="228" t="s">
        <v>1011</v>
      </c>
      <c r="E236" s="227">
        <v>43067.522986111115</v>
      </c>
      <c r="F236" s="227">
        <v>43067.547002314815</v>
      </c>
      <c r="G236" s="226">
        <v>54</v>
      </c>
      <c r="H236" s="228" t="s">
        <v>1012</v>
      </c>
      <c r="I236" s="227">
        <v>43067.557974537034</v>
      </c>
      <c r="J236" s="226">
        <v>0</v>
      </c>
      <c r="K236" s="238" t="str">
        <f t="shared" si="108"/>
        <v>4035/4036</v>
      </c>
      <c r="L236" s="246" t="str">
        <f>VLOOKUP(A236,'Trips&amp;Operators'!$C$1:$G$99911,5,FALSE)</f>
        <v>ROBINSON KADDIBA</v>
      </c>
      <c r="M236" s="225">
        <f t="shared" si="109"/>
        <v>1.0972222218697425E-2</v>
      </c>
      <c r="N236" s="226">
        <f t="shared" si="124"/>
        <v>15.799999994924292</v>
      </c>
      <c r="O236" s="226"/>
      <c r="P236" s="226"/>
      <c r="Q236" s="229"/>
      <c r="R236" s="243"/>
      <c r="S236" s="250">
        <f t="shared" si="125"/>
        <v>1</v>
      </c>
      <c r="T236" s="243" t="str">
        <f t="shared" si="110"/>
        <v>Southbound</v>
      </c>
      <c r="U236" s="247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1</v>
      </c>
      <c r="V236" s="249" t="str">
        <f t="shared" si="111"/>
        <v>https://d0f6bd738d7f1b3e5a7ca70fe4ff75f0.us-east-1.aws.found.io/app/kibana#/discover/Steve-Slow-Train-Analysis-(2080s-and-2083s)?_g=(refreshInterval:(display:Off,pause:!f,section:0,value:0),time:(from:'2017-11-28T11:33:06-0700',mode:absolute,to:'2017-11-28T14:23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36" s="248" t="str">
        <f>IF(AA236&lt;VLOOKUP(AG236,Variables!$AC$3:$AD$8,2,FALSE),"Y","N")</f>
        <v>Y</v>
      </c>
      <c r="X236" s="248">
        <f t="shared" si="102"/>
        <v>1</v>
      </c>
      <c r="Y236" s="248">
        <f t="shared" si="112"/>
        <v>2.3694000000000002</v>
      </c>
      <c r="Z236" s="248">
        <f t="shared" si="113"/>
        <v>6.4500000000000002E-2</v>
      </c>
      <c r="AA236" s="248">
        <f t="shared" si="114"/>
        <v>2.3048999999999999</v>
      </c>
      <c r="AB236" s="234" t="e">
        <f>VLOOKUP(A236,Enforcements!$C$7:$K$9,8,0)</f>
        <v>#N/A</v>
      </c>
      <c r="AC236" s="233" t="e">
        <f>VLOOKUP(A236,Enforcements!$C$7:$E$9,3,0)</f>
        <v>#N/A</v>
      </c>
      <c r="AD236" s="244">
        <f t="shared" si="115"/>
        <v>62</v>
      </c>
      <c r="AE236" s="236" t="str">
        <f t="shared" si="116"/>
        <v>aws s3 cp s3://rtdc.mdm.uploadarchive.raw/RTDC4035/ "%USERPROFILE%\AppData\Local\Temp\OnboardLogs"\RTDC4035\2017-11-28 --exclude "*" --recursive --include "*20171128*" &amp; "%USERPROFILE%\Documents\GitHub\mrs-test-scripts\Headless Mode &amp; Sideloading\WalkAndUnGZ.bat" "%USERPROFILE%\AppData\Local\Temp\OnboardLogs"\RTDC4035\2017-11-28 &amp; aws s3 cp s3://rtdc.mdm.uploadarchive.raw/RTDC4035/ "%USERPROFILE%\AppData\Local\Temp\OnboardLogs"\RTDC4035\2017-11-29 --exclude "*" --recursive --include "*20171129*" &amp; "%USERPROFILE%\Documents\GitHub\mrs-test-scripts\Headless Mode &amp; Sideloading\WalkAndUnGZ.bat" "%USERPROFILE%\AppData\Local\Temp\OnboardLogs"\RTDC4035\2017-11-29</v>
      </c>
      <c r="AF236" s="235" t="str">
        <f t="shared" si="117"/>
        <v>"C:\Program Files (x86)\AstroGrep\AstroGrep.exe" /e /r /s /spath="%USERPROFILE%\AppData\Local\Temp\OnboardLogs" /stypes="app*4035*20171128*" /stext=" 20:.+((SYSTEM_STATE.+slice.+state.+changed )|(ment ac)|(multiple cpu faults)|(system.+state.+changed )|(\[timeout)|(PRM\|1\|D)|(kpr)|(kdp)|(train st.+moving)|(\|lc)|(penalty))"</v>
      </c>
      <c r="AG236" s="245" t="str">
        <f t="shared" si="118"/>
        <v>Shuttle/Test</v>
      </c>
      <c r="AH236" s="237" t="str">
        <f t="shared" si="119"/>
        <v>"%USERPROFILE%\Documents\GitHub\eaglep3\Utilities\RefineRTDCRunTimes.py" --tripid 62-28 --locoid 4035 --swversion DE.1.0.9.0 --startMP 300:23694 --initTime 2017-11-28T12:33:06 --startdatetime 2017-11-28T13:07:41 --delay 54 --endMP 204:645 --enddatetime 2017-11-28T13:23:29 --enforcementcount 0 &gt;&gt;%USERPROFILE%\Documents\GitHub\eaglep3-reporting\EC\2017-11-28-refined-times.txt</v>
      </c>
      <c r="AI236" s="239" t="str">
        <f t="shared" si="120"/>
        <v>echo {"issue":{"subject":"","project_id":79,"tracker_id":40,"status_id":1,"priority_id":2,"assigned_to_id":338,"start_date":"2017-11-28","description":"","custom_fields":[{"id":1,"name":"Subdivision","value":"Shuttle/Test"},{"id":4,"name":"Milepost","value":"0.0645"},{"id":17,"name":"Train ID","value":"62-28"},{"id":16,"name":"Locomotive ID","value":"4035"},{"id":130,"name":"Impact","value":""},{"id":150,"name":"Time of Event (Mountain Time)","value":"13:23:29"},{"id":151,"name":"Denver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6" s="224"/>
      <c r="AK236" s="232"/>
      <c r="AL236" s="232"/>
      <c r="AM236" s="241" t="str">
        <f t="shared" si="121"/>
        <v>start /low /b %USERPROFILE%\Documents\GitHub\eaglep3\Utilities\DownloadLogsFromS3.py --loco 4035 --day 2017-11-28</v>
      </c>
      <c r="AN236" s="242" t="str">
        <f t="shared" si="12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20:23:29"},{"id":29,"name":"Sharepoint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6" s="231" t="str">
        <f t="shared" si="123"/>
        <v>https://d0f6bd738d7f1b3e5a7ca70fe4ff75f0.us-east-1.aws.found.io/app/kibana#/discover/Steve-Slow-Train-Analysis-(2080s-and-2083s)?_g=(refreshInterval:(display:Off,pause:!f,section:0,value:0),time:(from:'2017-11-28T11:33:06-0700',mode:absolute,to:'2017-11-28T14:23:29-0700'))&amp;_a=(columns:!('Message%20ID',Summary),filters:!(),index:'emp_*',interval:auto,query:(query_string:(analyze_wildcard:!t,query:'%22rtdc.l.rtdc.4035%22')),sort:!(Time.ISO8601,asc))</v>
      </c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s="20" customFormat="1" x14ac:dyDescent="0.25">
      <c r="A237" s="230" t="s">
        <v>775</v>
      </c>
      <c r="B237" s="226">
        <v>4035</v>
      </c>
      <c r="C237" s="228" t="s">
        <v>192</v>
      </c>
      <c r="D237" s="228" t="s">
        <v>1039</v>
      </c>
      <c r="E237" s="227">
        <v>43067.544953703706</v>
      </c>
      <c r="F237" s="227">
        <v>43067.547002314815</v>
      </c>
      <c r="G237" s="226">
        <v>89</v>
      </c>
      <c r="H237" s="228" t="s">
        <v>1095</v>
      </c>
      <c r="I237" s="227">
        <v>43067.557974537034</v>
      </c>
      <c r="J237" s="226">
        <v>0</v>
      </c>
      <c r="K237" s="238" t="str">
        <f t="shared" si="108"/>
        <v>4035/4036</v>
      </c>
      <c r="L237" s="246" t="str">
        <f>VLOOKUP(A237,'Trips&amp;Operators'!$C$1:$G$99911,5,FALSE)</f>
        <v>ROBINSON KADDIBA</v>
      </c>
      <c r="M237" s="225">
        <f t="shared" si="109"/>
        <v>1.0972222218697425E-2</v>
      </c>
      <c r="N237" s="226">
        <f t="shared" si="124"/>
        <v>15.799999994924292</v>
      </c>
      <c r="O237" s="226"/>
      <c r="P237" s="226"/>
      <c r="Q237" s="229"/>
      <c r="R237" s="243"/>
      <c r="S237" s="250">
        <f t="shared" si="125"/>
        <v>1</v>
      </c>
      <c r="T237" s="243" t="str">
        <f t="shared" si="110"/>
        <v>Southbound</v>
      </c>
      <c r="U237" s="247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1</v>
      </c>
      <c r="V237" s="249" t="str">
        <f t="shared" si="111"/>
        <v>https://d0f6bd738d7f1b3e5a7ca70fe4ff75f0.us-east-1.aws.found.io/app/kibana#/discover/Steve-Slow-Train-Analysis-(2080s-and-2083s)?_g=(refreshInterval:(display:Off,pause:!f,section:0,value:0),time:(from:'2017-11-28T12:04:44-0700',mode:absolute,to:'2017-11-28T14:23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37" s="248" t="str">
        <f>IF(AA237&lt;VLOOKUP(AG237,Variables!$AC$3:$AD$8,2,FALSE),"Y","N")</f>
        <v>Y</v>
      </c>
      <c r="X237" s="248">
        <f t="shared" si="102"/>
        <v>0</v>
      </c>
      <c r="Y237" s="248">
        <f t="shared" si="112"/>
        <v>5.8655999999999997</v>
      </c>
      <c r="Z237" s="248">
        <f t="shared" si="113"/>
        <v>6.6900000000000001E-2</v>
      </c>
      <c r="AA237" s="248">
        <f t="shared" si="114"/>
        <v>5.7986999999999993</v>
      </c>
      <c r="AB237" s="234" t="e">
        <f>VLOOKUP(A237,Enforcements!$C$7:$K$9,8,0)</f>
        <v>#N/A</v>
      </c>
      <c r="AC237" s="233" t="e">
        <f>VLOOKUP(A237,Enforcements!$C$7:$E$9,3,0)</f>
        <v>#N/A</v>
      </c>
      <c r="AD237" s="244">
        <f t="shared" si="115"/>
        <v>62</v>
      </c>
      <c r="AE237" s="236" t="str">
        <f t="shared" si="116"/>
        <v>aws s3 cp s3://rtdc.mdm.uploadarchive.raw/RTDC4035/ "%USERPROFILE%\AppData\Local\Temp\OnboardLogs"\RTDC4035\2017-11-28 --exclude "*" --recursive --include "*20171128*" &amp; "%USERPROFILE%\Documents\GitHub\mrs-test-scripts\Headless Mode &amp; Sideloading\WalkAndUnGZ.bat" "%USERPROFILE%\AppData\Local\Temp\OnboardLogs"\RTDC4035\2017-11-28 &amp; aws s3 cp s3://rtdc.mdm.uploadarchive.raw/RTDC4035/ "%USERPROFILE%\AppData\Local\Temp\OnboardLogs"\RTDC4035\2017-11-29 --exclude "*" --recursive --include "*20171129*" &amp; "%USERPROFILE%\Documents\GitHub\mrs-test-scripts\Headless Mode &amp; Sideloading\WalkAndUnGZ.bat" "%USERPROFILE%\AppData\Local\Temp\OnboardLogs"\RTDC4035\2017-11-29</v>
      </c>
      <c r="AF237" s="235" t="str">
        <f t="shared" si="117"/>
        <v>"C:\Program Files (x86)\AstroGrep\AstroGrep.exe" /e /r /s /spath="%USERPROFILE%\AppData\Local\Temp\OnboardLogs" /stypes="app*4035*20171128*" /stext=" 20:.+((SYSTEM_STATE.+slice.+state.+changed )|(ment ac)|(multiple cpu faults)|(system.+state.+changed )|(\[timeout)|(PRM\|1\|D)|(kpr)|(kdp)|(train st.+moving)|(\|lc)|(penalty))"</v>
      </c>
      <c r="AG237" s="245" t="str">
        <f t="shared" si="118"/>
        <v>Shuttle/Test</v>
      </c>
      <c r="AH237" s="237" t="str">
        <f t="shared" si="119"/>
        <v>"%USERPROFILE%\Documents\GitHub\eaglep3\Utilities\RefineRTDCRunTimes.py" --tripid 62-28 --locoid 4035 --swversion DE.1.0.9.0 --startMP 300:58656 --initTime 2017-11-28T13:04:44 --startdatetime 2017-11-28T13:07:41 --delay 89 --endMP 204:669 --enddatetime 2017-11-28T13:23:29 --enforcementcount 0 &gt;&gt;%USERPROFILE%\Documents\GitHub\eaglep3-reporting\EC\2017-11-28-refined-times.txt</v>
      </c>
      <c r="AI237" s="239" t="str">
        <f t="shared" si="120"/>
        <v>echo {"issue":{"subject":"","project_id":79,"tracker_id":40,"status_id":1,"priority_id":2,"assigned_to_id":338,"start_date":"2017-11-28","description":"","custom_fields":[{"id":1,"name":"Subdivision","value":"Shuttle/Test"},{"id":4,"name":"Milepost","value":"0.0669"},{"id":17,"name":"Train ID","value":"62-28"},{"id":16,"name":"Locomotive ID","value":"4035"},{"id":130,"name":"Impact","value":""},{"id":150,"name":"Time of Event (Mountain Time)","value":"13:23:29"},{"id":151,"name":"Denver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7" s="224"/>
      <c r="AK237" s="232"/>
      <c r="AL237" s="232"/>
      <c r="AM237" s="241" t="str">
        <f t="shared" si="121"/>
        <v>start /low /b %USERPROFILE%\Documents\GitHub\eaglep3\Utilities\DownloadLogsFromS3.py --loco 4035 --day 2017-11-28</v>
      </c>
      <c r="AN237" s="242" t="str">
        <f t="shared" si="12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20:23:29"},{"id":29,"name":"Sharepoint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7" s="231" t="str">
        <f t="shared" si="123"/>
        <v>https://d0f6bd738d7f1b3e5a7ca70fe4ff75f0.us-east-1.aws.found.io/app/kibana#/discover/Steve-Slow-Train-Analysis-(2080s-and-2083s)?_g=(refreshInterval:(display:Off,pause:!f,section:0,value:0),time:(from:'2017-11-28T12:04:44-0700',mode:absolute,to:'2017-11-28T14:23:29-0700'))&amp;_a=(columns:!('Message%20ID',Summary),filters:!(),index:'emp_*',interval:auto,query:(query_string:(analyze_wildcard:!t,query:'%22rtdc.l.rtdc.4035%22')),sort:!(Time.ISO8601,asc))</v>
      </c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s="20" customFormat="1" x14ac:dyDescent="0.25">
      <c r="A238" s="230" t="s">
        <v>831</v>
      </c>
      <c r="B238" s="226">
        <v>4063</v>
      </c>
      <c r="C238" s="228" t="s">
        <v>192</v>
      </c>
      <c r="D238" s="228" t="s">
        <v>1013</v>
      </c>
      <c r="E238" s="227">
        <v>43067.742777777778</v>
      </c>
      <c r="F238" s="227">
        <v>43067.74627314815</v>
      </c>
      <c r="G238" s="226">
        <v>108</v>
      </c>
      <c r="H238" s="228" t="s">
        <v>1014</v>
      </c>
      <c r="I238" s="227">
        <v>43067.75681712963</v>
      </c>
      <c r="J238" s="226">
        <v>0</v>
      </c>
      <c r="K238" s="238" t="str">
        <f t="shared" si="108"/>
        <v>4063/4064</v>
      </c>
      <c r="L238" s="246" t="str">
        <f>VLOOKUP(A238,'Trips&amp;Operators'!$C$1:$G$99911,5,FALSE)</f>
        <v>WEST BRYAN</v>
      </c>
      <c r="M238" s="225">
        <f t="shared" si="109"/>
        <v>1.0543981479713693E-2</v>
      </c>
      <c r="N238" s="226">
        <f t="shared" si="124"/>
        <v>15.183333330787718</v>
      </c>
      <c r="O238" s="226"/>
      <c r="P238" s="226"/>
      <c r="Q238" s="229"/>
      <c r="R238" s="243"/>
      <c r="S238" s="250">
        <f t="shared" si="125"/>
        <v>1</v>
      </c>
      <c r="T238" s="243" t="str">
        <f t="shared" si="110"/>
        <v>Southbound</v>
      </c>
      <c r="U238" s="247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1</v>
      </c>
      <c r="V238" s="249" t="str">
        <f t="shared" si="111"/>
        <v>https://d0f6bd738d7f1b3e5a7ca70fe4ff75f0.us-east-1.aws.found.io/app/kibana#/discover/Steve-Slow-Train-Analysis-(2080s-and-2083s)?_g=(refreshInterval:(display:Off,pause:!f,section:0,value:0),time:(from:'2017-11-28T16:49:36-0700',mode:absolute,to:'2017-11-28T19:09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38" s="248" t="str">
        <f>IF(AA238&lt;VLOOKUP(AG238,Variables!$AC$3:$AD$8,2,FALSE),"Y","N")</f>
        <v>Y</v>
      </c>
      <c r="X238" s="248">
        <f t="shared" si="102"/>
        <v>14</v>
      </c>
      <c r="Y238" s="248">
        <f t="shared" si="112"/>
        <v>2.3485</v>
      </c>
      <c r="Z238" s="248">
        <f t="shared" si="113"/>
        <v>0.1532</v>
      </c>
      <c r="AA238" s="248">
        <f t="shared" si="114"/>
        <v>2.1953</v>
      </c>
      <c r="AB238" s="234" t="e">
        <f>VLOOKUP(A238,Enforcements!$C$7:$K$9,8,0)</f>
        <v>#N/A</v>
      </c>
      <c r="AC238" s="233" t="e">
        <f>VLOOKUP(A238,Enforcements!$C$7:$E$9,3,0)</f>
        <v>#N/A</v>
      </c>
      <c r="AD238" s="244">
        <f t="shared" si="115"/>
        <v>76</v>
      </c>
      <c r="AE238" s="236" t="str">
        <f t="shared" si="116"/>
        <v>aws s3 cp s3://rtdc.mdm.uploadarchive.raw/RTDC4063/ "%USERPROFILE%\AppData\Local\Temp\OnboardLogs"\RTDC4063\2017-11-28 --exclude "*" --recursive --include "*20171128*" &amp; "%USERPROFILE%\Documents\GitHub\mrs-test-scripts\Headless Mode &amp; Sideloading\WalkAndUnGZ.bat" "%USERPROFILE%\AppData\Local\Temp\OnboardLogs"\RTDC4063\2017-11-28 &amp; aws s3 cp s3://rtdc.mdm.uploadarchive.raw/RTDC4063/ "%USERPROFILE%\AppData\Local\Temp\OnboardLogs"\RTDC4063\2017-11-29 --exclude "*" --recursive --include "*20171129*" &amp; "%USERPROFILE%\Documents\GitHub\mrs-test-scripts\Headless Mode &amp; Sideloading\WalkAndUnGZ.bat" "%USERPROFILE%\AppData\Local\Temp\OnboardLogs"\RTDC4063\2017-11-29</v>
      </c>
      <c r="AF238" s="235" t="str">
        <f t="shared" si="117"/>
        <v>"C:\Program Files (x86)\AstroGrep\AstroGrep.exe" /e /r /s /spath="%USERPROFILE%\AppData\Local\Temp\OnboardLogs" /stypes="app*4063*20171129*" /stext=" 01:.+((SYSTEM_STATE.+slice.+state.+changed )|(ment ac)|(multiple cpu faults)|(system.+state.+changed )|(\[timeout)|(PRM\|1\|D)|(kpr)|(kdp)|(train st.+moving)|(\|lc)|(penalty))"</v>
      </c>
      <c r="AG238" s="245" t="str">
        <f t="shared" si="118"/>
        <v>Shuttle/Test</v>
      </c>
      <c r="AH238" s="237" t="str">
        <f t="shared" si="119"/>
        <v>"%USERPROFILE%\Documents\GitHub\eaglep3\Utilities\RefineRTDCRunTimes.py" --tripid 76-28 --locoid 4063 --swversion DE.1.0.9.0 --startMP 300:23485 --initTime 2017-11-28T17:49:36 --startdatetime 2017-11-28T17:54:38 --delay 108 --endMP 204:1532 --enddatetime 2017-11-28T18:09:49 --enforcementcount 0 &gt;&gt;%USERPROFILE%\Documents\GitHub\eaglep3-reporting\EC\2017-11-28-refined-times.txt</v>
      </c>
      <c r="AI238" s="239" t="str">
        <f t="shared" si="120"/>
        <v>echo {"issue":{"subject":"","project_id":79,"tracker_id":40,"status_id":1,"priority_id":2,"assigned_to_id":338,"start_date":"2017-11-28","description":"","custom_fields":[{"id":1,"name":"Subdivision","value":"Shuttle/Test"},{"id":4,"name":"Milepost","value":"0.1532"},{"id":17,"name":"Train ID","value":"76-28"},{"id":16,"name":"Locomotive ID","value":"4063"},{"id":130,"name":"Impact","value":""},{"id":150,"name":"Time of Event (Mountain Time)","value":"18:09:49"},{"id":151,"name":"Denver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8" s="224"/>
      <c r="AK238" s="232"/>
      <c r="AL238" s="232"/>
      <c r="AM238" s="241" t="str">
        <f t="shared" si="121"/>
        <v>start /low /b %USERPROFILE%\Documents\GitHub\eaglep3\Utilities\DownloadLogsFromS3.py --loco 4063 --day 2017-11-28</v>
      </c>
      <c r="AN238" s="242" t="str">
        <f t="shared" si="122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01:09:49"},{"id":29,"name":"Sharepoint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8" s="231" t="str">
        <f t="shared" si="123"/>
        <v>https://d0f6bd738d7f1b3e5a7ca70fe4ff75f0.us-east-1.aws.found.io/app/kibana#/discover/Steve-Slow-Train-Analysis-(2080s-and-2083s)?_g=(refreshInterval:(display:Off,pause:!f,section:0,value:0),time:(from:'2017-11-28T16:49:36-0700',mode:absolute,to:'2017-11-28T19:09:49-0700'))&amp;_a=(columns:!('Message%20ID',Summary),filters:!(),index:'emp_*',interval:auto,query:(query_string:(analyze_wildcard:!t,query:'%22rtdc.l.rtdc.4063%22')),sort:!(Time.ISO8601,asc))</v>
      </c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s="20" customFormat="1" x14ac:dyDescent="0.25">
      <c r="A239" s="230" t="s">
        <v>824</v>
      </c>
      <c r="B239" s="226">
        <v>4030</v>
      </c>
      <c r="C239" s="228" t="s">
        <v>192</v>
      </c>
      <c r="D239" s="228" t="s">
        <v>1015</v>
      </c>
      <c r="E239" s="227">
        <v>43067.714247685188</v>
      </c>
      <c r="F239" s="227">
        <v>43067.725555555553</v>
      </c>
      <c r="G239" s="226">
        <v>878</v>
      </c>
      <c r="H239" s="228" t="s">
        <v>617</v>
      </c>
      <c r="I239" s="227">
        <v>43067.733067129629</v>
      </c>
      <c r="J239" s="226">
        <v>0</v>
      </c>
      <c r="K239" s="238" t="str">
        <f t="shared" si="108"/>
        <v>4029/4030</v>
      </c>
      <c r="L239" s="246" t="str">
        <f>VLOOKUP(A239,'Trips&amp;Operators'!$C$1:$G$99911,5,FALSE)</f>
        <v>MOSES BRADLEY</v>
      </c>
      <c r="M239" s="225">
        <f t="shared" si="109"/>
        <v>7.5115740764886141E-3</v>
      </c>
      <c r="N239" s="226">
        <f t="shared" si="124"/>
        <v>10.816666670143604</v>
      </c>
      <c r="O239" s="226"/>
      <c r="P239" s="226"/>
      <c r="Q239" s="229"/>
      <c r="R239" s="243"/>
      <c r="S239" s="250">
        <f t="shared" si="125"/>
        <v>1</v>
      </c>
      <c r="T239" s="243" t="str">
        <f t="shared" si="110"/>
        <v>NorthBound</v>
      </c>
      <c r="U239" s="247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1</v>
      </c>
      <c r="V239" s="249" t="str">
        <f t="shared" si="111"/>
        <v>https://d0f6bd738d7f1b3e5a7ca70fe4ff75f0.us-east-1.aws.found.io/app/kibana#/discover/Steve-Slow-Train-Analysis-(2080s-and-2083s)?_g=(refreshInterval:(display:Off,pause:!f,section:0,value:0),time:(from:'2017-11-28T16:08:31-0700',mode:absolute,to:'2017-11-28T18:35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39" s="248" t="str">
        <f>IF(AA239&lt;VLOOKUP(AG239,Variables!$AC$3:$AD$8,2,FALSE),"Y","N")</f>
        <v>Y</v>
      </c>
      <c r="X239" s="248">
        <f t="shared" si="102"/>
        <v>1</v>
      </c>
      <c r="Y239" s="248">
        <f t="shared" si="112"/>
        <v>0.1235</v>
      </c>
      <c r="Z239" s="248">
        <f t="shared" si="113"/>
        <v>2.3313999999999999</v>
      </c>
      <c r="AA239" s="248">
        <f t="shared" si="114"/>
        <v>2.2079</v>
      </c>
      <c r="AB239" s="234" t="e">
        <f>VLOOKUP(A239,Enforcements!$C$7:$K$9,8,0)</f>
        <v>#N/A</v>
      </c>
      <c r="AC239" s="233" t="e">
        <f>VLOOKUP(A239,Enforcements!$C$7:$E$9,3,0)</f>
        <v>#N/A</v>
      </c>
      <c r="AD239" s="244">
        <f t="shared" si="115"/>
        <v>77</v>
      </c>
      <c r="AE239" s="236" t="str">
        <f t="shared" si="116"/>
        <v>aws s3 cp s3://rtdc.mdm.uploadarchive.raw/RTDC4030/ "%USERPROFILE%\AppData\Local\Temp\OnboardLogs"\RTDC4030\2017-11-28 --exclude "*" --recursive --include "*20171128*" &amp; "%USERPROFILE%\Documents\GitHub\mrs-test-scripts\Headless Mode &amp; Sideloading\WalkAndUnGZ.bat" "%USERPROFILE%\AppData\Local\Temp\OnboardLogs"\RTDC4030\2017-11-28 &amp; aws s3 cp s3://rtdc.mdm.uploadarchive.raw/RTDC4030/ "%USERPROFILE%\AppData\Local\Temp\OnboardLogs"\RTDC4030\2017-11-29 --exclude "*" --recursive --include "*20171129*" &amp; "%USERPROFILE%\Documents\GitHub\mrs-test-scripts\Headless Mode &amp; Sideloading\WalkAndUnGZ.bat" "%USERPROFILE%\AppData\Local\Temp\OnboardLogs"\RTDC4030\2017-11-29</v>
      </c>
      <c r="AF239" s="235" t="str">
        <f t="shared" si="117"/>
        <v>"C:\Program Files (x86)\AstroGrep\AstroGrep.exe" /e /r /s /spath="%USERPROFILE%\AppData\Local\Temp\OnboardLogs" /stypes="app*4030*20171129*" /stext=" 00:.+((SYSTEM_STATE.+slice.+state.+changed )|(ment ac)|(multiple cpu faults)|(system.+state.+changed )|(\[timeout)|(PRM\|1\|D)|(kpr)|(kdp)|(train st.+moving)|(\|lc)|(penalty))"</v>
      </c>
      <c r="AG239" s="245" t="str">
        <f t="shared" si="118"/>
        <v>Shuttle/Test</v>
      </c>
      <c r="AH239" s="237" t="str">
        <f t="shared" si="119"/>
        <v>"%USERPROFILE%\Documents\GitHub\eaglep3\Utilities\RefineRTDCRunTimes.py" --tripid 77-28 --locoid 4030 --swversion DE.1.0.9.0 --startMP 204:1235 --initTime 2017-11-28T17:08:31 --startdatetime 2017-11-28T17:24:48 --delay 878 --endMP 300:23314 --enddatetime 2017-11-28T17:35:37 --enforcementcount 0 &gt;&gt;%USERPROFILE%\Documents\GitHub\eaglep3-reporting\EC\2017-11-28-refined-times.txt</v>
      </c>
      <c r="AI239" s="239" t="str">
        <f t="shared" si="120"/>
        <v>echo {"issue":{"subject":"","project_id":79,"tracker_id":40,"status_id":1,"priority_id":2,"assigned_to_id":338,"start_date":"2017-11-28","description":"","custom_fields":[{"id":1,"name":"Subdivision","value":"Shuttle/Test"},{"id":4,"name":"Milepost","value":"2.3314"},{"id":17,"name":"Train ID","value":"77-28"},{"id":16,"name":"Locomotive ID","value":"4030"},{"id":130,"name":"Impact","value":""},{"id":150,"name":"Time of Event (Mountain Time)","value":"17:35:37"},{"id":151,"name":"Denver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9" s="224"/>
      <c r="AK239" s="232"/>
      <c r="AL239" s="232"/>
      <c r="AM239" s="241" t="str">
        <f t="shared" si="121"/>
        <v>start /low /b %USERPROFILE%\Documents\GitHub\eaglep3\Utilities\DownloadLogsFromS3.py --loco 4030 --day 2017-11-28</v>
      </c>
      <c r="AN239" s="242" t="str">
        <f t="shared" si="122"/>
        <v>echo {"issue":{"subject":"","project_id":30,"tracker_id":4,"status_id":1,"priority_id":1,"assigned_to_id":10,"start_date":"2017-11-29","description":"","custom_fields":[{"id":30,"name":"Category","value":"Issue"},{"id":3,"name":"Functional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UTC","value":"2017-11-29 00:35:37"},{"id":29,"name":"Sharepoint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9" s="231" t="str">
        <f t="shared" si="123"/>
        <v>https://d0f6bd738d7f1b3e5a7ca70fe4ff75f0.us-east-1.aws.found.io/app/kibana#/discover/Steve-Slow-Train-Analysis-(2080s-and-2083s)?_g=(refreshInterval:(display:Off,pause:!f,section:0,value:0),time:(from:'2017-11-28T16:08:31-0700',mode:absolute,to:'2017-11-28T18:35:37-0700'))&amp;_a=(columns:!('Message%20ID',Summary),filters:!(),index:'emp_*',interval:auto,query:(query_string:(analyze_wildcard:!t,query:'%22rtdc.l.rtdc.4030%22')),sort:!(Time.ISO8601,asc))</v>
      </c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s="20" customFormat="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:91" s="20" customFormat="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:91" s="20" customFormat="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:91" s="20" customFormat="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:91" s="20" customFormat="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s="20" customFormat="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:91" s="20" customFormat="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:91" s="20" customFormat="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:91" s="20" customFormat="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:91" s="20" customFormat="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:91" s="20" customFormat="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:91" s="20" customFormat="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:91" s="20" customFormat="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:91" s="20" customFormat="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:91" s="20" customFormat="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:91" s="20" customFormat="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:91" s="20" customFormat="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:91" s="20" customFormat="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:91" s="20" customFormat="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:91" s="20" customFormat="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:91" s="20" customFormat="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:91" s="20" customFormat="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:91" s="20" customFormat="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:91" s="20" customFormat="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:91" s="20" customFormat="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:91" s="20" customFormat="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:91" s="20" customFormat="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:91" s="20" customFormat="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:91" s="20" customFormat="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:91" s="20" customFormat="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:91" s="20" customFormat="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:91" s="20" customFormat="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:91" s="20" customFormat="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:91" s="20" customFormat="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:91" s="20" customFormat="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:91" s="20" customFormat="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:91" s="20" customFormat="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:91" s="20" customFormat="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:91" s="20" customFormat="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:91" s="20" customFormat="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:91" s="20" customFormat="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:91" s="20" customFormat="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:91" s="20" customFormat="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:91" s="20" customFormat="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:91" s="20" customFormat="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:91" s="20" customFormat="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:91" s="20" customFormat="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:91" s="20" customFormat="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:91" s="20" customFormat="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:91" s="20" customFormat="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:91" s="20" customFormat="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:91" s="20" customFormat="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:91" s="20" customFormat="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:91" s="20" customFormat="1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:91" s="20" customFormat="1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:91" s="20" customFormat="1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:91" s="20" customFormat="1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:91" s="20" customFormat="1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:91" s="20" customFormat="1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:91" s="20" customFormat="1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:91" s="20" customFormat="1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:91" s="20" customFormat="1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:91" s="20" customFormat="1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</row>
    <row r="303" spans="1:91" s="20" customFormat="1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:91" s="20" customFormat="1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:91" s="20" customFormat="1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:91" s="20" customFormat="1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</row>
    <row r="307" spans="1:91" s="20" customFormat="1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:91" s="20" customFormat="1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</row>
    <row r="309" spans="1:91" s="20" customFormat="1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</row>
    <row r="310" spans="1:91" s="20" customFormat="1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</row>
    <row r="311" spans="1:91" s="20" customFormat="1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:91" s="20" customFormat="1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</row>
    <row r="313" spans="1:91" s="20" customFormat="1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</row>
    <row r="314" spans="1:91" s="20" customFormat="1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</row>
    <row r="315" spans="1:91" s="20" customFormat="1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</row>
    <row r="316" spans="1:91" s="20" customFormat="1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:91" s="20" customFormat="1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</row>
    <row r="318" spans="1:91" s="20" customFormat="1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</row>
    <row r="319" spans="1:91" s="20" customFormat="1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</row>
    <row r="320" spans="1:91" s="20" customFormat="1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</row>
    <row r="321" spans="1:91" s="20" customFormat="1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</row>
    <row r="322" spans="1:91" s="20" customFormat="1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</row>
    <row r="323" spans="1:91" s="20" customFormat="1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</row>
    <row r="324" spans="1:91" s="20" customFormat="1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</row>
    <row r="325" spans="1:91" s="20" customFormat="1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</row>
    <row r="326" spans="1:91" s="20" customFormat="1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</row>
    <row r="327" spans="1:91" s="20" customFormat="1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</row>
    <row r="328" spans="1:91" s="20" customFormat="1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</row>
    <row r="329" spans="1:91" s="20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</row>
    <row r="330" spans="1:91" s="20" customFormat="1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</row>
    <row r="331" spans="1:91" s="20" customFormat="1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</row>
    <row r="332" spans="1:91" s="20" customFormat="1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</row>
    <row r="333" spans="1:91" s="20" customFormat="1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</row>
    <row r="334" spans="1:91" s="20" customFormat="1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</row>
    <row r="335" spans="1:91" s="20" customFormat="1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</row>
    <row r="336" spans="1:91" s="20" customFormat="1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</row>
    <row r="337" spans="1:91" s="20" customFormat="1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</row>
    <row r="338" spans="1:91" s="20" customFormat="1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</row>
    <row r="339" spans="1:91" s="20" customFormat="1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</row>
    <row r="340" spans="1:91" s="20" customFormat="1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</row>
    <row r="341" spans="1:91" s="20" customFormat="1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</row>
    <row r="342" spans="1:91" s="20" customFormat="1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</row>
    <row r="343" spans="1:91" s="20" customFormat="1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</row>
    <row r="344" spans="1:91" s="20" customFormat="1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</row>
    <row r="345" spans="1:91" s="20" customFormat="1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</row>
    <row r="346" spans="1:91" s="20" customFormat="1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</row>
    <row r="347" spans="1:91" s="20" customFormat="1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</row>
    <row r="348" spans="1:91" s="20" customFormat="1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</row>
    <row r="349" spans="1:91" s="20" customFormat="1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</row>
    <row r="350" spans="1:91" s="20" customFormat="1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</row>
    <row r="351" spans="1:91" s="20" customFormat="1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</row>
    <row r="352" spans="1:91" s="20" customFormat="1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</row>
    <row r="353" spans="1:91" s="20" customFormat="1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</row>
    <row r="354" spans="1:91" s="20" customFormat="1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</row>
    <row r="355" spans="1:91" s="20" customFormat="1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</row>
    <row r="356" spans="1:91" s="20" customFormat="1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</row>
    <row r="357" spans="1:91" s="20" customFormat="1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</row>
    <row r="358" spans="1:91" s="20" customFormat="1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</row>
    <row r="359" spans="1:91" s="20" customFormat="1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</row>
    <row r="360" spans="1:91" s="20" customFormat="1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</row>
    <row r="361" spans="1:91" s="20" customFormat="1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</row>
    <row r="362" spans="1:91" s="20" customFormat="1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</row>
    <row r="363" spans="1:91" s="20" customFormat="1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</row>
    <row r="364" spans="1:91" s="20" customFormat="1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</row>
    <row r="365" spans="1:91" s="20" customFormat="1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</row>
    <row r="366" spans="1:91" s="20" customFormat="1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</row>
    <row r="367" spans="1:91" s="20" customFormat="1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</row>
    <row r="368" spans="1:91" s="20" customFormat="1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</row>
    <row r="369" spans="1:91" s="20" customFormat="1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</row>
    <row r="370" spans="1:91" s="20" customFormat="1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</row>
    <row r="371" spans="1:91" s="20" customFormat="1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</row>
    <row r="372" spans="1:91" s="20" customFormat="1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</row>
    <row r="373" spans="1:91" s="20" customFormat="1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</row>
    <row r="374" spans="1:91" s="20" customFormat="1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</row>
    <row r="375" spans="1:91" s="20" customFormat="1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</row>
    <row r="376" spans="1:91" s="20" customFormat="1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</row>
    <row r="377" spans="1:91" s="20" customFormat="1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</row>
    <row r="378" spans="1:91" s="20" customFormat="1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</row>
    <row r="379" spans="1:91" s="20" customFormat="1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</row>
    <row r="380" spans="1:91" s="20" customFormat="1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</row>
    <row r="381" spans="1:91" s="20" customFormat="1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</row>
    <row r="382" spans="1:91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M382"/>
      <c r="AO382"/>
    </row>
    <row r="383" spans="1:91" s="20" customFormat="1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</row>
    <row r="384" spans="1:91" s="20" customFormat="1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</row>
    <row r="385" spans="1:91" s="20" customFormat="1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</row>
    <row r="386" spans="1:91" s="20" customFormat="1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</row>
    <row r="387" spans="1:91" s="20" customFormat="1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</row>
    <row r="388" spans="1:91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M388"/>
      <c r="AO388"/>
    </row>
    <row r="389" spans="1:91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M389"/>
      <c r="AO389"/>
    </row>
    <row r="390" spans="1:91" s="20" customFormat="1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</row>
    <row r="391" spans="1:91" s="20" customFormat="1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</row>
    <row r="392" spans="1:91" s="20" customFormat="1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</row>
    <row r="393" spans="1:91" s="20" customFormat="1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</row>
    <row r="394" spans="1:91" s="20" customFormat="1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</row>
    <row r="395" spans="1:91" s="20" customFormat="1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</row>
    <row r="396" spans="1:91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M396"/>
      <c r="AO396"/>
    </row>
    <row r="397" spans="1:91" s="20" customFormat="1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</row>
    <row r="398" spans="1:91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M398"/>
      <c r="AO398"/>
    </row>
    <row r="399" spans="1:91" s="20" customFormat="1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</row>
    <row r="400" spans="1:91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M400"/>
      <c r="AO400"/>
    </row>
    <row r="401" spans="1:91" s="20" customFormat="1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</row>
    <row r="402" spans="1:91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M402"/>
      <c r="AO402"/>
    </row>
    <row r="403" spans="1:91" s="20" customFormat="1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</row>
    <row r="404" spans="1:91" s="20" customFormat="1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</row>
    <row r="405" spans="1:91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M405"/>
      <c r="AO405"/>
    </row>
    <row r="406" spans="1:91" s="20" customFormat="1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</row>
    <row r="407" spans="1:91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M407"/>
      <c r="AO407"/>
    </row>
    <row r="408" spans="1:91" s="20" customFormat="1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</row>
    <row r="409" spans="1:91" s="20" customFormat="1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</row>
    <row r="410" spans="1:91" s="20" customFormat="1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</row>
    <row r="411" spans="1:91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M411"/>
      <c r="AO411"/>
    </row>
    <row r="412" spans="1:91" s="20" customFormat="1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</row>
    <row r="413" spans="1:91" s="20" customFormat="1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</row>
    <row r="414" spans="1:91" s="20" customFormat="1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</row>
    <row r="415" spans="1:91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M415"/>
      <c r="AO415"/>
    </row>
    <row r="416" spans="1:91" s="20" customFormat="1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</row>
    <row r="417" spans="1:91" s="20" customFormat="1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</row>
    <row r="418" spans="1:91" s="20" customFormat="1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</row>
    <row r="419" spans="1:91" s="20" customFormat="1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</row>
    <row r="420" spans="1:91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M420"/>
      <c r="AO420"/>
    </row>
    <row r="421" spans="1:91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M421"/>
      <c r="AO421"/>
    </row>
    <row r="422" spans="1:91" s="20" customFormat="1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</row>
    <row r="423" spans="1:91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M423"/>
      <c r="AO423"/>
    </row>
    <row r="424" spans="1:91" s="20" customFormat="1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</row>
    <row r="425" spans="1:91" s="20" customFormat="1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</row>
    <row r="426" spans="1:91" s="20" customFormat="1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</row>
    <row r="427" spans="1:91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M427"/>
      <c r="AO427"/>
    </row>
    <row r="428" spans="1:91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M428"/>
      <c r="AO428"/>
    </row>
    <row r="429" spans="1:91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M429"/>
      <c r="AO429"/>
    </row>
    <row r="430" spans="1:91" s="20" customFormat="1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</row>
    <row r="431" spans="1:91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M431"/>
      <c r="AO431"/>
    </row>
    <row r="432" spans="1:91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M432"/>
      <c r="AO432"/>
    </row>
    <row r="433" spans="1:91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M433"/>
      <c r="AO433"/>
    </row>
    <row r="434" spans="1:91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M434"/>
      <c r="AO434"/>
    </row>
    <row r="435" spans="1:91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M435"/>
      <c r="AO435"/>
    </row>
    <row r="436" spans="1:91" s="20" customFormat="1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</row>
    <row r="437" spans="1:91" s="20" customFormat="1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</row>
    <row r="438" spans="1:91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M438"/>
      <c r="AO438"/>
    </row>
    <row r="439" spans="1:91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M439"/>
      <c r="AO439"/>
    </row>
    <row r="440" spans="1:91" s="20" customFormat="1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</row>
    <row r="441" spans="1:91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M441"/>
      <c r="AO441"/>
    </row>
    <row r="442" spans="1:91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M442"/>
      <c r="AO442"/>
    </row>
    <row r="443" spans="1:91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M443"/>
      <c r="AO443"/>
    </row>
    <row r="444" spans="1:91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M444"/>
      <c r="AO444"/>
    </row>
    <row r="445" spans="1:91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M445"/>
      <c r="AO445"/>
    </row>
    <row r="446" spans="1:91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M446"/>
      <c r="AO446"/>
    </row>
    <row r="447" spans="1:91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M447"/>
      <c r="AO447"/>
    </row>
    <row r="448" spans="1:91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M448"/>
      <c r="AO448"/>
    </row>
    <row r="449" spans="1:91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M449"/>
      <c r="AO449"/>
    </row>
    <row r="450" spans="1:91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M450"/>
      <c r="AO450"/>
    </row>
    <row r="451" spans="1:91" s="20" customFormat="1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</row>
    <row r="452" spans="1:91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M452"/>
      <c r="AO452"/>
    </row>
    <row r="453" spans="1:91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M453"/>
      <c r="AO453"/>
    </row>
    <row r="454" spans="1:91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M454"/>
      <c r="AO454"/>
    </row>
    <row r="455" spans="1:91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M455"/>
      <c r="AO455"/>
    </row>
    <row r="456" spans="1:91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M456"/>
      <c r="AO456"/>
    </row>
    <row r="457" spans="1:91" s="20" customFormat="1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</row>
    <row r="458" spans="1:91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M458"/>
      <c r="AO458"/>
    </row>
    <row r="459" spans="1:91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M459"/>
      <c r="AO459"/>
    </row>
    <row r="460" spans="1:91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M460"/>
      <c r="AO460"/>
    </row>
    <row r="461" spans="1:91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M461"/>
      <c r="AO461"/>
    </row>
    <row r="462" spans="1:91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M462"/>
      <c r="AO462"/>
    </row>
    <row r="463" spans="1:91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M463"/>
      <c r="AO463"/>
    </row>
    <row r="464" spans="1:91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M464"/>
      <c r="AO464"/>
    </row>
    <row r="465" spans="1:91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M465"/>
      <c r="AO465"/>
    </row>
    <row r="466" spans="1:91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M466"/>
      <c r="AO466"/>
    </row>
    <row r="467" spans="1:91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M467"/>
      <c r="AO467"/>
    </row>
    <row r="468" spans="1:91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M468"/>
      <c r="AO468"/>
    </row>
    <row r="469" spans="1:91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M469"/>
      <c r="AO469"/>
    </row>
    <row r="470" spans="1:91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M470"/>
      <c r="AO470"/>
    </row>
    <row r="471" spans="1:91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M471"/>
      <c r="AO471"/>
    </row>
    <row r="472" spans="1:91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M472"/>
      <c r="AO472"/>
    </row>
    <row r="473" spans="1:91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M473"/>
      <c r="AO473"/>
    </row>
    <row r="474" spans="1:91" s="20" customFormat="1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</row>
    <row r="475" spans="1:91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M475"/>
      <c r="AO475"/>
    </row>
    <row r="476" spans="1:91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M476"/>
      <c r="AO476"/>
    </row>
    <row r="477" spans="1:91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M477"/>
      <c r="AO477"/>
    </row>
    <row r="478" spans="1:91" s="20" customFormat="1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</row>
    <row r="479" spans="1:91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M479"/>
      <c r="AO479"/>
    </row>
    <row r="480" spans="1:91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M480"/>
      <c r="AO480"/>
    </row>
    <row r="481" spans="1:41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M481"/>
      <c r="AO481"/>
    </row>
    <row r="482" spans="1:41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M482"/>
      <c r="AO482"/>
    </row>
    <row r="483" spans="1:41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M483"/>
      <c r="AO483"/>
    </row>
    <row r="484" spans="1:41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M484"/>
      <c r="AO484"/>
    </row>
    <row r="485" spans="1:41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M485"/>
      <c r="AO485"/>
    </row>
    <row r="486" spans="1:41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M486"/>
      <c r="AO486"/>
    </row>
    <row r="487" spans="1:41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M487"/>
      <c r="AO487"/>
    </row>
    <row r="488" spans="1:41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M488"/>
      <c r="AO488"/>
    </row>
    <row r="489" spans="1:41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M489"/>
      <c r="AO489"/>
    </row>
    <row r="490" spans="1:41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M490"/>
      <c r="AO490"/>
    </row>
    <row r="491" spans="1:41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M491"/>
      <c r="AO491"/>
    </row>
    <row r="492" spans="1:41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M492"/>
      <c r="AO492"/>
    </row>
    <row r="493" spans="1:41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M493"/>
      <c r="AO493"/>
    </row>
    <row r="494" spans="1:41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M494"/>
      <c r="AO494"/>
    </row>
    <row r="495" spans="1:41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M495"/>
      <c r="AO495"/>
    </row>
    <row r="496" spans="1:41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M496"/>
      <c r="AO496"/>
    </row>
    <row r="497" spans="1:41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M497"/>
      <c r="AO497"/>
    </row>
    <row r="498" spans="1:41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M498"/>
      <c r="AO498"/>
    </row>
    <row r="499" spans="1:41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M499"/>
      <c r="AO499"/>
    </row>
  </sheetData>
  <autoFilter ref="A12:AG494">
    <sortState ref="A13:AG494">
      <sortCondition ref="AG13:AG239"/>
      <sortCondition ref="AD13:AD239"/>
    </sortState>
  </autoFilter>
  <sortState ref="A13:AN399">
    <sortCondition ref="AG13:AG399"/>
    <sortCondition ref="AD13:AD399"/>
  </sortState>
  <mergeCells count="1">
    <mergeCell ref="A11:P11"/>
  </mergeCells>
  <conditionalFormatting sqref="W11:W12 W500:X1048576 W13:X239">
    <cfRule type="cellIs" dxfId="10" priority="465" operator="equal">
      <formula>"Y"</formula>
    </cfRule>
  </conditionalFormatting>
  <conditionalFormatting sqref="X500:X1048576 X13:X239">
    <cfRule type="cellIs" dxfId="9" priority="448" operator="greaterThan">
      <formula>1</formula>
    </cfRule>
  </conditionalFormatting>
  <conditionalFormatting sqref="X500:X1048576 X12:X239">
    <cfRule type="cellIs" dxfId="8" priority="445" operator="equal">
      <formula>0</formula>
    </cfRule>
  </conditionalFormatting>
  <conditionalFormatting sqref="A13:S239">
    <cfRule type="expression" dxfId="7" priority="439" stopIfTrue="1">
      <formula>$P13&gt;0</formula>
    </cfRule>
    <cfRule type="expression" dxfId="6" priority="440" stopIfTrue="1">
      <formula>$O13&gt;0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4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A13:S239</xm:sqref>
        </x14:conditionalFormatting>
        <x14:conditionalFormatting xmlns:xm="http://schemas.microsoft.com/office/excel/2006/main">
          <x14:cfRule type="expression" priority="12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AK13:AK239</xm:sqref>
        </x14:dataValidation>
        <x14:dataValidation type="list" allowBlank="1" showInputMessage="1" showErrorMessage="1">
          <x14:formula1>
            <xm:f>'Redmine List Values'!$C$2:$C$15</xm:f>
          </x14:formula1>
          <xm:sqref>AL13:AL239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31"/>
  <sheetViews>
    <sheetView topLeftCell="A2" zoomScaleNormal="100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29.425781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67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6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1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7"/>
      <c r="P1" s="113"/>
      <c r="R1" s="75"/>
      <c r="S1" s="82"/>
      <c r="T1" s="72"/>
      <c r="V1" s="43"/>
      <c r="X1" s="2"/>
      <c r="Z1" s="156"/>
      <c r="AC1" s="115"/>
      <c r="AE1" s="141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20">
        <f>COUNTIF($O$7:$O$179,"=Y")</f>
        <v>11</v>
      </c>
      <c r="P2" s="110"/>
      <c r="R2" s="75"/>
      <c r="S2" s="82"/>
      <c r="T2" s="72"/>
      <c r="V2" s="43"/>
      <c r="X2" s="2"/>
      <c r="Z2" s="156"/>
      <c r="AC2" s="116"/>
      <c r="AE2" s="141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21">
        <f>COUNTA($O$7:$O$179)-O2</f>
        <v>13</v>
      </c>
      <c r="P3" s="110"/>
      <c r="R3" s="75"/>
      <c r="S3" s="82"/>
      <c r="T3" s="72"/>
      <c r="V3" s="43"/>
      <c r="X3" s="2"/>
      <c r="Z3" s="156"/>
      <c r="AC3" s="116"/>
      <c r="AE3" s="141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95"/>
      <c r="P4" s="113"/>
      <c r="R4" s="75"/>
      <c r="S4" s="82"/>
      <c r="T4" s="72"/>
      <c r="V4" s="43"/>
      <c r="X4" s="2"/>
      <c r="Z4" s="156"/>
      <c r="AC4" s="116"/>
      <c r="AE4" s="141"/>
    </row>
    <row r="5" spans="1:32" s="10" customFormat="1" ht="15" customHeight="1" x14ac:dyDescent="0.25">
      <c r="A5" s="251" t="str">
        <f>"Eagle P3 Braking Events - "&amp;TEXT(Variables!$A$2,"YYYY-mm-dd")</f>
        <v>Eagle P3 Braking Events - 2017-11-28</v>
      </c>
      <c r="B5" s="251"/>
      <c r="C5" s="251"/>
      <c r="D5" s="251"/>
      <c r="E5" s="251"/>
      <c r="F5" s="251"/>
      <c r="G5" s="251"/>
      <c r="H5" s="251"/>
      <c r="I5" s="251"/>
      <c r="J5" s="251"/>
      <c r="K5" s="251"/>
      <c r="L5" s="251"/>
      <c r="M5" s="251"/>
      <c r="N5" s="251"/>
      <c r="O5" s="251"/>
      <c r="P5" s="128"/>
      <c r="R5" s="80"/>
      <c r="S5" s="83"/>
      <c r="T5" s="85"/>
      <c r="V5" s="44"/>
      <c r="X5" s="179"/>
      <c r="AC5" s="117"/>
      <c r="AE5" s="143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147</v>
      </c>
      <c r="J6" s="114" t="s">
        <v>30</v>
      </c>
      <c r="K6" s="114" t="s">
        <v>29</v>
      </c>
      <c r="L6" s="114" t="s">
        <v>28</v>
      </c>
      <c r="M6" s="99" t="s">
        <v>148</v>
      </c>
      <c r="N6" s="129" t="s">
        <v>47</v>
      </c>
      <c r="O6" s="174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343</v>
      </c>
      <c r="X6" s="180" t="s">
        <v>336</v>
      </c>
      <c r="Y6" s="105" t="s">
        <v>141</v>
      </c>
      <c r="Z6" s="157" t="s">
        <v>142</v>
      </c>
      <c r="AA6" s="106" t="s">
        <v>115</v>
      </c>
      <c r="AB6" s="106" t="s">
        <v>143</v>
      </c>
      <c r="AC6" s="118" t="s">
        <v>167</v>
      </c>
      <c r="AD6" s="107" t="s">
        <v>182</v>
      </c>
      <c r="AE6" s="142" t="s">
        <v>187</v>
      </c>
    </row>
    <row r="7" spans="1:32" s="1" customFormat="1" x14ac:dyDescent="0.25">
      <c r="A7" s="31">
        <v>43067.962638888886</v>
      </c>
      <c r="B7" s="30" t="s">
        <v>660</v>
      </c>
      <c r="C7" s="30" t="s">
        <v>664</v>
      </c>
      <c r="D7" s="30" t="s">
        <v>49</v>
      </c>
      <c r="E7" s="30" t="s">
        <v>183</v>
      </c>
      <c r="F7" s="42">
        <v>140</v>
      </c>
      <c r="G7" s="42">
        <v>237</v>
      </c>
      <c r="H7" s="42">
        <v>26668</v>
      </c>
      <c r="I7" s="42">
        <v>27150</v>
      </c>
      <c r="J7" s="30" t="s">
        <v>184</v>
      </c>
      <c r="K7" s="42">
        <v>27053</v>
      </c>
      <c r="L7" s="131" t="s">
        <v>50</v>
      </c>
      <c r="M7" s="132">
        <f t="shared" ref="M7:M30" si="0">CONVERT((I7-K7)/10000,"mi","ft")*IF(L7="Increasing Mileposts (1)",-1,1)</f>
        <v>-51.216000000000001</v>
      </c>
      <c r="N7" s="133" t="str">
        <f>VLOOKUP(C7,'Trips&amp;Operators'!$C$1:$G$99911,5,FALSE)</f>
        <v>RESPASS AARON</v>
      </c>
      <c r="O7" s="175" t="s">
        <v>178</v>
      </c>
      <c r="P7" s="240" t="s">
        <v>344</v>
      </c>
      <c r="Q7" s="30"/>
      <c r="R7" s="81" t="str">
        <f>VLOOKUP(C7,'Train Runs'!$A$13:$AE$10153,31,0)</f>
        <v>aws s3 cp s3://rtdc.mdm.uploadarchive.raw/RTDC4042/ "%USERPROFILE%\AppData\Local\Temp\OnboardLogs"\RTDC4042\2017-11-28 --exclude "*" --recursive --include "*20171128*" &amp; "%USERPROFILE%\Documents\GitHub\mrs-test-scripts\Headless Mode &amp; Sideloading\WalkAndUnGZ.bat" "%USERPROFILE%\AppData\Local\Temp\OnboardLogs"\RTDC4042\2017-11-28 &amp; aws s3 cp s3://rtdc.mdm.uploadarchive.raw/RTDC4042/ "%USERPROFILE%\AppData\Local\Temp\OnboardLogs"\RTDC4042\2017-11-29 --exclude "*" --recursive --include "*20171129*" &amp; "%USERPROFILE%\Documents\GitHub\mrs-test-scripts\Headless Mode &amp; Sideloading\WalkAndUnGZ.bat" "%USERPROFILE%\AppData\Local\Temp\OnboardLogs"\RTDC4042\2017-11-29</v>
      </c>
      <c r="S7" s="84" t="str">
        <f>VLOOKUP(C7,'Train Runs'!$A$13:$AE$10153,22,0)</f>
        <v>https://d0f6bd738d7f1b3e5a7ca70fe4ff75f0.us-east-1.aws.found.io/app/kibana#/discover/Steve-Slow-Train-Analysis-(2080s-and-2083s)?_g=(refreshInterval:(display:Off,pause:!f,section:0,value:0),time:(from:'2017-11-28T21:53:34-0700',mode:absolute,to:'2017-11-29T00:35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7" s="86" t="str">
        <f t="shared" ref="T7:T30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/stypes="*4042*201711290*" /stext=" 06:.+((SYSTEM_STATE.+slice.+state.+changed )|(ment ac)|(multiple cpu faults)|(system.+state.+changed )|(\[timeout)|(PRM\|1\|D)|(kpr)|(kdp)|(train st.+moving)|(\|lc)|(penalty))"</v>
      </c>
      <c r="U7" s="9" t="str">
        <f t="shared" ref="U7:U30" si="2">MID(B7,13,4)</f>
        <v>4042</v>
      </c>
      <c r="V7" s="31">
        <f t="shared" ref="V7:V30" si="3">A7-utc_offset/24</f>
        <v>43068.254305555551</v>
      </c>
      <c r="W7" s="45" t="str">
        <f t="shared" ref="W7:W30" si="4">DetSubdiv(C7)</f>
        <v>EC</v>
      </c>
      <c r="X7" s="22">
        <f t="shared" ref="X7:X30" si="5">VALUE(LEFT(C7,LEN(C7)-3))</f>
        <v>237</v>
      </c>
      <c r="Y7" s="96" t="str">
        <f t="shared" ref="Y7:Y30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Arrival","project_id":79,"tracker_id":40,"status_id":1,"priority_id":2,"assigned_to_id":338,"start_date":"2017-11-28","description":"","custom_fields":[{"id":1,"name":"Subdivision","value":"EC"},{"id":4,"name":"Milepost","value":"2.7053"},{"id":17,"name":"Train ID","value":"237-28"},{"id":16,"name":"Locomotive ID","value":"4042"},{"id":130,"name":"Impact","value":""},{"id":150,"name":"Time of Event (Mountain Time)","value":"23:06:12"},{"id":151,"name":"Denver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7" s="158"/>
      <c r="AA7" s="47"/>
      <c r="AB7" s="47"/>
      <c r="AC7" s="115" t="str">
        <f t="shared" ref="AC7:AC30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/c/Users/stu/AppData/Local/Temp/OnboardLogs/RTDC4042 --include="*4042*201711290*"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"%USERPROFILE%\AppData\Local\Temp\OnboardLogs"\RTDC4042\*4042*201711290* &gt;&gt; 2017-11-28-SliceDisagreementCheck.txt</v>
      </c>
      <c r="AE7" s="144" t="str">
        <f t="shared" ref="AE7" si="8">"start /low /b "&amp;dls3logs&amp;" --loco "&amp;U7&amp;" --day "&amp;TEXT(V7,"YYYY-MM-DD")</f>
        <v>start /low /b %USERPROFILE%\Documents\GitHub\eaglep3\Utilities\DownloadLogsFromS3.py --loco 4042 --day 2017-11-29</v>
      </c>
    </row>
    <row r="8" spans="1:32" s="1" customFormat="1" x14ac:dyDescent="0.25">
      <c r="A8" s="31">
        <v>43067.848541666666</v>
      </c>
      <c r="B8" s="30" t="s">
        <v>438</v>
      </c>
      <c r="C8" s="30" t="s">
        <v>662</v>
      </c>
      <c r="D8" s="30" t="s">
        <v>49</v>
      </c>
      <c r="E8" s="30" t="s">
        <v>183</v>
      </c>
      <c r="F8" s="42">
        <v>290</v>
      </c>
      <c r="G8" s="42">
        <v>350</v>
      </c>
      <c r="H8" s="42">
        <v>58873</v>
      </c>
      <c r="I8" s="42">
        <v>58125</v>
      </c>
      <c r="J8" s="30" t="s">
        <v>184</v>
      </c>
      <c r="K8" s="42">
        <v>58301</v>
      </c>
      <c r="L8" s="131" t="s">
        <v>51</v>
      </c>
      <c r="M8" s="132">
        <f t="shared" si="0"/>
        <v>-92.927999999999997</v>
      </c>
      <c r="N8" s="133" t="str">
        <f>VLOOKUP(C8,'Trips&amp;Operators'!$C$1:$G$99911,5,FALSE)</f>
        <v>RESPASS AARON</v>
      </c>
      <c r="O8" s="175" t="s">
        <v>178</v>
      </c>
      <c r="P8" s="240" t="s">
        <v>344</v>
      </c>
      <c r="Q8" s="30"/>
      <c r="R8" s="81" t="str">
        <f>VLOOKUP(C8,'Train Runs'!$A$13:$AE$10153,31,0)</f>
        <v>aws s3 cp s3://rtdc.mdm.uploadarchive.raw/RTDC4041/ "%USERPROFILE%\AppData\Local\Temp\OnboardLogs"\RTDC4041\2017-11-28 --exclude "*" --recursive --include "*20171128*" &amp; "%USERPROFILE%\Documents\GitHub\mrs-test-scripts\Headless Mode &amp; Sideloading\WalkAndUnGZ.bat" "%USERPROFILE%\AppData\Local\Temp\OnboardLogs"\RTDC4041\2017-11-28 &amp; aws s3 cp s3://rtdc.mdm.uploadarchive.raw/RTDC4041/ "%USERPROFILE%\AppData\Local\Temp\OnboardLogs"\RTDC4041\2017-11-29 --exclude "*" --recursive --include "*20171129*" &amp; "%USERPROFILE%\Documents\GitHub\mrs-test-scripts\Headless Mode &amp; Sideloading\WalkAndUnGZ.bat" "%USERPROFILE%\AppData\Local\Temp\OnboardLogs"\RTDC4041\2017-11-29</v>
      </c>
      <c r="S8" s="84" t="str">
        <f>VLOOKUP(C8,'Train Runs'!$A$13:$AE$10153,22,0)</f>
        <v>https://d0f6bd738d7f1b3e5a7ca70fe4ff75f0.us-east-1.aws.found.io/app/kibana#/discover/Steve-Slow-Train-Analysis-(2080s-and-2083s)?_g=(refreshInterval:(display:Off,pause:!f,section:0,value:0),time:(from:'2017-11-28T18:53:38-0700',mode:absolute,to:'2017-11-28T21:36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8" s="86" t="str">
        <f t="shared" si="1"/>
        <v>"C:\Program Files (x86)\AstroGrep\AstroGrep.exe" /e /r /s /spath="%USERPROFILE%\AppData\Local\Temp\OnboardLogs" /stypes="*4041*201711290*" /stext=" 03:.+((SYSTEM_STATE.+slice.+state.+changed )|(ment ac)|(multiple cpu faults)|(system.+state.+changed )|(\[timeout)|(PRM\|1\|D)|(kpr)|(kdp)|(train st.+moving)|(\|lc)|(penalty))"</v>
      </c>
      <c r="U8" s="9" t="str">
        <f t="shared" si="2"/>
        <v>4041</v>
      </c>
      <c r="V8" s="31">
        <f t="shared" si="3"/>
        <v>43068.140208333331</v>
      </c>
      <c r="W8" s="45" t="str">
        <f t="shared" si="4"/>
        <v>EC</v>
      </c>
      <c r="X8" s="229">
        <f t="shared" si="5"/>
        <v>222</v>
      </c>
      <c r="Y8" s="239" t="str">
        <f t="shared" si="6"/>
        <v>echo {"issue":{"subject":"Early Arrival","project_id":79,"tracker_id":40,"status_id":1,"priority_id":2,"assigned_to_id":338,"start_date":"2017-11-28","description":"","custom_fields":[{"id":1,"name":"Subdivision","value":"EC"},{"id":4,"name":"Milepost","value":"5.8301"},{"id":17,"name":"Train ID","value":"222-28"},{"id":16,"name":"Locomotive ID","value":"4041"},{"id":130,"name":"Impact","value":""},{"id":150,"name":"Time of Event (Mountain Time)","value":"20:21:54"},{"id":151,"name":"Denver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8" s="158"/>
      <c r="AA8" s="232"/>
      <c r="AB8" s="232"/>
      <c r="AC8" s="115" t="str">
        <f t="shared" si="7"/>
        <v>grep -hrE -A400 "Enforcement Action" /c/Users/stu/AppData/Local/Temp/OnboardLogs/RTDC4041 --include="*4041*201711290*"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"%USERPROFILE%\AppData\Local\Temp\OnboardLogs"\RTDC4041\*4041*201711290* &gt;&gt; 2017-11-28-SliceDisagreementCheck.txt</v>
      </c>
      <c r="AE8" s="144" t="str">
        <f t="shared" ref="AE8:AE30" si="9">"start /low /b "&amp;dls3logs&amp;" --loco "&amp;U8&amp;" --day "&amp;TEXT(V8,"YYYY-MM-DD")</f>
        <v>start /low /b %USERPROFILE%\Documents\GitHub\eaglep3\Utilities\DownloadLogsFromS3.py --loco 4041 --day 2017-11-29</v>
      </c>
    </row>
    <row r="9" spans="1:32" s="1" customFormat="1" x14ac:dyDescent="0.25">
      <c r="A9" s="31">
        <v>43067.306134259263</v>
      </c>
      <c r="B9" s="30" t="s">
        <v>385</v>
      </c>
      <c r="C9" s="30" t="s">
        <v>640</v>
      </c>
      <c r="D9" s="30" t="s">
        <v>49</v>
      </c>
      <c r="E9" s="30" t="s">
        <v>183</v>
      </c>
      <c r="F9" s="42">
        <v>130</v>
      </c>
      <c r="G9" s="42">
        <v>184</v>
      </c>
      <c r="H9" s="42">
        <v>63955</v>
      </c>
      <c r="I9" s="42">
        <v>63641</v>
      </c>
      <c r="J9" s="30" t="s">
        <v>184</v>
      </c>
      <c r="K9" s="42">
        <v>63309</v>
      </c>
      <c r="L9" s="131" t="s">
        <v>51</v>
      </c>
      <c r="M9" s="132">
        <f t="shared" si="0"/>
        <v>175.29599999999999</v>
      </c>
      <c r="N9" s="133" t="str">
        <f>VLOOKUP(C9,'Trips&amp;Operators'!$C$1:$G$99911,5,FALSE)</f>
        <v>THOMPSON LESTER</v>
      </c>
      <c r="O9" s="175" t="s">
        <v>178</v>
      </c>
      <c r="P9" s="240" t="s">
        <v>344</v>
      </c>
      <c r="Q9" s="30"/>
      <c r="R9" s="81" t="str">
        <f>VLOOKUP(C9,'Train Runs'!$A$13:$AE$10153,31,0)</f>
        <v>aws s3 cp s3://rtdc.mdm.uploadarchive.raw/RTDC4059/ "%USERPROFILE%\AppData\Local\Temp\OnboardLogs"\RTDC4059\2017-11-28 --exclude "*" --recursive --include "*20171128*" &amp; "%USERPROFILE%\Documents\GitHub\mrs-test-scripts\Headless Mode &amp; Sideloading\WalkAndUnGZ.bat" "%USERPROFILE%\AppData\Local\Temp\OnboardLogs"\RTDC4059\2017-11-28 &amp; aws s3 cp s3://rtdc.mdm.uploadarchive.raw/RTDC4059/ "%USERPROFILE%\AppData\Local\Temp\OnboardLogs"\RTDC4059\2017-11-29 --exclude "*" --recursive --include "*20171129*" &amp; "%USERPROFILE%\Documents\GitHub\mrs-test-scripts\Headless Mode &amp; Sideloading\WalkAndUnGZ.bat" "%USERPROFILE%\AppData\Local\Temp\OnboardLogs"\RTDC4059\2017-11-29</v>
      </c>
      <c r="S9" s="84" t="str">
        <f>VLOOKUP(C9,'Train Runs'!$A$13:$AE$10153,22,0)</f>
        <v>https://d0f6bd738d7f1b3e5a7ca70fe4ff75f0.us-east-1.aws.found.io/app/kibana#/discover/Steve-Slow-Train-Analysis-(2080s-and-2083s)?_g=(refreshInterval:(display:Off,pause:!f,section:0,value:0),time:(from:'2017-11-28T05:54:10-0700',mode:absolute,to:'2017-11-28T08:36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9" s="86" t="str">
        <f t="shared" si="1"/>
        <v>"C:\Program Files (x86)\AstroGrep\AstroGrep.exe" /e /r /s /spath="%USERPROFILE%\AppData\Local\Temp\OnboardLogs" /stypes="*4059*201711281*" /stext=" 14:.+((SYSTEM_STATE.+slice.+state.+changed )|(ment ac)|(multiple cpu faults)|(system.+state.+changed )|(\[timeout)|(PRM\|1\|D)|(kpr)|(kdp)|(train st.+moving)|(\|lc)|(penalty))"</v>
      </c>
      <c r="U9" s="9" t="str">
        <f t="shared" si="2"/>
        <v>4059</v>
      </c>
      <c r="V9" s="31">
        <f t="shared" si="3"/>
        <v>43067.597800925927</v>
      </c>
      <c r="W9" s="45" t="str">
        <f t="shared" si="4"/>
        <v>EC</v>
      </c>
      <c r="X9" s="229">
        <f t="shared" si="5"/>
        <v>120</v>
      </c>
      <c r="Y9" s="239" t="str">
        <f t="shared" si="6"/>
        <v>echo {"issue":{"subject":"Early Arrival","project_id":79,"tracker_id":40,"status_id":1,"priority_id":2,"assigned_to_id":338,"start_date":"2017-11-28","description":"","custom_fields":[{"id":1,"name":"Subdivision","value":"EC"},{"id":4,"name":"Milepost","value":"6.3309"},{"id":17,"name":"Train ID","value":"120-28"},{"id":16,"name":"Locomotive ID","value":"4059"},{"id":130,"name":"Impact","value":""},{"id":150,"name":"Time of Event (Mountain Time)","value":"07:20:50"},{"id":151,"name":"Denver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9" s="158"/>
      <c r="AA9" s="232"/>
      <c r="AB9" s="232"/>
      <c r="AC9" s="115" t="str">
        <f t="shared" si="7"/>
        <v>grep -hrE -A400 "Enforcement Action" /c/Users/stu/AppData/Local/Temp/OnboardLogs/RTDC4059 --include="*4059*201711281*"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"%USERPROFILE%\AppData\Local\Temp\OnboardLogs"\RTDC4059\*4059*201711281* &gt;&gt; 2017-11-28-SliceDisagreementCheck.txt</v>
      </c>
      <c r="AE9" s="144" t="str">
        <f t="shared" si="9"/>
        <v>start /low /b %USERPROFILE%\Documents\GitHub\eaglep3\Utilities\DownloadLogsFromS3.py --loco 4059 --day 2017-11-28</v>
      </c>
    </row>
    <row r="10" spans="1:32" x14ac:dyDescent="0.25">
      <c r="A10" s="31">
        <v>43067.458680555559</v>
      </c>
      <c r="B10" s="30" t="s">
        <v>352</v>
      </c>
      <c r="C10" s="30" t="s">
        <v>649</v>
      </c>
      <c r="D10" s="30" t="s">
        <v>49</v>
      </c>
      <c r="E10" s="30" t="s">
        <v>183</v>
      </c>
      <c r="F10" s="42">
        <v>0</v>
      </c>
      <c r="G10" s="42">
        <v>585</v>
      </c>
      <c r="H10" s="42">
        <v>106077</v>
      </c>
      <c r="I10" s="42">
        <v>102830</v>
      </c>
      <c r="J10" s="30" t="s">
        <v>184</v>
      </c>
      <c r="K10" s="42">
        <v>103800</v>
      </c>
      <c r="L10" s="131" t="s">
        <v>51</v>
      </c>
      <c r="M10" s="132">
        <f t="shared" si="0"/>
        <v>-512.16</v>
      </c>
      <c r="N10" s="133" t="str">
        <f>VLOOKUP(C10,'Trips&amp;Operators'!$C$1:$G$99911,5,FALSE)</f>
        <v>BEAM ROSS</v>
      </c>
      <c r="O10" s="175" t="s">
        <v>178</v>
      </c>
      <c r="P10" s="240" t="s">
        <v>344</v>
      </c>
      <c r="Q10" s="30"/>
      <c r="R10" s="81" t="str">
        <f>VLOOKUP(C10,'Train Runs'!$A$13:$AE$10153,31,0)</f>
        <v>aws s3 cp s3://rtdc.mdm.uploadarchive.raw/RTDC4055/ "%USERPROFILE%\AppData\Local\Temp\OnboardLogs"\RTDC4055\2017-11-28 --exclude "*" --recursive --include "*20171128*" &amp; "%USERPROFILE%\Documents\GitHub\mrs-test-scripts\Headless Mode &amp; Sideloading\WalkAndUnGZ.bat" "%USERPROFILE%\AppData\Local\Temp\OnboardLogs"\RTDC4055\2017-11-28 &amp; aws s3 cp s3://rtdc.mdm.uploadarchive.raw/RTDC4055/ "%USERPROFILE%\AppData\Local\Temp\OnboardLogs"\RTDC4055\2017-11-29 --exclude "*" --recursive --include "*20171129*" &amp; "%USERPROFILE%\Documents\GitHub\mrs-test-scripts\Headless Mode &amp; Sideloading\WalkAndUnGZ.bat" "%USERPROFILE%\AppData\Local\Temp\OnboardLogs"\RTDC4055\2017-11-29</v>
      </c>
      <c r="S10" s="84" t="str">
        <f>VLOOKUP(C10,'Train Runs'!$A$13:$AE$10153,22,0)</f>
        <v>https://d0f6bd738d7f1b3e5a7ca70fe4ff75f0.us-east-1.aws.found.io/app/kibana#/discover/Steve-Slow-Train-Analysis-(2080s-and-2083s)?_g=(refreshInterval:(display:Off,pause:!f,section:0,value:0),time:(from:'2017-11-28T09:21:43-0700',mode:absolute,to:'2017-11-28T12:21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10" s="86" t="str">
        <f t="shared" si="1"/>
        <v>"C:\Program Files (x86)\AstroGrep\AstroGrep.exe" /e /r /s /spath="%USERPROFILE%\AppData\Local\Temp\OnboardLogs" /stypes="*4055*201711281*" /stext=" 18:.+((SYSTEM_STATE.+slice.+state.+changed )|(ment ac)|(multiple cpu faults)|(system.+state.+changed )|(\[timeout)|(PRM\|1\|D)|(kpr)|(kdp)|(train st.+moving)|(\|lc)|(penalty))"</v>
      </c>
      <c r="U10" s="9" t="str">
        <f t="shared" si="2"/>
        <v>4055</v>
      </c>
      <c r="V10" s="31">
        <f t="shared" si="3"/>
        <v>43067.750347222223</v>
      </c>
      <c r="W10" s="45" t="str">
        <f t="shared" si="4"/>
        <v>EC</v>
      </c>
      <c r="X10" s="229">
        <f t="shared" si="5"/>
        <v>150</v>
      </c>
      <c r="Y10" s="239" t="str">
        <f t="shared" si="6"/>
        <v>echo {"issue":{"subject":"Early Arrival","project_id":79,"tracker_id":40,"status_id":1,"priority_id":2,"assigned_to_id":338,"start_date":"2017-11-28","description":"","custom_fields":[{"id":1,"name":"Subdivision","value":"EC"},{"id":4,"name":"Milepost","value":"10.38"},{"id":17,"name":"Train ID","value":"150-28"},{"id":16,"name":"Locomotive ID","value":"4055"},{"id":130,"name":"Impact","value":""},{"id":150,"name":"Time of Event (Mountain Time)","value":"11:00:30"},{"id":151,"name":"Denver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0" s="158"/>
      <c r="AA10" s="232"/>
      <c r="AB10" s="232"/>
      <c r="AC10" s="115" t="str">
        <f t="shared" si="7"/>
        <v>grep -hrE -A400 "Enforcement Action" /c/Users/stu/AppData/Local/Temp/OnboardLogs/RTDC4055 --include="*4055*201711281*"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"%USERPROFILE%\AppData\Local\Temp\OnboardLogs"\RTDC4055\*4055*201711281* &gt;&gt; 2017-11-28-SliceDisagreementCheck.txt</v>
      </c>
      <c r="AE10" s="144" t="str">
        <f t="shared" si="9"/>
        <v>start /low /b %USERPROFILE%\Documents\GitHub\eaglep3\Utilities\DownloadLogsFromS3.py --loco 4055 --day 2017-11-28</v>
      </c>
      <c r="AF10" s="1"/>
    </row>
    <row r="11" spans="1:32" x14ac:dyDescent="0.25">
      <c r="A11" s="31">
        <v>43068.014884259261</v>
      </c>
      <c r="B11" s="30" t="s">
        <v>358</v>
      </c>
      <c r="C11" s="30" t="s">
        <v>665</v>
      </c>
      <c r="D11" s="30" t="s">
        <v>49</v>
      </c>
      <c r="E11" s="30" t="s">
        <v>190</v>
      </c>
      <c r="F11" s="42">
        <v>400</v>
      </c>
      <c r="G11" s="42">
        <v>526</v>
      </c>
      <c r="H11" s="42">
        <v>115976</v>
      </c>
      <c r="I11" s="42">
        <v>117273</v>
      </c>
      <c r="J11" s="30" t="s">
        <v>191</v>
      </c>
      <c r="K11" s="42">
        <v>116838</v>
      </c>
      <c r="L11" s="131" t="s">
        <v>50</v>
      </c>
      <c r="M11" s="132">
        <f t="shared" si="0"/>
        <v>-229.68</v>
      </c>
      <c r="N11" s="133" t="str">
        <f>VLOOKUP(C11,'Trips&amp;Operators'!$C$1:$G$99911,5,FALSE)</f>
        <v>NICHOLSON WESLEY</v>
      </c>
      <c r="O11" s="175" t="s">
        <v>178</v>
      </c>
      <c r="P11" s="240"/>
      <c r="Q11" s="30"/>
      <c r="R11" s="81" t="str">
        <f>VLOOKUP(C11,'Train Runs'!$A$13:$AE$10153,31,0)</f>
        <v>aws s3 cp s3://rtdc.mdm.uploadarchive.raw/RTDC4060/ "%USERPROFILE%\AppData\Local\Temp\OnboardLogs"\RTDC4060\2017-11-29 --exclude "*" --recursive --include "*20171129*" &amp; "%USERPROFILE%\Documents\GitHub\mrs-test-scripts\Headless Mode &amp; Sideloading\WalkAndUnGZ.bat" "%USERPROFILE%\AppData\Local\Temp\OnboardLogs"\RTDC4060\2017-11-29 &amp; aws s3 cp s3://rtdc.mdm.uploadarchive.raw/RTDC4060/ "%USERPROFILE%\AppData\Local\Temp\OnboardLogs"\RTDC4060\2017-11-30 --exclude "*" --recursive --include "*20171130*" &amp; "%USERPROFILE%\Documents\GitHub\mrs-test-scripts\Headless Mode &amp; Sideloading\WalkAndUnGZ.bat" "%USERPROFILE%\AppData\Local\Temp\OnboardLogs"\RTDC4060\2017-11-30</v>
      </c>
      <c r="S11" s="84" t="str">
        <f>VLOOKUP(C11,'Train Runs'!$A$13:$AE$10153,22,0)</f>
        <v>https://d0f6bd738d7f1b3e5a7ca70fe4ff75f0.us-east-1.aws.found.io/app/kibana#/discover/Steve-Slow-Train-Analysis-(2080s-and-2083s)?_g=(refreshInterval:(display:Off,pause:!f,section:0,value:0),time:(from:'2017-11-28T22:52:16-0700',mode:absolute,to:'2017-11-29T01:37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T11" s="86" t="str">
        <f t="shared" si="1"/>
        <v>"C:\Program Files (x86)\AstroGrep\AstroGrep.exe" /e /r /s /spath="%USERPROFILE%\AppData\Local\Temp\OnboardLogs" /stypes="*4060*201711290*" /stext=" 07:.+((SYSTEM_STATE.+slice.+state.+changed )|(ment ac)|(multiple cpu faults)|(system.+state.+changed )|(\[timeout)|(PRM\|1\|D)|(kpr)|(kdp)|(train st.+moving)|(\|lc)|(penalty))"</v>
      </c>
      <c r="U11" s="9" t="str">
        <f t="shared" si="2"/>
        <v>4060</v>
      </c>
      <c r="V11" s="31">
        <f t="shared" si="3"/>
        <v>43068.306550925925</v>
      </c>
      <c r="W11" s="45" t="str">
        <f t="shared" si="4"/>
        <v>EC</v>
      </c>
      <c r="X11" s="229">
        <f t="shared" si="5"/>
        <v>241</v>
      </c>
      <c r="Y11" s="239" t="str">
        <f t="shared" si="6"/>
        <v>echo {"issue":{"subject":"","project_id":79,"tracker_id":40,"status_id":1,"priority_id":2,"assigned_to_id":338,"start_date":"2017-11-29","description":"","custom_fields":[{"id":1,"name":"Subdivision","value":"EC"},{"id":4,"name":"Milepost","value":"11.6838"},{"id":17,"name":"Train ID","value":"241-28"},{"id":16,"name":"Locomotive ID","value":"4060"},{"id":130,"name":"Impact","value":""},{"id":150,"name":"Time of Event (Mountain Time)","value":"00:21:26"},{"id":151,"name":"Denver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1" s="158"/>
      <c r="AA11" s="232"/>
      <c r="AB11" s="232"/>
      <c r="AC11" s="115" t="str">
        <f t="shared" si="7"/>
        <v>grep -hrE -A400 "Enforcement Action" /c/Users/stu/AppData/Local/Temp/OnboardLogs/RTDC4060 --include="*4060*201711290*"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"%USERPROFILE%\AppData\Local\Temp\OnboardLogs"\RTDC4060\*4060*201711290* &gt;&gt; 2017-11-28-SliceDisagreementCheck.txt</v>
      </c>
      <c r="AE11" s="144" t="str">
        <f t="shared" si="9"/>
        <v>start /low /b %USERPROFILE%\Documents\GitHub\eaglep3\Utilities\DownloadLogsFromS3.py --loco 4060 --day 2017-11-29</v>
      </c>
      <c r="AF11" s="1"/>
    </row>
    <row r="12" spans="1:32" x14ac:dyDescent="0.25">
      <c r="A12" s="31">
        <v>43067.488206018519</v>
      </c>
      <c r="B12" s="30" t="s">
        <v>645</v>
      </c>
      <c r="C12" s="30" t="s">
        <v>651</v>
      </c>
      <c r="D12" s="30" t="s">
        <v>49</v>
      </c>
      <c r="E12" s="30" t="s">
        <v>190</v>
      </c>
      <c r="F12" s="42">
        <v>400</v>
      </c>
      <c r="G12" s="42">
        <v>453</v>
      </c>
      <c r="H12" s="42">
        <v>120651</v>
      </c>
      <c r="I12" s="42">
        <v>119512</v>
      </c>
      <c r="J12" s="30" t="s">
        <v>191</v>
      </c>
      <c r="K12" s="42">
        <v>119716</v>
      </c>
      <c r="L12" s="131" t="s">
        <v>51</v>
      </c>
      <c r="M12" s="132">
        <f t="shared" si="0"/>
        <v>-107.712</v>
      </c>
      <c r="N12" s="133" t="str">
        <f>VLOOKUP(C12,'Trips&amp;Operators'!$C$1:$G$99911,5,FALSE)</f>
        <v>YANAI IAN</v>
      </c>
      <c r="O12" s="175" t="s">
        <v>178</v>
      </c>
      <c r="P12" s="240"/>
      <c r="Q12" s="30"/>
      <c r="R12" s="81" t="str">
        <f>VLOOKUP(C12,'Train Runs'!$A$13:$AE$10153,31,0)</f>
        <v>aws s3 cp s3://rtdc.mdm.uploadarchive.raw/RTDC4033/ "%USERPROFILE%\AppData\Local\Temp\OnboardLogs"\RTDC4033\2017-11-28 --exclude "*" --recursive --include "*20171128*" &amp; "%USERPROFILE%\Documents\GitHub\mrs-test-scripts\Headless Mode &amp; Sideloading\WalkAndUnGZ.bat" "%USERPROFILE%\AppData\Local\Temp\OnboardLogs"\RTDC4033\2017-11-28 &amp; aws s3 cp s3://rtdc.mdm.uploadarchive.raw/RTDC4033/ "%USERPROFILE%\AppData\Local\Temp\OnboardLogs"\RTDC4033\2017-11-29 --exclude "*" --recursive --include "*20171129*" &amp; "%USERPROFILE%\Documents\GitHub\mrs-test-scripts\Headless Mode &amp; Sideloading\WalkAndUnGZ.bat" "%USERPROFILE%\AppData\Local\Temp\OnboardLogs"\RTDC4033\2017-11-29</v>
      </c>
      <c r="S12" s="84" t="str">
        <f>VLOOKUP(C12,'Train Runs'!$A$13:$AE$10153,22,0)</f>
        <v>https://d0f6bd738d7f1b3e5a7ca70fe4ff75f0.us-east-1.aws.found.io/app/kibana#/discover/Steve-Slow-Train-Analysis-(2080s-and-2083s)?_g=(refreshInterval:(display:Off,pause:!f,section:0,value:0),time:(from:'2017-11-28T10:07:20-0700',mode:absolute,to:'2017-11-28T13:06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T12" s="86" t="str">
        <f t="shared" si="1"/>
        <v>"C:\Program Files (x86)\AstroGrep\AstroGrep.exe" /e /r /s /spath="%USERPROFILE%\AppData\Local\Temp\OnboardLogs" /stypes="*4033*201711281*" /stext=" 18:.+((SYSTEM_STATE.+slice.+state.+changed )|(ment ac)|(multiple cpu faults)|(system.+state.+changed )|(\[timeout)|(PRM\|1\|D)|(kpr)|(kdp)|(train st.+moving)|(\|lc)|(penalty))"</v>
      </c>
      <c r="U12" s="9" t="str">
        <f t="shared" si="2"/>
        <v>4033</v>
      </c>
      <c r="V12" s="31">
        <f t="shared" si="3"/>
        <v>43067.779872685183</v>
      </c>
      <c r="W12" s="45" t="str">
        <f t="shared" si="4"/>
        <v>EC</v>
      </c>
      <c r="X12" s="229">
        <f t="shared" si="5"/>
        <v>156</v>
      </c>
      <c r="Y12" s="239" t="str">
        <f t="shared" si="6"/>
        <v>echo {"issue":{"subject":"","project_id":79,"tracker_id":40,"status_id":1,"priority_id":2,"assigned_to_id":338,"start_date":"2017-11-28","description":"","custom_fields":[{"id":1,"name":"Subdivision","value":"EC"},{"id":4,"name":"Milepost","value":"11.9716"},{"id":17,"name":"Train ID","value":"156-28"},{"id":16,"name":"Locomotive ID","value":"4033"},{"id":130,"name":"Impact","value":""},{"id":150,"name":"Time of Event (Mountain Time)","value":"11:43:01"},{"id":151,"name":"Denver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2" s="158"/>
      <c r="AA12" s="232"/>
      <c r="AB12" s="232"/>
      <c r="AC12" s="115" t="str">
        <f t="shared" si="7"/>
        <v>grep -hrE -A400 "Enforcement Action" /c/Users/stu/AppData/Local/Temp/OnboardLogs/RTDC4033 --include="*4033*201711281*"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"%USERPROFILE%\AppData\Local\Temp\OnboardLogs"\RTDC4033\*4033*201711281* &gt;&gt; 2017-11-28-SliceDisagreementCheck.txt</v>
      </c>
      <c r="AE12" s="144" t="str">
        <f t="shared" si="9"/>
        <v>start /low /b %USERPROFILE%\Documents\GitHub\eaglep3\Utilities\DownloadLogsFromS3.py --loco 4033 --day 2017-11-28</v>
      </c>
      <c r="AF12" s="1"/>
    </row>
    <row r="13" spans="1:32" x14ac:dyDescent="0.25">
      <c r="A13" s="31">
        <v>43067.440208333333</v>
      </c>
      <c r="B13" s="30" t="s">
        <v>385</v>
      </c>
      <c r="C13" s="30" t="s">
        <v>648</v>
      </c>
      <c r="D13" s="30" t="s">
        <v>95</v>
      </c>
      <c r="E13" s="30" t="s">
        <v>190</v>
      </c>
      <c r="F13" s="42">
        <v>600</v>
      </c>
      <c r="G13" s="42">
        <v>650</v>
      </c>
      <c r="H13" s="42">
        <v>184324</v>
      </c>
      <c r="I13" s="42">
        <v>181204</v>
      </c>
      <c r="J13" s="30" t="s">
        <v>191</v>
      </c>
      <c r="K13" s="42">
        <v>190834</v>
      </c>
      <c r="L13" s="131" t="s">
        <v>51</v>
      </c>
      <c r="M13" s="132">
        <f t="shared" si="0"/>
        <v>-5084.6400000000003</v>
      </c>
      <c r="N13" s="133" t="str">
        <f>VLOOKUP(C13,'Trips&amp;Operators'!$C$1:$G$99911,5,FALSE)</f>
        <v>THOMPSON LESTER</v>
      </c>
      <c r="O13" s="175" t="s">
        <v>178</v>
      </c>
      <c r="P13" s="240"/>
      <c r="Q13" s="30"/>
      <c r="R13" s="81" t="str">
        <f>VLOOKUP(C13,'Train Runs'!$A$13:$AE$10153,31,0)</f>
        <v>aws s3 cp s3://rtdc.mdm.uploadarchive.raw/RTDC4059/ "%USERPROFILE%\AppData\Local\Temp\OnboardLogs"\RTDC4059\2017-11-28 --exclude "*" --recursive --include "*20171128*" &amp; "%USERPROFILE%\Documents\GitHub\mrs-test-scripts\Headless Mode &amp; Sideloading\WalkAndUnGZ.bat" "%USERPROFILE%\AppData\Local\Temp\OnboardLogs"\RTDC4059\2017-11-28 &amp; aws s3 cp s3://rtdc.mdm.uploadarchive.raw/RTDC4059/ "%USERPROFILE%\AppData\Local\Temp\OnboardLogs"\RTDC4059\2017-11-29 --exclude "*" --recursive --include "*20171129*" &amp; "%USERPROFILE%\Documents\GitHub\mrs-test-scripts\Headless Mode &amp; Sideloading\WalkAndUnGZ.bat" "%USERPROFILE%\AppData\Local\Temp\OnboardLogs"\RTDC4059\2017-11-29</v>
      </c>
      <c r="S13" s="84" t="str">
        <f>VLOOKUP(C13,'Train Runs'!$A$13:$AE$10153,22,0)</f>
        <v>https://d0f6bd738d7f1b3e5a7ca70fe4ff75f0.us-east-1.aws.found.io/app/kibana#/discover/Steve-Slow-Train-Analysis-(2080s-and-2083s)?_g=(refreshInterval:(display:Off,pause:!f,section:0,value:0),time:(from:'2017-11-28T09:24:56-0700',mode:absolute,to:'2017-11-28T12:06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13" s="86" t="str">
        <f t="shared" si="1"/>
        <v>"C:\Program Files (x86)\AstroGrep\AstroGrep.exe" /e /r /s /spath="%USERPROFILE%\AppData\Local\Temp\OnboardLogs" /stypes="*4059*201711281*" /stext=" 17:.+((SYSTEM_STATE.+slice.+state.+changed )|(ment ac)|(multiple cpu faults)|(system.+state.+changed )|(\[timeout)|(PRM\|1\|D)|(kpr)|(kdp)|(train st.+moving)|(\|lc)|(penalty))"</v>
      </c>
      <c r="U13" s="9" t="str">
        <f t="shared" si="2"/>
        <v>4059</v>
      </c>
      <c r="V13" s="31">
        <f t="shared" si="3"/>
        <v>43067.731874999998</v>
      </c>
      <c r="W13" s="45" t="str">
        <f t="shared" si="4"/>
        <v>EC</v>
      </c>
      <c r="X13" s="229">
        <f t="shared" si="5"/>
        <v>148</v>
      </c>
      <c r="Y13" s="239" t="str">
        <f t="shared" si="6"/>
        <v>echo {"issue":{"subject":"","project_id":79,"tracker_id":40,"status_id":1,"priority_id":2,"assigned_to_id":338,"start_date":"2017-11-28","description":"","custom_fields":[{"id":1,"name":"Subdivision","value":"EC"},{"id":4,"name":"Milepost","value":"19.0834"},{"id":17,"name":"Train ID","value":"148-28"},{"id":16,"name":"Locomotive ID","value":"4059"},{"id":130,"name":"Impact","value":""},{"id":150,"name":"Time of Event (Mountain Time)","value":"10:33:54"},{"id":151,"name":"Denver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3" s="158"/>
      <c r="AA13" s="232"/>
      <c r="AB13" s="232"/>
      <c r="AC13" s="115" t="str">
        <f t="shared" si="7"/>
        <v>grep -hrE -A400 "Enforcement Action" /c/Users/stu/AppData/Local/Temp/OnboardLogs/RTDC4059 --include="*4059*201711281*"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"%USERPROFILE%\AppData\Local\Temp\OnboardLogs"\RTDC4059\*4059*201711281* &gt;&gt; 2017-11-28-SliceDisagreementCheck.txt</v>
      </c>
      <c r="AE13" s="144" t="str">
        <f t="shared" si="9"/>
        <v>start /low /b %USERPROFILE%\Documents\GitHub\eaglep3\Utilities\DownloadLogsFromS3.py --loco 4059 --day 2017-11-28</v>
      </c>
      <c r="AF13" s="1"/>
    </row>
    <row r="14" spans="1:32" x14ac:dyDescent="0.25">
      <c r="A14" s="31">
        <v>43067.327627314815</v>
      </c>
      <c r="B14" s="30" t="s">
        <v>357</v>
      </c>
      <c r="C14" s="30" t="s">
        <v>641</v>
      </c>
      <c r="D14" s="30" t="s">
        <v>49</v>
      </c>
      <c r="E14" s="30" t="s">
        <v>190</v>
      </c>
      <c r="F14" s="42">
        <v>550</v>
      </c>
      <c r="G14" s="42">
        <v>774</v>
      </c>
      <c r="H14" s="42">
        <v>218099</v>
      </c>
      <c r="I14" s="42">
        <v>221665</v>
      </c>
      <c r="J14" s="30" t="s">
        <v>191</v>
      </c>
      <c r="K14" s="42">
        <v>222090</v>
      </c>
      <c r="L14" s="131" t="s">
        <v>50</v>
      </c>
      <c r="M14" s="132">
        <f t="shared" si="0"/>
        <v>224.4</v>
      </c>
      <c r="N14" s="133" t="str">
        <f>VLOOKUP(C14,'Trips&amp;Operators'!$C$1:$G$99911,5,FALSE)</f>
        <v>NICHOLAS PLOYSA</v>
      </c>
      <c r="O14" s="175" t="s">
        <v>178</v>
      </c>
      <c r="P14" s="240"/>
      <c r="Q14" s="30"/>
      <c r="R14" s="81" t="str">
        <f>VLOOKUP(C14,'Train Runs'!$A$13:$AE$10153,31,0)</f>
        <v>aws s3 cp s3://rtdc.mdm.uploadarchive.raw/RTDC4008/ "%USERPROFILE%\AppData\Local\Temp\OnboardLogs"\RTDC4008\2017-11-28 --exclude "*" --recursive --include "*20171128*" &amp; "%USERPROFILE%\Documents\GitHub\mrs-test-scripts\Headless Mode &amp; Sideloading\WalkAndUnGZ.bat" "%USERPROFILE%\AppData\Local\Temp\OnboardLogs"\RTDC4008\2017-11-28 &amp; aws s3 cp s3://rtdc.mdm.uploadarchive.raw/RTDC4008/ "%USERPROFILE%\AppData\Local\Temp\OnboardLogs"\RTDC4008\2017-11-29 --exclude "*" --recursive --include "*20171129*" &amp; "%USERPROFILE%\Documents\GitHub\mrs-test-scripts\Headless Mode &amp; Sideloading\WalkAndUnGZ.bat" "%USERPROFILE%\AppData\Local\Temp\OnboardLogs"\RTDC4008\2017-11-29</v>
      </c>
      <c r="S14" s="84" t="str">
        <f>VLOOKUP(C14,'Train Runs'!$A$13:$AE$10153,22,0)</f>
        <v>https://d0f6bd738d7f1b3e5a7ca70fe4ff75f0.us-east-1.aws.found.io/app/kibana#/discover/Steve-Slow-Train-Analysis-(2080s-and-2083s)?_g=(refreshInterval:(display:Off,pause:!f,section:0,value:0),time:(from:'2017-11-28T06:09:25-0700',mode:absolute,to:'2017-11-28T08:55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14" s="86" t="str">
        <f t="shared" si="1"/>
        <v>"C:\Program Files (x86)\AstroGrep\AstroGrep.exe" /e /r /s /spath="%USERPROFILE%\AppData\Local\Temp\OnboardLogs" /stypes="*4008*201711281*" /stext=" 14:.+((SYSTEM_STATE.+slice.+state.+changed )|(ment ac)|(multiple cpu faults)|(system.+state.+changed )|(\[timeout)|(PRM\|1\|D)|(kpr)|(kdp)|(train st.+moving)|(\|lc)|(penalty))"</v>
      </c>
      <c r="U14" s="9" t="str">
        <f t="shared" si="2"/>
        <v>4008</v>
      </c>
      <c r="V14" s="31">
        <f t="shared" si="3"/>
        <v>43067.619293981479</v>
      </c>
      <c r="W14" s="45" t="str">
        <f t="shared" si="4"/>
        <v>EC</v>
      </c>
      <c r="X14" s="229">
        <f t="shared" si="5"/>
        <v>129</v>
      </c>
      <c r="Y14" s="239" t="str">
        <f t="shared" si="6"/>
        <v>echo {"issue":{"subject":"","project_id":79,"tracker_id":40,"status_id":1,"priority_id":2,"assigned_to_id":338,"start_date":"2017-11-28","description":"","custom_fields":[{"id":1,"name":"Subdivision","value":"EC"},{"id":4,"name":"Milepost","value":"22.209"},{"id":17,"name":"Train ID","value":"129-28"},{"id":16,"name":"Locomotive ID","value":"4008"},{"id":130,"name":"Impact","value":""},{"id":150,"name":"Time of Event (Mountain Time)","value":"07:51:47"},{"id":151,"name":"Denver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4" s="158"/>
      <c r="AA14" s="232"/>
      <c r="AB14" s="232"/>
      <c r="AC14" s="115" t="str">
        <f t="shared" si="7"/>
        <v>grep -hrE -A400 "Enforcement Action" /c/Users/stu/AppData/Local/Temp/OnboardLogs/RTDC4008 --include="*4008*201711281*"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"%USERPROFILE%\AppData\Local\Temp\OnboardLogs"\RTDC4008\*4008*201711281* &gt;&gt; 2017-11-28-SliceDisagreementCheck.txt</v>
      </c>
      <c r="AE14" s="144" t="str">
        <f t="shared" si="9"/>
        <v>start /low /b %USERPROFILE%\Documents\GitHub\eaglep3\Utilities\DownloadLogsFromS3.py --loco 4008 --day 2017-11-28</v>
      </c>
      <c r="AF14" s="1"/>
    </row>
    <row r="15" spans="1:32" x14ac:dyDescent="0.25">
      <c r="A15" s="31">
        <v>43067.406597222223</v>
      </c>
      <c r="B15" s="30" t="s">
        <v>645</v>
      </c>
      <c r="C15" s="30" t="s">
        <v>646</v>
      </c>
      <c r="D15" s="30" t="s">
        <v>95</v>
      </c>
      <c r="E15" s="30" t="s">
        <v>190</v>
      </c>
      <c r="F15" s="42">
        <v>550</v>
      </c>
      <c r="G15" s="42">
        <v>602</v>
      </c>
      <c r="H15" s="42">
        <v>222115</v>
      </c>
      <c r="I15" s="42">
        <v>219689</v>
      </c>
      <c r="J15" s="30" t="s">
        <v>191</v>
      </c>
      <c r="K15" s="42">
        <v>224581</v>
      </c>
      <c r="L15" s="131" t="s">
        <v>51</v>
      </c>
      <c r="M15" s="132">
        <f t="shared" si="0"/>
        <v>-2582.9760000000001</v>
      </c>
      <c r="N15" s="133" t="str">
        <f>VLOOKUP(C15,'Trips&amp;Operators'!$C$1:$G$99911,5,FALSE)</f>
        <v>YANAI IAN</v>
      </c>
      <c r="O15" s="175" t="s">
        <v>178</v>
      </c>
      <c r="P15" s="240"/>
      <c r="Q15" s="30"/>
      <c r="R15" s="81" t="str">
        <f>VLOOKUP(C15,'Train Runs'!$A$13:$AE$10153,31,0)</f>
        <v>aws s3 cp s3://rtdc.mdm.uploadarchive.raw/RTDC4033/ "%USERPROFILE%\AppData\Local\Temp\OnboardLogs"\RTDC4033\2017-11-28 --exclude "*" --recursive --include "*20171128*" &amp; "%USERPROFILE%\Documents\GitHub\mrs-test-scripts\Headless Mode &amp; Sideloading\WalkAndUnGZ.bat" "%USERPROFILE%\AppData\Local\Temp\OnboardLogs"\RTDC4033\2017-11-28 &amp; aws s3 cp s3://rtdc.mdm.uploadarchive.raw/RTDC4033/ "%USERPROFILE%\AppData\Local\Temp\OnboardLogs"\RTDC4033\2017-11-29 --exclude "*" --recursive --include "*20171129*" &amp; "%USERPROFILE%\Documents\GitHub\mrs-test-scripts\Headless Mode &amp; Sideloading\WalkAndUnGZ.bat" "%USERPROFILE%\AppData\Local\Temp\OnboardLogs"\RTDC4033\2017-11-29</v>
      </c>
      <c r="S15" s="84" t="str">
        <f>VLOOKUP(C15,'Train Runs'!$A$13:$AE$10153,22,0)</f>
        <v>https://d0f6bd738d7f1b3e5a7ca70fe4ff75f0.us-east-1.aws.found.io/app/kibana#/discover/Steve-Slow-Train-Analysis-(2080s-and-2083s)?_g=(refreshInterval:(display:Off,pause:!f,section:0,value:0),time:(from:'2017-11-28T08:21:13-0700',mode:absolute,to:'2017-11-28T11:19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T15" s="86" t="str">
        <f t="shared" si="1"/>
        <v>"C:\Program Files (x86)\AstroGrep\AstroGrep.exe" /e /r /s /spath="%USERPROFILE%\AppData\Local\Temp\OnboardLogs" /stypes="*4033*201711281*" /stext=" 16:.+((SYSTEM_STATE.+slice.+state.+changed )|(ment ac)|(multiple cpu faults)|(system.+state.+changed )|(\[timeout)|(PRM\|1\|D)|(kpr)|(kdp)|(train st.+moving)|(\|lc)|(penalty))"</v>
      </c>
      <c r="U15" s="9" t="str">
        <f t="shared" si="2"/>
        <v>4033</v>
      </c>
      <c r="V15" s="31">
        <f t="shared" si="3"/>
        <v>43067.698263888888</v>
      </c>
      <c r="W15" s="45" t="str">
        <f t="shared" si="4"/>
        <v>EC</v>
      </c>
      <c r="X15" s="229">
        <f t="shared" si="5"/>
        <v>142</v>
      </c>
      <c r="Y15" s="239" t="str">
        <f t="shared" si="6"/>
        <v>echo {"issue":{"subject":"","project_id":79,"tracker_id":40,"status_id":1,"priority_id":2,"assigned_to_id":338,"start_date":"2017-11-28","description":"","custom_fields":[{"id":1,"name":"Subdivision","value":"EC"},{"id":4,"name":"Milepost","value":"22.4581"},{"id":17,"name":"Train ID","value":"142-28"},{"id":16,"name":"Locomotive ID","value":"4033"},{"id":130,"name":"Impact","value":""},{"id":150,"name":"Time of Event (Mountain Time)","value":"09:45:30"},{"id":151,"name":"Denver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5" s="158"/>
      <c r="AA15" s="232"/>
      <c r="AB15" s="232"/>
      <c r="AC15" s="115" t="str">
        <f t="shared" si="7"/>
        <v>grep -hrE -A400 "Enforcement Action" /c/Users/stu/AppData/Local/Temp/OnboardLogs/RTDC4033 --include="*4033*201711281*"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"%USERPROFILE%\AppData\Local\Temp\OnboardLogs"\RTDC4033\*4033*201711281* &gt;&gt; 2017-11-28-SliceDisagreementCheck.txt</v>
      </c>
      <c r="AE15" s="144" t="str">
        <f t="shared" si="9"/>
        <v>start /low /b %USERPROFILE%\Documents\GitHub\eaglep3\Utilities\DownloadLogsFromS3.py --loco 4033 --day 2017-11-28</v>
      </c>
      <c r="AF15" s="1"/>
    </row>
    <row r="16" spans="1:32" x14ac:dyDescent="0.25">
      <c r="A16" s="31">
        <v>43067.672268518516</v>
      </c>
      <c r="B16" s="30" t="s">
        <v>385</v>
      </c>
      <c r="C16" s="30" t="s">
        <v>658</v>
      </c>
      <c r="D16" s="30" t="s">
        <v>49</v>
      </c>
      <c r="E16" s="30" t="s">
        <v>355</v>
      </c>
      <c r="F16" s="42">
        <v>0</v>
      </c>
      <c r="G16" s="42">
        <v>602</v>
      </c>
      <c r="H16" s="42">
        <v>42002</v>
      </c>
      <c r="I16" s="42">
        <v>39349</v>
      </c>
      <c r="J16" s="30" t="s">
        <v>356</v>
      </c>
      <c r="K16" s="42">
        <v>38656</v>
      </c>
      <c r="L16" s="131" t="s">
        <v>51</v>
      </c>
      <c r="M16" s="132">
        <f t="shared" si="0"/>
        <v>365.904</v>
      </c>
      <c r="N16" s="133" t="str">
        <f>VLOOKUP(C16,'Trips&amp;Operators'!$C$1:$G$99911,5,FALSE)</f>
        <v>BRUDER RICHARD</v>
      </c>
      <c r="O16" s="175" t="s">
        <v>349</v>
      </c>
      <c r="P16" s="240" t="s">
        <v>631</v>
      </c>
      <c r="Q16" s="30"/>
      <c r="R16" s="81" t="str">
        <f>VLOOKUP(C16,'Train Runs'!$A$13:$AE$10153,31,0)</f>
        <v>aws s3 cp s3://rtdc.mdm.uploadarchive.raw/RTDC4059/ "%USERPROFILE%\AppData\Local\Temp\OnboardLogs"\RTDC4059\2017-11-28 --exclude "*" --recursive --include "*20171128*" &amp; "%USERPROFILE%\Documents\GitHub\mrs-test-scripts\Headless Mode &amp; Sideloading\WalkAndUnGZ.bat" "%USERPROFILE%\AppData\Local\Temp\OnboardLogs"\RTDC4059\2017-11-28 &amp; aws s3 cp s3://rtdc.mdm.uploadarchive.raw/RTDC4059/ "%USERPROFILE%\AppData\Local\Temp\OnboardLogs"\RTDC4059\2017-11-29 --exclude "*" --recursive --include "*20171129*" &amp; "%USERPROFILE%\Documents\GitHub\mrs-test-scripts\Headless Mode &amp; Sideloading\WalkAndUnGZ.bat" "%USERPROFILE%\AppData\Local\Temp\OnboardLogs"\RTDC4059\2017-11-29</v>
      </c>
      <c r="S16" s="84" t="str">
        <f>VLOOKUP(C16,'Train Runs'!$A$13:$AE$10153,22,0)</f>
        <v>https://d0f6bd738d7f1b3e5a7ca70fe4ff75f0.us-east-1.aws.found.io/app/kibana#/discover/Steve-Slow-Train-Analysis-(2080s-and-2083s)?_g=(refreshInterval:(display:Off,pause:!f,section:0,value:0),time:(from:'2017-11-28T14:37:16-0700',mode:absolute,to:'2017-11-28T17:19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16" s="86" t="str">
        <f t="shared" si="1"/>
        <v>"C:\Program Files (x86)\AstroGrep\AstroGrep.exe" /e /r /s /spath="%USERPROFILE%\AppData\Local\Temp\OnboardLogs" /stypes="*4059*201711282*" /stext=" 23:.+((SYSTEM_STATE.+slice.+state.+changed )|(ment ac)|(multiple cpu faults)|(system.+state.+changed )|(\[timeout)|(PRM\|1\|D)|(kpr)|(kdp)|(train st.+moving)|(\|lc)|(penalty))"</v>
      </c>
      <c r="U16" s="9" t="str">
        <f t="shared" si="2"/>
        <v>4059</v>
      </c>
      <c r="V16" s="31">
        <f t="shared" si="3"/>
        <v>43067.96393518518</v>
      </c>
      <c r="W16" s="45" t="str">
        <f t="shared" si="4"/>
        <v>EC</v>
      </c>
      <c r="X16" s="229">
        <f t="shared" si="5"/>
        <v>190</v>
      </c>
      <c r="Y16" s="239" t="str">
        <f t="shared" si="6"/>
        <v>echo {"issue":{"subject":"Wi-MAX data drop","project_id":79,"tracker_id":40,"status_id":1,"priority_id":2,"assigned_to_id":338,"start_date":"2017-11-28","description":"","custom_fields":[{"id":1,"name":"Subdivision","value":"EC"},{"id":4,"name":"Milepost","value":"3.8656"},{"id":17,"name":"Train ID","value":"190-28"},{"id":16,"name":"Locomotive ID","value":"4059"},{"id":130,"name":"Impact","value":""},{"id":150,"name":"Time of Event (Mountain Time)","value":"16:08:04"},{"id":151,"name":"Denver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6" s="158"/>
      <c r="AA16" s="232"/>
      <c r="AB16" s="232"/>
      <c r="AC16" s="115" t="str">
        <f t="shared" si="7"/>
        <v>grep -hrE -A400 "Enforcement Action" /c/Users/stu/AppData/Local/Temp/OnboardLogs/RTDC4059 --include="*4059*201711282*"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"%USERPROFILE%\AppData\Local\Temp\OnboardLogs"\RTDC4059\*4059*201711282* &gt;&gt; 2017-11-28-SliceDisagreementCheck.txt</v>
      </c>
      <c r="AE16" s="144" t="str">
        <f t="shared" si="9"/>
        <v>start /low /b %USERPROFILE%\Documents\GitHub\eaglep3\Utilities\DownloadLogsFromS3.py --loco 4059 --day 2017-11-28</v>
      </c>
      <c r="AF16" s="1"/>
    </row>
    <row r="17" spans="1:32" x14ac:dyDescent="0.25">
      <c r="A17" s="31">
        <v>43067.74428240741</v>
      </c>
      <c r="B17" s="30" t="s">
        <v>385</v>
      </c>
      <c r="C17" s="30" t="s">
        <v>659</v>
      </c>
      <c r="D17" s="30" t="s">
        <v>49</v>
      </c>
      <c r="E17" s="30" t="s">
        <v>355</v>
      </c>
      <c r="F17" s="42">
        <v>0</v>
      </c>
      <c r="G17" s="42">
        <v>358</v>
      </c>
      <c r="H17" s="42">
        <v>59837</v>
      </c>
      <c r="I17" s="42">
        <v>58859</v>
      </c>
      <c r="J17" s="30" t="s">
        <v>356</v>
      </c>
      <c r="K17" s="42">
        <v>57897</v>
      </c>
      <c r="L17" s="131" t="s">
        <v>51</v>
      </c>
      <c r="M17" s="132">
        <f t="shared" si="0"/>
        <v>507.93599999999998</v>
      </c>
      <c r="N17" s="133" t="str">
        <f>VLOOKUP(C17,'Trips&amp;Operators'!$C$1:$G$99911,5,FALSE)</f>
        <v>BRUDER RICHARD</v>
      </c>
      <c r="O17" s="175" t="s">
        <v>349</v>
      </c>
      <c r="P17" s="240" t="s">
        <v>631</v>
      </c>
      <c r="Q17" s="30"/>
      <c r="R17" s="81" t="str">
        <f>VLOOKUP(C17,'Train Runs'!$A$13:$AE$10153,31,0)</f>
        <v>aws s3 cp s3://rtdc.mdm.uploadarchive.raw/RTDC4059/ "%USERPROFILE%\AppData\Local\Temp\OnboardLogs"\RTDC4059\2017-11-28 --exclude "*" --recursive --include "*20171128*" &amp; "%USERPROFILE%\Documents\GitHub\mrs-test-scripts\Headless Mode &amp; Sideloading\WalkAndUnGZ.bat" "%USERPROFILE%\AppData\Local\Temp\OnboardLogs"\RTDC4059\2017-11-28 &amp; aws s3 cp s3://rtdc.mdm.uploadarchive.raw/RTDC4059/ "%USERPROFILE%\AppData\Local\Temp\OnboardLogs"\RTDC4059\2017-11-29 --exclude "*" --recursive --include "*20171129*" &amp; "%USERPROFILE%\Documents\GitHub\mrs-test-scripts\Headless Mode &amp; Sideloading\WalkAndUnGZ.bat" "%USERPROFILE%\AppData\Local\Temp\OnboardLogs"\RTDC4059\2017-11-29</v>
      </c>
      <c r="S17" s="84" t="str">
        <f>VLOOKUP(C17,'Train Runs'!$A$13:$AE$10153,22,0)</f>
        <v>https://d0f6bd738d7f1b3e5a7ca70fe4ff75f0.us-east-1.aws.found.io/app/kibana#/discover/Steve-Slow-Train-Analysis-(2080s-and-2083s)?_g=(refreshInterval:(display:Off,pause:!f,section:0,value:0),time:(from:'2017-11-28T16:22:34-0700',mode:absolute,to:'2017-11-28T19:07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17" s="86" t="str">
        <f t="shared" si="1"/>
        <v>"C:\Program Files (x86)\AstroGrep\AstroGrep.exe" /e /r /s /spath="%USERPROFILE%\AppData\Local\Temp\OnboardLogs" /stypes="*4059*201711290*" /stext=" 00:.+((SYSTEM_STATE.+slice.+state.+changed )|(ment ac)|(multiple cpu faults)|(system.+state.+changed )|(\[timeout)|(PRM\|1\|D)|(kpr)|(kdp)|(train st.+moving)|(\|lc)|(penalty))"</v>
      </c>
      <c r="U17" s="9" t="str">
        <f t="shared" si="2"/>
        <v>4059</v>
      </c>
      <c r="V17" s="31">
        <f t="shared" si="3"/>
        <v>43068.035949074074</v>
      </c>
      <c r="W17" s="45" t="str">
        <f t="shared" si="4"/>
        <v>EC</v>
      </c>
      <c r="X17" s="229">
        <f t="shared" si="5"/>
        <v>204</v>
      </c>
      <c r="Y17" s="239" t="str">
        <f t="shared" si="6"/>
        <v>echo {"issue":{"subject":"Wi-MAX data drop","project_id":79,"tracker_id":40,"status_id":1,"priority_id":2,"assigned_to_id":338,"start_date":"2017-11-28","description":"","custom_fields":[{"id":1,"name":"Subdivision","value":"EC"},{"id":4,"name":"Milepost","value":"5.7897"},{"id":17,"name":"Train ID","value":"204-28"},{"id":16,"name":"Locomotive ID","value":"4059"},{"id":130,"name":"Impact","value":""},{"id":150,"name":"Time of Event (Mountain Time)","value":"17:51:46"},{"id":151,"name":"Denver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7" s="158"/>
      <c r="AA17" s="232"/>
      <c r="AB17" s="232"/>
      <c r="AC17" s="115" t="str">
        <f t="shared" si="7"/>
        <v>grep -hrE -A400 "Enforcement Action" /c/Users/stu/AppData/Local/Temp/OnboardLogs/RTDC4059 --include="*4059*201711290*"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"%USERPROFILE%\AppData\Local\Temp\OnboardLogs"\RTDC4059\*4059*201711290* &gt;&gt; 2017-11-28-SliceDisagreementCheck.txt</v>
      </c>
      <c r="AE17" s="144" t="str">
        <f t="shared" si="9"/>
        <v>start /low /b %USERPROFILE%\Documents\GitHub\eaglep3\Utilities\DownloadLogsFromS3.py --loco 4059 --day 2017-11-29</v>
      </c>
      <c r="AF17" s="1"/>
    </row>
    <row r="18" spans="1:32" x14ac:dyDescent="0.25">
      <c r="A18" s="31">
        <v>43067.479849537034</v>
      </c>
      <c r="B18" s="30" t="s">
        <v>438</v>
      </c>
      <c r="C18" s="30" t="s">
        <v>650</v>
      </c>
      <c r="D18" s="30" t="s">
        <v>49</v>
      </c>
      <c r="E18" s="30" t="s">
        <v>355</v>
      </c>
      <c r="F18" s="42">
        <v>0</v>
      </c>
      <c r="G18" s="42">
        <v>774</v>
      </c>
      <c r="H18" s="42">
        <v>97645</v>
      </c>
      <c r="I18" s="42">
        <v>93601</v>
      </c>
      <c r="J18" s="30" t="s">
        <v>356</v>
      </c>
      <c r="K18" s="42">
        <v>95986</v>
      </c>
      <c r="L18" s="131" t="s">
        <v>51</v>
      </c>
      <c r="M18" s="132">
        <f t="shared" si="0"/>
        <v>-1259.28</v>
      </c>
      <c r="N18" s="133" t="str">
        <f>VLOOKUP(C18,'Trips&amp;Operators'!$C$1:$G$99911,5,FALSE)</f>
        <v>DAVIDSON DAVID</v>
      </c>
      <c r="O18" s="175" t="s">
        <v>349</v>
      </c>
      <c r="P18" s="240" t="s">
        <v>631</v>
      </c>
      <c r="Q18" s="30"/>
      <c r="R18" s="81" t="str">
        <f>VLOOKUP(C18,'Train Runs'!$A$13:$AE$10153,31,0)</f>
        <v>aws s3 cp s3://rtdc.mdm.uploadarchive.raw/RTDC4041/ "%USERPROFILE%\AppData\Local\Temp\OnboardLogs"\RTDC4041\2017-11-28 --exclude "*" --recursive --include "*20171128*" &amp; "%USERPROFILE%\Documents\GitHub\mrs-test-scripts\Headless Mode &amp; Sideloading\WalkAndUnGZ.bat" "%USERPROFILE%\AppData\Local\Temp\OnboardLogs"\RTDC4041\2017-11-28 &amp; aws s3 cp s3://rtdc.mdm.uploadarchive.raw/RTDC4041/ "%USERPROFILE%\AppData\Local\Temp\OnboardLogs"\RTDC4041\2017-11-29 --exclude "*" --recursive --include "*20171129*" &amp; "%USERPROFILE%\Documents\GitHub\mrs-test-scripts\Headless Mode &amp; Sideloading\WalkAndUnGZ.bat" "%USERPROFILE%\AppData\Local\Temp\OnboardLogs"\RTDC4041\2017-11-29</v>
      </c>
      <c r="S18" s="84" t="str">
        <f>VLOOKUP(C18,'Train Runs'!$A$13:$AE$10153,22,0)</f>
        <v>https://d0f6bd738d7f1b3e5a7ca70fe4ff75f0.us-east-1.aws.found.io/app/kibana#/discover/Steve-Slow-Train-Analysis-(2080s-and-2083s)?_g=(refreshInterval:(display:Off,pause:!f,section:0,value:0),time:(from:'2017-11-28T09:53:39-0700',mode:absolute,to:'2017-11-28T12:53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8" s="86" t="str">
        <f t="shared" si="1"/>
        <v>"C:\Program Files (x86)\AstroGrep\AstroGrep.exe" /e /r /s /spath="%USERPROFILE%\AppData\Local\Temp\OnboardLogs" /stypes="*4041*201711281*" /stext=" 18:.+((SYSTEM_STATE.+slice.+state.+changed )|(ment ac)|(multiple cpu faults)|(system.+state.+changed )|(\[timeout)|(PRM\|1\|D)|(kpr)|(kdp)|(train st.+moving)|(\|lc)|(penalty))"</v>
      </c>
      <c r="U18" s="9" t="str">
        <f t="shared" si="2"/>
        <v>4041</v>
      </c>
      <c r="V18" s="31">
        <f t="shared" si="3"/>
        <v>43067.771516203698</v>
      </c>
      <c r="W18" s="45" t="str">
        <f t="shared" si="4"/>
        <v>EC</v>
      </c>
      <c r="X18" s="229">
        <f t="shared" si="5"/>
        <v>154</v>
      </c>
      <c r="Y18" s="239" t="str">
        <f t="shared" si="6"/>
        <v>echo {"issue":{"subject":"Wi-MAX data drop","project_id":79,"tracker_id":40,"status_id":1,"priority_id":2,"assigned_to_id":338,"start_date":"2017-11-28","description":"","custom_fields":[{"id":1,"name":"Subdivision","value":"EC"},{"id":4,"name":"Milepost","value":"9.5986"},{"id":17,"name":"Train ID","value":"154-28"},{"id":16,"name":"Locomotive ID","value":"4041"},{"id":130,"name":"Impact","value":""},{"id":150,"name":"Time of Event (Mountain Time)","value":"11:30:59"},{"id":151,"name":"Denver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8" s="158"/>
      <c r="AA18" s="232"/>
      <c r="AB18" s="232"/>
      <c r="AC18" s="115" t="str">
        <f t="shared" si="7"/>
        <v>grep -hrE -A400 "Enforcement Action" /c/Users/stu/AppData/Local/Temp/OnboardLogs/RTDC4041 --include="*4041*201711281*"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"%USERPROFILE%\AppData\Local\Temp\OnboardLogs"\RTDC4041\*4041*201711281* &gt;&gt; 2017-11-28-SliceDisagreementCheck.txt</v>
      </c>
      <c r="AE18" s="144" t="str">
        <f t="shared" si="9"/>
        <v>start /low /b %USERPROFILE%\Documents\GitHub\eaglep3\Utilities\DownloadLogsFromS3.py --loco 4041 --day 2017-11-28</v>
      </c>
      <c r="AF18" s="1"/>
    </row>
    <row r="19" spans="1:32" x14ac:dyDescent="0.25">
      <c r="A19" s="31">
        <v>43067.228946759256</v>
      </c>
      <c r="B19" s="30" t="s">
        <v>385</v>
      </c>
      <c r="C19" s="30" t="s">
        <v>632</v>
      </c>
      <c r="D19" s="30" t="s">
        <v>95</v>
      </c>
      <c r="E19" s="30" t="s">
        <v>419</v>
      </c>
      <c r="F19" s="42">
        <v>0</v>
      </c>
      <c r="G19" s="42">
        <v>702</v>
      </c>
      <c r="H19" s="42">
        <v>103868</v>
      </c>
      <c r="I19" s="42">
        <v>100045</v>
      </c>
      <c r="J19" s="30" t="s">
        <v>420</v>
      </c>
      <c r="K19" s="42">
        <v>104776</v>
      </c>
      <c r="L19" s="131" t="s">
        <v>51</v>
      </c>
      <c r="M19" s="132">
        <f t="shared" si="0"/>
        <v>-2497.9679999999998</v>
      </c>
      <c r="N19" s="133" t="str">
        <f>VLOOKUP(C19,'Trips&amp;Operators'!$C$1:$G$99911,5,FALSE)</f>
        <v>THOMPSON LESTER</v>
      </c>
      <c r="O19" s="175" t="s">
        <v>349</v>
      </c>
      <c r="P19" s="240" t="s">
        <v>631</v>
      </c>
      <c r="Q19" s="30"/>
      <c r="R19" s="81" t="str">
        <f>VLOOKUP(C19,'Train Runs'!$A$13:$AE$10153,31,0)</f>
        <v>aws s3 cp s3://rtdc.mdm.uploadarchive.raw/RTDC4059/ "%USERPROFILE%\AppData\Local\Temp\OnboardLogs"\RTDC4059\2017-11-28 --exclude "*" --recursive --include "*20171128*" &amp; "%USERPROFILE%\Documents\GitHub\mrs-test-scripts\Headless Mode &amp; Sideloading\WalkAndUnGZ.bat" "%USERPROFILE%\AppData\Local\Temp\OnboardLogs"\RTDC4059\2017-11-28 &amp; aws s3 cp s3://rtdc.mdm.uploadarchive.raw/RTDC4059/ "%USERPROFILE%\AppData\Local\Temp\OnboardLogs"\RTDC4059\2017-11-29 --exclude "*" --recursive --include "*20171129*" &amp; "%USERPROFILE%\Documents\GitHub\mrs-test-scripts\Headless Mode &amp; Sideloading\WalkAndUnGZ.bat" "%USERPROFILE%\AppData\Local\Temp\OnboardLogs"\RTDC4059\2017-11-29</v>
      </c>
      <c r="S19" s="84" t="str">
        <f>VLOOKUP(C19,'Train Runs'!$A$13:$AE$10153,22,0)</f>
        <v>https://d0f6bd738d7f1b3e5a7ca70fe4ff75f0.us-east-1.aws.found.io/app/kibana#/discover/Steve-Slow-Train-Analysis-(2080s-and-2083s)?_g=(refreshInterval:(display:Off,pause:!f,section:0,value:0),time:(from:'2017-11-28T04:08:33-0700',mode:absolute,to:'2017-11-28T06:51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19" s="86" t="str">
        <f t="shared" si="1"/>
        <v>"C:\Program Files (x86)\AstroGrep\AstroGrep.exe" /e /r /s /spath="%USERPROFILE%\AppData\Local\Temp\OnboardLogs" /stypes="*4059*201711281*" /stext=" 12:.+((SYSTEM_STATE.+slice.+state.+changed )|(ment ac)|(multiple cpu faults)|(system.+state.+changed )|(\[timeout)|(PRM\|1\|D)|(kpr)|(kdp)|(train st.+moving)|(\|lc)|(penalty))"</v>
      </c>
      <c r="U19" s="9" t="str">
        <f t="shared" si="2"/>
        <v>4059</v>
      </c>
      <c r="V19" s="31">
        <f t="shared" si="3"/>
        <v>43067.520613425921</v>
      </c>
      <c r="W19" s="45" t="str">
        <f t="shared" si="4"/>
        <v>EC</v>
      </c>
      <c r="X19" s="229">
        <f t="shared" si="5"/>
        <v>106</v>
      </c>
      <c r="Y19" s="239" t="str">
        <f t="shared" si="6"/>
        <v>echo {"issue":{"subject":"Wi-MAX data drop","project_id":79,"tracker_id":40,"status_id":1,"priority_id":2,"assigned_to_id":338,"start_date":"2017-11-28","description":"","custom_fields":[{"id":1,"name":"Subdivision","value":"EC"},{"id":4,"name":"Milepost","value":"10.4776"},{"id":17,"name":"Train ID","value":"106-28"},{"id":16,"name":"Locomotive ID","value":"4059"},{"id":130,"name":"Impact","value":""},{"id":150,"name":"Time of Event (Mountain Time)","value":"05:29:41"},{"id":151,"name":"Denver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9" s="158"/>
      <c r="AA19" s="232"/>
      <c r="AB19" s="232"/>
      <c r="AC19" s="115" t="str">
        <f t="shared" si="7"/>
        <v>grep -hrE -A400 "Enforcement Action" /c/Users/stu/AppData/Local/Temp/OnboardLogs/RTDC4059 --include="*4059*201711281*"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"%USERPROFILE%\AppData\Local\Temp\OnboardLogs"\RTDC4059\*4059*201711281* &gt;&gt; 2017-11-28-SliceDisagreementCheck.txt</v>
      </c>
      <c r="AE19" s="144" t="str">
        <f t="shared" si="9"/>
        <v>start /low /b %USERPROFILE%\Documents\GitHub\eaglep3\Utilities\DownloadLogsFromS3.py --loco 4059 --day 2017-11-28</v>
      </c>
      <c r="AF19" s="1"/>
    </row>
    <row r="20" spans="1:32" x14ac:dyDescent="0.25">
      <c r="A20" s="31">
        <v>43067.249212962961</v>
      </c>
      <c r="B20" s="30" t="s">
        <v>633</v>
      </c>
      <c r="C20" s="30" t="s">
        <v>634</v>
      </c>
      <c r="D20" s="30" t="s">
        <v>49</v>
      </c>
      <c r="E20" s="30" t="s">
        <v>419</v>
      </c>
      <c r="F20" s="42">
        <v>0</v>
      </c>
      <c r="G20" s="42">
        <v>413</v>
      </c>
      <c r="H20" s="42">
        <v>111673</v>
      </c>
      <c r="I20" s="42">
        <v>0</v>
      </c>
      <c r="J20" s="30" t="s">
        <v>420</v>
      </c>
      <c r="K20" s="42">
        <v>110617</v>
      </c>
      <c r="L20" s="131" t="s">
        <v>51</v>
      </c>
      <c r="M20" s="132">
        <f t="shared" si="0"/>
        <v>-58405.775999999998</v>
      </c>
      <c r="N20" s="133" t="str">
        <f>VLOOKUP(C20,'Trips&amp;Operators'!$C$1:$G$99911,5,FALSE)</f>
        <v>LAMAR NEKESHA</v>
      </c>
      <c r="O20" s="175" t="s">
        <v>349</v>
      </c>
      <c r="P20" s="240" t="s">
        <v>631</v>
      </c>
      <c r="Q20" s="30"/>
      <c r="R20" s="81" t="str">
        <f>VLOOKUP(C20,'Train Runs'!$A$13:$AE$10153,31,0)</f>
        <v>aws s3 cp s3://rtdc.mdm.uploadarchive.raw/RTDC4039/ "%USERPROFILE%\AppData\Local\Temp\OnboardLogs"\RTDC4039\2017-11-28 --exclude "*" --recursive --include "*20171128*" &amp; "%USERPROFILE%\Documents\GitHub\mrs-test-scripts\Headless Mode &amp; Sideloading\WalkAndUnGZ.bat" "%USERPROFILE%\AppData\Local\Temp\OnboardLogs"\RTDC4039\2017-11-28 &amp; aws s3 cp s3://rtdc.mdm.uploadarchive.raw/RTDC4039/ "%USERPROFILE%\AppData\Local\Temp\OnboardLogs"\RTDC4039\2017-11-29 --exclude "*" --recursive --include "*20171129*" &amp; "%USERPROFILE%\Documents\GitHub\mrs-test-scripts\Headless Mode &amp; Sideloading\WalkAndUnGZ.bat" "%USERPROFILE%\AppData\Local\Temp\OnboardLogs"\RTDC4039\2017-11-29</v>
      </c>
      <c r="S20" s="84" t="str">
        <f>VLOOKUP(C20,'Train Runs'!$A$13:$AE$10153,22,0)</f>
        <v>https://d0f6bd738d7f1b3e5a7ca70fe4ff75f0.us-east-1.aws.found.io/app/kibana#/discover/Steve-Slow-Train-Analysis-(2080s-and-2083s)?_g=(refreshInterval:(display:Off,pause:!f,section:0,value:0),time:(from:'2017-11-28T04:24:31-0700',mode:absolute,to:'2017-11-28T06:58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20" s="86" t="str">
        <f t="shared" si="1"/>
        <v>"C:\Program Files (x86)\AstroGrep\AstroGrep.exe" /e /r /s /spath="%USERPROFILE%\AppData\Local\Temp\OnboardLogs" /stypes="*4039*201711281*" /stext=" 12:.+((SYSTEM_STATE.+slice.+state.+changed )|(ment ac)|(multiple cpu faults)|(system.+state.+changed )|(\[timeout)|(PRM\|1\|D)|(kpr)|(kdp)|(train st.+moving)|(\|lc)|(penalty))"</v>
      </c>
      <c r="U20" s="9" t="str">
        <f t="shared" si="2"/>
        <v>4039</v>
      </c>
      <c r="V20" s="31">
        <f t="shared" si="3"/>
        <v>43067.540879629625</v>
      </c>
      <c r="W20" s="45" t="str">
        <f t="shared" si="4"/>
        <v>EC</v>
      </c>
      <c r="X20" s="229">
        <f t="shared" si="5"/>
        <v>110</v>
      </c>
      <c r="Y20" s="239" t="str">
        <f t="shared" si="6"/>
        <v>echo {"issue":{"subject":"Wi-MAX data drop","project_id":79,"tracker_id":40,"status_id":1,"priority_id":2,"assigned_to_id":338,"start_date":"2017-11-28","description":"","custom_fields":[{"id":1,"name":"Subdivision","value":"EC"},{"id":4,"name":"Milepost","value":"11.0617"},{"id":17,"name":"Train ID","value":"110-28"},{"id":16,"name":"Locomotive ID","value":"4039"},{"id":130,"name":"Impact","value":""},{"id":150,"name":"Time of Event (Mountain Time)","value":"05:58:52"},{"id":151,"name":"Denver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0" s="158"/>
      <c r="AA20" s="232"/>
      <c r="AB20" s="232"/>
      <c r="AC20" s="115" t="str">
        <f t="shared" si="7"/>
        <v>grep -hrE -A400 "Enforcement Action" /c/Users/stu/AppData/Local/Temp/OnboardLogs/RTDC4039 --include="*4039*201711281*"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"%USERPROFILE%\AppData\Local\Temp\OnboardLogs"\RTDC4039\*4039*201711281* &gt;&gt; 2017-11-28-SliceDisagreementCheck.txt</v>
      </c>
      <c r="AE20" s="144" t="str">
        <f t="shared" si="9"/>
        <v>start /low /b %USERPROFILE%\Documents\GitHub\eaglep3\Utilities\DownloadLogsFromS3.py --loco 4039 --day 2017-11-28</v>
      </c>
      <c r="AF20" s="1"/>
    </row>
    <row r="21" spans="1:32" x14ac:dyDescent="0.25">
      <c r="A21" s="31">
        <v>43067.639675925922</v>
      </c>
      <c r="B21" s="30" t="s">
        <v>438</v>
      </c>
      <c r="C21" s="30" t="s">
        <v>656</v>
      </c>
      <c r="D21" s="30" t="s">
        <v>49</v>
      </c>
      <c r="E21" s="30" t="s">
        <v>637</v>
      </c>
      <c r="F21" s="42">
        <v>0</v>
      </c>
      <c r="G21" s="42">
        <v>120</v>
      </c>
      <c r="H21" s="42">
        <v>473</v>
      </c>
      <c r="I21" s="42">
        <v>313</v>
      </c>
      <c r="J21" s="30" t="s">
        <v>638</v>
      </c>
      <c r="K21" s="42">
        <v>1</v>
      </c>
      <c r="L21" s="131" t="s">
        <v>51</v>
      </c>
      <c r="M21" s="132">
        <f t="shared" si="0"/>
        <v>164.73599999999999</v>
      </c>
      <c r="N21" s="133" t="str">
        <f>VLOOKUP(C21,'Trips&amp;Operators'!$C$1:$G$99911,5,FALSE)</f>
        <v>LORI SANTOS</v>
      </c>
      <c r="O21" s="175" t="s">
        <v>178</v>
      </c>
      <c r="P21" s="240"/>
      <c r="Q21" s="30"/>
      <c r="R21" s="81" t="str">
        <f>VLOOKUP(C21,'Train Runs'!$A$13:$AE$10153,31,0)</f>
        <v>aws s3 cp s3://rtdc.mdm.uploadarchive.raw/RTDC4041/ "%USERPROFILE%\AppData\Local\Temp\OnboardLogs"\RTDC4041\2017-11-28 --exclude "*" --recursive --include "*20171128*" &amp; "%USERPROFILE%\Documents\GitHub\mrs-test-scripts\Headless Mode &amp; Sideloading\WalkAndUnGZ.bat" "%USERPROFILE%\AppData\Local\Temp\OnboardLogs"\RTDC4041\2017-11-28 &amp; aws s3 cp s3://rtdc.mdm.uploadarchive.raw/RTDC4041/ "%USERPROFILE%\AppData\Local\Temp\OnboardLogs"\RTDC4041\2017-11-29 --exclude "*" --recursive --include "*20171129*" &amp; "%USERPROFILE%\Documents\GitHub\mrs-test-scripts\Headless Mode &amp; Sideloading\WalkAndUnGZ.bat" "%USERPROFILE%\AppData\Local\Temp\OnboardLogs"\RTDC4041\2017-11-29</v>
      </c>
      <c r="S21" s="84" t="str">
        <f>VLOOKUP(C21,'Train Runs'!$A$13:$AE$10153,22,0)</f>
        <v>https://d0f6bd738d7f1b3e5a7ca70fe4ff75f0.us-east-1.aws.found.io/app/kibana#/discover/Steve-Slow-Train-Analysis-(2080s-and-2083s)?_g=(refreshInterval:(display:Off,pause:!f,section:0,value:0),time:(from:'2017-11-28T13:35:34-0700',mode:absolute,to:'2017-11-28T16:21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21" s="86" t="str">
        <f t="shared" si="1"/>
        <v>"C:\Program Files (x86)\AstroGrep\AstroGrep.exe" /e /r /s /spath="%USERPROFILE%\AppData\Local\Temp\OnboardLogs" /stypes="*4041*201711282*" /stext=" 22:.+((SYSTEM_STATE.+slice.+state.+changed )|(ment ac)|(multiple cpu faults)|(system.+state.+changed )|(\[timeout)|(PRM\|1\|D)|(kpr)|(kdp)|(train st.+moving)|(\|lc)|(penalty))"</v>
      </c>
      <c r="U21" s="9" t="str">
        <f t="shared" si="2"/>
        <v>4041</v>
      </c>
      <c r="V21" s="31">
        <f t="shared" si="3"/>
        <v>43067.931342592587</v>
      </c>
      <c r="W21" s="45" t="str">
        <f t="shared" si="4"/>
        <v>EC</v>
      </c>
      <c r="X21" s="229">
        <f t="shared" si="5"/>
        <v>182</v>
      </c>
      <c r="Y21" s="239" t="str">
        <f t="shared" si="6"/>
        <v>echo {"issue":{"subject":"","project_id":79,"tracker_id":40,"status_id":1,"priority_id":2,"assigned_to_id":338,"start_date":"2017-11-28","description":"","custom_fields":[{"id":1,"name":"Subdivision","value":"EC"},{"id":4,"name":"Milepost","value":"0.0001"},{"id":17,"name":"Train ID","value":"182-28"},{"id":16,"name":"Locomotive ID","value":"4041"},{"id":130,"name":"Impact","value":""},{"id":150,"name":"Time of Event (Mountain Time)","value":"15:21:08"},{"id":151,"name":"Denver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1" s="158"/>
      <c r="AA21" s="232"/>
      <c r="AB21" s="232"/>
      <c r="AC21" s="115" t="str">
        <f t="shared" si="7"/>
        <v>grep -hrE -A400 "Enforcement Action" /c/Users/stu/AppData/Local/Temp/OnboardLogs/RTDC4041 --include="*4041*201711282*"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"%USERPROFILE%\AppData\Local\Temp\OnboardLogs"\RTDC4041\*4041*201711282* &gt;&gt; 2017-11-28-SliceDisagreementCheck.txt</v>
      </c>
      <c r="AE21" s="144" t="str">
        <f t="shared" si="9"/>
        <v>start /low /b %USERPROFILE%\Documents\GitHub\eaglep3\Utilities\DownloadLogsFromS3.py --loco 4041 --day 2017-11-28</v>
      </c>
      <c r="AF21" s="1"/>
    </row>
    <row r="22" spans="1:32" x14ac:dyDescent="0.25">
      <c r="A22" s="31">
        <v>43067.815844907411</v>
      </c>
      <c r="B22" s="30" t="s">
        <v>660</v>
      </c>
      <c r="C22" s="30" t="s">
        <v>661</v>
      </c>
      <c r="D22" s="30" t="s">
        <v>49</v>
      </c>
      <c r="E22" s="30" t="s">
        <v>637</v>
      </c>
      <c r="F22" s="42">
        <v>0</v>
      </c>
      <c r="G22" s="42">
        <v>169</v>
      </c>
      <c r="H22" s="42">
        <v>232770</v>
      </c>
      <c r="I22" s="42">
        <v>232991</v>
      </c>
      <c r="J22" s="30" t="s">
        <v>638</v>
      </c>
      <c r="K22" s="42">
        <v>233491</v>
      </c>
      <c r="L22" s="131" t="s">
        <v>50</v>
      </c>
      <c r="M22" s="132">
        <f t="shared" si="0"/>
        <v>264</v>
      </c>
      <c r="N22" s="133" t="str">
        <f>VLOOKUP(C22,'Trips&amp;Operators'!$C$1:$G$99911,5,FALSE)</f>
        <v>RESPASS AARON</v>
      </c>
      <c r="O22" s="175" t="s">
        <v>178</v>
      </c>
      <c r="P22" s="240"/>
      <c r="Q22" s="30"/>
      <c r="R22" s="81" t="str">
        <f>VLOOKUP(C22,'Train Runs'!$A$13:$AE$10153,31,0)</f>
        <v>aws s3 cp s3://rtdc.mdm.uploadarchive.raw/RTDC4042/ "%USERPROFILE%\AppData\Local\Temp\OnboardLogs"\RTDC4042\2017-11-28 --exclude "*" --recursive --include "*20171128*" &amp; "%USERPROFILE%\Documents\GitHub\mrs-test-scripts\Headless Mode &amp; Sideloading\WalkAndUnGZ.bat" "%USERPROFILE%\AppData\Local\Temp\OnboardLogs"\RTDC4042\2017-11-28 &amp; aws s3 cp s3://rtdc.mdm.uploadarchive.raw/RTDC4042/ "%USERPROFILE%\AppData\Local\Temp\OnboardLogs"\RTDC4042\2017-11-29 --exclude "*" --recursive --include "*20171129*" &amp; "%USERPROFILE%\Documents\GitHub\mrs-test-scripts\Headless Mode &amp; Sideloading\WalkAndUnGZ.bat" "%USERPROFILE%\AppData\Local\Temp\OnboardLogs"\RTDC4042\2017-11-29</v>
      </c>
      <c r="S22" s="84" t="str">
        <f>VLOOKUP(C22,'Train Runs'!$A$13:$AE$10153,22,0)</f>
        <v>https://d0f6bd738d7f1b3e5a7ca70fe4ff75f0.us-east-1.aws.found.io/app/kibana#/discover/Steve-Slow-Train-Analysis-(2080s-and-2083s)?_g=(refreshInterval:(display:Off,pause:!f,section:0,value:0),time:(from:'2017-11-28T17:53:44-0700',mode:absolute,to:'2017-11-28T20:34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22" s="86" t="str">
        <f t="shared" si="1"/>
        <v>"C:\Program Files (x86)\AstroGrep\AstroGrep.exe" /e /r /s /spath="%USERPROFILE%\AppData\Local\Temp\OnboardLogs" /stypes="*4042*201711290*" /stext=" 02:.+((SYSTEM_STATE.+slice.+state.+changed )|(ment ac)|(multiple cpu faults)|(system.+state.+changed )|(\[timeout)|(PRM\|1\|D)|(kpr)|(kdp)|(train st.+moving)|(\|lc)|(penalty))"</v>
      </c>
      <c r="U22" s="9" t="str">
        <f t="shared" si="2"/>
        <v>4042</v>
      </c>
      <c r="V22" s="31">
        <f t="shared" si="3"/>
        <v>43068.107511574075</v>
      </c>
      <c r="W22" s="45" t="str">
        <f t="shared" si="4"/>
        <v>EC</v>
      </c>
      <c r="X22" s="229">
        <f t="shared" si="5"/>
        <v>221</v>
      </c>
      <c r="Y22" s="239" t="str">
        <f t="shared" si="6"/>
        <v>echo {"issue":{"subject":"","project_id":79,"tracker_id":40,"status_id":1,"priority_id":2,"assigned_to_id":338,"start_date":"2017-11-28","description":"","custom_fields":[{"id":1,"name":"Subdivision","value":"EC"},{"id":4,"name":"Milepost","value":"23.3491"},{"id":17,"name":"Train ID","value":"221-28"},{"id":16,"name":"Locomotive ID","value":"4042"},{"id":130,"name":"Impact","value":""},{"id":150,"name":"Time of Event (Mountain Time)","value":"19:34:49"},{"id":151,"name":"Denver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2" s="158"/>
      <c r="AA22" s="232"/>
      <c r="AB22" s="232"/>
      <c r="AC22" s="115" t="str">
        <f t="shared" si="7"/>
        <v>grep -hrE -A400 "Enforcement Action" /c/Users/stu/AppData/Local/Temp/OnboardLogs/RTDC4042 --include="*4042*201711290*"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"%USERPROFILE%\AppData\Local\Temp\OnboardLogs"\RTDC4042\*4042*201711290* &gt;&gt; 2017-11-28-SliceDisagreementCheck.txt</v>
      </c>
      <c r="AE22" s="144" t="str">
        <f t="shared" si="9"/>
        <v>start /low /b %USERPROFILE%\Documents\GitHub\eaglep3\Utilities\DownloadLogsFromS3.py --loco 4042 --day 2017-11-29</v>
      </c>
      <c r="AF22" s="1"/>
    </row>
    <row r="23" spans="1:32" x14ac:dyDescent="0.25">
      <c r="A23" s="31">
        <v>43067.551018518519</v>
      </c>
      <c r="B23" s="30" t="s">
        <v>635</v>
      </c>
      <c r="C23" s="30" t="s">
        <v>655</v>
      </c>
      <c r="D23" s="30" t="s">
        <v>95</v>
      </c>
      <c r="E23" s="30" t="s">
        <v>190</v>
      </c>
      <c r="F23" s="42">
        <v>500</v>
      </c>
      <c r="G23" s="42">
        <v>551</v>
      </c>
      <c r="H23" s="42">
        <v>16370</v>
      </c>
      <c r="I23" s="42">
        <v>18085</v>
      </c>
      <c r="J23" s="30" t="s">
        <v>191</v>
      </c>
      <c r="K23" s="42">
        <v>14402</v>
      </c>
      <c r="L23" s="131" t="s">
        <v>50</v>
      </c>
      <c r="M23" s="132">
        <f t="shared" si="0"/>
        <v>-1944.624</v>
      </c>
      <c r="N23" s="133" t="str">
        <f>VLOOKUP(C23,'Trips&amp;Operators'!$C$1:$G$99911,5,FALSE)</f>
        <v>NEWELL JAMES</v>
      </c>
      <c r="O23" s="175" t="s">
        <v>178</v>
      </c>
      <c r="P23" s="240"/>
      <c r="Q23" s="30"/>
      <c r="R23" s="81" t="str">
        <f>VLOOKUP(C23,'Train Runs'!$A$13:$AE$10153,31,0)</f>
        <v>aws s3 cp s3://rtdc.mdm.uploadarchive.raw/RTDC4002/ "%USERPROFILE%\AppData\Local\Temp\OnboardLogs"\RTDC4002\2017-11-28 --exclude "*" --recursive --include "*20171128*" &amp; "%USERPROFILE%\Documents\GitHub\mrs-test-scripts\Headless Mode &amp; Sideloading\WalkAndUnGZ.bat" "%USERPROFILE%\AppData\Local\Temp\OnboardLogs"\RTDC4002\2017-11-28 &amp; aws s3 cp s3://rtdc.mdm.uploadarchive.raw/RTDC4002/ "%USERPROFILE%\AppData\Local\Temp\OnboardLogs"\RTDC4002\2017-11-29 --exclude "*" --recursive --include "*20171129*" &amp; "%USERPROFILE%\Documents\GitHub\mrs-test-scripts\Headless Mode &amp; Sideloading\WalkAndUnGZ.bat" "%USERPROFILE%\AppData\Local\Temp\OnboardLogs"\RTDC4002\2017-11-29</v>
      </c>
      <c r="S23" s="84" t="str">
        <f>VLOOKUP(C23,'Train Runs'!$A$13:$AE$10153,22,0)</f>
        <v>https://d0f6bd738d7f1b3e5a7ca70fe4ff75f0.us-east-1.aws.found.io/app/kibana#/discover/Steve-Slow-Train-Analysis-(2080s-and-2083s)?_g=(refreshInterval:(display:Off,pause:!f,section:0,value:0),time:(from:'2017-11-28T12:00:03-0700',mode:absolute,to:'2017-11-28T14:23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23" s="86" t="str">
        <f t="shared" si="1"/>
        <v>"C:\Program Files (x86)\AstroGrep\AstroGrep.exe" /e /r /s /spath="%USERPROFILE%\AppData\Local\Temp\OnboardLogs" /stypes="*4002*201711282*" /stext=" 20:.+((SYSTEM_STATE.+slice.+state.+changed )|(ment ac)|(multiple cpu faults)|(system.+state.+changed )|(\[timeout)|(PRM\|1\|D)|(kpr)|(kdp)|(train st.+moving)|(\|lc)|(penalty))"</v>
      </c>
      <c r="U23" s="9" t="str">
        <f t="shared" si="2"/>
        <v>4002</v>
      </c>
      <c r="V23" s="31">
        <f t="shared" si="3"/>
        <v>43067.842685185184</v>
      </c>
      <c r="W23" s="45" t="str">
        <f t="shared" si="4"/>
        <v>NW</v>
      </c>
      <c r="X23" s="229">
        <f t="shared" si="5"/>
        <v>821</v>
      </c>
      <c r="Y23" s="239" t="str">
        <f t="shared" si="6"/>
        <v>echo {"issue":{"subject":"","project_id":79,"tracker_id":40,"status_id":1,"priority_id":2,"assigned_to_id":338,"start_date":"2017-11-28","description":"","custom_fields":[{"id":1,"name":"Subdivision","value":"NW"},{"id":4,"name":"Milepost","value":"1.4402"},{"id":17,"name":"Train ID","value":"821-28"},{"id":16,"name":"Locomotive ID","value":"4002"},{"id":130,"name":"Impact","value":""},{"id":150,"name":"Time of Event (Mountain Time)","value":"13:13:28"},{"id":151,"name":"Denver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3" s="158"/>
      <c r="AA23" s="232"/>
      <c r="AB23" s="232"/>
      <c r="AC23" s="115" t="str">
        <f t="shared" si="7"/>
        <v>grep -hrE -A400 "Enforcement Action" /c/Users/stu/AppData/Local/Temp/OnboardLogs/RTDC4002 --include="*4002*201711282*"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"%USERPROFILE%\AppData\Local\Temp\OnboardLogs"\RTDC4002\*4002*201711282* &gt;&gt; 2017-11-28-SliceDisagreementCheck.txt</v>
      </c>
      <c r="AE23" s="144" t="str">
        <f t="shared" si="9"/>
        <v>start /low /b %USERPROFILE%\Documents\GitHub\eaglep3\Utilities\DownloadLogsFromS3.py --loco 4002 --day 2017-11-28</v>
      </c>
      <c r="AF23" s="1"/>
    </row>
    <row r="24" spans="1:32" x14ac:dyDescent="0.25">
      <c r="A24" s="31">
        <v>43067.531122685185</v>
      </c>
      <c r="B24" s="30" t="s">
        <v>652</v>
      </c>
      <c r="C24" s="30" t="s">
        <v>654</v>
      </c>
      <c r="D24" s="30" t="s">
        <v>49</v>
      </c>
      <c r="E24" s="30" t="s">
        <v>190</v>
      </c>
      <c r="F24" s="42">
        <v>400</v>
      </c>
      <c r="G24" s="42">
        <v>494</v>
      </c>
      <c r="H24" s="42">
        <v>50875</v>
      </c>
      <c r="I24" s="42">
        <v>49388</v>
      </c>
      <c r="J24" s="30" t="s">
        <v>191</v>
      </c>
      <c r="K24" s="42">
        <v>49775</v>
      </c>
      <c r="L24" s="131" t="s">
        <v>51</v>
      </c>
      <c r="M24" s="132">
        <f t="shared" si="0"/>
        <v>-204.33600000000001</v>
      </c>
      <c r="N24" s="133" t="str">
        <f>VLOOKUP(C24,'Trips&amp;Operators'!$C$1:$G$99911,5,FALSE)</f>
        <v>LONG FULLER</v>
      </c>
      <c r="O24" s="175" t="s">
        <v>178</v>
      </c>
      <c r="P24" s="240"/>
      <c r="Q24" s="30"/>
      <c r="R24" s="81" t="str">
        <f>VLOOKUP(C24,'Train Runs'!$A$13:$AE$10153,31,0)</f>
        <v>aws s3 cp s3://rtdc.mdm.uploadarchive.raw/RTDC4001/ "%USERPROFILE%\AppData\Local\Temp\OnboardLogs"\RTDC4001\2017-11-28 --exclude "*" --recursive --include "*20171128*" &amp; "%USERPROFILE%\Documents\GitHub\mrs-test-scripts\Headless Mode &amp; Sideloading\WalkAndUnGZ.bat" "%USERPROFILE%\AppData\Local\Temp\OnboardLogs"\RTDC4001\2017-11-28 &amp; aws s3 cp s3://rtdc.mdm.uploadarchive.raw/RTDC4001/ "%USERPROFILE%\AppData\Local\Temp\OnboardLogs"\RTDC4001\2017-11-29 --exclude "*" --recursive --include "*20171129*" &amp; "%USERPROFILE%\Documents\GitHub\mrs-test-scripts\Headless Mode &amp; Sideloading\WalkAndUnGZ.bat" "%USERPROFILE%\AppData\Local\Temp\OnboardLogs"\RTDC4001\2017-11-29</v>
      </c>
      <c r="S24" s="84" t="str">
        <f>VLOOKUP(C24,'Train Runs'!$A$13:$AE$10153,22,0)</f>
        <v>https://d0f6bd738d7f1b3e5a7ca70fe4ff75f0.us-east-1.aws.found.io/app/kibana#/discover/Steve-Slow-Train-Analysis-(2080s-and-2083s)?_g=(refreshInterval:(display:Off,pause:!f,section:0,value:0),time:(from:'2017-11-28T11:28:08-0700',mode:absolute,to:'2017-11-28T13:57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24" s="86" t="str">
        <f t="shared" si="1"/>
        <v>"C:\Program Files (x86)\AstroGrep\AstroGrep.exe" /e /r /s /spath="%USERPROFILE%\AppData\Local\Temp\OnboardLogs" /stypes="*4001*201711281*" /stext=" 19:.+((SYSTEM_STATE.+slice.+state.+changed )|(ment ac)|(multiple cpu faults)|(system.+state.+changed )|(\[timeout)|(PRM\|1\|D)|(kpr)|(kdp)|(train st.+moving)|(\|lc)|(penalty))"</v>
      </c>
      <c r="U24" s="9" t="str">
        <f t="shared" si="2"/>
        <v>4001</v>
      </c>
      <c r="V24" s="31">
        <f t="shared" si="3"/>
        <v>43067.822789351849</v>
      </c>
      <c r="W24" s="45" t="str">
        <f t="shared" si="4"/>
        <v>NW</v>
      </c>
      <c r="X24" s="229">
        <f t="shared" si="5"/>
        <v>820</v>
      </c>
      <c r="Y24" s="239" t="str">
        <f t="shared" si="6"/>
        <v>echo {"issue":{"subject":"","project_id":79,"tracker_id":40,"status_id":1,"priority_id":2,"assigned_to_id":338,"start_date":"2017-11-28","description":"","custom_fields":[{"id":1,"name":"Subdivision","value":"NW"},{"id":4,"name":"Milepost","value":"4.9775"},{"id":17,"name":"Train ID","value":"820-28"},{"id":16,"name":"Locomotive ID","value":"4001"},{"id":130,"name":"Impact","value":""},{"id":150,"name":"Time of Event (Mountain Time)","value":"12:44:49"},{"id":151,"name":"Denver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4" s="158"/>
      <c r="AA24" s="232"/>
      <c r="AB24" s="232"/>
      <c r="AC24" s="115" t="str">
        <f t="shared" si="7"/>
        <v>grep -hrE -A400 "Enforcement Action" /c/Users/stu/AppData/Local/Temp/OnboardLogs/RTDC4001 --include="*4001*201711281*"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"%USERPROFILE%\AppData\Local\Temp\OnboardLogs"\RTDC4001\*4001*201711281* &gt;&gt; 2017-11-28-SliceDisagreementCheck.txt</v>
      </c>
      <c r="AE24" s="144" t="str">
        <f t="shared" si="9"/>
        <v>start /low /b %USERPROFILE%\Documents\GitHub\eaglep3\Utilities\DownloadLogsFromS3.py --loco 4001 --day 2017-11-28</v>
      </c>
      <c r="AF24" s="1"/>
    </row>
    <row r="25" spans="1:32" x14ac:dyDescent="0.25">
      <c r="A25" s="31">
        <v>43067.653414351851</v>
      </c>
      <c r="B25" s="30" t="s">
        <v>365</v>
      </c>
      <c r="C25" s="30" t="s">
        <v>657</v>
      </c>
      <c r="D25" s="30" t="s">
        <v>95</v>
      </c>
      <c r="E25" s="30" t="s">
        <v>355</v>
      </c>
      <c r="F25" s="42">
        <v>0</v>
      </c>
      <c r="G25" s="42">
        <v>49</v>
      </c>
      <c r="H25" s="42">
        <v>1809</v>
      </c>
      <c r="I25" s="42">
        <v>1847</v>
      </c>
      <c r="J25" s="30" t="s">
        <v>356</v>
      </c>
      <c r="K25" s="42">
        <v>1725</v>
      </c>
      <c r="L25" s="131" t="s">
        <v>50</v>
      </c>
      <c r="M25" s="132">
        <f t="shared" si="0"/>
        <v>-64.415999999999997</v>
      </c>
      <c r="N25" s="133" t="str">
        <f>VLOOKUP(C25,'Trips&amp;Operators'!$C$1:$G$99911,5,FALSE)</f>
        <v>STAMBAUGH JAMES</v>
      </c>
      <c r="O25" s="175" t="s">
        <v>349</v>
      </c>
      <c r="P25" s="240" t="s">
        <v>1096</v>
      </c>
      <c r="Q25" s="30"/>
      <c r="R25" s="81" t="str">
        <f>VLOOKUP(C25,'Train Runs'!$A$13:$AE$10153,31,0)</f>
        <v>aws s3 cp s3://rtdc.mdm.uploadarchive.raw/RTDC4036/ "%USERPROFILE%\AppData\Local\Temp\OnboardLogs"\RTDC4036\2017-11-28 --exclude "*" --recursive --include "*20171128*" &amp; "%USERPROFILE%\Documents\GitHub\mrs-test-scripts\Headless Mode &amp; Sideloading\WalkAndUnGZ.bat" "%USERPROFILE%\AppData\Local\Temp\OnboardLogs"\RTDC4036\2017-11-28 &amp; aws s3 cp s3://rtdc.mdm.uploadarchive.raw/RTDC4036/ "%USERPROFILE%\AppData\Local\Temp\OnboardLogs"\RTDC4036\2017-11-29 --exclude "*" --recursive --include "*20171129*" &amp; "%USERPROFILE%\Documents\GitHub\mrs-test-scripts\Headless Mode &amp; Sideloading\WalkAndUnGZ.bat" "%USERPROFILE%\AppData\Local\Temp\OnboardLogs"\RTDC4036\2017-11-29</v>
      </c>
      <c r="S25" s="84" t="str">
        <f>VLOOKUP(C25,'Train Runs'!$A$13:$AE$10153,22,0)</f>
        <v>https://d0f6bd738d7f1b3e5a7ca70fe4ff75f0.us-east-1.aws.found.io/app/kibana#/discover/Steve-Slow-Train-Analysis-(2080s-and-2083s)?_g=(refreshInterval:(display:Off,pause:!f,section:0,value:0),time:(from:'2017-11-28T14:41:41-0700',mode:absolute,to:'2017-11-28T16:55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T25" s="86" t="str">
        <f t="shared" si="1"/>
        <v>"C:\Program Files (x86)\AstroGrep\AstroGrep.exe" /e /r /s /spath="%USERPROFILE%\AppData\Local\Temp\OnboardLogs" /stypes="*4036*201711282*" /stext=" 22:.+((SYSTEM_STATE.+slice.+state.+changed )|(ment ac)|(multiple cpu faults)|(system.+state.+changed )|(\[timeout)|(PRM\|1\|D)|(kpr)|(kdp)|(train st.+moving)|(\|lc)|(penalty))"</v>
      </c>
      <c r="U25" s="9" t="str">
        <f t="shared" si="2"/>
        <v>4036</v>
      </c>
      <c r="V25" s="31">
        <f t="shared" si="3"/>
        <v>43067.945081018515</v>
      </c>
      <c r="W25" s="45" t="str">
        <f t="shared" si="4"/>
        <v>NW</v>
      </c>
      <c r="X25" s="229">
        <f t="shared" si="5"/>
        <v>827</v>
      </c>
      <c r="Y25" s="239" t="str">
        <f t="shared" si="6"/>
        <v>echo {"issue":{"subject":"Poor GPS @ DUS","project_id":79,"tracker_id":40,"status_id":1,"priority_id":2,"assigned_to_id":338,"start_date":"2017-11-28","description":"","custom_fields":[{"id":1,"name":"Subdivision","value":"NW"},{"id":4,"name":"Milepost","value":"0.1725"},{"id":17,"name":"Train ID","value":"827-28"},{"id":16,"name":"Locomotive ID","value":"4036"},{"id":130,"name":"Impact","value":""},{"id":150,"name":"Time of Event (Mountain Time)","value":"15:40:55"},{"id":151,"name":"Denver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5" s="158"/>
      <c r="AA25" s="232"/>
      <c r="AB25" s="232"/>
      <c r="AC25" s="115" t="str">
        <f t="shared" si="7"/>
        <v>grep -hrE -A400 "Enforcement Action" /c/Users/stu/AppData/Local/Temp/OnboardLogs/RTDC4036 --include="*4036*201711282*"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"%USERPROFILE%\AppData\Local\Temp\OnboardLogs"\RTDC4036\*4036*201711282* &gt;&gt; 2017-11-28-SliceDisagreementCheck.txt</v>
      </c>
      <c r="AE25" s="144" t="str">
        <f t="shared" si="9"/>
        <v>start /low /b %USERPROFILE%\Documents\GitHub\eaglep3\Utilities\DownloadLogsFromS3.py --loco 4036 --day 2017-11-28</v>
      </c>
      <c r="AF25" s="1"/>
    </row>
    <row r="26" spans="1:32" x14ac:dyDescent="0.25">
      <c r="A26" s="31">
        <v>43067.280231481483</v>
      </c>
      <c r="B26" s="30" t="s">
        <v>386</v>
      </c>
      <c r="C26" s="30" t="s">
        <v>639</v>
      </c>
      <c r="D26" s="30" t="s">
        <v>95</v>
      </c>
      <c r="E26" s="30" t="s">
        <v>355</v>
      </c>
      <c r="F26" s="42">
        <v>0</v>
      </c>
      <c r="G26" s="42">
        <v>101</v>
      </c>
      <c r="H26" s="42">
        <v>4359</v>
      </c>
      <c r="I26" s="42">
        <v>4599</v>
      </c>
      <c r="J26" s="30" t="s">
        <v>356</v>
      </c>
      <c r="K26" s="42">
        <v>3998</v>
      </c>
      <c r="L26" s="131" t="s">
        <v>50</v>
      </c>
      <c r="M26" s="132">
        <f t="shared" si="0"/>
        <v>-317.32799999999997</v>
      </c>
      <c r="N26" s="133" t="str">
        <f>VLOOKUP(C26,'Trips&amp;Operators'!$C$1:$G$99911,5,FALSE)</f>
        <v>DAVIDSON DAVID</v>
      </c>
      <c r="O26" s="175" t="s">
        <v>349</v>
      </c>
      <c r="P26" s="240" t="s">
        <v>1096</v>
      </c>
      <c r="Q26" s="30"/>
      <c r="R26" s="81" t="str">
        <f>VLOOKUP(C26,'Train Runs'!$A$13:$AE$10153,31,0)</f>
        <v>aws s3 cp s3://rtdc.mdm.uploadarchive.raw/RTDC4030/ "%USERPROFILE%\AppData\Local\Temp\OnboardLogs"\RTDC4030\2017-11-28 --exclude "*" --recursive --include "*20171128*" &amp; "%USERPROFILE%\Documents\GitHub\mrs-test-scripts\Headless Mode &amp; Sideloading\WalkAndUnGZ.bat" "%USERPROFILE%\AppData\Local\Temp\OnboardLogs"\RTDC4030\2017-11-28 &amp; aws s3 cp s3://rtdc.mdm.uploadarchive.raw/RTDC4030/ "%USERPROFILE%\AppData\Local\Temp\OnboardLogs"\RTDC4030\2017-11-29 --exclude "*" --recursive --include "*20171129*" &amp; "%USERPROFILE%\Documents\GitHub\mrs-test-scripts\Headless Mode &amp; Sideloading\WalkAndUnGZ.bat" "%USERPROFILE%\AppData\Local\Temp\OnboardLogs"\RTDC4030\2017-11-29</v>
      </c>
      <c r="S26" s="84" t="str">
        <f>VLOOKUP(C26,'Train Runs'!$A$13:$AE$10153,22,0)</f>
        <v>https://d0f6bd738d7f1b3e5a7ca70fe4ff75f0.us-east-1.aws.found.io/app/kibana#/discover/Steve-Slow-Train-Analysis-(2080s-and-2083s)?_g=(refreshInterval:(display:Off,pause:!f,section:0,value:0),time:(from:'2017-11-28T05:28:08-0700',mode:absolute,to:'2017-11-28T07:43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26" s="86" t="str">
        <f t="shared" si="1"/>
        <v>"C:\Program Files (x86)\AstroGrep\AstroGrep.exe" /e /r /s /spath="%USERPROFILE%\AppData\Local\Temp\OnboardLogs" /stypes="*4030*201711281*" /stext=" 13:.+((SYSTEM_STATE.+slice.+state.+changed )|(ment ac)|(multiple cpu faults)|(system.+state.+changed )|(\[timeout)|(PRM\|1\|D)|(kpr)|(kdp)|(train st.+moving)|(\|lc)|(penalty))"</v>
      </c>
      <c r="U26" s="9" t="str">
        <f t="shared" si="2"/>
        <v>4030</v>
      </c>
      <c r="V26" s="31">
        <f t="shared" si="3"/>
        <v>43067.571898148148</v>
      </c>
      <c r="W26" s="45" t="str">
        <f t="shared" si="4"/>
        <v>NW</v>
      </c>
      <c r="X26" s="229">
        <f t="shared" si="5"/>
        <v>805</v>
      </c>
      <c r="Y26" s="239" t="str">
        <f t="shared" si="6"/>
        <v>echo {"issue":{"subject":"Poor GPS @ DUS","project_id":79,"tracker_id":40,"status_id":1,"priority_id":2,"assigned_to_id":338,"start_date":"2017-11-28","description":"","custom_fields":[{"id":1,"name":"Subdivision","value":"NW"},{"id":4,"name":"Milepost","value":"0.3998"},{"id":17,"name":"Train ID","value":"805-28"},{"id":16,"name":"Locomotive ID","value":"4030"},{"id":130,"name":"Impact","value":""},{"id":150,"name":"Time of Event (Mountain Time)","value":"06:43:32"},{"id":151,"name":"Denver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6" s="158"/>
      <c r="AA26" s="232"/>
      <c r="AB26" s="232"/>
      <c r="AC26" s="115" t="str">
        <f t="shared" si="7"/>
        <v>grep -hrE -A400 "Enforcement Action" /c/Users/stu/AppData/Local/Temp/OnboardLogs/RTDC4030 --include="*4030*201711281*"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"%USERPROFILE%\AppData\Local\Temp\OnboardLogs"\RTDC4030\*4030*201711281* &gt;&gt; 2017-11-28-SliceDisagreementCheck.txt</v>
      </c>
      <c r="AE26" s="144" t="str">
        <f t="shared" si="9"/>
        <v>start /low /b %USERPROFILE%\Documents\GitHub\eaglep3\Utilities\DownloadLogsFromS3.py --loco 4030 --day 2017-11-28</v>
      </c>
      <c r="AF26" s="1"/>
    </row>
    <row r="27" spans="1:32" x14ac:dyDescent="0.25">
      <c r="A27" s="31">
        <v>43067.953032407408</v>
      </c>
      <c r="B27" s="30" t="s">
        <v>652</v>
      </c>
      <c r="C27" s="30" t="s">
        <v>663</v>
      </c>
      <c r="D27" s="30" t="s">
        <v>95</v>
      </c>
      <c r="E27" s="30" t="s">
        <v>355</v>
      </c>
      <c r="F27" s="42">
        <v>0</v>
      </c>
      <c r="G27" s="42">
        <v>152</v>
      </c>
      <c r="H27" s="42">
        <v>4752</v>
      </c>
      <c r="I27" s="42">
        <v>4328</v>
      </c>
      <c r="J27" s="30" t="s">
        <v>356</v>
      </c>
      <c r="K27" s="42">
        <v>4790</v>
      </c>
      <c r="L27" s="131" t="s">
        <v>51</v>
      </c>
      <c r="M27" s="132">
        <f t="shared" si="0"/>
        <v>-243.93600000000001</v>
      </c>
      <c r="N27" s="133" t="str">
        <f>VLOOKUP(C27,'Trips&amp;Operators'!$C$1:$G$99911,5,FALSE)</f>
        <v>STAMBAUGH JAMES</v>
      </c>
      <c r="O27" s="175" t="s">
        <v>349</v>
      </c>
      <c r="P27" s="240" t="s">
        <v>1097</v>
      </c>
      <c r="Q27" s="30"/>
      <c r="R27" s="81" t="str">
        <f>VLOOKUP(C27,'Train Runs'!$A$13:$AE$10153,31,0)</f>
        <v>aws s3 cp s3://rtdc.mdm.uploadarchive.raw/RTDC4001/ "%USERPROFILE%\AppData\Local\Temp\OnboardLogs"\RTDC4001\2017-11-28 --exclude "*" --recursive --include "*20171128*" &amp; "%USERPROFILE%\Documents\GitHub\mrs-test-scripts\Headless Mode &amp; Sideloading\WalkAndUnGZ.bat" "%USERPROFILE%\AppData\Local\Temp\OnboardLogs"\RTDC4001\2017-11-28 &amp; aws s3 cp s3://rtdc.mdm.uploadarchive.raw/RTDC4001/ "%USERPROFILE%\AppData\Local\Temp\OnboardLogs"\RTDC4001\2017-11-29 --exclude "*" --recursive --include "*20171129*" &amp; "%USERPROFILE%\Documents\GitHub\mrs-test-scripts\Headless Mode &amp; Sideloading\WalkAndUnGZ.bat" "%USERPROFILE%\AppData\Local\Temp\OnboardLogs"\RTDC4001\2017-11-29</v>
      </c>
      <c r="S27" s="84" t="str">
        <f>VLOOKUP(C27,'Train Runs'!$A$13:$AE$10153,22,0)</f>
        <v>https://d0f6bd738d7f1b3e5a7ca70fe4ff75f0.us-east-1.aws.found.io/app/kibana#/discover/Steve-Slow-Train-Analysis-(2080s-and-2083s)?_g=(refreshInterval:(display:Off,pause:!f,section:0,value:0),time:(from:'2017-11-28T21:24:24-0700',mode:absolute,to:'2017-11-28T23:52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27" s="86" t="str">
        <f t="shared" si="1"/>
        <v>"C:\Program Files (x86)\AstroGrep\AstroGrep.exe" /e /r /s /spath="%USERPROFILE%\AppData\Local\Temp\OnboardLogs" /stypes="*4001*201711290*" /stext=" 05:.+((SYSTEM_STATE.+slice.+state.+changed )|(ment ac)|(multiple cpu faults)|(system.+state.+changed )|(\[timeout)|(PRM\|1\|D)|(kpr)|(kdp)|(train st.+moving)|(\|lc)|(penalty))"</v>
      </c>
      <c r="U27" s="9" t="str">
        <f t="shared" si="2"/>
        <v>4001</v>
      </c>
      <c r="V27" s="31">
        <f t="shared" si="3"/>
        <v>43068.244699074072</v>
      </c>
      <c r="W27" s="45" t="str">
        <f t="shared" si="4"/>
        <v>NW</v>
      </c>
      <c r="X27" s="229">
        <f t="shared" si="5"/>
        <v>846</v>
      </c>
      <c r="Y27" s="239" t="str">
        <f t="shared" si="6"/>
        <v>echo {"issue":{"subject":"Poor GPS @ Wewatta","project_id":79,"tracker_id":40,"status_id":1,"priority_id":2,"assigned_to_id":338,"start_date":"2017-11-28","description":"","custom_fields":[{"id":1,"name":"Subdivision","value":"NW"},{"id":4,"name":"Milepost","value":"0.479"},{"id":17,"name":"Train ID","value":"846-28"},{"id":16,"name":"Locomotive ID","value":"4001"},{"id":130,"name":"Impact","value":""},{"id":150,"name":"Time of Event (Mountain Time)","value":"22:52:22"},{"id":151,"name":"Denver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7" s="158"/>
      <c r="AA27" s="232"/>
      <c r="AB27" s="232"/>
      <c r="AC27" s="115" t="str">
        <f t="shared" si="7"/>
        <v>grep -hrE -A400 "Enforcement Action" /c/Users/stu/AppData/Local/Temp/OnboardLogs/RTDC4001 --include="*4001*201711290*"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"%USERPROFILE%\AppData\Local\Temp\OnboardLogs"\RTDC4001\*4001*201711290* &gt;&gt; 2017-11-28-SliceDisagreementCheck.txt</v>
      </c>
      <c r="AE27" s="144" t="str">
        <f t="shared" si="9"/>
        <v>start /low /b %USERPROFILE%\Documents\GitHub\eaglep3\Utilities\DownloadLogsFromS3.py --loco 4001 --day 2017-11-29</v>
      </c>
      <c r="AF27" s="1"/>
    </row>
    <row r="28" spans="1:32" x14ac:dyDescent="0.25">
      <c r="A28" s="31">
        <v>43067.34957175926</v>
      </c>
      <c r="B28" s="30" t="s">
        <v>366</v>
      </c>
      <c r="C28" s="30" t="s">
        <v>642</v>
      </c>
      <c r="D28" s="30" t="s">
        <v>49</v>
      </c>
      <c r="E28" s="30" t="s">
        <v>355</v>
      </c>
      <c r="F28" s="42">
        <v>0</v>
      </c>
      <c r="G28" s="42">
        <v>108</v>
      </c>
      <c r="H28" s="42">
        <v>4800</v>
      </c>
      <c r="I28" s="42">
        <v>4602</v>
      </c>
      <c r="J28" s="30" t="s">
        <v>356</v>
      </c>
      <c r="K28" s="42">
        <v>4798</v>
      </c>
      <c r="L28" s="131" t="s">
        <v>51</v>
      </c>
      <c r="M28" s="132">
        <f t="shared" si="0"/>
        <v>-103.488</v>
      </c>
      <c r="N28" s="133" t="str">
        <f>VLOOKUP(C28,'Trips&amp;Operators'!$C$1:$G$99911,5,FALSE)</f>
        <v>DAVIDSON DAVID</v>
      </c>
      <c r="O28" s="175" t="s">
        <v>349</v>
      </c>
      <c r="P28" s="240" t="s">
        <v>1097</v>
      </c>
      <c r="Q28" s="30"/>
      <c r="R28" s="81" t="str">
        <f>VLOOKUP(C28,'Train Runs'!$A$13:$AE$10153,31,0)</f>
        <v>aws s3 cp s3://rtdc.mdm.uploadarchive.raw/RTDC4035/ "%USERPROFILE%\AppData\Local\Temp\OnboardLogs"\RTDC4035\2017-11-28 --exclude "*" --recursive --include "*20171128*" &amp; "%USERPROFILE%\Documents\GitHub\mrs-test-scripts\Headless Mode &amp; Sideloading\WalkAndUnGZ.bat" "%USERPROFILE%\AppData\Local\Temp\OnboardLogs"\RTDC4035\2017-11-28 &amp; aws s3 cp s3://rtdc.mdm.uploadarchive.raw/RTDC4035/ "%USERPROFILE%\AppData\Local\Temp\OnboardLogs"\RTDC4035\2017-11-29 --exclude "*" --recursive --include "*20171129*" &amp; "%USERPROFILE%\Documents\GitHub\mrs-test-scripts\Headless Mode &amp; Sideloading\WalkAndUnGZ.bat" "%USERPROFILE%\AppData\Local\Temp\OnboardLogs"\RTDC4035\2017-11-29</v>
      </c>
      <c r="S28" s="84" t="str">
        <f>VLOOKUP(C28,'Train Runs'!$A$13:$AE$10153,22,0)</f>
        <v>https://d0f6bd738d7f1b3e5a7ca70fe4ff75f0.us-east-1.aws.found.io/app/kibana#/discover/Steve-Slow-Train-Analysis-(2080s-and-2083s)?_g=(refreshInterval:(display:Off,pause:!f,section:0,value:0),time:(from:'2017-11-28T06:55:02-0700',mode:absolute,to:'2017-11-28T09:23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T28" s="86" t="str">
        <f t="shared" si="1"/>
        <v>"C:\Program Files (x86)\AstroGrep\AstroGrep.exe" /e /r /s /spath="%USERPROFILE%\AppData\Local\Temp\OnboardLogs" /stypes="*4035*201711281*" /stext=" 15:.+((SYSTEM_STATE.+slice.+state.+changed )|(ment ac)|(multiple cpu faults)|(system.+state.+changed )|(\[timeout)|(PRM\|1\|D)|(kpr)|(kdp)|(train st.+moving)|(\|lc)|(penalty))"</v>
      </c>
      <c r="U28" s="9" t="str">
        <f t="shared" si="2"/>
        <v>4035</v>
      </c>
      <c r="V28" s="31">
        <f t="shared" si="3"/>
        <v>43067.641238425924</v>
      </c>
      <c r="W28" s="45" t="str">
        <f t="shared" si="4"/>
        <v>NW</v>
      </c>
      <c r="X28" s="229">
        <f t="shared" si="5"/>
        <v>810</v>
      </c>
      <c r="Y28" s="239" t="str">
        <f t="shared" si="6"/>
        <v>echo {"issue":{"subject":"Poor GPS @ Wewatta","project_id":79,"tracker_id":40,"status_id":1,"priority_id":2,"assigned_to_id":338,"start_date":"2017-11-28","description":"","custom_fields":[{"id":1,"name":"Subdivision","value":"NW"},{"id":4,"name":"Milepost","value":"0.4798"},{"id":17,"name":"Train ID","value":"810-28"},{"id":16,"name":"Locomotive ID","value":"4035"},{"id":130,"name":"Impact","value":""},{"id":150,"name":"Time of Event (Mountain Time)","value":"08:23:23"},{"id":151,"name":"Denver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8" s="158"/>
      <c r="AA28" s="232"/>
      <c r="AB28" s="232"/>
      <c r="AC28" s="115" t="str">
        <f t="shared" si="7"/>
        <v>grep -hrE -A400 "Enforcement Action" /c/Users/stu/AppData/Local/Temp/OnboardLogs/RTDC4035 --include="*4035*201711281*"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"%USERPROFILE%\AppData\Local\Temp\OnboardLogs"\RTDC4035\*4035*201711281* &gt;&gt; 2017-11-28-SliceDisagreementCheck.txt</v>
      </c>
      <c r="AE28" s="144" t="str">
        <f t="shared" si="9"/>
        <v>start /low /b %USERPROFILE%\Documents\GitHub\eaglep3\Utilities\DownloadLogsFromS3.py --loco 4035 --day 2017-11-28</v>
      </c>
      <c r="AF28" s="1"/>
    </row>
    <row r="29" spans="1:32" x14ac:dyDescent="0.25">
      <c r="A29" s="31">
        <v>43067.349976851852</v>
      </c>
      <c r="B29" s="30" t="s">
        <v>366</v>
      </c>
      <c r="C29" s="30" t="s">
        <v>642</v>
      </c>
      <c r="D29" s="30" t="s">
        <v>95</v>
      </c>
      <c r="E29" s="30" t="s">
        <v>355</v>
      </c>
      <c r="F29" s="42">
        <v>0</v>
      </c>
      <c r="G29" s="42">
        <v>4</v>
      </c>
      <c r="H29" s="42">
        <v>4427</v>
      </c>
      <c r="I29" s="42">
        <v>4386</v>
      </c>
      <c r="J29" s="30" t="s">
        <v>356</v>
      </c>
      <c r="K29" s="42">
        <v>4798</v>
      </c>
      <c r="L29" s="131" t="s">
        <v>51</v>
      </c>
      <c r="M29" s="132">
        <f t="shared" si="0"/>
        <v>-217.536</v>
      </c>
      <c r="N29" s="133" t="str">
        <f>VLOOKUP(C29,'Trips&amp;Operators'!$C$1:$G$99911,5,FALSE)</f>
        <v>DAVIDSON DAVID</v>
      </c>
      <c r="O29" s="175" t="s">
        <v>349</v>
      </c>
      <c r="P29" s="240" t="s">
        <v>1097</v>
      </c>
      <c r="Q29" s="30"/>
      <c r="R29" s="81" t="str">
        <f>VLOOKUP(C29,'Train Runs'!$A$13:$AE$10153,31,0)</f>
        <v>aws s3 cp s3://rtdc.mdm.uploadarchive.raw/RTDC4035/ "%USERPROFILE%\AppData\Local\Temp\OnboardLogs"\RTDC4035\2017-11-28 --exclude "*" --recursive --include "*20171128*" &amp; "%USERPROFILE%\Documents\GitHub\mrs-test-scripts\Headless Mode &amp; Sideloading\WalkAndUnGZ.bat" "%USERPROFILE%\AppData\Local\Temp\OnboardLogs"\RTDC4035\2017-11-28 &amp; aws s3 cp s3://rtdc.mdm.uploadarchive.raw/RTDC4035/ "%USERPROFILE%\AppData\Local\Temp\OnboardLogs"\RTDC4035\2017-11-29 --exclude "*" --recursive --include "*20171129*" &amp; "%USERPROFILE%\Documents\GitHub\mrs-test-scripts\Headless Mode &amp; Sideloading\WalkAndUnGZ.bat" "%USERPROFILE%\AppData\Local\Temp\OnboardLogs"\RTDC4035\2017-11-29</v>
      </c>
      <c r="S29" s="84" t="str">
        <f>VLOOKUP(C29,'Train Runs'!$A$13:$AE$10153,22,0)</f>
        <v>https://d0f6bd738d7f1b3e5a7ca70fe4ff75f0.us-east-1.aws.found.io/app/kibana#/discover/Steve-Slow-Train-Analysis-(2080s-and-2083s)?_g=(refreshInterval:(display:Off,pause:!f,section:0,value:0),time:(from:'2017-11-28T06:55:02-0700',mode:absolute,to:'2017-11-28T09:23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T29" s="86" t="str">
        <f t="shared" si="1"/>
        <v>"C:\Program Files (x86)\AstroGrep\AstroGrep.exe" /e /r /s /spath="%USERPROFILE%\AppData\Local\Temp\OnboardLogs" /stypes="*4035*201711281*" /stext=" 15:.+((SYSTEM_STATE.+slice.+state.+changed )|(ment ac)|(multiple cpu faults)|(system.+state.+changed )|(\[timeout)|(PRM\|1\|D)|(kpr)|(kdp)|(train st.+moving)|(\|lc)|(penalty))"</v>
      </c>
      <c r="U29" s="9" t="str">
        <f t="shared" si="2"/>
        <v>4035</v>
      </c>
      <c r="V29" s="31">
        <f t="shared" si="3"/>
        <v>43067.641643518517</v>
      </c>
      <c r="W29" s="45" t="str">
        <f t="shared" si="4"/>
        <v>NW</v>
      </c>
      <c r="X29" s="229">
        <f t="shared" si="5"/>
        <v>810</v>
      </c>
      <c r="Y29" s="239" t="str">
        <f t="shared" si="6"/>
        <v>echo {"issue":{"subject":"Poor GPS @ Wewatta","project_id":79,"tracker_id":40,"status_id":1,"priority_id":2,"assigned_to_id":338,"start_date":"2017-11-28","description":"","custom_fields":[{"id":1,"name":"Subdivision","value":"NW"},{"id":4,"name":"Milepost","value":"0.4798"},{"id":17,"name":"Train ID","value":"810-28"},{"id":16,"name":"Locomotive ID","value":"4035"},{"id":130,"name":"Impact","value":""},{"id":150,"name":"Time of Event (Mountain Time)","value":"08:23:58"},{"id":151,"name":"Denver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9" s="158"/>
      <c r="AA29" s="232"/>
      <c r="AB29" s="232"/>
      <c r="AC29" s="115" t="str">
        <f t="shared" si="7"/>
        <v>grep -hrE -A400 "Enforcement Action" /c/Users/stu/AppData/Local/Temp/OnboardLogs/RTDC4035 --include="*4035*201711281*"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"%USERPROFILE%\AppData\Local\Temp\OnboardLogs"\RTDC4035\*4035*201711281* &gt;&gt; 2017-11-28-SliceDisagreementCheck.txt</v>
      </c>
      <c r="AE29" s="144" t="str">
        <f t="shared" si="9"/>
        <v>start /low /b %USERPROFILE%\Documents\GitHub\eaglep3\Utilities\DownloadLogsFromS3.py --loco 4035 --day 2017-11-28</v>
      </c>
      <c r="AF29" s="1"/>
    </row>
    <row r="30" spans="1:32" x14ac:dyDescent="0.25">
      <c r="A30" s="31">
        <v>43067.496840277781</v>
      </c>
      <c r="B30" s="30" t="s">
        <v>652</v>
      </c>
      <c r="C30" s="30" t="s">
        <v>653</v>
      </c>
      <c r="D30" s="30" t="s">
        <v>95</v>
      </c>
      <c r="E30" s="30" t="s">
        <v>355</v>
      </c>
      <c r="F30" s="42">
        <v>0</v>
      </c>
      <c r="G30" s="42">
        <v>78</v>
      </c>
      <c r="H30" s="42">
        <v>4779</v>
      </c>
      <c r="I30" s="42">
        <v>4520</v>
      </c>
      <c r="J30" s="30" t="s">
        <v>356</v>
      </c>
      <c r="K30" s="42">
        <v>4798</v>
      </c>
      <c r="L30" s="131" t="s">
        <v>51</v>
      </c>
      <c r="M30" s="132">
        <f t="shared" si="0"/>
        <v>-146.78399999999999</v>
      </c>
      <c r="N30" s="133" t="str">
        <f>VLOOKUP(C30,'Trips&amp;Operators'!$C$1:$G$99911,5,FALSE)</f>
        <v>LONG FULLER</v>
      </c>
      <c r="O30" s="175" t="s">
        <v>349</v>
      </c>
      <c r="P30" s="240" t="s">
        <v>1097</v>
      </c>
      <c r="Q30" s="30"/>
      <c r="R30" s="81" t="str">
        <f>VLOOKUP(C30,'Train Runs'!$A$13:$AE$10153,31,0)</f>
        <v>aws s3 cp s3://rtdc.mdm.uploadarchive.raw/RTDC4001/ "%USERPROFILE%\AppData\Local\Temp\OnboardLogs"\RTDC4001\2017-11-28 --exclude "*" --recursive --include "*20171128*" &amp; "%USERPROFILE%\Documents\GitHub\mrs-test-scripts\Headless Mode &amp; Sideloading\WalkAndUnGZ.bat" "%USERPROFILE%\AppData\Local\Temp\OnboardLogs"\RTDC4001\2017-11-28 &amp; aws s3 cp s3://rtdc.mdm.uploadarchive.raw/RTDC4001/ "%USERPROFILE%\AppData\Local\Temp\OnboardLogs"\RTDC4001\2017-11-29 --exclude "*" --recursive --include "*20171129*" &amp; "%USERPROFILE%\Documents\GitHub\mrs-test-scripts\Headless Mode &amp; Sideloading\WalkAndUnGZ.bat" "%USERPROFILE%\AppData\Local\Temp\OnboardLogs"\RTDC4001\2017-11-29</v>
      </c>
      <c r="S30" s="84" t="str">
        <f>VLOOKUP(C30,'Train Runs'!$A$13:$AE$10153,22,0)</f>
        <v>https://d0f6bd738d7f1b3e5a7ca70fe4ff75f0.us-east-1.aws.found.io/app/kibana#/discover/Steve-Slow-Train-Analysis-(2080s-and-2083s)?_g=(refreshInterval:(display:Off,pause:!f,section:0,value:0),time:(from:'2017-11-28T10:30:54-0700',mode:absolute,to:'2017-11-28T12:54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30" s="86" t="str">
        <f t="shared" si="1"/>
        <v>"C:\Program Files (x86)\AstroGrep\AstroGrep.exe" /e /r /s /spath="%USERPROFILE%\AppData\Local\Temp\OnboardLogs" /stypes="*4001*201711281*" /stext=" 18:.+((SYSTEM_STATE.+slice.+state.+changed )|(ment ac)|(multiple cpu faults)|(system.+state.+changed )|(\[timeout)|(PRM\|1\|D)|(kpr)|(kdp)|(train st.+moving)|(\|lc)|(penalty))"</v>
      </c>
      <c r="U30" s="9" t="str">
        <f t="shared" si="2"/>
        <v>4001</v>
      </c>
      <c r="V30" s="31">
        <f t="shared" si="3"/>
        <v>43067.788506944446</v>
      </c>
      <c r="W30" s="45" t="str">
        <f t="shared" si="4"/>
        <v>NW</v>
      </c>
      <c r="X30" s="229">
        <f t="shared" si="5"/>
        <v>818</v>
      </c>
      <c r="Y30" s="239" t="str">
        <f t="shared" si="6"/>
        <v>echo {"issue":{"subject":"Poor GPS @ Wewatta","project_id":79,"tracker_id":40,"status_id":1,"priority_id":2,"assigned_to_id":338,"start_date":"2017-11-28","description":"","custom_fields":[{"id":1,"name":"Subdivision","value":"NW"},{"id":4,"name":"Milepost","value":"0.4798"},{"id":17,"name":"Train ID","value":"818-28"},{"id":16,"name":"Locomotive ID","value":"4001"},{"id":130,"name":"Impact","value":""},{"id":150,"name":"Time of Event (Mountain Time)","value":"11:55:27"},{"id":151,"name":"Denver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0" s="158"/>
      <c r="AA30" s="232"/>
      <c r="AB30" s="232"/>
      <c r="AC30" s="115" t="str">
        <f t="shared" si="7"/>
        <v>grep -hrE -A400 "Enforcement Action" /c/Users/stu/AppData/Local/Temp/OnboardLogs/RTDC4001 --include="*4001*201711281*"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"%USERPROFILE%\AppData\Local\Temp\OnboardLogs"\RTDC4001\*4001*201711281* &gt;&gt; 2017-11-28-SliceDisagreementCheck.txt</v>
      </c>
      <c r="AE30" s="144" t="str">
        <f t="shared" si="9"/>
        <v>start /low /b %USERPROFILE%\Documents\GitHub\eaglep3\Utilities\DownloadLogsFromS3.py --loco 4001 --day 2017-11-28</v>
      </c>
      <c r="AF30" s="1"/>
    </row>
    <row r="31" spans="1:32" x14ac:dyDescent="0.25">
      <c r="A31"/>
      <c r="D31"/>
      <c r="E31"/>
      <c r="F31"/>
      <c r="G31"/>
      <c r="H31"/>
      <c r="I31"/>
      <c r="J31"/>
      <c r="K31"/>
      <c r="L31"/>
      <c r="M31"/>
      <c r="N31"/>
      <c r="O31"/>
      <c r="P31"/>
      <c r="R31"/>
      <c r="S31"/>
      <c r="T31"/>
      <c r="V31"/>
      <c r="X31"/>
      <c r="Z31"/>
      <c r="AC31"/>
      <c r="AE31"/>
    </row>
  </sheetData>
  <autoFilter ref="A6:AC16">
    <sortState ref="A7:AC30">
      <sortCondition ref="W7:W30"/>
      <sortCondition ref="E7:E30"/>
      <sortCondition ref="K7:K30"/>
      <sortCondition ref="F7:F30"/>
    </sortState>
  </autoFilter>
  <sortState ref="A7:AE16">
    <sortCondition ref="W7:W16"/>
    <sortCondition ref="E7:E16"/>
    <sortCondition ref="K7:K16"/>
    <sortCondition ref="C7:C16"/>
    <sortCondition ref="F7:F16"/>
  </sortState>
  <mergeCells count="1">
    <mergeCell ref="A5:O5"/>
  </mergeCells>
  <conditionalFormatting sqref="O6:P6 R6 O32:O1048576 O7:O30">
    <cfRule type="cellIs" dxfId="3" priority="42" operator="equal">
      <formula>"Y"</formula>
    </cfRule>
  </conditionalFormatting>
  <conditionalFormatting sqref="O2:O3">
    <cfRule type="cellIs" dxfId="2" priority="33" operator="equal">
      <formula>"Y"</formula>
    </cfRule>
  </conditionalFormatting>
  <conditionalFormatting sqref="A7:P30">
    <cfRule type="expression" dxfId="1" priority="26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AA7:AA30</xm:sqref>
        </x14:dataValidation>
        <x14:dataValidation type="list" allowBlank="1" showInputMessage="1" showErrorMessage="1">
          <x14:formula1>
            <xm:f>'Redmine List Values'!$C$2:$C$15</xm:f>
          </x14:formula1>
          <xm:sqref>AB7:AB30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>
      <selection activeCell="A4" sqref="A4"/>
    </sheetView>
  </sheetViews>
  <sheetFormatPr defaultRowHeight="15" x14ac:dyDescent="0.25"/>
  <cols>
    <col min="1" max="1" width="8" style="195" customWidth="1"/>
    <col min="2" max="2" width="9.140625" style="2" customWidth="1"/>
    <col min="3" max="3" width="8" style="88" bestFit="1" customWidth="1"/>
    <col min="4" max="4" width="11.28515625" style="138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9" width="9.140625" style="188" customWidth="1"/>
    <col min="10" max="10" width="9.140625" customWidth="1"/>
  </cols>
  <sheetData>
    <row r="1" spans="1:10" s="20" customFormat="1" x14ac:dyDescent="0.25">
      <c r="A1" s="195"/>
      <c r="B1" s="252" t="str">
        <f>"Trips that did not appear in PTC Data "&amp;TEXT(Variables!$A$2,"YYYY-mm-dd")</f>
        <v>Trips that did not appear in PTC Data 2017-11-28</v>
      </c>
      <c r="C1" s="252"/>
      <c r="D1" s="252"/>
      <c r="E1" s="252"/>
      <c r="F1" s="252"/>
      <c r="I1" s="188"/>
    </row>
    <row r="2" spans="1:10" s="23" customFormat="1" ht="45" x14ac:dyDescent="0.25">
      <c r="A2" s="222" t="s">
        <v>146</v>
      </c>
      <c r="B2" s="90" t="s">
        <v>58</v>
      </c>
      <c r="C2" s="87" t="s">
        <v>59</v>
      </c>
      <c r="D2" s="151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89" t="s">
        <v>101</v>
      </c>
      <c r="J2" s="28" t="s">
        <v>60</v>
      </c>
    </row>
    <row r="3" spans="1:10" x14ac:dyDescent="0.25">
      <c r="A3" s="197">
        <v>844</v>
      </c>
      <c r="B3" s="42" t="str">
        <f>A3&amp;"-"&amp;IF(DAY(Variables!$A$2)&lt;10,0,"")&amp;DAY(Variables!$A$2)</f>
        <v>844-28</v>
      </c>
      <c r="C3" s="134"/>
      <c r="D3" s="223" t="str">
        <f>VLOOKUP(B3,'Trips&amp;Operators'!$C$1:$H$1072,6,FALSE)</f>
        <v>4001</v>
      </c>
      <c r="E3" s="30"/>
      <c r="F3" s="21" t="str">
        <f>VLOOKUP(B3,'Trips&amp;Operators'!$C$2:$E$9912,3,FALSE)</f>
        <v>STAMBAUGH</v>
      </c>
      <c r="G3" s="21" t="str">
        <f>VLOOKUP(B3,'Trips&amp;Operators'!$C$1:$F$9912,4,FALSE)</f>
        <v>JAMES</v>
      </c>
      <c r="H3" s="29" t="str">
        <f>VLOOKUP(B3,'Trips&amp;Operators'!$C$1:$H$9912,5,FALSE)</f>
        <v>STAMBAUGH JAMES</v>
      </c>
      <c r="I3" s="190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22844-28%22)),sort:!(Time.ISO8601,asc))</v>
      </c>
      <c r="J3" s="30" t="str">
        <f>VLOOKUP(B3,'Train Runs'!$A$13:$A$100150,1,FALSE)</f>
        <v>844-28</v>
      </c>
    </row>
    <row r="4" spans="1:10" x14ac:dyDescent="0.25">
      <c r="A4" s="197"/>
      <c r="B4" s="42" t="str">
        <f>A4&amp;"-"&amp;IF(DAY(Variables!$A$2)&lt;10,0,"")&amp;DAY(Variables!$A$2)</f>
        <v>-28</v>
      </c>
      <c r="C4" s="134"/>
      <c r="D4" s="152" t="e">
        <f>VLOOKUP(B4,'Trips&amp;Operators'!$C$1:$H$1072,6,FALSE)</f>
        <v>#N/A</v>
      </c>
      <c r="E4" s="30"/>
      <c r="F4" s="21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4" s="30" t="e">
        <f>VLOOKUP(B4,'Train Runs'!$A$13:$A$100150,1,FALSE)</f>
        <v>#N/A</v>
      </c>
    </row>
    <row r="5" spans="1:10" x14ac:dyDescent="0.25">
      <c r="A5" s="197"/>
      <c r="B5" s="42" t="str">
        <f>A5&amp;"-"&amp;IF(DAY(Variables!$A$2)&lt;10,0,"")&amp;DAY(Variables!$A$2)</f>
        <v>-28</v>
      </c>
      <c r="C5" s="134"/>
      <c r="D5" s="152" t="e">
        <f>VLOOKUP(B5,'Trips&amp;Operators'!$C$1:$H$1072,6,FALSE)</f>
        <v>#N/A</v>
      </c>
      <c r="E5" s="30"/>
      <c r="F5" s="21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5" s="30" t="e">
        <f>VLOOKUP(B5,'Train Runs'!$A$13:$A$100150,1,FALSE)</f>
        <v>#N/A</v>
      </c>
    </row>
    <row r="6" spans="1:10" x14ac:dyDescent="0.25">
      <c r="A6" s="197"/>
      <c r="B6" s="42" t="str">
        <f>A6&amp;"-"&amp;IF(DAY(Variables!$A$2)&lt;10,0,"")&amp;DAY(Variables!$A$2)</f>
        <v>-28</v>
      </c>
      <c r="C6" s="134"/>
      <c r="D6" s="152" t="e">
        <f>VLOOKUP(B6,'Trips&amp;Operators'!$C$1:$H$1072,6,FALSE)</f>
        <v>#N/A</v>
      </c>
      <c r="E6" s="30"/>
      <c r="F6" s="21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6" s="30" t="e">
        <f>VLOOKUP(B6,'Train Runs'!$A$13:$A$100150,1,FALSE)</f>
        <v>#N/A</v>
      </c>
    </row>
    <row r="7" spans="1:10" x14ac:dyDescent="0.25">
      <c r="A7" s="197"/>
      <c r="B7" s="42" t="str">
        <f>A7&amp;"-"&amp;IF(DAY(Variables!$A$2)&lt;10,0,"")&amp;DAY(Variables!$A$2)</f>
        <v>-28</v>
      </c>
      <c r="C7" s="134"/>
      <c r="D7" s="152" t="e">
        <f>VLOOKUP(B7,'Trips&amp;Operators'!$C$1:$H$1072,6,FALSE)</f>
        <v>#N/A</v>
      </c>
      <c r="E7" s="30"/>
      <c r="F7" s="21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7" s="30" t="e">
        <f>VLOOKUP(B7,'Train Runs'!$A$13:$A$100150,1,FALSE)</f>
        <v>#N/A</v>
      </c>
    </row>
    <row r="8" spans="1:10" x14ac:dyDescent="0.25">
      <c r="A8" s="197"/>
      <c r="B8" s="42" t="str">
        <f>A8&amp;"-"&amp;IF(DAY(Variables!$A$2)&lt;10,0,"")&amp;DAY(Variables!$A$2)</f>
        <v>-28</v>
      </c>
      <c r="C8" s="134"/>
      <c r="D8" s="152" t="e">
        <f>VLOOKUP(B8,'Trips&amp;Operators'!$C$1:$H$1072,6,FALSE)</f>
        <v>#N/A</v>
      </c>
      <c r="E8" s="30"/>
      <c r="F8" s="21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8" s="30" t="e">
        <f>VLOOKUP(B8,'Train Runs'!$A$13:$A$100150,1,FALSE)</f>
        <v>#N/A</v>
      </c>
    </row>
    <row r="9" spans="1:10" x14ac:dyDescent="0.25">
      <c r="A9" s="197"/>
      <c r="B9" s="42" t="str">
        <f>A9&amp;"-"&amp;IF(DAY(Variables!$A$2)&lt;10,0,"")&amp;DAY(Variables!$A$2)</f>
        <v>-28</v>
      </c>
      <c r="C9" s="134"/>
      <c r="D9" s="152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9" s="30" t="e">
        <f>VLOOKUP(B9,'Train Runs'!$A$13:$A$100150,1,FALSE)</f>
        <v>#N/A</v>
      </c>
    </row>
    <row r="10" spans="1:10" x14ac:dyDescent="0.25">
      <c r="A10" s="197"/>
      <c r="B10" s="42" t="str">
        <f>A10&amp;"-"&amp;IF(DAY(Variables!$A$2)&lt;10,0,"")&amp;DAY(Variables!$A$2)</f>
        <v>-28</v>
      </c>
      <c r="C10" s="134"/>
      <c r="D10" s="152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0" s="30" t="e">
        <f>VLOOKUP(B10,'Train Runs'!$A$13:$A$100150,1,FALSE)</f>
        <v>#N/A</v>
      </c>
    </row>
    <row r="11" spans="1:10" x14ac:dyDescent="0.25">
      <c r="A11" s="197"/>
      <c r="B11" s="42" t="str">
        <f>A11&amp;"-"&amp;IF(DAY(Variables!$A$2)&lt;10,0,"")&amp;DAY(Variables!$A$2)</f>
        <v>-28</v>
      </c>
      <c r="C11" s="134"/>
      <c r="D11" s="152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1" s="30" t="e">
        <f>VLOOKUP(B11,'Train Runs'!$A$13:$A$100150,1,FALSE)</f>
        <v>#N/A</v>
      </c>
    </row>
    <row r="12" spans="1:10" x14ac:dyDescent="0.25">
      <c r="A12" s="197"/>
      <c r="B12" s="42" t="str">
        <f>A12&amp;"-"&amp;IF(DAY(Variables!$A$2)&lt;10,0,"")&amp;DAY(Variables!$A$2)</f>
        <v>-28</v>
      </c>
      <c r="C12" s="134"/>
      <c r="D12" s="152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2" s="30" t="e">
        <f>VLOOKUP(B12,'Train Runs'!$A$13:$A$100150,1,FALSE)</f>
        <v>#N/A</v>
      </c>
    </row>
    <row r="13" spans="1:10" x14ac:dyDescent="0.25">
      <c r="A13" s="197"/>
      <c r="B13" s="42" t="str">
        <f>A13&amp;"-"&amp;IF(DAY(Variables!$A$2)&lt;10,0,"")&amp;DAY(Variables!$A$2)</f>
        <v>-28</v>
      </c>
      <c r="C13" s="134"/>
      <c r="D13" s="152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3" s="30" t="e">
        <f>VLOOKUP(B13,'Train Runs'!$A$13:$A$100150,1,FALSE)</f>
        <v>#N/A</v>
      </c>
    </row>
    <row r="14" spans="1:10" x14ac:dyDescent="0.25">
      <c r="A14" s="197"/>
      <c r="B14" s="42" t="str">
        <f>A14&amp;"-"&amp;IF(DAY(Variables!$A$2)&lt;10,0,"")&amp;DAY(Variables!$A$2)</f>
        <v>-28</v>
      </c>
      <c r="C14" s="134"/>
      <c r="D14" s="152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4" s="30" t="e">
        <f>VLOOKUP(B14,'Train Runs'!$A$13:$A$100150,1,FALSE)</f>
        <v>#N/A</v>
      </c>
    </row>
    <row r="15" spans="1:10" x14ac:dyDescent="0.25">
      <c r="A15" s="197"/>
      <c r="B15" s="42" t="str">
        <f>A15&amp;"-"&amp;IF(DAY(Variables!$A$2)&lt;10,0,"")&amp;DAY(Variables!$A$2)</f>
        <v>-28</v>
      </c>
      <c r="C15" s="134"/>
      <c r="D15" s="152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5" s="30" t="e">
        <f>VLOOKUP(B15,'Train Runs'!$A$13:$A$100150,1,FALSE)</f>
        <v>#N/A</v>
      </c>
    </row>
    <row r="16" spans="1:10" x14ac:dyDescent="0.25">
      <c r="A16" s="197"/>
      <c r="B16" s="42" t="str">
        <f>A16&amp;"-"&amp;IF(DAY(Variables!$A$2)&lt;10,0,"")&amp;DAY(Variables!$A$2)</f>
        <v>-28</v>
      </c>
      <c r="C16" s="134"/>
      <c r="D16" s="152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6" s="30" t="e">
        <f>VLOOKUP(B16,'Train Runs'!$A$13:$A$100150,1,FALSE)</f>
        <v>#N/A</v>
      </c>
    </row>
    <row r="17" spans="1:10" x14ac:dyDescent="0.25">
      <c r="A17" s="197"/>
      <c r="B17" s="42" t="str">
        <f>A17&amp;"-"&amp;IF(DAY(Variables!$A$2)&lt;10,0,"")&amp;DAY(Variables!$A$2)</f>
        <v>-28</v>
      </c>
      <c r="C17" s="134"/>
      <c r="D17" s="152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7" s="30" t="e">
        <f>VLOOKUP(B17,'Train Runs'!$A$13:$A$100150,1,FALSE)</f>
        <v>#N/A</v>
      </c>
    </row>
    <row r="18" spans="1:10" x14ac:dyDescent="0.25">
      <c r="A18" s="197"/>
      <c r="B18" s="42" t="str">
        <f>A18&amp;"-"&amp;IF(DAY(Variables!$A$2)&lt;10,0,"")&amp;DAY(Variables!$A$2)</f>
        <v>-28</v>
      </c>
      <c r="C18" s="134"/>
      <c r="D18" s="152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8" s="30" t="e">
        <f>VLOOKUP(B18,'Train Runs'!$A$13:$A$100150,1,FALSE)</f>
        <v>#N/A</v>
      </c>
    </row>
    <row r="19" spans="1:10" x14ac:dyDescent="0.25">
      <c r="A19" s="197"/>
      <c r="B19" s="42"/>
      <c r="C19" s="134"/>
      <c r="D19" s="152"/>
      <c r="E19" s="30"/>
      <c r="F19" s="21"/>
      <c r="G19" s="21"/>
      <c r="H19" s="29"/>
      <c r="I19" s="190"/>
      <c r="J19" s="30"/>
    </row>
    <row r="20" spans="1:10" x14ac:dyDescent="0.25">
      <c r="A20" s="197"/>
      <c r="B20" s="42"/>
      <c r="C20" s="134"/>
      <c r="D20" s="152"/>
      <c r="E20" s="30"/>
      <c r="F20" s="21"/>
      <c r="G20" s="21"/>
      <c r="H20" s="29"/>
      <c r="I20" s="190"/>
      <c r="J20" s="30"/>
    </row>
    <row r="21" spans="1:10" x14ac:dyDescent="0.25">
      <c r="A21" s="197"/>
      <c r="B21" s="42"/>
      <c r="C21" s="134"/>
      <c r="D21" s="152"/>
      <c r="E21" s="30"/>
      <c r="F21" s="21"/>
      <c r="G21" s="21"/>
      <c r="H21" s="29"/>
      <c r="I21" s="190"/>
      <c r="J21" s="30"/>
    </row>
    <row r="22" spans="1:10" x14ac:dyDescent="0.25">
      <c r="A22" s="197"/>
      <c r="B22" s="42"/>
      <c r="C22" s="134"/>
      <c r="D22" s="152"/>
      <c r="E22" s="30"/>
      <c r="F22" s="21"/>
      <c r="G22" s="21"/>
      <c r="H22" s="29"/>
      <c r="I22" s="190"/>
      <c r="J22" s="30"/>
    </row>
    <row r="23" spans="1:10" x14ac:dyDescent="0.25">
      <c r="A23" s="197"/>
      <c r="B23" s="42"/>
      <c r="C23" s="134"/>
      <c r="D23" s="152"/>
      <c r="E23" s="30"/>
      <c r="F23" s="21"/>
      <c r="G23" s="21"/>
      <c r="H23" s="29"/>
      <c r="I23" s="190"/>
      <c r="J23" s="30"/>
    </row>
    <row r="24" spans="1:10" x14ac:dyDescent="0.25">
      <c r="A24" s="197"/>
      <c r="B24" s="42"/>
      <c r="C24" s="134"/>
      <c r="D24" s="152"/>
      <c r="E24" s="30"/>
      <c r="F24" s="21"/>
      <c r="G24" s="21"/>
      <c r="H24" s="29"/>
      <c r="I24" s="190"/>
      <c r="J24" s="30"/>
    </row>
    <row r="25" spans="1:10" x14ac:dyDescent="0.25">
      <c r="A25" s="197"/>
      <c r="B25" s="42"/>
      <c r="C25" s="134"/>
      <c r="D25" s="152"/>
      <c r="E25" s="30"/>
      <c r="F25" s="21"/>
      <c r="G25" s="21"/>
      <c r="H25" s="29"/>
      <c r="I25" s="190"/>
      <c r="J25" s="30"/>
    </row>
    <row r="26" spans="1:10" x14ac:dyDescent="0.25">
      <c r="A26" s="197"/>
      <c r="B26" s="42"/>
      <c r="C26" s="134"/>
      <c r="D26" s="152"/>
      <c r="E26" s="30"/>
      <c r="F26" s="21"/>
      <c r="G26" s="21"/>
      <c r="H26" s="29"/>
      <c r="I26" s="190"/>
      <c r="J26" s="30"/>
    </row>
    <row r="27" spans="1:10" x14ac:dyDescent="0.25">
      <c r="A27" s="197"/>
      <c r="B27" s="42"/>
      <c r="C27" s="134"/>
      <c r="D27" s="152"/>
      <c r="E27" s="30"/>
      <c r="F27" s="21"/>
      <c r="G27" s="21"/>
      <c r="H27" s="29"/>
      <c r="I27" s="190"/>
      <c r="J27" s="30"/>
    </row>
    <row r="28" spans="1:10" x14ac:dyDescent="0.25">
      <c r="A28" s="197"/>
      <c r="B28" s="42"/>
      <c r="C28" s="134"/>
      <c r="D28" s="152"/>
      <c r="E28" s="30"/>
      <c r="F28" s="21"/>
      <c r="G28" s="21"/>
      <c r="H28" s="29"/>
      <c r="I28" s="190"/>
      <c r="J28" s="30"/>
    </row>
    <row r="29" spans="1:10" x14ac:dyDescent="0.25">
      <c r="A29" s="197"/>
      <c r="B29" s="42"/>
      <c r="C29" s="134"/>
      <c r="D29" s="152"/>
      <c r="E29" s="30"/>
      <c r="F29" s="21"/>
      <c r="G29" s="21"/>
      <c r="H29" s="29"/>
      <c r="I29" s="190"/>
      <c r="J29" s="30"/>
    </row>
    <row r="30" spans="1:10" x14ac:dyDescent="0.25">
      <c r="A30" s="197"/>
      <c r="B30" s="42"/>
      <c r="C30" s="134"/>
      <c r="D30" s="152"/>
      <c r="E30" s="30"/>
      <c r="F30" s="21"/>
      <c r="G30" s="21"/>
      <c r="H30" s="29"/>
      <c r="I30" s="190"/>
      <c r="J30" s="30"/>
    </row>
    <row r="31" spans="1:10" x14ac:dyDescent="0.25">
      <c r="A31" s="197"/>
      <c r="B31" s="42"/>
      <c r="C31" s="134"/>
      <c r="D31" s="152"/>
      <c r="E31" s="30"/>
      <c r="F31" s="21"/>
      <c r="G31" s="21"/>
      <c r="H31" s="29"/>
      <c r="I31" s="190"/>
      <c r="J31" s="30"/>
    </row>
    <row r="32" spans="1:10" x14ac:dyDescent="0.25">
      <c r="A32" s="197"/>
      <c r="B32" s="42"/>
      <c r="C32" s="134"/>
      <c r="D32" s="152"/>
      <c r="E32" s="30"/>
      <c r="F32" s="21"/>
      <c r="G32" s="21"/>
      <c r="H32" s="29"/>
      <c r="I32" s="190"/>
      <c r="J32" s="30"/>
    </row>
    <row r="33" spans="1:10" x14ac:dyDescent="0.25">
      <c r="A33" s="197"/>
      <c r="B33" s="42"/>
      <c r="C33" s="134"/>
      <c r="D33" s="152"/>
      <c r="E33" s="30"/>
      <c r="F33" s="21"/>
      <c r="G33" s="21"/>
      <c r="H33" s="29"/>
      <c r="I33" s="190"/>
      <c r="J33" s="30"/>
    </row>
    <row r="34" spans="1:10" x14ac:dyDescent="0.25">
      <c r="A34" s="197"/>
      <c r="B34" s="42"/>
      <c r="C34" s="134"/>
      <c r="D34" s="152"/>
      <c r="E34" s="30"/>
      <c r="F34" s="21"/>
      <c r="G34" s="21"/>
      <c r="H34" s="29"/>
      <c r="I34" s="190"/>
      <c r="J34" s="30"/>
    </row>
    <row r="35" spans="1:10" x14ac:dyDescent="0.25">
      <c r="A35" s="197"/>
      <c r="B35" s="42"/>
      <c r="C35" s="134"/>
      <c r="D35" s="152"/>
      <c r="E35" s="30"/>
      <c r="F35" s="21"/>
      <c r="G35" s="21"/>
      <c r="H35" s="29"/>
      <c r="I35" s="190"/>
      <c r="J35" s="30"/>
    </row>
    <row r="36" spans="1:10" x14ac:dyDescent="0.25">
      <c r="A36" s="197"/>
      <c r="B36" s="42"/>
      <c r="C36" s="134"/>
      <c r="D36" s="152"/>
      <c r="E36" s="30"/>
      <c r="F36" s="21"/>
      <c r="G36" s="21"/>
      <c r="H36" s="29"/>
      <c r="I36" s="190"/>
      <c r="J36" s="30"/>
    </row>
    <row r="37" spans="1:10" x14ac:dyDescent="0.25">
      <c r="A37" s="197"/>
      <c r="B37" s="42"/>
      <c r="C37" s="134"/>
      <c r="D37" s="152"/>
      <c r="E37" s="30"/>
      <c r="F37" s="21"/>
      <c r="G37" s="21"/>
      <c r="H37" s="29"/>
      <c r="I37" s="190"/>
      <c r="J37" s="30"/>
    </row>
    <row r="38" spans="1:10" x14ac:dyDescent="0.25">
      <c r="A38" s="197"/>
      <c r="B38" s="42"/>
      <c r="C38" s="134"/>
      <c r="D38" s="152"/>
      <c r="E38" s="30"/>
      <c r="F38" s="21"/>
      <c r="G38" s="21"/>
      <c r="H38" s="29"/>
      <c r="I38" s="190"/>
      <c r="J38" s="30"/>
    </row>
    <row r="39" spans="1:10" x14ac:dyDescent="0.25">
      <c r="A39" s="197"/>
      <c r="B39" s="42"/>
      <c r="C39" s="134"/>
      <c r="D39" s="152"/>
      <c r="E39" s="30"/>
      <c r="F39" s="21"/>
      <c r="G39" s="21"/>
      <c r="H39" s="29"/>
      <c r="I39" s="190"/>
      <c r="J39" s="30"/>
    </row>
    <row r="40" spans="1:10" x14ac:dyDescent="0.25">
      <c r="A40" s="197"/>
      <c r="B40" s="42"/>
      <c r="C40" s="134"/>
      <c r="D40" s="152"/>
      <c r="E40" s="30"/>
      <c r="F40" s="21"/>
      <c r="G40" s="21"/>
      <c r="H40" s="29"/>
      <c r="I40" s="190"/>
      <c r="J40" s="30"/>
    </row>
    <row r="41" spans="1:10" x14ac:dyDescent="0.25">
      <c r="A41" s="197"/>
      <c r="B41" s="42"/>
      <c r="C41" s="134"/>
      <c r="D41" s="152"/>
      <c r="E41" s="30"/>
      <c r="F41" s="21"/>
      <c r="G41" s="21"/>
      <c r="H41" s="29"/>
      <c r="I41" s="190"/>
      <c r="J41" s="30"/>
    </row>
    <row r="42" spans="1:10" x14ac:dyDescent="0.25">
      <c r="A42" s="197"/>
      <c r="B42" s="42"/>
      <c r="C42" s="134"/>
      <c r="D42" s="152"/>
      <c r="E42" s="30"/>
      <c r="F42" s="21"/>
      <c r="G42" s="21"/>
      <c r="H42" s="29"/>
      <c r="I42" s="190"/>
      <c r="J42" s="30"/>
    </row>
    <row r="43" spans="1:10" x14ac:dyDescent="0.25">
      <c r="A43" s="197"/>
      <c r="B43" s="42"/>
      <c r="C43" s="134"/>
      <c r="D43" s="152"/>
      <c r="E43" s="30"/>
      <c r="F43" s="21"/>
      <c r="G43" s="21"/>
      <c r="H43" s="29"/>
      <c r="I43" s="190"/>
      <c r="J43" s="30"/>
    </row>
    <row r="44" spans="1:10" x14ac:dyDescent="0.25">
      <c r="A44" s="197"/>
      <c r="B44" s="42"/>
      <c r="C44" s="134"/>
      <c r="D44" s="152"/>
      <c r="E44" s="30"/>
      <c r="F44" s="21"/>
      <c r="G44" s="21"/>
      <c r="H44" s="29"/>
      <c r="I44" s="190"/>
      <c r="J44" s="30"/>
    </row>
    <row r="45" spans="1:10" x14ac:dyDescent="0.25">
      <c r="A45" s="197"/>
      <c r="B45" s="42"/>
      <c r="C45" s="134"/>
      <c r="D45" s="152"/>
      <c r="E45" s="30"/>
      <c r="F45" s="21"/>
      <c r="G45" s="21"/>
      <c r="H45" s="29"/>
      <c r="I45" s="190"/>
      <c r="J45" s="30"/>
    </row>
    <row r="46" spans="1:10" x14ac:dyDescent="0.25">
      <c r="A46" s="197"/>
      <c r="B46" s="42"/>
      <c r="C46" s="134"/>
      <c r="D46" s="152"/>
      <c r="E46" s="30"/>
      <c r="F46" s="21"/>
      <c r="G46" s="21"/>
      <c r="H46" s="29"/>
      <c r="I46" s="190"/>
      <c r="J46" s="30"/>
    </row>
    <row r="47" spans="1:10" x14ac:dyDescent="0.25">
      <c r="A47" s="197"/>
      <c r="B47" s="42"/>
      <c r="C47" s="134"/>
      <c r="D47" s="152"/>
      <c r="E47" s="30"/>
      <c r="F47" s="21"/>
      <c r="G47" s="21"/>
      <c r="H47" s="29"/>
      <c r="I47" s="190"/>
      <c r="J47" s="30"/>
    </row>
    <row r="48" spans="1:10" x14ac:dyDescent="0.25">
      <c r="A48" s="197"/>
      <c r="B48" s="42"/>
      <c r="C48" s="134"/>
      <c r="D48" s="152"/>
      <c r="E48" s="30"/>
      <c r="F48" s="21"/>
      <c r="G48" s="21"/>
      <c r="H48" s="29"/>
      <c r="I48" s="190"/>
      <c r="J48" s="30"/>
    </row>
    <row r="49" spans="1:10" x14ac:dyDescent="0.25">
      <c r="A49" s="197"/>
      <c r="B49" s="42"/>
      <c r="C49" s="134"/>
      <c r="D49" s="152"/>
      <c r="E49" s="30"/>
      <c r="F49" s="21"/>
      <c r="G49" s="21"/>
      <c r="H49" s="29"/>
      <c r="I49" s="190"/>
      <c r="J49" s="30"/>
    </row>
    <row r="50" spans="1:10" x14ac:dyDescent="0.25">
      <c r="A50" s="197"/>
      <c r="B50" s="42"/>
      <c r="C50" s="134"/>
      <c r="D50" s="152"/>
      <c r="E50" s="30"/>
      <c r="F50" s="21"/>
      <c r="G50" s="21"/>
      <c r="H50" s="29"/>
      <c r="I50" s="190"/>
      <c r="J50" s="30"/>
    </row>
    <row r="51" spans="1:10" x14ac:dyDescent="0.25">
      <c r="A51" s="197"/>
      <c r="B51" s="42"/>
      <c r="C51" s="134"/>
      <c r="D51" s="152"/>
      <c r="E51" s="30"/>
      <c r="F51" s="21"/>
      <c r="G51" s="21"/>
      <c r="H51" s="29"/>
      <c r="I51" s="190"/>
      <c r="J51" s="30"/>
    </row>
    <row r="52" spans="1:10" x14ac:dyDescent="0.25">
      <c r="A52" s="197"/>
      <c r="B52" s="42"/>
      <c r="C52" s="134"/>
      <c r="D52" s="152"/>
      <c r="E52" s="30"/>
      <c r="F52" s="21"/>
      <c r="G52" s="21"/>
      <c r="H52" s="29"/>
      <c r="I52" s="190"/>
      <c r="J52" s="30"/>
    </row>
    <row r="53" spans="1:10" x14ac:dyDescent="0.25">
      <c r="A53" s="197"/>
      <c r="B53" s="42"/>
      <c r="C53" s="134"/>
      <c r="D53" s="152"/>
      <c r="E53" s="30"/>
      <c r="F53" s="21"/>
      <c r="G53" s="21"/>
      <c r="H53" s="29"/>
      <c r="I53" s="190"/>
      <c r="J53" s="30"/>
    </row>
    <row r="54" spans="1:10" x14ac:dyDescent="0.25">
      <c r="A54" s="197"/>
      <c r="B54" s="42"/>
      <c r="C54" s="134"/>
      <c r="D54" s="152"/>
      <c r="E54" s="30"/>
      <c r="F54" s="21"/>
      <c r="G54" s="21"/>
      <c r="H54" s="29"/>
      <c r="I54" s="190"/>
      <c r="J54" s="30"/>
    </row>
    <row r="55" spans="1:10" x14ac:dyDescent="0.25">
      <c r="A55" s="197"/>
      <c r="B55" s="42"/>
      <c r="C55" s="134"/>
      <c r="D55" s="152"/>
      <c r="E55" s="30"/>
      <c r="F55" s="21"/>
      <c r="G55" s="21"/>
      <c r="H55" s="29"/>
      <c r="I55" s="190"/>
      <c r="J55" s="30"/>
    </row>
    <row r="56" spans="1:10" x14ac:dyDescent="0.25">
      <c r="A56" s="197"/>
      <c r="B56" s="42"/>
      <c r="C56" s="134"/>
      <c r="D56" s="152"/>
      <c r="E56" s="30"/>
      <c r="F56" s="21"/>
      <c r="G56" s="21"/>
      <c r="H56" s="29"/>
      <c r="I56" s="190"/>
      <c r="J56" s="30"/>
    </row>
    <row r="57" spans="1:10" x14ac:dyDescent="0.25">
      <c r="A57" s="197"/>
      <c r="B57" s="42"/>
      <c r="C57" s="134"/>
      <c r="D57" s="152"/>
      <c r="E57" s="30"/>
      <c r="F57" s="21"/>
      <c r="G57" s="21"/>
      <c r="H57" s="29"/>
      <c r="I57" s="190"/>
      <c r="J57" s="30"/>
    </row>
    <row r="58" spans="1:10" x14ac:dyDescent="0.25">
      <c r="A58" s="197"/>
      <c r="B58" s="42"/>
      <c r="C58" s="134"/>
      <c r="D58" s="152"/>
      <c r="E58" s="30"/>
      <c r="F58" s="21"/>
      <c r="G58" s="21"/>
      <c r="H58" s="29"/>
      <c r="I58" s="190"/>
      <c r="J58" s="30"/>
    </row>
    <row r="59" spans="1:10" x14ac:dyDescent="0.25">
      <c r="A59" s="197"/>
      <c r="B59" s="42"/>
      <c r="C59" s="134"/>
      <c r="D59" s="152"/>
      <c r="E59" s="30"/>
      <c r="F59" s="21"/>
      <c r="G59" s="21"/>
      <c r="H59" s="29"/>
      <c r="I59" s="190"/>
      <c r="J59" s="30"/>
    </row>
    <row r="60" spans="1:10" x14ac:dyDescent="0.25">
      <c r="A60" s="197"/>
      <c r="B60" s="42"/>
      <c r="C60" s="134"/>
      <c r="D60" s="152"/>
      <c r="E60" s="30"/>
      <c r="F60" s="21"/>
      <c r="G60" s="21"/>
      <c r="H60" s="29"/>
      <c r="I60" s="190"/>
      <c r="J60" s="30"/>
    </row>
    <row r="61" spans="1:10" x14ac:dyDescent="0.25">
      <c r="A61" s="197"/>
      <c r="B61" s="42"/>
      <c r="C61" s="134"/>
      <c r="D61" s="152"/>
      <c r="E61" s="30"/>
      <c r="F61" s="21"/>
      <c r="G61" s="21"/>
      <c r="H61" s="29"/>
      <c r="I61" s="190"/>
      <c r="J61" s="30"/>
    </row>
    <row r="62" spans="1:10" x14ac:dyDescent="0.25">
      <c r="A62" s="197"/>
      <c r="B62" s="42"/>
      <c r="C62" s="134"/>
      <c r="D62" s="152"/>
      <c r="E62" s="30"/>
      <c r="F62" s="21"/>
      <c r="G62" s="21"/>
      <c r="H62" s="29"/>
      <c r="I62" s="190"/>
      <c r="J62" s="30"/>
    </row>
    <row r="63" spans="1:10" x14ac:dyDescent="0.25">
      <c r="A63" s="197"/>
      <c r="B63" s="42"/>
      <c r="C63" s="134"/>
      <c r="D63" s="152"/>
      <c r="E63" s="30"/>
      <c r="F63" s="21"/>
      <c r="G63" s="21"/>
      <c r="H63" s="29"/>
      <c r="I63" s="190"/>
      <c r="J63" s="30"/>
    </row>
    <row r="64" spans="1:10" x14ac:dyDescent="0.25">
      <c r="A64" s="197"/>
      <c r="B64" s="42"/>
      <c r="C64" s="134"/>
      <c r="D64" s="152"/>
      <c r="E64" s="30"/>
      <c r="F64" s="21"/>
      <c r="G64" s="21"/>
      <c r="H64" s="29"/>
      <c r="I64" s="190"/>
      <c r="J64" s="30"/>
    </row>
    <row r="65" spans="1:10" x14ac:dyDescent="0.25">
      <c r="A65" s="197"/>
      <c r="B65" s="42"/>
      <c r="C65" s="134"/>
      <c r="D65" s="152"/>
      <c r="E65" s="30"/>
      <c r="F65" s="21"/>
      <c r="G65" s="21"/>
      <c r="H65" s="29"/>
      <c r="I65" s="190"/>
      <c r="J65" s="30"/>
    </row>
    <row r="66" spans="1:10" x14ac:dyDescent="0.25">
      <c r="A66" s="197"/>
      <c r="B66" s="42"/>
      <c r="C66" s="134"/>
      <c r="D66" s="152"/>
      <c r="E66" s="30"/>
      <c r="F66" s="21"/>
      <c r="G66" s="21"/>
      <c r="H66" s="29"/>
      <c r="I66" s="190"/>
      <c r="J66" s="30"/>
    </row>
    <row r="67" spans="1:10" x14ac:dyDescent="0.25">
      <c r="A67" s="197"/>
      <c r="B67" s="42"/>
      <c r="C67" s="134"/>
      <c r="D67" s="152"/>
      <c r="E67" s="30"/>
      <c r="F67" s="21"/>
      <c r="G67" s="21"/>
      <c r="H67" s="29"/>
      <c r="I67" s="190"/>
      <c r="J67" s="30"/>
    </row>
    <row r="68" spans="1:10" x14ac:dyDescent="0.25">
      <c r="A68" s="197"/>
      <c r="B68" s="42"/>
      <c r="C68" s="134"/>
      <c r="D68" s="152"/>
      <c r="E68" s="30"/>
      <c r="F68" s="21"/>
      <c r="G68" s="21"/>
      <c r="H68" s="29"/>
      <c r="I68" s="190"/>
      <c r="J68" s="30"/>
    </row>
    <row r="69" spans="1:10" x14ac:dyDescent="0.25">
      <c r="A69" s="197"/>
      <c r="B69" s="42"/>
      <c r="C69" s="134"/>
      <c r="D69" s="152"/>
      <c r="E69" s="30"/>
      <c r="F69" s="21"/>
      <c r="G69" s="21"/>
      <c r="H69" s="29"/>
      <c r="I69" s="190"/>
      <c r="J69" s="30"/>
    </row>
    <row r="70" spans="1:10" x14ac:dyDescent="0.25">
      <c r="A70" s="197"/>
      <c r="B70" s="42"/>
      <c r="C70" s="134"/>
      <c r="D70" s="152"/>
      <c r="E70" s="30"/>
      <c r="F70" s="21"/>
      <c r="G70" s="21"/>
      <c r="H70" s="29"/>
      <c r="I70" s="190"/>
      <c r="J70" s="30"/>
    </row>
    <row r="71" spans="1:10" x14ac:dyDescent="0.25">
      <c r="A71" s="197"/>
      <c r="B71" s="42"/>
      <c r="C71" s="134"/>
      <c r="D71" s="152"/>
      <c r="E71" s="30"/>
      <c r="F71" s="21"/>
      <c r="G71" s="21"/>
      <c r="H71" s="29"/>
      <c r="I71" s="190"/>
      <c r="J71" s="30"/>
    </row>
    <row r="72" spans="1:10" x14ac:dyDescent="0.25">
      <c r="A72" s="197"/>
      <c r="B72" s="42"/>
      <c r="C72" s="134"/>
      <c r="D72" s="152"/>
      <c r="E72" s="30"/>
      <c r="F72" s="21"/>
      <c r="G72" s="21"/>
      <c r="H72" s="29"/>
      <c r="I72" s="190"/>
      <c r="J72" s="30"/>
    </row>
    <row r="73" spans="1:10" x14ac:dyDescent="0.25">
      <c r="A73" s="197"/>
      <c r="B73" s="42"/>
      <c r="C73" s="134"/>
      <c r="D73" s="152"/>
      <c r="E73" s="30"/>
      <c r="F73" s="21"/>
      <c r="G73" s="21"/>
      <c r="H73" s="29"/>
      <c r="I73" s="190"/>
      <c r="J73" s="30"/>
    </row>
    <row r="74" spans="1:10" x14ac:dyDescent="0.25">
      <c r="A74" s="197"/>
      <c r="B74" s="42"/>
      <c r="C74" s="134"/>
      <c r="D74" s="152"/>
      <c r="E74" s="30"/>
      <c r="F74" s="21"/>
      <c r="G74" s="21"/>
      <c r="H74" s="29"/>
      <c r="I74" s="190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313"/>
  <sheetViews>
    <sheetView topLeftCell="A104" workbookViewId="0">
      <selection sqref="A1:F244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7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8" s="20" customFormat="1" x14ac:dyDescent="0.25">
      <c r="A1" s="8" t="s">
        <v>168</v>
      </c>
      <c r="B1" s="20" t="s">
        <v>169</v>
      </c>
      <c r="C1" s="20" t="s">
        <v>0</v>
      </c>
      <c r="D1" s="137" t="s">
        <v>170</v>
      </c>
      <c r="E1" s="20" t="s">
        <v>171</v>
      </c>
      <c r="F1" s="20" t="s">
        <v>186</v>
      </c>
      <c r="G1" s="8" t="s">
        <v>185</v>
      </c>
      <c r="H1" s="20" t="s">
        <v>60</v>
      </c>
    </row>
    <row r="2" spans="1:8" x14ac:dyDescent="0.25">
      <c r="A2" s="8">
        <v>43067.035092592596</v>
      </c>
      <c r="B2" s="20" t="s">
        <v>511</v>
      </c>
      <c r="C2" s="20" t="s">
        <v>565</v>
      </c>
      <c r="D2" s="137">
        <v>3220000</v>
      </c>
      <c r="E2" s="20" t="s">
        <v>376</v>
      </c>
      <c r="F2" s="20" t="s">
        <v>377</v>
      </c>
      <c r="G2" s="8" t="str">
        <f>E2&amp;" "&amp;F2</f>
        <v>RESPASS AARON</v>
      </c>
      <c r="H2" t="str">
        <f>MID(B2,13,4)</f>
        <v>4043</v>
      </c>
    </row>
    <row r="3" spans="1:8" x14ac:dyDescent="0.25">
      <c r="A3" s="8">
        <v>43067.0469212963</v>
      </c>
      <c r="B3" s="20" t="s">
        <v>380</v>
      </c>
      <c r="C3" s="20" t="s">
        <v>514</v>
      </c>
      <c r="D3" s="137">
        <v>890000</v>
      </c>
      <c r="E3" s="20" t="s">
        <v>345</v>
      </c>
      <c r="F3" s="20" t="s">
        <v>346</v>
      </c>
      <c r="G3" s="8" t="str">
        <f t="shared" ref="G3:G66" si="0">E3&amp;" "&amp;F3</f>
        <v>LOZA FIDEL</v>
      </c>
      <c r="H3" s="20" t="str">
        <f t="shared" ref="H3:H66" si="1">MID(B3,13,4)</f>
        <v>4022</v>
      </c>
    </row>
    <row r="4" spans="1:8" x14ac:dyDescent="0.25">
      <c r="A4" s="8">
        <v>43067.056122685186</v>
      </c>
      <c r="B4" s="20" t="s">
        <v>477</v>
      </c>
      <c r="C4" s="20" t="s">
        <v>566</v>
      </c>
      <c r="D4" s="137">
        <v>3040000</v>
      </c>
      <c r="E4" s="20" t="s">
        <v>367</v>
      </c>
      <c r="F4" s="20" t="s">
        <v>479</v>
      </c>
      <c r="G4" s="8" t="str">
        <f t="shared" si="0"/>
        <v>WILLIAMS DONTE</v>
      </c>
      <c r="H4" s="20" t="str">
        <f t="shared" si="1"/>
        <v>4025</v>
      </c>
    </row>
    <row r="5" spans="1:8" x14ac:dyDescent="0.25">
      <c r="A5" s="8">
        <v>43067.066620370373</v>
      </c>
      <c r="B5" s="20" t="s">
        <v>507</v>
      </c>
      <c r="C5" s="20" t="s">
        <v>567</v>
      </c>
      <c r="D5" s="137">
        <v>3220000</v>
      </c>
      <c r="E5" s="20" t="s">
        <v>376</v>
      </c>
      <c r="F5" s="20" t="s">
        <v>377</v>
      </c>
      <c r="G5" s="8" t="str">
        <f t="shared" si="0"/>
        <v>RESPASS AARON</v>
      </c>
      <c r="H5" s="20" t="str">
        <f t="shared" si="1"/>
        <v>4044</v>
      </c>
    </row>
    <row r="6" spans="1:8" x14ac:dyDescent="0.25">
      <c r="A6" s="8">
        <v>43067.08871527778</v>
      </c>
      <c r="B6" s="20" t="s">
        <v>478</v>
      </c>
      <c r="C6" s="20" t="s">
        <v>568</v>
      </c>
      <c r="D6" s="137">
        <v>3040000</v>
      </c>
      <c r="E6" s="20" t="s">
        <v>367</v>
      </c>
      <c r="F6" s="20" t="s">
        <v>479</v>
      </c>
      <c r="G6" s="8" t="str">
        <f t="shared" si="0"/>
        <v>WILLIAMS DONTE</v>
      </c>
      <c r="H6" s="20" t="str">
        <f t="shared" si="1"/>
        <v>4026</v>
      </c>
    </row>
    <row r="7" spans="1:8" x14ac:dyDescent="0.25">
      <c r="A7" s="8">
        <v>43067.117118055554</v>
      </c>
      <c r="B7" s="20" t="s">
        <v>366</v>
      </c>
      <c r="C7" s="20" t="s">
        <v>666</v>
      </c>
      <c r="D7" s="137">
        <v>900000</v>
      </c>
      <c r="E7" s="20" t="s">
        <v>515</v>
      </c>
      <c r="F7" s="20" t="s">
        <v>516</v>
      </c>
      <c r="G7" s="8" t="str">
        <f t="shared" si="0"/>
        <v>ROCHA YAOTL</v>
      </c>
      <c r="H7" s="20" t="str">
        <f t="shared" si="1"/>
        <v>4035</v>
      </c>
    </row>
    <row r="8" spans="1:8" x14ac:dyDescent="0.25">
      <c r="A8" s="8">
        <v>43067.128923611112</v>
      </c>
      <c r="B8" s="20" t="s">
        <v>365</v>
      </c>
      <c r="C8" s="20" t="s">
        <v>667</v>
      </c>
      <c r="D8" s="137">
        <v>1260000</v>
      </c>
      <c r="E8" s="20" t="s">
        <v>668</v>
      </c>
      <c r="F8" s="20" t="s">
        <v>669</v>
      </c>
      <c r="G8" s="8" t="str">
        <f t="shared" si="0"/>
        <v>ACKERMAN JARED</v>
      </c>
      <c r="H8" s="20" t="str">
        <f t="shared" si="1"/>
        <v>4036</v>
      </c>
    </row>
    <row r="9" spans="1:8" ht="15.75" thickBot="1" x14ac:dyDescent="0.3">
      <c r="A9" s="24">
        <v>43067.130312499998</v>
      </c>
      <c r="B9" s="20" t="s">
        <v>670</v>
      </c>
      <c r="C9" s="20" t="s">
        <v>671</v>
      </c>
      <c r="D9" s="137">
        <v>900000</v>
      </c>
      <c r="E9" s="20" t="s">
        <v>515</v>
      </c>
      <c r="F9" s="20" t="s">
        <v>516</v>
      </c>
      <c r="G9" s="8" t="str">
        <f t="shared" si="0"/>
        <v>ROCHA YAOTL</v>
      </c>
      <c r="H9" s="20" t="str">
        <f t="shared" si="1"/>
        <v>4058</v>
      </c>
    </row>
    <row r="10" spans="1:8" x14ac:dyDescent="0.25">
      <c r="A10" s="8">
        <v>43067.140763888892</v>
      </c>
      <c r="B10" s="20" t="s">
        <v>366</v>
      </c>
      <c r="C10" s="20" t="s">
        <v>672</v>
      </c>
      <c r="D10" s="137">
        <v>1260000</v>
      </c>
      <c r="E10" s="20" t="s">
        <v>668</v>
      </c>
      <c r="F10" s="20" t="s">
        <v>669</v>
      </c>
      <c r="G10" s="8" t="str">
        <f t="shared" si="0"/>
        <v>ACKERMAN JARED</v>
      </c>
      <c r="H10" s="20" t="str">
        <f t="shared" si="1"/>
        <v>4035</v>
      </c>
    </row>
    <row r="11" spans="1:8" x14ac:dyDescent="0.25">
      <c r="A11" s="8">
        <v>43067.141736111109</v>
      </c>
      <c r="B11" s="20" t="s">
        <v>360</v>
      </c>
      <c r="C11" s="20" t="s">
        <v>673</v>
      </c>
      <c r="D11" s="137">
        <v>3790000</v>
      </c>
      <c r="E11" s="20" t="s">
        <v>518</v>
      </c>
      <c r="F11" s="20" t="s">
        <v>519</v>
      </c>
      <c r="G11" s="8" t="str">
        <f t="shared" si="0"/>
        <v>NICHOLAS PLOYSA</v>
      </c>
      <c r="H11" s="20" t="str">
        <f t="shared" si="1"/>
        <v>4007</v>
      </c>
    </row>
    <row r="12" spans="1:8" x14ac:dyDescent="0.25">
      <c r="A12" s="8">
        <v>43067.153124999997</v>
      </c>
      <c r="B12" s="20" t="s">
        <v>357</v>
      </c>
      <c r="C12" s="20" t="s">
        <v>674</v>
      </c>
      <c r="D12" s="137">
        <v>3790000</v>
      </c>
      <c r="E12" s="20" t="s">
        <v>518</v>
      </c>
      <c r="F12" s="20" t="s">
        <v>519</v>
      </c>
      <c r="G12" s="8" t="str">
        <f t="shared" si="0"/>
        <v>NICHOLAS PLOYSA</v>
      </c>
      <c r="H12" s="20" t="str">
        <f t="shared" si="1"/>
        <v>4008</v>
      </c>
    </row>
    <row r="13" spans="1:8" x14ac:dyDescent="0.25">
      <c r="A13" s="8">
        <v>43067.161261574074</v>
      </c>
      <c r="B13" s="20" t="s">
        <v>385</v>
      </c>
      <c r="C13" s="20" t="s">
        <v>675</v>
      </c>
      <c r="D13" s="137">
        <v>3120000</v>
      </c>
      <c r="E13" s="20" t="s">
        <v>676</v>
      </c>
      <c r="F13" s="20" t="s">
        <v>677</v>
      </c>
      <c r="G13" s="8" t="str">
        <f t="shared" si="0"/>
        <v>THOMPSON LESTER</v>
      </c>
      <c r="H13" s="20" t="str">
        <f t="shared" si="1"/>
        <v>4059</v>
      </c>
    </row>
    <row r="14" spans="1:8" x14ac:dyDescent="0.25">
      <c r="A14" s="8">
        <v>43067.168124999997</v>
      </c>
      <c r="B14" s="20" t="s">
        <v>352</v>
      </c>
      <c r="C14" s="20" t="s">
        <v>678</v>
      </c>
      <c r="D14" s="137">
        <v>1340000</v>
      </c>
      <c r="E14" s="20" t="s">
        <v>520</v>
      </c>
      <c r="F14" s="20" t="s">
        <v>521</v>
      </c>
      <c r="G14" s="8" t="str">
        <f t="shared" si="0"/>
        <v>BEAM ROSS</v>
      </c>
      <c r="H14" s="20" t="str">
        <f t="shared" si="1"/>
        <v>4055</v>
      </c>
    </row>
    <row r="15" spans="1:8" x14ac:dyDescent="0.25">
      <c r="A15" s="8">
        <v>43067.17255787037</v>
      </c>
      <c r="B15" s="20" t="s">
        <v>358</v>
      </c>
      <c r="C15" s="20" t="s">
        <v>679</v>
      </c>
      <c r="D15" s="137">
        <v>3120000</v>
      </c>
      <c r="E15" s="20" t="s">
        <v>676</v>
      </c>
      <c r="F15" s="20" t="s">
        <v>677</v>
      </c>
      <c r="G15" s="8" t="str">
        <f t="shared" si="0"/>
        <v>THOMPSON LESTER</v>
      </c>
      <c r="H15" s="20" t="str">
        <f t="shared" si="1"/>
        <v>4060</v>
      </c>
    </row>
    <row r="16" spans="1:8" x14ac:dyDescent="0.25">
      <c r="A16" s="8">
        <v>43067.174490740741</v>
      </c>
      <c r="B16" s="20" t="s">
        <v>680</v>
      </c>
      <c r="C16" s="20" t="s">
        <v>681</v>
      </c>
      <c r="D16" s="137">
        <v>900000</v>
      </c>
      <c r="E16" s="20" t="s">
        <v>515</v>
      </c>
      <c r="F16" s="20" t="s">
        <v>516</v>
      </c>
      <c r="G16" s="8" t="str">
        <f t="shared" si="0"/>
        <v>ROCHA YAOTL</v>
      </c>
      <c r="H16" s="20" t="str">
        <f t="shared" si="1"/>
        <v>4057</v>
      </c>
    </row>
    <row r="17" spans="1:8" x14ac:dyDescent="0.25">
      <c r="A17" s="8">
        <v>43067.17832175926</v>
      </c>
      <c r="B17" s="20" t="s">
        <v>444</v>
      </c>
      <c r="C17" s="20" t="s">
        <v>682</v>
      </c>
      <c r="D17" s="137">
        <v>3300000</v>
      </c>
      <c r="E17" s="20" t="s">
        <v>683</v>
      </c>
      <c r="F17" s="20" t="s">
        <v>684</v>
      </c>
      <c r="G17" s="8" t="str">
        <f t="shared" si="0"/>
        <v>LANGERAK WILLIAM</v>
      </c>
      <c r="H17" s="20" t="str">
        <f t="shared" si="1"/>
        <v>4056</v>
      </c>
    </row>
    <row r="18" spans="1:8" x14ac:dyDescent="0.25">
      <c r="A18" s="8">
        <v>43067.184432870374</v>
      </c>
      <c r="B18" s="20" t="s">
        <v>633</v>
      </c>
      <c r="C18" s="20" t="s">
        <v>685</v>
      </c>
      <c r="D18" s="137">
        <v>3090000</v>
      </c>
      <c r="E18" s="20" t="s">
        <v>480</v>
      </c>
      <c r="F18" s="20" t="s">
        <v>481</v>
      </c>
      <c r="G18" s="8" t="str">
        <f t="shared" si="0"/>
        <v>LAMAR NEKESHA</v>
      </c>
      <c r="H18" s="20" t="str">
        <f t="shared" si="1"/>
        <v>4039</v>
      </c>
    </row>
    <row r="19" spans="1:8" x14ac:dyDescent="0.25">
      <c r="A19" s="8">
        <v>43067.192719907405</v>
      </c>
      <c r="B19" s="20" t="s">
        <v>360</v>
      </c>
      <c r="C19" s="20" t="s">
        <v>686</v>
      </c>
      <c r="D19" s="137">
        <v>3790000</v>
      </c>
      <c r="E19" s="20" t="s">
        <v>518</v>
      </c>
      <c r="F19" s="20" t="s">
        <v>519</v>
      </c>
      <c r="G19" s="8" t="str">
        <f t="shared" si="0"/>
        <v>NICHOLAS PLOYSA</v>
      </c>
      <c r="H19" s="20" t="str">
        <f t="shared" si="1"/>
        <v>4007</v>
      </c>
    </row>
    <row r="20" spans="1:8" x14ac:dyDescent="0.25">
      <c r="A20" s="8">
        <v>43067.195104166669</v>
      </c>
      <c r="B20" s="20" t="s">
        <v>687</v>
      </c>
      <c r="C20" s="20" t="s">
        <v>688</v>
      </c>
      <c r="D20" s="137">
        <v>3090000</v>
      </c>
      <c r="E20" s="20" t="s">
        <v>480</v>
      </c>
      <c r="F20" s="20" t="s">
        <v>481</v>
      </c>
      <c r="G20" s="8" t="str">
        <f t="shared" si="0"/>
        <v>LAMAR NEKESHA</v>
      </c>
      <c r="H20" s="20" t="str">
        <f t="shared" si="1"/>
        <v>4040</v>
      </c>
    </row>
    <row r="21" spans="1:8" x14ac:dyDescent="0.25">
      <c r="A21" s="8">
        <v>43067.197777777779</v>
      </c>
      <c r="B21" s="20" t="s">
        <v>645</v>
      </c>
      <c r="C21" s="20" t="s">
        <v>689</v>
      </c>
      <c r="D21" s="137">
        <v>1230000</v>
      </c>
      <c r="E21" s="20" t="s">
        <v>690</v>
      </c>
      <c r="F21" s="20" t="s">
        <v>691</v>
      </c>
      <c r="G21" s="8" t="str">
        <f t="shared" si="0"/>
        <v>YANAI IAN</v>
      </c>
      <c r="H21" s="20" t="str">
        <f t="shared" si="1"/>
        <v>4033</v>
      </c>
    </row>
    <row r="22" spans="1:8" x14ac:dyDescent="0.25">
      <c r="A22" s="26">
        <v>43067.199456018519</v>
      </c>
      <c r="B22" s="20" t="s">
        <v>386</v>
      </c>
      <c r="C22" s="20" t="s">
        <v>692</v>
      </c>
      <c r="D22" s="137">
        <v>2600000</v>
      </c>
      <c r="E22" s="20" t="s">
        <v>524</v>
      </c>
      <c r="F22" s="20" t="s">
        <v>428</v>
      </c>
      <c r="G22" s="8" t="str">
        <f t="shared" si="0"/>
        <v>DAVIDSON DAVID</v>
      </c>
      <c r="H22" s="20" t="str">
        <f t="shared" si="1"/>
        <v>4030</v>
      </c>
    </row>
    <row r="23" spans="1:8" x14ac:dyDescent="0.25">
      <c r="A23" s="8">
        <v>43067.203472222223</v>
      </c>
      <c r="B23" s="20" t="s">
        <v>670</v>
      </c>
      <c r="C23" s="20" t="s">
        <v>693</v>
      </c>
      <c r="D23" s="137">
        <v>900000</v>
      </c>
      <c r="E23" s="20" t="s">
        <v>515</v>
      </c>
      <c r="F23" s="20" t="s">
        <v>516</v>
      </c>
      <c r="G23" s="8" t="str">
        <f t="shared" si="0"/>
        <v>ROCHA YAOTL</v>
      </c>
      <c r="H23" s="20" t="str">
        <f t="shared" si="1"/>
        <v>4058</v>
      </c>
    </row>
    <row r="24" spans="1:8" x14ac:dyDescent="0.25">
      <c r="A24" s="8">
        <v>43067.208391203705</v>
      </c>
      <c r="B24" s="20" t="s">
        <v>694</v>
      </c>
      <c r="C24" s="20" t="s">
        <v>695</v>
      </c>
      <c r="D24" s="137">
        <v>1230000</v>
      </c>
      <c r="E24" s="20" t="s">
        <v>690</v>
      </c>
      <c r="F24" s="20" t="s">
        <v>691</v>
      </c>
      <c r="G24" s="8" t="str">
        <f t="shared" si="0"/>
        <v>YANAI IAN</v>
      </c>
      <c r="H24" s="20" t="str">
        <f t="shared" si="1"/>
        <v>4034</v>
      </c>
    </row>
    <row r="25" spans="1:8" x14ac:dyDescent="0.25">
      <c r="A25" s="8">
        <v>43067.212199074071</v>
      </c>
      <c r="B25" s="20" t="s">
        <v>382</v>
      </c>
      <c r="C25" s="20" t="s">
        <v>696</v>
      </c>
      <c r="D25" s="137">
        <v>2600000</v>
      </c>
      <c r="E25" s="20" t="s">
        <v>524</v>
      </c>
      <c r="F25" s="20" t="s">
        <v>428</v>
      </c>
      <c r="G25" s="8" t="str">
        <f t="shared" si="0"/>
        <v>DAVIDSON DAVID</v>
      </c>
      <c r="H25" s="20" t="str">
        <f t="shared" si="1"/>
        <v>4029</v>
      </c>
    </row>
    <row r="26" spans="1:8" x14ac:dyDescent="0.25">
      <c r="A26" s="8">
        <v>43067.214687500003</v>
      </c>
      <c r="B26" s="20" t="s">
        <v>385</v>
      </c>
      <c r="C26" s="20" t="s">
        <v>632</v>
      </c>
      <c r="D26" s="137">
        <v>3120000</v>
      </c>
      <c r="E26" s="20" t="s">
        <v>676</v>
      </c>
      <c r="F26" s="20" t="s">
        <v>677</v>
      </c>
      <c r="G26" s="8" t="str">
        <f t="shared" si="0"/>
        <v>THOMPSON LESTER</v>
      </c>
      <c r="H26" s="20" t="str">
        <f t="shared" si="1"/>
        <v>4059</v>
      </c>
    </row>
    <row r="27" spans="1:8" x14ac:dyDescent="0.25">
      <c r="A27" s="8">
        <v>43067.21471064815</v>
      </c>
      <c r="B27" s="20" t="s">
        <v>352</v>
      </c>
      <c r="C27" s="20" t="s">
        <v>697</v>
      </c>
      <c r="D27" s="137">
        <v>3300000</v>
      </c>
      <c r="E27" s="20" t="s">
        <v>683</v>
      </c>
      <c r="F27" s="20" t="s">
        <v>684</v>
      </c>
      <c r="G27" s="8" t="str">
        <f t="shared" si="0"/>
        <v>LANGERAK WILLIAM</v>
      </c>
      <c r="H27" s="20" t="str">
        <f t="shared" si="1"/>
        <v>4055</v>
      </c>
    </row>
    <row r="28" spans="1:8" x14ac:dyDescent="0.25">
      <c r="A28" s="8">
        <v>43067.218124999999</v>
      </c>
      <c r="B28" s="20" t="s">
        <v>698</v>
      </c>
      <c r="C28" s="20" t="s">
        <v>699</v>
      </c>
      <c r="D28" s="137">
        <v>2560000</v>
      </c>
      <c r="E28" s="20" t="s">
        <v>426</v>
      </c>
      <c r="F28" s="20" t="s">
        <v>427</v>
      </c>
      <c r="G28" s="8" t="str">
        <f t="shared" si="0"/>
        <v>MACDONALD THOMAS</v>
      </c>
      <c r="H28" s="20" t="str">
        <f t="shared" si="1"/>
        <v>4049</v>
      </c>
    </row>
    <row r="29" spans="1:8" x14ac:dyDescent="0.25">
      <c r="A29" s="8">
        <v>43067.225104166668</v>
      </c>
      <c r="B29" s="20" t="s">
        <v>357</v>
      </c>
      <c r="C29" s="20" t="s">
        <v>700</v>
      </c>
      <c r="D29" s="137">
        <v>3790000</v>
      </c>
      <c r="E29" s="20" t="s">
        <v>518</v>
      </c>
      <c r="F29" s="20" t="s">
        <v>519</v>
      </c>
      <c r="G29" s="8" t="str">
        <f t="shared" si="0"/>
        <v>NICHOLAS PLOYSA</v>
      </c>
      <c r="H29" s="20" t="str">
        <f t="shared" si="1"/>
        <v>4008</v>
      </c>
    </row>
    <row r="30" spans="1:8" x14ac:dyDescent="0.25">
      <c r="A30" s="8">
        <v>43067.225775462961</v>
      </c>
      <c r="B30" s="20" t="s">
        <v>633</v>
      </c>
      <c r="C30" s="20" t="s">
        <v>634</v>
      </c>
      <c r="D30" s="137">
        <v>3090000</v>
      </c>
      <c r="E30" s="20" t="s">
        <v>480</v>
      </c>
      <c r="F30" s="20" t="s">
        <v>481</v>
      </c>
      <c r="G30" s="8" t="str">
        <f t="shared" si="0"/>
        <v>LAMAR NEKESHA</v>
      </c>
      <c r="H30" s="20" t="str">
        <f t="shared" si="1"/>
        <v>4039</v>
      </c>
    </row>
    <row r="31" spans="1:8" x14ac:dyDescent="0.25">
      <c r="A31" s="8">
        <v>43067.228275462963</v>
      </c>
      <c r="B31" s="20" t="s">
        <v>386</v>
      </c>
      <c r="C31" s="20" t="s">
        <v>701</v>
      </c>
      <c r="D31" s="137">
        <v>2600000</v>
      </c>
      <c r="E31" s="20" t="s">
        <v>524</v>
      </c>
      <c r="F31" s="20" t="s">
        <v>428</v>
      </c>
      <c r="G31" s="8" t="str">
        <f t="shared" si="0"/>
        <v>DAVIDSON DAVID</v>
      </c>
      <c r="H31" s="20" t="str">
        <f t="shared" si="1"/>
        <v>4030</v>
      </c>
    </row>
    <row r="32" spans="1:8" x14ac:dyDescent="0.25">
      <c r="A32" s="8">
        <v>43067.231388888889</v>
      </c>
      <c r="B32" s="20" t="s">
        <v>702</v>
      </c>
      <c r="C32" s="20" t="s">
        <v>703</v>
      </c>
      <c r="D32" s="137">
        <v>2560000</v>
      </c>
      <c r="E32" s="20" t="s">
        <v>426</v>
      </c>
      <c r="F32" s="20" t="s">
        <v>427</v>
      </c>
      <c r="G32" s="8" t="str">
        <f t="shared" si="0"/>
        <v>MACDONALD THOMAS</v>
      </c>
      <c r="H32" s="20" t="str">
        <f t="shared" si="1"/>
        <v>4050</v>
      </c>
    </row>
    <row r="33" spans="1:8" x14ac:dyDescent="0.25">
      <c r="A33" s="8">
        <v>43067.236111111109</v>
      </c>
      <c r="B33" s="20" t="s">
        <v>652</v>
      </c>
      <c r="C33" s="20" t="s">
        <v>704</v>
      </c>
      <c r="D33" s="137">
        <v>3840000</v>
      </c>
      <c r="E33" s="20" t="s">
        <v>527</v>
      </c>
      <c r="F33" s="20" t="s">
        <v>528</v>
      </c>
      <c r="G33" s="8" t="str">
        <f t="shared" si="0"/>
        <v>LONG FULLER</v>
      </c>
      <c r="H33" s="20" t="str">
        <f t="shared" si="1"/>
        <v>4001</v>
      </c>
    </row>
    <row r="34" spans="1:8" x14ac:dyDescent="0.25">
      <c r="A34" s="8">
        <v>43067.245671296296</v>
      </c>
      <c r="B34" s="20" t="s">
        <v>645</v>
      </c>
      <c r="C34" s="20" t="s">
        <v>705</v>
      </c>
      <c r="D34" s="137">
        <v>1230000</v>
      </c>
      <c r="E34" s="20" t="s">
        <v>690</v>
      </c>
      <c r="F34" s="20" t="s">
        <v>691</v>
      </c>
      <c r="G34" s="8" t="str">
        <f t="shared" si="0"/>
        <v>YANAI IAN</v>
      </c>
      <c r="H34" s="20" t="str">
        <f t="shared" si="1"/>
        <v>4033</v>
      </c>
    </row>
    <row r="35" spans="1:8" x14ac:dyDescent="0.25">
      <c r="A35" s="8">
        <v>43067.246967592589</v>
      </c>
      <c r="B35" s="20" t="s">
        <v>680</v>
      </c>
      <c r="C35" s="20" t="s">
        <v>706</v>
      </c>
      <c r="D35" s="137">
        <v>900000</v>
      </c>
      <c r="E35" s="20" t="s">
        <v>515</v>
      </c>
      <c r="F35" s="20" t="s">
        <v>516</v>
      </c>
      <c r="G35" s="8" t="str">
        <f t="shared" si="0"/>
        <v>ROCHA YAOTL</v>
      </c>
      <c r="H35" s="20" t="str">
        <f t="shared" si="1"/>
        <v>4057</v>
      </c>
    </row>
    <row r="36" spans="1:8" x14ac:dyDescent="0.25">
      <c r="A36" s="8">
        <v>43067.247141203705</v>
      </c>
      <c r="B36" s="20" t="s">
        <v>382</v>
      </c>
      <c r="C36" s="20" t="s">
        <v>707</v>
      </c>
      <c r="D36" s="137">
        <v>2600000</v>
      </c>
      <c r="E36" s="20" t="s">
        <v>524</v>
      </c>
      <c r="F36" s="20" t="s">
        <v>428</v>
      </c>
      <c r="G36" s="8" t="str">
        <f t="shared" si="0"/>
        <v>DAVIDSON DAVID</v>
      </c>
      <c r="H36" s="20" t="str">
        <f t="shared" si="1"/>
        <v>4029</v>
      </c>
    </row>
    <row r="37" spans="1:8" x14ac:dyDescent="0.25">
      <c r="A37" s="8">
        <v>43067.247430555559</v>
      </c>
      <c r="B37" s="20" t="s">
        <v>358</v>
      </c>
      <c r="C37" s="20" t="s">
        <v>708</v>
      </c>
      <c r="D37" s="137">
        <v>3120000</v>
      </c>
      <c r="E37" s="20" t="s">
        <v>676</v>
      </c>
      <c r="F37" s="20" t="s">
        <v>677</v>
      </c>
      <c r="G37" s="8" t="str">
        <f t="shared" si="0"/>
        <v>THOMPSON LESTER</v>
      </c>
      <c r="H37" s="20" t="str">
        <f t="shared" si="1"/>
        <v>4060</v>
      </c>
    </row>
    <row r="38" spans="1:8" x14ac:dyDescent="0.25">
      <c r="A38" s="8">
        <v>43067.252199074072</v>
      </c>
      <c r="B38" s="20" t="s">
        <v>635</v>
      </c>
      <c r="C38" s="20" t="s">
        <v>636</v>
      </c>
      <c r="D38" s="137">
        <v>3840000</v>
      </c>
      <c r="E38" s="20" t="s">
        <v>527</v>
      </c>
      <c r="F38" s="20" t="s">
        <v>528</v>
      </c>
      <c r="G38" s="8" t="str">
        <f t="shared" si="0"/>
        <v>LONG FULLER</v>
      </c>
      <c r="H38" s="20" t="str">
        <f t="shared" si="1"/>
        <v>4002</v>
      </c>
    </row>
    <row r="39" spans="1:8" x14ac:dyDescent="0.25">
      <c r="A39" s="8">
        <v>43067.257731481484</v>
      </c>
      <c r="B39" s="20" t="s">
        <v>444</v>
      </c>
      <c r="C39" s="20" t="s">
        <v>709</v>
      </c>
      <c r="D39" s="137">
        <v>1340000</v>
      </c>
      <c r="E39" s="20" t="s">
        <v>520</v>
      </c>
      <c r="F39" s="20" t="s">
        <v>521</v>
      </c>
      <c r="G39" s="8" t="str">
        <f t="shared" si="0"/>
        <v>BEAM ROSS</v>
      </c>
      <c r="H39" s="20" t="str">
        <f t="shared" si="1"/>
        <v>4056</v>
      </c>
    </row>
    <row r="40" spans="1:8" x14ac:dyDescent="0.25">
      <c r="A40" s="8">
        <v>43067.261504629627</v>
      </c>
      <c r="B40" s="25" t="s">
        <v>360</v>
      </c>
      <c r="C40" s="20" t="s">
        <v>710</v>
      </c>
      <c r="D40" s="137">
        <v>3790000</v>
      </c>
      <c r="E40" s="20" t="s">
        <v>518</v>
      </c>
      <c r="F40" s="20" t="s">
        <v>519</v>
      </c>
      <c r="G40" s="8" t="str">
        <f t="shared" si="0"/>
        <v>NICHOLAS PLOYSA</v>
      </c>
      <c r="H40" s="20" t="str">
        <f t="shared" si="1"/>
        <v>4007</v>
      </c>
    </row>
    <row r="41" spans="1:8" x14ac:dyDescent="0.25">
      <c r="A41" s="8">
        <v>43067.267766203702</v>
      </c>
      <c r="B41" s="20" t="s">
        <v>687</v>
      </c>
      <c r="C41" s="20" t="s">
        <v>711</v>
      </c>
      <c r="D41" s="137">
        <v>3090000</v>
      </c>
      <c r="E41" s="20" t="s">
        <v>480</v>
      </c>
      <c r="F41" s="20" t="s">
        <v>481</v>
      </c>
      <c r="G41" s="8" t="str">
        <f t="shared" si="0"/>
        <v>LAMAR NEKESHA</v>
      </c>
      <c r="H41" s="20" t="str">
        <f t="shared" si="1"/>
        <v>4040</v>
      </c>
    </row>
    <row r="42" spans="1:8" x14ac:dyDescent="0.25">
      <c r="A42" s="8">
        <v>43067.268877314818</v>
      </c>
      <c r="B42" s="20" t="s">
        <v>652</v>
      </c>
      <c r="C42" s="20" t="s">
        <v>712</v>
      </c>
      <c r="D42" s="137">
        <v>3840000</v>
      </c>
      <c r="E42" s="20" t="s">
        <v>527</v>
      </c>
      <c r="F42" s="20" t="s">
        <v>528</v>
      </c>
      <c r="G42" s="8" t="str">
        <f t="shared" si="0"/>
        <v>LONG FULLER</v>
      </c>
      <c r="H42" s="20" t="str">
        <f t="shared" si="1"/>
        <v>4001</v>
      </c>
    </row>
    <row r="43" spans="1:8" x14ac:dyDescent="0.25">
      <c r="A43" s="8">
        <v>43067.269918981481</v>
      </c>
      <c r="B43" s="20" t="s">
        <v>386</v>
      </c>
      <c r="C43" s="20" t="s">
        <v>639</v>
      </c>
      <c r="D43" s="137">
        <v>2600000</v>
      </c>
      <c r="E43" s="20" t="s">
        <v>524</v>
      </c>
      <c r="F43" s="20" t="s">
        <v>428</v>
      </c>
      <c r="G43" s="8" t="str">
        <f t="shared" si="0"/>
        <v>DAVIDSON DAVID</v>
      </c>
      <c r="H43" s="20" t="str">
        <f t="shared" si="1"/>
        <v>4030</v>
      </c>
    </row>
    <row r="44" spans="1:8" x14ac:dyDescent="0.25">
      <c r="A44" s="8">
        <v>43067.275914351849</v>
      </c>
      <c r="B44" s="20" t="s">
        <v>698</v>
      </c>
      <c r="C44" s="20" t="s">
        <v>713</v>
      </c>
      <c r="D44" s="137">
        <v>2560000</v>
      </c>
      <c r="E44" s="20" t="s">
        <v>426</v>
      </c>
      <c r="F44" s="20" t="s">
        <v>427</v>
      </c>
      <c r="G44" s="8" t="str">
        <f t="shared" si="0"/>
        <v>MACDONALD THOMAS</v>
      </c>
      <c r="H44" s="20" t="str">
        <f t="shared" si="1"/>
        <v>4049</v>
      </c>
    </row>
    <row r="45" spans="1:8" x14ac:dyDescent="0.25">
      <c r="A45" s="8">
        <v>43067.278287037036</v>
      </c>
      <c r="B45" s="20" t="s">
        <v>670</v>
      </c>
      <c r="C45" s="20" t="s">
        <v>714</v>
      </c>
      <c r="D45" s="137">
        <v>900000</v>
      </c>
      <c r="E45" s="20" t="s">
        <v>515</v>
      </c>
      <c r="F45" s="20" t="s">
        <v>516</v>
      </c>
      <c r="G45" s="8" t="str">
        <f t="shared" si="0"/>
        <v>ROCHA YAOTL</v>
      </c>
      <c r="H45" s="20" t="str">
        <f t="shared" si="1"/>
        <v>4058</v>
      </c>
    </row>
    <row r="46" spans="1:8" x14ac:dyDescent="0.25">
      <c r="A46" s="8">
        <v>43067.279027777775</v>
      </c>
      <c r="B46" s="20" t="s">
        <v>386</v>
      </c>
      <c r="C46" s="20" t="s">
        <v>639</v>
      </c>
      <c r="D46" s="137">
        <v>2600000</v>
      </c>
      <c r="E46" s="20" t="s">
        <v>524</v>
      </c>
      <c r="F46" s="20" t="s">
        <v>428</v>
      </c>
      <c r="G46" s="8" t="str">
        <f t="shared" si="0"/>
        <v>DAVIDSON DAVID</v>
      </c>
      <c r="H46" s="20" t="str">
        <f t="shared" si="1"/>
        <v>4030</v>
      </c>
    </row>
    <row r="47" spans="1:8" x14ac:dyDescent="0.25">
      <c r="A47" s="8">
        <v>43067.287187499998</v>
      </c>
      <c r="B47" s="20" t="s">
        <v>694</v>
      </c>
      <c r="C47" s="20" t="s">
        <v>715</v>
      </c>
      <c r="D47" s="137">
        <v>1230000</v>
      </c>
      <c r="E47" s="20" t="s">
        <v>690</v>
      </c>
      <c r="F47" s="20" t="s">
        <v>691</v>
      </c>
      <c r="G47" s="8" t="str">
        <f t="shared" si="0"/>
        <v>YANAI IAN</v>
      </c>
      <c r="H47" s="20" t="str">
        <f t="shared" si="1"/>
        <v>4034</v>
      </c>
    </row>
    <row r="48" spans="1:8" x14ac:dyDescent="0.25">
      <c r="A48" s="8">
        <v>43067.28769675926</v>
      </c>
      <c r="B48" s="20" t="s">
        <v>352</v>
      </c>
      <c r="C48" s="20" t="s">
        <v>716</v>
      </c>
      <c r="D48" s="137">
        <v>1340000</v>
      </c>
      <c r="E48" s="20" t="s">
        <v>520</v>
      </c>
      <c r="F48" s="20" t="s">
        <v>521</v>
      </c>
      <c r="G48" s="8" t="str">
        <f t="shared" si="0"/>
        <v>BEAM ROSS</v>
      </c>
      <c r="H48" s="20" t="str">
        <f t="shared" si="1"/>
        <v>4055</v>
      </c>
    </row>
    <row r="49" spans="1:8" x14ac:dyDescent="0.25">
      <c r="A49" s="8">
        <v>43067.287997685184</v>
      </c>
      <c r="B49" s="20" t="s">
        <v>385</v>
      </c>
      <c r="C49" s="20" t="s">
        <v>640</v>
      </c>
      <c r="D49" s="137">
        <v>3120000</v>
      </c>
      <c r="E49" s="20" t="s">
        <v>676</v>
      </c>
      <c r="F49" s="20" t="s">
        <v>677</v>
      </c>
      <c r="G49" s="8" t="str">
        <f t="shared" si="0"/>
        <v>THOMPSON LESTER</v>
      </c>
      <c r="H49" s="20" t="str">
        <f t="shared" si="1"/>
        <v>4059</v>
      </c>
    </row>
    <row r="50" spans="1:8" x14ac:dyDescent="0.25">
      <c r="A50" s="8">
        <v>43067.29047453704</v>
      </c>
      <c r="B50" s="20" t="s">
        <v>382</v>
      </c>
      <c r="C50" s="20" t="s">
        <v>717</v>
      </c>
      <c r="D50" s="137">
        <v>2600000</v>
      </c>
      <c r="E50" s="20" t="s">
        <v>524</v>
      </c>
      <c r="F50" s="20" t="s">
        <v>428</v>
      </c>
      <c r="G50" s="8" t="str">
        <f t="shared" si="0"/>
        <v>DAVIDSON DAVID</v>
      </c>
      <c r="H50" s="20" t="str">
        <f t="shared" si="1"/>
        <v>4029</v>
      </c>
    </row>
    <row r="51" spans="1:8" x14ac:dyDescent="0.25">
      <c r="A51" s="8">
        <v>43067.293692129628</v>
      </c>
      <c r="B51" s="20" t="s">
        <v>635</v>
      </c>
      <c r="C51" s="20" t="s">
        <v>718</v>
      </c>
      <c r="D51" s="137">
        <v>3840000</v>
      </c>
      <c r="E51" s="20" t="s">
        <v>527</v>
      </c>
      <c r="F51" s="20" t="s">
        <v>528</v>
      </c>
      <c r="G51" s="8" t="str">
        <f t="shared" si="0"/>
        <v>LONG FULLER</v>
      </c>
      <c r="H51" s="20" t="str">
        <f t="shared" si="1"/>
        <v>4002</v>
      </c>
    </row>
    <row r="52" spans="1:8" x14ac:dyDescent="0.25">
      <c r="A52" s="8">
        <v>43067.299016203702</v>
      </c>
      <c r="B52" s="20" t="s">
        <v>357</v>
      </c>
      <c r="C52" s="20" t="s">
        <v>641</v>
      </c>
      <c r="D52" s="137">
        <v>3790000</v>
      </c>
      <c r="E52" s="20" t="s">
        <v>518</v>
      </c>
      <c r="F52" s="20" t="s">
        <v>519</v>
      </c>
      <c r="G52" s="8" t="str">
        <f t="shared" si="0"/>
        <v>NICHOLAS PLOYSA</v>
      </c>
      <c r="H52" s="20" t="str">
        <f t="shared" si="1"/>
        <v>4008</v>
      </c>
    </row>
    <row r="53" spans="1:8" x14ac:dyDescent="0.25">
      <c r="A53" s="8">
        <v>43067.301192129627</v>
      </c>
      <c r="B53" s="20" t="s">
        <v>365</v>
      </c>
      <c r="C53" s="20" t="s">
        <v>719</v>
      </c>
      <c r="D53" s="137">
        <v>1260000</v>
      </c>
      <c r="E53" s="20" t="s">
        <v>668</v>
      </c>
      <c r="F53" s="20" t="s">
        <v>669</v>
      </c>
      <c r="G53" s="8" t="str">
        <f t="shared" si="0"/>
        <v>ACKERMAN JARED</v>
      </c>
      <c r="H53" s="20" t="str">
        <f t="shared" si="1"/>
        <v>4036</v>
      </c>
    </row>
    <row r="54" spans="1:8" x14ac:dyDescent="0.25">
      <c r="A54" s="8">
        <v>43067.307233796295</v>
      </c>
      <c r="B54" s="20" t="s">
        <v>357</v>
      </c>
      <c r="C54" s="20" t="s">
        <v>641</v>
      </c>
      <c r="D54" s="137">
        <v>3790000</v>
      </c>
      <c r="E54" s="20" t="s">
        <v>518</v>
      </c>
      <c r="F54" s="20" t="s">
        <v>519</v>
      </c>
      <c r="G54" s="8" t="str">
        <f t="shared" si="0"/>
        <v>NICHOLAS PLOYSA</v>
      </c>
      <c r="H54" s="20" t="str">
        <f t="shared" si="1"/>
        <v>4008</v>
      </c>
    </row>
    <row r="55" spans="1:8" x14ac:dyDescent="0.25">
      <c r="A55" s="8">
        <v>43067.308472222219</v>
      </c>
      <c r="B55" s="20" t="s">
        <v>633</v>
      </c>
      <c r="C55" s="20" t="s">
        <v>720</v>
      </c>
      <c r="D55" s="137">
        <v>3090000</v>
      </c>
      <c r="E55" s="20" t="s">
        <v>480</v>
      </c>
      <c r="F55" s="20" t="s">
        <v>481</v>
      </c>
      <c r="G55" s="8" t="str">
        <f t="shared" si="0"/>
        <v>LAMAR NEKESHA</v>
      </c>
      <c r="H55" s="20" t="str">
        <f t="shared" si="1"/>
        <v>4039</v>
      </c>
    </row>
    <row r="56" spans="1:8" x14ac:dyDescent="0.25">
      <c r="A56" s="8">
        <v>43067.308553240742</v>
      </c>
      <c r="B56" s="20" t="s">
        <v>702</v>
      </c>
      <c r="C56" s="20" t="s">
        <v>721</v>
      </c>
      <c r="D56" s="137">
        <v>2560000</v>
      </c>
      <c r="E56" s="20" t="s">
        <v>426</v>
      </c>
      <c r="F56" s="20" t="s">
        <v>427</v>
      </c>
      <c r="G56" s="8" t="str">
        <f t="shared" si="0"/>
        <v>MACDONALD THOMAS</v>
      </c>
      <c r="H56" s="20" t="str">
        <f t="shared" si="1"/>
        <v>4050</v>
      </c>
    </row>
    <row r="57" spans="1:8" x14ac:dyDescent="0.25">
      <c r="A57" s="8">
        <v>43067.309236111112</v>
      </c>
      <c r="B57" s="20" t="s">
        <v>366</v>
      </c>
      <c r="C57" s="20" t="s">
        <v>719</v>
      </c>
      <c r="D57" s="137">
        <v>1260000</v>
      </c>
      <c r="E57" s="20" t="s">
        <v>668</v>
      </c>
      <c r="F57" s="20" t="s">
        <v>669</v>
      </c>
      <c r="G57" s="8" t="str">
        <f t="shared" si="0"/>
        <v>ACKERMAN JARED</v>
      </c>
      <c r="H57" s="20" t="str">
        <f t="shared" si="1"/>
        <v>4035</v>
      </c>
    </row>
    <row r="58" spans="1:8" x14ac:dyDescent="0.25">
      <c r="A58" s="8">
        <v>43067.31150462963</v>
      </c>
      <c r="B58" s="20" t="s">
        <v>652</v>
      </c>
      <c r="C58" s="20" t="s">
        <v>722</v>
      </c>
      <c r="D58" s="137">
        <v>3840000</v>
      </c>
      <c r="E58" s="20" t="s">
        <v>527</v>
      </c>
      <c r="F58" s="20" t="s">
        <v>528</v>
      </c>
      <c r="G58" s="8" t="str">
        <f t="shared" si="0"/>
        <v>LONG FULLER</v>
      </c>
      <c r="H58" s="20" t="str">
        <f t="shared" si="1"/>
        <v>4001</v>
      </c>
    </row>
    <row r="59" spans="1:8" x14ac:dyDescent="0.25">
      <c r="A59" s="8">
        <v>43067.31391203704</v>
      </c>
      <c r="B59" s="20" t="s">
        <v>702</v>
      </c>
      <c r="C59" s="20" t="s">
        <v>721</v>
      </c>
      <c r="D59" s="137">
        <v>2560000</v>
      </c>
      <c r="E59" s="20" t="s">
        <v>426</v>
      </c>
      <c r="F59" s="20" t="s">
        <v>427</v>
      </c>
      <c r="G59" s="8" t="str">
        <f t="shared" si="0"/>
        <v>MACDONALD THOMAS</v>
      </c>
      <c r="H59" s="20" t="str">
        <f t="shared" si="1"/>
        <v>4050</v>
      </c>
    </row>
    <row r="60" spans="1:8" x14ac:dyDescent="0.25">
      <c r="A60" s="8">
        <v>43067.315115740741</v>
      </c>
      <c r="B60" s="20" t="s">
        <v>365</v>
      </c>
      <c r="C60" s="20" t="s">
        <v>723</v>
      </c>
      <c r="D60" s="137">
        <v>2600000</v>
      </c>
      <c r="E60" s="20" t="s">
        <v>524</v>
      </c>
      <c r="F60" s="20" t="s">
        <v>428</v>
      </c>
      <c r="G60" s="8" t="str">
        <f t="shared" si="0"/>
        <v>DAVIDSON DAVID</v>
      </c>
      <c r="H60" s="20" t="str">
        <f t="shared" si="1"/>
        <v>4036</v>
      </c>
    </row>
    <row r="61" spans="1:8" x14ac:dyDescent="0.25">
      <c r="A61" s="8">
        <v>43067.316874999997</v>
      </c>
      <c r="B61" s="20" t="s">
        <v>680</v>
      </c>
      <c r="C61" s="20" t="s">
        <v>724</v>
      </c>
      <c r="D61" s="137">
        <v>900000</v>
      </c>
      <c r="E61" s="20" t="s">
        <v>515</v>
      </c>
      <c r="F61" s="20" t="s">
        <v>516</v>
      </c>
      <c r="G61" s="8" t="str">
        <f t="shared" si="0"/>
        <v>ROCHA YAOTL</v>
      </c>
      <c r="H61" s="20" t="str">
        <f t="shared" si="1"/>
        <v>4057</v>
      </c>
    </row>
    <row r="62" spans="1:8" x14ac:dyDescent="0.25">
      <c r="A62" s="8">
        <v>43067.319513888891</v>
      </c>
      <c r="B62" s="20" t="s">
        <v>645</v>
      </c>
      <c r="C62" s="20" t="s">
        <v>725</v>
      </c>
      <c r="D62" s="137">
        <v>1230000</v>
      </c>
      <c r="E62" s="20" t="s">
        <v>690</v>
      </c>
      <c r="F62" s="20" t="s">
        <v>691</v>
      </c>
      <c r="G62" s="8" t="str">
        <f t="shared" si="0"/>
        <v>YANAI IAN</v>
      </c>
      <c r="H62" s="20" t="str">
        <f t="shared" si="1"/>
        <v>4033</v>
      </c>
    </row>
    <row r="63" spans="1:8" x14ac:dyDescent="0.25">
      <c r="A63" s="8">
        <v>43067.321967592594</v>
      </c>
      <c r="B63" s="20" t="s">
        <v>358</v>
      </c>
      <c r="C63" s="20" t="s">
        <v>726</v>
      </c>
      <c r="D63" s="137">
        <v>3120000</v>
      </c>
      <c r="E63" s="20" t="s">
        <v>676</v>
      </c>
      <c r="F63" s="20" t="s">
        <v>677</v>
      </c>
      <c r="G63" s="8" t="str">
        <f t="shared" si="0"/>
        <v>THOMPSON LESTER</v>
      </c>
      <c r="H63" s="20" t="str">
        <f t="shared" si="1"/>
        <v>4060</v>
      </c>
    </row>
    <row r="64" spans="1:8" x14ac:dyDescent="0.25">
      <c r="A64" s="26">
        <v>43067.330451388887</v>
      </c>
      <c r="B64" s="20" t="s">
        <v>366</v>
      </c>
      <c r="C64" s="20" t="s">
        <v>642</v>
      </c>
      <c r="D64" s="137">
        <v>2600000</v>
      </c>
      <c r="E64" s="20" t="s">
        <v>524</v>
      </c>
      <c r="F64" s="20" t="s">
        <v>428</v>
      </c>
      <c r="G64" s="8" t="str">
        <f t="shared" si="0"/>
        <v>DAVIDSON DAVID</v>
      </c>
      <c r="H64" s="20" t="str">
        <f t="shared" si="1"/>
        <v>4035</v>
      </c>
    </row>
    <row r="65" spans="1:8" x14ac:dyDescent="0.25">
      <c r="A65" s="8">
        <v>43067.332175925927</v>
      </c>
      <c r="B65" s="20" t="s">
        <v>444</v>
      </c>
      <c r="C65" s="20" t="s">
        <v>727</v>
      </c>
      <c r="D65" s="137">
        <v>1340000</v>
      </c>
      <c r="E65" s="20" t="s">
        <v>520</v>
      </c>
      <c r="F65" s="20" t="s">
        <v>521</v>
      </c>
      <c r="G65" s="8" t="str">
        <f t="shared" si="0"/>
        <v>BEAM ROSS</v>
      </c>
      <c r="H65" s="20" t="str">
        <f t="shared" si="1"/>
        <v>4056</v>
      </c>
    </row>
    <row r="66" spans="1:8" x14ac:dyDescent="0.25">
      <c r="A66" s="8">
        <v>43067.333472222221</v>
      </c>
      <c r="B66" s="20" t="s">
        <v>635</v>
      </c>
      <c r="C66" s="20" t="s">
        <v>643</v>
      </c>
      <c r="D66" s="137">
        <v>3840000</v>
      </c>
      <c r="E66" s="20" t="s">
        <v>527</v>
      </c>
      <c r="F66" s="20" t="s">
        <v>528</v>
      </c>
      <c r="G66" s="8" t="str">
        <f t="shared" si="0"/>
        <v>LONG FULLER</v>
      </c>
      <c r="H66" s="20" t="str">
        <f t="shared" si="1"/>
        <v>4002</v>
      </c>
    </row>
    <row r="67" spans="1:8" x14ac:dyDescent="0.25">
      <c r="A67" s="8">
        <v>43067.338599537034</v>
      </c>
      <c r="B67" s="20" t="s">
        <v>360</v>
      </c>
      <c r="C67" s="20" t="s">
        <v>728</v>
      </c>
      <c r="D67" s="137">
        <v>3790000</v>
      </c>
      <c r="E67" s="20" t="s">
        <v>518</v>
      </c>
      <c r="F67" s="20" t="s">
        <v>519</v>
      </c>
      <c r="G67" s="8" t="str">
        <f t="shared" ref="G67:G130" si="2">E67&amp;" "&amp;F67</f>
        <v>NICHOLAS PLOYSA</v>
      </c>
      <c r="H67" s="20" t="str">
        <f t="shared" ref="H67:H130" si="3">MID(B67,13,4)</f>
        <v>4007</v>
      </c>
    </row>
    <row r="68" spans="1:8" x14ac:dyDescent="0.25">
      <c r="A68" s="8">
        <v>43067.340555555558</v>
      </c>
      <c r="B68" s="20" t="s">
        <v>687</v>
      </c>
      <c r="C68" s="20" t="s">
        <v>729</v>
      </c>
      <c r="D68" s="137">
        <v>3090000</v>
      </c>
      <c r="E68" s="20" t="s">
        <v>480</v>
      </c>
      <c r="F68" s="20" t="s">
        <v>481</v>
      </c>
      <c r="G68" s="8" t="str">
        <f t="shared" si="2"/>
        <v>LAMAR NEKESHA</v>
      </c>
      <c r="H68" s="20" t="str">
        <f t="shared" si="3"/>
        <v>4040</v>
      </c>
    </row>
    <row r="69" spans="1:8" x14ac:dyDescent="0.25">
      <c r="A69" s="8">
        <v>43067.347280092596</v>
      </c>
      <c r="B69" s="20" t="s">
        <v>698</v>
      </c>
      <c r="C69" s="20" t="s">
        <v>730</v>
      </c>
      <c r="D69" s="137">
        <v>2560000</v>
      </c>
      <c r="E69" s="20" t="s">
        <v>426</v>
      </c>
      <c r="F69" s="20" t="s">
        <v>427</v>
      </c>
      <c r="G69" s="8" t="str">
        <f t="shared" si="2"/>
        <v>MACDONALD THOMAS</v>
      </c>
      <c r="H69" s="20" t="str">
        <f t="shared" si="3"/>
        <v>4049</v>
      </c>
    </row>
    <row r="70" spans="1:8" x14ac:dyDescent="0.25">
      <c r="A70" s="8">
        <v>43067.352465277778</v>
      </c>
      <c r="B70" s="20" t="s">
        <v>652</v>
      </c>
      <c r="C70" s="20" t="s">
        <v>731</v>
      </c>
      <c r="D70" s="137">
        <v>3840000</v>
      </c>
      <c r="E70" s="20" t="s">
        <v>527</v>
      </c>
      <c r="F70" s="20" t="s">
        <v>528</v>
      </c>
      <c r="G70" s="8" t="str">
        <f t="shared" si="2"/>
        <v>LONG FULLER</v>
      </c>
      <c r="H70" s="20" t="str">
        <f t="shared" si="3"/>
        <v>4001</v>
      </c>
    </row>
    <row r="71" spans="1:8" x14ac:dyDescent="0.25">
      <c r="A71" s="8">
        <v>43067.353680555556</v>
      </c>
      <c r="B71" s="20" t="s">
        <v>365</v>
      </c>
      <c r="C71" s="20" t="s">
        <v>732</v>
      </c>
      <c r="D71" s="137">
        <v>2600000</v>
      </c>
      <c r="E71" s="20" t="s">
        <v>524</v>
      </c>
      <c r="F71" s="20" t="s">
        <v>428</v>
      </c>
      <c r="G71" s="8" t="str">
        <f t="shared" si="2"/>
        <v>DAVIDSON DAVID</v>
      </c>
      <c r="H71" s="20" t="str">
        <f t="shared" si="3"/>
        <v>4036</v>
      </c>
    </row>
    <row r="72" spans="1:8" x14ac:dyDescent="0.25">
      <c r="A72" s="8">
        <v>43067.357106481482</v>
      </c>
      <c r="B72" s="20" t="s">
        <v>660</v>
      </c>
      <c r="C72" s="20" t="s">
        <v>733</v>
      </c>
      <c r="D72" s="137">
        <v>900000</v>
      </c>
      <c r="E72" s="20" t="s">
        <v>515</v>
      </c>
      <c r="F72" s="20" t="s">
        <v>516</v>
      </c>
      <c r="G72" s="8" t="str">
        <f t="shared" si="2"/>
        <v>ROCHA YAOTL</v>
      </c>
      <c r="H72" s="20" t="str">
        <f t="shared" si="3"/>
        <v>4042</v>
      </c>
    </row>
    <row r="73" spans="1:8" x14ac:dyDescent="0.25">
      <c r="A73" s="8">
        <v>43067.358819444446</v>
      </c>
      <c r="B73" s="20" t="s">
        <v>670</v>
      </c>
      <c r="C73" s="20" t="s">
        <v>734</v>
      </c>
      <c r="D73" s="137">
        <v>1090000</v>
      </c>
      <c r="E73" s="20" t="s">
        <v>522</v>
      </c>
      <c r="F73" s="20" t="s">
        <v>353</v>
      </c>
      <c r="G73" s="8" t="str">
        <f t="shared" si="2"/>
        <v>SPECTOR MICHAEL</v>
      </c>
      <c r="H73" s="20" t="str">
        <f t="shared" si="3"/>
        <v>4058</v>
      </c>
    </row>
    <row r="74" spans="1:8" x14ac:dyDescent="0.25">
      <c r="A74" s="8">
        <v>43067.359699074077</v>
      </c>
      <c r="B74" s="20" t="s">
        <v>670</v>
      </c>
      <c r="C74" s="20" t="s">
        <v>734</v>
      </c>
      <c r="D74" s="137">
        <v>1090000</v>
      </c>
      <c r="E74" s="20" t="s">
        <v>522</v>
      </c>
      <c r="F74" s="20" t="s">
        <v>353</v>
      </c>
      <c r="G74" s="8" t="str">
        <f t="shared" si="2"/>
        <v>SPECTOR MICHAEL</v>
      </c>
      <c r="H74" s="20" t="str">
        <f t="shared" si="3"/>
        <v>4058</v>
      </c>
    </row>
    <row r="75" spans="1:8" x14ac:dyDescent="0.25">
      <c r="A75" s="8">
        <v>43067.359780092593</v>
      </c>
      <c r="B75" s="20" t="s">
        <v>694</v>
      </c>
      <c r="C75" s="20" t="s">
        <v>735</v>
      </c>
      <c r="D75" s="137">
        <v>1230000</v>
      </c>
      <c r="E75" s="20" t="s">
        <v>690</v>
      </c>
      <c r="F75" s="20" t="s">
        <v>691</v>
      </c>
      <c r="G75" s="8" t="str">
        <f t="shared" si="2"/>
        <v>YANAI IAN</v>
      </c>
      <c r="H75" s="20" t="str">
        <f t="shared" si="3"/>
        <v>4034</v>
      </c>
    </row>
    <row r="76" spans="1:8" x14ac:dyDescent="0.25">
      <c r="A76" s="8">
        <v>43067.360347222224</v>
      </c>
      <c r="B76" s="20" t="s">
        <v>385</v>
      </c>
      <c r="C76" s="20" t="s">
        <v>644</v>
      </c>
      <c r="D76" s="137">
        <v>3120000</v>
      </c>
      <c r="E76" s="20" t="s">
        <v>676</v>
      </c>
      <c r="F76" s="20" t="s">
        <v>677</v>
      </c>
      <c r="G76" s="8" t="str">
        <f t="shared" si="2"/>
        <v>THOMPSON LESTER</v>
      </c>
      <c r="H76" s="20" t="str">
        <f t="shared" si="3"/>
        <v>4059</v>
      </c>
    </row>
    <row r="77" spans="1:8" x14ac:dyDescent="0.25">
      <c r="A77" s="8">
        <v>43067.360358796293</v>
      </c>
      <c r="B77" s="20" t="s">
        <v>352</v>
      </c>
      <c r="C77" s="20" t="s">
        <v>736</v>
      </c>
      <c r="D77" s="137">
        <v>1340000</v>
      </c>
      <c r="E77" s="20" t="s">
        <v>520</v>
      </c>
      <c r="F77" s="20" t="s">
        <v>521</v>
      </c>
      <c r="G77" s="8" t="str">
        <f t="shared" si="2"/>
        <v>BEAM ROSS</v>
      </c>
      <c r="H77" s="20" t="str">
        <f t="shared" si="3"/>
        <v>4055</v>
      </c>
    </row>
    <row r="78" spans="1:8" x14ac:dyDescent="0.25">
      <c r="A78" s="8">
        <v>43067.36109953704</v>
      </c>
      <c r="B78" s="20" t="s">
        <v>670</v>
      </c>
      <c r="C78" s="20" t="s">
        <v>734</v>
      </c>
      <c r="D78" s="137">
        <v>1090000</v>
      </c>
      <c r="E78" s="20" t="s">
        <v>522</v>
      </c>
      <c r="F78" s="20" t="s">
        <v>353</v>
      </c>
      <c r="G78" s="8" t="str">
        <f t="shared" si="2"/>
        <v>SPECTOR MICHAEL</v>
      </c>
      <c r="H78" s="20" t="str">
        <f t="shared" si="3"/>
        <v>4058</v>
      </c>
    </row>
    <row r="79" spans="1:8" x14ac:dyDescent="0.25">
      <c r="A79" s="8">
        <v>43067.366365740738</v>
      </c>
      <c r="B79" s="20" t="s">
        <v>680</v>
      </c>
      <c r="C79" s="20" t="s">
        <v>734</v>
      </c>
      <c r="D79" s="137">
        <v>1090000</v>
      </c>
      <c r="E79" s="20" t="s">
        <v>522</v>
      </c>
      <c r="F79" s="20" t="s">
        <v>353</v>
      </c>
      <c r="G79" s="8" t="str">
        <f t="shared" si="2"/>
        <v>SPECTOR MICHAEL</v>
      </c>
      <c r="H79" s="20" t="str">
        <f t="shared" si="3"/>
        <v>4057</v>
      </c>
    </row>
    <row r="80" spans="1:8" x14ac:dyDescent="0.25">
      <c r="A80" s="8">
        <v>43067.37290509259</v>
      </c>
      <c r="B80" s="20" t="s">
        <v>357</v>
      </c>
      <c r="C80" s="20" t="s">
        <v>737</v>
      </c>
      <c r="D80" s="137">
        <v>3790000</v>
      </c>
      <c r="E80" s="20" t="s">
        <v>518</v>
      </c>
      <c r="F80" s="20" t="s">
        <v>519</v>
      </c>
      <c r="G80" s="8" t="str">
        <f t="shared" si="2"/>
        <v>NICHOLAS PLOYSA</v>
      </c>
      <c r="H80" s="20" t="str">
        <f t="shared" si="3"/>
        <v>4008</v>
      </c>
    </row>
    <row r="81" spans="1:8" x14ac:dyDescent="0.25">
      <c r="A81" s="8">
        <v>43067.380520833336</v>
      </c>
      <c r="B81" s="20" t="s">
        <v>635</v>
      </c>
      <c r="C81" s="20" t="s">
        <v>738</v>
      </c>
      <c r="D81" s="137">
        <v>3840000</v>
      </c>
      <c r="E81" s="20" t="s">
        <v>527</v>
      </c>
      <c r="F81" s="20" t="s">
        <v>528</v>
      </c>
      <c r="G81" s="8" t="str">
        <f t="shared" si="2"/>
        <v>LONG FULLER</v>
      </c>
      <c r="H81" s="20" t="str">
        <f t="shared" si="3"/>
        <v>4002</v>
      </c>
    </row>
    <row r="82" spans="1:8" x14ac:dyDescent="0.25">
      <c r="A82" s="8">
        <v>43067.382233796299</v>
      </c>
      <c r="B82" s="20" t="s">
        <v>702</v>
      </c>
      <c r="C82" s="20" t="s">
        <v>739</v>
      </c>
      <c r="D82" s="137">
        <v>2560000</v>
      </c>
      <c r="E82" s="20" t="s">
        <v>426</v>
      </c>
      <c r="F82" s="20" t="s">
        <v>427</v>
      </c>
      <c r="G82" s="8" t="str">
        <f t="shared" si="2"/>
        <v>MACDONALD THOMAS</v>
      </c>
      <c r="H82" s="20" t="str">
        <f t="shared" si="3"/>
        <v>4050</v>
      </c>
    </row>
    <row r="83" spans="1:8" x14ac:dyDescent="0.25">
      <c r="A83" s="8">
        <v>43067.382418981484</v>
      </c>
      <c r="B83" s="20" t="s">
        <v>633</v>
      </c>
      <c r="C83" s="20" t="s">
        <v>740</v>
      </c>
      <c r="D83" s="137">
        <v>3090000</v>
      </c>
      <c r="E83" s="20" t="s">
        <v>480</v>
      </c>
      <c r="F83" s="20" t="s">
        <v>481</v>
      </c>
      <c r="G83" s="8" t="str">
        <f t="shared" si="2"/>
        <v>LAMAR NEKESHA</v>
      </c>
      <c r="H83" s="20" t="str">
        <f t="shared" si="3"/>
        <v>4039</v>
      </c>
    </row>
    <row r="84" spans="1:8" x14ac:dyDescent="0.25">
      <c r="A84" s="8">
        <v>43067.390185185184</v>
      </c>
      <c r="B84" s="20" t="s">
        <v>645</v>
      </c>
      <c r="C84" s="20" t="s">
        <v>646</v>
      </c>
      <c r="D84" s="137">
        <v>1230000</v>
      </c>
      <c r="E84" s="20" t="s">
        <v>690</v>
      </c>
      <c r="F84" s="20" t="s">
        <v>691</v>
      </c>
      <c r="G84" s="8" t="str">
        <f t="shared" si="2"/>
        <v>YANAI IAN</v>
      </c>
      <c r="H84" s="20" t="str">
        <f t="shared" si="3"/>
        <v>4033</v>
      </c>
    </row>
    <row r="85" spans="1:8" x14ac:dyDescent="0.25">
      <c r="A85" s="8">
        <v>43067.393854166665</v>
      </c>
      <c r="B85" s="20" t="s">
        <v>358</v>
      </c>
      <c r="C85" s="20" t="s">
        <v>741</v>
      </c>
      <c r="D85" s="137">
        <v>3120000</v>
      </c>
      <c r="E85" s="20" t="s">
        <v>676</v>
      </c>
      <c r="F85" s="20" t="s">
        <v>677</v>
      </c>
      <c r="G85" s="8" t="str">
        <f t="shared" si="2"/>
        <v>THOMPSON LESTER</v>
      </c>
      <c r="H85" s="20" t="str">
        <f t="shared" si="3"/>
        <v>4060</v>
      </c>
    </row>
    <row r="86" spans="1:8" x14ac:dyDescent="0.25">
      <c r="A86" s="8">
        <v>43067.394293981481</v>
      </c>
      <c r="B86" s="20" t="s">
        <v>438</v>
      </c>
      <c r="C86" s="20" t="s">
        <v>647</v>
      </c>
      <c r="D86" s="137">
        <v>900000</v>
      </c>
      <c r="E86" s="20" t="s">
        <v>515</v>
      </c>
      <c r="F86" s="20" t="s">
        <v>516</v>
      </c>
      <c r="G86" s="8" t="str">
        <f t="shared" si="2"/>
        <v>ROCHA YAOTL</v>
      </c>
      <c r="H86" s="20" t="str">
        <f t="shared" si="3"/>
        <v>4041</v>
      </c>
    </row>
    <row r="87" spans="1:8" x14ac:dyDescent="0.25">
      <c r="A87" s="8">
        <v>43067.394548611112</v>
      </c>
      <c r="B87" s="20" t="s">
        <v>652</v>
      </c>
      <c r="C87" s="20" t="s">
        <v>742</v>
      </c>
      <c r="D87" s="137">
        <v>3840000</v>
      </c>
      <c r="E87" s="20" t="s">
        <v>527</v>
      </c>
      <c r="F87" s="20" t="s">
        <v>528</v>
      </c>
      <c r="G87" s="8" t="str">
        <f t="shared" si="2"/>
        <v>LONG FULLER</v>
      </c>
      <c r="H87" s="20" t="str">
        <f t="shared" si="3"/>
        <v>4001</v>
      </c>
    </row>
    <row r="88" spans="1:8" x14ac:dyDescent="0.25">
      <c r="A88" s="8">
        <v>43067.403587962966</v>
      </c>
      <c r="B88" s="20" t="s">
        <v>444</v>
      </c>
      <c r="C88" s="20" t="s">
        <v>743</v>
      </c>
      <c r="D88" s="137">
        <v>1340000</v>
      </c>
      <c r="E88" s="20" t="s">
        <v>520</v>
      </c>
      <c r="F88" s="20" t="s">
        <v>521</v>
      </c>
      <c r="G88" s="8" t="str">
        <f t="shared" si="2"/>
        <v>BEAM ROSS</v>
      </c>
      <c r="H88" s="20" t="str">
        <f t="shared" si="3"/>
        <v>4056</v>
      </c>
    </row>
    <row r="89" spans="1:8" x14ac:dyDescent="0.25">
      <c r="A89" s="8">
        <v>43067.408483796295</v>
      </c>
      <c r="B89" s="20" t="s">
        <v>360</v>
      </c>
      <c r="C89" s="20" t="s">
        <v>744</v>
      </c>
      <c r="D89" s="137">
        <v>3790000</v>
      </c>
      <c r="E89" s="20" t="s">
        <v>518</v>
      </c>
      <c r="F89" s="20" t="s">
        <v>519</v>
      </c>
      <c r="G89" s="8" t="str">
        <f t="shared" si="2"/>
        <v>NICHOLAS PLOYSA</v>
      </c>
      <c r="H89" s="20" t="str">
        <f t="shared" si="3"/>
        <v>4007</v>
      </c>
    </row>
    <row r="90" spans="1:8" x14ac:dyDescent="0.25">
      <c r="A90" s="8">
        <v>43067.415671296294</v>
      </c>
      <c r="B90" s="20" t="s">
        <v>687</v>
      </c>
      <c r="C90" s="20" t="s">
        <v>745</v>
      </c>
      <c r="D90" s="137">
        <v>3090000</v>
      </c>
      <c r="E90" s="20" t="s">
        <v>480</v>
      </c>
      <c r="F90" s="20" t="s">
        <v>481</v>
      </c>
      <c r="G90" s="8" t="str">
        <f t="shared" si="2"/>
        <v>LAMAR NEKESHA</v>
      </c>
      <c r="H90" s="20" t="str">
        <f t="shared" si="3"/>
        <v>4040</v>
      </c>
    </row>
    <row r="91" spans="1:8" x14ac:dyDescent="0.25">
      <c r="A91" s="8">
        <v>43067.41883101852</v>
      </c>
      <c r="B91" s="20" t="s">
        <v>652</v>
      </c>
      <c r="C91" s="20" t="s">
        <v>722</v>
      </c>
      <c r="D91" s="137">
        <v>3840000</v>
      </c>
      <c r="E91" s="20" t="s">
        <v>527</v>
      </c>
      <c r="F91" s="20" t="s">
        <v>528</v>
      </c>
      <c r="G91" s="8" t="str">
        <f t="shared" si="2"/>
        <v>LONG FULLER</v>
      </c>
      <c r="H91" s="20" t="str">
        <f t="shared" si="3"/>
        <v>4001</v>
      </c>
    </row>
    <row r="92" spans="1:8" x14ac:dyDescent="0.25">
      <c r="A92" s="8">
        <v>43067.421273148146</v>
      </c>
      <c r="B92" s="20" t="s">
        <v>635</v>
      </c>
      <c r="C92" s="20" t="s">
        <v>746</v>
      </c>
      <c r="D92" s="137">
        <v>3840000</v>
      </c>
      <c r="E92" s="20" t="s">
        <v>527</v>
      </c>
      <c r="F92" s="20" t="s">
        <v>528</v>
      </c>
      <c r="G92" s="8" t="str">
        <f t="shared" si="2"/>
        <v>LONG FULLER</v>
      </c>
      <c r="H92" s="20" t="str">
        <f t="shared" si="3"/>
        <v>4002</v>
      </c>
    </row>
    <row r="93" spans="1:8" x14ac:dyDescent="0.25">
      <c r="A93" s="8">
        <v>43067.424768518518</v>
      </c>
      <c r="B93" s="20" t="s">
        <v>660</v>
      </c>
      <c r="C93" s="20" t="s">
        <v>747</v>
      </c>
      <c r="D93" s="137">
        <v>2600000</v>
      </c>
      <c r="E93" s="20" t="s">
        <v>524</v>
      </c>
      <c r="F93" s="20" t="s">
        <v>428</v>
      </c>
      <c r="G93" s="8" t="str">
        <f t="shared" si="2"/>
        <v>DAVIDSON DAVID</v>
      </c>
      <c r="H93" s="20" t="str">
        <f t="shared" si="3"/>
        <v>4042</v>
      </c>
    </row>
    <row r="94" spans="1:8" x14ac:dyDescent="0.25">
      <c r="A94" s="8">
        <v>43067.425393518519</v>
      </c>
      <c r="B94" s="20" t="s">
        <v>698</v>
      </c>
      <c r="C94" s="20" t="s">
        <v>748</v>
      </c>
      <c r="D94" s="137">
        <v>2560000</v>
      </c>
      <c r="E94" s="20" t="s">
        <v>426</v>
      </c>
      <c r="F94" s="20" t="s">
        <v>427</v>
      </c>
      <c r="G94" s="8" t="str">
        <f t="shared" si="2"/>
        <v>MACDONALD THOMAS</v>
      </c>
      <c r="H94" s="20" t="str">
        <f t="shared" si="3"/>
        <v>4049</v>
      </c>
    </row>
    <row r="95" spans="1:8" x14ac:dyDescent="0.25">
      <c r="A95" s="8">
        <v>43067.432106481479</v>
      </c>
      <c r="B95" s="20" t="s">
        <v>352</v>
      </c>
      <c r="C95" s="20" t="s">
        <v>649</v>
      </c>
      <c r="D95" s="137">
        <v>1340000</v>
      </c>
      <c r="E95" s="20" t="s">
        <v>520</v>
      </c>
      <c r="F95" s="20" t="s">
        <v>521</v>
      </c>
      <c r="G95" s="8" t="str">
        <f t="shared" si="2"/>
        <v>BEAM ROSS</v>
      </c>
      <c r="H95" s="20" t="str">
        <f t="shared" si="3"/>
        <v>4055</v>
      </c>
    </row>
    <row r="96" spans="1:8" x14ac:dyDescent="0.25">
      <c r="A96" s="8">
        <v>43067.432430555556</v>
      </c>
      <c r="B96" s="20" t="s">
        <v>694</v>
      </c>
      <c r="C96" s="20" t="s">
        <v>749</v>
      </c>
      <c r="D96" s="137">
        <v>1230000</v>
      </c>
      <c r="E96" s="20" t="s">
        <v>690</v>
      </c>
      <c r="F96" s="20" t="s">
        <v>691</v>
      </c>
      <c r="G96" s="8" t="str">
        <f t="shared" si="2"/>
        <v>YANAI IAN</v>
      </c>
      <c r="H96" s="20" t="str">
        <f t="shared" si="3"/>
        <v>4034</v>
      </c>
    </row>
    <row r="97" spans="1:8" x14ac:dyDescent="0.25">
      <c r="A97" s="8">
        <v>43067.434594907405</v>
      </c>
      <c r="B97" s="20" t="s">
        <v>385</v>
      </c>
      <c r="C97" s="20" t="s">
        <v>648</v>
      </c>
      <c r="D97" s="137">
        <v>3120000</v>
      </c>
      <c r="E97" s="20" t="s">
        <v>676</v>
      </c>
      <c r="F97" s="20" t="s">
        <v>677</v>
      </c>
      <c r="G97" s="8" t="str">
        <f t="shared" si="2"/>
        <v>THOMPSON LESTER</v>
      </c>
      <c r="H97" s="20" t="str">
        <f t="shared" si="3"/>
        <v>4059</v>
      </c>
    </row>
    <row r="98" spans="1:8" x14ac:dyDescent="0.25">
      <c r="A98" s="8">
        <v>43067.437280092592</v>
      </c>
      <c r="B98" s="20" t="s">
        <v>652</v>
      </c>
      <c r="C98" s="20" t="s">
        <v>750</v>
      </c>
      <c r="D98" s="137">
        <v>3840000</v>
      </c>
      <c r="E98" s="20" t="s">
        <v>527</v>
      </c>
      <c r="F98" s="20" t="s">
        <v>528</v>
      </c>
      <c r="G98" s="8" t="str">
        <f t="shared" si="2"/>
        <v>LONG FULLER</v>
      </c>
      <c r="H98" s="20" t="str">
        <f t="shared" si="3"/>
        <v>4001</v>
      </c>
    </row>
    <row r="99" spans="1:8" x14ac:dyDescent="0.25">
      <c r="A99" s="8">
        <v>43067.444467592592</v>
      </c>
      <c r="B99" s="20" t="s">
        <v>357</v>
      </c>
      <c r="C99" s="20" t="s">
        <v>751</v>
      </c>
      <c r="D99" s="137">
        <v>920000</v>
      </c>
      <c r="E99" s="20" t="s">
        <v>448</v>
      </c>
      <c r="F99" s="20" t="s">
        <v>353</v>
      </c>
      <c r="G99" s="8" t="str">
        <f t="shared" si="2"/>
        <v>DAVIS MICHAEL</v>
      </c>
      <c r="H99" s="20" t="str">
        <f t="shared" si="3"/>
        <v>4008</v>
      </c>
    </row>
    <row r="100" spans="1:8" x14ac:dyDescent="0.25">
      <c r="A100" s="8">
        <v>43067.445462962962</v>
      </c>
      <c r="B100" s="20" t="s">
        <v>456</v>
      </c>
      <c r="C100" s="20" t="s">
        <v>752</v>
      </c>
      <c r="D100" s="137">
        <v>2040000</v>
      </c>
      <c r="E100" s="20" t="s">
        <v>390</v>
      </c>
      <c r="F100" s="20" t="s">
        <v>391</v>
      </c>
      <c r="G100" s="8" t="str">
        <f t="shared" si="2"/>
        <v>MOSES BRADLEY</v>
      </c>
      <c r="H100" s="20" t="str">
        <f t="shared" si="3"/>
        <v>4013</v>
      </c>
    </row>
    <row r="101" spans="1:8" x14ac:dyDescent="0.25">
      <c r="A101" s="8">
        <v>43067.454502314817</v>
      </c>
      <c r="B101" s="20" t="s">
        <v>438</v>
      </c>
      <c r="C101" s="20" t="s">
        <v>650</v>
      </c>
      <c r="D101" s="137">
        <v>2600000</v>
      </c>
      <c r="E101" s="20" t="s">
        <v>524</v>
      </c>
      <c r="F101" s="20" t="s">
        <v>428</v>
      </c>
      <c r="G101" s="8" t="str">
        <f t="shared" si="2"/>
        <v>DAVIDSON DAVID</v>
      </c>
      <c r="H101" s="20" t="str">
        <f t="shared" si="3"/>
        <v>4041</v>
      </c>
    </row>
    <row r="102" spans="1:8" x14ac:dyDescent="0.25">
      <c r="A102" s="8">
        <v>43067.454560185186</v>
      </c>
      <c r="B102" s="20" t="s">
        <v>633</v>
      </c>
      <c r="C102" s="20" t="s">
        <v>753</v>
      </c>
      <c r="D102" s="137">
        <v>3090000</v>
      </c>
      <c r="E102" s="20" t="s">
        <v>480</v>
      </c>
      <c r="F102" s="20" t="s">
        <v>481</v>
      </c>
      <c r="G102" s="8" t="str">
        <f t="shared" si="2"/>
        <v>LAMAR NEKESHA</v>
      </c>
      <c r="H102" s="20" t="str">
        <f t="shared" si="3"/>
        <v>4039</v>
      </c>
    </row>
    <row r="103" spans="1:8" x14ac:dyDescent="0.25">
      <c r="A103" s="8">
        <v>43067.456504629627</v>
      </c>
      <c r="B103" s="20" t="s">
        <v>702</v>
      </c>
      <c r="C103" s="20" t="s">
        <v>754</v>
      </c>
      <c r="D103" s="137">
        <v>2560000</v>
      </c>
      <c r="E103" s="20" t="s">
        <v>426</v>
      </c>
      <c r="F103" s="20" t="s">
        <v>427</v>
      </c>
      <c r="G103" s="8" t="str">
        <f t="shared" si="2"/>
        <v>MACDONALD THOMAS</v>
      </c>
      <c r="H103" s="20" t="str">
        <f t="shared" si="3"/>
        <v>4050</v>
      </c>
    </row>
    <row r="104" spans="1:8" x14ac:dyDescent="0.25">
      <c r="A104" s="8">
        <v>43067.457592592589</v>
      </c>
      <c r="B104" s="20" t="s">
        <v>635</v>
      </c>
      <c r="C104" s="20" t="s">
        <v>755</v>
      </c>
      <c r="D104" s="137">
        <v>3840000</v>
      </c>
      <c r="E104" s="20" t="s">
        <v>527</v>
      </c>
      <c r="F104" s="20" t="s">
        <v>528</v>
      </c>
      <c r="G104" s="8" t="str">
        <f t="shared" si="2"/>
        <v>LONG FULLER</v>
      </c>
      <c r="H104" s="20" t="str">
        <f t="shared" si="3"/>
        <v>4002</v>
      </c>
    </row>
    <row r="105" spans="1:8" x14ac:dyDescent="0.25">
      <c r="A105" s="8">
        <v>43067.463819444441</v>
      </c>
      <c r="B105" s="20" t="s">
        <v>645</v>
      </c>
      <c r="C105" s="20" t="s">
        <v>651</v>
      </c>
      <c r="D105" s="137">
        <v>1230000</v>
      </c>
      <c r="E105" s="20" t="s">
        <v>690</v>
      </c>
      <c r="F105" s="20" t="s">
        <v>691</v>
      </c>
      <c r="G105" s="8" t="str">
        <f t="shared" si="2"/>
        <v>YANAI IAN</v>
      </c>
      <c r="H105" s="20" t="str">
        <f t="shared" si="3"/>
        <v>4033</v>
      </c>
    </row>
    <row r="106" spans="1:8" x14ac:dyDescent="0.25">
      <c r="A106" s="8">
        <v>43067.467210648145</v>
      </c>
      <c r="B106" s="20" t="s">
        <v>358</v>
      </c>
      <c r="C106" s="20" t="s">
        <v>756</v>
      </c>
      <c r="D106" s="137">
        <v>1770000</v>
      </c>
      <c r="E106" s="20" t="s">
        <v>757</v>
      </c>
      <c r="F106" s="20" t="s">
        <v>758</v>
      </c>
      <c r="G106" s="8" t="str">
        <f t="shared" si="2"/>
        <v>BRUDER RICHARD</v>
      </c>
      <c r="H106" s="20" t="str">
        <f t="shared" si="3"/>
        <v>4060</v>
      </c>
    </row>
    <row r="107" spans="1:8" x14ac:dyDescent="0.25">
      <c r="A107" s="8">
        <v>43067.475393518522</v>
      </c>
      <c r="B107" s="20" t="s">
        <v>455</v>
      </c>
      <c r="C107" s="20" t="s">
        <v>759</v>
      </c>
      <c r="D107" s="137">
        <v>3030000</v>
      </c>
      <c r="E107" s="20" t="s">
        <v>482</v>
      </c>
      <c r="F107" s="20" t="s">
        <v>427</v>
      </c>
      <c r="G107" s="8" t="str">
        <f t="shared" si="2"/>
        <v>BIRENBAUM THOMAS</v>
      </c>
      <c r="H107" s="20" t="str">
        <f t="shared" si="3"/>
        <v>4014</v>
      </c>
    </row>
    <row r="108" spans="1:8" x14ac:dyDescent="0.25">
      <c r="A108" s="8">
        <v>43067.476087962961</v>
      </c>
      <c r="B108" s="20" t="s">
        <v>444</v>
      </c>
      <c r="C108" s="20" t="s">
        <v>760</v>
      </c>
      <c r="D108" s="137">
        <v>880000</v>
      </c>
      <c r="E108" s="20" t="s">
        <v>447</v>
      </c>
      <c r="F108" s="20" t="s">
        <v>353</v>
      </c>
      <c r="G108" s="8" t="str">
        <f t="shared" si="2"/>
        <v>STEWART MICHAEL</v>
      </c>
      <c r="H108" s="20" t="str">
        <f t="shared" si="3"/>
        <v>4056</v>
      </c>
    </row>
    <row r="109" spans="1:8" x14ac:dyDescent="0.25">
      <c r="A109" s="8">
        <v>43067.481168981481</v>
      </c>
      <c r="B109" s="20" t="s">
        <v>652</v>
      </c>
      <c r="C109" s="20" t="s">
        <v>653</v>
      </c>
      <c r="D109" s="137">
        <v>3840000</v>
      </c>
      <c r="E109" s="20" t="s">
        <v>527</v>
      </c>
      <c r="F109" s="20" t="s">
        <v>528</v>
      </c>
      <c r="G109" s="8" t="str">
        <f t="shared" si="2"/>
        <v>LONG FULLER</v>
      </c>
      <c r="H109" s="20" t="str">
        <f t="shared" si="3"/>
        <v>4001</v>
      </c>
    </row>
    <row r="110" spans="1:8" x14ac:dyDescent="0.25">
      <c r="A110" s="8">
        <v>43067.485150462962</v>
      </c>
      <c r="B110" s="20" t="s">
        <v>687</v>
      </c>
      <c r="C110" s="20" t="s">
        <v>761</v>
      </c>
      <c r="D110" s="137">
        <v>1300000</v>
      </c>
      <c r="E110" s="20" t="s">
        <v>762</v>
      </c>
      <c r="F110" s="20" t="s">
        <v>763</v>
      </c>
      <c r="G110" s="8" t="str">
        <f t="shared" si="2"/>
        <v>LEVIN SCOTT</v>
      </c>
      <c r="H110" s="20" t="str">
        <f t="shared" si="3"/>
        <v>4040</v>
      </c>
    </row>
    <row r="111" spans="1:8" x14ac:dyDescent="0.25">
      <c r="A111" s="8">
        <v>43067.486203703702</v>
      </c>
      <c r="B111" s="20" t="s">
        <v>360</v>
      </c>
      <c r="C111" s="20" t="s">
        <v>764</v>
      </c>
      <c r="D111" s="137">
        <v>920000</v>
      </c>
      <c r="E111" s="20" t="s">
        <v>448</v>
      </c>
      <c r="F111" s="20" t="s">
        <v>353</v>
      </c>
      <c r="G111" s="8" t="str">
        <f t="shared" si="2"/>
        <v>DAVIS MICHAEL</v>
      </c>
      <c r="H111" s="20" t="str">
        <f t="shared" si="3"/>
        <v>4007</v>
      </c>
    </row>
    <row r="112" spans="1:8" x14ac:dyDescent="0.25">
      <c r="A112" s="8">
        <v>43067.491539351853</v>
      </c>
      <c r="B112" s="20" t="s">
        <v>698</v>
      </c>
      <c r="C112" s="20" t="s">
        <v>765</v>
      </c>
      <c r="D112" s="137">
        <v>2560000</v>
      </c>
      <c r="E112" s="20" t="s">
        <v>426</v>
      </c>
      <c r="F112" s="20" t="s">
        <v>427</v>
      </c>
      <c r="G112" s="8" t="str">
        <f t="shared" si="2"/>
        <v>MACDONALD THOMAS</v>
      </c>
      <c r="H112" s="20" t="str">
        <f t="shared" si="3"/>
        <v>4049</v>
      </c>
    </row>
    <row r="113" spans="1:8" x14ac:dyDescent="0.25">
      <c r="A113" s="8">
        <v>43067.498877314814</v>
      </c>
      <c r="B113" s="20" t="s">
        <v>660</v>
      </c>
      <c r="C113" s="20" t="s">
        <v>766</v>
      </c>
      <c r="D113" s="137">
        <v>3810000</v>
      </c>
      <c r="E113" s="20" t="s">
        <v>529</v>
      </c>
      <c r="F113" s="20" t="s">
        <v>530</v>
      </c>
      <c r="G113" s="8" t="str">
        <f t="shared" si="2"/>
        <v>LORI SANTOS</v>
      </c>
      <c r="H113" s="20" t="str">
        <f t="shared" si="3"/>
        <v>4042</v>
      </c>
    </row>
    <row r="114" spans="1:8" x14ac:dyDescent="0.25">
      <c r="A114" s="8">
        <v>43067.506122685183</v>
      </c>
      <c r="B114" s="20" t="s">
        <v>635</v>
      </c>
      <c r="C114" s="20" t="s">
        <v>767</v>
      </c>
      <c r="D114" s="137">
        <v>3840000</v>
      </c>
      <c r="E114" s="20" t="s">
        <v>527</v>
      </c>
      <c r="F114" s="20" t="s">
        <v>528</v>
      </c>
      <c r="G114" s="8" t="str">
        <f t="shared" si="2"/>
        <v>LONG FULLER</v>
      </c>
      <c r="H114" s="20" t="str">
        <f t="shared" si="3"/>
        <v>4002</v>
      </c>
    </row>
    <row r="115" spans="1:8" x14ac:dyDescent="0.25">
      <c r="A115" s="8">
        <v>43067.506354166668</v>
      </c>
      <c r="B115" s="20" t="s">
        <v>385</v>
      </c>
      <c r="C115" s="20" t="s">
        <v>768</v>
      </c>
      <c r="D115" s="137">
        <v>1770000</v>
      </c>
      <c r="E115" s="20" t="s">
        <v>757</v>
      </c>
      <c r="F115" s="20" t="s">
        <v>758</v>
      </c>
      <c r="G115" s="8" t="str">
        <f t="shared" si="2"/>
        <v>BRUDER RICHARD</v>
      </c>
      <c r="H115" s="20" t="str">
        <f t="shared" si="3"/>
        <v>4059</v>
      </c>
    </row>
    <row r="116" spans="1:8" x14ac:dyDescent="0.25">
      <c r="A116" s="8">
        <v>43067.508032407408</v>
      </c>
      <c r="B116" s="20" t="s">
        <v>694</v>
      </c>
      <c r="C116" s="20" t="s">
        <v>769</v>
      </c>
      <c r="D116" s="137">
        <v>2630000</v>
      </c>
      <c r="E116" s="20" t="s">
        <v>370</v>
      </c>
      <c r="F116" s="20" t="s">
        <v>371</v>
      </c>
      <c r="G116" s="8" t="str">
        <f t="shared" si="2"/>
        <v>SAFIEF AEIMEN</v>
      </c>
      <c r="H116" s="20" t="str">
        <f t="shared" si="3"/>
        <v>4034</v>
      </c>
    </row>
    <row r="117" spans="1:8" x14ac:dyDescent="0.25">
      <c r="A117" s="8">
        <v>43067.515081018515</v>
      </c>
      <c r="B117" s="20" t="s">
        <v>352</v>
      </c>
      <c r="C117" s="20" t="s">
        <v>770</v>
      </c>
      <c r="D117" s="137">
        <v>880000</v>
      </c>
      <c r="E117" s="20" t="s">
        <v>447</v>
      </c>
      <c r="F117" s="20" t="s">
        <v>353</v>
      </c>
      <c r="G117" s="8" t="str">
        <f t="shared" si="2"/>
        <v>STEWART MICHAEL</v>
      </c>
      <c r="H117" s="20" t="str">
        <f t="shared" si="3"/>
        <v>4055</v>
      </c>
    </row>
    <row r="118" spans="1:8" x14ac:dyDescent="0.25">
      <c r="A118" s="8">
        <v>43067.51939814815</v>
      </c>
      <c r="B118" s="20" t="s">
        <v>357</v>
      </c>
      <c r="C118" s="20" t="s">
        <v>771</v>
      </c>
      <c r="D118" s="137">
        <v>920000</v>
      </c>
      <c r="E118" s="20" t="s">
        <v>448</v>
      </c>
      <c r="F118" s="20" t="s">
        <v>353</v>
      </c>
      <c r="G118" s="8" t="str">
        <f t="shared" si="2"/>
        <v>DAVIS MICHAEL</v>
      </c>
      <c r="H118" s="20" t="str">
        <f t="shared" si="3"/>
        <v>4008</v>
      </c>
    </row>
    <row r="119" spans="1:8" x14ac:dyDescent="0.25">
      <c r="A119" s="8">
        <v>43067.520162037035</v>
      </c>
      <c r="B119" s="20" t="s">
        <v>652</v>
      </c>
      <c r="C119" s="20" t="s">
        <v>654</v>
      </c>
      <c r="D119" s="137">
        <v>3840000</v>
      </c>
      <c r="E119" s="20" t="s">
        <v>527</v>
      </c>
      <c r="F119" s="20" t="s">
        <v>528</v>
      </c>
      <c r="G119" s="8" t="str">
        <f t="shared" si="2"/>
        <v>LONG FULLER</v>
      </c>
      <c r="H119" s="20" t="str">
        <f t="shared" si="3"/>
        <v>4001</v>
      </c>
    </row>
    <row r="120" spans="1:8" x14ac:dyDescent="0.25">
      <c r="A120" s="8">
        <v>43067.521678240744</v>
      </c>
      <c r="B120" s="20" t="s">
        <v>633</v>
      </c>
      <c r="C120" s="20" t="s">
        <v>772</v>
      </c>
      <c r="D120" s="137">
        <v>1300000</v>
      </c>
      <c r="E120" s="20" t="s">
        <v>762</v>
      </c>
      <c r="F120" s="20" t="s">
        <v>763</v>
      </c>
      <c r="G120" s="8" t="str">
        <f t="shared" si="2"/>
        <v>LEVIN SCOTT</v>
      </c>
      <c r="H120" s="20" t="str">
        <f t="shared" si="3"/>
        <v>4039</v>
      </c>
    </row>
    <row r="121" spans="1:8" x14ac:dyDescent="0.25">
      <c r="A121" s="8">
        <v>43067.522812499999</v>
      </c>
      <c r="B121" s="20" t="s">
        <v>366</v>
      </c>
      <c r="C121" s="20" t="s">
        <v>734</v>
      </c>
      <c r="D121" s="137">
        <v>2140000</v>
      </c>
      <c r="E121" s="20" t="s">
        <v>773</v>
      </c>
      <c r="F121" s="20" t="s">
        <v>774</v>
      </c>
      <c r="G121" s="8" t="str">
        <f t="shared" si="2"/>
        <v>ROBINSON KADDIBA</v>
      </c>
      <c r="H121" s="20" t="str">
        <f t="shared" si="3"/>
        <v>4035</v>
      </c>
    </row>
    <row r="122" spans="1:8" x14ac:dyDescent="0.25">
      <c r="A122" s="8">
        <v>43067.523379629631</v>
      </c>
      <c r="B122" s="25" t="s">
        <v>366</v>
      </c>
      <c r="C122" s="20" t="s">
        <v>775</v>
      </c>
      <c r="D122" s="137">
        <v>2140000</v>
      </c>
      <c r="E122" s="20" t="s">
        <v>773</v>
      </c>
      <c r="F122" s="20" t="s">
        <v>774</v>
      </c>
      <c r="G122" s="8" t="str">
        <f t="shared" si="2"/>
        <v>ROBINSON KADDIBA</v>
      </c>
      <c r="H122" s="20" t="str">
        <f t="shared" si="3"/>
        <v>4035</v>
      </c>
    </row>
    <row r="123" spans="1:8" x14ac:dyDescent="0.25">
      <c r="A123" s="8">
        <v>43067.52747685185</v>
      </c>
      <c r="B123" s="20" t="s">
        <v>702</v>
      </c>
      <c r="C123" s="20" t="s">
        <v>776</v>
      </c>
      <c r="D123" s="137">
        <v>2230000</v>
      </c>
      <c r="E123" s="20" t="s">
        <v>387</v>
      </c>
      <c r="F123" s="20" t="s">
        <v>353</v>
      </c>
      <c r="G123" s="8" t="str">
        <f t="shared" si="2"/>
        <v>SMITH MICHAEL</v>
      </c>
      <c r="H123" s="20" t="str">
        <f t="shared" si="3"/>
        <v>4050</v>
      </c>
    </row>
    <row r="124" spans="1:8" x14ac:dyDescent="0.25">
      <c r="A124" s="8">
        <v>43067.531793981485</v>
      </c>
      <c r="B124" s="20" t="s">
        <v>365</v>
      </c>
      <c r="C124" s="20" t="s">
        <v>734</v>
      </c>
      <c r="D124" s="137">
        <v>2140000</v>
      </c>
      <c r="E124" s="20" t="s">
        <v>773</v>
      </c>
      <c r="F124" s="20" t="s">
        <v>774</v>
      </c>
      <c r="G124" s="8" t="str">
        <f t="shared" si="2"/>
        <v>ROBINSON KADDIBA</v>
      </c>
      <c r="H124" s="20" t="str">
        <f t="shared" si="3"/>
        <v>4036</v>
      </c>
    </row>
    <row r="125" spans="1:8" x14ac:dyDescent="0.25">
      <c r="A125" s="8">
        <v>43067.534120370372</v>
      </c>
      <c r="B125" s="20" t="s">
        <v>438</v>
      </c>
      <c r="C125" s="20" t="s">
        <v>777</v>
      </c>
      <c r="D125" s="137">
        <v>3810000</v>
      </c>
      <c r="E125" s="20" t="s">
        <v>529</v>
      </c>
      <c r="F125" s="20" t="s">
        <v>530</v>
      </c>
      <c r="G125" s="8" t="str">
        <f t="shared" si="2"/>
        <v>LORI SANTOS</v>
      </c>
      <c r="H125" s="20" t="str">
        <f t="shared" si="3"/>
        <v>4041</v>
      </c>
    </row>
    <row r="126" spans="1:8" x14ac:dyDescent="0.25">
      <c r="A126" s="8">
        <v>43067.538124999999</v>
      </c>
      <c r="B126" s="20" t="s">
        <v>645</v>
      </c>
      <c r="C126" s="20" t="s">
        <v>778</v>
      </c>
      <c r="D126" s="137">
        <v>2630000</v>
      </c>
      <c r="E126" s="20" t="s">
        <v>370</v>
      </c>
      <c r="F126" s="20" t="s">
        <v>371</v>
      </c>
      <c r="G126" s="8" t="str">
        <f t="shared" si="2"/>
        <v>SAFIEF AEIMEN</v>
      </c>
      <c r="H126" s="20" t="str">
        <f t="shared" si="3"/>
        <v>4033</v>
      </c>
    </row>
    <row r="127" spans="1:8" x14ac:dyDescent="0.25">
      <c r="A127" s="8">
        <v>43067.53875</v>
      </c>
      <c r="B127" s="20" t="s">
        <v>358</v>
      </c>
      <c r="C127" s="20" t="s">
        <v>779</v>
      </c>
      <c r="D127" s="137">
        <v>1770000</v>
      </c>
      <c r="E127" s="20" t="s">
        <v>757</v>
      </c>
      <c r="F127" s="20" t="s">
        <v>758</v>
      </c>
      <c r="G127" s="8" t="str">
        <f t="shared" si="2"/>
        <v>BRUDER RICHARD</v>
      </c>
      <c r="H127" s="20" t="str">
        <f t="shared" si="3"/>
        <v>4060</v>
      </c>
    </row>
    <row r="128" spans="1:8" x14ac:dyDescent="0.25">
      <c r="A128" s="8">
        <v>43067.542256944442</v>
      </c>
      <c r="B128" s="20" t="s">
        <v>635</v>
      </c>
      <c r="C128" s="20" t="s">
        <v>655</v>
      </c>
      <c r="D128" s="137">
        <v>1810000</v>
      </c>
      <c r="E128" s="20" t="s">
        <v>780</v>
      </c>
      <c r="F128" s="20" t="s">
        <v>389</v>
      </c>
      <c r="G128" s="8" t="str">
        <f t="shared" si="2"/>
        <v>NEWELL JAMES</v>
      </c>
      <c r="H128" s="20" t="str">
        <f t="shared" si="3"/>
        <v>4002</v>
      </c>
    </row>
    <row r="129" spans="1:8" x14ac:dyDescent="0.25">
      <c r="A129" s="8">
        <v>43067.545763888891</v>
      </c>
      <c r="B129" s="20" t="s">
        <v>366</v>
      </c>
      <c r="C129" s="20" t="s">
        <v>775</v>
      </c>
      <c r="D129" s="137">
        <v>2140000</v>
      </c>
      <c r="E129" s="20" t="s">
        <v>773</v>
      </c>
      <c r="F129" s="20" t="s">
        <v>774</v>
      </c>
      <c r="G129" s="8" t="str">
        <f t="shared" si="2"/>
        <v>ROBINSON KADDIBA</v>
      </c>
      <c r="H129" s="20" t="str">
        <f t="shared" si="3"/>
        <v>4035</v>
      </c>
    </row>
    <row r="130" spans="1:8" x14ac:dyDescent="0.25">
      <c r="A130" s="8">
        <v>43067.548113425924</v>
      </c>
      <c r="B130" s="20" t="s">
        <v>444</v>
      </c>
      <c r="C130" s="20" t="s">
        <v>781</v>
      </c>
      <c r="D130" s="137">
        <v>880000</v>
      </c>
      <c r="E130" s="20" t="s">
        <v>447</v>
      </c>
      <c r="F130" s="20" t="s">
        <v>353</v>
      </c>
      <c r="G130" s="8" t="str">
        <f t="shared" si="2"/>
        <v>STEWART MICHAEL</v>
      </c>
      <c r="H130" s="20" t="str">
        <f t="shared" si="3"/>
        <v>4056</v>
      </c>
    </row>
    <row r="131" spans="1:8" x14ac:dyDescent="0.25">
      <c r="A131" s="8">
        <v>43067.559004629627</v>
      </c>
      <c r="B131" s="20" t="s">
        <v>360</v>
      </c>
      <c r="C131" s="20" t="s">
        <v>782</v>
      </c>
      <c r="D131" s="137">
        <v>920000</v>
      </c>
      <c r="E131" s="20" t="s">
        <v>448</v>
      </c>
      <c r="F131" s="20" t="s">
        <v>353</v>
      </c>
      <c r="G131" s="8" t="str">
        <f t="shared" ref="G131:G194" si="4">E131&amp;" "&amp;F131</f>
        <v>DAVIS MICHAEL</v>
      </c>
      <c r="H131" s="20" t="str">
        <f t="shared" ref="H131:H194" si="5">MID(B131,13,4)</f>
        <v>4007</v>
      </c>
    </row>
    <row r="132" spans="1:8" x14ac:dyDescent="0.25">
      <c r="A132" s="8">
        <v>43067.55908564815</v>
      </c>
      <c r="B132" s="20" t="s">
        <v>365</v>
      </c>
      <c r="C132" s="20" t="s">
        <v>734</v>
      </c>
      <c r="D132" s="137">
        <v>2140000</v>
      </c>
      <c r="E132" s="20" t="s">
        <v>773</v>
      </c>
      <c r="F132" s="20" t="s">
        <v>774</v>
      </c>
      <c r="G132" s="8" t="str">
        <f t="shared" si="4"/>
        <v>ROBINSON KADDIBA</v>
      </c>
      <c r="H132" s="20" t="str">
        <f t="shared" si="5"/>
        <v>4036</v>
      </c>
    </row>
    <row r="133" spans="1:8" x14ac:dyDescent="0.25">
      <c r="A133" s="8">
        <v>43067.55972222222</v>
      </c>
      <c r="B133" s="20" t="s">
        <v>652</v>
      </c>
      <c r="C133" s="20" t="s">
        <v>783</v>
      </c>
      <c r="D133" s="137">
        <v>1810000</v>
      </c>
      <c r="E133" s="20" t="s">
        <v>780</v>
      </c>
      <c r="F133" s="20" t="s">
        <v>389</v>
      </c>
      <c r="G133" s="8" t="str">
        <f t="shared" si="4"/>
        <v>NEWELL JAMES</v>
      </c>
      <c r="H133" s="20" t="str">
        <f t="shared" si="5"/>
        <v>4001</v>
      </c>
    </row>
    <row r="134" spans="1:8" x14ac:dyDescent="0.25">
      <c r="A134" s="8">
        <v>43067.560972222222</v>
      </c>
      <c r="B134" s="20" t="s">
        <v>687</v>
      </c>
      <c r="C134" s="20" t="s">
        <v>784</v>
      </c>
      <c r="D134" s="137">
        <v>1300000</v>
      </c>
      <c r="E134" s="20" t="s">
        <v>762</v>
      </c>
      <c r="F134" s="20" t="s">
        <v>763</v>
      </c>
      <c r="G134" s="8" t="str">
        <f t="shared" si="4"/>
        <v>LEVIN SCOTT</v>
      </c>
      <c r="H134" s="20" t="str">
        <f t="shared" si="5"/>
        <v>4040</v>
      </c>
    </row>
    <row r="135" spans="1:8" x14ac:dyDescent="0.25">
      <c r="A135" s="8">
        <v>43067.563159722224</v>
      </c>
      <c r="B135" s="20" t="s">
        <v>698</v>
      </c>
      <c r="C135" s="20" t="s">
        <v>785</v>
      </c>
      <c r="D135" s="137">
        <v>2230000</v>
      </c>
      <c r="E135" s="20" t="s">
        <v>387</v>
      </c>
      <c r="F135" s="20" t="s">
        <v>353</v>
      </c>
      <c r="G135" s="8" t="str">
        <f t="shared" si="4"/>
        <v>SMITH MICHAEL</v>
      </c>
      <c r="H135" s="20" t="str">
        <f t="shared" si="5"/>
        <v>4049</v>
      </c>
    </row>
    <row r="136" spans="1:8" x14ac:dyDescent="0.25">
      <c r="A136" s="8">
        <v>43067.569004629629</v>
      </c>
      <c r="B136" s="20" t="s">
        <v>660</v>
      </c>
      <c r="C136" s="20" t="s">
        <v>786</v>
      </c>
      <c r="D136" s="137">
        <v>3810000</v>
      </c>
      <c r="E136" s="20" t="s">
        <v>529</v>
      </c>
      <c r="F136" s="20" t="s">
        <v>530</v>
      </c>
      <c r="G136" s="8" t="str">
        <f t="shared" si="4"/>
        <v>LORI SANTOS</v>
      </c>
      <c r="H136" s="20" t="str">
        <f t="shared" si="5"/>
        <v>4042</v>
      </c>
    </row>
    <row r="137" spans="1:8" x14ac:dyDescent="0.25">
      <c r="A137" s="8">
        <v>43067.578750000001</v>
      </c>
      <c r="B137" s="20" t="s">
        <v>385</v>
      </c>
      <c r="C137" s="20" t="s">
        <v>787</v>
      </c>
      <c r="D137" s="137">
        <v>1770000</v>
      </c>
      <c r="E137" s="20" t="s">
        <v>757</v>
      </c>
      <c r="F137" s="20" t="s">
        <v>758</v>
      </c>
      <c r="G137" s="8" t="str">
        <f t="shared" si="4"/>
        <v>BRUDER RICHARD</v>
      </c>
      <c r="H137" s="20" t="str">
        <f t="shared" si="5"/>
        <v>4059</v>
      </c>
    </row>
    <row r="138" spans="1:8" x14ac:dyDescent="0.25">
      <c r="A138" s="8">
        <v>43067.57949074074</v>
      </c>
      <c r="B138" s="20" t="s">
        <v>694</v>
      </c>
      <c r="C138" s="20" t="s">
        <v>788</v>
      </c>
      <c r="D138" s="137">
        <v>2630000</v>
      </c>
      <c r="E138" s="20" t="s">
        <v>370</v>
      </c>
      <c r="F138" s="20" t="s">
        <v>371</v>
      </c>
      <c r="G138" s="8" t="str">
        <f t="shared" si="4"/>
        <v>SAFIEF AEIMEN</v>
      </c>
      <c r="H138" s="20" t="str">
        <f t="shared" si="5"/>
        <v>4034</v>
      </c>
    </row>
    <row r="139" spans="1:8" x14ac:dyDescent="0.25">
      <c r="A139" s="8">
        <v>43067.582337962966</v>
      </c>
      <c r="B139" s="20" t="s">
        <v>635</v>
      </c>
      <c r="C139" s="20" t="s">
        <v>789</v>
      </c>
      <c r="D139" s="137">
        <v>2970000</v>
      </c>
      <c r="E139" s="20" t="s">
        <v>372</v>
      </c>
      <c r="F139" s="20" t="s">
        <v>373</v>
      </c>
      <c r="G139" s="8" t="str">
        <f t="shared" si="4"/>
        <v>GUZMAN DANNY</v>
      </c>
      <c r="H139" s="20" t="str">
        <f t="shared" si="5"/>
        <v>4002</v>
      </c>
    </row>
    <row r="140" spans="1:8" x14ac:dyDescent="0.25">
      <c r="A140" s="8">
        <v>43067.586377314816</v>
      </c>
      <c r="B140" s="20" t="s">
        <v>352</v>
      </c>
      <c r="C140" s="20" t="s">
        <v>790</v>
      </c>
      <c r="D140" s="137">
        <v>880000</v>
      </c>
      <c r="E140" s="20" t="s">
        <v>447</v>
      </c>
      <c r="F140" s="20" t="s">
        <v>353</v>
      </c>
      <c r="G140" s="8" t="str">
        <f t="shared" si="4"/>
        <v>STEWART MICHAEL</v>
      </c>
      <c r="H140" s="20" t="str">
        <f t="shared" si="5"/>
        <v>4055</v>
      </c>
    </row>
    <row r="141" spans="1:8" x14ac:dyDescent="0.25">
      <c r="A141" s="8">
        <v>43067.589884259258</v>
      </c>
      <c r="B141" s="20" t="s">
        <v>357</v>
      </c>
      <c r="C141" s="20" t="s">
        <v>791</v>
      </c>
      <c r="D141" s="137">
        <v>2040000</v>
      </c>
      <c r="E141" s="20" t="s">
        <v>390</v>
      </c>
      <c r="F141" s="20" t="s">
        <v>391</v>
      </c>
      <c r="G141" s="8" t="str">
        <f t="shared" si="4"/>
        <v>MOSES BRADLEY</v>
      </c>
      <c r="H141" s="20" t="str">
        <f t="shared" si="5"/>
        <v>4008</v>
      </c>
    </row>
    <row r="142" spans="1:8" x14ac:dyDescent="0.25">
      <c r="A142" s="8">
        <v>43067.597951388889</v>
      </c>
      <c r="B142" s="20" t="s">
        <v>633</v>
      </c>
      <c r="C142" s="20" t="s">
        <v>792</v>
      </c>
      <c r="D142" s="137">
        <v>1300000</v>
      </c>
      <c r="E142" s="20" t="s">
        <v>762</v>
      </c>
      <c r="F142" s="20" t="s">
        <v>763</v>
      </c>
      <c r="G142" s="8" t="str">
        <f t="shared" si="4"/>
        <v>LEVIN SCOTT</v>
      </c>
      <c r="H142" s="20" t="str">
        <f t="shared" si="5"/>
        <v>4039</v>
      </c>
    </row>
    <row r="143" spans="1:8" x14ac:dyDescent="0.25">
      <c r="A143" s="8">
        <v>43067.599780092591</v>
      </c>
      <c r="B143" s="20" t="s">
        <v>702</v>
      </c>
      <c r="C143" s="20" t="s">
        <v>793</v>
      </c>
      <c r="D143" s="137">
        <v>2230000</v>
      </c>
      <c r="E143" s="20" t="s">
        <v>387</v>
      </c>
      <c r="F143" s="20" t="s">
        <v>353</v>
      </c>
      <c r="G143" s="8" t="str">
        <f t="shared" si="4"/>
        <v>SMITH MICHAEL</v>
      </c>
      <c r="H143" s="20" t="str">
        <f t="shared" si="5"/>
        <v>4050</v>
      </c>
    </row>
    <row r="144" spans="1:8" x14ac:dyDescent="0.25">
      <c r="A144" s="8">
        <v>43067.600798611114</v>
      </c>
      <c r="B144" s="20" t="s">
        <v>652</v>
      </c>
      <c r="C144" s="20" t="s">
        <v>794</v>
      </c>
      <c r="D144" s="137">
        <v>2970000</v>
      </c>
      <c r="E144" s="20" t="s">
        <v>372</v>
      </c>
      <c r="F144" s="20" t="s">
        <v>373</v>
      </c>
      <c r="G144" s="8" t="str">
        <f t="shared" si="4"/>
        <v>GUZMAN DANNY</v>
      </c>
      <c r="H144" s="20" t="str">
        <f t="shared" si="5"/>
        <v>4001</v>
      </c>
    </row>
    <row r="145" spans="1:8" x14ac:dyDescent="0.25">
      <c r="A145" s="8">
        <v>43067.608668981484</v>
      </c>
      <c r="B145" s="20" t="s">
        <v>438</v>
      </c>
      <c r="C145" s="20" t="s">
        <v>656</v>
      </c>
      <c r="D145" s="137">
        <v>3810000</v>
      </c>
      <c r="E145" s="20" t="s">
        <v>529</v>
      </c>
      <c r="F145" s="20" t="s">
        <v>530</v>
      </c>
      <c r="G145" s="8" t="str">
        <f t="shared" si="4"/>
        <v>LORI SANTOS</v>
      </c>
      <c r="H145" s="20" t="str">
        <f t="shared" si="5"/>
        <v>4041</v>
      </c>
    </row>
    <row r="146" spans="1:8" x14ac:dyDescent="0.25">
      <c r="A146" s="8">
        <v>43067.609907407408</v>
      </c>
      <c r="B146" s="20" t="s">
        <v>645</v>
      </c>
      <c r="C146" s="20" t="s">
        <v>795</v>
      </c>
      <c r="D146" s="137">
        <v>2630000</v>
      </c>
      <c r="E146" s="20" t="s">
        <v>370</v>
      </c>
      <c r="F146" s="20" t="s">
        <v>371</v>
      </c>
      <c r="G146" s="8" t="str">
        <f t="shared" si="4"/>
        <v>SAFIEF AEIMEN</v>
      </c>
      <c r="H146" s="20" t="str">
        <f t="shared" si="5"/>
        <v>4033</v>
      </c>
    </row>
    <row r="147" spans="1:8" x14ac:dyDescent="0.25">
      <c r="A147" s="8">
        <v>43067.611562500002</v>
      </c>
      <c r="B147" s="20" t="s">
        <v>358</v>
      </c>
      <c r="C147" s="20" t="s">
        <v>796</v>
      </c>
      <c r="D147" s="137">
        <v>1770000</v>
      </c>
      <c r="E147" s="20" t="s">
        <v>757</v>
      </c>
      <c r="F147" s="20" t="s">
        <v>758</v>
      </c>
      <c r="G147" s="8" t="str">
        <f t="shared" si="4"/>
        <v>BRUDER RICHARD</v>
      </c>
      <c r="H147" s="20" t="str">
        <f t="shared" si="5"/>
        <v>4060</v>
      </c>
    </row>
    <row r="148" spans="1:8" x14ac:dyDescent="0.25">
      <c r="A148" s="8">
        <v>43067.621759259258</v>
      </c>
      <c r="B148" s="20" t="s">
        <v>444</v>
      </c>
      <c r="C148" s="20" t="s">
        <v>797</v>
      </c>
      <c r="D148" s="137">
        <v>880000</v>
      </c>
      <c r="E148" s="20" t="s">
        <v>447</v>
      </c>
      <c r="F148" s="20" t="s">
        <v>353</v>
      </c>
      <c r="G148" s="8" t="str">
        <f t="shared" si="4"/>
        <v>STEWART MICHAEL</v>
      </c>
      <c r="H148" s="20" t="str">
        <f t="shared" si="5"/>
        <v>4056</v>
      </c>
    </row>
    <row r="149" spans="1:8" x14ac:dyDescent="0.25">
      <c r="A149" s="8">
        <v>43067.623287037037</v>
      </c>
      <c r="B149" s="20" t="s">
        <v>635</v>
      </c>
      <c r="C149" s="20" t="s">
        <v>798</v>
      </c>
      <c r="D149" s="137">
        <v>2970000</v>
      </c>
      <c r="E149" s="20" t="s">
        <v>372</v>
      </c>
      <c r="F149" s="20" t="s">
        <v>373</v>
      </c>
      <c r="G149" s="8" t="str">
        <f t="shared" si="4"/>
        <v>GUZMAN DANNY</v>
      </c>
      <c r="H149" s="20" t="str">
        <f t="shared" si="5"/>
        <v>4002</v>
      </c>
    </row>
    <row r="150" spans="1:8" x14ac:dyDescent="0.25">
      <c r="A150" s="8">
        <v>43067.629837962966</v>
      </c>
      <c r="B150" s="20" t="s">
        <v>687</v>
      </c>
      <c r="C150" s="20" t="s">
        <v>799</v>
      </c>
      <c r="D150" s="137">
        <v>1300000</v>
      </c>
      <c r="E150" s="20" t="s">
        <v>762</v>
      </c>
      <c r="F150" s="20" t="s">
        <v>763</v>
      </c>
      <c r="G150" s="8" t="str">
        <f t="shared" si="4"/>
        <v>LEVIN SCOTT</v>
      </c>
      <c r="H150" s="20" t="str">
        <f t="shared" si="5"/>
        <v>4040</v>
      </c>
    </row>
    <row r="151" spans="1:8" x14ac:dyDescent="0.25">
      <c r="A151" s="8">
        <v>43067.630243055559</v>
      </c>
      <c r="B151" s="20" t="s">
        <v>360</v>
      </c>
      <c r="C151" s="20" t="s">
        <v>800</v>
      </c>
      <c r="D151" s="137">
        <v>2040000</v>
      </c>
      <c r="E151" s="20" t="s">
        <v>390</v>
      </c>
      <c r="F151" s="20" t="s">
        <v>391</v>
      </c>
      <c r="G151" s="8" t="str">
        <f t="shared" si="4"/>
        <v>MOSES BRADLEY</v>
      </c>
      <c r="H151" s="20" t="str">
        <f t="shared" si="5"/>
        <v>4007</v>
      </c>
    </row>
    <row r="152" spans="1:8" x14ac:dyDescent="0.25">
      <c r="A152" s="8">
        <v>43067.633715277778</v>
      </c>
      <c r="B152" s="20" t="s">
        <v>698</v>
      </c>
      <c r="C152" s="20" t="s">
        <v>801</v>
      </c>
      <c r="D152" s="137">
        <v>2230000</v>
      </c>
      <c r="E152" s="20" t="s">
        <v>387</v>
      </c>
      <c r="F152" s="20" t="s">
        <v>353</v>
      </c>
      <c r="G152" s="8" t="str">
        <f t="shared" si="4"/>
        <v>SMITH MICHAEL</v>
      </c>
      <c r="H152" s="20" t="str">
        <f t="shared" si="5"/>
        <v>4049</v>
      </c>
    </row>
    <row r="153" spans="1:8" x14ac:dyDescent="0.25">
      <c r="A153" s="8">
        <v>43067.635949074072</v>
      </c>
      <c r="B153" s="20" t="s">
        <v>366</v>
      </c>
      <c r="C153" s="20" t="s">
        <v>802</v>
      </c>
      <c r="D153" s="137">
        <v>2000000</v>
      </c>
      <c r="E153" s="20" t="s">
        <v>388</v>
      </c>
      <c r="F153" s="20" t="s">
        <v>389</v>
      </c>
      <c r="G153" s="8" t="str">
        <f t="shared" si="4"/>
        <v>STAMBAUGH JAMES</v>
      </c>
      <c r="H153" s="20" t="str">
        <f t="shared" si="5"/>
        <v>4035</v>
      </c>
    </row>
    <row r="154" spans="1:8" x14ac:dyDescent="0.25">
      <c r="A154" s="8">
        <v>43067.637048611112</v>
      </c>
      <c r="B154" s="20" t="s">
        <v>366</v>
      </c>
      <c r="C154" s="20" t="s">
        <v>802</v>
      </c>
      <c r="D154" s="137">
        <v>2000000</v>
      </c>
      <c r="E154" s="20" t="s">
        <v>388</v>
      </c>
      <c r="F154" s="20" t="s">
        <v>389</v>
      </c>
      <c r="G154" s="8" t="str">
        <f t="shared" si="4"/>
        <v>STAMBAUGH JAMES</v>
      </c>
      <c r="H154" s="20" t="str">
        <f t="shared" si="5"/>
        <v>4035</v>
      </c>
    </row>
    <row r="155" spans="1:8" x14ac:dyDescent="0.25">
      <c r="A155" s="8">
        <v>43067.64230324074</v>
      </c>
      <c r="B155" s="20" t="s">
        <v>660</v>
      </c>
      <c r="C155" s="20" t="s">
        <v>803</v>
      </c>
      <c r="D155" s="137">
        <v>3810000</v>
      </c>
      <c r="E155" s="20" t="s">
        <v>529</v>
      </c>
      <c r="F155" s="20" t="s">
        <v>530</v>
      </c>
      <c r="G155" s="8" t="str">
        <f t="shared" si="4"/>
        <v>LORI SANTOS</v>
      </c>
      <c r="H155" s="20" t="str">
        <f t="shared" si="5"/>
        <v>4042</v>
      </c>
    </row>
    <row r="156" spans="1:8" x14ac:dyDescent="0.25">
      <c r="A156" s="8">
        <v>43067.642534722225</v>
      </c>
      <c r="B156" s="20" t="s">
        <v>652</v>
      </c>
      <c r="C156" s="20" t="s">
        <v>804</v>
      </c>
      <c r="D156" s="137">
        <v>2970000</v>
      </c>
      <c r="E156" s="20" t="s">
        <v>372</v>
      </c>
      <c r="F156" s="20" t="s">
        <v>373</v>
      </c>
      <c r="G156" s="8" t="str">
        <f t="shared" si="4"/>
        <v>GUZMAN DANNY</v>
      </c>
      <c r="H156" s="20" t="str">
        <f t="shared" si="5"/>
        <v>4001</v>
      </c>
    </row>
    <row r="157" spans="1:8" x14ac:dyDescent="0.25">
      <c r="A157" s="8">
        <v>43067.651354166665</v>
      </c>
      <c r="B157" s="20" t="s">
        <v>385</v>
      </c>
      <c r="C157" s="20" t="s">
        <v>658</v>
      </c>
      <c r="D157" s="137">
        <v>1770000</v>
      </c>
      <c r="E157" s="20" t="s">
        <v>757</v>
      </c>
      <c r="F157" s="20" t="s">
        <v>758</v>
      </c>
      <c r="G157" s="8" t="str">
        <f t="shared" si="4"/>
        <v>BRUDER RICHARD</v>
      </c>
      <c r="H157" s="20" t="str">
        <f t="shared" si="5"/>
        <v>4059</v>
      </c>
    </row>
    <row r="158" spans="1:8" x14ac:dyDescent="0.25">
      <c r="A158" s="8">
        <v>43067.651400462964</v>
      </c>
      <c r="B158" s="20" t="s">
        <v>365</v>
      </c>
      <c r="C158" s="20" t="s">
        <v>657</v>
      </c>
      <c r="D158" s="137">
        <v>2000000</v>
      </c>
      <c r="E158" s="20" t="s">
        <v>388</v>
      </c>
      <c r="F158" s="20" t="s">
        <v>389</v>
      </c>
      <c r="G158" s="8" t="str">
        <f t="shared" si="4"/>
        <v>STAMBAUGH JAMES</v>
      </c>
      <c r="H158" s="20" t="str">
        <f t="shared" si="5"/>
        <v>4036</v>
      </c>
    </row>
    <row r="159" spans="1:8" x14ac:dyDescent="0.25">
      <c r="A159" s="8">
        <v>43067.652361111112</v>
      </c>
      <c r="B159" s="20" t="s">
        <v>694</v>
      </c>
      <c r="C159" s="20" t="s">
        <v>805</v>
      </c>
      <c r="D159" s="137">
        <v>2630000</v>
      </c>
      <c r="E159" s="20" t="s">
        <v>370</v>
      </c>
      <c r="F159" s="20" t="s">
        <v>371</v>
      </c>
      <c r="G159" s="8" t="str">
        <f t="shared" si="4"/>
        <v>SAFIEF AEIMEN</v>
      </c>
      <c r="H159" s="20" t="str">
        <f t="shared" si="5"/>
        <v>4034</v>
      </c>
    </row>
    <row r="160" spans="1:8" x14ac:dyDescent="0.25">
      <c r="A160" s="8">
        <v>43067.654166666667</v>
      </c>
      <c r="B160" s="20" t="s">
        <v>365</v>
      </c>
      <c r="C160" s="20" t="s">
        <v>657</v>
      </c>
      <c r="D160" s="137">
        <v>2000000</v>
      </c>
      <c r="E160" s="20" t="s">
        <v>388</v>
      </c>
      <c r="F160" s="20" t="s">
        <v>389</v>
      </c>
      <c r="G160" s="8" t="str">
        <f t="shared" si="4"/>
        <v>STAMBAUGH JAMES</v>
      </c>
      <c r="H160" s="20" t="str">
        <f t="shared" si="5"/>
        <v>4036</v>
      </c>
    </row>
    <row r="161" spans="1:8" x14ac:dyDescent="0.25">
      <c r="A161" s="8">
        <v>43067.662175925929</v>
      </c>
      <c r="B161" s="20" t="s">
        <v>352</v>
      </c>
      <c r="C161" s="20" t="s">
        <v>806</v>
      </c>
      <c r="D161" s="137">
        <v>880000</v>
      </c>
      <c r="E161" s="20" t="s">
        <v>447</v>
      </c>
      <c r="F161" s="20" t="s">
        <v>353</v>
      </c>
      <c r="G161" s="8" t="str">
        <f t="shared" si="4"/>
        <v>STEWART MICHAEL</v>
      </c>
      <c r="H161" s="20" t="str">
        <f t="shared" si="5"/>
        <v>4055</v>
      </c>
    </row>
    <row r="162" spans="1:8" x14ac:dyDescent="0.25">
      <c r="A162" s="8">
        <v>43067.663888888892</v>
      </c>
      <c r="B162" s="20" t="s">
        <v>357</v>
      </c>
      <c r="C162" s="20" t="s">
        <v>807</v>
      </c>
      <c r="D162" s="137">
        <v>920000</v>
      </c>
      <c r="E162" s="20" t="s">
        <v>448</v>
      </c>
      <c r="F162" s="20" t="s">
        <v>353</v>
      </c>
      <c r="G162" s="8" t="str">
        <f t="shared" si="4"/>
        <v>DAVIS MICHAEL</v>
      </c>
      <c r="H162" s="20" t="str">
        <f t="shared" si="5"/>
        <v>4008</v>
      </c>
    </row>
    <row r="163" spans="1:8" x14ac:dyDescent="0.25">
      <c r="A163" s="8">
        <v>43067.665254629632</v>
      </c>
      <c r="B163" s="20" t="s">
        <v>635</v>
      </c>
      <c r="C163" s="20" t="s">
        <v>808</v>
      </c>
      <c r="D163" s="137">
        <v>2970000</v>
      </c>
      <c r="E163" s="20" t="s">
        <v>372</v>
      </c>
      <c r="F163" s="20" t="s">
        <v>373</v>
      </c>
      <c r="G163" s="8" t="str">
        <f t="shared" si="4"/>
        <v>GUZMAN DANNY</v>
      </c>
      <c r="H163" s="20" t="str">
        <f t="shared" si="5"/>
        <v>4002</v>
      </c>
    </row>
    <row r="164" spans="1:8" x14ac:dyDescent="0.25">
      <c r="A164" s="8">
        <v>43067.665405092594</v>
      </c>
      <c r="B164" s="20" t="s">
        <v>366</v>
      </c>
      <c r="C164" s="20" t="s">
        <v>809</v>
      </c>
      <c r="D164" s="137">
        <v>2000000</v>
      </c>
      <c r="E164" s="20" t="s">
        <v>388</v>
      </c>
      <c r="F164" s="20" t="s">
        <v>389</v>
      </c>
      <c r="G164" s="8" t="str">
        <f t="shared" si="4"/>
        <v>STAMBAUGH JAMES</v>
      </c>
      <c r="H164" s="20" t="str">
        <f t="shared" si="5"/>
        <v>4035</v>
      </c>
    </row>
    <row r="165" spans="1:8" x14ac:dyDescent="0.25">
      <c r="A165" s="8">
        <v>43067.66547453704</v>
      </c>
      <c r="B165" s="20" t="s">
        <v>633</v>
      </c>
      <c r="C165" s="20" t="s">
        <v>810</v>
      </c>
      <c r="D165" s="137">
        <v>1300000</v>
      </c>
      <c r="E165" s="20" t="s">
        <v>762</v>
      </c>
      <c r="F165" s="20" t="s">
        <v>763</v>
      </c>
      <c r="G165" s="8" t="str">
        <f t="shared" si="4"/>
        <v>LEVIN SCOTT</v>
      </c>
      <c r="H165" s="20" t="str">
        <f t="shared" si="5"/>
        <v>4039</v>
      </c>
    </row>
    <row r="166" spans="1:8" x14ac:dyDescent="0.25">
      <c r="A166" s="8">
        <v>43067.672210648147</v>
      </c>
      <c r="B166" s="20" t="s">
        <v>702</v>
      </c>
      <c r="C166" s="20" t="s">
        <v>811</v>
      </c>
      <c r="D166" s="137">
        <v>2230000</v>
      </c>
      <c r="E166" s="20" t="s">
        <v>387</v>
      </c>
      <c r="F166" s="20" t="s">
        <v>353</v>
      </c>
      <c r="G166" s="8" t="str">
        <f t="shared" si="4"/>
        <v>SMITH MICHAEL</v>
      </c>
      <c r="H166" s="20" t="str">
        <f t="shared" si="5"/>
        <v>4050</v>
      </c>
    </row>
    <row r="167" spans="1:8" x14ac:dyDescent="0.25">
      <c r="A167" s="8">
        <v>43067.68273148148</v>
      </c>
      <c r="B167" s="20" t="s">
        <v>438</v>
      </c>
      <c r="C167" s="20" t="s">
        <v>812</v>
      </c>
      <c r="D167" s="137">
        <v>3810000</v>
      </c>
      <c r="E167" s="20" t="s">
        <v>529</v>
      </c>
      <c r="F167" s="20" t="s">
        <v>530</v>
      </c>
      <c r="G167" s="8" t="str">
        <f t="shared" si="4"/>
        <v>LORI SANTOS</v>
      </c>
      <c r="H167" s="20" t="str">
        <f t="shared" si="5"/>
        <v>4041</v>
      </c>
    </row>
    <row r="168" spans="1:8" x14ac:dyDescent="0.25">
      <c r="A168" s="8">
        <v>43067.683217592596</v>
      </c>
      <c r="B168" s="20" t="s">
        <v>670</v>
      </c>
      <c r="C168" s="20" t="s">
        <v>667</v>
      </c>
      <c r="D168" s="137">
        <v>1810000</v>
      </c>
      <c r="E168" s="20" t="s">
        <v>780</v>
      </c>
      <c r="F168" s="20" t="s">
        <v>389</v>
      </c>
      <c r="G168" s="8" t="str">
        <f t="shared" si="4"/>
        <v>NEWELL JAMES</v>
      </c>
      <c r="H168" s="20" t="str">
        <f t="shared" si="5"/>
        <v>4058</v>
      </c>
    </row>
    <row r="169" spans="1:8" x14ac:dyDescent="0.25">
      <c r="A169" s="8">
        <v>43067.683553240742</v>
      </c>
      <c r="B169" s="20" t="s">
        <v>645</v>
      </c>
      <c r="C169" s="20" t="s">
        <v>813</v>
      </c>
      <c r="D169" s="137">
        <v>2630000</v>
      </c>
      <c r="E169" s="20" t="s">
        <v>370</v>
      </c>
      <c r="F169" s="20" t="s">
        <v>371</v>
      </c>
      <c r="G169" s="8" t="str">
        <f t="shared" si="4"/>
        <v>SAFIEF AEIMEN</v>
      </c>
      <c r="H169" s="20" t="str">
        <f t="shared" si="5"/>
        <v>4033</v>
      </c>
    </row>
    <row r="170" spans="1:8" x14ac:dyDescent="0.25">
      <c r="A170" s="8">
        <v>43067.684745370374</v>
      </c>
      <c r="B170" s="20" t="s">
        <v>358</v>
      </c>
      <c r="C170" s="20" t="s">
        <v>814</v>
      </c>
      <c r="D170" s="137">
        <v>1770000</v>
      </c>
      <c r="E170" s="20" t="s">
        <v>757</v>
      </c>
      <c r="F170" s="20" t="s">
        <v>758</v>
      </c>
      <c r="G170" s="8" t="str">
        <f t="shared" si="4"/>
        <v>BRUDER RICHARD</v>
      </c>
      <c r="H170" s="20" t="str">
        <f t="shared" si="5"/>
        <v>4060</v>
      </c>
    </row>
    <row r="171" spans="1:8" x14ac:dyDescent="0.25">
      <c r="A171" s="8">
        <v>43067.68546296296</v>
      </c>
      <c r="B171" s="20" t="s">
        <v>652</v>
      </c>
      <c r="C171" s="20" t="s">
        <v>815</v>
      </c>
      <c r="D171" s="137">
        <v>2970000</v>
      </c>
      <c r="E171" s="20" t="s">
        <v>372</v>
      </c>
      <c r="F171" s="20" t="s">
        <v>373</v>
      </c>
      <c r="G171" s="8" t="str">
        <f t="shared" si="4"/>
        <v>GUZMAN DANNY</v>
      </c>
      <c r="H171" s="20" t="str">
        <f t="shared" si="5"/>
        <v>4001</v>
      </c>
    </row>
    <row r="172" spans="1:8" x14ac:dyDescent="0.25">
      <c r="A172" s="8">
        <v>43067.692071759258</v>
      </c>
      <c r="B172" s="20" t="s">
        <v>365</v>
      </c>
      <c r="C172" s="20" t="s">
        <v>816</v>
      </c>
      <c r="D172" s="137">
        <v>2000000</v>
      </c>
      <c r="E172" s="20" t="s">
        <v>388</v>
      </c>
      <c r="F172" s="20" t="s">
        <v>389</v>
      </c>
      <c r="G172" s="8" t="str">
        <f t="shared" si="4"/>
        <v>STAMBAUGH JAMES</v>
      </c>
      <c r="H172" s="20" t="str">
        <f t="shared" si="5"/>
        <v>4036</v>
      </c>
    </row>
    <row r="173" spans="1:8" x14ac:dyDescent="0.25">
      <c r="A173" s="8">
        <v>43067.694340277776</v>
      </c>
      <c r="B173" s="20" t="s">
        <v>444</v>
      </c>
      <c r="C173" s="20" t="s">
        <v>817</v>
      </c>
      <c r="D173" s="137">
        <v>880000</v>
      </c>
      <c r="E173" s="20" t="s">
        <v>447</v>
      </c>
      <c r="F173" s="20" t="s">
        <v>353</v>
      </c>
      <c r="G173" s="8" t="str">
        <f t="shared" si="4"/>
        <v>STEWART MICHAEL</v>
      </c>
      <c r="H173" s="20" t="str">
        <f t="shared" si="5"/>
        <v>4056</v>
      </c>
    </row>
    <row r="174" spans="1:8" x14ac:dyDescent="0.25">
      <c r="A174" s="8">
        <v>43067.705462962964</v>
      </c>
      <c r="B174" s="20" t="s">
        <v>366</v>
      </c>
      <c r="C174" s="20" t="s">
        <v>818</v>
      </c>
      <c r="D174" s="137">
        <v>2000000</v>
      </c>
      <c r="E174" s="20" t="s">
        <v>388</v>
      </c>
      <c r="F174" s="20" t="s">
        <v>389</v>
      </c>
      <c r="G174" s="8" t="str">
        <f t="shared" si="4"/>
        <v>STAMBAUGH JAMES</v>
      </c>
      <c r="H174" s="20" t="str">
        <f t="shared" si="5"/>
        <v>4035</v>
      </c>
    </row>
    <row r="175" spans="1:8" x14ac:dyDescent="0.25">
      <c r="A175" s="8">
        <v>43067.705543981479</v>
      </c>
      <c r="B175" s="20" t="s">
        <v>360</v>
      </c>
      <c r="C175" s="20" t="s">
        <v>819</v>
      </c>
      <c r="D175" s="137">
        <v>920000</v>
      </c>
      <c r="E175" s="20" t="s">
        <v>448</v>
      </c>
      <c r="F175" s="20" t="s">
        <v>353</v>
      </c>
      <c r="G175" s="8" t="str">
        <f t="shared" si="4"/>
        <v>DAVIS MICHAEL</v>
      </c>
      <c r="H175" s="20" t="str">
        <f t="shared" si="5"/>
        <v>4007</v>
      </c>
    </row>
    <row r="176" spans="1:8" x14ac:dyDescent="0.25">
      <c r="A176" s="8">
        <v>43067.705983796295</v>
      </c>
      <c r="B176" s="20" t="s">
        <v>687</v>
      </c>
      <c r="C176" s="20" t="s">
        <v>820</v>
      </c>
      <c r="D176" s="137">
        <v>1300000</v>
      </c>
      <c r="E176" s="20" t="s">
        <v>762</v>
      </c>
      <c r="F176" s="20" t="s">
        <v>763</v>
      </c>
      <c r="G176" s="8" t="str">
        <f t="shared" si="4"/>
        <v>LEVIN SCOTT</v>
      </c>
      <c r="H176" s="20" t="str">
        <f t="shared" si="5"/>
        <v>4040</v>
      </c>
    </row>
    <row r="177" spans="1:8" x14ac:dyDescent="0.25">
      <c r="A177" s="8">
        <v>43067.707291666666</v>
      </c>
      <c r="B177" s="20" t="s">
        <v>698</v>
      </c>
      <c r="C177" s="20" t="s">
        <v>821</v>
      </c>
      <c r="D177" s="137">
        <v>2230000</v>
      </c>
      <c r="E177" s="20" t="s">
        <v>387</v>
      </c>
      <c r="F177" s="20" t="s">
        <v>353</v>
      </c>
      <c r="G177" s="8" t="str">
        <f t="shared" si="4"/>
        <v>SMITH MICHAEL</v>
      </c>
      <c r="H177" s="20" t="str">
        <f t="shared" si="5"/>
        <v>4049</v>
      </c>
    </row>
    <row r="178" spans="1:8" x14ac:dyDescent="0.25">
      <c r="A178" s="8">
        <v>43067.708402777775</v>
      </c>
      <c r="B178" s="20" t="s">
        <v>635</v>
      </c>
      <c r="C178" s="20" t="s">
        <v>822</v>
      </c>
      <c r="D178" s="137">
        <v>2970000</v>
      </c>
      <c r="E178" s="20" t="s">
        <v>372</v>
      </c>
      <c r="F178" s="20" t="s">
        <v>373</v>
      </c>
      <c r="G178" s="8" t="str">
        <f t="shared" si="4"/>
        <v>GUZMAN DANNY</v>
      </c>
      <c r="H178" s="20" t="str">
        <f t="shared" si="5"/>
        <v>4002</v>
      </c>
    </row>
    <row r="179" spans="1:8" x14ac:dyDescent="0.25">
      <c r="A179" s="8">
        <v>43067.714861111112</v>
      </c>
      <c r="B179" s="20" t="s">
        <v>660</v>
      </c>
      <c r="C179" s="20" t="s">
        <v>823</v>
      </c>
      <c r="D179" s="137">
        <v>3810000</v>
      </c>
      <c r="E179" s="20" t="s">
        <v>529</v>
      </c>
      <c r="F179" s="20" t="s">
        <v>530</v>
      </c>
      <c r="G179" s="8" t="str">
        <f t="shared" si="4"/>
        <v>LORI SANTOS</v>
      </c>
      <c r="H179" s="20" t="str">
        <f t="shared" si="5"/>
        <v>4042</v>
      </c>
    </row>
    <row r="180" spans="1:8" x14ac:dyDescent="0.25">
      <c r="A180" s="8">
        <v>43067.723969907405</v>
      </c>
      <c r="B180" s="20" t="s">
        <v>386</v>
      </c>
      <c r="C180" s="20" t="s">
        <v>824</v>
      </c>
      <c r="D180" s="137">
        <v>2040000</v>
      </c>
      <c r="E180" s="20" t="s">
        <v>390</v>
      </c>
      <c r="F180" s="20" t="s">
        <v>391</v>
      </c>
      <c r="G180" s="8" t="str">
        <f t="shared" si="4"/>
        <v>MOSES BRADLEY</v>
      </c>
      <c r="H180" s="20" t="str">
        <f t="shared" si="5"/>
        <v>4030</v>
      </c>
    </row>
    <row r="181" spans="1:8" x14ac:dyDescent="0.25">
      <c r="A181" s="8">
        <v>43067.724502314813</v>
      </c>
      <c r="B181" s="20" t="s">
        <v>385</v>
      </c>
      <c r="C181" s="20" t="s">
        <v>659</v>
      </c>
      <c r="D181" s="137">
        <v>1770000</v>
      </c>
      <c r="E181" s="20" t="s">
        <v>757</v>
      </c>
      <c r="F181" s="20" t="s">
        <v>758</v>
      </c>
      <c r="G181" s="8" t="str">
        <f t="shared" si="4"/>
        <v>BRUDER RICHARD</v>
      </c>
      <c r="H181" s="20" t="str">
        <f t="shared" si="5"/>
        <v>4059</v>
      </c>
    </row>
    <row r="182" spans="1:8" x14ac:dyDescent="0.25">
      <c r="A182" s="8">
        <v>43067.725185185183</v>
      </c>
      <c r="B182" s="20" t="s">
        <v>694</v>
      </c>
      <c r="C182" s="20" t="s">
        <v>825</v>
      </c>
      <c r="D182" s="137">
        <v>2630000</v>
      </c>
      <c r="E182" s="20" t="s">
        <v>370</v>
      </c>
      <c r="F182" s="20" t="s">
        <v>371</v>
      </c>
      <c r="G182" s="8" t="str">
        <f t="shared" si="4"/>
        <v>SAFIEF AEIMEN</v>
      </c>
      <c r="H182" s="20" t="str">
        <f t="shared" si="5"/>
        <v>4034</v>
      </c>
    </row>
    <row r="183" spans="1:8" x14ac:dyDescent="0.25">
      <c r="A183" s="8">
        <v>43067.727152777778</v>
      </c>
      <c r="B183" s="20" t="s">
        <v>652</v>
      </c>
      <c r="C183" s="20" t="s">
        <v>826</v>
      </c>
      <c r="D183" s="137">
        <v>2970000</v>
      </c>
      <c r="E183" s="20" t="s">
        <v>372</v>
      </c>
      <c r="F183" s="20" t="s">
        <v>373</v>
      </c>
      <c r="G183" s="8" t="str">
        <f t="shared" si="4"/>
        <v>GUZMAN DANNY</v>
      </c>
      <c r="H183" s="20" t="str">
        <f t="shared" si="5"/>
        <v>4001</v>
      </c>
    </row>
    <row r="184" spans="1:8" x14ac:dyDescent="0.25">
      <c r="A184" s="8">
        <v>43067.732465277775</v>
      </c>
      <c r="B184" s="20" t="s">
        <v>365</v>
      </c>
      <c r="C184" s="20" t="s">
        <v>827</v>
      </c>
      <c r="D184" s="137">
        <v>2000000</v>
      </c>
      <c r="E184" s="20" t="s">
        <v>388</v>
      </c>
      <c r="F184" s="20" t="s">
        <v>389</v>
      </c>
      <c r="G184" s="8" t="str">
        <f t="shared" si="4"/>
        <v>STAMBAUGH JAMES</v>
      </c>
      <c r="H184" s="20" t="str">
        <f t="shared" si="5"/>
        <v>4036</v>
      </c>
    </row>
    <row r="185" spans="1:8" x14ac:dyDescent="0.25">
      <c r="A185" s="8">
        <v>43067.73300925926</v>
      </c>
      <c r="B185" s="20" t="s">
        <v>352</v>
      </c>
      <c r="C185" s="20" t="s">
        <v>828</v>
      </c>
      <c r="D185" s="137">
        <v>880000</v>
      </c>
      <c r="E185" s="20" t="s">
        <v>447</v>
      </c>
      <c r="F185" s="20" t="s">
        <v>353</v>
      </c>
      <c r="G185" s="8" t="str">
        <f t="shared" si="4"/>
        <v>STEWART MICHAEL</v>
      </c>
      <c r="H185" s="20" t="str">
        <f t="shared" si="5"/>
        <v>4055</v>
      </c>
    </row>
    <row r="186" spans="1:8" x14ac:dyDescent="0.25">
      <c r="A186" s="8">
        <v>43067.737291666665</v>
      </c>
      <c r="B186" s="20" t="s">
        <v>357</v>
      </c>
      <c r="C186" s="20" t="s">
        <v>829</v>
      </c>
      <c r="D186" s="137">
        <v>890000</v>
      </c>
      <c r="E186" s="20" t="s">
        <v>345</v>
      </c>
      <c r="F186" s="20" t="s">
        <v>346</v>
      </c>
      <c r="G186" s="8" t="str">
        <f t="shared" si="4"/>
        <v>LOZA FIDEL</v>
      </c>
      <c r="H186" s="20" t="str">
        <f t="shared" si="5"/>
        <v>4008</v>
      </c>
    </row>
    <row r="187" spans="1:8" x14ac:dyDescent="0.25">
      <c r="A187" s="8">
        <v>43067.738449074073</v>
      </c>
      <c r="B187" s="20" t="s">
        <v>633</v>
      </c>
      <c r="C187" s="20" t="s">
        <v>830</v>
      </c>
      <c r="D187" s="137">
        <v>1300000</v>
      </c>
      <c r="E187" s="20" t="s">
        <v>762</v>
      </c>
      <c r="F187" s="20" t="s">
        <v>763</v>
      </c>
      <c r="G187" s="8" t="str">
        <f t="shared" si="4"/>
        <v>LEVIN SCOTT</v>
      </c>
      <c r="H187" s="20" t="str">
        <f t="shared" si="5"/>
        <v>4039</v>
      </c>
    </row>
    <row r="188" spans="1:8" x14ac:dyDescent="0.25">
      <c r="A188" s="8">
        <v>43067.743622685186</v>
      </c>
      <c r="B188" s="20" t="s">
        <v>523</v>
      </c>
      <c r="C188" s="20" t="s">
        <v>831</v>
      </c>
      <c r="D188" s="137">
        <v>3490000</v>
      </c>
      <c r="E188" s="20" t="s">
        <v>832</v>
      </c>
      <c r="F188" s="20" t="s">
        <v>833</v>
      </c>
      <c r="G188" s="8" t="str">
        <f t="shared" si="4"/>
        <v>WEST BRYAN</v>
      </c>
      <c r="H188" s="20" t="str">
        <f t="shared" si="5"/>
        <v>4063</v>
      </c>
    </row>
    <row r="189" spans="1:8" x14ac:dyDescent="0.25">
      <c r="A189" s="8">
        <v>43067.744942129626</v>
      </c>
      <c r="B189" s="20" t="s">
        <v>702</v>
      </c>
      <c r="C189" s="20" t="s">
        <v>834</v>
      </c>
      <c r="D189" s="137">
        <v>2230000</v>
      </c>
      <c r="E189" s="20" t="s">
        <v>387</v>
      </c>
      <c r="F189" s="20" t="s">
        <v>353</v>
      </c>
      <c r="G189" s="8" t="str">
        <f t="shared" si="4"/>
        <v>SMITH MICHAEL</v>
      </c>
      <c r="H189" s="20" t="str">
        <f t="shared" si="5"/>
        <v>4050</v>
      </c>
    </row>
    <row r="190" spans="1:8" x14ac:dyDescent="0.25">
      <c r="A190" s="8">
        <v>43067.747337962966</v>
      </c>
      <c r="B190" s="20" t="s">
        <v>366</v>
      </c>
      <c r="C190" s="20" t="s">
        <v>835</v>
      </c>
      <c r="D190" s="137">
        <v>2000000</v>
      </c>
      <c r="E190" s="20" t="s">
        <v>388</v>
      </c>
      <c r="F190" s="20" t="s">
        <v>389</v>
      </c>
      <c r="G190" s="8" t="str">
        <f t="shared" si="4"/>
        <v>STAMBAUGH JAMES</v>
      </c>
      <c r="H190" s="20" t="str">
        <f t="shared" si="5"/>
        <v>4035</v>
      </c>
    </row>
    <row r="191" spans="1:8" x14ac:dyDescent="0.25">
      <c r="A191" s="8">
        <v>43067.753425925926</v>
      </c>
      <c r="B191" s="20" t="s">
        <v>438</v>
      </c>
      <c r="C191" s="20" t="s">
        <v>836</v>
      </c>
      <c r="D191" s="137">
        <v>3810000</v>
      </c>
      <c r="E191" s="20" t="s">
        <v>529</v>
      </c>
      <c r="F191" s="20" t="s">
        <v>530</v>
      </c>
      <c r="G191" s="8" t="str">
        <f t="shared" si="4"/>
        <v>LORI SANTOS</v>
      </c>
      <c r="H191" s="20" t="str">
        <f t="shared" si="5"/>
        <v>4041</v>
      </c>
    </row>
    <row r="192" spans="1:8" x14ac:dyDescent="0.25">
      <c r="A192" s="8">
        <v>43067.753923611112</v>
      </c>
      <c r="B192" s="20" t="s">
        <v>635</v>
      </c>
      <c r="C192" s="20" t="s">
        <v>837</v>
      </c>
      <c r="D192" s="137">
        <v>2970000</v>
      </c>
      <c r="E192" s="20" t="s">
        <v>372</v>
      </c>
      <c r="F192" s="20" t="s">
        <v>373</v>
      </c>
      <c r="G192" s="8" t="str">
        <f t="shared" si="4"/>
        <v>GUZMAN DANNY</v>
      </c>
      <c r="H192" s="20" t="str">
        <f t="shared" si="5"/>
        <v>4002</v>
      </c>
    </row>
    <row r="193" spans="1:8" x14ac:dyDescent="0.25">
      <c r="A193" s="8">
        <v>43067.758750000001</v>
      </c>
      <c r="B193" s="20" t="s">
        <v>358</v>
      </c>
      <c r="C193" s="20" t="s">
        <v>838</v>
      </c>
      <c r="D193" s="137">
        <v>3320000</v>
      </c>
      <c r="E193" s="20" t="s">
        <v>362</v>
      </c>
      <c r="F193" s="20" t="s">
        <v>363</v>
      </c>
      <c r="G193" s="8" t="str">
        <f t="shared" si="4"/>
        <v>NICHOLSON WESLEY</v>
      </c>
      <c r="H193" s="20" t="str">
        <f t="shared" si="5"/>
        <v>4060</v>
      </c>
    </row>
    <row r="194" spans="1:8" x14ac:dyDescent="0.25">
      <c r="A194" s="8">
        <v>43067.759895833333</v>
      </c>
      <c r="B194" s="20" t="s">
        <v>645</v>
      </c>
      <c r="C194" s="20" t="s">
        <v>839</v>
      </c>
      <c r="D194" s="137">
        <v>2630000</v>
      </c>
      <c r="E194" s="20" t="s">
        <v>370</v>
      </c>
      <c r="F194" s="20" t="s">
        <v>371</v>
      </c>
      <c r="G194" s="8" t="str">
        <f t="shared" si="4"/>
        <v>SAFIEF AEIMEN</v>
      </c>
      <c r="H194" s="20" t="str">
        <f t="shared" si="5"/>
        <v>4033</v>
      </c>
    </row>
    <row r="195" spans="1:8" x14ac:dyDescent="0.25">
      <c r="A195" s="8">
        <v>43067.768773148149</v>
      </c>
      <c r="B195" s="20" t="s">
        <v>652</v>
      </c>
      <c r="C195" s="20" t="s">
        <v>840</v>
      </c>
      <c r="D195" s="137">
        <v>2970000</v>
      </c>
      <c r="E195" s="20" t="s">
        <v>372</v>
      </c>
      <c r="F195" s="20" t="s">
        <v>373</v>
      </c>
      <c r="G195" s="8" t="str">
        <f t="shared" ref="G195:G258" si="6">E195&amp;" "&amp;F195</f>
        <v>GUZMAN DANNY</v>
      </c>
      <c r="H195" s="20" t="str">
        <f t="shared" ref="H195:H258" si="7">MID(B195,13,4)</f>
        <v>4001</v>
      </c>
    </row>
    <row r="196" spans="1:8" x14ac:dyDescent="0.25">
      <c r="A196" s="8">
        <v>43067.770520833335</v>
      </c>
      <c r="B196" s="20" t="s">
        <v>444</v>
      </c>
      <c r="C196" s="20" t="s">
        <v>841</v>
      </c>
      <c r="D196" s="137">
        <v>3310000</v>
      </c>
      <c r="E196" s="20" t="s">
        <v>842</v>
      </c>
      <c r="F196" s="20" t="s">
        <v>843</v>
      </c>
      <c r="G196" s="8" t="str">
        <f t="shared" si="6"/>
        <v>ANDERS STEVEN</v>
      </c>
      <c r="H196" s="20" t="str">
        <f t="shared" si="7"/>
        <v>4056</v>
      </c>
    </row>
    <row r="197" spans="1:8" x14ac:dyDescent="0.25">
      <c r="A197" s="8">
        <v>43067.773738425924</v>
      </c>
      <c r="B197" s="20" t="s">
        <v>365</v>
      </c>
      <c r="C197" s="20" t="s">
        <v>844</v>
      </c>
      <c r="D197" s="137">
        <v>2000000</v>
      </c>
      <c r="E197" s="20" t="s">
        <v>388</v>
      </c>
      <c r="F197" s="20" t="s">
        <v>389</v>
      </c>
      <c r="G197" s="8" t="str">
        <f t="shared" si="6"/>
        <v>STAMBAUGH JAMES</v>
      </c>
      <c r="H197" s="20" t="str">
        <f t="shared" si="7"/>
        <v>4036</v>
      </c>
    </row>
    <row r="198" spans="1:8" x14ac:dyDescent="0.25">
      <c r="A198" s="8">
        <v>43067.776412037034</v>
      </c>
      <c r="B198" s="20" t="s">
        <v>360</v>
      </c>
      <c r="C198" s="20" t="s">
        <v>845</v>
      </c>
      <c r="D198" s="137">
        <v>890000</v>
      </c>
      <c r="E198" s="20" t="s">
        <v>345</v>
      </c>
      <c r="F198" s="20" t="s">
        <v>346</v>
      </c>
      <c r="G198" s="8" t="str">
        <f t="shared" si="6"/>
        <v>LOZA FIDEL</v>
      </c>
      <c r="H198" s="20" t="str">
        <f t="shared" si="7"/>
        <v>4007</v>
      </c>
    </row>
    <row r="199" spans="1:8" x14ac:dyDescent="0.25">
      <c r="A199" s="8">
        <v>43067.776666666665</v>
      </c>
      <c r="B199" s="20" t="s">
        <v>687</v>
      </c>
      <c r="C199" s="20" t="s">
        <v>846</v>
      </c>
      <c r="D199" s="137">
        <v>1300000</v>
      </c>
      <c r="E199" s="20" t="s">
        <v>762</v>
      </c>
      <c r="F199" s="20" t="s">
        <v>763</v>
      </c>
      <c r="G199" s="8" t="str">
        <f t="shared" si="6"/>
        <v>LEVIN SCOTT</v>
      </c>
      <c r="H199" s="20" t="str">
        <f t="shared" si="7"/>
        <v>4040</v>
      </c>
    </row>
    <row r="200" spans="1:8" x14ac:dyDescent="0.25">
      <c r="A200" s="8">
        <v>43067.779930555553</v>
      </c>
      <c r="B200" s="20" t="s">
        <v>698</v>
      </c>
      <c r="C200" s="20" t="s">
        <v>847</v>
      </c>
      <c r="D200" s="137">
        <v>2230000</v>
      </c>
      <c r="E200" s="20" t="s">
        <v>387</v>
      </c>
      <c r="F200" s="20" t="s">
        <v>353</v>
      </c>
      <c r="G200" s="8" t="str">
        <f t="shared" si="6"/>
        <v>SMITH MICHAEL</v>
      </c>
      <c r="H200" s="20" t="str">
        <f t="shared" si="7"/>
        <v>4049</v>
      </c>
    </row>
    <row r="201" spans="1:8" x14ac:dyDescent="0.25">
      <c r="A201" s="8">
        <v>43067.788344907407</v>
      </c>
      <c r="B201" s="20" t="s">
        <v>660</v>
      </c>
      <c r="C201" s="20" t="s">
        <v>661</v>
      </c>
      <c r="D201" s="137">
        <v>3220000</v>
      </c>
      <c r="E201" s="20" t="s">
        <v>376</v>
      </c>
      <c r="F201" s="20" t="s">
        <v>377</v>
      </c>
      <c r="G201" s="8" t="str">
        <f t="shared" si="6"/>
        <v>RESPASS AARON</v>
      </c>
      <c r="H201" s="20" t="str">
        <f t="shared" si="7"/>
        <v>4042</v>
      </c>
    </row>
    <row r="202" spans="1:8" x14ac:dyDescent="0.25">
      <c r="A202" s="26">
        <v>43067.789525462962</v>
      </c>
      <c r="B202" s="20" t="s">
        <v>366</v>
      </c>
      <c r="C202" s="20" t="s">
        <v>848</v>
      </c>
      <c r="D202" s="137">
        <v>2000000</v>
      </c>
      <c r="E202" s="20" t="s">
        <v>388</v>
      </c>
      <c r="F202" s="20" t="s">
        <v>389</v>
      </c>
      <c r="G202" s="8" t="str">
        <f t="shared" si="6"/>
        <v>STAMBAUGH JAMES</v>
      </c>
      <c r="H202" s="20" t="str">
        <f t="shared" si="7"/>
        <v>4035</v>
      </c>
    </row>
    <row r="203" spans="1:8" x14ac:dyDescent="0.25">
      <c r="A203" s="8">
        <v>43067.792164351849</v>
      </c>
      <c r="B203" s="20" t="s">
        <v>635</v>
      </c>
      <c r="C203" s="20" t="s">
        <v>849</v>
      </c>
      <c r="D203" s="137">
        <v>2970000</v>
      </c>
      <c r="E203" s="20" t="s">
        <v>372</v>
      </c>
      <c r="F203" s="20" t="s">
        <v>373</v>
      </c>
      <c r="G203" s="8" t="str">
        <f t="shared" si="6"/>
        <v>GUZMAN DANNY</v>
      </c>
      <c r="H203" s="20" t="str">
        <f t="shared" si="7"/>
        <v>4002</v>
      </c>
    </row>
    <row r="204" spans="1:8" x14ac:dyDescent="0.25">
      <c r="A204" s="8">
        <v>43067.792650462965</v>
      </c>
      <c r="B204" s="20" t="s">
        <v>385</v>
      </c>
      <c r="C204" s="20" t="s">
        <v>850</v>
      </c>
      <c r="D204" s="137">
        <v>3320000</v>
      </c>
      <c r="E204" s="20" t="s">
        <v>362</v>
      </c>
      <c r="F204" s="20" t="s">
        <v>363</v>
      </c>
      <c r="G204" s="8" t="str">
        <f t="shared" si="6"/>
        <v>NICHOLSON WESLEY</v>
      </c>
      <c r="H204" s="20" t="str">
        <f t="shared" si="7"/>
        <v>4059</v>
      </c>
    </row>
    <row r="205" spans="1:8" x14ac:dyDescent="0.25">
      <c r="A205" s="8">
        <v>43067.798414351855</v>
      </c>
      <c r="B205" s="20" t="s">
        <v>694</v>
      </c>
      <c r="C205" s="20" t="s">
        <v>851</v>
      </c>
      <c r="D205" s="137">
        <v>2630000</v>
      </c>
      <c r="E205" s="20" t="s">
        <v>370</v>
      </c>
      <c r="F205" s="20" t="s">
        <v>371</v>
      </c>
      <c r="G205" s="8" t="str">
        <f t="shared" si="6"/>
        <v>SAFIEF AEIMEN</v>
      </c>
      <c r="H205" s="20" t="str">
        <f t="shared" si="7"/>
        <v>4034</v>
      </c>
    </row>
    <row r="206" spans="1:8" x14ac:dyDescent="0.25">
      <c r="A206" s="8">
        <v>43067.79859953704</v>
      </c>
      <c r="B206" s="20" t="s">
        <v>352</v>
      </c>
      <c r="C206" s="20" t="s">
        <v>852</v>
      </c>
      <c r="D206" s="137">
        <v>3310000</v>
      </c>
      <c r="E206" s="20" t="s">
        <v>842</v>
      </c>
      <c r="F206" s="20" t="s">
        <v>843</v>
      </c>
      <c r="G206" s="8" t="str">
        <f t="shared" si="6"/>
        <v>ANDERS STEVEN</v>
      </c>
      <c r="H206" s="20" t="str">
        <f t="shared" si="7"/>
        <v>4055</v>
      </c>
    </row>
    <row r="207" spans="1:8" x14ac:dyDescent="0.25">
      <c r="A207" s="8">
        <v>43067.809664351851</v>
      </c>
      <c r="B207" s="20" t="s">
        <v>357</v>
      </c>
      <c r="C207" s="20" t="s">
        <v>853</v>
      </c>
      <c r="D207" s="137">
        <v>890000</v>
      </c>
      <c r="E207" s="20" t="s">
        <v>345</v>
      </c>
      <c r="F207" s="20" t="s">
        <v>346</v>
      </c>
      <c r="G207" s="8" t="str">
        <f t="shared" si="6"/>
        <v>LOZA FIDEL</v>
      </c>
      <c r="H207" s="20" t="str">
        <f t="shared" si="7"/>
        <v>4008</v>
      </c>
    </row>
    <row r="208" spans="1:8" x14ac:dyDescent="0.25">
      <c r="A208" s="8">
        <v>43067.809907407405</v>
      </c>
      <c r="B208" s="20" t="s">
        <v>652</v>
      </c>
      <c r="C208" s="20" t="s">
        <v>854</v>
      </c>
      <c r="D208" s="137">
        <v>2970000</v>
      </c>
      <c r="E208" s="20" t="s">
        <v>372</v>
      </c>
      <c r="F208" s="20" t="s">
        <v>373</v>
      </c>
      <c r="G208" s="8" t="str">
        <f t="shared" si="6"/>
        <v>GUZMAN DANNY</v>
      </c>
      <c r="H208" s="20" t="str">
        <f t="shared" si="7"/>
        <v>4001</v>
      </c>
    </row>
    <row r="209" spans="1:8" x14ac:dyDescent="0.25">
      <c r="A209" s="8">
        <v>43067.818969907406</v>
      </c>
      <c r="B209" s="20" t="s">
        <v>702</v>
      </c>
      <c r="C209" s="20" t="s">
        <v>855</v>
      </c>
      <c r="D209" s="137">
        <v>2230000</v>
      </c>
      <c r="E209" s="20" t="s">
        <v>387</v>
      </c>
      <c r="F209" s="20" t="s">
        <v>353</v>
      </c>
      <c r="G209" s="8" t="str">
        <f t="shared" si="6"/>
        <v>SMITH MICHAEL</v>
      </c>
      <c r="H209" s="20" t="str">
        <f t="shared" si="7"/>
        <v>4050</v>
      </c>
    </row>
    <row r="210" spans="1:8" x14ac:dyDescent="0.25">
      <c r="A210" s="8">
        <v>43067.829768518517</v>
      </c>
      <c r="B210" s="20" t="s">
        <v>438</v>
      </c>
      <c r="C210" s="20" t="s">
        <v>662</v>
      </c>
      <c r="D210" s="137">
        <v>3220000</v>
      </c>
      <c r="E210" s="20" t="s">
        <v>376</v>
      </c>
      <c r="F210" s="20" t="s">
        <v>377</v>
      </c>
      <c r="G210" s="8" t="str">
        <f t="shared" si="6"/>
        <v>RESPASS AARON</v>
      </c>
      <c r="H210" s="20" t="str">
        <f t="shared" si="7"/>
        <v>4041</v>
      </c>
    </row>
    <row r="211" spans="1:8" x14ac:dyDescent="0.25">
      <c r="A211" s="8">
        <v>43067.830138888887</v>
      </c>
      <c r="B211" s="20" t="s">
        <v>358</v>
      </c>
      <c r="C211" s="20" t="s">
        <v>856</v>
      </c>
      <c r="D211" s="137">
        <v>3320000</v>
      </c>
      <c r="E211" s="20" t="s">
        <v>362</v>
      </c>
      <c r="F211" s="20" t="s">
        <v>363</v>
      </c>
      <c r="G211" s="8" t="str">
        <f t="shared" si="6"/>
        <v>NICHOLSON WESLEY</v>
      </c>
      <c r="H211" s="20" t="str">
        <f t="shared" si="7"/>
        <v>4060</v>
      </c>
    </row>
    <row r="212" spans="1:8" x14ac:dyDescent="0.25">
      <c r="A212" s="8">
        <v>43067.83289351852</v>
      </c>
      <c r="B212" s="20" t="s">
        <v>635</v>
      </c>
      <c r="C212" s="20" t="s">
        <v>857</v>
      </c>
      <c r="D212" s="137">
        <v>2970000</v>
      </c>
      <c r="E212" s="20" t="s">
        <v>372</v>
      </c>
      <c r="F212" s="20" t="s">
        <v>373</v>
      </c>
      <c r="G212" s="8" t="str">
        <f t="shared" si="6"/>
        <v>GUZMAN DANNY</v>
      </c>
      <c r="H212" s="20" t="str">
        <f t="shared" si="7"/>
        <v>4002</v>
      </c>
    </row>
    <row r="213" spans="1:8" x14ac:dyDescent="0.25">
      <c r="A213" s="8">
        <v>43067.843055555553</v>
      </c>
      <c r="B213" s="20" t="s">
        <v>444</v>
      </c>
      <c r="C213" s="20" t="s">
        <v>858</v>
      </c>
      <c r="D213" s="137">
        <v>3130000</v>
      </c>
      <c r="E213" s="20" t="s">
        <v>859</v>
      </c>
      <c r="F213" s="20" t="s">
        <v>860</v>
      </c>
      <c r="G213" s="8" t="str">
        <f t="shared" si="6"/>
        <v>ZEWDU DEREJE</v>
      </c>
      <c r="H213" s="20" t="str">
        <f t="shared" si="7"/>
        <v>4056</v>
      </c>
    </row>
    <row r="214" spans="1:8" x14ac:dyDescent="0.25">
      <c r="A214" s="8">
        <v>43067.850497685184</v>
      </c>
      <c r="B214" s="20" t="s">
        <v>360</v>
      </c>
      <c r="C214" s="20" t="s">
        <v>861</v>
      </c>
      <c r="D214" s="137">
        <v>890000</v>
      </c>
      <c r="E214" s="20" t="s">
        <v>345</v>
      </c>
      <c r="F214" s="20" t="s">
        <v>346</v>
      </c>
      <c r="G214" s="8" t="str">
        <f t="shared" si="6"/>
        <v>LOZA FIDEL</v>
      </c>
      <c r="H214" s="20" t="str">
        <f t="shared" si="7"/>
        <v>4007</v>
      </c>
    </row>
    <row r="215" spans="1:8" x14ac:dyDescent="0.25">
      <c r="A215" s="8">
        <v>43067.852037037039</v>
      </c>
      <c r="B215" s="20" t="s">
        <v>652</v>
      </c>
      <c r="C215" s="20" t="s">
        <v>857</v>
      </c>
      <c r="D215" s="137">
        <v>2970000</v>
      </c>
      <c r="E215" s="20" t="s">
        <v>372</v>
      </c>
      <c r="F215" s="20" t="s">
        <v>373</v>
      </c>
      <c r="G215" s="8" t="str">
        <f t="shared" si="6"/>
        <v>GUZMAN DANNY</v>
      </c>
      <c r="H215" s="20" t="str">
        <f t="shared" si="7"/>
        <v>4001</v>
      </c>
    </row>
    <row r="216" spans="1:8" x14ac:dyDescent="0.25">
      <c r="A216" s="8">
        <v>43067.852592592593</v>
      </c>
      <c r="B216" s="20" t="s">
        <v>652</v>
      </c>
      <c r="C216" s="20" t="s">
        <v>862</v>
      </c>
      <c r="D216" s="137">
        <v>2970000</v>
      </c>
      <c r="E216" s="20" t="s">
        <v>372</v>
      </c>
      <c r="F216" s="20" t="s">
        <v>373</v>
      </c>
      <c r="G216" s="8" t="str">
        <f t="shared" si="6"/>
        <v>GUZMAN DANNY</v>
      </c>
      <c r="H216" s="20" t="str">
        <f t="shared" si="7"/>
        <v>4001</v>
      </c>
    </row>
    <row r="217" spans="1:8" x14ac:dyDescent="0.25">
      <c r="A217" s="8">
        <v>43067.861886574072</v>
      </c>
      <c r="B217" s="20" t="s">
        <v>385</v>
      </c>
      <c r="C217" s="20" t="s">
        <v>863</v>
      </c>
      <c r="D217" s="137">
        <v>3320000</v>
      </c>
      <c r="E217" s="20" t="s">
        <v>362</v>
      </c>
      <c r="F217" s="20" t="s">
        <v>363</v>
      </c>
      <c r="G217" s="8" t="str">
        <f t="shared" si="6"/>
        <v>NICHOLSON WESLEY</v>
      </c>
      <c r="H217" s="20" t="str">
        <f t="shared" si="7"/>
        <v>4059</v>
      </c>
    </row>
    <row r="218" spans="1:8" x14ac:dyDescent="0.25">
      <c r="A218" s="8">
        <v>43067.868668981479</v>
      </c>
      <c r="B218" s="20" t="s">
        <v>660</v>
      </c>
      <c r="C218" s="20" t="s">
        <v>864</v>
      </c>
      <c r="D218" s="137">
        <v>3220000</v>
      </c>
      <c r="E218" s="20" t="s">
        <v>376</v>
      </c>
      <c r="F218" s="20" t="s">
        <v>377</v>
      </c>
      <c r="G218" s="8" t="str">
        <f t="shared" si="6"/>
        <v>RESPASS AARON</v>
      </c>
      <c r="H218" s="20" t="str">
        <f t="shared" si="7"/>
        <v>4042</v>
      </c>
    </row>
    <row r="219" spans="1:8" x14ac:dyDescent="0.25">
      <c r="A219" s="8">
        <v>43067.878645833334</v>
      </c>
      <c r="B219" s="20" t="s">
        <v>635</v>
      </c>
      <c r="C219" s="20" t="s">
        <v>865</v>
      </c>
      <c r="D219" s="137">
        <v>2000000</v>
      </c>
      <c r="E219" s="20" t="s">
        <v>388</v>
      </c>
      <c r="F219" s="20" t="s">
        <v>389</v>
      </c>
      <c r="G219" s="8" t="str">
        <f t="shared" si="6"/>
        <v>STAMBAUGH JAMES</v>
      </c>
      <c r="H219" s="20" t="str">
        <f t="shared" si="7"/>
        <v>4002</v>
      </c>
    </row>
    <row r="220" spans="1:8" x14ac:dyDescent="0.25">
      <c r="A220" s="8">
        <v>43067.884988425925</v>
      </c>
      <c r="B220" s="20" t="s">
        <v>357</v>
      </c>
      <c r="C220" s="20" t="s">
        <v>866</v>
      </c>
      <c r="D220" s="137">
        <v>3490000</v>
      </c>
      <c r="E220" s="20" t="s">
        <v>832</v>
      </c>
      <c r="F220" s="20" t="s">
        <v>833</v>
      </c>
      <c r="G220" s="8" t="str">
        <f t="shared" si="6"/>
        <v>WEST BRYAN</v>
      </c>
      <c r="H220" s="20" t="str">
        <f t="shared" si="7"/>
        <v>4008</v>
      </c>
    </row>
    <row r="221" spans="1:8" x14ac:dyDescent="0.25">
      <c r="A221" s="8">
        <v>43067.892627314817</v>
      </c>
      <c r="B221" s="20" t="s">
        <v>652</v>
      </c>
      <c r="C221" s="20" t="s">
        <v>867</v>
      </c>
      <c r="D221" s="137">
        <v>2000000</v>
      </c>
      <c r="E221" s="20" t="s">
        <v>388</v>
      </c>
      <c r="F221" s="20" t="s">
        <v>389</v>
      </c>
      <c r="G221" s="8" t="str">
        <f t="shared" si="6"/>
        <v>STAMBAUGH JAMES</v>
      </c>
      <c r="H221" s="20" t="str">
        <f t="shared" si="7"/>
        <v>4001</v>
      </c>
    </row>
    <row r="222" spans="1:8" x14ac:dyDescent="0.25">
      <c r="A222" s="8">
        <v>43067.893969907411</v>
      </c>
      <c r="B222" s="20" t="s">
        <v>352</v>
      </c>
      <c r="C222" s="20" t="s">
        <v>868</v>
      </c>
      <c r="D222" s="137">
        <v>3130000</v>
      </c>
      <c r="E222" s="20" t="s">
        <v>859</v>
      </c>
      <c r="F222" s="20" t="s">
        <v>860</v>
      </c>
      <c r="G222" s="8" t="str">
        <f t="shared" si="6"/>
        <v>ZEWDU DEREJE</v>
      </c>
      <c r="H222" s="20" t="str">
        <f t="shared" si="7"/>
        <v>4055</v>
      </c>
    </row>
    <row r="223" spans="1:8" x14ac:dyDescent="0.25">
      <c r="A223" s="8">
        <v>43067.905057870368</v>
      </c>
      <c r="B223" s="20" t="s">
        <v>358</v>
      </c>
      <c r="C223" s="20" t="s">
        <v>869</v>
      </c>
      <c r="D223" s="137">
        <v>3320000</v>
      </c>
      <c r="E223" s="20" t="s">
        <v>362</v>
      </c>
      <c r="F223" s="20" t="s">
        <v>363</v>
      </c>
      <c r="G223" s="8" t="str">
        <f t="shared" si="6"/>
        <v>NICHOLSON WESLEY</v>
      </c>
      <c r="H223" s="20" t="str">
        <f t="shared" si="7"/>
        <v>4060</v>
      </c>
    </row>
    <row r="224" spans="1:8" x14ac:dyDescent="0.25">
      <c r="A224" s="8">
        <v>43067.912581018521</v>
      </c>
      <c r="B224" t="s">
        <v>438</v>
      </c>
      <c r="C224" t="s">
        <v>870</v>
      </c>
      <c r="D224" s="137">
        <v>3220000</v>
      </c>
      <c r="E224" t="s">
        <v>376</v>
      </c>
      <c r="F224" s="20" t="s">
        <v>377</v>
      </c>
      <c r="G224" s="8" t="str">
        <f t="shared" si="6"/>
        <v>RESPASS AARON</v>
      </c>
      <c r="H224" s="20" t="str">
        <f t="shared" si="7"/>
        <v>4041</v>
      </c>
    </row>
    <row r="225" spans="1:8" x14ac:dyDescent="0.25">
      <c r="A225" s="8">
        <v>43067.920428240737</v>
      </c>
      <c r="B225" t="s">
        <v>635</v>
      </c>
      <c r="C225" t="s">
        <v>871</v>
      </c>
      <c r="D225" s="137">
        <v>2000000</v>
      </c>
      <c r="E225" t="s">
        <v>388</v>
      </c>
      <c r="F225" s="20" t="s">
        <v>389</v>
      </c>
      <c r="G225" s="8" t="str">
        <f t="shared" si="6"/>
        <v>STAMBAUGH JAMES</v>
      </c>
      <c r="H225" s="20" t="str">
        <f t="shared" si="7"/>
        <v>4002</v>
      </c>
    </row>
    <row r="226" spans="1:8" x14ac:dyDescent="0.25">
      <c r="A226" s="8">
        <v>43067.925717592596</v>
      </c>
      <c r="B226" t="s">
        <v>360</v>
      </c>
      <c r="C226" t="s">
        <v>872</v>
      </c>
      <c r="D226" s="137">
        <v>3490000</v>
      </c>
      <c r="E226" t="s">
        <v>832</v>
      </c>
      <c r="F226" s="20" t="s">
        <v>833</v>
      </c>
      <c r="G226" s="8" t="str">
        <f t="shared" si="6"/>
        <v>WEST BRYAN</v>
      </c>
      <c r="H226" s="20" t="str">
        <f t="shared" si="7"/>
        <v>4007</v>
      </c>
    </row>
    <row r="227" spans="1:8" x14ac:dyDescent="0.25">
      <c r="A227" s="8">
        <v>43067.933969907404</v>
      </c>
      <c r="B227" t="s">
        <v>652</v>
      </c>
      <c r="C227" t="s">
        <v>663</v>
      </c>
      <c r="D227" s="137">
        <v>2000000</v>
      </c>
      <c r="E227" t="s">
        <v>388</v>
      </c>
      <c r="F227" s="20" t="s">
        <v>389</v>
      </c>
      <c r="G227" s="8" t="str">
        <f t="shared" si="6"/>
        <v>STAMBAUGH JAMES</v>
      </c>
      <c r="H227" s="20" t="str">
        <f t="shared" si="7"/>
        <v>4001</v>
      </c>
    </row>
    <row r="228" spans="1:8" x14ac:dyDescent="0.25">
      <c r="A228" s="8">
        <v>43067.935057870367</v>
      </c>
      <c r="B228" t="s">
        <v>444</v>
      </c>
      <c r="C228" t="s">
        <v>873</v>
      </c>
      <c r="D228" s="137">
        <v>3310000</v>
      </c>
      <c r="E228" t="s">
        <v>842</v>
      </c>
      <c r="F228" s="20" t="s">
        <v>843</v>
      </c>
      <c r="G228" s="8" t="str">
        <f t="shared" si="6"/>
        <v>ANDERS STEVEN</v>
      </c>
      <c r="H228" s="20" t="str">
        <f t="shared" si="7"/>
        <v>4056</v>
      </c>
    </row>
    <row r="229" spans="1:8" x14ac:dyDescent="0.25">
      <c r="A229" s="8">
        <v>43067.949340277781</v>
      </c>
      <c r="B229" t="s">
        <v>385</v>
      </c>
      <c r="C229" t="s">
        <v>874</v>
      </c>
      <c r="D229" s="137">
        <v>3320000</v>
      </c>
      <c r="E229" t="s">
        <v>362</v>
      </c>
      <c r="F229" s="20" t="s">
        <v>363</v>
      </c>
      <c r="G229" s="8" t="str">
        <f t="shared" si="6"/>
        <v>NICHOLSON WESLEY</v>
      </c>
      <c r="H229" s="20" t="str">
        <f t="shared" si="7"/>
        <v>4059</v>
      </c>
    </row>
    <row r="230" spans="1:8" x14ac:dyDescent="0.25">
      <c r="A230" s="8">
        <v>43067.954259259262</v>
      </c>
      <c r="B230" t="s">
        <v>660</v>
      </c>
      <c r="C230" t="s">
        <v>664</v>
      </c>
      <c r="D230" s="137">
        <v>3220000</v>
      </c>
      <c r="E230" t="s">
        <v>376</v>
      </c>
      <c r="F230" s="20" t="s">
        <v>377</v>
      </c>
      <c r="G230" s="8" t="str">
        <f t="shared" si="6"/>
        <v>RESPASS AARON</v>
      </c>
      <c r="H230" s="20" t="str">
        <f t="shared" si="7"/>
        <v>4042</v>
      </c>
    </row>
    <row r="231" spans="1:8" x14ac:dyDescent="0.25">
      <c r="A231" s="8">
        <v>43067.962245370371</v>
      </c>
      <c r="B231" t="s">
        <v>635</v>
      </c>
      <c r="C231" t="s">
        <v>875</v>
      </c>
      <c r="D231" s="137">
        <v>2000000</v>
      </c>
      <c r="E231" t="s">
        <v>388</v>
      </c>
      <c r="F231" s="20" t="s">
        <v>389</v>
      </c>
      <c r="G231" s="8" t="str">
        <f t="shared" si="6"/>
        <v>STAMBAUGH JAMES</v>
      </c>
      <c r="H231" s="20" t="str">
        <f t="shared" si="7"/>
        <v>4002</v>
      </c>
    </row>
    <row r="232" spans="1:8" x14ac:dyDescent="0.25">
      <c r="A232" s="8">
        <v>43067.968773148146</v>
      </c>
      <c r="B232" t="s">
        <v>352</v>
      </c>
      <c r="C232" t="s">
        <v>876</v>
      </c>
      <c r="D232" s="137">
        <v>3310000</v>
      </c>
      <c r="E232" t="s">
        <v>842</v>
      </c>
      <c r="F232" s="20" t="s">
        <v>843</v>
      </c>
      <c r="G232" s="8" t="str">
        <f t="shared" si="6"/>
        <v>ANDERS STEVEN</v>
      </c>
      <c r="H232" s="20" t="str">
        <f t="shared" si="7"/>
        <v>4055</v>
      </c>
    </row>
    <row r="233" spans="1:8" x14ac:dyDescent="0.25">
      <c r="A233" s="8">
        <v>43067.973368055558</v>
      </c>
      <c r="B233" t="s">
        <v>357</v>
      </c>
      <c r="C233" t="s">
        <v>877</v>
      </c>
      <c r="D233" s="137">
        <v>890000</v>
      </c>
      <c r="E233" t="s">
        <v>345</v>
      </c>
      <c r="F233" s="20" t="s">
        <v>346</v>
      </c>
      <c r="G233" s="8" t="str">
        <f t="shared" si="6"/>
        <v>LOZA FIDEL</v>
      </c>
      <c r="H233" s="20" t="str">
        <f t="shared" si="7"/>
        <v>4008</v>
      </c>
    </row>
    <row r="234" spans="1:8" x14ac:dyDescent="0.25">
      <c r="A234" s="8">
        <v>43067.975069444445</v>
      </c>
      <c r="B234" t="s">
        <v>652</v>
      </c>
      <c r="C234" t="s">
        <v>878</v>
      </c>
      <c r="D234" s="137">
        <v>2000000</v>
      </c>
      <c r="E234" t="s">
        <v>388</v>
      </c>
      <c r="F234" s="20" t="s">
        <v>389</v>
      </c>
      <c r="G234" s="8" t="str">
        <f t="shared" si="6"/>
        <v>STAMBAUGH JAMES</v>
      </c>
      <c r="H234" s="20" t="str">
        <f t="shared" si="7"/>
        <v>4001</v>
      </c>
    </row>
    <row r="235" spans="1:8" x14ac:dyDescent="0.25">
      <c r="A235" s="8">
        <v>43067.994837962964</v>
      </c>
      <c r="B235" t="s">
        <v>438</v>
      </c>
      <c r="C235" t="s">
        <v>879</v>
      </c>
      <c r="D235" s="137">
        <v>3220000</v>
      </c>
      <c r="E235" t="s">
        <v>376</v>
      </c>
      <c r="F235" s="20" t="s">
        <v>377</v>
      </c>
      <c r="G235" s="8" t="str">
        <f t="shared" si="6"/>
        <v>RESPASS AARON</v>
      </c>
      <c r="H235" s="20" t="str">
        <f t="shared" si="7"/>
        <v>4041</v>
      </c>
    </row>
    <row r="236" spans="1:8" x14ac:dyDescent="0.25">
      <c r="A236" s="8">
        <v>43067.995069444441</v>
      </c>
      <c r="B236" t="s">
        <v>358</v>
      </c>
      <c r="C236" t="s">
        <v>665</v>
      </c>
      <c r="D236" s="137">
        <v>3320000</v>
      </c>
      <c r="E236" t="s">
        <v>362</v>
      </c>
      <c r="F236" s="20" t="s">
        <v>363</v>
      </c>
      <c r="G236" s="8" t="str">
        <f t="shared" si="6"/>
        <v>NICHOLSON WESLEY</v>
      </c>
      <c r="H236" s="20" t="str">
        <f t="shared" si="7"/>
        <v>4060</v>
      </c>
    </row>
    <row r="237" spans="1:8" x14ac:dyDescent="0.25">
      <c r="A237" s="8">
        <v>43068.010231481479</v>
      </c>
      <c r="B237" t="s">
        <v>444</v>
      </c>
      <c r="C237" t="s">
        <v>880</v>
      </c>
      <c r="D237" s="137">
        <v>3310000</v>
      </c>
      <c r="E237" t="s">
        <v>842</v>
      </c>
      <c r="F237" s="20" t="s">
        <v>843</v>
      </c>
      <c r="G237" s="8" t="str">
        <f t="shared" si="6"/>
        <v>ANDERS STEVEN</v>
      </c>
      <c r="H237" s="20" t="str">
        <f t="shared" si="7"/>
        <v>4056</v>
      </c>
    </row>
    <row r="238" spans="1:8" x14ac:dyDescent="0.25">
      <c r="A238" s="8">
        <v>43068.016030092593</v>
      </c>
      <c r="B238" t="s">
        <v>360</v>
      </c>
      <c r="C238" t="s">
        <v>881</v>
      </c>
      <c r="D238" s="137">
        <v>890000</v>
      </c>
      <c r="E238" t="s">
        <v>345</v>
      </c>
      <c r="F238" s="20" t="s">
        <v>346</v>
      </c>
      <c r="G238" s="8" t="str">
        <f t="shared" si="6"/>
        <v>LOZA FIDEL</v>
      </c>
      <c r="H238" s="20" t="str">
        <f t="shared" si="7"/>
        <v>4007</v>
      </c>
    </row>
    <row r="239" spans="1:8" x14ac:dyDescent="0.25">
      <c r="A239" s="8">
        <v>43068.026805555557</v>
      </c>
      <c r="B239" t="s">
        <v>660</v>
      </c>
      <c r="C239" t="s">
        <v>882</v>
      </c>
      <c r="D239" s="137">
        <v>3220000</v>
      </c>
      <c r="E239" t="s">
        <v>376</v>
      </c>
      <c r="F239" s="20" t="s">
        <v>377</v>
      </c>
      <c r="G239" s="8" t="str">
        <f t="shared" si="6"/>
        <v>RESPASS AARON</v>
      </c>
      <c r="H239" s="20" t="str">
        <f t="shared" si="7"/>
        <v>4042</v>
      </c>
    </row>
    <row r="240" spans="1:8" x14ac:dyDescent="0.25">
      <c r="A240" s="8">
        <v>43068.035277777781</v>
      </c>
      <c r="B240" t="s">
        <v>385</v>
      </c>
      <c r="C240" t="s">
        <v>883</v>
      </c>
      <c r="D240" s="137">
        <v>3320000</v>
      </c>
      <c r="E240" t="s">
        <v>362</v>
      </c>
      <c r="F240" s="20" t="s">
        <v>363</v>
      </c>
      <c r="G240" s="8" t="str">
        <f t="shared" si="6"/>
        <v>NICHOLSON WESLEY</v>
      </c>
      <c r="H240" s="20" t="str">
        <f t="shared" si="7"/>
        <v>4059</v>
      </c>
    </row>
    <row r="241" spans="1:8" x14ac:dyDescent="0.25">
      <c r="A241" s="8">
        <v>43068.047569444447</v>
      </c>
      <c r="B241" t="s">
        <v>357</v>
      </c>
      <c r="C241" t="s">
        <v>881</v>
      </c>
      <c r="D241" s="137">
        <v>890000</v>
      </c>
      <c r="E241" t="s">
        <v>345</v>
      </c>
      <c r="F241" s="20" t="s">
        <v>346</v>
      </c>
      <c r="G241" s="8" t="str">
        <f t="shared" si="6"/>
        <v>LOZA FIDEL</v>
      </c>
      <c r="H241" s="20" t="str">
        <f t="shared" si="7"/>
        <v>4008</v>
      </c>
    </row>
    <row r="242" spans="1:8" x14ac:dyDescent="0.25">
      <c r="A242" s="8">
        <v>43068.048506944448</v>
      </c>
      <c r="B242" t="s">
        <v>357</v>
      </c>
      <c r="C242" t="s">
        <v>881</v>
      </c>
      <c r="D242" s="137">
        <v>890000</v>
      </c>
      <c r="E242" t="s">
        <v>345</v>
      </c>
      <c r="F242" s="20" t="s">
        <v>346</v>
      </c>
      <c r="G242" s="8" t="str">
        <f t="shared" si="6"/>
        <v>LOZA FIDEL</v>
      </c>
      <c r="H242" s="20" t="str">
        <f t="shared" si="7"/>
        <v>4008</v>
      </c>
    </row>
    <row r="243" spans="1:8" x14ac:dyDescent="0.25">
      <c r="A243" s="8">
        <v>43068.05909722222</v>
      </c>
      <c r="B243" t="s">
        <v>352</v>
      </c>
      <c r="C243" t="s">
        <v>884</v>
      </c>
      <c r="D243" s="137">
        <v>3310000</v>
      </c>
      <c r="E243" t="s">
        <v>842</v>
      </c>
      <c r="F243" s="20" t="s">
        <v>843</v>
      </c>
      <c r="G243" s="8" t="str">
        <f t="shared" si="6"/>
        <v>ANDERS STEVEN</v>
      </c>
      <c r="H243" s="20" t="str">
        <f t="shared" si="7"/>
        <v>4055</v>
      </c>
    </row>
    <row r="244" spans="1:8" x14ac:dyDescent="0.25">
      <c r="A244" s="8">
        <v>43068.070439814815</v>
      </c>
      <c r="B244" t="s">
        <v>358</v>
      </c>
      <c r="C244" t="s">
        <v>885</v>
      </c>
      <c r="D244" s="137">
        <v>3320000</v>
      </c>
      <c r="E244" t="s">
        <v>362</v>
      </c>
      <c r="F244" s="20" t="s">
        <v>363</v>
      </c>
      <c r="G244" s="8" t="str">
        <f t="shared" si="6"/>
        <v>NICHOLSON WESLEY</v>
      </c>
      <c r="H244" s="20" t="str">
        <f t="shared" si="7"/>
        <v>4060</v>
      </c>
    </row>
    <row r="245" spans="1:8" x14ac:dyDescent="0.25">
      <c r="A245" s="8">
        <v>43066.783391203702</v>
      </c>
      <c r="B245" t="s">
        <v>446</v>
      </c>
      <c r="C245" t="s">
        <v>531</v>
      </c>
      <c r="D245" s="137">
        <v>2230000</v>
      </c>
      <c r="E245" t="s">
        <v>387</v>
      </c>
      <c r="F245" s="20" t="s">
        <v>353</v>
      </c>
      <c r="G245" s="8" t="str">
        <f t="shared" si="6"/>
        <v>SMITH MICHAEL</v>
      </c>
      <c r="H245" s="20" t="str">
        <f t="shared" si="7"/>
        <v>4053</v>
      </c>
    </row>
    <row r="246" spans="1:8" x14ac:dyDescent="0.25">
      <c r="A246" s="8">
        <v>43066.785960648151</v>
      </c>
      <c r="B246" t="s">
        <v>359</v>
      </c>
      <c r="C246" t="s">
        <v>532</v>
      </c>
      <c r="D246" s="137">
        <v>3340000</v>
      </c>
      <c r="E246" t="s">
        <v>424</v>
      </c>
      <c r="F246" s="20" t="s">
        <v>425</v>
      </c>
      <c r="G246" s="8" t="str">
        <f t="shared" si="6"/>
        <v>ELBAUM MIKE</v>
      </c>
      <c r="H246" s="20" t="str">
        <f t="shared" si="7"/>
        <v>4018</v>
      </c>
    </row>
    <row r="247" spans="1:8" x14ac:dyDescent="0.25">
      <c r="A247" s="8">
        <v>43066.788368055553</v>
      </c>
      <c r="B247" t="s">
        <v>525</v>
      </c>
      <c r="C247" t="s">
        <v>533</v>
      </c>
      <c r="D247" s="137">
        <v>2000000</v>
      </c>
      <c r="E247" t="s">
        <v>388</v>
      </c>
      <c r="F247" s="20" t="s">
        <v>389</v>
      </c>
      <c r="G247" s="8" t="str">
        <f t="shared" si="6"/>
        <v>STAMBAUGH JAMES</v>
      </c>
      <c r="H247" s="20" t="str">
        <f t="shared" si="7"/>
        <v>4019</v>
      </c>
    </row>
    <row r="248" spans="1:8" x14ac:dyDescent="0.25">
      <c r="A248" s="8">
        <v>43066.791250000002</v>
      </c>
      <c r="B248" t="s">
        <v>444</v>
      </c>
      <c r="C248" t="s">
        <v>534</v>
      </c>
      <c r="D248" s="137">
        <v>2030000</v>
      </c>
      <c r="E248" t="s">
        <v>483</v>
      </c>
      <c r="F248" s="20" t="s">
        <v>428</v>
      </c>
      <c r="G248" s="8" t="str">
        <f t="shared" si="6"/>
        <v>KILLION DAVID</v>
      </c>
      <c r="H248" s="20" t="str">
        <f t="shared" si="7"/>
        <v>4056</v>
      </c>
    </row>
    <row r="249" spans="1:8" x14ac:dyDescent="0.25">
      <c r="A249" s="8">
        <v>43066.797488425924</v>
      </c>
      <c r="B249" t="s">
        <v>511</v>
      </c>
      <c r="C249" t="s">
        <v>535</v>
      </c>
      <c r="D249" s="137">
        <v>3220000</v>
      </c>
      <c r="E249" t="s">
        <v>376</v>
      </c>
      <c r="F249" s="20" t="s">
        <v>377</v>
      </c>
      <c r="G249" s="8" t="str">
        <f t="shared" si="6"/>
        <v>RESPASS AARON</v>
      </c>
      <c r="H249" s="20" t="str">
        <f t="shared" si="7"/>
        <v>4043</v>
      </c>
    </row>
    <row r="250" spans="1:8" x14ac:dyDescent="0.25">
      <c r="A250" s="8">
        <v>43066.797800925924</v>
      </c>
      <c r="B250" t="s">
        <v>526</v>
      </c>
      <c r="C250" t="s">
        <v>536</v>
      </c>
      <c r="D250" s="137">
        <v>2630000</v>
      </c>
      <c r="E250" t="s">
        <v>370</v>
      </c>
      <c r="F250" s="20" t="s">
        <v>371</v>
      </c>
      <c r="G250" s="8" t="str">
        <f t="shared" si="6"/>
        <v>SAFIEF AEIMEN</v>
      </c>
      <c r="H250" s="20" t="str">
        <f t="shared" si="7"/>
        <v>4064</v>
      </c>
    </row>
    <row r="251" spans="1:8" x14ac:dyDescent="0.25">
      <c r="A251" s="8">
        <v>43066.806979166664</v>
      </c>
      <c r="B251" t="s">
        <v>477</v>
      </c>
      <c r="C251" t="s">
        <v>537</v>
      </c>
      <c r="D251" s="137">
        <v>3040000</v>
      </c>
      <c r="E251" t="s">
        <v>367</v>
      </c>
      <c r="F251" s="20" t="s">
        <v>479</v>
      </c>
      <c r="G251" s="8" t="str">
        <f t="shared" si="6"/>
        <v>WILLIAMS DONTE</v>
      </c>
      <c r="H251" s="20" t="str">
        <f t="shared" si="7"/>
        <v>4025</v>
      </c>
    </row>
    <row r="252" spans="1:8" x14ac:dyDescent="0.25">
      <c r="A252" s="8">
        <v>43066.80746527778</v>
      </c>
      <c r="B252" t="s">
        <v>380</v>
      </c>
      <c r="C252" t="s">
        <v>538</v>
      </c>
      <c r="D252" s="137">
        <v>890000</v>
      </c>
      <c r="E252" t="s">
        <v>345</v>
      </c>
      <c r="F252" s="20" t="s">
        <v>346</v>
      </c>
      <c r="G252" s="8" t="str">
        <f t="shared" si="6"/>
        <v>LOZA FIDEL</v>
      </c>
      <c r="H252" s="20" t="str">
        <f t="shared" si="7"/>
        <v>4022</v>
      </c>
    </row>
    <row r="253" spans="1:8" x14ac:dyDescent="0.25">
      <c r="A253" s="8">
        <v>43066.809745370374</v>
      </c>
      <c r="B253" t="s">
        <v>352</v>
      </c>
      <c r="C253" t="s">
        <v>539</v>
      </c>
      <c r="D253" s="137">
        <v>2030000</v>
      </c>
      <c r="E253" t="s">
        <v>483</v>
      </c>
      <c r="F253" s="20" t="s">
        <v>428</v>
      </c>
      <c r="G253" s="8" t="str">
        <f t="shared" si="6"/>
        <v>KILLION DAVID</v>
      </c>
      <c r="H253" s="20" t="str">
        <f t="shared" si="7"/>
        <v>4055</v>
      </c>
    </row>
    <row r="254" spans="1:8" x14ac:dyDescent="0.25">
      <c r="A254" s="8">
        <v>43066.817939814813</v>
      </c>
      <c r="B254" t="s">
        <v>361</v>
      </c>
      <c r="C254" t="s">
        <v>508</v>
      </c>
      <c r="D254" s="137">
        <v>3340000</v>
      </c>
      <c r="E254" t="s">
        <v>424</v>
      </c>
      <c r="F254" s="20" t="s">
        <v>425</v>
      </c>
      <c r="G254" s="8" t="str">
        <f t="shared" si="6"/>
        <v>ELBAUM MIKE</v>
      </c>
      <c r="H254" s="20" t="str">
        <f t="shared" si="7"/>
        <v>4017</v>
      </c>
    </row>
    <row r="255" spans="1:8" x14ac:dyDescent="0.25">
      <c r="A255" s="8">
        <v>43066.818877314814</v>
      </c>
      <c r="B255" t="s">
        <v>445</v>
      </c>
      <c r="C255" t="s">
        <v>540</v>
      </c>
      <c r="D255" s="137">
        <v>2230000</v>
      </c>
      <c r="E255" t="s">
        <v>387</v>
      </c>
      <c r="F255" s="20" t="s">
        <v>353</v>
      </c>
      <c r="G255" s="8" t="str">
        <f t="shared" si="6"/>
        <v>SMITH MICHAEL</v>
      </c>
      <c r="H255" s="20" t="str">
        <f t="shared" si="7"/>
        <v>4054</v>
      </c>
    </row>
    <row r="256" spans="1:8" x14ac:dyDescent="0.25">
      <c r="A256" s="8">
        <v>43066.827407407407</v>
      </c>
      <c r="B256" t="s">
        <v>507</v>
      </c>
      <c r="C256" t="s">
        <v>541</v>
      </c>
      <c r="D256" s="137">
        <v>3220000</v>
      </c>
      <c r="E256" t="s">
        <v>376</v>
      </c>
      <c r="F256" s="20" t="s">
        <v>377</v>
      </c>
      <c r="G256" s="8" t="str">
        <f t="shared" si="6"/>
        <v>RESPASS AARON</v>
      </c>
      <c r="H256" s="20" t="str">
        <f t="shared" si="7"/>
        <v>4044</v>
      </c>
    </row>
    <row r="257" spans="1:8" x14ac:dyDescent="0.25">
      <c r="A257" s="8">
        <v>43066.832476851851</v>
      </c>
      <c r="B257" t="s">
        <v>444</v>
      </c>
      <c r="C257" t="s">
        <v>509</v>
      </c>
      <c r="D257" s="137">
        <v>2030000</v>
      </c>
      <c r="E257" t="s">
        <v>483</v>
      </c>
      <c r="F257" s="20" t="s">
        <v>428</v>
      </c>
      <c r="G257" s="8" t="str">
        <f t="shared" si="6"/>
        <v>KILLION DAVID</v>
      </c>
      <c r="H257" s="20" t="str">
        <f t="shared" si="7"/>
        <v>4056</v>
      </c>
    </row>
    <row r="258" spans="1:8" x14ac:dyDescent="0.25">
      <c r="A258" s="8">
        <v>43066.849664351852</v>
      </c>
      <c r="B258" t="s">
        <v>478</v>
      </c>
      <c r="C258" t="s">
        <v>542</v>
      </c>
      <c r="D258" s="137">
        <v>3040000</v>
      </c>
      <c r="E258" t="s">
        <v>367</v>
      </c>
      <c r="F258" s="20" t="s">
        <v>479</v>
      </c>
      <c r="G258" s="8" t="str">
        <f t="shared" si="6"/>
        <v>WILLIAMS DONTE</v>
      </c>
      <c r="H258" s="20" t="str">
        <f t="shared" si="7"/>
        <v>4026</v>
      </c>
    </row>
    <row r="259" spans="1:8" x14ac:dyDescent="0.25">
      <c r="A259" s="8">
        <v>43066.849710648145</v>
      </c>
      <c r="B259" t="s">
        <v>517</v>
      </c>
      <c r="C259" t="s">
        <v>543</v>
      </c>
      <c r="D259" s="137">
        <v>890000</v>
      </c>
      <c r="E259" t="s">
        <v>345</v>
      </c>
      <c r="F259" s="20" t="s">
        <v>346</v>
      </c>
      <c r="G259" s="8" t="str">
        <f t="shared" ref="G259:G313" si="8">E259&amp;" "&amp;F259</f>
        <v>LOZA FIDEL</v>
      </c>
      <c r="H259" s="20" t="str">
        <f t="shared" ref="H259:H313" si="9">MID(B259,13,4)</f>
        <v>4021</v>
      </c>
    </row>
    <row r="260" spans="1:8" x14ac:dyDescent="0.25">
      <c r="A260" s="8">
        <v>43066.851493055554</v>
      </c>
      <c r="B260" t="s">
        <v>352</v>
      </c>
      <c r="C260" t="s">
        <v>544</v>
      </c>
      <c r="D260" s="137">
        <v>2030000</v>
      </c>
      <c r="E260" t="s">
        <v>483</v>
      </c>
      <c r="F260" s="20" t="s">
        <v>428</v>
      </c>
      <c r="G260" s="8" t="str">
        <f t="shared" si="8"/>
        <v>KILLION DAVID</v>
      </c>
      <c r="H260" s="20" t="str">
        <f t="shared" si="9"/>
        <v>4055</v>
      </c>
    </row>
    <row r="261" spans="1:8" x14ac:dyDescent="0.25">
      <c r="A261" s="8">
        <v>43066.858541666668</v>
      </c>
      <c r="B261" t="s">
        <v>359</v>
      </c>
      <c r="C261" t="s">
        <v>510</v>
      </c>
      <c r="D261" s="137">
        <v>3340000</v>
      </c>
      <c r="E261" t="s">
        <v>424</v>
      </c>
      <c r="F261" s="20" t="s">
        <v>425</v>
      </c>
      <c r="G261" s="8" t="str">
        <f t="shared" si="8"/>
        <v>ELBAUM MIKE</v>
      </c>
      <c r="H261" s="20" t="str">
        <f t="shared" si="9"/>
        <v>4018</v>
      </c>
    </row>
    <row r="262" spans="1:8" x14ac:dyDescent="0.25">
      <c r="A262" s="8">
        <v>43066.869814814818</v>
      </c>
      <c r="B262" t="s">
        <v>511</v>
      </c>
      <c r="C262" t="s">
        <v>512</v>
      </c>
      <c r="D262" s="137">
        <v>3220000</v>
      </c>
      <c r="E262" t="s">
        <v>376</v>
      </c>
      <c r="F262" s="20" t="s">
        <v>377</v>
      </c>
      <c r="G262" s="8" t="str">
        <f t="shared" si="8"/>
        <v>RESPASS AARON</v>
      </c>
      <c r="H262" s="20" t="str">
        <f t="shared" si="9"/>
        <v>4043</v>
      </c>
    </row>
    <row r="263" spans="1:8" x14ac:dyDescent="0.25">
      <c r="A263" s="8">
        <v>43066.879513888889</v>
      </c>
      <c r="B263" t="s">
        <v>444</v>
      </c>
      <c r="C263" t="s">
        <v>545</v>
      </c>
      <c r="D263" s="137">
        <v>2000000</v>
      </c>
      <c r="E263" t="s">
        <v>388</v>
      </c>
      <c r="F263" s="20" t="s">
        <v>389</v>
      </c>
      <c r="G263" s="8" t="str">
        <f t="shared" si="8"/>
        <v>STAMBAUGH JAMES</v>
      </c>
      <c r="H263" s="20" t="str">
        <f t="shared" si="9"/>
        <v>4056</v>
      </c>
    </row>
    <row r="264" spans="1:8" x14ac:dyDescent="0.25">
      <c r="A264" s="8">
        <v>43066.880601851852</v>
      </c>
      <c r="B264" t="s">
        <v>380</v>
      </c>
      <c r="C264" t="s">
        <v>546</v>
      </c>
      <c r="D264" s="137">
        <v>890000</v>
      </c>
      <c r="E264" t="s">
        <v>345</v>
      </c>
      <c r="F264" s="20" t="s">
        <v>346</v>
      </c>
      <c r="G264" s="8" t="str">
        <f t="shared" si="8"/>
        <v>LOZA FIDEL</v>
      </c>
      <c r="H264" s="20" t="str">
        <f t="shared" si="9"/>
        <v>4022</v>
      </c>
    </row>
    <row r="265" spans="1:8" x14ac:dyDescent="0.25">
      <c r="A265" s="8">
        <v>43066.889675925922</v>
      </c>
      <c r="B265" t="s">
        <v>477</v>
      </c>
      <c r="C265" t="s">
        <v>547</v>
      </c>
      <c r="D265" s="137">
        <v>3040000</v>
      </c>
      <c r="E265" t="s">
        <v>367</v>
      </c>
      <c r="F265" s="20" t="s">
        <v>479</v>
      </c>
      <c r="G265" s="8" t="str">
        <f t="shared" si="8"/>
        <v>WILLIAMS DONTE</v>
      </c>
      <c r="H265" s="20" t="str">
        <f t="shared" si="9"/>
        <v>4025</v>
      </c>
    </row>
    <row r="266" spans="1:8" x14ac:dyDescent="0.25">
      <c r="A266" s="8">
        <v>43066.891793981478</v>
      </c>
      <c r="B266" t="s">
        <v>352</v>
      </c>
      <c r="C266" t="s">
        <v>548</v>
      </c>
      <c r="D266" s="137">
        <v>2000000</v>
      </c>
      <c r="E266" t="s">
        <v>388</v>
      </c>
      <c r="F266" s="20" t="s">
        <v>389</v>
      </c>
      <c r="G266" s="8" t="str">
        <f t="shared" si="8"/>
        <v>STAMBAUGH JAMES</v>
      </c>
      <c r="H266" s="20" t="str">
        <f t="shared" si="9"/>
        <v>4055</v>
      </c>
    </row>
    <row r="267" spans="1:8" x14ac:dyDescent="0.25">
      <c r="A267" s="8">
        <v>43066.901122685187</v>
      </c>
      <c r="B267" t="s">
        <v>361</v>
      </c>
      <c r="C267" t="s">
        <v>549</v>
      </c>
      <c r="D267" s="137">
        <v>3340000</v>
      </c>
      <c r="E267" t="s">
        <v>424</v>
      </c>
      <c r="F267" s="20" t="s">
        <v>425</v>
      </c>
      <c r="G267" s="8" t="str">
        <f t="shared" si="8"/>
        <v>ELBAUM MIKE</v>
      </c>
      <c r="H267" s="20" t="str">
        <f t="shared" si="9"/>
        <v>4017</v>
      </c>
    </row>
    <row r="268" spans="1:8" x14ac:dyDescent="0.25">
      <c r="A268" s="8">
        <v>43066.902974537035</v>
      </c>
      <c r="B268" t="s">
        <v>507</v>
      </c>
      <c r="C268" t="s">
        <v>550</v>
      </c>
      <c r="D268" s="137">
        <v>3500000</v>
      </c>
      <c r="E268" t="s">
        <v>374</v>
      </c>
      <c r="F268" s="20" t="s">
        <v>375</v>
      </c>
      <c r="G268" s="8" t="str">
        <f t="shared" si="8"/>
        <v>GUNTHIER ERIC</v>
      </c>
      <c r="H268" s="20" t="str">
        <f t="shared" si="9"/>
        <v>4044</v>
      </c>
    </row>
    <row r="269" spans="1:8" x14ac:dyDescent="0.25">
      <c r="A269" s="8">
        <v>43066.921122685184</v>
      </c>
      <c r="B269" t="s">
        <v>444</v>
      </c>
      <c r="C269" t="s">
        <v>513</v>
      </c>
      <c r="D269" s="137">
        <v>2000000</v>
      </c>
      <c r="E269" t="s">
        <v>388</v>
      </c>
      <c r="F269" s="20" t="s">
        <v>389</v>
      </c>
      <c r="G269" s="8" t="str">
        <f t="shared" si="8"/>
        <v>STAMBAUGH JAMES</v>
      </c>
      <c r="H269" s="20" t="str">
        <f t="shared" si="9"/>
        <v>4056</v>
      </c>
    </row>
    <row r="270" spans="1:8" x14ac:dyDescent="0.25">
      <c r="A270" s="8">
        <v>43066.929606481484</v>
      </c>
      <c r="B270" t="s">
        <v>478</v>
      </c>
      <c r="C270" t="s">
        <v>551</v>
      </c>
      <c r="D270" s="137">
        <v>3040000</v>
      </c>
      <c r="E270" t="s">
        <v>367</v>
      </c>
      <c r="F270" s="20" t="s">
        <v>479</v>
      </c>
      <c r="G270" s="8" t="str">
        <f t="shared" si="8"/>
        <v>WILLIAMS DONTE</v>
      </c>
      <c r="H270" s="20" t="str">
        <f t="shared" si="9"/>
        <v>4026</v>
      </c>
    </row>
    <row r="271" spans="1:8" x14ac:dyDescent="0.25">
      <c r="A271" s="8">
        <v>43066.931747685187</v>
      </c>
      <c r="B271" t="s">
        <v>517</v>
      </c>
      <c r="C271" t="s">
        <v>552</v>
      </c>
      <c r="D271" s="137">
        <v>890000</v>
      </c>
      <c r="E271" t="s">
        <v>345</v>
      </c>
      <c r="F271" s="20" t="s">
        <v>346</v>
      </c>
      <c r="G271" s="8" t="str">
        <f t="shared" si="8"/>
        <v>LOZA FIDEL</v>
      </c>
      <c r="H271" s="20" t="str">
        <f t="shared" si="9"/>
        <v>4021</v>
      </c>
    </row>
    <row r="272" spans="1:8" x14ac:dyDescent="0.25">
      <c r="A272" s="8">
        <v>43066.934120370373</v>
      </c>
      <c r="B272" t="s">
        <v>352</v>
      </c>
      <c r="C272" t="s">
        <v>553</v>
      </c>
      <c r="D272" s="137">
        <v>2000000</v>
      </c>
      <c r="E272" t="s">
        <v>388</v>
      </c>
      <c r="F272" s="20" t="s">
        <v>389</v>
      </c>
      <c r="G272" s="8" t="str">
        <f t="shared" si="8"/>
        <v>STAMBAUGH JAMES</v>
      </c>
      <c r="H272" s="20" t="str">
        <f t="shared" si="9"/>
        <v>4055</v>
      </c>
    </row>
    <row r="273" spans="1:8" x14ac:dyDescent="0.25">
      <c r="A273" s="8">
        <v>43066.945567129631</v>
      </c>
      <c r="B273" t="s">
        <v>359</v>
      </c>
      <c r="C273" t="s">
        <v>554</v>
      </c>
      <c r="D273" s="137">
        <v>3340000</v>
      </c>
      <c r="E273" t="s">
        <v>424</v>
      </c>
      <c r="F273" s="20" t="s">
        <v>425</v>
      </c>
      <c r="G273" s="8" t="str">
        <f t="shared" si="8"/>
        <v>ELBAUM MIKE</v>
      </c>
      <c r="H273" s="20" t="str">
        <f t="shared" si="9"/>
        <v>4018</v>
      </c>
    </row>
    <row r="274" spans="1:8" x14ac:dyDescent="0.25">
      <c r="A274" s="8">
        <v>43066.946863425925</v>
      </c>
      <c r="B274" t="s">
        <v>511</v>
      </c>
      <c r="C274" t="s">
        <v>555</v>
      </c>
      <c r="D274" s="137">
        <v>3500000</v>
      </c>
      <c r="E274" t="s">
        <v>374</v>
      </c>
      <c r="F274" s="20" t="s">
        <v>375</v>
      </c>
      <c r="G274" s="8" t="str">
        <f t="shared" si="8"/>
        <v>GUNTHIER ERIC</v>
      </c>
      <c r="H274" s="20" t="str">
        <f t="shared" si="9"/>
        <v>4043</v>
      </c>
    </row>
    <row r="275" spans="1:8" x14ac:dyDescent="0.25">
      <c r="A275" s="8">
        <v>43066.962430555555</v>
      </c>
      <c r="B275" t="s">
        <v>444</v>
      </c>
      <c r="C275" t="s">
        <v>556</v>
      </c>
      <c r="D275" s="137">
        <v>2000000</v>
      </c>
      <c r="E275" t="s">
        <v>388</v>
      </c>
      <c r="F275" s="20" t="s">
        <v>389</v>
      </c>
      <c r="G275" s="8" t="str">
        <f t="shared" si="8"/>
        <v>STAMBAUGH JAMES</v>
      </c>
      <c r="H275" s="20" t="str">
        <f t="shared" si="9"/>
        <v>4056</v>
      </c>
    </row>
    <row r="276" spans="1:8" x14ac:dyDescent="0.25">
      <c r="A276" s="8">
        <v>43066.969027777777</v>
      </c>
      <c r="B276" t="s">
        <v>380</v>
      </c>
      <c r="C276" t="s">
        <v>557</v>
      </c>
      <c r="D276" s="137">
        <v>890000</v>
      </c>
      <c r="E276" t="s">
        <v>345</v>
      </c>
      <c r="F276" s="20" t="s">
        <v>346</v>
      </c>
      <c r="G276" s="8" t="str">
        <f t="shared" si="8"/>
        <v>LOZA FIDEL</v>
      </c>
      <c r="H276" s="20" t="str">
        <f t="shared" si="9"/>
        <v>4022</v>
      </c>
    </row>
    <row r="277" spans="1:8" x14ac:dyDescent="0.25">
      <c r="A277" s="8">
        <v>43066.974097222221</v>
      </c>
      <c r="B277" t="s">
        <v>477</v>
      </c>
      <c r="C277" t="s">
        <v>558</v>
      </c>
      <c r="D277" s="137">
        <v>3040000</v>
      </c>
      <c r="E277" t="s">
        <v>367</v>
      </c>
      <c r="F277" s="20" t="s">
        <v>479</v>
      </c>
      <c r="G277" s="8" t="str">
        <f t="shared" si="8"/>
        <v>WILLIAMS DONTE</v>
      </c>
      <c r="H277" s="20" t="str">
        <f t="shared" si="9"/>
        <v>4025</v>
      </c>
    </row>
    <row r="278" spans="1:8" x14ac:dyDescent="0.25">
      <c r="A278" s="8">
        <v>43066.974907407406</v>
      </c>
      <c r="B278" t="s">
        <v>352</v>
      </c>
      <c r="C278" t="s">
        <v>559</v>
      </c>
      <c r="D278" s="137">
        <v>2000000</v>
      </c>
      <c r="E278" t="s">
        <v>388</v>
      </c>
      <c r="F278" s="20" t="s">
        <v>389</v>
      </c>
      <c r="G278" s="8" t="str">
        <f t="shared" si="8"/>
        <v>STAMBAUGH JAMES</v>
      </c>
      <c r="H278" s="20" t="str">
        <f t="shared" si="9"/>
        <v>4055</v>
      </c>
    </row>
    <row r="279" spans="1:8" x14ac:dyDescent="0.25">
      <c r="A279" s="8">
        <v>43066.986979166664</v>
      </c>
      <c r="B279" t="s">
        <v>361</v>
      </c>
      <c r="C279" t="s">
        <v>560</v>
      </c>
      <c r="D279" s="137">
        <v>3340000</v>
      </c>
      <c r="E279" t="s">
        <v>424</v>
      </c>
      <c r="F279" s="20" t="s">
        <v>425</v>
      </c>
      <c r="G279" s="8" t="str">
        <f t="shared" si="8"/>
        <v>ELBAUM MIKE</v>
      </c>
      <c r="H279" s="20" t="str">
        <f t="shared" si="9"/>
        <v>4017</v>
      </c>
    </row>
    <row r="280" spans="1:8" x14ac:dyDescent="0.25">
      <c r="A280" s="8">
        <v>43066.992754629631</v>
      </c>
      <c r="B280" t="s">
        <v>507</v>
      </c>
      <c r="C280" t="s">
        <v>561</v>
      </c>
      <c r="D280" s="137">
        <v>3220000</v>
      </c>
      <c r="E280" t="s">
        <v>376</v>
      </c>
      <c r="F280" s="20" t="s">
        <v>377</v>
      </c>
      <c r="G280" s="8" t="str">
        <f t="shared" si="8"/>
        <v>RESPASS AARON</v>
      </c>
      <c r="H280" s="20" t="str">
        <f t="shared" si="9"/>
        <v>4044</v>
      </c>
    </row>
    <row r="281" spans="1:8" x14ac:dyDescent="0.25">
      <c r="A281" s="8">
        <v>43067.015798611108</v>
      </c>
      <c r="B281" t="s">
        <v>517</v>
      </c>
      <c r="C281" t="s">
        <v>562</v>
      </c>
      <c r="D281" s="137">
        <v>890000</v>
      </c>
      <c r="E281" t="s">
        <v>345</v>
      </c>
      <c r="F281" s="20" t="s">
        <v>346</v>
      </c>
      <c r="G281" s="8" t="str">
        <f t="shared" si="8"/>
        <v>LOZA FIDEL</v>
      </c>
      <c r="H281" s="20" t="str">
        <f t="shared" si="9"/>
        <v>4021</v>
      </c>
    </row>
    <row r="282" spans="1:8" x14ac:dyDescent="0.25">
      <c r="A282" s="8">
        <v>43067.017256944448</v>
      </c>
      <c r="B282" t="s">
        <v>478</v>
      </c>
      <c r="C282" t="s">
        <v>563</v>
      </c>
      <c r="D282" s="137">
        <v>3040000</v>
      </c>
      <c r="E282" t="s">
        <v>367</v>
      </c>
      <c r="F282" s="20" t="s">
        <v>479</v>
      </c>
      <c r="G282" s="8" t="str">
        <f t="shared" si="8"/>
        <v>WILLIAMS DONTE</v>
      </c>
      <c r="H282" s="20" t="str">
        <f t="shared" si="9"/>
        <v>4026</v>
      </c>
    </row>
    <row r="283" spans="1:8" x14ac:dyDescent="0.25">
      <c r="A283" s="8">
        <v>43067.025405092594</v>
      </c>
      <c r="B283" t="s">
        <v>359</v>
      </c>
      <c r="C283" t="s">
        <v>564</v>
      </c>
      <c r="D283" s="137">
        <v>3340000</v>
      </c>
      <c r="E283" t="s">
        <v>424</v>
      </c>
      <c r="F283" s="20" t="s">
        <v>425</v>
      </c>
      <c r="G283" s="8" t="str">
        <f t="shared" si="8"/>
        <v>ELBAUM MIKE</v>
      </c>
      <c r="H283" s="20" t="str">
        <f t="shared" si="9"/>
        <v>4018</v>
      </c>
    </row>
    <row r="284" spans="1:8" x14ac:dyDescent="0.25">
      <c r="A284" s="8">
        <v>43067.035092592596</v>
      </c>
      <c r="B284" t="s">
        <v>511</v>
      </c>
      <c r="C284" t="s">
        <v>565</v>
      </c>
      <c r="D284" s="137">
        <v>3220000</v>
      </c>
      <c r="E284" t="s">
        <v>376</v>
      </c>
      <c r="F284" s="20" t="s">
        <v>377</v>
      </c>
      <c r="G284" s="8" t="str">
        <f t="shared" si="8"/>
        <v>RESPASS AARON</v>
      </c>
      <c r="H284" s="20" t="str">
        <f t="shared" si="9"/>
        <v>4043</v>
      </c>
    </row>
    <row r="285" spans="1:8" x14ac:dyDescent="0.25">
      <c r="A285" s="8">
        <v>43067.0469212963</v>
      </c>
      <c r="B285" t="s">
        <v>380</v>
      </c>
      <c r="C285" t="s">
        <v>514</v>
      </c>
      <c r="D285" s="137">
        <v>890000</v>
      </c>
      <c r="E285" t="s">
        <v>345</v>
      </c>
      <c r="F285" s="20" t="s">
        <v>346</v>
      </c>
      <c r="G285" s="8" t="str">
        <f t="shared" si="8"/>
        <v>LOZA FIDEL</v>
      </c>
      <c r="H285" s="20" t="str">
        <f t="shared" si="9"/>
        <v>4022</v>
      </c>
    </row>
    <row r="286" spans="1:8" x14ac:dyDescent="0.25">
      <c r="A286" s="8">
        <v>43067.056122685186</v>
      </c>
      <c r="B286" t="s">
        <v>477</v>
      </c>
      <c r="C286" t="s">
        <v>566</v>
      </c>
      <c r="D286" s="137">
        <v>3040000</v>
      </c>
      <c r="E286" t="s">
        <v>367</v>
      </c>
      <c r="F286" s="20" t="s">
        <v>479</v>
      </c>
      <c r="G286" s="8" t="str">
        <f t="shared" si="8"/>
        <v>WILLIAMS DONTE</v>
      </c>
      <c r="H286" s="20" t="str">
        <f t="shared" si="9"/>
        <v>4025</v>
      </c>
    </row>
    <row r="287" spans="1:8" x14ac:dyDescent="0.25">
      <c r="A287" s="8">
        <v>43067.066620370373</v>
      </c>
      <c r="B287" t="s">
        <v>507</v>
      </c>
      <c r="C287" t="s">
        <v>567</v>
      </c>
      <c r="D287" s="137">
        <v>3220000</v>
      </c>
      <c r="E287" t="s">
        <v>376</v>
      </c>
      <c r="F287" s="20" t="s">
        <v>377</v>
      </c>
      <c r="G287" s="8" t="str">
        <f t="shared" si="8"/>
        <v>RESPASS AARON</v>
      </c>
      <c r="H287" s="20" t="str">
        <f t="shared" si="9"/>
        <v>4044</v>
      </c>
    </row>
    <row r="288" spans="1:8" x14ac:dyDescent="0.25">
      <c r="A288" s="8">
        <v>43067.08871527778</v>
      </c>
      <c r="B288" t="s">
        <v>478</v>
      </c>
      <c r="C288" t="s">
        <v>568</v>
      </c>
      <c r="D288" s="137">
        <v>3040000</v>
      </c>
      <c r="E288" t="s">
        <v>367</v>
      </c>
      <c r="F288" s="20" t="s">
        <v>479</v>
      </c>
      <c r="G288" s="8" t="str">
        <f t="shared" si="8"/>
        <v>WILLIAMS DONTE</v>
      </c>
      <c r="H288" s="20" t="str">
        <f t="shared" si="9"/>
        <v>4026</v>
      </c>
    </row>
    <row r="289" spans="1:8" x14ac:dyDescent="0.25">
      <c r="A289" s="8">
        <v>43039.891932870371</v>
      </c>
      <c r="B289" t="s">
        <v>366</v>
      </c>
      <c r="C289" t="s">
        <v>392</v>
      </c>
      <c r="D289" s="137">
        <v>2040000</v>
      </c>
      <c r="E289" t="s">
        <v>390</v>
      </c>
      <c r="F289" s="20" t="s">
        <v>391</v>
      </c>
      <c r="G289" s="8" t="str">
        <f t="shared" si="8"/>
        <v>MOSES BRADLEY</v>
      </c>
      <c r="H289" s="20" t="str">
        <f t="shared" si="9"/>
        <v>4035</v>
      </c>
    </row>
    <row r="290" spans="1:8" x14ac:dyDescent="0.25">
      <c r="A290" s="8">
        <v>43039.893888888888</v>
      </c>
      <c r="B290" t="s">
        <v>381</v>
      </c>
      <c r="C290" t="s">
        <v>393</v>
      </c>
      <c r="D290" s="137">
        <v>2000000</v>
      </c>
      <c r="E290" t="s">
        <v>388</v>
      </c>
      <c r="F290" s="20" t="s">
        <v>389</v>
      </c>
      <c r="G290" s="8" t="str">
        <f t="shared" si="8"/>
        <v>STAMBAUGH JAMES</v>
      </c>
      <c r="H290" s="20" t="str">
        <f t="shared" si="9"/>
        <v>4061</v>
      </c>
    </row>
    <row r="291" spans="1:8" x14ac:dyDescent="0.25">
      <c r="A291" s="8">
        <v>43039.904629629629</v>
      </c>
      <c r="B291" t="s">
        <v>368</v>
      </c>
      <c r="C291" t="s">
        <v>394</v>
      </c>
      <c r="D291" s="137">
        <v>3320000</v>
      </c>
      <c r="E291" t="s">
        <v>362</v>
      </c>
      <c r="F291" s="20" t="s">
        <v>363</v>
      </c>
      <c r="G291" s="8" t="str">
        <f t="shared" si="8"/>
        <v>NICHOLSON WESLEY</v>
      </c>
      <c r="H291" s="20" t="str">
        <f t="shared" si="9"/>
        <v>4012</v>
      </c>
    </row>
    <row r="292" spans="1:8" x14ac:dyDescent="0.25">
      <c r="A292" s="8">
        <v>43039.90934027778</v>
      </c>
      <c r="B292" t="s">
        <v>360</v>
      </c>
      <c r="C292" t="s">
        <v>395</v>
      </c>
      <c r="D292" s="137">
        <v>3500000</v>
      </c>
      <c r="E292" t="s">
        <v>374</v>
      </c>
      <c r="F292" s="20" t="s">
        <v>375</v>
      </c>
      <c r="G292" s="8" t="str">
        <f t="shared" si="8"/>
        <v>GUNTHIER ERIC</v>
      </c>
      <c r="H292" s="20" t="str">
        <f t="shared" si="9"/>
        <v>4007</v>
      </c>
    </row>
    <row r="293" spans="1:8" x14ac:dyDescent="0.25">
      <c r="A293" s="8">
        <v>43039.915127314816</v>
      </c>
      <c r="B293" t="s">
        <v>379</v>
      </c>
      <c r="C293" t="s">
        <v>396</v>
      </c>
      <c r="D293" s="137">
        <v>3220000</v>
      </c>
      <c r="E293" t="s">
        <v>376</v>
      </c>
      <c r="F293" s="20" t="s">
        <v>377</v>
      </c>
      <c r="G293" s="8" t="str">
        <f t="shared" si="8"/>
        <v>RESPASS AARON</v>
      </c>
      <c r="H293" s="20" t="str">
        <f t="shared" si="9"/>
        <v>4062</v>
      </c>
    </row>
    <row r="294" spans="1:8" x14ac:dyDescent="0.25">
      <c r="A294" s="8">
        <v>43039.926076388889</v>
      </c>
      <c r="B294" t="s">
        <v>382</v>
      </c>
      <c r="C294" t="s">
        <v>383</v>
      </c>
      <c r="D294" s="137">
        <v>3670000</v>
      </c>
      <c r="E294" t="s">
        <v>378</v>
      </c>
      <c r="F294" s="20" t="s">
        <v>367</v>
      </c>
      <c r="G294" s="8" t="str">
        <f t="shared" si="8"/>
        <v>ANDREA WILLIAMS</v>
      </c>
      <c r="H294" s="20" t="str">
        <f t="shared" si="9"/>
        <v>4029</v>
      </c>
    </row>
    <row r="295" spans="1:8" x14ac:dyDescent="0.25">
      <c r="A295" s="8">
        <v>43039.936041666668</v>
      </c>
      <c r="B295" t="s">
        <v>365</v>
      </c>
      <c r="C295" t="s">
        <v>397</v>
      </c>
      <c r="D295" s="137">
        <v>2040000</v>
      </c>
      <c r="E295" t="s">
        <v>390</v>
      </c>
      <c r="F295" s="20" t="s">
        <v>391</v>
      </c>
      <c r="G295" s="8" t="str">
        <f t="shared" si="8"/>
        <v>MOSES BRADLEY</v>
      </c>
      <c r="H295" s="20" t="str">
        <f t="shared" si="9"/>
        <v>4036</v>
      </c>
    </row>
    <row r="296" spans="1:8" x14ac:dyDescent="0.25">
      <c r="A296" s="8">
        <v>43039.945428240739</v>
      </c>
      <c r="B296" t="s">
        <v>381</v>
      </c>
      <c r="C296" t="s">
        <v>398</v>
      </c>
      <c r="D296" s="137">
        <v>3220000</v>
      </c>
      <c r="E296" t="s">
        <v>376</v>
      </c>
      <c r="F296" s="20" t="s">
        <v>377</v>
      </c>
      <c r="G296" s="8" t="str">
        <f t="shared" si="8"/>
        <v>RESPASS AARON</v>
      </c>
      <c r="H296" s="20" t="str">
        <f t="shared" si="9"/>
        <v>4061</v>
      </c>
    </row>
    <row r="297" spans="1:8" x14ac:dyDescent="0.25">
      <c r="A297" s="8">
        <v>43039.951365740744</v>
      </c>
      <c r="B297" t="s">
        <v>357</v>
      </c>
      <c r="C297" t="s">
        <v>399</v>
      </c>
      <c r="D297" s="137">
        <v>3500000</v>
      </c>
      <c r="E297" t="s">
        <v>374</v>
      </c>
      <c r="F297" s="20" t="s">
        <v>375</v>
      </c>
      <c r="G297" s="8" t="str">
        <f t="shared" si="8"/>
        <v>GUNTHIER ERIC</v>
      </c>
      <c r="H297" s="20" t="str">
        <f t="shared" si="9"/>
        <v>4008</v>
      </c>
    </row>
    <row r="298" spans="1:8" x14ac:dyDescent="0.25">
      <c r="A298" s="8">
        <v>43039.95175925926</v>
      </c>
      <c r="B298" t="s">
        <v>369</v>
      </c>
      <c r="C298" t="s">
        <v>400</v>
      </c>
      <c r="D298" s="137">
        <v>3320000</v>
      </c>
      <c r="E298" t="s">
        <v>362</v>
      </c>
      <c r="F298" s="20" t="s">
        <v>363</v>
      </c>
      <c r="G298" s="8" t="str">
        <f t="shared" si="8"/>
        <v>NICHOLSON WESLEY</v>
      </c>
      <c r="H298" s="20" t="str">
        <f t="shared" si="9"/>
        <v>4011</v>
      </c>
    </row>
    <row r="299" spans="1:8" x14ac:dyDescent="0.25">
      <c r="A299" s="8">
        <v>43039.962673611109</v>
      </c>
      <c r="B299" t="s">
        <v>379</v>
      </c>
      <c r="C299" t="s">
        <v>401</v>
      </c>
      <c r="D299" s="137">
        <v>2000000</v>
      </c>
      <c r="E299" t="s">
        <v>388</v>
      </c>
      <c r="F299" s="20" t="s">
        <v>389</v>
      </c>
      <c r="G299" s="8" t="str">
        <f t="shared" si="8"/>
        <v>STAMBAUGH JAMES</v>
      </c>
      <c r="H299" s="20" t="str">
        <f t="shared" si="9"/>
        <v>4062</v>
      </c>
    </row>
    <row r="300" spans="1:8" x14ac:dyDescent="0.25">
      <c r="A300" s="8">
        <v>43039.966550925928</v>
      </c>
      <c r="B300" t="s">
        <v>386</v>
      </c>
      <c r="C300" t="s">
        <v>402</v>
      </c>
      <c r="D300" s="137">
        <v>3670000</v>
      </c>
      <c r="E300" t="s">
        <v>378</v>
      </c>
      <c r="F300" s="20" t="s">
        <v>367</v>
      </c>
      <c r="G300" s="8" t="str">
        <f t="shared" si="8"/>
        <v>ANDREA WILLIAMS</v>
      </c>
      <c r="H300" s="20" t="str">
        <f t="shared" si="9"/>
        <v>4030</v>
      </c>
    </row>
    <row r="301" spans="1:8" x14ac:dyDescent="0.25">
      <c r="A301" s="8">
        <v>43039.974039351851</v>
      </c>
      <c r="B301" t="s">
        <v>366</v>
      </c>
      <c r="C301" t="s">
        <v>403</v>
      </c>
      <c r="D301" s="137">
        <v>2040000</v>
      </c>
      <c r="E301" t="s">
        <v>390</v>
      </c>
      <c r="F301" s="20" t="s">
        <v>391</v>
      </c>
      <c r="G301" s="8" t="str">
        <f t="shared" si="8"/>
        <v>MOSES BRADLEY</v>
      </c>
      <c r="H301" s="20" t="str">
        <f t="shared" si="9"/>
        <v>4035</v>
      </c>
    </row>
    <row r="302" spans="1:8" x14ac:dyDescent="0.25">
      <c r="A302" s="8">
        <v>43039.975474537037</v>
      </c>
      <c r="B302" t="s">
        <v>381</v>
      </c>
      <c r="C302" t="s">
        <v>404</v>
      </c>
      <c r="D302" s="137">
        <v>2000000</v>
      </c>
      <c r="E302" t="s">
        <v>388</v>
      </c>
      <c r="F302" s="20" t="s">
        <v>389</v>
      </c>
      <c r="G302" s="8" t="str">
        <f t="shared" si="8"/>
        <v>STAMBAUGH JAMES</v>
      </c>
      <c r="H302" s="20" t="str">
        <f t="shared" si="9"/>
        <v>4061</v>
      </c>
    </row>
    <row r="303" spans="1:8" x14ac:dyDescent="0.25">
      <c r="A303" s="8">
        <v>43039.989895833336</v>
      </c>
      <c r="B303" t="s">
        <v>360</v>
      </c>
      <c r="C303" t="s">
        <v>384</v>
      </c>
      <c r="D303" s="137">
        <v>3500000</v>
      </c>
      <c r="E303" t="s">
        <v>374</v>
      </c>
      <c r="F303" s="20" t="s">
        <v>375</v>
      </c>
      <c r="G303" s="8" t="str">
        <f t="shared" si="8"/>
        <v>GUNTHIER ERIC</v>
      </c>
      <c r="H303" s="20" t="str">
        <f t="shared" si="9"/>
        <v>4007</v>
      </c>
    </row>
    <row r="304" spans="1:8" x14ac:dyDescent="0.25">
      <c r="A304" s="8">
        <v>43039.991041666668</v>
      </c>
      <c r="B304" t="s">
        <v>368</v>
      </c>
      <c r="C304" t="s">
        <v>405</v>
      </c>
      <c r="D304" s="137">
        <v>3320000</v>
      </c>
      <c r="E304" t="s">
        <v>362</v>
      </c>
      <c r="F304" s="20" t="s">
        <v>363</v>
      </c>
      <c r="G304" s="8" t="str">
        <f t="shared" si="8"/>
        <v>NICHOLSON WESLEY</v>
      </c>
      <c r="H304" s="20" t="str">
        <f t="shared" si="9"/>
        <v>4012</v>
      </c>
    </row>
    <row r="305" spans="1:8" x14ac:dyDescent="0.25">
      <c r="A305" s="8">
        <v>43040.010729166665</v>
      </c>
      <c r="B305" t="s">
        <v>382</v>
      </c>
      <c r="C305" t="s">
        <v>406</v>
      </c>
      <c r="D305" s="137">
        <v>3670000</v>
      </c>
      <c r="E305" t="s">
        <v>378</v>
      </c>
      <c r="F305" s="20" t="s">
        <v>367</v>
      </c>
      <c r="G305" s="8" t="str">
        <f t="shared" si="8"/>
        <v>ANDREA WILLIAMS</v>
      </c>
      <c r="H305" s="20" t="str">
        <f t="shared" si="9"/>
        <v>4029</v>
      </c>
    </row>
    <row r="306" spans="1:8" x14ac:dyDescent="0.25">
      <c r="A306" s="8">
        <v>43040.017592592594</v>
      </c>
      <c r="B306" t="s">
        <v>365</v>
      </c>
      <c r="C306" t="s">
        <v>407</v>
      </c>
      <c r="D306" s="137">
        <v>2040000</v>
      </c>
      <c r="E306" t="s">
        <v>390</v>
      </c>
      <c r="F306" s="20" t="s">
        <v>391</v>
      </c>
      <c r="G306" s="8" t="str">
        <f t="shared" si="8"/>
        <v>MOSES BRADLEY</v>
      </c>
      <c r="H306" s="20" t="str">
        <f t="shared" si="9"/>
        <v>4036</v>
      </c>
    </row>
    <row r="307" spans="1:8" x14ac:dyDescent="0.25">
      <c r="A307" s="8">
        <v>43040.028287037036</v>
      </c>
      <c r="B307" t="s">
        <v>357</v>
      </c>
      <c r="C307" t="s">
        <v>408</v>
      </c>
      <c r="D307" s="137">
        <v>3500000</v>
      </c>
      <c r="E307" t="s">
        <v>374</v>
      </c>
      <c r="F307" s="20" t="s">
        <v>375</v>
      </c>
      <c r="G307" s="8" t="str">
        <f t="shared" si="8"/>
        <v>GUNTHIER ERIC</v>
      </c>
      <c r="H307" s="20" t="str">
        <f t="shared" si="9"/>
        <v>4008</v>
      </c>
    </row>
    <row r="308" spans="1:8" x14ac:dyDescent="0.25">
      <c r="A308" s="8">
        <v>43040.031851851854</v>
      </c>
      <c r="B308" t="s">
        <v>369</v>
      </c>
      <c r="C308" t="s">
        <v>409</v>
      </c>
      <c r="D308" s="137">
        <v>3320000</v>
      </c>
      <c r="E308" t="s">
        <v>362</v>
      </c>
      <c r="F308" s="20" t="s">
        <v>363</v>
      </c>
      <c r="G308" s="8" t="str">
        <f t="shared" si="8"/>
        <v>NICHOLSON WESLEY</v>
      </c>
      <c r="H308" s="20" t="str">
        <f t="shared" si="9"/>
        <v>4011</v>
      </c>
    </row>
    <row r="309" spans="1:8" x14ac:dyDescent="0.25">
      <c r="A309" s="8">
        <v>43040.047708333332</v>
      </c>
      <c r="B309" t="s">
        <v>386</v>
      </c>
      <c r="C309" t="s">
        <v>410</v>
      </c>
      <c r="D309" s="137">
        <v>3670000</v>
      </c>
      <c r="E309" t="s">
        <v>378</v>
      </c>
      <c r="F309" s="20" t="s">
        <v>367</v>
      </c>
      <c r="G309" s="8" t="str">
        <f t="shared" si="8"/>
        <v>ANDREA WILLIAMS</v>
      </c>
      <c r="H309" s="20" t="str">
        <f t="shared" si="9"/>
        <v>4030</v>
      </c>
    </row>
    <row r="310" spans="1:8" x14ac:dyDescent="0.25">
      <c r="A310" s="8">
        <v>43040.057928240742</v>
      </c>
      <c r="B310" t="s">
        <v>366</v>
      </c>
      <c r="C310" t="s">
        <v>411</v>
      </c>
      <c r="D310" s="137">
        <v>2040000</v>
      </c>
      <c r="E310" t="s">
        <v>390</v>
      </c>
      <c r="F310" s="20" t="s">
        <v>391</v>
      </c>
      <c r="G310" s="8" t="str">
        <f t="shared" si="8"/>
        <v>MOSES BRADLEY</v>
      </c>
      <c r="H310" s="20" t="str">
        <f t="shared" si="9"/>
        <v>4035</v>
      </c>
    </row>
    <row r="311" spans="1:8" x14ac:dyDescent="0.25">
      <c r="A311" s="8">
        <v>43040.072083333333</v>
      </c>
      <c r="B311" t="s">
        <v>368</v>
      </c>
      <c r="C311" t="s">
        <v>412</v>
      </c>
      <c r="D311" s="137">
        <v>3320000</v>
      </c>
      <c r="E311" t="s">
        <v>362</v>
      </c>
      <c r="F311" s="20" t="s">
        <v>363</v>
      </c>
      <c r="G311" s="8" t="str">
        <f t="shared" si="8"/>
        <v>NICHOLSON WESLEY</v>
      </c>
      <c r="H311" s="20" t="str">
        <f t="shared" si="9"/>
        <v>4012</v>
      </c>
    </row>
    <row r="312" spans="1:8" x14ac:dyDescent="0.25">
      <c r="A312" s="8">
        <v>43040.088807870372</v>
      </c>
      <c r="B312" t="s">
        <v>365</v>
      </c>
      <c r="C312" t="s">
        <v>413</v>
      </c>
      <c r="D312" s="137">
        <v>2040000</v>
      </c>
      <c r="E312" t="s">
        <v>390</v>
      </c>
      <c r="F312" s="20" t="s">
        <v>391</v>
      </c>
      <c r="G312" s="8" t="str">
        <f t="shared" si="8"/>
        <v>MOSES BRADLEY</v>
      </c>
      <c r="H312" s="20" t="str">
        <f t="shared" si="9"/>
        <v>4036</v>
      </c>
    </row>
    <row r="313" spans="1:8" x14ac:dyDescent="0.25">
      <c r="A313" s="8">
        <v>43028.111273148148</v>
      </c>
      <c r="B313" t="s">
        <v>352</v>
      </c>
      <c r="C313" t="s">
        <v>364</v>
      </c>
      <c r="D313" s="137">
        <v>1830000</v>
      </c>
      <c r="E313" t="s">
        <v>347</v>
      </c>
      <c r="F313" s="20" t="s">
        <v>348</v>
      </c>
      <c r="G313" s="8" t="str">
        <f t="shared" si="8"/>
        <v>YORK EDGAR</v>
      </c>
      <c r="H313" s="20" t="str">
        <f t="shared" si="9"/>
        <v>4055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T33"/>
  <sheetViews>
    <sheetView topLeftCell="A4" workbookViewId="0">
      <selection sqref="A1:S29"/>
    </sheetView>
  </sheetViews>
  <sheetFormatPr defaultColWidth="9.140625" defaultRowHeight="15" x14ac:dyDescent="0.25"/>
  <cols>
    <col min="1" max="1" width="22.5703125" style="140" customWidth="1"/>
    <col min="2" max="2" width="8.42578125" style="140" bestFit="1" customWidth="1"/>
    <col min="3" max="3" width="12.5703125" style="140" bestFit="1" customWidth="1"/>
    <col min="4" max="4" width="18.5703125" style="130" bestFit="1" customWidth="1"/>
    <col min="5" max="5" width="9.85546875" style="140" bestFit="1" customWidth="1"/>
    <col min="6" max="6" width="9" style="140" bestFit="1" customWidth="1"/>
    <col min="7" max="7" width="8.85546875" style="140" bestFit="1" customWidth="1"/>
    <col min="8" max="8" width="14" style="140" bestFit="1" customWidth="1"/>
    <col min="9" max="9" width="21.140625" style="140" bestFit="1" customWidth="1"/>
    <col min="10" max="10" width="8.7109375" style="140" bestFit="1" customWidth="1"/>
    <col min="11" max="11" width="11.28515625" style="140" bestFit="1" customWidth="1"/>
    <col min="12" max="12" width="11" style="140" bestFit="1" customWidth="1"/>
    <col min="13" max="13" width="11.28515625" style="140" bestFit="1" customWidth="1"/>
    <col min="14" max="14" width="13.7109375" style="140" bestFit="1" customWidth="1"/>
    <col min="15" max="15" width="14.85546875" style="140" bestFit="1" customWidth="1"/>
    <col min="16" max="16" width="16.7109375" style="140" bestFit="1" customWidth="1"/>
    <col min="17" max="17" width="9.42578125" style="110" bestFit="1" customWidth="1"/>
    <col min="18" max="16384" width="9.140625" style="110"/>
  </cols>
  <sheetData>
    <row r="1" spans="1:20" s="111" customFormat="1" x14ac:dyDescent="0.25">
      <c r="A1" s="217" t="s">
        <v>156</v>
      </c>
      <c r="B1" s="217" t="s">
        <v>159</v>
      </c>
      <c r="C1" s="217" t="s">
        <v>152</v>
      </c>
      <c r="D1" s="135" t="s">
        <v>164</v>
      </c>
      <c r="E1" s="217" t="s">
        <v>153</v>
      </c>
      <c r="F1" s="217" t="s">
        <v>151</v>
      </c>
      <c r="G1" s="217" t="s">
        <v>149</v>
      </c>
      <c r="H1" s="217" t="s">
        <v>162</v>
      </c>
      <c r="I1" s="217" t="s">
        <v>163</v>
      </c>
      <c r="J1" s="217" t="s">
        <v>569</v>
      </c>
      <c r="K1" s="217" t="s">
        <v>157</v>
      </c>
      <c r="L1" s="217" t="s">
        <v>155</v>
      </c>
      <c r="M1" s="217" t="s">
        <v>150</v>
      </c>
      <c r="N1" s="217" t="s">
        <v>160</v>
      </c>
      <c r="O1" s="217" t="s">
        <v>334</v>
      </c>
      <c r="P1" s="217" t="s">
        <v>154</v>
      </c>
      <c r="Q1" s="217" t="s">
        <v>161</v>
      </c>
      <c r="R1" s="217" t="s">
        <v>335</v>
      </c>
      <c r="S1" s="217" t="s">
        <v>158</v>
      </c>
      <c r="T1"/>
    </row>
    <row r="2" spans="1:20" x14ac:dyDescent="0.25">
      <c r="A2" s="195">
        <v>37.450000000000003</v>
      </c>
      <c r="B2" s="195">
        <v>0.06</v>
      </c>
      <c r="C2" s="195">
        <v>28.41</v>
      </c>
      <c r="D2" s="8">
        <v>43067</v>
      </c>
      <c r="E2" s="195">
        <v>0.59</v>
      </c>
      <c r="F2" s="195" t="s">
        <v>422</v>
      </c>
      <c r="G2" s="195">
        <v>247.54</v>
      </c>
      <c r="H2" s="195">
        <v>0</v>
      </c>
      <c r="I2" s="195">
        <v>0</v>
      </c>
      <c r="J2" s="195"/>
      <c r="K2" s="195">
        <v>1006.69</v>
      </c>
      <c r="L2" s="195" t="s">
        <v>421</v>
      </c>
      <c r="M2" s="195">
        <v>41.64</v>
      </c>
      <c r="N2" s="195">
        <v>1511852400</v>
      </c>
      <c r="O2" s="195">
        <v>0</v>
      </c>
      <c r="P2" s="195">
        <v>3.42</v>
      </c>
      <c r="Q2" s="195">
        <v>21</v>
      </c>
      <c r="R2" s="195">
        <v>13.59</v>
      </c>
      <c r="S2" s="195">
        <v>6.44</v>
      </c>
      <c r="T2"/>
    </row>
    <row r="3" spans="1:20" x14ac:dyDescent="0.25">
      <c r="A3" s="195">
        <v>36.299999999999997</v>
      </c>
      <c r="B3" s="195">
        <v>0.6</v>
      </c>
      <c r="C3" s="195">
        <v>30.48</v>
      </c>
      <c r="D3" s="8">
        <v>43067.041666666664</v>
      </c>
      <c r="E3" s="195">
        <v>0.71</v>
      </c>
      <c r="F3" s="195" t="s">
        <v>570</v>
      </c>
      <c r="G3" s="195">
        <v>251.69</v>
      </c>
      <c r="H3" s="195">
        <v>0</v>
      </c>
      <c r="I3" s="195">
        <v>0</v>
      </c>
      <c r="J3" s="195"/>
      <c r="K3" s="195">
        <v>1009.94</v>
      </c>
      <c r="L3" s="195" t="s">
        <v>571</v>
      </c>
      <c r="M3" s="195">
        <v>39.18</v>
      </c>
      <c r="N3" s="195">
        <v>1511856000</v>
      </c>
      <c r="O3" s="195">
        <v>0</v>
      </c>
      <c r="P3" s="195">
        <v>3.35</v>
      </c>
      <c r="Q3" s="195">
        <v>3</v>
      </c>
      <c r="R3" s="195">
        <v>7.93</v>
      </c>
      <c r="S3" s="195">
        <v>4.08</v>
      </c>
      <c r="T3"/>
    </row>
    <row r="4" spans="1:20" x14ac:dyDescent="0.25">
      <c r="A4" s="195">
        <v>35.99</v>
      </c>
      <c r="B4" s="195">
        <v>0.96</v>
      </c>
      <c r="C4" s="195">
        <v>29.94</v>
      </c>
      <c r="D4" s="8">
        <v>43067.083333333336</v>
      </c>
      <c r="E4" s="195">
        <v>0.71</v>
      </c>
      <c r="F4" s="195" t="s">
        <v>572</v>
      </c>
      <c r="G4" s="195">
        <v>254.99</v>
      </c>
      <c r="H4" s="195">
        <v>0</v>
      </c>
      <c r="I4" s="195">
        <v>0</v>
      </c>
      <c r="J4" s="195"/>
      <c r="K4" s="195">
        <v>1012.6</v>
      </c>
      <c r="L4" s="195" t="s">
        <v>573</v>
      </c>
      <c r="M4" s="195">
        <v>38.590000000000003</v>
      </c>
      <c r="N4" s="195">
        <v>1511859600</v>
      </c>
      <c r="O4" s="195">
        <v>0</v>
      </c>
      <c r="P4" s="195">
        <v>3.52</v>
      </c>
      <c r="Q4" s="195">
        <v>18</v>
      </c>
      <c r="R4" s="195">
        <v>6.61</v>
      </c>
      <c r="S4" s="195">
        <v>3.7</v>
      </c>
      <c r="T4"/>
    </row>
    <row r="5" spans="1:20" x14ac:dyDescent="0.25">
      <c r="A5" s="195">
        <v>35.61</v>
      </c>
      <c r="B5" s="195">
        <v>0.99</v>
      </c>
      <c r="C5" s="195">
        <v>28.83</v>
      </c>
      <c r="D5" s="8">
        <v>43067.125</v>
      </c>
      <c r="E5" s="195">
        <v>0.7</v>
      </c>
      <c r="F5" s="195" t="s">
        <v>572</v>
      </c>
      <c r="G5" s="195">
        <v>256.3</v>
      </c>
      <c r="H5" s="195">
        <v>0</v>
      </c>
      <c r="I5" s="195">
        <v>0</v>
      </c>
      <c r="J5" s="195"/>
      <c r="K5" s="195">
        <v>1014.3</v>
      </c>
      <c r="L5" s="195" t="s">
        <v>573</v>
      </c>
      <c r="M5" s="195">
        <v>37.6</v>
      </c>
      <c r="N5" s="195">
        <v>1511863200</v>
      </c>
      <c r="O5" s="195">
        <v>0</v>
      </c>
      <c r="P5" s="195">
        <v>3.42</v>
      </c>
      <c r="Q5" s="195">
        <v>40</v>
      </c>
      <c r="R5" s="195">
        <v>5.15</v>
      </c>
      <c r="S5" s="195">
        <v>3.03</v>
      </c>
      <c r="T5"/>
    </row>
    <row r="6" spans="1:20" x14ac:dyDescent="0.25">
      <c r="A6" s="195">
        <v>37.01</v>
      </c>
      <c r="B6" s="195">
        <v>0.79</v>
      </c>
      <c r="C6" s="195">
        <v>28.64</v>
      </c>
      <c r="D6" s="8">
        <v>43067.166666666664</v>
      </c>
      <c r="E6" s="195">
        <v>0.71</v>
      </c>
      <c r="F6" s="195" t="s">
        <v>570</v>
      </c>
      <c r="G6" s="195">
        <v>256.56</v>
      </c>
      <c r="H6" s="195">
        <v>0</v>
      </c>
      <c r="I6" s="195">
        <v>0</v>
      </c>
      <c r="J6" s="195"/>
      <c r="K6" s="195">
        <v>1015.84</v>
      </c>
      <c r="L6" s="195" t="s">
        <v>571</v>
      </c>
      <c r="M6" s="195">
        <v>37.01</v>
      </c>
      <c r="N6" s="195">
        <v>1511866800</v>
      </c>
      <c r="O6" s="195">
        <v>0</v>
      </c>
      <c r="P6" s="195">
        <v>3.42</v>
      </c>
      <c r="Q6" s="195">
        <v>65</v>
      </c>
      <c r="R6" s="195">
        <v>2.69</v>
      </c>
      <c r="S6" s="195">
        <v>1.53</v>
      </c>
      <c r="T6"/>
    </row>
    <row r="7" spans="1:20" x14ac:dyDescent="0.25">
      <c r="A7" s="195">
        <v>36.72</v>
      </c>
      <c r="B7" s="195">
        <v>0.72</v>
      </c>
      <c r="C7" s="195">
        <v>28.95</v>
      </c>
      <c r="D7" s="8">
        <v>43067.208333333336</v>
      </c>
      <c r="E7" s="195">
        <v>0.73</v>
      </c>
      <c r="F7" s="195" t="s">
        <v>570</v>
      </c>
      <c r="G7" s="195">
        <v>257.47000000000003</v>
      </c>
      <c r="H7" s="195">
        <v>1E-4</v>
      </c>
      <c r="I7" s="195">
        <v>0.01</v>
      </c>
      <c r="J7" s="195" t="s">
        <v>886</v>
      </c>
      <c r="K7" s="195">
        <v>1018.59</v>
      </c>
      <c r="L7" s="195" t="s">
        <v>571</v>
      </c>
      <c r="M7" s="195">
        <v>36.72</v>
      </c>
      <c r="N7" s="195">
        <v>1511870400</v>
      </c>
      <c r="O7" s="195">
        <v>0</v>
      </c>
      <c r="P7" s="195">
        <v>2.95</v>
      </c>
      <c r="Q7" s="195">
        <v>39</v>
      </c>
      <c r="R7" s="195">
        <v>2.96</v>
      </c>
      <c r="S7" s="195">
        <v>1.19</v>
      </c>
      <c r="T7"/>
    </row>
    <row r="8" spans="1:20" x14ac:dyDescent="0.25">
      <c r="A8" s="195">
        <v>35.71</v>
      </c>
      <c r="B8" s="195">
        <v>0.69</v>
      </c>
      <c r="C8" s="195">
        <v>30.25</v>
      </c>
      <c r="D8" s="8">
        <v>43067.25</v>
      </c>
      <c r="E8" s="195">
        <v>0.8</v>
      </c>
      <c r="F8" s="195" t="s">
        <v>570</v>
      </c>
      <c r="G8" s="195">
        <v>260.43</v>
      </c>
      <c r="H8" s="195">
        <v>2.0000000000000001E-4</v>
      </c>
      <c r="I8" s="195">
        <v>0.02</v>
      </c>
      <c r="J8" s="195" t="s">
        <v>886</v>
      </c>
      <c r="K8" s="195">
        <v>1020.26</v>
      </c>
      <c r="L8" s="195" t="s">
        <v>571</v>
      </c>
      <c r="M8" s="195">
        <v>35.71</v>
      </c>
      <c r="N8" s="195">
        <v>1511874000</v>
      </c>
      <c r="O8" s="195">
        <v>0</v>
      </c>
      <c r="P8" s="195">
        <v>3.74</v>
      </c>
      <c r="Q8" s="195">
        <v>2</v>
      </c>
      <c r="R8" s="195">
        <v>3.32</v>
      </c>
      <c r="S8" s="195">
        <v>1.38</v>
      </c>
      <c r="T8"/>
    </row>
    <row r="9" spans="1:20" x14ac:dyDescent="0.25">
      <c r="A9" s="195">
        <v>35.380000000000003</v>
      </c>
      <c r="B9" s="195">
        <v>0.79</v>
      </c>
      <c r="C9" s="195">
        <v>29.9</v>
      </c>
      <c r="D9" s="8">
        <v>43067.291666666664</v>
      </c>
      <c r="E9" s="195">
        <v>0.8</v>
      </c>
      <c r="F9" s="195" t="s">
        <v>570</v>
      </c>
      <c r="G9" s="195">
        <v>264</v>
      </c>
      <c r="H9" s="195">
        <v>1.1000000000000001E-3</v>
      </c>
      <c r="I9" s="195">
        <v>0.13</v>
      </c>
      <c r="J9" s="195" t="s">
        <v>886</v>
      </c>
      <c r="K9" s="195">
        <v>1021.88</v>
      </c>
      <c r="L9" s="195" t="s">
        <v>571</v>
      </c>
      <c r="M9" s="195">
        <v>35.380000000000003</v>
      </c>
      <c r="N9" s="195">
        <v>1511877600</v>
      </c>
      <c r="O9" s="195">
        <v>0</v>
      </c>
      <c r="P9" s="195">
        <v>3.67</v>
      </c>
      <c r="Q9" s="195">
        <v>334</v>
      </c>
      <c r="R9" s="195">
        <v>2.0099999999999998</v>
      </c>
      <c r="S9" s="195">
        <v>0.32</v>
      </c>
      <c r="T9"/>
    </row>
    <row r="10" spans="1:20" x14ac:dyDescent="0.25">
      <c r="A10" s="195">
        <v>36.03</v>
      </c>
      <c r="B10" s="195">
        <v>0.69</v>
      </c>
      <c r="C10" s="195">
        <v>29.42</v>
      </c>
      <c r="D10" s="8">
        <v>43067.333333333336</v>
      </c>
      <c r="E10" s="195">
        <v>0.77</v>
      </c>
      <c r="F10" s="195" t="s">
        <v>887</v>
      </c>
      <c r="G10" s="195">
        <v>266.5</v>
      </c>
      <c r="H10" s="195">
        <v>1.1000000000000001E-3</v>
      </c>
      <c r="I10" s="195">
        <v>0.14000000000000001</v>
      </c>
      <c r="J10" s="195" t="s">
        <v>886</v>
      </c>
      <c r="K10" s="195">
        <v>1021.74</v>
      </c>
      <c r="L10" s="195" t="s">
        <v>571</v>
      </c>
      <c r="M10" s="195">
        <v>36.03</v>
      </c>
      <c r="N10" s="195">
        <v>1511881200</v>
      </c>
      <c r="O10" s="195">
        <v>0</v>
      </c>
      <c r="P10" s="195">
        <v>3.67</v>
      </c>
      <c r="Q10" s="195">
        <v>240</v>
      </c>
      <c r="R10" s="195">
        <v>2.0299999999999998</v>
      </c>
      <c r="S10" s="195">
        <v>0.62</v>
      </c>
      <c r="T10"/>
    </row>
    <row r="11" spans="1:20" x14ac:dyDescent="0.25">
      <c r="A11" s="195">
        <v>37.61</v>
      </c>
      <c r="B11" s="195">
        <v>0.89</v>
      </c>
      <c r="C11" s="195">
        <v>28.81</v>
      </c>
      <c r="D11" s="8">
        <v>43067.375</v>
      </c>
      <c r="E11" s="195">
        <v>0.7</v>
      </c>
      <c r="F11" s="195" t="s">
        <v>887</v>
      </c>
      <c r="G11" s="195">
        <v>266.98</v>
      </c>
      <c r="H11" s="195">
        <v>1E-4</v>
      </c>
      <c r="I11" s="195">
        <v>0.03</v>
      </c>
      <c r="J11" s="195" t="s">
        <v>886</v>
      </c>
      <c r="K11" s="195">
        <v>1022.84</v>
      </c>
      <c r="L11" s="195" t="s">
        <v>571</v>
      </c>
      <c r="M11" s="195">
        <v>37.61</v>
      </c>
      <c r="N11" s="195">
        <v>1511884800</v>
      </c>
      <c r="O11" s="195">
        <v>1</v>
      </c>
      <c r="P11" s="195">
        <v>3.67</v>
      </c>
      <c r="Q11" s="195">
        <v>282</v>
      </c>
      <c r="R11" s="195">
        <v>2.31</v>
      </c>
      <c r="S11" s="195">
        <v>0.1</v>
      </c>
      <c r="T11"/>
    </row>
    <row r="12" spans="1:20" x14ac:dyDescent="0.25">
      <c r="A12" s="195">
        <v>39.04</v>
      </c>
      <c r="B12" s="195">
        <v>0.92</v>
      </c>
      <c r="C12" s="195">
        <v>27.13</v>
      </c>
      <c r="D12" s="8">
        <v>43067.416666666664</v>
      </c>
      <c r="E12" s="195">
        <v>0.62</v>
      </c>
      <c r="F12" s="195" t="s">
        <v>887</v>
      </c>
      <c r="G12" s="195">
        <v>266.33</v>
      </c>
      <c r="H12" s="195">
        <v>1E-4</v>
      </c>
      <c r="I12" s="195">
        <v>0.01</v>
      </c>
      <c r="J12" s="195" t="s">
        <v>886</v>
      </c>
      <c r="K12" s="195">
        <v>1023.55</v>
      </c>
      <c r="L12" s="195" t="s">
        <v>571</v>
      </c>
      <c r="M12" s="195">
        <v>39.04</v>
      </c>
      <c r="N12" s="195">
        <v>1511888400</v>
      </c>
      <c r="O12" s="195">
        <v>1</v>
      </c>
      <c r="P12" s="195">
        <v>3.63</v>
      </c>
      <c r="Q12" s="195">
        <v>45</v>
      </c>
      <c r="R12" s="195">
        <v>2.41</v>
      </c>
      <c r="S12" s="195">
        <v>0.53</v>
      </c>
      <c r="T12"/>
    </row>
    <row r="13" spans="1:20" x14ac:dyDescent="0.25">
      <c r="A13" s="195">
        <v>40.950000000000003</v>
      </c>
      <c r="B13" s="195">
        <v>0.71</v>
      </c>
      <c r="C13" s="195">
        <v>25.81</v>
      </c>
      <c r="D13" s="8">
        <v>43067.458333333336</v>
      </c>
      <c r="E13" s="195">
        <v>0.54</v>
      </c>
      <c r="F13" s="195" t="s">
        <v>887</v>
      </c>
      <c r="G13" s="195">
        <v>268.05</v>
      </c>
      <c r="H13" s="195">
        <v>0</v>
      </c>
      <c r="I13" s="195">
        <v>0</v>
      </c>
      <c r="J13" s="195"/>
      <c r="K13" s="195">
        <v>1023.69</v>
      </c>
      <c r="L13" s="195" t="s">
        <v>571</v>
      </c>
      <c r="M13" s="195">
        <v>40.950000000000003</v>
      </c>
      <c r="N13" s="195">
        <v>1511892000</v>
      </c>
      <c r="O13" s="195">
        <v>2</v>
      </c>
      <c r="P13" s="195">
        <v>4.28</v>
      </c>
      <c r="Q13" s="195">
        <v>109</v>
      </c>
      <c r="R13" s="195">
        <v>2.95</v>
      </c>
      <c r="S13" s="195">
        <v>0.88</v>
      </c>
      <c r="T13"/>
    </row>
    <row r="14" spans="1:20" x14ac:dyDescent="0.25">
      <c r="A14" s="195">
        <v>43.25</v>
      </c>
      <c r="B14" s="195">
        <v>0.7</v>
      </c>
      <c r="C14" s="195">
        <v>25.58</v>
      </c>
      <c r="D14" s="8">
        <v>43067.5</v>
      </c>
      <c r="E14" s="195">
        <v>0.49</v>
      </c>
      <c r="F14" s="195" t="s">
        <v>887</v>
      </c>
      <c r="G14" s="195">
        <v>266.06</v>
      </c>
      <c r="H14" s="195">
        <v>0</v>
      </c>
      <c r="I14" s="195">
        <v>0</v>
      </c>
      <c r="J14" s="195"/>
      <c r="K14" s="195">
        <v>1023.72</v>
      </c>
      <c r="L14" s="195" t="s">
        <v>571</v>
      </c>
      <c r="M14" s="195">
        <v>43.25</v>
      </c>
      <c r="N14" s="195">
        <v>1511895600</v>
      </c>
      <c r="O14" s="195">
        <v>2</v>
      </c>
      <c r="P14" s="195">
        <v>3.13</v>
      </c>
      <c r="Q14" s="195">
        <v>140</v>
      </c>
      <c r="R14" s="195">
        <v>4.71</v>
      </c>
      <c r="S14" s="195">
        <v>1.81</v>
      </c>
      <c r="T14"/>
    </row>
    <row r="15" spans="1:20" x14ac:dyDescent="0.25">
      <c r="A15" s="195">
        <v>44.74</v>
      </c>
      <c r="B15" s="195">
        <v>0.28000000000000003</v>
      </c>
      <c r="C15" s="195">
        <v>26.4</v>
      </c>
      <c r="D15" s="8">
        <v>43067.541666666664</v>
      </c>
      <c r="E15" s="195">
        <v>0.48</v>
      </c>
      <c r="F15" s="195" t="s">
        <v>887</v>
      </c>
      <c r="G15" s="195">
        <v>263.18</v>
      </c>
      <c r="H15" s="195">
        <v>0</v>
      </c>
      <c r="I15" s="195">
        <v>0</v>
      </c>
      <c r="J15" s="195"/>
      <c r="K15" s="195">
        <v>1023.42</v>
      </c>
      <c r="L15" s="195" t="s">
        <v>888</v>
      </c>
      <c r="M15" s="195">
        <v>44.74</v>
      </c>
      <c r="N15" s="195">
        <v>1511899200</v>
      </c>
      <c r="O15" s="195">
        <v>2</v>
      </c>
      <c r="P15" s="195">
        <v>3.95</v>
      </c>
      <c r="Q15" s="195">
        <v>142</v>
      </c>
      <c r="R15" s="195">
        <v>7.37</v>
      </c>
      <c r="S15" s="195">
        <v>1.82</v>
      </c>
      <c r="T15"/>
    </row>
    <row r="16" spans="1:20" x14ac:dyDescent="0.25">
      <c r="A16" s="195">
        <v>45.85</v>
      </c>
      <c r="B16" s="195">
        <v>0.18</v>
      </c>
      <c r="C16" s="195">
        <v>26.07</v>
      </c>
      <c r="D16" s="8">
        <v>43067.583333333336</v>
      </c>
      <c r="E16" s="195">
        <v>0.46</v>
      </c>
      <c r="F16" s="195" t="s">
        <v>484</v>
      </c>
      <c r="G16" s="195">
        <v>260.26</v>
      </c>
      <c r="H16" s="195">
        <v>0</v>
      </c>
      <c r="I16" s="195">
        <v>0</v>
      </c>
      <c r="J16" s="195"/>
      <c r="K16" s="195">
        <v>1023.13</v>
      </c>
      <c r="L16" s="195" t="s">
        <v>421</v>
      </c>
      <c r="M16" s="195">
        <v>45.85</v>
      </c>
      <c r="N16" s="195">
        <v>1511902800</v>
      </c>
      <c r="O16" s="195">
        <v>1</v>
      </c>
      <c r="P16" s="195">
        <v>3.95</v>
      </c>
      <c r="Q16" s="195">
        <v>136</v>
      </c>
      <c r="R16" s="195">
        <v>6.07</v>
      </c>
      <c r="S16" s="195">
        <v>1.86</v>
      </c>
      <c r="T16"/>
    </row>
    <row r="17" spans="1:20" x14ac:dyDescent="0.25">
      <c r="A17" s="195">
        <v>47.84</v>
      </c>
      <c r="B17" s="195">
        <v>0</v>
      </c>
      <c r="C17" s="195">
        <v>23.52</v>
      </c>
      <c r="D17" s="8">
        <v>43067.625</v>
      </c>
      <c r="E17" s="195">
        <v>0.36</v>
      </c>
      <c r="F17" s="195" t="s">
        <v>484</v>
      </c>
      <c r="G17" s="195">
        <v>257.82</v>
      </c>
      <c r="H17" s="195">
        <v>0</v>
      </c>
      <c r="I17" s="195">
        <v>0</v>
      </c>
      <c r="J17" s="195"/>
      <c r="K17" s="195">
        <v>1021.88</v>
      </c>
      <c r="L17" s="195" t="s">
        <v>421</v>
      </c>
      <c r="M17" s="195">
        <v>49.71</v>
      </c>
      <c r="N17" s="195">
        <v>1511906400</v>
      </c>
      <c r="O17" s="195">
        <v>1</v>
      </c>
      <c r="P17" s="195">
        <v>10</v>
      </c>
      <c r="Q17" s="195">
        <v>114</v>
      </c>
      <c r="R17" s="195">
        <v>6.29</v>
      </c>
      <c r="S17" s="195">
        <v>5.05</v>
      </c>
      <c r="T17"/>
    </row>
    <row r="18" spans="1:20" x14ac:dyDescent="0.25">
      <c r="A18" s="195">
        <v>45.39</v>
      </c>
      <c r="B18" s="195">
        <v>0.06</v>
      </c>
      <c r="C18" s="195">
        <v>25.48</v>
      </c>
      <c r="D18" s="8">
        <v>43067.666666666664</v>
      </c>
      <c r="E18" s="195">
        <v>0.45</v>
      </c>
      <c r="F18" s="195" t="s">
        <v>484</v>
      </c>
      <c r="G18" s="195">
        <v>255.61</v>
      </c>
      <c r="H18" s="195">
        <v>1E-4</v>
      </c>
      <c r="I18" s="195">
        <v>0.01</v>
      </c>
      <c r="J18" s="195" t="s">
        <v>886</v>
      </c>
      <c r="K18" s="195">
        <v>1024.19</v>
      </c>
      <c r="L18" s="195" t="s">
        <v>421</v>
      </c>
      <c r="M18" s="195">
        <v>45.39</v>
      </c>
      <c r="N18" s="195">
        <v>1511910000</v>
      </c>
      <c r="O18" s="195">
        <v>0</v>
      </c>
      <c r="P18" s="195">
        <v>3.99</v>
      </c>
      <c r="Q18" s="195">
        <v>124</v>
      </c>
      <c r="R18" s="195">
        <v>4.75</v>
      </c>
      <c r="S18" s="195">
        <v>1.33</v>
      </c>
      <c r="T18"/>
    </row>
    <row r="19" spans="1:20" x14ac:dyDescent="0.25">
      <c r="A19" s="195">
        <v>42.26</v>
      </c>
      <c r="B19" s="195">
        <v>0.06</v>
      </c>
      <c r="C19" s="195">
        <v>24.72</v>
      </c>
      <c r="D19" s="8">
        <v>43067.708333333336</v>
      </c>
      <c r="E19" s="195">
        <v>0.49</v>
      </c>
      <c r="F19" s="195" t="s">
        <v>422</v>
      </c>
      <c r="G19" s="195">
        <v>254.43</v>
      </c>
      <c r="H19" s="195">
        <v>1E-4</v>
      </c>
      <c r="I19" s="195">
        <v>0.01</v>
      </c>
      <c r="J19" s="195" t="s">
        <v>886</v>
      </c>
      <c r="K19" s="195">
        <v>1024.3900000000001</v>
      </c>
      <c r="L19" s="195" t="s">
        <v>421</v>
      </c>
      <c r="M19" s="195">
        <v>42.26</v>
      </c>
      <c r="N19" s="195">
        <v>1511913600</v>
      </c>
      <c r="O19" s="195">
        <v>0</v>
      </c>
      <c r="P19" s="195">
        <v>3.73</v>
      </c>
      <c r="Q19" s="195">
        <v>98</v>
      </c>
      <c r="R19" s="195">
        <v>3.34</v>
      </c>
      <c r="S19" s="195">
        <v>1.21</v>
      </c>
      <c r="T19"/>
    </row>
    <row r="20" spans="1:20" x14ac:dyDescent="0.25">
      <c r="A20" s="195">
        <v>39.32</v>
      </c>
      <c r="B20" s="195">
        <v>0.04</v>
      </c>
      <c r="C20" s="195">
        <v>23.81</v>
      </c>
      <c r="D20" s="8">
        <v>43067.75</v>
      </c>
      <c r="E20" s="195">
        <v>0.53</v>
      </c>
      <c r="F20" s="195" t="s">
        <v>422</v>
      </c>
      <c r="G20" s="195">
        <v>253.64</v>
      </c>
      <c r="H20" s="195">
        <v>0</v>
      </c>
      <c r="I20" s="195">
        <v>0</v>
      </c>
      <c r="J20" s="195"/>
      <c r="K20" s="195">
        <v>1025.71</v>
      </c>
      <c r="L20" s="195" t="s">
        <v>421</v>
      </c>
      <c r="M20" s="195">
        <v>39.32</v>
      </c>
      <c r="N20" s="195">
        <v>1511917200</v>
      </c>
      <c r="O20" s="195">
        <v>0</v>
      </c>
      <c r="P20" s="195">
        <v>4.08</v>
      </c>
      <c r="Q20" s="195">
        <v>123</v>
      </c>
      <c r="R20" s="195">
        <v>3.9</v>
      </c>
      <c r="S20" s="195">
        <v>1.66</v>
      </c>
      <c r="T20"/>
    </row>
    <row r="21" spans="1:20" x14ac:dyDescent="0.25">
      <c r="A21" s="195">
        <v>37.340000000000003</v>
      </c>
      <c r="B21" s="195">
        <v>0.02</v>
      </c>
      <c r="C21" s="195">
        <v>23.72</v>
      </c>
      <c r="D21" s="8">
        <v>43067.791666666664</v>
      </c>
      <c r="E21" s="195">
        <v>0.56999999999999995</v>
      </c>
      <c r="F21" s="195" t="s">
        <v>422</v>
      </c>
      <c r="G21" s="195">
        <v>253.25</v>
      </c>
      <c r="H21" s="195">
        <v>0</v>
      </c>
      <c r="I21" s="195">
        <v>0</v>
      </c>
      <c r="J21" s="195"/>
      <c r="K21" s="195">
        <v>1024.76</v>
      </c>
      <c r="L21" s="195" t="s">
        <v>421</v>
      </c>
      <c r="M21" s="195">
        <v>37.340000000000003</v>
      </c>
      <c r="N21" s="195">
        <v>1511920800</v>
      </c>
      <c r="O21" s="195">
        <v>0</v>
      </c>
      <c r="P21" s="195">
        <v>2.65</v>
      </c>
      <c r="Q21" s="195">
        <v>128</v>
      </c>
      <c r="R21" s="195">
        <v>3.62</v>
      </c>
      <c r="S21" s="195">
        <v>1.22</v>
      </c>
      <c r="T21"/>
    </row>
    <row r="22" spans="1:20" x14ac:dyDescent="0.25">
      <c r="A22" s="195">
        <v>35.380000000000003</v>
      </c>
      <c r="B22" s="195">
        <v>0</v>
      </c>
      <c r="C22" s="195">
        <v>24.21</v>
      </c>
      <c r="D22" s="8">
        <v>43067.833333333336</v>
      </c>
      <c r="E22" s="195">
        <v>0.63</v>
      </c>
      <c r="F22" s="195" t="s">
        <v>422</v>
      </c>
      <c r="G22" s="195">
        <v>253.25</v>
      </c>
      <c r="H22" s="195">
        <v>0</v>
      </c>
      <c r="I22" s="195">
        <v>0</v>
      </c>
      <c r="J22" s="195"/>
      <c r="K22" s="195">
        <v>1025.92</v>
      </c>
      <c r="L22" s="195" t="s">
        <v>421</v>
      </c>
      <c r="M22" s="195">
        <v>35.380000000000003</v>
      </c>
      <c r="N22" s="195">
        <v>1511924400</v>
      </c>
      <c r="O22" s="195">
        <v>0</v>
      </c>
      <c r="P22" s="195">
        <v>2.4700000000000002</v>
      </c>
      <c r="Q22" s="195">
        <v>144</v>
      </c>
      <c r="R22" s="195">
        <v>3.14</v>
      </c>
      <c r="S22" s="195">
        <v>1.26</v>
      </c>
      <c r="T22"/>
    </row>
    <row r="23" spans="1:20" x14ac:dyDescent="0.25">
      <c r="A23" s="195">
        <v>34.03</v>
      </c>
      <c r="B23" s="195">
        <v>0</v>
      </c>
      <c r="C23" s="195">
        <v>25.01</v>
      </c>
      <c r="D23" s="8">
        <v>43067.875</v>
      </c>
      <c r="E23" s="195">
        <v>0.69</v>
      </c>
      <c r="F23" s="195" t="s">
        <v>422</v>
      </c>
      <c r="G23" s="195">
        <v>253.64</v>
      </c>
      <c r="H23" s="195">
        <v>0</v>
      </c>
      <c r="I23" s="195">
        <v>0</v>
      </c>
      <c r="J23" s="195"/>
      <c r="K23" s="195">
        <v>1024.5899999999999</v>
      </c>
      <c r="L23" s="195" t="s">
        <v>421</v>
      </c>
      <c r="M23" s="195">
        <v>34.03</v>
      </c>
      <c r="N23" s="195">
        <v>1511928000</v>
      </c>
      <c r="O23" s="195">
        <v>0</v>
      </c>
      <c r="P23" s="195">
        <v>3.36</v>
      </c>
      <c r="Q23" s="195">
        <v>163</v>
      </c>
      <c r="R23" s="195">
        <v>3.36</v>
      </c>
      <c r="S23" s="195">
        <v>0.99</v>
      </c>
      <c r="T23"/>
    </row>
    <row r="24" spans="1:20" x14ac:dyDescent="0.25">
      <c r="A24" s="195">
        <v>32.81</v>
      </c>
      <c r="B24" s="195">
        <v>0.02</v>
      </c>
      <c r="C24" s="195">
        <v>25.02</v>
      </c>
      <c r="D24" s="8">
        <v>43067.916666666664</v>
      </c>
      <c r="E24" s="195">
        <v>0.73</v>
      </c>
      <c r="F24" s="195" t="s">
        <v>422</v>
      </c>
      <c r="G24" s="195">
        <v>254.04</v>
      </c>
      <c r="H24" s="195">
        <v>0</v>
      </c>
      <c r="I24" s="195">
        <v>0</v>
      </c>
      <c r="J24" s="195"/>
      <c r="K24" s="195">
        <v>1024.26</v>
      </c>
      <c r="L24" s="195" t="s">
        <v>421</v>
      </c>
      <c r="M24" s="195">
        <v>32.81</v>
      </c>
      <c r="N24" s="195">
        <v>1511931600</v>
      </c>
      <c r="O24" s="195">
        <v>0</v>
      </c>
      <c r="P24" s="195">
        <v>3.08</v>
      </c>
      <c r="Q24" s="195">
        <v>187</v>
      </c>
      <c r="R24" s="195">
        <v>2.86</v>
      </c>
      <c r="S24" s="195">
        <v>1.01</v>
      </c>
      <c r="T24"/>
    </row>
    <row r="25" spans="1:20" x14ac:dyDescent="0.25">
      <c r="A25" s="195">
        <v>31.76</v>
      </c>
      <c r="B25" s="195">
        <v>0</v>
      </c>
      <c r="C25" s="195">
        <v>24.76</v>
      </c>
      <c r="D25" s="8">
        <v>43067.958333333336</v>
      </c>
      <c r="E25" s="195">
        <v>0.75</v>
      </c>
      <c r="F25" s="195" t="s">
        <v>422</v>
      </c>
      <c r="G25" s="195">
        <v>254.83</v>
      </c>
      <c r="H25" s="195">
        <v>0</v>
      </c>
      <c r="I25" s="195">
        <v>0</v>
      </c>
      <c r="J25" s="195"/>
      <c r="K25" s="195">
        <v>1023.37</v>
      </c>
      <c r="L25" s="195" t="s">
        <v>421</v>
      </c>
      <c r="M25" s="195">
        <v>31.76</v>
      </c>
      <c r="N25" s="195">
        <v>1511935200</v>
      </c>
      <c r="O25" s="195">
        <v>0</v>
      </c>
      <c r="P25" s="195">
        <v>2.66</v>
      </c>
      <c r="Q25" s="195">
        <v>204</v>
      </c>
      <c r="R25" s="195">
        <v>2.74</v>
      </c>
      <c r="S25" s="195">
        <v>0.75</v>
      </c>
      <c r="T25"/>
    </row>
    <row r="26" spans="1:20" x14ac:dyDescent="0.25">
      <c r="A26" s="195">
        <v>30.92</v>
      </c>
      <c r="B26" s="195">
        <v>0</v>
      </c>
      <c r="C26" s="195">
        <v>24.35</v>
      </c>
      <c r="D26" s="8">
        <v>43068</v>
      </c>
      <c r="E26" s="195">
        <v>0.76</v>
      </c>
      <c r="F26" s="195" t="s">
        <v>422</v>
      </c>
      <c r="G26" s="195">
        <v>255.76</v>
      </c>
      <c r="H26" s="195">
        <v>0</v>
      </c>
      <c r="I26" s="195">
        <v>0</v>
      </c>
      <c r="J26" s="195"/>
      <c r="K26" s="195">
        <v>1021.45</v>
      </c>
      <c r="L26" s="195" t="s">
        <v>421</v>
      </c>
      <c r="M26" s="195">
        <v>30.92</v>
      </c>
      <c r="N26" s="195">
        <v>1511938800</v>
      </c>
      <c r="O26" s="195">
        <v>0</v>
      </c>
      <c r="P26" s="195">
        <v>3.35</v>
      </c>
      <c r="Q26" s="195">
        <v>201</v>
      </c>
      <c r="R26" s="195">
        <v>2.79</v>
      </c>
      <c r="S26" s="195">
        <v>0.73</v>
      </c>
      <c r="T26"/>
    </row>
    <row r="27" spans="1:20" x14ac:dyDescent="0.25">
      <c r="A27" s="195">
        <v>29.98</v>
      </c>
      <c r="B27" s="195">
        <v>0</v>
      </c>
      <c r="C27" s="195">
        <v>23.99</v>
      </c>
      <c r="D27" s="8">
        <v>43068.041666666664</v>
      </c>
      <c r="E27" s="195">
        <v>0.78</v>
      </c>
      <c r="F27" s="195" t="s">
        <v>422</v>
      </c>
      <c r="G27" s="195">
        <v>257.06</v>
      </c>
      <c r="H27" s="195">
        <v>0</v>
      </c>
      <c r="I27" s="195">
        <v>0</v>
      </c>
      <c r="J27" s="195"/>
      <c r="K27" s="195">
        <v>1020.39</v>
      </c>
      <c r="L27" s="195" t="s">
        <v>421</v>
      </c>
      <c r="M27" s="195">
        <v>29.98</v>
      </c>
      <c r="N27" s="195">
        <v>1511942400</v>
      </c>
      <c r="O27" s="195">
        <v>0</v>
      </c>
      <c r="P27" s="195">
        <v>2.85</v>
      </c>
      <c r="Q27" s="195">
        <v>196</v>
      </c>
      <c r="R27" s="195">
        <v>2.54</v>
      </c>
      <c r="S27" s="195">
        <v>0.95</v>
      </c>
      <c r="T27"/>
    </row>
    <row r="28" spans="1:20" x14ac:dyDescent="0.25">
      <c r="A28" s="195">
        <v>29.11</v>
      </c>
      <c r="B28" s="195">
        <v>0</v>
      </c>
      <c r="C28" s="195">
        <v>23.46</v>
      </c>
      <c r="D28" s="8">
        <v>43068.083333333336</v>
      </c>
      <c r="E28" s="195">
        <v>0.79</v>
      </c>
      <c r="F28" s="195" t="s">
        <v>422</v>
      </c>
      <c r="G28" s="195">
        <v>257.58</v>
      </c>
      <c r="H28" s="195">
        <v>0</v>
      </c>
      <c r="I28" s="195">
        <v>0</v>
      </c>
      <c r="J28" s="195"/>
      <c r="K28" s="195">
        <v>1019.82</v>
      </c>
      <c r="L28" s="195" t="s">
        <v>421</v>
      </c>
      <c r="M28" s="195">
        <v>29.11</v>
      </c>
      <c r="N28" s="195">
        <v>1511946000</v>
      </c>
      <c r="O28" s="195">
        <v>0</v>
      </c>
      <c r="P28" s="195">
        <v>3.31</v>
      </c>
      <c r="Q28" s="195">
        <v>215</v>
      </c>
      <c r="R28" s="195">
        <v>2.42</v>
      </c>
      <c r="S28" s="195">
        <v>0.55000000000000004</v>
      </c>
      <c r="T28"/>
    </row>
    <row r="29" spans="1:20" x14ac:dyDescent="0.25">
      <c r="A29" s="195">
        <v>29.05</v>
      </c>
      <c r="B29" s="195">
        <v>0.03</v>
      </c>
      <c r="C29" s="195">
        <v>22.66</v>
      </c>
      <c r="D29" s="8">
        <v>43068.125</v>
      </c>
      <c r="E29" s="195">
        <v>0.77</v>
      </c>
      <c r="F29" s="195" t="s">
        <v>422</v>
      </c>
      <c r="G29" s="195">
        <v>257.07</v>
      </c>
      <c r="H29" s="195">
        <v>0</v>
      </c>
      <c r="I29" s="195">
        <v>0</v>
      </c>
      <c r="J29" s="195"/>
      <c r="K29" s="195">
        <v>1019.66</v>
      </c>
      <c r="L29" s="195" t="s">
        <v>421</v>
      </c>
      <c r="M29" s="195">
        <v>29.05</v>
      </c>
      <c r="N29" s="195">
        <v>1511949600</v>
      </c>
      <c r="O29" s="195">
        <v>0</v>
      </c>
      <c r="P29" s="195">
        <v>5.13</v>
      </c>
      <c r="Q29" s="195">
        <v>205</v>
      </c>
      <c r="R29" s="195">
        <v>2.97</v>
      </c>
      <c r="S29" s="195">
        <v>1.67</v>
      </c>
      <c r="T29"/>
    </row>
    <row r="30" spans="1:20" x14ac:dyDescent="0.25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</row>
    <row r="31" spans="1:20" x14ac:dyDescent="0.25">
      <c r="A31" s="140" t="s">
        <v>179</v>
      </c>
    </row>
    <row r="33" spans="1:1" x14ac:dyDescent="0.25">
      <c r="A33" s="140" t="s">
        <v>173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3"/>
  <sheetViews>
    <sheetView workbookViewId="0">
      <selection activeCell="C18" sqref="C18:C29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39" bestFit="1" customWidth="1"/>
    <col min="11" max="11" width="15.28515625" style="139" hidden="1" customWidth="1"/>
    <col min="12" max="12" width="13.5703125" style="139" hidden="1" customWidth="1"/>
    <col min="13" max="13" width="9" style="153" bestFit="1" customWidth="1"/>
    <col min="14" max="17" width="9.140625" style="139"/>
    <col min="20" max="24" width="9.140625" style="153"/>
    <col min="29" max="29" width="12.42578125" customWidth="1"/>
    <col min="30" max="30" width="9.140625" style="167"/>
    <col min="31" max="32" width="9.140625" style="56"/>
  </cols>
  <sheetData>
    <row r="1" spans="1:32" ht="45.75" x14ac:dyDescent="0.3">
      <c r="A1" s="11" t="s">
        <v>25</v>
      </c>
      <c r="C1" s="119" t="s">
        <v>96</v>
      </c>
      <c r="D1" s="120" t="s">
        <v>97</v>
      </c>
      <c r="J1" s="145" t="s">
        <v>98</v>
      </c>
      <c r="K1" s="145" t="s">
        <v>66</v>
      </c>
      <c r="L1" s="145" t="s">
        <v>67</v>
      </c>
      <c r="O1" s="146" t="s">
        <v>99</v>
      </c>
      <c r="T1" s="155" t="s">
        <v>324</v>
      </c>
      <c r="U1" s="155"/>
      <c r="V1" s="155"/>
      <c r="W1" s="155"/>
      <c r="X1" s="155"/>
    </row>
    <row r="2" spans="1:32" ht="15.75" thickBot="1" x14ac:dyDescent="0.3">
      <c r="A2" s="12">
        <v>43067</v>
      </c>
      <c r="B2" s="4"/>
      <c r="C2" s="121">
        <v>50</v>
      </c>
      <c r="D2" s="122">
        <v>25</v>
      </c>
      <c r="F2" t="s">
        <v>110</v>
      </c>
      <c r="J2" s="145"/>
      <c r="K2" s="145" t="s">
        <v>66</v>
      </c>
      <c r="L2" s="145" t="s">
        <v>67</v>
      </c>
      <c r="T2" s="154" t="s">
        <v>325</v>
      </c>
      <c r="U2" s="154">
        <v>167</v>
      </c>
      <c r="V2" s="154">
        <v>168</v>
      </c>
      <c r="W2" s="154">
        <v>199</v>
      </c>
      <c r="X2" s="154">
        <v>200</v>
      </c>
      <c r="AD2" t="s">
        <v>337</v>
      </c>
      <c r="AE2" s="56" t="s">
        <v>340</v>
      </c>
      <c r="AF2" s="56" t="s">
        <v>341</v>
      </c>
    </row>
    <row r="3" spans="1:32" x14ac:dyDescent="0.25">
      <c r="C3" s="56"/>
      <c r="F3" t="s">
        <v>52</v>
      </c>
      <c r="J3" s="147" t="s">
        <v>68</v>
      </c>
      <c r="K3" s="148">
        <v>2.7052</v>
      </c>
      <c r="L3" s="148">
        <v>2.7349999999999999</v>
      </c>
      <c r="M3" s="153">
        <f t="shared" ref="M3:M14" si="0">AVERAGE(K3:L3)</f>
        <v>2.7201</v>
      </c>
      <c r="O3" s="139" t="s">
        <v>100</v>
      </c>
      <c r="P3" s="139">
        <f>AVERAGE(1.0714,1.1016)</f>
        <v>1.0865</v>
      </c>
      <c r="T3" s="154" t="s">
        <v>326</v>
      </c>
      <c r="U3" s="154">
        <v>174</v>
      </c>
      <c r="V3" s="154">
        <v>176</v>
      </c>
      <c r="W3" s="154">
        <v>207</v>
      </c>
      <c r="X3" s="154">
        <v>210</v>
      </c>
      <c r="AC3" s="30" t="s">
        <v>102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96</v>
      </c>
      <c r="D4" s="120" t="s">
        <v>97</v>
      </c>
      <c r="F4" t="s">
        <v>53</v>
      </c>
      <c r="J4" s="147" t="s">
        <v>69</v>
      </c>
      <c r="K4" s="148">
        <v>3.0830000000000002</v>
      </c>
      <c r="L4" s="148">
        <v>3.097</v>
      </c>
      <c r="M4" s="153">
        <f t="shared" si="0"/>
        <v>3.09</v>
      </c>
      <c r="T4" s="154" t="s">
        <v>327</v>
      </c>
      <c r="U4" s="154">
        <v>173</v>
      </c>
      <c r="V4" s="154">
        <v>175</v>
      </c>
      <c r="W4" s="154">
        <v>208</v>
      </c>
      <c r="X4" s="154">
        <v>209</v>
      </c>
      <c r="AC4" s="30" t="s">
        <v>103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7" t="s">
        <v>70</v>
      </c>
      <c r="K5" s="148">
        <v>3.3136000000000001</v>
      </c>
      <c r="L5" s="148">
        <v>3.3256999999999999</v>
      </c>
      <c r="M5" s="153">
        <f t="shared" si="0"/>
        <v>3.3196500000000002</v>
      </c>
      <c r="T5" s="154" t="s">
        <v>328</v>
      </c>
      <c r="U5" s="154">
        <v>187</v>
      </c>
      <c r="V5" s="154">
        <v>188</v>
      </c>
      <c r="W5" s="154">
        <v>223</v>
      </c>
      <c r="X5" s="154">
        <v>224</v>
      </c>
      <c r="AC5" s="30" t="s">
        <v>338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111</v>
      </c>
      <c r="J6" s="147" t="s">
        <v>71</v>
      </c>
      <c r="K6" s="148">
        <v>4.2778999999999998</v>
      </c>
      <c r="L6" s="148">
        <v>4.2961</v>
      </c>
      <c r="M6" s="153">
        <f t="shared" si="0"/>
        <v>4.2869999999999999</v>
      </c>
      <c r="T6" s="154"/>
      <c r="U6" s="154"/>
      <c r="V6" s="154"/>
      <c r="W6" s="154"/>
      <c r="X6" s="154"/>
      <c r="AC6" s="45" t="s">
        <v>103</v>
      </c>
      <c r="AD6" s="182">
        <v>5.65</v>
      </c>
      <c r="AE6" s="42">
        <v>1800</v>
      </c>
      <c r="AF6" s="42">
        <v>1899</v>
      </c>
    </row>
    <row r="7" spans="1:32" x14ac:dyDescent="0.25">
      <c r="C7" s="56"/>
      <c r="F7" t="s">
        <v>333</v>
      </c>
      <c r="J7" s="147" t="s">
        <v>72</v>
      </c>
      <c r="K7" s="148">
        <v>4.7865000000000002</v>
      </c>
      <c r="L7" s="148">
        <v>4.8048000000000002</v>
      </c>
      <c r="M7" s="153">
        <f t="shared" si="0"/>
        <v>4.7956500000000002</v>
      </c>
      <c r="T7" s="154"/>
      <c r="U7" s="154"/>
      <c r="V7" s="154"/>
      <c r="W7" s="154"/>
      <c r="X7" s="154"/>
      <c r="AC7" s="30" t="s">
        <v>339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350</v>
      </c>
      <c r="J8" s="147" t="s">
        <v>73</v>
      </c>
      <c r="K8" s="148">
        <v>5.3155000000000001</v>
      </c>
      <c r="L8" s="148">
        <v>5.3277000000000001</v>
      </c>
      <c r="M8" s="153">
        <f t="shared" si="0"/>
        <v>5.3216000000000001</v>
      </c>
      <c r="T8" s="154"/>
      <c r="U8" s="154"/>
      <c r="V8" s="154"/>
      <c r="W8" s="154"/>
      <c r="X8" s="154"/>
      <c r="AC8" s="45" t="s">
        <v>342</v>
      </c>
      <c r="AD8" s="173">
        <v>9999</v>
      </c>
      <c r="AE8" s="131">
        <v>9999</v>
      </c>
      <c r="AF8" s="131">
        <v>9999</v>
      </c>
    </row>
    <row r="9" spans="1:32" x14ac:dyDescent="0.25">
      <c r="C9" s="56"/>
      <c r="J9" s="147" t="s">
        <v>74</v>
      </c>
      <c r="K9" s="148">
        <v>5.8117000000000001</v>
      </c>
      <c r="L9" s="148">
        <v>5.8300999999999998</v>
      </c>
      <c r="M9" s="153">
        <f t="shared" si="0"/>
        <v>5.8209</v>
      </c>
      <c r="T9" s="154"/>
      <c r="U9" s="154"/>
      <c r="V9" s="154"/>
      <c r="W9" s="154"/>
      <c r="X9" s="154"/>
    </row>
    <row r="10" spans="1:32" x14ac:dyDescent="0.25">
      <c r="C10" s="56"/>
      <c r="J10" s="147" t="s">
        <v>75</v>
      </c>
      <c r="K10" s="148">
        <v>5.8783000000000003</v>
      </c>
      <c r="L10" s="148">
        <v>5.8903999999999996</v>
      </c>
      <c r="M10" s="153">
        <f t="shared" si="0"/>
        <v>5.8843499999999995</v>
      </c>
      <c r="T10" s="154"/>
      <c r="U10" s="154"/>
      <c r="V10" s="154"/>
      <c r="W10" s="154"/>
      <c r="X10" s="154"/>
    </row>
    <row r="11" spans="1:32" x14ac:dyDescent="0.25">
      <c r="C11" s="56"/>
      <c r="J11" s="147" t="s">
        <v>76</v>
      </c>
      <c r="K11" s="148">
        <v>6.3068</v>
      </c>
      <c r="L11" s="148">
        <v>6.3308999999999997</v>
      </c>
      <c r="M11" s="153">
        <f t="shared" si="0"/>
        <v>6.3188499999999994</v>
      </c>
      <c r="T11" s="154"/>
      <c r="U11" s="154"/>
      <c r="V11" s="154"/>
      <c r="W11" s="154"/>
      <c r="X11" s="154"/>
    </row>
    <row r="12" spans="1:32" x14ac:dyDescent="0.25">
      <c r="C12" s="56"/>
      <c r="J12" s="147" t="s">
        <v>77</v>
      </c>
      <c r="K12" s="148">
        <v>7.8349000000000002</v>
      </c>
      <c r="L12" s="148">
        <v>7.8468999999999998</v>
      </c>
      <c r="M12" s="153">
        <f t="shared" si="0"/>
        <v>7.8408999999999995</v>
      </c>
      <c r="T12" s="154"/>
      <c r="U12" s="154"/>
      <c r="V12" s="154"/>
      <c r="W12" s="154"/>
      <c r="X12" s="154"/>
    </row>
    <row r="13" spans="1:32" x14ac:dyDescent="0.25">
      <c r="C13" s="56"/>
      <c r="J13" s="147" t="s">
        <v>78</v>
      </c>
      <c r="K13" s="148">
        <v>10.373799999999999</v>
      </c>
      <c r="L13" s="148">
        <v>10.38</v>
      </c>
      <c r="M13" s="153">
        <f t="shared" si="0"/>
        <v>10.376899999999999</v>
      </c>
      <c r="T13" s="154"/>
      <c r="U13" s="154"/>
      <c r="V13" s="154"/>
      <c r="W13" s="154"/>
      <c r="X13" s="154"/>
    </row>
    <row r="14" spans="1:32" x14ac:dyDescent="0.25">
      <c r="C14" s="56"/>
      <c r="J14" s="147" t="s">
        <v>79</v>
      </c>
      <c r="K14" s="148">
        <v>10.8954</v>
      </c>
      <c r="L14" s="148">
        <v>10.913500000000001</v>
      </c>
      <c r="M14" s="153">
        <f t="shared" si="0"/>
        <v>10.904450000000001</v>
      </c>
      <c r="T14" s="154"/>
      <c r="U14" s="154"/>
      <c r="V14" s="154"/>
      <c r="W14" s="154"/>
      <c r="X14" s="154"/>
    </row>
    <row r="15" spans="1:32" x14ac:dyDescent="0.25">
      <c r="C15" s="56"/>
      <c r="J15" s="147"/>
      <c r="K15" s="148"/>
      <c r="L15" s="148"/>
      <c r="T15" s="154"/>
      <c r="U15" s="154"/>
      <c r="V15" s="154"/>
      <c r="W15" s="154"/>
      <c r="X15" s="154"/>
    </row>
    <row r="16" spans="1:32" x14ac:dyDescent="0.25">
      <c r="C16" s="56"/>
      <c r="J16" s="147"/>
      <c r="K16" s="148"/>
      <c r="L16" s="148"/>
      <c r="T16" s="154"/>
      <c r="U16" s="154"/>
      <c r="V16" s="154"/>
      <c r="W16" s="154"/>
      <c r="X16" s="154"/>
    </row>
    <row r="17" spans="3:24" x14ac:dyDescent="0.25">
      <c r="C17" s="136" t="s">
        <v>180</v>
      </c>
      <c r="J17" s="147"/>
      <c r="K17" s="148"/>
      <c r="L17" s="148"/>
      <c r="T17" s="154"/>
      <c r="U17" s="154"/>
      <c r="V17" s="154"/>
      <c r="W17" s="154"/>
      <c r="X17" s="154"/>
    </row>
    <row r="18" spans="3:24" x14ac:dyDescent="0.25">
      <c r="C18" t="s">
        <v>1075</v>
      </c>
      <c r="J18" s="147" t="s">
        <v>85</v>
      </c>
      <c r="K18" s="148"/>
      <c r="L18" s="148"/>
      <c r="M18" s="153" t="str">
        <f>"""C:\Program Files (x86)\AstroGrep\AstroGrep.exe"""</f>
        <v>"C:\Program Files (x86)\AstroGrep\AstroGrep.exe"</v>
      </c>
      <c r="T18" s="154"/>
      <c r="U18" s="154"/>
      <c r="V18" s="154"/>
      <c r="W18" s="154"/>
      <c r="X18" s="154"/>
    </row>
    <row r="19" spans="3:24" x14ac:dyDescent="0.25">
      <c r="C19" t="s">
        <v>1076</v>
      </c>
      <c r="J19" s="147" t="s">
        <v>86</v>
      </c>
      <c r="K19" s="148"/>
      <c r="L19" s="148"/>
      <c r="M19" s="153" t="s">
        <v>109</v>
      </c>
      <c r="T19" s="154"/>
      <c r="U19" s="154"/>
      <c r="V19" s="154"/>
      <c r="W19" s="154"/>
      <c r="X19" s="154"/>
    </row>
    <row r="20" spans="3:24" x14ac:dyDescent="0.25">
      <c r="C20" t="s">
        <v>1077</v>
      </c>
      <c r="J20" s="139" t="s">
        <v>87</v>
      </c>
      <c r="M20" s="153" t="s">
        <v>332</v>
      </c>
      <c r="N20" s="153" t="s">
        <v>323</v>
      </c>
      <c r="T20" s="154"/>
      <c r="U20" s="154"/>
      <c r="V20" s="154"/>
      <c r="W20" s="154"/>
      <c r="X20" s="154"/>
    </row>
    <row r="21" spans="3:24" x14ac:dyDescent="0.25">
      <c r="C21" t="s">
        <v>1078</v>
      </c>
      <c r="J21" s="139" t="s">
        <v>90</v>
      </c>
      <c r="K21" s="139" t="s">
        <v>91</v>
      </c>
      <c r="M21" s="153" t="s">
        <v>172</v>
      </c>
      <c r="T21" s="154"/>
      <c r="U21" s="154"/>
      <c r="V21" s="154"/>
      <c r="W21" s="154"/>
      <c r="X21" s="154"/>
    </row>
    <row r="22" spans="3:24" x14ac:dyDescent="0.25">
      <c r="C22" t="s">
        <v>1079</v>
      </c>
      <c r="J22" s="139" t="s">
        <v>92</v>
      </c>
      <c r="K22" s="139" t="s">
        <v>108</v>
      </c>
      <c r="M22" s="153" t="s">
        <v>108</v>
      </c>
      <c r="T22" s="154"/>
      <c r="U22" s="154"/>
      <c r="V22" s="154"/>
      <c r="W22" s="154"/>
      <c r="X22" s="154"/>
    </row>
    <row r="23" spans="3:24" x14ac:dyDescent="0.25">
      <c r="C23" t="s">
        <v>1080</v>
      </c>
      <c r="J23" s="149" t="s">
        <v>94</v>
      </c>
      <c r="M23" s="153" t="str">
        <f>"-07"</f>
        <v>-07</v>
      </c>
      <c r="T23" s="154"/>
      <c r="U23" s="154"/>
      <c r="V23" s="154"/>
      <c r="W23" s="154"/>
      <c r="X23" s="154"/>
    </row>
    <row r="24" spans="3:24" x14ac:dyDescent="0.25">
      <c r="C24" t="s">
        <v>1081</v>
      </c>
      <c r="J24" s="139" t="s">
        <v>105</v>
      </c>
      <c r="M24" s="153" t="s">
        <v>107</v>
      </c>
      <c r="T24" s="154"/>
      <c r="U24" s="154"/>
      <c r="V24" s="154"/>
      <c r="W24" s="154"/>
      <c r="X24" s="154"/>
    </row>
    <row r="25" spans="3:24" x14ac:dyDescent="0.25">
      <c r="C25" t="s">
        <v>1082</v>
      </c>
      <c r="J25" s="139" t="s">
        <v>144</v>
      </c>
      <c r="M25" s="153" t="b">
        <v>1</v>
      </c>
    </row>
    <row r="26" spans="3:24" x14ac:dyDescent="0.25">
      <c r="C26" t="s">
        <v>1083</v>
      </c>
      <c r="J26" s="139" t="s">
        <v>145</v>
      </c>
      <c r="M26" s="153" t="str">
        <f>"%USERPROFILE%\Documents\GitHub\eaglep3-reporting\EC\"&amp;TEXT(A2,"yyyy-mm-dd")&amp;"-refined-times.txt"</f>
        <v>%USERPROFILE%\Documents\GitHub\eaglep3-reporting\EC\2017-11-28-refined-times.txt</v>
      </c>
    </row>
    <row r="27" spans="3:24" x14ac:dyDescent="0.25">
      <c r="C27" t="s">
        <v>1084</v>
      </c>
      <c r="J27" s="139" t="s">
        <v>174</v>
      </c>
      <c r="M27" s="153" t="str">
        <f>"%USERPROFILE%\Documents\GitHub\eaglep3-reporting\EC\"&amp;TEXT(A2,"YYYY-MM-DD")&amp;"-Enforcements.txt"</f>
        <v>%USERPROFILE%\Documents\GitHub\eaglep3-reporting\EC\2017-11-28-Enforcements.txt</v>
      </c>
    </row>
    <row r="28" spans="3:24" x14ac:dyDescent="0.25">
      <c r="C28" t="s">
        <v>1085</v>
      </c>
      <c r="J28" s="139" t="s">
        <v>175</v>
      </c>
      <c r="M28" s="153" t="str">
        <f>"%USERPROFILE%\Documents\GitHub\eaglep3-reporting\EC\"&amp;TEXT(A2,"YYYY-MM-DD")&amp;"-Runs-refined.txt"</f>
        <v>%USERPROFILE%\Documents\GitHub\eaglep3-reporting\EC\2017-11-28-Runs-refined.txt</v>
      </c>
    </row>
    <row r="29" spans="3:24" x14ac:dyDescent="0.25">
      <c r="C29" t="s">
        <v>1086</v>
      </c>
      <c r="J29" s="139" t="s">
        <v>176</v>
      </c>
      <c r="M29" s="153" t="str">
        <f>"%USERPROFILE%\Documents\GitHub\eaglep3-reporting\EC\"&amp;TEXT(A2,"YYYY-MM-DD")&amp;"-Trips.txt"</f>
        <v>%USERPROFILE%\Documents\GitHub\eaglep3-reporting\EC\2017-11-28-Trips.txt</v>
      </c>
    </row>
    <row r="30" spans="3:24" x14ac:dyDescent="0.25">
      <c r="C30" t="s">
        <v>1087</v>
      </c>
      <c r="J30" s="139" t="s">
        <v>177</v>
      </c>
      <c r="M30" s="153" t="str">
        <f>"%USERPROFILE%\Documents\GitHub\eaglep3-reporting\EC\"&amp;TEXT(A2,"YYYY-MM-DD")&amp;"-Weather.txt"</f>
        <v>%USERPROFILE%\Documents\GitHub\eaglep3-reporting\EC\2017-11-28-Weather.txt</v>
      </c>
    </row>
    <row r="31" spans="3:24" x14ac:dyDescent="0.25">
      <c r="C31" t="s">
        <v>1088</v>
      </c>
      <c r="J31" s="139" t="s">
        <v>188</v>
      </c>
      <c r="M31" s="153" t="s">
        <v>189</v>
      </c>
    </row>
    <row r="32" spans="3:24" x14ac:dyDescent="0.25">
      <c r="C32" t="s">
        <v>1089</v>
      </c>
    </row>
    <row r="33" spans="3:3" x14ac:dyDescent="0.25">
      <c r="C33" t="s">
        <v>1090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40625" defaultRowHeight="15" x14ac:dyDescent="0.25"/>
  <cols>
    <col min="1" max="1" width="32.85546875" style="93" bestFit="1" customWidth="1"/>
    <col min="2" max="7" width="9.140625" style="93"/>
    <col min="8" max="8" width="17.7109375" style="187" bestFit="1" customWidth="1"/>
    <col min="9" max="10" width="9.140625" style="187"/>
    <col min="11" max="16384" width="9.140625" style="93"/>
  </cols>
  <sheetData>
    <row r="1" spans="1:11" x14ac:dyDescent="0.25">
      <c r="A1" s="92" t="s">
        <v>115</v>
      </c>
      <c r="B1" s="92" t="s">
        <v>116</v>
      </c>
      <c r="C1" s="93" t="s">
        <v>117</v>
      </c>
      <c r="H1" s="167" t="s">
        <v>112</v>
      </c>
      <c r="I1" s="185" t="s">
        <v>354</v>
      </c>
      <c r="J1" s="167" t="s">
        <v>330</v>
      </c>
    </row>
    <row r="2" spans="1:11" x14ac:dyDescent="0.25">
      <c r="A2" s="93" t="s">
        <v>118</v>
      </c>
      <c r="B2" s="93" t="s">
        <v>119</v>
      </c>
      <c r="C2" s="93" t="s">
        <v>120</v>
      </c>
      <c r="H2" s="167" t="s">
        <v>113</v>
      </c>
      <c r="I2" s="167" t="s">
        <v>114</v>
      </c>
      <c r="J2" s="167" t="s">
        <v>331</v>
      </c>
    </row>
    <row r="3" spans="1:11" x14ac:dyDescent="0.25">
      <c r="A3" s="93" t="s">
        <v>121</v>
      </c>
      <c r="B3" s="93" t="s">
        <v>122</v>
      </c>
      <c r="C3" s="93" t="s">
        <v>123</v>
      </c>
      <c r="H3" s="167" t="s">
        <v>137</v>
      </c>
      <c r="I3" s="167">
        <v>1</v>
      </c>
      <c r="J3" s="167">
        <v>1</v>
      </c>
      <c r="K3" s="55"/>
    </row>
    <row r="4" spans="1:11" x14ac:dyDescent="0.25">
      <c r="A4" s="93" t="s">
        <v>124</v>
      </c>
      <c r="C4" s="93" t="s">
        <v>125</v>
      </c>
      <c r="H4" s="167" t="s">
        <v>138</v>
      </c>
      <c r="I4" s="167">
        <v>2</v>
      </c>
      <c r="J4" s="167">
        <v>1</v>
      </c>
      <c r="K4" s="55"/>
    </row>
    <row r="5" spans="1:11" x14ac:dyDescent="0.25">
      <c r="A5" s="93" t="s">
        <v>126</v>
      </c>
      <c r="C5" s="93" t="s">
        <v>127</v>
      </c>
      <c r="H5" s="167" t="s">
        <v>139</v>
      </c>
      <c r="I5" s="167">
        <v>338</v>
      </c>
      <c r="J5" s="167">
        <v>10</v>
      </c>
      <c r="K5" s="55"/>
    </row>
    <row r="6" spans="1:11" x14ac:dyDescent="0.25">
      <c r="A6" s="93" t="s">
        <v>128</v>
      </c>
      <c r="C6" s="93" t="s">
        <v>129</v>
      </c>
      <c r="H6" s="186" t="s">
        <v>140</v>
      </c>
      <c r="I6" s="186" t="s">
        <v>119</v>
      </c>
    </row>
    <row r="7" spans="1:11" x14ac:dyDescent="0.25">
      <c r="A7" s="93" t="s">
        <v>130</v>
      </c>
      <c r="C7" s="93" t="s">
        <v>131</v>
      </c>
    </row>
    <row r="8" spans="1:11" x14ac:dyDescent="0.25">
      <c r="C8" s="93" t="s">
        <v>132</v>
      </c>
    </row>
    <row r="9" spans="1:11" x14ac:dyDescent="0.25">
      <c r="C9" s="94" t="s">
        <v>165</v>
      </c>
    </row>
    <row r="10" spans="1:11" x14ac:dyDescent="0.25">
      <c r="C10" s="93" t="s">
        <v>133</v>
      </c>
    </row>
    <row r="11" spans="1:11" x14ac:dyDescent="0.25">
      <c r="C11" s="93" t="s">
        <v>134</v>
      </c>
    </row>
    <row r="12" spans="1:11" x14ac:dyDescent="0.25">
      <c r="C12" s="93" t="s">
        <v>135</v>
      </c>
    </row>
    <row r="13" spans="1:11" x14ac:dyDescent="0.25">
      <c r="C13" s="93" t="s">
        <v>136</v>
      </c>
    </row>
    <row r="14" spans="1:11" x14ac:dyDescent="0.25">
      <c r="C14" s="94" t="s">
        <v>166</v>
      </c>
    </row>
    <row r="15" spans="1:11" x14ac:dyDescent="0.25">
      <c r="C15" s="94" t="s">
        <v>181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193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194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195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196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197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198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199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200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201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202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203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204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205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206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207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208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209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210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211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212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213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214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215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216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217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218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219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220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221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222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223</v>
      </c>
      <c r="B31" s="20" t="str">
        <f>MID(A31,6,23)</f>
        <v>2017/03/01 14:42:30.164</v>
      </c>
      <c r="C31" s="20">
        <f>ABS(B31-B30)</f>
        <v>1.3009259419050068E-5</v>
      </c>
    </row>
    <row r="32" spans="1:3" x14ac:dyDescent="0.25">
      <c r="A32" t="s">
        <v>224</v>
      </c>
      <c r="B32" s="20" t="str">
        <f>MID(A32,6,23)</f>
        <v>2017/03/01 14:42:30.410</v>
      </c>
      <c r="C32" s="20">
        <f>ABS(B32-B31)</f>
        <v>2.847220457624644E-6</v>
      </c>
    </row>
    <row r="33" spans="1:3" x14ac:dyDescent="0.25">
      <c r="A33" t="s">
        <v>225</v>
      </c>
      <c r="B33" s="20" t="str">
        <f t="shared" ref="B33:B49" si="2">MID(A33,6,23)</f>
        <v>2017/03/01 15:16:01.045</v>
      </c>
      <c r="C33" s="20">
        <f t="shared" ref="C33:C49" si="3">ABS(B33-B32)</f>
        <v>2.3271238424058538E-2</v>
      </c>
    </row>
    <row r="34" spans="1:3" x14ac:dyDescent="0.25">
      <c r="A34" t="s">
        <v>226</v>
      </c>
      <c r="B34" s="20" t="str">
        <f t="shared" si="2"/>
        <v>2017/03/01 15:16:01.400</v>
      </c>
      <c r="C34" s="20">
        <f t="shared" si="3"/>
        <v>4.1087987483479083E-6</v>
      </c>
    </row>
    <row r="35" spans="1:3" x14ac:dyDescent="0.25">
      <c r="A35" t="s">
        <v>227</v>
      </c>
      <c r="B35" s="20" t="str">
        <f t="shared" si="2"/>
        <v>2017/03/01 15:17:18.045</v>
      </c>
      <c r="C35" s="20">
        <f t="shared" si="3"/>
        <v>8.8709490955807269E-4</v>
      </c>
    </row>
    <row r="36" spans="1:3" x14ac:dyDescent="0.25">
      <c r="A36" t="s">
        <v>228</v>
      </c>
      <c r="B36" s="20" t="str">
        <f t="shared" si="2"/>
        <v>2017/03/01 15:17:18.415</v>
      </c>
      <c r="C36" s="20">
        <f t="shared" si="3"/>
        <v>4.2824030970223248E-6</v>
      </c>
    </row>
    <row r="37" spans="1:3" x14ac:dyDescent="0.25">
      <c r="A37" t="s">
        <v>229</v>
      </c>
      <c r="B37" s="20" t="str">
        <f t="shared" si="2"/>
        <v>2017/03/01 15:17:19.155</v>
      </c>
      <c r="C37" s="20">
        <f t="shared" si="3"/>
        <v>8.564820745959878E-6</v>
      </c>
    </row>
    <row r="38" spans="1:3" x14ac:dyDescent="0.25">
      <c r="A38" t="s">
        <v>230</v>
      </c>
      <c r="B38" s="20" t="str">
        <f t="shared" si="2"/>
        <v>2017/03/01 16:13:17.582</v>
      </c>
      <c r="C38" s="20">
        <f t="shared" si="3"/>
        <v>3.8870682867127471E-2</v>
      </c>
    </row>
    <row r="39" spans="1:3" x14ac:dyDescent="0.25">
      <c r="A39" t="s">
        <v>231</v>
      </c>
      <c r="B39" s="20" t="str">
        <f t="shared" si="2"/>
        <v>2017/03/01 16:13:17.910</v>
      </c>
      <c r="C39" s="20">
        <f t="shared" si="3"/>
        <v>3.7962963688187301E-6</v>
      </c>
    </row>
    <row r="40" spans="1:3" x14ac:dyDescent="0.25">
      <c r="A40" t="s">
        <v>232</v>
      </c>
      <c r="B40" s="20" t="str">
        <f t="shared" si="2"/>
        <v>2017/03/01 16:33:53.680</v>
      </c>
      <c r="C40" s="20">
        <f t="shared" si="3"/>
        <v>1.4302893519925419E-2</v>
      </c>
    </row>
    <row r="41" spans="1:3" x14ac:dyDescent="0.25">
      <c r="A41" t="s">
        <v>233</v>
      </c>
      <c r="B41" s="20" t="str">
        <f t="shared" si="2"/>
        <v>2017/03/01 16:33:53.828</v>
      </c>
      <c r="C41" s="20">
        <f t="shared" si="3"/>
        <v>1.7129641491919756E-6</v>
      </c>
    </row>
    <row r="42" spans="1:3" x14ac:dyDescent="0.25">
      <c r="A42" t="s">
        <v>234</v>
      </c>
      <c r="B42" s="20" t="str">
        <f t="shared" si="2"/>
        <v>2017/03/01 16:33:53.912</v>
      </c>
      <c r="C42" s="20">
        <f t="shared" si="3"/>
        <v>9.7222073236480355E-7</v>
      </c>
    </row>
    <row r="43" spans="1:3" x14ac:dyDescent="0.25">
      <c r="A43" t="s">
        <v>235</v>
      </c>
      <c r="B43" s="20" t="str">
        <f t="shared" si="2"/>
        <v>2017/03/01 17:25:14.718</v>
      </c>
      <c r="C43" s="20">
        <f t="shared" si="3"/>
        <v>3.5657476852065884E-2</v>
      </c>
    </row>
    <row r="44" spans="1:3" x14ac:dyDescent="0.25">
      <c r="A44" t="s">
        <v>236</v>
      </c>
      <c r="B44" s="20" t="str">
        <f t="shared" si="2"/>
        <v>2017/03/01 17:25:14.865</v>
      </c>
      <c r="C44" s="20">
        <f t="shared" si="3"/>
        <v>1.7013881006278098E-6</v>
      </c>
    </row>
    <row r="45" spans="1:3" x14ac:dyDescent="0.25">
      <c r="A45" t="s">
        <v>237</v>
      </c>
      <c r="B45" s="20" t="str">
        <f t="shared" si="2"/>
        <v>2017/03/01 17:25:14.945</v>
      </c>
      <c r="C45" s="20">
        <f t="shared" si="3"/>
        <v>9.2592381406575441E-7</v>
      </c>
    </row>
    <row r="46" spans="1:3" x14ac:dyDescent="0.25">
      <c r="A46" t="s">
        <v>238</v>
      </c>
      <c r="B46" s="20" t="str">
        <f t="shared" si="2"/>
        <v>2017/03/01 17:51:17.905</v>
      </c>
      <c r="C46" s="20">
        <f t="shared" si="3"/>
        <v>1.8089814817358274E-2</v>
      </c>
    </row>
    <row r="47" spans="1:3" x14ac:dyDescent="0.25">
      <c r="A47" t="s">
        <v>239</v>
      </c>
      <c r="B47" s="20" t="str">
        <f t="shared" si="2"/>
        <v>2017/03/01 17:51:18.582</v>
      </c>
      <c r="C47" s="20">
        <f t="shared" si="3"/>
        <v>7.8356461017392576E-6</v>
      </c>
    </row>
    <row r="48" spans="1:3" x14ac:dyDescent="0.25">
      <c r="A48" t="s">
        <v>240</v>
      </c>
      <c r="B48" s="20" t="str">
        <f t="shared" si="2"/>
        <v>2017/03/01 17:53:38.687</v>
      </c>
      <c r="C48" s="20">
        <f t="shared" si="3"/>
        <v>1.6215856521739624E-3</v>
      </c>
    </row>
    <row r="49" spans="1:3" x14ac:dyDescent="0.25">
      <c r="A49" t="s">
        <v>241</v>
      </c>
      <c r="B49" s="20" t="str">
        <f t="shared" si="2"/>
        <v>2017/03/01 17:53:38.949</v>
      </c>
      <c r="C49" s="20">
        <f t="shared" si="3"/>
        <v>3.0324081308208406E-6</v>
      </c>
    </row>
    <row r="50" spans="1:3" x14ac:dyDescent="0.25">
      <c r="A50" t="s">
        <v>242</v>
      </c>
      <c r="B50" s="20" t="str">
        <f>MID(A50,6,23)</f>
        <v>2017/03/01 17:54:21.586</v>
      </c>
      <c r="C50" s="20">
        <f>ABS(B50-B49)</f>
        <v>4.934837925247848E-4</v>
      </c>
    </row>
    <row r="51" spans="1:3" x14ac:dyDescent="0.25">
      <c r="A51" t="s">
        <v>243</v>
      </c>
      <c r="B51" s="20" t="str">
        <f>MID(A51,6,23)</f>
        <v>2017/03/01 17:54:21.919</v>
      </c>
      <c r="C51" s="20">
        <f>ABS(B51-B50)</f>
        <v>3.8541693356819451E-6</v>
      </c>
    </row>
    <row r="52" spans="1:3" x14ac:dyDescent="0.25">
      <c r="A52" t="s">
        <v>244</v>
      </c>
      <c r="B52" s="20" t="str">
        <f>MID(A52,6,23)</f>
        <v>2017/03/01 17:55:16.336</v>
      </c>
      <c r="C52" s="20">
        <f>ABS(B52-B51)</f>
        <v>6.2982638337416574E-4</v>
      </c>
    </row>
    <row r="53" spans="1:3" x14ac:dyDescent="0.25">
      <c r="A53" t="s">
        <v>245</v>
      </c>
      <c r="B53" s="20" t="str">
        <f>MID(A53,6,23)</f>
        <v>2017/03/01 17:55:16.384</v>
      </c>
      <c r="C53" s="20">
        <f>ABS(B53-B52)</f>
        <v>5.5555574363097548E-7</v>
      </c>
    </row>
    <row r="54" spans="1:3" x14ac:dyDescent="0.25">
      <c r="A54" t="s">
        <v>246</v>
      </c>
      <c r="B54" s="20" t="str">
        <f>MID(A54,6,23)</f>
        <v>2017/03/01 17:55:16.839</v>
      </c>
      <c r="C54" s="20">
        <f>ABS(B54-B53)</f>
        <v>5.2662071539089084E-6</v>
      </c>
    </row>
    <row r="55" spans="1:3" x14ac:dyDescent="0.25">
      <c r="A55" t="s">
        <v>247</v>
      </c>
      <c r="B55" s="20" t="str">
        <f t="shared" ref="B55:B62" si="4">MID(A55,6,23)</f>
        <v>2017/03/01 18:13:47.810</v>
      </c>
      <c r="C55" s="20">
        <f t="shared" ref="C55:C62" si="5">ABS(B55-B54)</f>
        <v>1.2858460650022607E-2</v>
      </c>
    </row>
    <row r="56" spans="1:3" x14ac:dyDescent="0.25">
      <c r="A56" t="s">
        <v>248</v>
      </c>
      <c r="B56" s="20" t="str">
        <f t="shared" si="4"/>
        <v>2017/03/01 18:13:48.426</v>
      </c>
      <c r="C56" s="20">
        <f t="shared" si="5"/>
        <v>7.129630830604583E-6</v>
      </c>
    </row>
    <row r="57" spans="1:3" x14ac:dyDescent="0.25">
      <c r="A57" t="s">
        <v>249</v>
      </c>
      <c r="B57" s="20" t="str">
        <f t="shared" si="4"/>
        <v>2017/03/01 18:34:18.681</v>
      </c>
      <c r="C57" s="20">
        <f t="shared" si="5"/>
        <v>1.4239062496926636E-2</v>
      </c>
    </row>
    <row r="58" spans="1:3" x14ac:dyDescent="0.25">
      <c r="A58" t="s">
        <v>250</v>
      </c>
      <c r="B58" s="20" t="str">
        <f t="shared" si="4"/>
        <v>2017/03/01 18:34:18.834</v>
      </c>
      <c r="C58" s="20">
        <f t="shared" si="5"/>
        <v>1.7708298400975764E-6</v>
      </c>
    </row>
    <row r="59" spans="1:3" x14ac:dyDescent="0.25">
      <c r="A59" t="s">
        <v>251</v>
      </c>
      <c r="B59" s="20" t="str">
        <f t="shared" si="4"/>
        <v>2017/03/01 18:34:18.908</v>
      </c>
      <c r="C59" s="20">
        <f t="shared" si="5"/>
        <v>8.564820745959878E-7</v>
      </c>
    </row>
    <row r="60" spans="1:3" x14ac:dyDescent="0.25">
      <c r="A60" t="s">
        <v>252</v>
      </c>
      <c r="B60" s="20" t="str">
        <f t="shared" si="4"/>
        <v>2017/03/01 20:06:08.810</v>
      </c>
      <c r="C60" s="20">
        <f t="shared" si="5"/>
        <v>6.3772013891139068E-2</v>
      </c>
    </row>
    <row r="61" spans="1:3" x14ac:dyDescent="0.25">
      <c r="A61" t="s">
        <v>253</v>
      </c>
      <c r="B61" s="20" t="str">
        <f t="shared" si="4"/>
        <v>2017/03/01 20:06:09.082</v>
      </c>
      <c r="C61" s="20">
        <f t="shared" si="5"/>
        <v>3.1481467885896564E-6</v>
      </c>
    </row>
    <row r="62" spans="1:3" x14ac:dyDescent="0.25">
      <c r="A62" t="s">
        <v>254</v>
      </c>
      <c r="B62" s="20" t="str">
        <f t="shared" si="4"/>
        <v>2017/03/01 20:06:09.424</v>
      </c>
      <c r="C62" s="20">
        <f t="shared" si="5"/>
        <v>3.958331944886595E-6</v>
      </c>
    </row>
    <row r="63" spans="1:3" x14ac:dyDescent="0.25">
      <c r="A63" t="s">
        <v>255</v>
      </c>
      <c r="B63" s="20" t="str">
        <f t="shared" ref="B63:B86" si="6">MID(A63,6,23)</f>
        <v>2017/03/01 20:29:46.035</v>
      </c>
      <c r="C63" s="20">
        <f t="shared" ref="C63:C86" si="7">ABS(B63-B62)</f>
        <v>1.6395960650697816E-2</v>
      </c>
    </row>
    <row r="64" spans="1:3" x14ac:dyDescent="0.25">
      <c r="A64" t="s">
        <v>256</v>
      </c>
      <c r="B64" s="20" t="str">
        <f t="shared" si="6"/>
        <v>2017/03/01 20:29:46.150</v>
      </c>
      <c r="C64" s="20">
        <f t="shared" si="7"/>
        <v>1.3310200301930308E-6</v>
      </c>
    </row>
    <row r="65" spans="1:3" x14ac:dyDescent="0.25">
      <c r="A65" t="s">
        <v>257</v>
      </c>
      <c r="B65" s="20" t="str">
        <f t="shared" si="6"/>
        <v>2017/03/01 20:29:46.410</v>
      </c>
      <c r="C65" s="20">
        <f t="shared" si="7"/>
        <v>3.0092560336925089E-6</v>
      </c>
    </row>
    <row r="66" spans="1:3" x14ac:dyDescent="0.25">
      <c r="A66" t="s">
        <v>258</v>
      </c>
      <c r="B66" s="20" t="str">
        <f t="shared" si="6"/>
        <v>2017/03/01 20:32:47.271</v>
      </c>
      <c r="C66" s="20">
        <f t="shared" si="7"/>
        <v>2.0932986153638922E-3</v>
      </c>
    </row>
    <row r="67" spans="1:3" x14ac:dyDescent="0.25">
      <c r="A67" t="s">
        <v>259</v>
      </c>
      <c r="B67" s="20" t="str">
        <f t="shared" si="6"/>
        <v>2017/03/01 20:32:47.465</v>
      </c>
      <c r="C67" s="20">
        <f t="shared" si="7"/>
        <v>2.2453677956946194E-6</v>
      </c>
    </row>
    <row r="68" spans="1:3" x14ac:dyDescent="0.25">
      <c r="A68" t="s">
        <v>260</v>
      </c>
      <c r="B68" s="20" t="str">
        <f t="shared" si="6"/>
        <v>2017/03/01 20:32:47.590</v>
      </c>
      <c r="C68" s="20">
        <f t="shared" si="7"/>
        <v>1.4467586879618466E-6</v>
      </c>
    </row>
    <row r="69" spans="1:3" x14ac:dyDescent="0.25">
      <c r="A69" t="s">
        <v>261</v>
      </c>
      <c r="B69" s="20" t="str">
        <f t="shared" si="6"/>
        <v>2017/03/01 21:35:07.687</v>
      </c>
      <c r="C69" s="20">
        <f t="shared" si="7"/>
        <v>4.3288159722578712E-2</v>
      </c>
    </row>
    <row r="70" spans="1:3" x14ac:dyDescent="0.25">
      <c r="A70" t="s">
        <v>262</v>
      </c>
      <c r="B70" s="20" t="str">
        <f t="shared" si="6"/>
        <v>2017/03/01 22:09:49.455</v>
      </c>
      <c r="C70" s="20">
        <f t="shared" si="7"/>
        <v>2.4094537038763519E-2</v>
      </c>
    </row>
    <row r="71" spans="1:3" x14ac:dyDescent="0.25">
      <c r="A71" t="s">
        <v>263</v>
      </c>
      <c r="B71" s="20" t="str">
        <f t="shared" si="6"/>
        <v>2017/03/01 22:09:49.531</v>
      </c>
      <c r="C71" s="20">
        <f t="shared" si="7"/>
        <v>8.7962689576670527E-7</v>
      </c>
    </row>
    <row r="72" spans="1:3" x14ac:dyDescent="0.25">
      <c r="A72" t="s">
        <v>264</v>
      </c>
      <c r="B72" s="20" t="str">
        <f t="shared" si="6"/>
        <v>2017/03/01 22:09:49.600</v>
      </c>
      <c r="C72" s="20">
        <f t="shared" si="7"/>
        <v>7.9860910773277283E-7</v>
      </c>
    </row>
    <row r="73" spans="1:3" x14ac:dyDescent="0.25">
      <c r="A73" t="s">
        <v>265</v>
      </c>
      <c r="B73" s="20" t="str">
        <f t="shared" si="6"/>
        <v>2017/03/01 22:19:03.040</v>
      </c>
      <c r="C73" s="20">
        <f t="shared" si="7"/>
        <v>6.4055555558297783E-3</v>
      </c>
    </row>
    <row r="74" spans="1:3" x14ac:dyDescent="0.25">
      <c r="A74" t="s">
        <v>266</v>
      </c>
      <c r="B74" s="20" t="str">
        <f t="shared" si="6"/>
        <v>2017/03/01 22:19:03.803</v>
      </c>
      <c r="C74" s="20">
        <f t="shared" si="7"/>
        <v>8.8310189312323928E-6</v>
      </c>
    </row>
    <row r="75" spans="1:3" x14ac:dyDescent="0.25">
      <c r="A75" t="s">
        <v>267</v>
      </c>
      <c r="B75" s="20" t="str">
        <f t="shared" si="6"/>
        <v>2017/03/01 22:19:04.887</v>
      </c>
      <c r="C75" s="20">
        <f t="shared" si="7"/>
        <v>1.254629751201719E-5</v>
      </c>
    </row>
    <row r="76" spans="1:3" x14ac:dyDescent="0.25">
      <c r="A76" t="s">
        <v>268</v>
      </c>
      <c r="B76" s="20" t="str">
        <f t="shared" si="6"/>
        <v>2017/03/01 22:37:58.313</v>
      </c>
      <c r="C76" s="20">
        <f t="shared" si="7"/>
        <v>1.311835648084525E-2</v>
      </c>
    </row>
    <row r="77" spans="1:3" x14ac:dyDescent="0.25">
      <c r="A77" t="s">
        <v>269</v>
      </c>
      <c r="B77" s="20" t="str">
        <f t="shared" si="6"/>
        <v>2017/03/01 22:37:58.800</v>
      </c>
      <c r="C77" s="20">
        <f t="shared" si="7"/>
        <v>5.6365752243436873E-6</v>
      </c>
    </row>
    <row r="78" spans="1:3" x14ac:dyDescent="0.25">
      <c r="A78" t="s">
        <v>270</v>
      </c>
      <c r="B78" s="20" t="str">
        <f t="shared" si="6"/>
        <v>2017/03/01 22:37:58.968</v>
      </c>
      <c r="C78" s="20">
        <f t="shared" si="7"/>
        <v>1.9444487406872213E-6</v>
      </c>
    </row>
    <row r="79" spans="1:3" x14ac:dyDescent="0.25">
      <c r="A79" t="s">
        <v>271</v>
      </c>
      <c r="B79" s="20" t="str">
        <f t="shared" si="6"/>
        <v>2017/03/01 22:51:54.858</v>
      </c>
      <c r="C79" s="20">
        <f t="shared" si="7"/>
        <v>9.6746527779032476E-3</v>
      </c>
    </row>
    <row r="80" spans="1:3" x14ac:dyDescent="0.25">
      <c r="A80" t="s">
        <v>272</v>
      </c>
      <c r="B80" s="20" t="str">
        <f t="shared" si="6"/>
        <v>2017/03/01 22:53:19.418</v>
      </c>
      <c r="C80" s="20">
        <f t="shared" si="7"/>
        <v>9.7870369791053236E-4</v>
      </c>
    </row>
    <row r="81" spans="1:3" x14ac:dyDescent="0.25">
      <c r="A81" t="s">
        <v>273</v>
      </c>
      <c r="B81" s="20" t="str">
        <f t="shared" si="6"/>
        <v>2017/03/01 22:53:19.708</v>
      </c>
      <c r="C81" s="20">
        <f t="shared" si="7"/>
        <v>3.3564865589141846E-6</v>
      </c>
    </row>
    <row r="82" spans="1:3" x14ac:dyDescent="0.25">
      <c r="A82" t="s">
        <v>274</v>
      </c>
      <c r="B82" s="20" t="str">
        <f t="shared" si="6"/>
        <v>2017/03/01 23:26:03.802</v>
      </c>
      <c r="C82" s="20">
        <f t="shared" si="7"/>
        <v>2.2732569443178363E-2</v>
      </c>
    </row>
    <row r="83" spans="1:3" x14ac:dyDescent="0.25">
      <c r="A83" t="s">
        <v>275</v>
      </c>
      <c r="B83" s="20" t="str">
        <f t="shared" si="6"/>
        <v>2017/03/01 23:26:03.967</v>
      </c>
      <c r="C83" s="20">
        <f t="shared" si="7"/>
        <v>1.9097205949947238E-6</v>
      </c>
    </row>
    <row r="84" spans="1:3" x14ac:dyDescent="0.25">
      <c r="A84" t="s">
        <v>276</v>
      </c>
      <c r="B84" s="20" t="str">
        <f t="shared" si="6"/>
        <v>2017/03/01 23:26:04.314</v>
      </c>
      <c r="C84" s="20">
        <f t="shared" si="7"/>
        <v>4.01620491174981E-6</v>
      </c>
    </row>
    <row r="85" spans="1:3" x14ac:dyDescent="0.25">
      <c r="A85" t="s">
        <v>277</v>
      </c>
      <c r="B85" s="20" t="str">
        <f t="shared" si="6"/>
        <v>2017/03/01 23:34:24.829</v>
      </c>
      <c r="C85" s="20">
        <f t="shared" si="7"/>
        <v>5.7929976828745566E-3</v>
      </c>
    </row>
    <row r="86" spans="1:3" x14ac:dyDescent="0.25">
      <c r="A86" t="s">
        <v>278</v>
      </c>
      <c r="B86" s="20" t="str">
        <f t="shared" si="6"/>
        <v>2017/03/01 23:34:24.908</v>
      </c>
      <c r="C86" s="20">
        <f t="shared" si="7"/>
        <v>9.1435504145920277E-7</v>
      </c>
    </row>
    <row r="87" spans="1:3" x14ac:dyDescent="0.25">
      <c r="A87" t="s">
        <v>279</v>
      </c>
      <c r="B87" s="20" t="str">
        <f t="shared" ref="B87:B92" si="8">MID(A87,6,23)</f>
        <v>2017/03/01 23:52:09.789</v>
      </c>
      <c r="C87" s="20">
        <f t="shared" ref="C87:C92" si="9">ABS(B87-B86)</f>
        <v>1.2325011572102085E-2</v>
      </c>
    </row>
    <row r="88" spans="1:3" x14ac:dyDescent="0.25">
      <c r="A88" t="s">
        <v>280</v>
      </c>
      <c r="B88" s="20" t="str">
        <f t="shared" si="8"/>
        <v>2017/03/01 23:52:10.049</v>
      </c>
      <c r="C88" s="20">
        <f t="shared" si="9"/>
        <v>3.0092560336925089E-6</v>
      </c>
    </row>
    <row r="89" spans="1:3" x14ac:dyDescent="0.25">
      <c r="A89" t="s">
        <v>281</v>
      </c>
      <c r="B89" s="20" t="str">
        <f t="shared" si="8"/>
        <v>2017/03/02 00:26:52.318</v>
      </c>
      <c r="C89" s="20">
        <f t="shared" si="9"/>
        <v>2.4100335649563931E-2</v>
      </c>
    </row>
    <row r="90" spans="1:3" x14ac:dyDescent="0.25">
      <c r="A90" t="s">
        <v>282</v>
      </c>
      <c r="B90" s="20" t="str">
        <f t="shared" si="8"/>
        <v>2017/03/02 00:26:52.805</v>
      </c>
      <c r="C90" s="20">
        <f t="shared" si="9"/>
        <v>5.6365752243436873E-6</v>
      </c>
    </row>
    <row r="91" spans="1:3" x14ac:dyDescent="0.25">
      <c r="A91" t="s">
        <v>283</v>
      </c>
      <c r="B91" s="20" t="str">
        <f t="shared" si="8"/>
        <v>2017/03/02 00:26:52.971</v>
      </c>
      <c r="C91" s="20">
        <f t="shared" si="9"/>
        <v>1.9212966435588896E-6</v>
      </c>
    </row>
    <row r="92" spans="1:3" x14ac:dyDescent="0.25">
      <c r="A92" t="s">
        <v>284</v>
      </c>
      <c r="B92" s="20" t="str">
        <f t="shared" si="8"/>
        <v>2017/03/02 00:52:34.904</v>
      </c>
      <c r="C92" s="20">
        <f t="shared" si="9"/>
        <v>1.7846446760813706E-2</v>
      </c>
    </row>
    <row r="93" spans="1:3" x14ac:dyDescent="0.25">
      <c r="A93" t="s">
        <v>285</v>
      </c>
      <c r="B93" s="20" t="str">
        <f t="shared" ref="B93:B130" si="10">MID(A93,6,23)</f>
        <v>2017/03/02 00:52:36.808</v>
      </c>
      <c r="C93" s="20">
        <f t="shared" ref="C93:C130" si="11">ABS(B93-B92)</f>
        <v>2.2037034796085209E-5</v>
      </c>
    </row>
    <row r="94" spans="1:3" x14ac:dyDescent="0.25">
      <c r="A94" t="s">
        <v>286</v>
      </c>
      <c r="B94" s="20" t="str">
        <f t="shared" si="10"/>
        <v>2017/03/02 00:52:36.956</v>
      </c>
      <c r="C94" s="20">
        <f t="shared" si="11"/>
        <v>1.7129641491919756E-6</v>
      </c>
    </row>
    <row r="95" spans="1:3" x14ac:dyDescent="0.25">
      <c r="A95" t="s">
        <v>287</v>
      </c>
      <c r="B95" s="20" t="str">
        <f t="shared" si="10"/>
        <v>2017/03/02 01:13:02.814</v>
      </c>
      <c r="C95" s="20">
        <f t="shared" si="11"/>
        <v>1.418817129888339E-2</v>
      </c>
    </row>
    <row r="96" spans="1:3" x14ac:dyDescent="0.25">
      <c r="A96" t="s">
        <v>288</v>
      </c>
      <c r="B96" s="20" t="str">
        <f t="shared" si="10"/>
        <v>2017/03/02 01:13:03.323</v>
      </c>
      <c r="C96" s="20">
        <f t="shared" si="11"/>
        <v>5.8912046370096505E-6</v>
      </c>
    </row>
    <row r="97" spans="1:3" x14ac:dyDescent="0.25">
      <c r="A97" t="s">
        <v>289</v>
      </c>
      <c r="B97" s="20" t="str">
        <f t="shared" si="10"/>
        <v>2017/03/02 01:13:03.347</v>
      </c>
      <c r="C97" s="20">
        <f t="shared" si="11"/>
        <v>2.7777423383668065E-7</v>
      </c>
    </row>
    <row r="98" spans="1:3" x14ac:dyDescent="0.25">
      <c r="A98" t="s">
        <v>290</v>
      </c>
      <c r="B98" s="20" t="str">
        <f t="shared" si="10"/>
        <v>2017/03/02 01:13:03.980</v>
      </c>
      <c r="C98" s="20">
        <f t="shared" si="11"/>
        <v>7.3263872764073312E-6</v>
      </c>
    </row>
    <row r="99" spans="1:3" x14ac:dyDescent="0.25">
      <c r="A99" t="s">
        <v>291</v>
      </c>
      <c r="B99" s="20" t="str">
        <f t="shared" si="10"/>
        <v>2017/03/02 01:13:37.804</v>
      </c>
      <c r="C99" s="20">
        <f t="shared" si="11"/>
        <v>3.9148148061940446E-4</v>
      </c>
    </row>
    <row r="100" spans="1:3" x14ac:dyDescent="0.25">
      <c r="A100" t="s">
        <v>292</v>
      </c>
      <c r="B100" s="20" t="str">
        <f t="shared" si="10"/>
        <v>2017/03/02 01:13:38.315</v>
      </c>
      <c r="C100" s="20">
        <f t="shared" si="11"/>
        <v>5.9143567341379821E-6</v>
      </c>
    </row>
    <row r="101" spans="1:3" x14ac:dyDescent="0.25">
      <c r="A101" t="s">
        <v>293</v>
      </c>
      <c r="B101" s="20" t="str">
        <f t="shared" si="10"/>
        <v>2017/03/02 01:13:38.969</v>
      </c>
      <c r="C101" s="20">
        <f t="shared" si="11"/>
        <v>7.5694406405091286E-6</v>
      </c>
    </row>
    <row r="102" spans="1:3" x14ac:dyDescent="0.25">
      <c r="A102" t="s">
        <v>294</v>
      </c>
      <c r="B102" s="20" t="str">
        <f t="shared" si="10"/>
        <v>2017/03/02 01:14:07.802</v>
      </c>
      <c r="C102" s="20">
        <f t="shared" si="11"/>
        <v>3.3371528115822002E-4</v>
      </c>
    </row>
    <row r="103" spans="1:3" x14ac:dyDescent="0.25">
      <c r="A103" t="s">
        <v>295</v>
      </c>
      <c r="B103" s="20" t="str">
        <f t="shared" si="10"/>
        <v>2017/03/02 01:14:08.317</v>
      </c>
      <c r="C103" s="20">
        <f t="shared" si="11"/>
        <v>5.9606463764794171E-6</v>
      </c>
    </row>
    <row r="104" spans="1:3" x14ac:dyDescent="0.25">
      <c r="A104" t="s">
        <v>296</v>
      </c>
      <c r="B104" s="20" t="str">
        <f t="shared" si="10"/>
        <v>2017/03/02 01:14:08.969</v>
      </c>
      <c r="C104" s="20">
        <f t="shared" si="11"/>
        <v>7.5462958193384111E-6</v>
      </c>
    </row>
    <row r="105" spans="1:3" x14ac:dyDescent="0.25">
      <c r="A105" t="s">
        <v>297</v>
      </c>
      <c r="B105" s="20" t="str">
        <f t="shared" si="10"/>
        <v>2017/03/02 01:31:00.809</v>
      </c>
      <c r="C105" s="20">
        <f t="shared" si="11"/>
        <v>1.1711111110344063E-2</v>
      </c>
    </row>
    <row r="106" spans="1:3" x14ac:dyDescent="0.25">
      <c r="A106" t="s">
        <v>298</v>
      </c>
      <c r="B106" s="20" t="str">
        <f t="shared" si="10"/>
        <v>2017/03/02 01:31:01.318</v>
      </c>
      <c r="C106" s="20">
        <f t="shared" si="11"/>
        <v>5.8912046370096505E-6</v>
      </c>
    </row>
    <row r="107" spans="1:3" x14ac:dyDescent="0.25">
      <c r="A107" t="s">
        <v>299</v>
      </c>
      <c r="B107" s="20" t="str">
        <f t="shared" si="10"/>
        <v>2017/03/02 01:31:01.972</v>
      </c>
      <c r="C107" s="20">
        <f t="shared" si="11"/>
        <v>7.5694479164667428E-6</v>
      </c>
    </row>
    <row r="108" spans="1:3" x14ac:dyDescent="0.25">
      <c r="A108" t="s">
        <v>300</v>
      </c>
      <c r="B108" s="20" t="str">
        <f t="shared" si="10"/>
        <v>2017/03/02 01:39:27.534</v>
      </c>
      <c r="C108" s="20">
        <f t="shared" si="11"/>
        <v>5.8514120319159701E-3</v>
      </c>
    </row>
    <row r="109" spans="1:3" x14ac:dyDescent="0.25">
      <c r="A109" t="s">
        <v>301</v>
      </c>
      <c r="B109" s="20" t="str">
        <f t="shared" si="10"/>
        <v>2017/03/02 01:39:27.595</v>
      </c>
      <c r="C109" s="20">
        <f t="shared" si="11"/>
        <v>7.0602254709228873E-7</v>
      </c>
    </row>
    <row r="110" spans="1:3" x14ac:dyDescent="0.25">
      <c r="A110" t="s">
        <v>302</v>
      </c>
      <c r="B110" s="20" t="str">
        <f t="shared" si="10"/>
        <v>2017/03/02 01:39:28.452</v>
      </c>
      <c r="C110" s="20">
        <f t="shared" si="11"/>
        <v>9.9189783213660121E-6</v>
      </c>
    </row>
    <row r="111" spans="1:3" x14ac:dyDescent="0.25">
      <c r="A111" t="s">
        <v>303</v>
      </c>
      <c r="B111" s="20" t="str">
        <f t="shared" si="10"/>
        <v>2017/03/02 02:43:47.743</v>
      </c>
      <c r="C111" s="20">
        <f t="shared" si="11"/>
        <v>4.4667719907010905E-2</v>
      </c>
    </row>
    <row r="112" spans="1:3" x14ac:dyDescent="0.25">
      <c r="A112" t="s">
        <v>304</v>
      </c>
      <c r="B112" s="20" t="str">
        <f t="shared" si="10"/>
        <v>2017/03/02 02:43:47.814</v>
      </c>
      <c r="C112" s="20">
        <f t="shared" si="11"/>
        <v>8.2176120486110449E-7</v>
      </c>
    </row>
    <row r="113" spans="1:3" x14ac:dyDescent="0.25">
      <c r="A113" t="s">
        <v>305</v>
      </c>
      <c r="B113" s="20" t="str">
        <f t="shared" si="10"/>
        <v>2017/03/02 02:43:48.041</v>
      </c>
      <c r="C113" s="20">
        <f t="shared" si="11"/>
        <v>2.6273119146935642E-6</v>
      </c>
    </row>
    <row r="114" spans="1:3" x14ac:dyDescent="0.25">
      <c r="A114" t="s">
        <v>306</v>
      </c>
      <c r="B114" s="20" t="str">
        <f t="shared" si="10"/>
        <v>2017/03/02 02:52:28.590</v>
      </c>
      <c r="C114" s="20">
        <f t="shared" si="11"/>
        <v>6.0248726877034642E-3</v>
      </c>
    </row>
    <row r="115" spans="1:3" x14ac:dyDescent="0.25">
      <c r="A115" t="s">
        <v>307</v>
      </c>
      <c r="B115" s="20" t="str">
        <f t="shared" si="10"/>
        <v>2017/03/02 02:52:28.905</v>
      </c>
      <c r="C115" s="20">
        <f t="shared" si="11"/>
        <v>3.6458295653574169E-6</v>
      </c>
    </row>
    <row r="116" spans="1:3" x14ac:dyDescent="0.25">
      <c r="A116" t="s">
        <v>308</v>
      </c>
      <c r="B116" s="20" t="str">
        <f t="shared" si="10"/>
        <v>2017/03/02 03:40:42.468</v>
      </c>
      <c r="C116" s="20">
        <f t="shared" si="11"/>
        <v>3.349031250400003E-2</v>
      </c>
    </row>
    <row r="117" spans="1:3" x14ac:dyDescent="0.25">
      <c r="A117" t="s">
        <v>309</v>
      </c>
      <c r="B117" s="20" t="str">
        <f t="shared" si="10"/>
        <v>2017/03/02 03:40:42.542</v>
      </c>
      <c r="C117" s="20">
        <f t="shared" si="11"/>
        <v>8.564820745959878E-7</v>
      </c>
    </row>
    <row r="118" spans="1:3" x14ac:dyDescent="0.25">
      <c r="A118" t="s">
        <v>310</v>
      </c>
      <c r="B118" s="20" t="str">
        <f t="shared" si="10"/>
        <v>2017/03/02 03:45:24.882</v>
      </c>
      <c r="C118" s="20">
        <f t="shared" si="11"/>
        <v>3.2678240750101395E-3</v>
      </c>
    </row>
    <row r="119" spans="1:3" x14ac:dyDescent="0.25">
      <c r="A119" t="s">
        <v>311</v>
      </c>
      <c r="B119" s="20" t="str">
        <f t="shared" si="10"/>
        <v>2017/03/02 03:45:25.384</v>
      </c>
      <c r="C119" s="20">
        <f t="shared" si="11"/>
        <v>5.8101795730181038E-6</v>
      </c>
    </row>
    <row r="120" spans="1:3" x14ac:dyDescent="0.25">
      <c r="A120" t="s">
        <v>312</v>
      </c>
      <c r="B120" s="20" t="str">
        <f t="shared" si="10"/>
        <v>2017/03/02 04:14:22.074</v>
      </c>
      <c r="C120" s="20">
        <f t="shared" si="11"/>
        <v>2.0100578709389083E-2</v>
      </c>
    </row>
    <row r="121" spans="1:3" x14ac:dyDescent="0.25">
      <c r="A121" t="s">
        <v>313</v>
      </c>
      <c r="B121" s="20" t="str">
        <f t="shared" si="10"/>
        <v>2017/03/02 04:14:22.756</v>
      </c>
      <c r="C121" s="20">
        <f t="shared" si="11"/>
        <v>7.8935190686024725E-6</v>
      </c>
    </row>
    <row r="122" spans="1:3" x14ac:dyDescent="0.25">
      <c r="A122" t="s">
        <v>314</v>
      </c>
      <c r="B122" s="20" t="str">
        <f t="shared" si="10"/>
        <v>2017/03/02 04:14:22.850</v>
      </c>
      <c r="C122" s="20">
        <f t="shared" si="11"/>
        <v>1.0879593901336193E-6</v>
      </c>
    </row>
    <row r="123" spans="1:3" x14ac:dyDescent="0.25">
      <c r="A123" t="s">
        <v>315</v>
      </c>
      <c r="B123" s="20" t="str">
        <f t="shared" si="10"/>
        <v>2017/03/02 04:30:58.031</v>
      </c>
      <c r="C123" s="20">
        <f t="shared" si="11"/>
        <v>1.1518298611917999E-2</v>
      </c>
    </row>
    <row r="124" spans="1:3" x14ac:dyDescent="0.25">
      <c r="A124" t="s">
        <v>316</v>
      </c>
      <c r="B124" s="20" t="str">
        <f t="shared" si="10"/>
        <v>2017/03/02 04:35:10.680</v>
      </c>
      <c r="C124" s="20">
        <f t="shared" si="11"/>
        <v>2.9241782394819893E-3</v>
      </c>
    </row>
    <row r="125" spans="1:3" x14ac:dyDescent="0.25">
      <c r="A125" t="s">
        <v>317</v>
      </c>
      <c r="B125" s="20" t="str">
        <f t="shared" si="10"/>
        <v>2017/03/02 05:25:05.864</v>
      </c>
      <c r="C125" s="20">
        <f t="shared" si="11"/>
        <v>3.4666481486056E-2</v>
      </c>
    </row>
    <row r="126" spans="1:3" x14ac:dyDescent="0.25">
      <c r="A126" t="s">
        <v>318</v>
      </c>
      <c r="B126" s="20" t="str">
        <f t="shared" si="10"/>
        <v>2017/03/02 05:25:06.247</v>
      </c>
      <c r="C126" s="20">
        <f t="shared" si="11"/>
        <v>4.432869900483638E-6</v>
      </c>
    </row>
    <row r="127" spans="1:3" x14ac:dyDescent="0.25">
      <c r="A127" t="s">
        <v>319</v>
      </c>
      <c r="B127" s="20" t="str">
        <f t="shared" si="10"/>
        <v>2017/03/02 05:25:08.927</v>
      </c>
      <c r="C127" s="20">
        <f t="shared" si="11"/>
        <v>3.1018513254821301E-5</v>
      </c>
    </row>
    <row r="128" spans="1:3" x14ac:dyDescent="0.25">
      <c r="A128" t="s">
        <v>320</v>
      </c>
      <c r="B128" s="20" t="str">
        <f t="shared" si="10"/>
        <v>2017/03/02 06:06:40.258</v>
      </c>
      <c r="C128" s="20">
        <f t="shared" si="11"/>
        <v>2.8834849537815899E-2</v>
      </c>
    </row>
    <row r="129" spans="1:3" x14ac:dyDescent="0.25">
      <c r="A129" t="s">
        <v>321</v>
      </c>
      <c r="B129" s="20" t="str">
        <f t="shared" si="10"/>
        <v>2017/03/02 06:06:40.298</v>
      </c>
      <c r="C129" s="20">
        <f t="shared" si="11"/>
        <v>4.6296190703287721E-7</v>
      </c>
    </row>
    <row r="130" spans="1:3" x14ac:dyDescent="0.25">
      <c r="A130" t="s">
        <v>322</v>
      </c>
      <c r="B130" s="20" t="str">
        <f t="shared" si="10"/>
        <v>2017/03/02 06:06:40.629</v>
      </c>
      <c r="C130" s="20">
        <f t="shared" si="11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2017-11-29T16:33:26Z</dcterms:modified>
</cp:coreProperties>
</file>