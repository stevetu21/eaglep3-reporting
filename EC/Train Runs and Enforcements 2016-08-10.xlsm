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Enforcements!$A$6:$V$67</definedName>
    <definedName name="_xlnm._FilterDatabase" localSheetId="2" hidden="1">'Missing Trips'!$A$2:$H$2</definedName>
    <definedName name="_xlnm._FilterDatabase" localSheetId="0" hidden="1">'Train Runs'!$A$12:$AG$209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39" i="1" l="1"/>
  <c r="V139" i="1"/>
  <c r="Y139" i="1"/>
  <c r="Z139" i="1"/>
  <c r="AA139" i="1"/>
  <c r="W139" i="1" s="1"/>
  <c r="AB139" i="1"/>
  <c r="AC139" i="1"/>
  <c r="AD139" i="1"/>
  <c r="AE139" i="1"/>
  <c r="AF139" i="1"/>
  <c r="AG139" i="1"/>
  <c r="AH139" i="1"/>
  <c r="T140" i="1"/>
  <c r="V140" i="1"/>
  <c r="X140" i="1"/>
  <c r="Y140" i="1"/>
  <c r="Z140" i="1"/>
  <c r="AA140" i="1"/>
  <c r="AB140" i="1"/>
  <c r="AC140" i="1"/>
  <c r="AD140" i="1"/>
  <c r="AE140" i="1"/>
  <c r="AF140" i="1"/>
  <c r="AG140" i="1"/>
  <c r="AH140" i="1"/>
  <c r="T141" i="1"/>
  <c r="V141" i="1"/>
  <c r="X141" i="1"/>
  <c r="Y141" i="1"/>
  <c r="Z141" i="1"/>
  <c r="AA141" i="1" s="1"/>
  <c r="AB141" i="1"/>
  <c r="AC141" i="1"/>
  <c r="AD141" i="1"/>
  <c r="AE141" i="1"/>
  <c r="AF141" i="1"/>
  <c r="AG141" i="1"/>
  <c r="AH141" i="1"/>
  <c r="T142" i="1"/>
  <c r="V142" i="1"/>
  <c r="X142" i="1"/>
  <c r="Y142" i="1"/>
  <c r="AA142" i="1" s="1"/>
  <c r="Z142" i="1"/>
  <c r="AB142" i="1"/>
  <c r="AC142" i="1"/>
  <c r="AD142" i="1"/>
  <c r="AE142" i="1"/>
  <c r="AF142" i="1"/>
  <c r="AG142" i="1"/>
  <c r="AH142" i="1"/>
  <c r="T143" i="1"/>
  <c r="V143" i="1"/>
  <c r="X143" i="1"/>
  <c r="Y143" i="1"/>
  <c r="Z143" i="1"/>
  <c r="AA143" i="1" s="1"/>
  <c r="AB143" i="1"/>
  <c r="AC143" i="1"/>
  <c r="AD143" i="1"/>
  <c r="AE143" i="1"/>
  <c r="AF143" i="1"/>
  <c r="AG143" i="1"/>
  <c r="AH143" i="1"/>
  <c r="T144" i="1"/>
  <c r="V144" i="1"/>
  <c r="X144" i="1"/>
  <c r="Y144" i="1"/>
  <c r="Z144" i="1"/>
  <c r="AA144" i="1"/>
  <c r="W144" i="1" s="1"/>
  <c r="AB144" i="1"/>
  <c r="AC144" i="1"/>
  <c r="AD144" i="1"/>
  <c r="AE144" i="1"/>
  <c r="AF144" i="1"/>
  <c r="AG144" i="1"/>
  <c r="AH144" i="1"/>
  <c r="T145" i="1"/>
  <c r="V145" i="1"/>
  <c r="X145" i="1"/>
  <c r="Y145" i="1"/>
  <c r="Z145" i="1"/>
  <c r="AA145" i="1" s="1"/>
  <c r="W145" i="1" s="1"/>
  <c r="AB145" i="1"/>
  <c r="AC145" i="1"/>
  <c r="AD145" i="1"/>
  <c r="AE145" i="1"/>
  <c r="AF145" i="1"/>
  <c r="AG145" i="1"/>
  <c r="AH145" i="1"/>
  <c r="T146" i="1"/>
  <c r="V146" i="1"/>
  <c r="X146" i="1"/>
  <c r="Y146" i="1"/>
  <c r="AA146" i="1" s="1"/>
  <c r="Z146" i="1"/>
  <c r="AB146" i="1"/>
  <c r="AC146" i="1"/>
  <c r="AD146" i="1"/>
  <c r="AE146" i="1"/>
  <c r="AF146" i="1"/>
  <c r="AG146" i="1"/>
  <c r="AH146" i="1"/>
  <c r="T147" i="1"/>
  <c r="V147" i="1"/>
  <c r="X147" i="1"/>
  <c r="Y147" i="1"/>
  <c r="Z147" i="1"/>
  <c r="AA147" i="1" s="1"/>
  <c r="W147" i="1" s="1"/>
  <c r="AB147" i="1"/>
  <c r="AC147" i="1"/>
  <c r="AD147" i="1"/>
  <c r="AE147" i="1"/>
  <c r="AF147" i="1"/>
  <c r="AG147" i="1"/>
  <c r="AH147" i="1"/>
  <c r="T148" i="1"/>
  <c r="V148" i="1"/>
  <c r="X148" i="1"/>
  <c r="Y148" i="1"/>
  <c r="Z148" i="1"/>
  <c r="AA148" i="1"/>
  <c r="AB148" i="1"/>
  <c r="AC148" i="1"/>
  <c r="AD148" i="1"/>
  <c r="AE148" i="1"/>
  <c r="AF148" i="1"/>
  <c r="AG148" i="1"/>
  <c r="AH148" i="1"/>
  <c r="T149" i="1"/>
  <c r="V149" i="1"/>
  <c r="X149" i="1"/>
  <c r="Y149" i="1"/>
  <c r="Z149" i="1"/>
  <c r="AA149" i="1" s="1"/>
  <c r="AB149" i="1"/>
  <c r="AC149" i="1"/>
  <c r="AD149" i="1"/>
  <c r="AE149" i="1"/>
  <c r="AF149" i="1"/>
  <c r="AG149" i="1"/>
  <c r="AH149" i="1"/>
  <c r="T150" i="1"/>
  <c r="V150" i="1"/>
  <c r="X150" i="1"/>
  <c r="Y150" i="1"/>
  <c r="AA150" i="1" s="1"/>
  <c r="Z150" i="1"/>
  <c r="AB150" i="1"/>
  <c r="AC150" i="1"/>
  <c r="AD150" i="1"/>
  <c r="AE150" i="1"/>
  <c r="AF150" i="1"/>
  <c r="AG150" i="1"/>
  <c r="AH150" i="1"/>
  <c r="T151" i="1"/>
  <c r="V151" i="1"/>
  <c r="X151" i="1"/>
  <c r="Y151" i="1"/>
  <c r="Z151" i="1"/>
  <c r="AA151" i="1" s="1"/>
  <c r="AB151" i="1"/>
  <c r="AC151" i="1"/>
  <c r="AD151" i="1"/>
  <c r="AE151" i="1"/>
  <c r="AF151" i="1"/>
  <c r="AG151" i="1"/>
  <c r="AH151" i="1"/>
  <c r="T152" i="1"/>
  <c r="V152" i="1"/>
  <c r="X152" i="1"/>
  <c r="Y152" i="1"/>
  <c r="Z152" i="1"/>
  <c r="AA152" i="1"/>
  <c r="AB152" i="1"/>
  <c r="AC152" i="1"/>
  <c r="AD152" i="1"/>
  <c r="AE152" i="1"/>
  <c r="AF152" i="1"/>
  <c r="AG152" i="1"/>
  <c r="AH152" i="1"/>
  <c r="T153" i="1"/>
  <c r="V153" i="1"/>
  <c r="X153" i="1"/>
  <c r="Y153" i="1"/>
  <c r="Z153" i="1"/>
  <c r="AA153" i="1" s="1"/>
  <c r="AB153" i="1"/>
  <c r="AC153" i="1"/>
  <c r="AD153" i="1"/>
  <c r="AE153" i="1"/>
  <c r="AF153" i="1"/>
  <c r="AG153" i="1"/>
  <c r="AH153" i="1"/>
  <c r="T154" i="1"/>
  <c r="V154" i="1"/>
  <c r="X154" i="1"/>
  <c r="Y154" i="1"/>
  <c r="AA154" i="1" s="1"/>
  <c r="Z154" i="1"/>
  <c r="AB154" i="1"/>
  <c r="AC154" i="1"/>
  <c r="AD154" i="1"/>
  <c r="AE154" i="1"/>
  <c r="AF154" i="1"/>
  <c r="AG154" i="1"/>
  <c r="AH154" i="1"/>
  <c r="T155" i="1"/>
  <c r="V155" i="1"/>
  <c r="X155" i="1"/>
  <c r="Y155" i="1"/>
  <c r="Z155" i="1"/>
  <c r="AA155" i="1" s="1"/>
  <c r="AB155" i="1"/>
  <c r="AC155" i="1"/>
  <c r="AD155" i="1"/>
  <c r="AE155" i="1"/>
  <c r="AF155" i="1"/>
  <c r="AG155" i="1"/>
  <c r="AH155" i="1"/>
  <c r="T156" i="1"/>
  <c r="V156" i="1"/>
  <c r="X156" i="1"/>
  <c r="Y156" i="1"/>
  <c r="Z156" i="1"/>
  <c r="AA156" i="1"/>
  <c r="AB156" i="1"/>
  <c r="AC156" i="1"/>
  <c r="AD156" i="1"/>
  <c r="AE156" i="1"/>
  <c r="AF156" i="1"/>
  <c r="AG156" i="1"/>
  <c r="AH156" i="1"/>
  <c r="T157" i="1"/>
  <c r="V157" i="1"/>
  <c r="X157" i="1"/>
  <c r="Y157" i="1"/>
  <c r="Z157" i="1"/>
  <c r="AA157" i="1" s="1"/>
  <c r="AB157" i="1"/>
  <c r="AC157" i="1"/>
  <c r="AD157" i="1"/>
  <c r="AE157" i="1"/>
  <c r="AF157" i="1"/>
  <c r="AG157" i="1"/>
  <c r="AH157" i="1"/>
  <c r="W146" i="1" l="1"/>
  <c r="W143" i="1"/>
  <c r="W141" i="1"/>
  <c r="W140" i="1"/>
  <c r="W142" i="1"/>
  <c r="U157" i="1"/>
  <c r="S157" i="1" s="1"/>
  <c r="U156" i="1"/>
  <c r="S156" i="1" s="1"/>
  <c r="U155" i="1"/>
  <c r="S155" i="1" s="1"/>
  <c r="U154" i="1"/>
  <c r="S154" i="1" s="1"/>
  <c r="U153" i="1"/>
  <c r="S153" i="1" s="1"/>
  <c r="U152" i="1"/>
  <c r="S152" i="1" s="1"/>
  <c r="U151" i="1"/>
  <c r="S151" i="1" s="1"/>
  <c r="U150" i="1"/>
  <c r="S150" i="1" s="1"/>
  <c r="U149" i="1"/>
  <c r="S149" i="1" s="1"/>
  <c r="U148" i="1"/>
  <c r="S148" i="1" s="1"/>
  <c r="U147" i="1"/>
  <c r="S147" i="1" s="1"/>
  <c r="U146" i="1"/>
  <c r="S146" i="1" s="1"/>
  <c r="U145" i="1"/>
  <c r="S145" i="1" s="1"/>
  <c r="U144" i="1"/>
  <c r="S144" i="1" s="1"/>
  <c r="U143" i="1"/>
  <c r="S143" i="1" s="1"/>
  <c r="U142" i="1"/>
  <c r="S142" i="1" s="1"/>
  <c r="U141" i="1"/>
  <c r="S141" i="1" s="1"/>
  <c r="U140" i="1"/>
  <c r="S140" i="1" s="1"/>
  <c r="U139" i="1"/>
  <c r="S139" i="1" s="1"/>
  <c r="W157" i="1"/>
  <c r="W156" i="1"/>
  <c r="W155" i="1"/>
  <c r="W154" i="1"/>
  <c r="W153" i="1"/>
  <c r="W152" i="1"/>
  <c r="W151" i="1"/>
  <c r="W150" i="1"/>
  <c r="W149" i="1"/>
  <c r="W148" i="1"/>
  <c r="V201" i="1"/>
  <c r="Y201" i="1"/>
  <c r="Z201" i="1"/>
  <c r="AA201" i="1" s="1"/>
  <c r="AB201" i="1"/>
  <c r="AC201" i="1"/>
  <c r="AD201" i="1"/>
  <c r="T201" i="1" s="1"/>
  <c r="AE201" i="1"/>
  <c r="AF201" i="1"/>
  <c r="AH201" i="1"/>
  <c r="V202" i="1"/>
  <c r="Y202" i="1"/>
  <c r="Z202" i="1"/>
  <c r="AB202" i="1"/>
  <c r="AC202" i="1"/>
  <c r="AD202" i="1"/>
  <c r="T202" i="1" s="1"/>
  <c r="AE202" i="1"/>
  <c r="AF202" i="1"/>
  <c r="AH202" i="1"/>
  <c r="V203" i="1"/>
  <c r="AA203" i="1"/>
  <c r="AB203" i="1"/>
  <c r="AC203" i="1"/>
  <c r="AD203" i="1"/>
  <c r="T203" i="1" s="1"/>
  <c r="AE203" i="1"/>
  <c r="AF203" i="1"/>
  <c r="AH203" i="1"/>
  <c r="V204" i="1"/>
  <c r="Y204" i="1"/>
  <c r="Z204" i="1"/>
  <c r="AB204" i="1"/>
  <c r="AC204" i="1"/>
  <c r="AD204" i="1"/>
  <c r="T204" i="1" s="1"/>
  <c r="AE204" i="1"/>
  <c r="AF204" i="1"/>
  <c r="AH204" i="1"/>
  <c r="V205" i="1"/>
  <c r="Y205" i="1"/>
  <c r="Z205" i="1"/>
  <c r="AB205" i="1"/>
  <c r="AC205" i="1"/>
  <c r="AD205" i="1"/>
  <c r="T205" i="1" s="1"/>
  <c r="AE205" i="1"/>
  <c r="AF205" i="1"/>
  <c r="AH205" i="1"/>
  <c r="V206" i="1"/>
  <c r="Y206" i="1"/>
  <c r="Z206" i="1"/>
  <c r="AA206" i="1" s="1"/>
  <c r="AB206" i="1"/>
  <c r="AC206" i="1"/>
  <c r="AD206" i="1"/>
  <c r="T206" i="1" s="1"/>
  <c r="AE206" i="1"/>
  <c r="AF206" i="1"/>
  <c r="AH206" i="1"/>
  <c r="M203" i="1"/>
  <c r="P203" i="1" s="1"/>
  <c r="L203" i="1"/>
  <c r="K203" i="1"/>
  <c r="K138" i="1"/>
  <c r="L138" i="1"/>
  <c r="M138" i="1"/>
  <c r="N138" i="1" s="1"/>
  <c r="K158" i="1"/>
  <c r="L158" i="1"/>
  <c r="M158" i="1"/>
  <c r="N158" i="1" s="1"/>
  <c r="K159" i="1"/>
  <c r="L159" i="1"/>
  <c r="M159" i="1"/>
  <c r="N159" i="1" s="1"/>
  <c r="K160" i="1"/>
  <c r="L160" i="1"/>
  <c r="M160" i="1"/>
  <c r="N160" i="1" s="1"/>
  <c r="K161" i="1"/>
  <c r="L161" i="1"/>
  <c r="M161" i="1"/>
  <c r="N161" i="1" s="1"/>
  <c r="K162" i="1"/>
  <c r="L162" i="1"/>
  <c r="M162" i="1"/>
  <c r="N162" i="1" s="1"/>
  <c r="K163" i="1"/>
  <c r="L163" i="1"/>
  <c r="M163" i="1"/>
  <c r="N163" i="1" s="1"/>
  <c r="K164" i="1"/>
  <c r="L164" i="1"/>
  <c r="M164" i="1"/>
  <c r="N164" i="1" s="1"/>
  <c r="K165" i="1"/>
  <c r="L165" i="1"/>
  <c r="M165" i="1"/>
  <c r="N165" i="1" s="1"/>
  <c r="K166" i="1"/>
  <c r="L166" i="1"/>
  <c r="M166" i="1"/>
  <c r="N166" i="1" s="1"/>
  <c r="K167" i="1"/>
  <c r="L167" i="1"/>
  <c r="M167" i="1"/>
  <c r="N167" i="1" s="1"/>
  <c r="K168" i="1"/>
  <c r="L168" i="1"/>
  <c r="M168" i="1"/>
  <c r="N168" i="1" s="1"/>
  <c r="K169" i="1"/>
  <c r="L169" i="1"/>
  <c r="M169" i="1"/>
  <c r="N169" i="1" s="1"/>
  <c r="K170" i="1"/>
  <c r="L170" i="1"/>
  <c r="M170" i="1"/>
  <c r="N170" i="1" s="1"/>
  <c r="K171" i="1"/>
  <c r="L171" i="1"/>
  <c r="M171" i="1"/>
  <c r="N171" i="1" s="1"/>
  <c r="K172" i="1"/>
  <c r="L172" i="1"/>
  <c r="M172" i="1"/>
  <c r="N172" i="1" s="1"/>
  <c r="K173" i="1"/>
  <c r="L173" i="1"/>
  <c r="M173" i="1"/>
  <c r="N173" i="1" s="1"/>
  <c r="K174" i="1"/>
  <c r="L174" i="1"/>
  <c r="M174" i="1"/>
  <c r="N174" i="1" s="1"/>
  <c r="K175" i="1"/>
  <c r="L175" i="1"/>
  <c r="M175" i="1"/>
  <c r="N175" i="1" s="1"/>
  <c r="K176" i="1"/>
  <c r="L176" i="1"/>
  <c r="M176" i="1"/>
  <c r="N176" i="1" s="1"/>
  <c r="K177" i="1"/>
  <c r="L177" i="1"/>
  <c r="M177" i="1"/>
  <c r="N177" i="1" s="1"/>
  <c r="K178" i="1"/>
  <c r="L178" i="1"/>
  <c r="M178" i="1"/>
  <c r="N178" i="1" s="1"/>
  <c r="K179" i="1"/>
  <c r="L179" i="1"/>
  <c r="M179" i="1"/>
  <c r="N179" i="1" s="1"/>
  <c r="K180" i="1"/>
  <c r="L180" i="1"/>
  <c r="M180" i="1"/>
  <c r="N180" i="1" s="1"/>
  <c r="K181" i="1"/>
  <c r="L181" i="1"/>
  <c r="M181" i="1"/>
  <c r="N181" i="1" s="1"/>
  <c r="K182" i="1"/>
  <c r="L182" i="1"/>
  <c r="M182" i="1"/>
  <c r="N182" i="1" s="1"/>
  <c r="K183" i="1"/>
  <c r="L183" i="1"/>
  <c r="M183" i="1"/>
  <c r="N183" i="1" s="1"/>
  <c r="K184" i="1"/>
  <c r="L184" i="1"/>
  <c r="M184" i="1"/>
  <c r="N184" i="1" s="1"/>
  <c r="K185" i="1"/>
  <c r="L185" i="1"/>
  <c r="M185" i="1"/>
  <c r="N185" i="1" s="1"/>
  <c r="K186" i="1"/>
  <c r="L186" i="1"/>
  <c r="M186" i="1"/>
  <c r="N186" i="1" s="1"/>
  <c r="K187" i="1"/>
  <c r="L187" i="1"/>
  <c r="M187" i="1"/>
  <c r="N187" i="1" s="1"/>
  <c r="K188" i="1"/>
  <c r="L188" i="1"/>
  <c r="M188" i="1"/>
  <c r="N188" i="1" s="1"/>
  <c r="K189" i="1"/>
  <c r="L189" i="1"/>
  <c r="M189" i="1"/>
  <c r="N189" i="1" s="1"/>
  <c r="K190" i="1"/>
  <c r="L190" i="1"/>
  <c r="M190" i="1"/>
  <c r="N190" i="1" s="1"/>
  <c r="K191" i="1"/>
  <c r="L191" i="1"/>
  <c r="M191" i="1"/>
  <c r="N191" i="1"/>
  <c r="K192" i="1"/>
  <c r="L192" i="1"/>
  <c r="M192" i="1"/>
  <c r="N192" i="1"/>
  <c r="K193" i="1"/>
  <c r="L193" i="1"/>
  <c r="M193" i="1"/>
  <c r="N193" i="1"/>
  <c r="K194" i="1"/>
  <c r="L194" i="1"/>
  <c r="M194" i="1"/>
  <c r="N194" i="1" s="1"/>
  <c r="K195" i="1"/>
  <c r="L195" i="1"/>
  <c r="M195" i="1"/>
  <c r="N195" i="1" s="1"/>
  <c r="K196" i="1"/>
  <c r="L196" i="1"/>
  <c r="M196" i="1"/>
  <c r="N196" i="1" s="1"/>
  <c r="K197" i="1"/>
  <c r="L197" i="1"/>
  <c r="M197" i="1"/>
  <c r="N197" i="1" s="1"/>
  <c r="K198" i="1"/>
  <c r="L198" i="1"/>
  <c r="M198" i="1"/>
  <c r="N198" i="1" s="1"/>
  <c r="K199" i="1"/>
  <c r="L199" i="1"/>
  <c r="M199" i="1"/>
  <c r="N199" i="1" s="1"/>
  <c r="K200" i="1"/>
  <c r="L200" i="1"/>
  <c r="M200" i="1"/>
  <c r="N200" i="1" s="1"/>
  <c r="K201" i="1"/>
  <c r="L201" i="1"/>
  <c r="M201" i="1"/>
  <c r="N201" i="1" s="1"/>
  <c r="K205" i="1"/>
  <c r="L205" i="1"/>
  <c r="M205" i="1"/>
  <c r="N205" i="1" s="1"/>
  <c r="K206" i="1"/>
  <c r="L206" i="1"/>
  <c r="M206" i="1"/>
  <c r="N206" i="1" s="1"/>
  <c r="K207" i="1"/>
  <c r="L207" i="1"/>
  <c r="M207" i="1"/>
  <c r="N207" i="1" s="1"/>
  <c r="V197" i="1"/>
  <c r="Y197" i="1"/>
  <c r="Z197" i="1"/>
  <c r="AA197" i="1" s="1"/>
  <c r="V198" i="1"/>
  <c r="Q41" i="3" s="1"/>
  <c r="Y198" i="1"/>
  <c r="Z198" i="1"/>
  <c r="V199" i="1"/>
  <c r="Q35" i="3" s="1"/>
  <c r="Y199" i="1"/>
  <c r="Z199" i="1"/>
  <c r="V200" i="1"/>
  <c r="Y200" i="1"/>
  <c r="Z200" i="1"/>
  <c r="V195" i="1"/>
  <c r="Y195" i="1"/>
  <c r="Z195" i="1"/>
  <c r="V196" i="1"/>
  <c r="Y196" i="1"/>
  <c r="Z196" i="1"/>
  <c r="V207" i="1"/>
  <c r="Y207" i="1"/>
  <c r="Z207" i="1"/>
  <c r="V137" i="1"/>
  <c r="V138" i="1"/>
  <c r="AD137" i="1"/>
  <c r="AG137" i="1" s="1"/>
  <c r="W137" i="1" s="1"/>
  <c r="V122" i="1"/>
  <c r="Y122" i="1"/>
  <c r="V123" i="1"/>
  <c r="Y123" i="1"/>
  <c r="V124" i="1"/>
  <c r="Y124" i="1"/>
  <c r="V125" i="1"/>
  <c r="Q17" i="3" s="1"/>
  <c r="Y125" i="1"/>
  <c r="V126" i="1"/>
  <c r="Y126" i="1"/>
  <c r="V127" i="1"/>
  <c r="Y127" i="1"/>
  <c r="V128" i="1"/>
  <c r="Y128" i="1"/>
  <c r="V129" i="1"/>
  <c r="Y129" i="1"/>
  <c r="V130" i="1"/>
  <c r="Y130" i="1"/>
  <c r="V131" i="1"/>
  <c r="Y131" i="1"/>
  <c r="V132" i="1"/>
  <c r="Y132" i="1"/>
  <c r="V133" i="1"/>
  <c r="Y133" i="1"/>
  <c r="V134" i="1"/>
  <c r="Y134" i="1"/>
  <c r="V135" i="1"/>
  <c r="Y135" i="1"/>
  <c r="AD131" i="1"/>
  <c r="AG131" i="1" s="1"/>
  <c r="W131" i="1" s="1"/>
  <c r="AD126" i="1"/>
  <c r="AG126" i="1" s="1"/>
  <c r="W126" i="1" s="1"/>
  <c r="V111" i="1"/>
  <c r="Y111" i="1"/>
  <c r="Z111" i="1"/>
  <c r="V112" i="1"/>
  <c r="Y112" i="1"/>
  <c r="Z112" i="1"/>
  <c r="V113" i="1"/>
  <c r="Y113" i="1"/>
  <c r="Z113" i="1"/>
  <c r="V114" i="1"/>
  <c r="Y114" i="1"/>
  <c r="Z114" i="1"/>
  <c r="V115" i="1"/>
  <c r="Q16" i="3" s="1"/>
  <c r="Y115" i="1"/>
  <c r="Z115" i="1"/>
  <c r="V116" i="1"/>
  <c r="Y116" i="1"/>
  <c r="Z116" i="1"/>
  <c r="V117" i="1"/>
  <c r="Y117" i="1"/>
  <c r="Z117" i="1"/>
  <c r="AA117" i="1" s="1"/>
  <c r="V118" i="1"/>
  <c r="Y118" i="1"/>
  <c r="AA118" i="1" s="1"/>
  <c r="Z118" i="1"/>
  <c r="V119" i="1"/>
  <c r="Y119" i="1"/>
  <c r="Z119" i="1"/>
  <c r="V120" i="1"/>
  <c r="Y120" i="1"/>
  <c r="Z120" i="1"/>
  <c r="V121" i="1"/>
  <c r="Y121" i="1"/>
  <c r="Z121" i="1"/>
  <c r="AA121" i="1" s="1"/>
  <c r="AD116" i="1"/>
  <c r="AD114" i="1"/>
  <c r="T114" i="1" s="1"/>
  <c r="AD112" i="1"/>
  <c r="T112" i="1" s="1"/>
  <c r="V94" i="1"/>
  <c r="Y94" i="1"/>
  <c r="Z94" i="1"/>
  <c r="V95" i="1"/>
  <c r="Y95" i="1"/>
  <c r="Z95" i="1"/>
  <c r="V96" i="1"/>
  <c r="Y96" i="1"/>
  <c r="Z96" i="1"/>
  <c r="V97" i="1"/>
  <c r="Y97" i="1"/>
  <c r="Z97" i="1"/>
  <c r="AA97" i="1" s="1"/>
  <c r="V98" i="1"/>
  <c r="Y98" i="1"/>
  <c r="Z98" i="1"/>
  <c r="V99" i="1"/>
  <c r="Y99" i="1"/>
  <c r="Z99" i="1"/>
  <c r="V100" i="1"/>
  <c r="Y100" i="1"/>
  <c r="Z100" i="1"/>
  <c r="T101" i="1"/>
  <c r="V101" i="1"/>
  <c r="Y101" i="1"/>
  <c r="Z101" i="1"/>
  <c r="V102" i="1"/>
  <c r="Y102" i="1"/>
  <c r="Z102" i="1"/>
  <c r="V103" i="1"/>
  <c r="Y103" i="1"/>
  <c r="Z103" i="1"/>
  <c r="V104" i="1"/>
  <c r="Y104" i="1"/>
  <c r="Z104" i="1"/>
  <c r="V105" i="1"/>
  <c r="Y105" i="1"/>
  <c r="Z105" i="1"/>
  <c r="AA105" i="1" s="1"/>
  <c r="W105" i="1" s="1"/>
  <c r="V106" i="1"/>
  <c r="Y106" i="1"/>
  <c r="Z106" i="1"/>
  <c r="V107" i="1"/>
  <c r="Y107" i="1"/>
  <c r="Z107" i="1"/>
  <c r="V108" i="1"/>
  <c r="Y108" i="1"/>
  <c r="Z108" i="1"/>
  <c r="V109" i="1"/>
  <c r="Y109" i="1"/>
  <c r="Z109" i="1"/>
  <c r="V110" i="1"/>
  <c r="Y110" i="1"/>
  <c r="Z110" i="1"/>
  <c r="Q10" i="3"/>
  <c r="Z122" i="1"/>
  <c r="AD105" i="1"/>
  <c r="AG105" i="1" s="1"/>
  <c r="AD104" i="1"/>
  <c r="AG104" i="1"/>
  <c r="AD103" i="1"/>
  <c r="T103" i="1" s="1"/>
  <c r="AD101" i="1"/>
  <c r="AG101" i="1" s="1"/>
  <c r="AD97" i="1"/>
  <c r="AG97" i="1" s="1"/>
  <c r="L23" i="3"/>
  <c r="S23" i="3"/>
  <c r="R23" i="3" s="1"/>
  <c r="T23" i="3"/>
  <c r="U23" i="3"/>
  <c r="V23" i="3"/>
  <c r="L31" i="3"/>
  <c r="S31" i="3"/>
  <c r="R31" i="3" s="1"/>
  <c r="T31" i="3"/>
  <c r="U31" i="3"/>
  <c r="V31" i="3"/>
  <c r="L9" i="3"/>
  <c r="S9" i="3"/>
  <c r="R9" i="3" s="1"/>
  <c r="T9" i="3"/>
  <c r="U9" i="3"/>
  <c r="V9" i="3"/>
  <c r="L11" i="3"/>
  <c r="S11" i="3"/>
  <c r="R11" i="3" s="1"/>
  <c r="T11" i="3"/>
  <c r="U11" i="3"/>
  <c r="V11" i="3"/>
  <c r="L24" i="3"/>
  <c r="S24" i="3"/>
  <c r="R24" i="3" s="1"/>
  <c r="T24" i="3"/>
  <c r="U24" i="3"/>
  <c r="V24" i="3"/>
  <c r="L36" i="3"/>
  <c r="S36" i="3"/>
  <c r="R36" i="3" s="1"/>
  <c r="T36" i="3"/>
  <c r="U36" i="3"/>
  <c r="V36" i="3"/>
  <c r="L7" i="3"/>
  <c r="S7" i="3"/>
  <c r="R7" i="3" s="1"/>
  <c r="T7" i="3"/>
  <c r="U7" i="3"/>
  <c r="V7" i="3"/>
  <c r="L21" i="3"/>
  <c r="S21" i="3"/>
  <c r="R21" i="3" s="1"/>
  <c r="T21" i="3"/>
  <c r="U21" i="3"/>
  <c r="V21" i="3"/>
  <c r="L25" i="3"/>
  <c r="S25" i="3"/>
  <c r="R25" i="3" s="1"/>
  <c r="T25" i="3"/>
  <c r="U25" i="3"/>
  <c r="V25" i="3"/>
  <c r="L26" i="3"/>
  <c r="S26" i="3"/>
  <c r="R26" i="3" s="1"/>
  <c r="T26" i="3"/>
  <c r="U26" i="3"/>
  <c r="V26" i="3"/>
  <c r="L37" i="3"/>
  <c r="S37" i="3"/>
  <c r="R37" i="3" s="1"/>
  <c r="T37" i="3"/>
  <c r="U37" i="3"/>
  <c r="V37" i="3"/>
  <c r="L8" i="3"/>
  <c r="S8" i="3"/>
  <c r="R8" i="3" s="1"/>
  <c r="T8" i="3"/>
  <c r="U8" i="3"/>
  <c r="V8" i="3"/>
  <c r="L33" i="3"/>
  <c r="S33" i="3"/>
  <c r="R33" i="3" s="1"/>
  <c r="T33" i="3"/>
  <c r="U33" i="3"/>
  <c r="V33" i="3"/>
  <c r="L38" i="3"/>
  <c r="S38" i="3"/>
  <c r="R38" i="3" s="1"/>
  <c r="T38" i="3"/>
  <c r="U38" i="3"/>
  <c r="V38" i="3"/>
  <c r="L15" i="3"/>
  <c r="S15" i="3"/>
  <c r="R15" i="3" s="1"/>
  <c r="T15" i="3"/>
  <c r="U15" i="3"/>
  <c r="V15" i="3"/>
  <c r="L34" i="3"/>
  <c r="S34" i="3"/>
  <c r="R34" i="3" s="1"/>
  <c r="T34" i="3"/>
  <c r="U34" i="3"/>
  <c r="V34" i="3"/>
  <c r="L12" i="3"/>
  <c r="S12" i="3"/>
  <c r="R12" i="3" s="1"/>
  <c r="T12" i="3"/>
  <c r="U12" i="3"/>
  <c r="V12" i="3"/>
  <c r="L14" i="3"/>
  <c r="S14" i="3"/>
  <c r="R14" i="3" s="1"/>
  <c r="T14" i="3"/>
  <c r="U14" i="3"/>
  <c r="V14" i="3"/>
  <c r="L27" i="3"/>
  <c r="S27" i="3"/>
  <c r="R27" i="3" s="1"/>
  <c r="T27" i="3"/>
  <c r="U27" i="3"/>
  <c r="V27" i="3"/>
  <c r="L13" i="3"/>
  <c r="S13" i="3"/>
  <c r="R13" i="3" s="1"/>
  <c r="T13" i="3"/>
  <c r="U13" i="3"/>
  <c r="V13" i="3"/>
  <c r="L39" i="3"/>
  <c r="S39" i="3"/>
  <c r="R39" i="3" s="1"/>
  <c r="T39" i="3"/>
  <c r="U39" i="3"/>
  <c r="V39" i="3"/>
  <c r="L28" i="3"/>
  <c r="S28" i="3"/>
  <c r="R28" i="3" s="1"/>
  <c r="T28" i="3"/>
  <c r="U28" i="3"/>
  <c r="V28" i="3"/>
  <c r="L29" i="3"/>
  <c r="S29" i="3"/>
  <c r="R29" i="3" s="1"/>
  <c r="T29" i="3"/>
  <c r="U29" i="3"/>
  <c r="V29" i="3"/>
  <c r="L22" i="3"/>
  <c r="S22" i="3"/>
  <c r="R22" i="3" s="1"/>
  <c r="T22" i="3"/>
  <c r="U22" i="3"/>
  <c r="V22" i="3"/>
  <c r="L20" i="3"/>
  <c r="S20" i="3"/>
  <c r="R20" i="3" s="1"/>
  <c r="T20" i="3"/>
  <c r="U20" i="3"/>
  <c r="V20" i="3"/>
  <c r="L32" i="3"/>
  <c r="S32" i="3"/>
  <c r="R32" i="3" s="1"/>
  <c r="T32" i="3"/>
  <c r="U32" i="3"/>
  <c r="V32" i="3"/>
  <c r="L42" i="3"/>
  <c r="S42" i="3"/>
  <c r="R42" i="3" s="1"/>
  <c r="T42" i="3"/>
  <c r="U42" i="3"/>
  <c r="V42" i="3"/>
  <c r="L16" i="3"/>
  <c r="S16" i="3"/>
  <c r="R16" i="3" s="1"/>
  <c r="T16" i="3"/>
  <c r="U16" i="3"/>
  <c r="V16" i="3"/>
  <c r="L10" i="3"/>
  <c r="S10" i="3"/>
  <c r="R10" i="3" s="1"/>
  <c r="T10" i="3"/>
  <c r="U10" i="3"/>
  <c r="V10" i="3"/>
  <c r="L40" i="3"/>
  <c r="S40" i="3"/>
  <c r="R40" i="3" s="1"/>
  <c r="T40" i="3"/>
  <c r="U40" i="3"/>
  <c r="V40" i="3"/>
  <c r="L17" i="3"/>
  <c r="S17" i="3"/>
  <c r="R17" i="3" s="1"/>
  <c r="T17" i="3"/>
  <c r="U17" i="3"/>
  <c r="V17" i="3"/>
  <c r="L18" i="3"/>
  <c r="S18" i="3"/>
  <c r="R18" i="3" s="1"/>
  <c r="T18" i="3"/>
  <c r="U18" i="3"/>
  <c r="V18" i="3"/>
  <c r="L35" i="3"/>
  <c r="S35" i="3"/>
  <c r="R35" i="3" s="1"/>
  <c r="T35" i="3"/>
  <c r="U35" i="3"/>
  <c r="V35" i="3"/>
  <c r="L43" i="3"/>
  <c r="S43" i="3"/>
  <c r="R43" i="3" s="1"/>
  <c r="T43" i="3"/>
  <c r="U43" i="3"/>
  <c r="V43" i="3"/>
  <c r="L41" i="3"/>
  <c r="S41" i="3"/>
  <c r="R41" i="3" s="1"/>
  <c r="T41" i="3"/>
  <c r="U41" i="3"/>
  <c r="V41" i="3"/>
  <c r="L19" i="3"/>
  <c r="S19" i="3"/>
  <c r="R19" i="3" s="1"/>
  <c r="T19" i="3"/>
  <c r="U19" i="3"/>
  <c r="V19" i="3"/>
  <c r="L30" i="3"/>
  <c r="S30" i="3"/>
  <c r="R30" i="3" s="1"/>
  <c r="T30" i="3"/>
  <c r="U30" i="3"/>
  <c r="V30" i="3"/>
  <c r="V176" i="1"/>
  <c r="Y176" i="1"/>
  <c r="Z176" i="1"/>
  <c r="AA176" i="1" s="1"/>
  <c r="AB176" i="1"/>
  <c r="AC176" i="1"/>
  <c r="AD176" i="1"/>
  <c r="T176" i="1" s="1"/>
  <c r="AE176" i="1"/>
  <c r="AF176" i="1"/>
  <c r="AH176" i="1"/>
  <c r="V177" i="1"/>
  <c r="Q34" i="3" s="1"/>
  <c r="Y177" i="1"/>
  <c r="Z177" i="1"/>
  <c r="AB177" i="1"/>
  <c r="AC177" i="1"/>
  <c r="AD177" i="1"/>
  <c r="T177" i="1" s="1"/>
  <c r="AE177" i="1"/>
  <c r="P34" i="3" s="1"/>
  <c r="AF177" i="1"/>
  <c r="AH177" i="1"/>
  <c r="V178" i="1"/>
  <c r="Y178" i="1"/>
  <c r="Z178" i="1"/>
  <c r="AB178" i="1"/>
  <c r="AC178" i="1"/>
  <c r="AD178" i="1"/>
  <c r="T178" i="1" s="1"/>
  <c r="AE178" i="1"/>
  <c r="AF178" i="1"/>
  <c r="AH178" i="1"/>
  <c r="V179" i="1"/>
  <c r="Y179" i="1"/>
  <c r="Z179" i="1"/>
  <c r="AB179" i="1"/>
  <c r="AC179" i="1"/>
  <c r="AD179" i="1"/>
  <c r="AE179" i="1"/>
  <c r="AF179" i="1"/>
  <c r="AH179" i="1"/>
  <c r="V180" i="1"/>
  <c r="Q39" i="3" s="1"/>
  <c r="Y180" i="1"/>
  <c r="Z180" i="1"/>
  <c r="AB180" i="1"/>
  <c r="AC180" i="1"/>
  <c r="AD180" i="1"/>
  <c r="T180" i="1" s="1"/>
  <c r="AE180" i="1"/>
  <c r="P39" i="3" s="1"/>
  <c r="AF180" i="1"/>
  <c r="AH180" i="1"/>
  <c r="V181" i="1"/>
  <c r="Y181" i="1"/>
  <c r="Z181" i="1"/>
  <c r="AB181" i="1"/>
  <c r="AC181" i="1"/>
  <c r="AD181" i="1"/>
  <c r="T181" i="1" s="1"/>
  <c r="AE181" i="1"/>
  <c r="AF181" i="1"/>
  <c r="AH181" i="1"/>
  <c r="V182" i="1"/>
  <c r="Y182" i="1"/>
  <c r="Z182" i="1"/>
  <c r="AB182" i="1"/>
  <c r="AC182" i="1"/>
  <c r="AD182" i="1"/>
  <c r="T182" i="1" s="1"/>
  <c r="AE182" i="1"/>
  <c r="AF182" i="1"/>
  <c r="AH182" i="1"/>
  <c r="V183" i="1"/>
  <c r="Q42" i="3" s="1"/>
  <c r="Y183" i="1"/>
  <c r="Z183" i="1"/>
  <c r="AB183" i="1"/>
  <c r="AC183" i="1"/>
  <c r="AD183" i="1"/>
  <c r="AE183" i="1"/>
  <c r="P42" i="3" s="1"/>
  <c r="AF183" i="1"/>
  <c r="AH183" i="1"/>
  <c r="V184" i="1"/>
  <c r="Y184" i="1"/>
  <c r="Z184" i="1"/>
  <c r="AA184" i="1" s="1"/>
  <c r="AB184" i="1"/>
  <c r="AC184" i="1"/>
  <c r="AD184" i="1"/>
  <c r="T184" i="1" s="1"/>
  <c r="AE184" i="1"/>
  <c r="AF184" i="1"/>
  <c r="AH184" i="1"/>
  <c r="V185" i="1"/>
  <c r="Y185" i="1"/>
  <c r="Z185" i="1"/>
  <c r="AB185" i="1"/>
  <c r="AC185" i="1"/>
  <c r="AD185" i="1"/>
  <c r="T185" i="1" s="1"/>
  <c r="AE185" i="1"/>
  <c r="AF185" i="1"/>
  <c r="AH185" i="1"/>
  <c r="V186" i="1"/>
  <c r="Y186" i="1"/>
  <c r="Z186" i="1"/>
  <c r="AB186" i="1"/>
  <c r="AC186" i="1"/>
  <c r="AD186" i="1"/>
  <c r="AE186" i="1"/>
  <c r="AF186" i="1"/>
  <c r="AH186" i="1"/>
  <c r="V187" i="1"/>
  <c r="Y187" i="1"/>
  <c r="Z187" i="1"/>
  <c r="AB187" i="1"/>
  <c r="AC187" i="1"/>
  <c r="AD187" i="1"/>
  <c r="AE187" i="1"/>
  <c r="AF187" i="1"/>
  <c r="AH187" i="1"/>
  <c r="V188" i="1"/>
  <c r="Y188" i="1"/>
  <c r="Z188" i="1"/>
  <c r="AB188" i="1"/>
  <c r="AC188" i="1"/>
  <c r="AD188" i="1"/>
  <c r="AE188" i="1"/>
  <c r="AF188" i="1"/>
  <c r="AH188" i="1"/>
  <c r="V189" i="1"/>
  <c r="Y189" i="1"/>
  <c r="Z189" i="1"/>
  <c r="AB189" i="1"/>
  <c r="AC189" i="1"/>
  <c r="AD189" i="1"/>
  <c r="AE189" i="1"/>
  <c r="AF189" i="1"/>
  <c r="AH189" i="1"/>
  <c r="V190" i="1"/>
  <c r="Y190" i="1"/>
  <c r="Z190" i="1"/>
  <c r="AB190" i="1"/>
  <c r="AC190" i="1"/>
  <c r="AD190" i="1"/>
  <c r="AE190" i="1"/>
  <c r="AF190" i="1"/>
  <c r="AH190" i="1"/>
  <c r="V191" i="1"/>
  <c r="Y191" i="1"/>
  <c r="Z191" i="1"/>
  <c r="AB191" i="1"/>
  <c r="AC191" i="1"/>
  <c r="AD191" i="1"/>
  <c r="AE191" i="1"/>
  <c r="AF191" i="1"/>
  <c r="AH191" i="1"/>
  <c r="V192" i="1"/>
  <c r="Y192" i="1"/>
  <c r="Z192" i="1"/>
  <c r="AB192" i="1"/>
  <c r="AC192" i="1"/>
  <c r="AD192" i="1"/>
  <c r="AG192" i="1" s="1"/>
  <c r="AE192" i="1"/>
  <c r="AF192" i="1"/>
  <c r="AH192" i="1"/>
  <c r="V193" i="1"/>
  <c r="Y193" i="1"/>
  <c r="Z193" i="1"/>
  <c r="AB193" i="1"/>
  <c r="AC193" i="1"/>
  <c r="AD193" i="1"/>
  <c r="AG193" i="1" s="1"/>
  <c r="AE193" i="1"/>
  <c r="AF193" i="1"/>
  <c r="AH193" i="1"/>
  <c r="V194" i="1"/>
  <c r="Q40" i="3" s="1"/>
  <c r="Y194" i="1"/>
  <c r="Z194" i="1"/>
  <c r="AB194" i="1"/>
  <c r="AC194" i="1"/>
  <c r="AD194" i="1"/>
  <c r="AG194" i="1" s="1"/>
  <c r="AE194" i="1"/>
  <c r="P40" i="3" s="1"/>
  <c r="AF194" i="1"/>
  <c r="AH194" i="1"/>
  <c r="AB195" i="1"/>
  <c r="AC195" i="1"/>
  <c r="AD195" i="1"/>
  <c r="T195" i="1" s="1"/>
  <c r="AE195" i="1"/>
  <c r="AF195" i="1"/>
  <c r="AH195" i="1"/>
  <c r="AB196" i="1"/>
  <c r="AC196" i="1"/>
  <c r="AD196" i="1"/>
  <c r="AG196" i="1" s="1"/>
  <c r="AE196" i="1"/>
  <c r="AF196" i="1"/>
  <c r="AH196" i="1"/>
  <c r="AB197" i="1"/>
  <c r="AC197" i="1"/>
  <c r="AD197" i="1"/>
  <c r="T197" i="1" s="1"/>
  <c r="AE197" i="1"/>
  <c r="AF197" i="1"/>
  <c r="AH197" i="1"/>
  <c r="AB198" i="1"/>
  <c r="AC198" i="1"/>
  <c r="AD198" i="1"/>
  <c r="AG198" i="1" s="1"/>
  <c r="AE198" i="1"/>
  <c r="P41" i="3" s="1"/>
  <c r="AF198" i="1"/>
  <c r="AH198" i="1"/>
  <c r="AB199" i="1"/>
  <c r="AC199" i="1"/>
  <c r="AD199" i="1"/>
  <c r="AG199" i="1" s="1"/>
  <c r="AE199" i="1"/>
  <c r="P35" i="3" s="1"/>
  <c r="AF199" i="1"/>
  <c r="AH199" i="1"/>
  <c r="AB200" i="1"/>
  <c r="AC200" i="1"/>
  <c r="AD200" i="1"/>
  <c r="AG200" i="1" s="1"/>
  <c r="AE200" i="1"/>
  <c r="AF200" i="1"/>
  <c r="AH200" i="1"/>
  <c r="AB207" i="1"/>
  <c r="AC207" i="1"/>
  <c r="AD207" i="1"/>
  <c r="T207" i="1" s="1"/>
  <c r="AE207" i="1"/>
  <c r="AF207" i="1"/>
  <c r="AH207" i="1"/>
  <c r="K208" i="1"/>
  <c r="L208" i="1"/>
  <c r="M208" i="1"/>
  <c r="N208" i="1" s="1"/>
  <c r="V208" i="1"/>
  <c r="Q32" i="3" s="1"/>
  <c r="Y208" i="1"/>
  <c r="Z208" i="1"/>
  <c r="AB208" i="1"/>
  <c r="AC208" i="1"/>
  <c r="AD208" i="1"/>
  <c r="AG208" i="1" s="1"/>
  <c r="AE208" i="1"/>
  <c r="P32" i="3" s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Q30" i="3" s="1"/>
  <c r="Y15" i="1"/>
  <c r="Z15" i="1"/>
  <c r="AB15" i="1"/>
  <c r="AC15" i="1"/>
  <c r="AD15" i="1"/>
  <c r="AG15" i="1" s="1"/>
  <c r="AE15" i="1"/>
  <c r="P30" i="3" s="1"/>
  <c r="AF15" i="1"/>
  <c r="AH15" i="1"/>
  <c r="K16" i="1"/>
  <c r="L16" i="1"/>
  <c r="M16" i="1"/>
  <c r="N16" i="1" s="1"/>
  <c r="V16" i="1"/>
  <c r="Q23" i="3" s="1"/>
  <c r="Y16" i="1"/>
  <c r="Z16" i="1"/>
  <c r="AB16" i="1"/>
  <c r="AC16" i="1"/>
  <c r="AD16" i="1"/>
  <c r="AE16" i="1"/>
  <c r="P23" i="3" s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Q11" i="3" s="1"/>
  <c r="Y26" i="1"/>
  <c r="Z26" i="1"/>
  <c r="AB26" i="1"/>
  <c r="AC26" i="1"/>
  <c r="AD26" i="1"/>
  <c r="AE26" i="1"/>
  <c r="P11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Q31" i="3" s="1"/>
  <c r="Y29" i="1"/>
  <c r="Z29" i="1"/>
  <c r="AB29" i="1"/>
  <c r="AC29" i="1"/>
  <c r="AD29" i="1"/>
  <c r="AG29" i="1" s="1"/>
  <c r="AE29" i="1"/>
  <c r="P31" i="3" s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Q9" i="3" s="1"/>
  <c r="Y33" i="1"/>
  <c r="Z33" i="1"/>
  <c r="AB33" i="1"/>
  <c r="AC33" i="1"/>
  <c r="AD33" i="1"/>
  <c r="AG33" i="1" s="1"/>
  <c r="AE33" i="1"/>
  <c r="P9" i="3" s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Q21" i="3" s="1"/>
  <c r="Y40" i="1"/>
  <c r="Z40" i="1"/>
  <c r="AB40" i="1"/>
  <c r="AC40" i="1"/>
  <c r="AD40" i="1"/>
  <c r="AE40" i="1"/>
  <c r="P21" i="3" s="1"/>
  <c r="AF40" i="1"/>
  <c r="AH40" i="1"/>
  <c r="K41" i="1"/>
  <c r="L41" i="1"/>
  <c r="M41" i="1"/>
  <c r="N41" i="1" s="1"/>
  <c r="V41" i="1"/>
  <c r="Q7" i="3" s="1"/>
  <c r="Y41" i="1"/>
  <c r="Z41" i="1"/>
  <c r="AB41" i="1"/>
  <c r="AC41" i="1"/>
  <c r="AD41" i="1"/>
  <c r="AG41" i="1" s="1"/>
  <c r="AE41" i="1"/>
  <c r="P7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Q25" i="3" s="1"/>
  <c r="Y44" i="1"/>
  <c r="Z44" i="1"/>
  <c r="AB44" i="1"/>
  <c r="AC44" i="1"/>
  <c r="AD44" i="1"/>
  <c r="AE44" i="1"/>
  <c r="P25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Q26" i="3" s="1"/>
  <c r="Y46" i="1"/>
  <c r="Z46" i="1"/>
  <c r="AB46" i="1"/>
  <c r="AC46" i="1"/>
  <c r="AD46" i="1"/>
  <c r="AE46" i="1"/>
  <c r="P26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Q8" i="3" s="1"/>
  <c r="Y56" i="1"/>
  <c r="Z56" i="1"/>
  <c r="AB56" i="1"/>
  <c r="AC56" i="1"/>
  <c r="AD56" i="1"/>
  <c r="AE56" i="1"/>
  <c r="P8" i="3" s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P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V70" i="1"/>
  <c r="Q15" i="3" s="1"/>
  <c r="Y70" i="1"/>
  <c r="Z70" i="1"/>
  <c r="AB70" i="1"/>
  <c r="AC70" i="1"/>
  <c r="AD70" i="1"/>
  <c r="AE70" i="1"/>
  <c r="P15" i="3" s="1"/>
  <c r="AF70" i="1"/>
  <c r="AH70" i="1"/>
  <c r="K71" i="1"/>
  <c r="L71" i="1"/>
  <c r="M71" i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Q12" i="3" s="1"/>
  <c r="Y73" i="1"/>
  <c r="Z73" i="1"/>
  <c r="AB73" i="1"/>
  <c r="AC73" i="1"/>
  <c r="AD73" i="1"/>
  <c r="AG73" i="1" s="1"/>
  <c r="AE73" i="1"/>
  <c r="P12" i="3" s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Q14" i="3" s="1"/>
  <c r="Y77" i="1"/>
  <c r="Z77" i="1"/>
  <c r="AB77" i="1"/>
  <c r="AC77" i="1"/>
  <c r="AD77" i="1"/>
  <c r="T77" i="1" s="1"/>
  <c r="AE77" i="1"/>
  <c r="P14" i="3" s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Q27" i="3" s="1"/>
  <c r="Y79" i="1"/>
  <c r="Z79" i="1"/>
  <c r="AB79" i="1"/>
  <c r="AC79" i="1"/>
  <c r="AD79" i="1"/>
  <c r="AE79" i="1"/>
  <c r="P27" i="3" s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Q13" i="3" s="1"/>
  <c r="Y85" i="1"/>
  <c r="Z85" i="1"/>
  <c r="AB85" i="1"/>
  <c r="AC85" i="1"/>
  <c r="AD85" i="1"/>
  <c r="AG85" i="1" s="1"/>
  <c r="AE85" i="1"/>
  <c r="P13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Q29" i="3" s="1"/>
  <c r="Y87" i="1"/>
  <c r="Z87" i="1"/>
  <c r="AB87" i="1"/>
  <c r="AC87" i="1"/>
  <c r="AD87" i="1"/>
  <c r="T87" i="1" s="1"/>
  <c r="AE87" i="1"/>
  <c r="P29" i="3" s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P93" i="1" s="1"/>
  <c r="V93" i="1"/>
  <c r="Q20" i="3" s="1"/>
  <c r="Y93" i="1"/>
  <c r="Z93" i="1"/>
  <c r="AB93" i="1"/>
  <c r="AC93" i="1"/>
  <c r="AD93" i="1"/>
  <c r="AE93" i="1"/>
  <c r="P20" i="3" s="1"/>
  <c r="AF93" i="1"/>
  <c r="AH93" i="1"/>
  <c r="K94" i="1"/>
  <c r="L94" i="1"/>
  <c r="M94" i="1"/>
  <c r="N94" i="1" s="1"/>
  <c r="AB94" i="1"/>
  <c r="AC94" i="1"/>
  <c r="AD94" i="1"/>
  <c r="AE94" i="1"/>
  <c r="AF94" i="1"/>
  <c r="AH94" i="1"/>
  <c r="K95" i="1"/>
  <c r="L95" i="1"/>
  <c r="M95" i="1"/>
  <c r="P95" i="1" s="1"/>
  <c r="AB95" i="1"/>
  <c r="AC95" i="1"/>
  <c r="AD95" i="1"/>
  <c r="AE95" i="1"/>
  <c r="AF95" i="1"/>
  <c r="AH95" i="1"/>
  <c r="K96" i="1"/>
  <c r="L96" i="1"/>
  <c r="M96" i="1"/>
  <c r="N96" i="1" s="1"/>
  <c r="Q22" i="3"/>
  <c r="AB96" i="1"/>
  <c r="AC96" i="1"/>
  <c r="AD96" i="1"/>
  <c r="T96" i="1" s="1"/>
  <c r="AE96" i="1"/>
  <c r="P22" i="3" s="1"/>
  <c r="AF96" i="1"/>
  <c r="AH96" i="1"/>
  <c r="K98" i="1"/>
  <c r="L98" i="1"/>
  <c r="M98" i="1"/>
  <c r="P98" i="1" s="1"/>
  <c r="AB98" i="1"/>
  <c r="AC98" i="1"/>
  <c r="AD98" i="1"/>
  <c r="AG98" i="1" s="1"/>
  <c r="AE98" i="1"/>
  <c r="AF98" i="1"/>
  <c r="AH98" i="1"/>
  <c r="K99" i="1"/>
  <c r="L99" i="1"/>
  <c r="M99" i="1"/>
  <c r="P99" i="1" s="1"/>
  <c r="AB99" i="1"/>
  <c r="AC99" i="1"/>
  <c r="AD99" i="1"/>
  <c r="T99" i="1" s="1"/>
  <c r="AE99" i="1"/>
  <c r="AF99" i="1"/>
  <c r="AH99" i="1"/>
  <c r="K100" i="1"/>
  <c r="L100" i="1"/>
  <c r="M100" i="1"/>
  <c r="P100" i="1" s="1"/>
  <c r="AB100" i="1"/>
  <c r="AC100" i="1"/>
  <c r="AD100" i="1"/>
  <c r="AG100" i="1" s="1"/>
  <c r="AE100" i="1"/>
  <c r="AF100" i="1"/>
  <c r="AH100" i="1"/>
  <c r="K102" i="1"/>
  <c r="L102" i="1"/>
  <c r="M102" i="1"/>
  <c r="P102" i="1" s="1"/>
  <c r="AB102" i="1"/>
  <c r="AC102" i="1"/>
  <c r="AD102" i="1"/>
  <c r="T102" i="1" s="1"/>
  <c r="AE102" i="1"/>
  <c r="AF102" i="1"/>
  <c r="AH102" i="1"/>
  <c r="K106" i="1"/>
  <c r="L106" i="1"/>
  <c r="M106" i="1"/>
  <c r="AB106" i="1"/>
  <c r="AC106" i="1"/>
  <c r="AD106" i="1"/>
  <c r="T106" i="1" s="1"/>
  <c r="AE106" i="1"/>
  <c r="AF106" i="1"/>
  <c r="AH106" i="1"/>
  <c r="K107" i="1"/>
  <c r="L107" i="1"/>
  <c r="M107" i="1"/>
  <c r="AB107" i="1"/>
  <c r="AC107" i="1"/>
  <c r="AD107" i="1"/>
  <c r="AE107" i="1"/>
  <c r="AF107" i="1"/>
  <c r="AH107" i="1"/>
  <c r="K108" i="1"/>
  <c r="L108" i="1"/>
  <c r="M108" i="1"/>
  <c r="AB108" i="1"/>
  <c r="AC108" i="1"/>
  <c r="AD108" i="1"/>
  <c r="AE108" i="1"/>
  <c r="AF108" i="1"/>
  <c r="AH108" i="1"/>
  <c r="K109" i="1"/>
  <c r="L109" i="1"/>
  <c r="M109" i="1"/>
  <c r="AB109" i="1"/>
  <c r="AC109" i="1"/>
  <c r="AD109" i="1"/>
  <c r="T109" i="1" s="1"/>
  <c r="AE109" i="1"/>
  <c r="AF109" i="1"/>
  <c r="AH109" i="1"/>
  <c r="K110" i="1"/>
  <c r="L110" i="1"/>
  <c r="M110" i="1"/>
  <c r="AB110" i="1"/>
  <c r="AC110" i="1"/>
  <c r="AD110" i="1"/>
  <c r="AE110" i="1"/>
  <c r="AF110" i="1"/>
  <c r="AH110" i="1"/>
  <c r="K111" i="1"/>
  <c r="L111" i="1"/>
  <c r="M111" i="1"/>
  <c r="AB111" i="1"/>
  <c r="AC111" i="1"/>
  <c r="AD111" i="1"/>
  <c r="T111" i="1" s="1"/>
  <c r="AE111" i="1"/>
  <c r="AF111" i="1"/>
  <c r="AH111" i="1"/>
  <c r="K113" i="1"/>
  <c r="L113" i="1"/>
  <c r="M113" i="1"/>
  <c r="AB113" i="1"/>
  <c r="AC113" i="1"/>
  <c r="AD113" i="1"/>
  <c r="AG113" i="1" s="1"/>
  <c r="AE113" i="1"/>
  <c r="AF113" i="1"/>
  <c r="AH113" i="1"/>
  <c r="K115" i="1"/>
  <c r="L115" i="1"/>
  <c r="M115" i="1"/>
  <c r="AB115" i="1"/>
  <c r="AC115" i="1"/>
  <c r="AD115" i="1"/>
  <c r="AE115" i="1"/>
  <c r="P16" i="3" s="1"/>
  <c r="AF115" i="1"/>
  <c r="AH115" i="1"/>
  <c r="K117" i="1"/>
  <c r="L117" i="1"/>
  <c r="M117" i="1"/>
  <c r="AB117" i="1"/>
  <c r="AC117" i="1"/>
  <c r="AD117" i="1"/>
  <c r="T117" i="1" s="1"/>
  <c r="AE117" i="1"/>
  <c r="AF117" i="1"/>
  <c r="AH117" i="1"/>
  <c r="K118" i="1"/>
  <c r="L118" i="1"/>
  <c r="M118" i="1"/>
  <c r="AB118" i="1"/>
  <c r="AC118" i="1"/>
  <c r="AD118" i="1"/>
  <c r="AE118" i="1"/>
  <c r="AF118" i="1"/>
  <c r="AH118" i="1"/>
  <c r="K119" i="1"/>
  <c r="L119" i="1"/>
  <c r="M119" i="1"/>
  <c r="AB119" i="1"/>
  <c r="AC119" i="1"/>
  <c r="AD119" i="1"/>
  <c r="T119" i="1" s="1"/>
  <c r="AE119" i="1"/>
  <c r="P10" i="3" s="1"/>
  <c r="AF119" i="1"/>
  <c r="AH119" i="1"/>
  <c r="K120" i="1"/>
  <c r="L120" i="1"/>
  <c r="M120" i="1"/>
  <c r="P120" i="1" s="1"/>
  <c r="AB120" i="1"/>
  <c r="AC120" i="1"/>
  <c r="AD120" i="1"/>
  <c r="T120" i="1" s="1"/>
  <c r="AE120" i="1"/>
  <c r="AF120" i="1"/>
  <c r="AH120" i="1"/>
  <c r="K121" i="1"/>
  <c r="L121" i="1"/>
  <c r="M121" i="1"/>
  <c r="P121" i="1" s="1"/>
  <c r="AB121" i="1"/>
  <c r="AC121" i="1"/>
  <c r="AD121" i="1"/>
  <c r="AE121" i="1"/>
  <c r="AF121" i="1"/>
  <c r="AH121" i="1"/>
  <c r="K122" i="1"/>
  <c r="L122" i="1"/>
  <c r="M122" i="1"/>
  <c r="P122" i="1" s="1"/>
  <c r="AB122" i="1"/>
  <c r="AC122" i="1"/>
  <c r="AD122" i="1"/>
  <c r="AE122" i="1"/>
  <c r="AF122" i="1"/>
  <c r="AH122" i="1"/>
  <c r="K123" i="1"/>
  <c r="L123" i="1"/>
  <c r="M123" i="1"/>
  <c r="P123" i="1" s="1"/>
  <c r="Z123" i="1"/>
  <c r="AB123" i="1"/>
  <c r="AC123" i="1"/>
  <c r="AD123" i="1"/>
  <c r="AG123" i="1" s="1"/>
  <c r="AE123" i="1"/>
  <c r="AF123" i="1"/>
  <c r="AH123" i="1"/>
  <c r="K124" i="1"/>
  <c r="L124" i="1"/>
  <c r="M124" i="1"/>
  <c r="P124" i="1" s="1"/>
  <c r="Z124" i="1"/>
  <c r="AB124" i="1"/>
  <c r="AC124" i="1"/>
  <c r="AD124" i="1"/>
  <c r="AE124" i="1"/>
  <c r="AF124" i="1"/>
  <c r="AH124" i="1"/>
  <c r="K125" i="1"/>
  <c r="L125" i="1"/>
  <c r="M125" i="1"/>
  <c r="P125" i="1" s="1"/>
  <c r="Z125" i="1"/>
  <c r="AB125" i="1"/>
  <c r="AC125" i="1"/>
  <c r="AD125" i="1"/>
  <c r="AE125" i="1"/>
  <c r="P17" i="3" s="1"/>
  <c r="AF125" i="1"/>
  <c r="AH125" i="1"/>
  <c r="K127" i="1"/>
  <c r="L127" i="1"/>
  <c r="M127" i="1"/>
  <c r="P127" i="1" s="1"/>
  <c r="Z127" i="1"/>
  <c r="AB127" i="1"/>
  <c r="AC127" i="1"/>
  <c r="AD127" i="1"/>
  <c r="X127" i="1" s="1"/>
  <c r="AE127" i="1"/>
  <c r="AF127" i="1"/>
  <c r="AH127" i="1"/>
  <c r="K128" i="1"/>
  <c r="L128" i="1"/>
  <c r="M128" i="1"/>
  <c r="P128" i="1" s="1"/>
  <c r="Z128" i="1"/>
  <c r="AB128" i="1"/>
  <c r="AC128" i="1"/>
  <c r="AD128" i="1"/>
  <c r="AE128" i="1"/>
  <c r="AF128" i="1"/>
  <c r="AH128" i="1"/>
  <c r="K129" i="1"/>
  <c r="L129" i="1"/>
  <c r="M129" i="1"/>
  <c r="P129" i="1" s="1"/>
  <c r="Q18" i="3"/>
  <c r="Z129" i="1"/>
  <c r="AB129" i="1"/>
  <c r="AC129" i="1"/>
  <c r="AD129" i="1"/>
  <c r="T129" i="1" s="1"/>
  <c r="AE129" i="1"/>
  <c r="P18" i="3" s="1"/>
  <c r="AF129" i="1"/>
  <c r="AH129" i="1"/>
  <c r="K130" i="1"/>
  <c r="L130" i="1"/>
  <c r="M130" i="1"/>
  <c r="P130" i="1" s="1"/>
  <c r="Z130" i="1"/>
  <c r="AA130" i="1" s="1"/>
  <c r="AB130" i="1"/>
  <c r="AC130" i="1"/>
  <c r="AD130" i="1"/>
  <c r="AE130" i="1"/>
  <c r="AF130" i="1"/>
  <c r="AH130" i="1"/>
  <c r="K132" i="1"/>
  <c r="L132" i="1"/>
  <c r="M132" i="1"/>
  <c r="P132" i="1" s="1"/>
  <c r="Z132" i="1"/>
  <c r="AB132" i="1"/>
  <c r="AC132" i="1"/>
  <c r="AD132" i="1"/>
  <c r="T132" i="1" s="1"/>
  <c r="AE132" i="1"/>
  <c r="AF132" i="1"/>
  <c r="AH132" i="1"/>
  <c r="K133" i="1"/>
  <c r="L133" i="1"/>
  <c r="M133" i="1"/>
  <c r="P133" i="1" s="1"/>
  <c r="Z133" i="1"/>
  <c r="AB133" i="1"/>
  <c r="AC133" i="1"/>
  <c r="AD133" i="1"/>
  <c r="AG133" i="1" s="1"/>
  <c r="AE133" i="1"/>
  <c r="AF133" i="1"/>
  <c r="AH133" i="1"/>
  <c r="K134" i="1"/>
  <c r="L134" i="1"/>
  <c r="M134" i="1"/>
  <c r="P134" i="1" s="1"/>
  <c r="Z134" i="1"/>
  <c r="AB134" i="1"/>
  <c r="AC134" i="1"/>
  <c r="AD134" i="1"/>
  <c r="T134" i="1" s="1"/>
  <c r="AE134" i="1"/>
  <c r="AF134" i="1"/>
  <c r="AH134" i="1"/>
  <c r="K135" i="1"/>
  <c r="L135" i="1"/>
  <c r="M135" i="1"/>
  <c r="P135" i="1" s="1"/>
  <c r="Q19" i="3"/>
  <c r="Z135" i="1"/>
  <c r="AB135" i="1"/>
  <c r="AC135" i="1"/>
  <c r="AD135" i="1"/>
  <c r="AG135" i="1" s="1"/>
  <c r="AE135" i="1"/>
  <c r="P19" i="3" s="1"/>
  <c r="AF135" i="1"/>
  <c r="AH135" i="1"/>
  <c r="K136" i="1"/>
  <c r="L136" i="1"/>
  <c r="M136" i="1"/>
  <c r="P136" i="1" s="1"/>
  <c r="V136" i="1"/>
  <c r="Y136" i="1"/>
  <c r="Z136" i="1"/>
  <c r="AB136" i="1"/>
  <c r="AC136" i="1"/>
  <c r="AD136" i="1"/>
  <c r="AE136" i="1"/>
  <c r="AF136" i="1"/>
  <c r="AH136" i="1"/>
  <c r="Y138" i="1"/>
  <c r="Z138" i="1"/>
  <c r="AB138" i="1"/>
  <c r="AC138" i="1"/>
  <c r="AD138" i="1"/>
  <c r="AE138" i="1"/>
  <c r="AF138" i="1"/>
  <c r="AH138" i="1"/>
  <c r="AH158" i="1"/>
  <c r="AH159" i="1"/>
  <c r="V158" i="1"/>
  <c r="Y158" i="1"/>
  <c r="Z158" i="1"/>
  <c r="AB158" i="1"/>
  <c r="AC158" i="1"/>
  <c r="AD158" i="1"/>
  <c r="AE158" i="1"/>
  <c r="AF158" i="1"/>
  <c r="AH160" i="1"/>
  <c r="V159" i="1"/>
  <c r="Y159" i="1"/>
  <c r="Z159" i="1"/>
  <c r="AB159" i="1"/>
  <c r="AC159" i="1"/>
  <c r="AD159" i="1"/>
  <c r="AG159" i="1" s="1"/>
  <c r="AE159" i="1"/>
  <c r="AF159" i="1"/>
  <c r="AH161" i="1"/>
  <c r="V160" i="1"/>
  <c r="Y160" i="1"/>
  <c r="Z160" i="1"/>
  <c r="AB160" i="1"/>
  <c r="AC160" i="1"/>
  <c r="AD160" i="1"/>
  <c r="AE160" i="1"/>
  <c r="AF160" i="1"/>
  <c r="AH162" i="1"/>
  <c r="V161" i="1"/>
  <c r="Y161" i="1"/>
  <c r="Z161" i="1"/>
  <c r="AB161" i="1"/>
  <c r="AC161" i="1"/>
  <c r="AD161" i="1"/>
  <c r="AG161" i="1" s="1"/>
  <c r="AE161" i="1"/>
  <c r="AF161" i="1"/>
  <c r="AH163" i="1"/>
  <c r="V162" i="1"/>
  <c r="Y162" i="1"/>
  <c r="Z162" i="1"/>
  <c r="AB162" i="1"/>
  <c r="AC162" i="1"/>
  <c r="AD162" i="1"/>
  <c r="AE162" i="1"/>
  <c r="AF162" i="1"/>
  <c r="AH164" i="1"/>
  <c r="V163" i="1"/>
  <c r="Y163" i="1"/>
  <c r="Z163" i="1"/>
  <c r="AB163" i="1"/>
  <c r="AC163" i="1"/>
  <c r="AD163" i="1"/>
  <c r="AG163" i="1" s="1"/>
  <c r="AE163" i="1"/>
  <c r="AF163" i="1"/>
  <c r="AH165" i="1"/>
  <c r="V164" i="1"/>
  <c r="Q36" i="3" s="1"/>
  <c r="Y164" i="1"/>
  <c r="Z164" i="1"/>
  <c r="AB164" i="1"/>
  <c r="AC164" i="1"/>
  <c r="AD164" i="1"/>
  <c r="AE164" i="1"/>
  <c r="P36" i="3" s="1"/>
  <c r="AF164" i="1"/>
  <c r="AH166" i="1"/>
  <c r="V165" i="1"/>
  <c r="Y165" i="1"/>
  <c r="Z165" i="1"/>
  <c r="AB165" i="1"/>
  <c r="AC165" i="1"/>
  <c r="AD165" i="1"/>
  <c r="AG165" i="1" s="1"/>
  <c r="AE165" i="1"/>
  <c r="AF165" i="1"/>
  <c r="AH167" i="1"/>
  <c r="V166" i="1"/>
  <c r="Y166" i="1"/>
  <c r="Z166" i="1"/>
  <c r="AB166" i="1"/>
  <c r="AC166" i="1"/>
  <c r="AD166" i="1"/>
  <c r="AE166" i="1"/>
  <c r="AF166" i="1"/>
  <c r="AH168" i="1"/>
  <c r="V167" i="1"/>
  <c r="Y167" i="1"/>
  <c r="Z167" i="1"/>
  <c r="AB167" i="1"/>
  <c r="AC167" i="1"/>
  <c r="AD167" i="1"/>
  <c r="AE167" i="1"/>
  <c r="AF167" i="1"/>
  <c r="AH169" i="1"/>
  <c r="V168" i="1"/>
  <c r="Y168" i="1"/>
  <c r="Z168" i="1"/>
  <c r="AB168" i="1"/>
  <c r="AC168" i="1"/>
  <c r="AD168" i="1"/>
  <c r="AG168" i="1" s="1"/>
  <c r="AE168" i="1"/>
  <c r="AF168" i="1"/>
  <c r="AH170" i="1"/>
  <c r="V169" i="1"/>
  <c r="Y169" i="1"/>
  <c r="Z169" i="1"/>
  <c r="AB169" i="1"/>
  <c r="AC169" i="1"/>
  <c r="AD169" i="1"/>
  <c r="AE169" i="1"/>
  <c r="AF169" i="1"/>
  <c r="AH171" i="1"/>
  <c r="V170" i="1"/>
  <c r="Y170" i="1"/>
  <c r="Z170" i="1"/>
  <c r="AB170" i="1"/>
  <c r="AC170" i="1"/>
  <c r="AD170" i="1"/>
  <c r="AG170" i="1" s="1"/>
  <c r="AE170" i="1"/>
  <c r="AF170" i="1"/>
  <c r="AH172" i="1"/>
  <c r="V171" i="1"/>
  <c r="Y171" i="1"/>
  <c r="Z171" i="1"/>
  <c r="AB171" i="1"/>
  <c r="AC171" i="1"/>
  <c r="AD171" i="1"/>
  <c r="AE171" i="1"/>
  <c r="AF171" i="1"/>
  <c r="AH173" i="1"/>
  <c r="V172" i="1"/>
  <c r="Q37" i="3" s="1"/>
  <c r="Y172" i="1"/>
  <c r="Z172" i="1"/>
  <c r="AB172" i="1"/>
  <c r="AC172" i="1"/>
  <c r="AD172" i="1"/>
  <c r="AG172" i="1" s="1"/>
  <c r="AE172" i="1"/>
  <c r="P37" i="3" s="1"/>
  <c r="AF172" i="1"/>
  <c r="AH174" i="1"/>
  <c r="V173" i="1"/>
  <c r="Q33" i="3" s="1"/>
  <c r="Y173" i="1"/>
  <c r="Z173" i="1"/>
  <c r="AB173" i="1"/>
  <c r="AC173" i="1"/>
  <c r="AD173" i="1"/>
  <c r="AE173" i="1"/>
  <c r="P33" i="3" s="1"/>
  <c r="AF173" i="1"/>
  <c r="AH175" i="1"/>
  <c r="V174" i="1"/>
  <c r="Q38" i="3" s="1"/>
  <c r="Y174" i="1"/>
  <c r="Z174" i="1"/>
  <c r="AB174" i="1"/>
  <c r="AC174" i="1"/>
  <c r="AD174" i="1"/>
  <c r="AG174" i="1" s="1"/>
  <c r="AE174" i="1"/>
  <c r="P38" i="3" s="1"/>
  <c r="AF174" i="1"/>
  <c r="V175" i="1"/>
  <c r="Y175" i="1"/>
  <c r="Z175" i="1"/>
  <c r="AB175" i="1"/>
  <c r="AC175" i="1"/>
  <c r="AD175" i="1"/>
  <c r="AG175" i="1" s="1"/>
  <c r="AE175" i="1"/>
  <c r="AF175" i="1"/>
  <c r="AH13" i="1"/>
  <c r="X121" i="1" l="1"/>
  <c r="X110" i="1"/>
  <c r="X94" i="1"/>
  <c r="AA202" i="1"/>
  <c r="AA205" i="1"/>
  <c r="AG138" i="1"/>
  <c r="X139" i="1"/>
  <c r="X118" i="1"/>
  <c r="X107" i="1"/>
  <c r="X95" i="1"/>
  <c r="AG114" i="1"/>
  <c r="AA204" i="1"/>
  <c r="W204" i="1" s="1"/>
  <c r="X128" i="1"/>
  <c r="X125" i="1"/>
  <c r="AA100" i="1"/>
  <c r="W100" i="1" s="1"/>
  <c r="T98" i="1"/>
  <c r="U98" i="1" s="1"/>
  <c r="S98" i="1" s="1"/>
  <c r="AA113" i="1"/>
  <c r="T105" i="1"/>
  <c r="U105" i="1" s="1"/>
  <c r="S105" i="1" s="1"/>
  <c r="AA115" i="1"/>
  <c r="X104" i="1"/>
  <c r="W206" i="1"/>
  <c r="AG206" i="1"/>
  <c r="AG205" i="1"/>
  <c r="AG204" i="1"/>
  <c r="AG203" i="1"/>
  <c r="AG202" i="1"/>
  <c r="AG201" i="1"/>
  <c r="W201" i="1" s="1"/>
  <c r="X206" i="1"/>
  <c r="X205" i="1"/>
  <c r="X204" i="1"/>
  <c r="X203" i="1"/>
  <c r="X202" i="1"/>
  <c r="X201" i="1"/>
  <c r="X195" i="1"/>
  <c r="AA207" i="1"/>
  <c r="AA199" i="1"/>
  <c r="W199" i="1" s="1"/>
  <c r="AA194" i="1"/>
  <c r="W194" i="1" s="1"/>
  <c r="X179" i="1"/>
  <c r="T198" i="1"/>
  <c r="U198" i="1" s="1"/>
  <c r="S198" i="1" s="1"/>
  <c r="AA173" i="1"/>
  <c r="AA196" i="1"/>
  <c r="W196" i="1" s="1"/>
  <c r="AA195" i="1"/>
  <c r="AA200" i="1"/>
  <c r="W200" i="1" s="1"/>
  <c r="X200" i="1"/>
  <c r="X199" i="1"/>
  <c r="X198" i="1"/>
  <c r="X175" i="1"/>
  <c r="X177" i="1"/>
  <c r="AA198" i="1"/>
  <c r="W198" i="1" s="1"/>
  <c r="X180" i="1"/>
  <c r="X176" i="1"/>
  <c r="AA171" i="1"/>
  <c r="AA167" i="1"/>
  <c r="X207" i="1"/>
  <c r="AA190" i="1"/>
  <c r="X197" i="1"/>
  <c r="X178" i="1"/>
  <c r="X174" i="1"/>
  <c r="AA109" i="1"/>
  <c r="X129" i="1"/>
  <c r="X115" i="1"/>
  <c r="AA84" i="1"/>
  <c r="AA82" i="1"/>
  <c r="X101" i="1"/>
  <c r="AA96" i="1"/>
  <c r="X116" i="1"/>
  <c r="X126" i="1"/>
  <c r="P70" i="1"/>
  <c r="X112" i="1"/>
  <c r="AA135" i="1"/>
  <c r="W135" i="1" s="1"/>
  <c r="W97" i="1"/>
  <c r="X135" i="1"/>
  <c r="T200" i="1"/>
  <c r="U200" i="1" s="1"/>
  <c r="S200" i="1" s="1"/>
  <c r="T196" i="1"/>
  <c r="U196" i="1" s="1"/>
  <c r="S196" i="1" s="1"/>
  <c r="X130" i="1"/>
  <c r="X124" i="1"/>
  <c r="X122" i="1"/>
  <c r="AG120" i="1"/>
  <c r="U120" i="1" s="1"/>
  <c r="S120" i="1" s="1"/>
  <c r="X108" i="1"/>
  <c r="AG180" i="1"/>
  <c r="U180" i="1" s="1"/>
  <c r="S180" i="1" s="1"/>
  <c r="AA108" i="1"/>
  <c r="X106" i="1"/>
  <c r="T95" i="1"/>
  <c r="T116" i="1"/>
  <c r="AA114" i="1"/>
  <c r="W114" i="1" s="1"/>
  <c r="T131" i="1"/>
  <c r="U131" i="1" s="1"/>
  <c r="S131" i="1" s="1"/>
  <c r="T128" i="1"/>
  <c r="T199" i="1"/>
  <c r="U199" i="1" s="1"/>
  <c r="S199" i="1" s="1"/>
  <c r="X196" i="1"/>
  <c r="X100" i="1"/>
  <c r="X97" i="1"/>
  <c r="X120" i="1"/>
  <c r="X39" i="1"/>
  <c r="T110" i="1"/>
  <c r="T107" i="1"/>
  <c r="T104" i="1"/>
  <c r="U104" i="1" s="1"/>
  <c r="S104" i="1" s="1"/>
  <c r="X102" i="1"/>
  <c r="AA101" i="1"/>
  <c r="W101" i="1" s="1"/>
  <c r="X99" i="1"/>
  <c r="X96" i="1"/>
  <c r="T94" i="1"/>
  <c r="T121" i="1"/>
  <c r="X119" i="1"/>
  <c r="T118" i="1"/>
  <c r="X117" i="1"/>
  <c r="T115" i="1"/>
  <c r="X114" i="1"/>
  <c r="T113" i="1"/>
  <c r="U113" i="1" s="1"/>
  <c r="S113" i="1" s="1"/>
  <c r="X111" i="1"/>
  <c r="X134" i="1"/>
  <c r="X133" i="1"/>
  <c r="X132" i="1"/>
  <c r="X131" i="1"/>
  <c r="T126" i="1"/>
  <c r="U126" i="1" s="1"/>
  <c r="S126" i="1" s="1"/>
  <c r="T125" i="1"/>
  <c r="T124" i="1"/>
  <c r="T123" i="1"/>
  <c r="U123" i="1" s="1"/>
  <c r="S123" i="1" s="1"/>
  <c r="T122" i="1"/>
  <c r="X109" i="1"/>
  <c r="T108" i="1"/>
  <c r="X103" i="1"/>
  <c r="U114" i="1"/>
  <c r="S114" i="1" s="1"/>
  <c r="W113" i="1"/>
  <c r="T130" i="1"/>
  <c r="T127" i="1"/>
  <c r="T89" i="1"/>
  <c r="X170" i="1"/>
  <c r="AA165" i="1"/>
  <c r="W165" i="1" s="1"/>
  <c r="AA161" i="1"/>
  <c r="W161" i="1" s="1"/>
  <c r="AA29" i="1"/>
  <c r="W29" i="1" s="1"/>
  <c r="AA28" i="1"/>
  <c r="W28" i="1" s="1"/>
  <c r="AA27" i="1"/>
  <c r="W27" i="1" s="1"/>
  <c r="AA24" i="1"/>
  <c r="AA23" i="1"/>
  <c r="W23" i="1" s="1"/>
  <c r="AG103" i="1"/>
  <c r="U103" i="1" s="1"/>
  <c r="S103" i="1" s="1"/>
  <c r="X105" i="1"/>
  <c r="AA104" i="1"/>
  <c r="W104" i="1" s="1"/>
  <c r="T100" i="1"/>
  <c r="X98" i="1"/>
  <c r="T97" i="1"/>
  <c r="U97" i="1" s="1"/>
  <c r="S97" i="1" s="1"/>
  <c r="AG112" i="1"/>
  <c r="U112" i="1" s="1"/>
  <c r="S112" i="1" s="1"/>
  <c r="AG116" i="1"/>
  <c r="AA112" i="1"/>
  <c r="T138" i="1"/>
  <c r="U138" i="1" s="1"/>
  <c r="S138" i="1" s="1"/>
  <c r="AA40" i="1"/>
  <c r="AA39" i="1"/>
  <c r="W39" i="1" s="1"/>
  <c r="AA209" i="1"/>
  <c r="AA188" i="1"/>
  <c r="AA119" i="1"/>
  <c r="X113" i="1"/>
  <c r="AA111" i="1"/>
  <c r="T135" i="1"/>
  <c r="U135" i="1" s="1"/>
  <c r="S135" i="1" s="1"/>
  <c r="T133" i="1"/>
  <c r="U133" i="1" s="1"/>
  <c r="S133" i="1" s="1"/>
  <c r="X123" i="1"/>
  <c r="X138" i="1"/>
  <c r="X137" i="1"/>
  <c r="T137" i="1"/>
  <c r="U137" i="1" s="1"/>
  <c r="S137" i="1" s="1"/>
  <c r="AA122" i="1"/>
  <c r="AA110" i="1"/>
  <c r="AA103" i="1"/>
  <c r="AA102" i="1"/>
  <c r="U100" i="1"/>
  <c r="S100" i="1" s="1"/>
  <c r="AA95" i="1"/>
  <c r="AA94" i="1"/>
  <c r="AA107" i="1"/>
  <c r="AA106" i="1"/>
  <c r="AA99" i="1"/>
  <c r="AA98" i="1"/>
  <c r="W98" i="1" s="1"/>
  <c r="AA120" i="1"/>
  <c r="AA116" i="1"/>
  <c r="W116" i="1" s="1"/>
  <c r="U101" i="1"/>
  <c r="S101" i="1" s="1"/>
  <c r="AA174" i="1"/>
  <c r="W174" i="1" s="1"/>
  <c r="AA172" i="1"/>
  <c r="W172" i="1" s="1"/>
  <c r="AA170" i="1"/>
  <c r="W170" i="1" s="1"/>
  <c r="AA169" i="1"/>
  <c r="X165" i="1"/>
  <c r="AA164" i="1"/>
  <c r="AG106" i="1"/>
  <c r="U106" i="1" s="1"/>
  <c r="S106" i="1" s="1"/>
  <c r="X89" i="1"/>
  <c r="AA88" i="1"/>
  <c r="AA55" i="1"/>
  <c r="AA54" i="1"/>
  <c r="AA53" i="1"/>
  <c r="W53" i="1" s="1"/>
  <c r="AA52" i="1"/>
  <c r="AA20" i="1"/>
  <c r="AA189" i="1"/>
  <c r="AA182" i="1"/>
  <c r="X172" i="1"/>
  <c r="X161" i="1"/>
  <c r="AA160" i="1"/>
  <c r="AG110" i="1"/>
  <c r="T85" i="1"/>
  <c r="AA78" i="1"/>
  <c r="AA76" i="1"/>
  <c r="X75" i="1"/>
  <c r="AA65" i="1"/>
  <c r="W65" i="1" s="1"/>
  <c r="AA63" i="1"/>
  <c r="W63" i="1" s="1"/>
  <c r="AA61" i="1"/>
  <c r="W61" i="1" s="1"/>
  <c r="AA49" i="1"/>
  <c r="W49" i="1" s="1"/>
  <c r="AA45" i="1"/>
  <c r="W45" i="1" s="1"/>
  <c r="AA44" i="1"/>
  <c r="AA43" i="1"/>
  <c r="W43" i="1" s="1"/>
  <c r="AA41" i="1"/>
  <c r="W41" i="1" s="1"/>
  <c r="AA187" i="1"/>
  <c r="AG182" i="1"/>
  <c r="T81" i="1"/>
  <c r="AG117" i="1"/>
  <c r="W117" i="1" s="1"/>
  <c r="AG167" i="1"/>
  <c r="X167" i="1"/>
  <c r="T93" i="1"/>
  <c r="AG93" i="1"/>
  <c r="AG171" i="1"/>
  <c r="X171" i="1"/>
  <c r="AG128" i="1"/>
  <c r="AA134" i="1"/>
  <c r="AA125" i="1"/>
  <c r="X93" i="1"/>
  <c r="AA92" i="1"/>
  <c r="AA86" i="1"/>
  <c r="AG83" i="1"/>
  <c r="AG77" i="1"/>
  <c r="U77" i="1" s="1"/>
  <c r="S77" i="1" s="1"/>
  <c r="AG69" i="1"/>
  <c r="U69" i="1" s="1"/>
  <c r="S69" i="1" s="1"/>
  <c r="AA208" i="1"/>
  <c r="W208" i="1" s="1"/>
  <c r="AA191" i="1"/>
  <c r="AG178" i="1"/>
  <c r="AA175" i="1"/>
  <c r="W175" i="1" s="1"/>
  <c r="AA163" i="1"/>
  <c r="W163" i="1" s="1"/>
  <c r="AA159" i="1"/>
  <c r="W159" i="1" s="1"/>
  <c r="AA138" i="1"/>
  <c r="W138" i="1" s="1"/>
  <c r="AA133" i="1"/>
  <c r="W133" i="1" s="1"/>
  <c r="AG108" i="1"/>
  <c r="X91" i="1"/>
  <c r="AA90" i="1"/>
  <c r="AG87" i="1"/>
  <c r="U87" i="1" s="1"/>
  <c r="S87" i="1" s="1"/>
  <c r="AG81" i="1"/>
  <c r="AG75" i="1"/>
  <c r="U75" i="1" s="1"/>
  <c r="S75" i="1" s="1"/>
  <c r="AA57" i="1"/>
  <c r="W57" i="1" s="1"/>
  <c r="AA51" i="1"/>
  <c r="AA50" i="1"/>
  <c r="X41" i="1"/>
  <c r="AA33" i="1"/>
  <c r="W33" i="1" s="1"/>
  <c r="X33" i="1"/>
  <c r="AA19" i="1"/>
  <c r="W19" i="1" s="1"/>
  <c r="AA17" i="1"/>
  <c r="W17" i="1" s="1"/>
  <c r="AG184" i="1"/>
  <c r="W184" i="1" s="1"/>
  <c r="AA180" i="1"/>
  <c r="AG176" i="1"/>
  <c r="Q43" i="3"/>
  <c r="Q28" i="3"/>
  <c r="Q24" i="3"/>
  <c r="AA166" i="1"/>
  <c r="X163" i="1"/>
  <c r="AA162" i="1"/>
  <c r="X159" i="1"/>
  <c r="AA158" i="1"/>
  <c r="AA136" i="1"/>
  <c r="AA132" i="1"/>
  <c r="AG91" i="1"/>
  <c r="U91" i="1" s="1"/>
  <c r="S91" i="1" s="1"/>
  <c r="X85" i="1"/>
  <c r="X78" i="1"/>
  <c r="X70" i="1"/>
  <c r="AA16" i="1"/>
  <c r="AA15" i="1"/>
  <c r="W15" i="1" s="1"/>
  <c r="AA193" i="1"/>
  <c r="W193" i="1" s="1"/>
  <c r="AA192" i="1"/>
  <c r="W192" i="1" s="1"/>
  <c r="AA178" i="1"/>
  <c r="P43" i="3"/>
  <c r="P28" i="3"/>
  <c r="P24" i="3"/>
  <c r="X83" i="1"/>
  <c r="AG166" i="1"/>
  <c r="X166" i="1"/>
  <c r="AG136" i="1"/>
  <c r="X136" i="1"/>
  <c r="AG95" i="1"/>
  <c r="AG51" i="1"/>
  <c r="X51" i="1"/>
  <c r="AG173" i="1"/>
  <c r="X173" i="1"/>
  <c r="X168" i="1"/>
  <c r="AA129" i="1"/>
  <c r="AG125" i="1"/>
  <c r="AG124" i="1"/>
  <c r="AA124" i="1"/>
  <c r="T71" i="1"/>
  <c r="X71" i="1"/>
  <c r="AG71" i="1"/>
  <c r="AG55" i="1"/>
  <c r="X55" i="1"/>
  <c r="T179" i="1"/>
  <c r="AG179" i="1"/>
  <c r="AG162" i="1"/>
  <c r="X162" i="1"/>
  <c r="AG158" i="1"/>
  <c r="X158" i="1"/>
  <c r="AG132" i="1"/>
  <c r="U132" i="1" s="1"/>
  <c r="S132" i="1" s="1"/>
  <c r="X79" i="1"/>
  <c r="AG79" i="1"/>
  <c r="T79" i="1"/>
  <c r="AG169" i="1"/>
  <c r="X169" i="1"/>
  <c r="AG164" i="1"/>
  <c r="X164" i="1"/>
  <c r="AG160" i="1"/>
  <c r="X160" i="1"/>
  <c r="AG134" i="1"/>
  <c r="U134" i="1" s="1"/>
  <c r="S134" i="1" s="1"/>
  <c r="T73" i="1"/>
  <c r="U73" i="1" s="1"/>
  <c r="S73" i="1" s="1"/>
  <c r="AG47" i="1"/>
  <c r="X47" i="1"/>
  <c r="AA168" i="1"/>
  <c r="W168" i="1" s="1"/>
  <c r="AG121" i="1"/>
  <c r="W121" i="1" s="1"/>
  <c r="AG119" i="1"/>
  <c r="U119" i="1" s="1"/>
  <c r="S119" i="1" s="1"/>
  <c r="X17" i="1"/>
  <c r="T183" i="1"/>
  <c r="AG183" i="1"/>
  <c r="AA80" i="1"/>
  <c r="X74" i="1"/>
  <c r="AA74" i="1"/>
  <c r="AA60" i="1"/>
  <c r="W60" i="1" s="1"/>
  <c r="AA59" i="1"/>
  <c r="W59" i="1" s="1"/>
  <c r="AA37" i="1"/>
  <c r="W37" i="1" s="1"/>
  <c r="AA36" i="1"/>
  <c r="AA35" i="1"/>
  <c r="W35" i="1" s="1"/>
  <c r="AA32" i="1"/>
  <c r="AA31" i="1"/>
  <c r="W31" i="1" s="1"/>
  <c r="AA26" i="1"/>
  <c r="AA25" i="1"/>
  <c r="W25" i="1" s="1"/>
  <c r="AA18" i="1"/>
  <c r="AA185" i="1"/>
  <c r="AA181" i="1"/>
  <c r="AA177" i="1"/>
  <c r="AA127" i="1"/>
  <c r="AA72" i="1"/>
  <c r="AA67" i="1"/>
  <c r="W67" i="1" s="1"/>
  <c r="X56" i="1"/>
  <c r="X49" i="1"/>
  <c r="AA48" i="1"/>
  <c r="AA47" i="1"/>
  <c r="AA22" i="1"/>
  <c r="AA21" i="1"/>
  <c r="W21" i="1" s="1"/>
  <c r="AA186" i="1"/>
  <c r="AG185" i="1"/>
  <c r="AA183" i="1"/>
  <c r="AG181" i="1"/>
  <c r="AA179" i="1"/>
  <c r="AG177" i="1"/>
  <c r="T186" i="1"/>
  <c r="X186" i="1"/>
  <c r="AG186" i="1"/>
  <c r="AG207" i="1"/>
  <c r="AG195" i="1"/>
  <c r="T209" i="1"/>
  <c r="X209" i="1"/>
  <c r="T193" i="1"/>
  <c r="U193" i="1" s="1"/>
  <c r="S193" i="1" s="1"/>
  <c r="X193" i="1"/>
  <c r="AG209" i="1"/>
  <c r="AG197" i="1"/>
  <c r="T208" i="1"/>
  <c r="U208" i="1" s="1"/>
  <c r="S208" i="1" s="1"/>
  <c r="X208" i="1"/>
  <c r="T194" i="1"/>
  <c r="U194" i="1" s="1"/>
  <c r="S194" i="1" s="1"/>
  <c r="X194" i="1"/>
  <c r="T192" i="1"/>
  <c r="U192" i="1" s="1"/>
  <c r="S192" i="1" s="1"/>
  <c r="X192" i="1"/>
  <c r="T191" i="1"/>
  <c r="X191" i="1"/>
  <c r="AG191" i="1"/>
  <c r="T190" i="1"/>
  <c r="X190" i="1"/>
  <c r="AG190" i="1"/>
  <c r="T189" i="1"/>
  <c r="X189" i="1"/>
  <c r="AG189" i="1"/>
  <c r="T188" i="1"/>
  <c r="X188" i="1"/>
  <c r="AG188" i="1"/>
  <c r="T187" i="1"/>
  <c r="X187" i="1"/>
  <c r="AG187" i="1"/>
  <c r="X185" i="1"/>
  <c r="X184" i="1"/>
  <c r="X183" i="1"/>
  <c r="X182" i="1"/>
  <c r="X181" i="1"/>
  <c r="AG122" i="1"/>
  <c r="U122" i="1" s="1"/>
  <c r="S122" i="1" s="1"/>
  <c r="AG118" i="1"/>
  <c r="W118" i="1" s="1"/>
  <c r="AG107" i="1"/>
  <c r="AG94" i="1"/>
  <c r="U94" i="1" s="1"/>
  <c r="S94" i="1" s="1"/>
  <c r="X86" i="1"/>
  <c r="AG86" i="1"/>
  <c r="T86" i="1"/>
  <c r="U85" i="1"/>
  <c r="S85" i="1" s="1"/>
  <c r="T175" i="1"/>
  <c r="U175" i="1" s="1"/>
  <c r="S175" i="1" s="1"/>
  <c r="T174" i="1"/>
  <c r="U174" i="1" s="1"/>
  <c r="S174" i="1" s="1"/>
  <c r="T173" i="1"/>
  <c r="T172" i="1"/>
  <c r="U172" i="1" s="1"/>
  <c r="S172" i="1" s="1"/>
  <c r="T171" i="1"/>
  <c r="T170" i="1"/>
  <c r="U170" i="1" s="1"/>
  <c r="S170" i="1" s="1"/>
  <c r="T169" i="1"/>
  <c r="T168" i="1"/>
  <c r="U168" i="1" s="1"/>
  <c r="S168" i="1" s="1"/>
  <c r="T167" i="1"/>
  <c r="T166" i="1"/>
  <c r="T165" i="1"/>
  <c r="U165" i="1" s="1"/>
  <c r="S165" i="1" s="1"/>
  <c r="T164" i="1"/>
  <c r="T163" i="1"/>
  <c r="U163" i="1" s="1"/>
  <c r="S163" i="1" s="1"/>
  <c r="T162" i="1"/>
  <c r="T161" i="1"/>
  <c r="U161" i="1" s="1"/>
  <c r="S161" i="1" s="1"/>
  <c r="T160" i="1"/>
  <c r="T159" i="1"/>
  <c r="U159" i="1" s="1"/>
  <c r="S159" i="1" s="1"/>
  <c r="T158" i="1"/>
  <c r="T136" i="1"/>
  <c r="AG130" i="1"/>
  <c r="W130" i="1" s="1"/>
  <c r="AG129" i="1"/>
  <c r="U129" i="1" s="1"/>
  <c r="S129" i="1" s="1"/>
  <c r="AG109" i="1"/>
  <c r="U109" i="1" s="1"/>
  <c r="S109" i="1" s="1"/>
  <c r="AG96" i="1"/>
  <c r="U96" i="1" s="1"/>
  <c r="S96" i="1" s="1"/>
  <c r="T88" i="1"/>
  <c r="X88" i="1"/>
  <c r="AG88" i="1"/>
  <c r="AG111" i="1"/>
  <c r="U111" i="1" s="1"/>
  <c r="S111" i="1" s="1"/>
  <c r="AG99" i="1"/>
  <c r="U99" i="1" s="1"/>
  <c r="S99" i="1" s="1"/>
  <c r="X90" i="1"/>
  <c r="AG90" i="1"/>
  <c r="T90" i="1"/>
  <c r="U89" i="1"/>
  <c r="S89" i="1" s="1"/>
  <c r="X82" i="1"/>
  <c r="AG82" i="1"/>
  <c r="T82" i="1"/>
  <c r="U82" i="1" s="1"/>
  <c r="S82" i="1" s="1"/>
  <c r="AA128" i="1"/>
  <c r="AG127" i="1"/>
  <c r="AG115" i="1"/>
  <c r="W115" i="1" s="1"/>
  <c r="AG102" i="1"/>
  <c r="U102" i="1" s="1"/>
  <c r="S102" i="1" s="1"/>
  <c r="T92" i="1"/>
  <c r="X92" i="1"/>
  <c r="AG92" i="1"/>
  <c r="X87" i="1"/>
  <c r="T84" i="1"/>
  <c r="X84" i="1"/>
  <c r="AG84" i="1"/>
  <c r="W84" i="1" s="1"/>
  <c r="U83" i="1"/>
  <c r="S83" i="1" s="1"/>
  <c r="T43" i="1"/>
  <c r="U43" i="1" s="1"/>
  <c r="S43" i="1" s="1"/>
  <c r="T35" i="1"/>
  <c r="U35" i="1" s="1"/>
  <c r="S35" i="1" s="1"/>
  <c r="X31" i="1"/>
  <c r="AA123" i="1"/>
  <c r="W123" i="1" s="1"/>
  <c r="AA93" i="1"/>
  <c r="AA89" i="1"/>
  <c r="W89" i="1" s="1"/>
  <c r="AA85" i="1"/>
  <c r="W85" i="1" s="1"/>
  <c r="AA81" i="1"/>
  <c r="W81" i="1" s="1"/>
  <c r="AG80" i="1"/>
  <c r="U80" i="1" s="1"/>
  <c r="S80" i="1" s="1"/>
  <c r="X80" i="1"/>
  <c r="T78" i="1"/>
  <c r="AA77" i="1"/>
  <c r="AG76" i="1"/>
  <c r="U76" i="1" s="1"/>
  <c r="S76" i="1" s="1"/>
  <c r="X76" i="1"/>
  <c r="T74" i="1"/>
  <c r="AA73" i="1"/>
  <c r="W73" i="1" s="1"/>
  <c r="AG72" i="1"/>
  <c r="X72" i="1"/>
  <c r="T70" i="1"/>
  <c r="AG68" i="1"/>
  <c r="U68" i="1" s="1"/>
  <c r="S68" i="1" s="1"/>
  <c r="X68" i="1"/>
  <c r="AA56" i="1"/>
  <c r="T53" i="1"/>
  <c r="U53" i="1" s="1"/>
  <c r="S53" i="1" s="1"/>
  <c r="T49" i="1"/>
  <c r="U49" i="1" s="1"/>
  <c r="S49" i="1" s="1"/>
  <c r="AA46" i="1"/>
  <c r="X45" i="1"/>
  <c r="T41" i="1"/>
  <c r="U41" i="1" s="1"/>
  <c r="S41" i="1" s="1"/>
  <c r="AA38" i="1"/>
  <c r="X37" i="1"/>
  <c r="T33" i="1"/>
  <c r="U33" i="1" s="1"/>
  <c r="S33" i="1" s="1"/>
  <c r="AA30" i="1"/>
  <c r="X29" i="1"/>
  <c r="X15" i="1"/>
  <c r="AA14" i="1"/>
  <c r="X77" i="1"/>
  <c r="X73" i="1"/>
  <c r="X69" i="1"/>
  <c r="T47" i="1"/>
  <c r="U47" i="1" s="1"/>
  <c r="S47" i="1" s="1"/>
  <c r="X43" i="1"/>
  <c r="T39" i="1"/>
  <c r="U39" i="1" s="1"/>
  <c r="S39" i="1" s="1"/>
  <c r="X35" i="1"/>
  <c r="T31" i="1"/>
  <c r="U31" i="1" s="1"/>
  <c r="S31" i="1" s="1"/>
  <c r="AA91" i="1"/>
  <c r="AA87" i="1"/>
  <c r="AA83" i="1"/>
  <c r="AA79" i="1"/>
  <c r="AG78" i="1"/>
  <c r="AA75" i="1"/>
  <c r="AG74" i="1"/>
  <c r="AG70" i="1"/>
  <c r="AA64" i="1"/>
  <c r="W64" i="1" s="1"/>
  <c r="AG56" i="1"/>
  <c r="T55" i="1"/>
  <c r="X53" i="1"/>
  <c r="T51" i="1"/>
  <c r="T45" i="1"/>
  <c r="U45" i="1" s="1"/>
  <c r="S45" i="1" s="1"/>
  <c r="AA42" i="1"/>
  <c r="T37" i="1"/>
  <c r="U37" i="1" s="1"/>
  <c r="S37" i="1" s="1"/>
  <c r="AA34" i="1"/>
  <c r="T29" i="1"/>
  <c r="U29" i="1" s="1"/>
  <c r="S29" i="1" s="1"/>
  <c r="T27" i="1"/>
  <c r="U27" i="1" s="1"/>
  <c r="S27" i="1" s="1"/>
  <c r="T25" i="1"/>
  <c r="U25" i="1" s="1"/>
  <c r="S25" i="1" s="1"/>
  <c r="T23" i="1"/>
  <c r="U23" i="1" s="1"/>
  <c r="S23" i="1" s="1"/>
  <c r="T21" i="1"/>
  <c r="U21" i="1" s="1"/>
  <c r="S21" i="1" s="1"/>
  <c r="T19" i="1"/>
  <c r="U19" i="1" s="1"/>
  <c r="S19" i="1" s="1"/>
  <c r="W167" i="1"/>
  <c r="AA71" i="1"/>
  <c r="W71" i="1" s="1"/>
  <c r="AA70" i="1"/>
  <c r="AA69" i="1"/>
  <c r="AA68" i="1"/>
  <c r="AA66" i="1"/>
  <c r="T64" i="1"/>
  <c r="U64" i="1" s="1"/>
  <c r="S64" i="1" s="1"/>
  <c r="X64" i="1"/>
  <c r="AA58" i="1"/>
  <c r="AG48" i="1"/>
  <c r="W48" i="1" s="1"/>
  <c r="X48" i="1"/>
  <c r="T48" i="1"/>
  <c r="AG44" i="1"/>
  <c r="X44" i="1"/>
  <c r="T44" i="1"/>
  <c r="AG40" i="1"/>
  <c r="X40" i="1"/>
  <c r="T40" i="1"/>
  <c r="AG36" i="1"/>
  <c r="X36" i="1"/>
  <c r="T36" i="1"/>
  <c r="AG32" i="1"/>
  <c r="X32" i="1"/>
  <c r="T32" i="1"/>
  <c r="AG28" i="1"/>
  <c r="X28" i="1"/>
  <c r="T28" i="1"/>
  <c r="T62" i="1"/>
  <c r="U62" i="1" s="1"/>
  <c r="S62" i="1" s="1"/>
  <c r="X62" i="1"/>
  <c r="T66" i="1"/>
  <c r="X66" i="1"/>
  <c r="T58" i="1"/>
  <c r="X58" i="1"/>
  <c r="AG24" i="1"/>
  <c r="X24" i="1"/>
  <c r="T24" i="1"/>
  <c r="X25" i="1"/>
  <c r="AG66" i="1"/>
  <c r="AA62" i="1"/>
  <c r="W62" i="1" s="1"/>
  <c r="T60" i="1"/>
  <c r="U60" i="1" s="1"/>
  <c r="S60" i="1" s="1"/>
  <c r="X60" i="1"/>
  <c r="AG58" i="1"/>
  <c r="T56" i="1"/>
  <c r="AG52" i="1"/>
  <c r="X52" i="1"/>
  <c r="AG46" i="1"/>
  <c r="X46" i="1"/>
  <c r="T46" i="1"/>
  <c r="AG42" i="1"/>
  <c r="X42" i="1"/>
  <c r="T42" i="1"/>
  <c r="AG38" i="1"/>
  <c r="X38" i="1"/>
  <c r="T38" i="1"/>
  <c r="AG34" i="1"/>
  <c r="X34" i="1"/>
  <c r="T34" i="1"/>
  <c r="AG30" i="1"/>
  <c r="X30" i="1"/>
  <c r="T30" i="1"/>
  <c r="AG20" i="1"/>
  <c r="X20" i="1"/>
  <c r="T20" i="1"/>
  <c r="X21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X57" i="1"/>
  <c r="AG54" i="1"/>
  <c r="X54" i="1"/>
  <c r="T54" i="1"/>
  <c r="AG50" i="1"/>
  <c r="X50" i="1"/>
  <c r="T50" i="1"/>
  <c r="AG26" i="1"/>
  <c r="X26" i="1"/>
  <c r="T26" i="1"/>
  <c r="AG22" i="1"/>
  <c r="X22" i="1"/>
  <c r="T22" i="1"/>
  <c r="AG18" i="1"/>
  <c r="X18" i="1"/>
  <c r="T18" i="1"/>
  <c r="W40" i="1"/>
  <c r="X27" i="1"/>
  <c r="X23" i="1"/>
  <c r="X19" i="1"/>
  <c r="AG16" i="1"/>
  <c r="T16" i="1"/>
  <c r="X16" i="1"/>
  <c r="T15" i="1"/>
  <c r="U15" i="1" s="1"/>
  <c r="S15" i="1" s="1"/>
  <c r="T14" i="1"/>
  <c r="AG14" i="1"/>
  <c r="T17" i="1"/>
  <c r="U17" i="1" s="1"/>
  <c r="S17" i="1" s="1"/>
  <c r="W86" i="1" l="1"/>
  <c r="U125" i="1"/>
  <c r="S125" i="1" s="1"/>
  <c r="U128" i="1"/>
  <c r="S128" i="1" s="1"/>
  <c r="W160" i="1"/>
  <c r="W110" i="1"/>
  <c r="U56" i="1"/>
  <c r="S56" i="1" s="1"/>
  <c r="W93" i="1"/>
  <c r="W124" i="1"/>
  <c r="W92" i="1"/>
  <c r="W82" i="1"/>
  <c r="U107" i="1"/>
  <c r="S107" i="1" s="1"/>
  <c r="W20" i="1"/>
  <c r="W55" i="1"/>
  <c r="W120" i="1"/>
  <c r="W96" i="1"/>
  <c r="W69" i="1"/>
  <c r="W78" i="1"/>
  <c r="W91" i="1"/>
  <c r="W128" i="1"/>
  <c r="W108" i="1"/>
  <c r="U116" i="1"/>
  <c r="S116" i="1" s="1"/>
  <c r="U205" i="1"/>
  <c r="S205" i="1" s="1"/>
  <c r="U202" i="1"/>
  <c r="S202" i="1" s="1"/>
  <c r="U203" i="1"/>
  <c r="S203" i="1" s="1"/>
  <c r="W203" i="1"/>
  <c r="U201" i="1"/>
  <c r="S201" i="1" s="1"/>
  <c r="U206" i="1"/>
  <c r="S206" i="1" s="1"/>
  <c r="U204" i="1"/>
  <c r="S204" i="1" s="1"/>
  <c r="W202" i="1"/>
  <c r="W205" i="1"/>
  <c r="W169" i="1"/>
  <c r="U166" i="1"/>
  <c r="S166" i="1" s="1"/>
  <c r="U160" i="1"/>
  <c r="S160" i="1" s="1"/>
  <c r="U195" i="1"/>
  <c r="S195" i="1" s="1"/>
  <c r="U177" i="1"/>
  <c r="S177" i="1" s="1"/>
  <c r="U197" i="1"/>
  <c r="S197" i="1" s="1"/>
  <c r="W173" i="1"/>
  <c r="W171" i="1"/>
  <c r="W207" i="1"/>
  <c r="U185" i="1"/>
  <c r="S185" i="1" s="1"/>
  <c r="W176" i="1"/>
  <c r="U173" i="1"/>
  <c r="S173" i="1" s="1"/>
  <c r="U181" i="1"/>
  <c r="S181" i="1" s="1"/>
  <c r="U184" i="1"/>
  <c r="S184" i="1" s="1"/>
  <c r="U178" i="1"/>
  <c r="S178" i="1" s="1"/>
  <c r="U182" i="1"/>
  <c r="S182" i="1" s="1"/>
  <c r="W197" i="1"/>
  <c r="U183" i="1"/>
  <c r="S183" i="1" s="1"/>
  <c r="U95" i="1"/>
  <c r="S95" i="1" s="1"/>
  <c r="U158" i="1"/>
  <c r="S158" i="1" s="1"/>
  <c r="W125" i="1"/>
  <c r="U167" i="1"/>
  <c r="S167" i="1" s="1"/>
  <c r="W107" i="1"/>
  <c r="W122" i="1"/>
  <c r="W111" i="1"/>
  <c r="W109" i="1"/>
  <c r="U207" i="1"/>
  <c r="S207" i="1" s="1"/>
  <c r="W18" i="1"/>
  <c r="W44" i="1"/>
  <c r="W16" i="1"/>
  <c r="U110" i="1"/>
  <c r="S110" i="1" s="1"/>
  <c r="U115" i="1"/>
  <c r="S115" i="1" s="1"/>
  <c r="U117" i="1"/>
  <c r="S117" i="1" s="1"/>
  <c r="W195" i="1"/>
  <c r="W24" i="1"/>
  <c r="U127" i="1"/>
  <c r="S127" i="1" s="1"/>
  <c r="W132" i="1"/>
  <c r="W180" i="1"/>
  <c r="U81" i="1"/>
  <c r="S81" i="1" s="1"/>
  <c r="U55" i="1"/>
  <c r="S55" i="1" s="1"/>
  <c r="U51" i="1"/>
  <c r="S51" i="1" s="1"/>
  <c r="W99" i="1"/>
  <c r="W102" i="1"/>
  <c r="U130" i="1"/>
  <c r="S130" i="1" s="1"/>
  <c r="W83" i="1"/>
  <c r="W46" i="1"/>
  <c r="W72" i="1"/>
  <c r="U136" i="1"/>
  <c r="S136" i="1" s="1"/>
  <c r="U176" i="1"/>
  <c r="S176" i="1" s="1"/>
  <c r="W127" i="1"/>
  <c r="W134" i="1"/>
  <c r="W94" i="1"/>
  <c r="W103" i="1"/>
  <c r="U118" i="1"/>
  <c r="S118" i="1" s="1"/>
  <c r="U121" i="1"/>
  <c r="S121" i="1" s="1"/>
  <c r="W112" i="1"/>
  <c r="W52" i="1"/>
  <c r="W90" i="1"/>
  <c r="W88" i="1"/>
  <c r="W129" i="1"/>
  <c r="W178" i="1"/>
  <c r="W166" i="1"/>
  <c r="U93" i="1"/>
  <c r="S93" i="1" s="1"/>
  <c r="W106" i="1"/>
  <c r="W95" i="1"/>
  <c r="U108" i="1"/>
  <c r="S108" i="1" s="1"/>
  <c r="W119" i="1"/>
  <c r="U124" i="1"/>
  <c r="S124" i="1" s="1"/>
  <c r="W26" i="1"/>
  <c r="W36" i="1"/>
  <c r="W70" i="1"/>
  <c r="W74" i="1"/>
  <c r="W47" i="1"/>
  <c r="W182" i="1"/>
  <c r="W186" i="1"/>
  <c r="U169" i="1"/>
  <c r="S169" i="1" s="1"/>
  <c r="U179" i="1"/>
  <c r="S179" i="1" s="1"/>
  <c r="W30" i="1"/>
  <c r="U71" i="1"/>
  <c r="W158" i="1"/>
  <c r="U171" i="1"/>
  <c r="S171" i="1" s="1"/>
  <c r="W185" i="1"/>
  <c r="U164" i="1"/>
  <c r="S164" i="1" s="1"/>
  <c r="W51" i="1"/>
  <c r="W164" i="1"/>
  <c r="W75" i="1"/>
  <c r="W87" i="1"/>
  <c r="U72" i="1"/>
  <c r="S72" i="1" s="1"/>
  <c r="W32" i="1"/>
  <c r="U79" i="1"/>
  <c r="S79" i="1" s="1"/>
  <c r="W38" i="1"/>
  <c r="W77" i="1"/>
  <c r="W162" i="1"/>
  <c r="W136" i="1"/>
  <c r="W68" i="1"/>
  <c r="U162" i="1"/>
  <c r="S162" i="1" s="1"/>
  <c r="W183" i="1"/>
  <c r="W56" i="1"/>
  <c r="W177" i="1"/>
  <c r="W22" i="1"/>
  <c r="W79" i="1"/>
  <c r="U90" i="1"/>
  <c r="S90" i="1" s="1"/>
  <c r="W179" i="1"/>
  <c r="W181" i="1"/>
  <c r="U187" i="1"/>
  <c r="S187" i="1" s="1"/>
  <c r="U191" i="1"/>
  <c r="S191" i="1" s="1"/>
  <c r="W191" i="1"/>
  <c r="U189" i="1"/>
  <c r="S189" i="1" s="1"/>
  <c r="W189" i="1"/>
  <c r="U209" i="1"/>
  <c r="S209" i="1" s="1"/>
  <c r="U188" i="1"/>
  <c r="S188" i="1" s="1"/>
  <c r="W188" i="1"/>
  <c r="W187" i="1"/>
  <c r="U190" i="1"/>
  <c r="S190" i="1" s="1"/>
  <c r="W190" i="1"/>
  <c r="U186" i="1"/>
  <c r="S186" i="1" s="1"/>
  <c r="W209" i="1"/>
  <c r="W58" i="1"/>
  <c r="U70" i="1"/>
  <c r="U74" i="1"/>
  <c r="S74" i="1" s="1"/>
  <c r="U78" i="1"/>
  <c r="S78" i="1" s="1"/>
  <c r="W76" i="1"/>
  <c r="U92" i="1"/>
  <c r="S92" i="1" s="1"/>
  <c r="U86" i="1"/>
  <c r="S86" i="1" s="1"/>
  <c r="W80" i="1"/>
  <c r="U84" i="1"/>
  <c r="S84" i="1" s="1"/>
  <c r="U88" i="1"/>
  <c r="S88" i="1" s="1"/>
  <c r="U34" i="1"/>
  <c r="S34" i="1" s="1"/>
  <c r="U18" i="1"/>
  <c r="S18" i="1" s="1"/>
  <c r="U54" i="1"/>
  <c r="S54" i="1" s="1"/>
  <c r="W54" i="1"/>
  <c r="U30" i="1"/>
  <c r="S30" i="1" s="1"/>
  <c r="U46" i="1"/>
  <c r="S46" i="1" s="1"/>
  <c r="U58" i="1"/>
  <c r="S58" i="1" s="1"/>
  <c r="U24" i="1"/>
  <c r="S24" i="1" s="1"/>
  <c r="U32" i="1"/>
  <c r="S32" i="1" s="1"/>
  <c r="U48" i="1"/>
  <c r="S48" i="1" s="1"/>
  <c r="U14" i="1"/>
  <c r="S14" i="1" s="1"/>
  <c r="U42" i="1"/>
  <c r="S42" i="1" s="1"/>
  <c r="U22" i="1"/>
  <c r="S22" i="1" s="1"/>
  <c r="U36" i="1"/>
  <c r="S36" i="1" s="1"/>
  <c r="U16" i="1"/>
  <c r="S16" i="1" s="1"/>
  <c r="U50" i="1"/>
  <c r="S50" i="1" s="1"/>
  <c r="W50" i="1"/>
  <c r="U20" i="1"/>
  <c r="S20" i="1" s="1"/>
  <c r="U66" i="1"/>
  <c r="S66" i="1" s="1"/>
  <c r="U28" i="1"/>
  <c r="S28" i="1" s="1"/>
  <c r="U44" i="1"/>
  <c r="S44" i="1" s="1"/>
  <c r="W14" i="1"/>
  <c r="W34" i="1"/>
  <c r="W42" i="1"/>
  <c r="U26" i="1"/>
  <c r="S26" i="1" s="1"/>
  <c r="U38" i="1"/>
  <c r="S38" i="1" s="1"/>
  <c r="U52" i="1"/>
  <c r="S52" i="1" s="1"/>
  <c r="U40" i="1"/>
  <c r="S40" i="1" s="1"/>
  <c r="W66" i="1"/>
  <c r="S70" i="1" l="1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V13" i="1" l="1"/>
  <c r="AF13" i="1" l="1"/>
  <c r="AE13" i="1" l="1"/>
  <c r="M18" i="5" l="1"/>
  <c r="AD13" i="1" l="1"/>
  <c r="X13" i="1" l="1"/>
  <c r="X14" i="1"/>
  <c r="AG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K13" i="1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<sst xmlns="http://schemas.openxmlformats.org/spreadsheetml/2006/main" count="2098" uniqueCount="655">
  <si>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</si>
  <si>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</si>
  <si>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</si>
  <si>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</si>
  <si>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</si>
  <si>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</si>
  <si>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</si>
  <si>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</si>
  <si>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</si>
  <si>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</si>
  <si>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</si>
  <si>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</si>
  <si>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</si>
  <si>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</si>
  <si>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</si>
  <si>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</si>
  <si>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</si>
  <si>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</si>
  <si>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</si>
  <si>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</si>
  <si>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</si>
  <si>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</si>
  <si>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</si>
  <si>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</si>
  <si>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</si>
  <si>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</si>
  <si>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</si>
  <si>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</si>
  <si>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</si>
  <si>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</si>
  <si>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</si>
  <si>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</si>
  <si>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</si>
  <si>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</si>
  <si>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</si>
  <si>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</si>
  <si>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</si>
  <si>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</si>
  <si>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</si>
  <si>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</si>
  <si>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</si>
  <si>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</si>
  <si>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</si>
  <si>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</si>
  <si>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</si>
  <si>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</si>
  <si>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</si>
  <si>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</si>
  <si>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</si>
  <si>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</si>
  <si>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</si>
  <si>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</si>
  <si>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</si>
  <si>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</si>
  <si>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</si>
  <si>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</si>
  <si>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</si>
  <si>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</si>
  <si>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</si>
  <si>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</si>
  <si>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</si>
  <si>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</si>
  <si>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</si>
  <si>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</si>
  <si>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</si>
  <si>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rtdc.l.rtdc.4019:itc</t>
  </si>
  <si>
    <t>rtdc.l.rtdc.4020:itc</t>
  </si>
  <si>
    <t>rtdc.l.rtdc.4018:itc</t>
  </si>
  <si>
    <t>rtdc.l.rtdc.4017:itc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</si>
  <si>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</si>
  <si>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</si>
  <si>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</si>
  <si>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</si>
  <si>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</si>
  <si>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</si>
  <si>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</si>
  <si>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</si>
  <si>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</si>
  <si>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</si>
  <si>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</si>
  <si>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</si>
  <si>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</si>
  <si>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</si>
  <si>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</si>
  <si>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</si>
  <si>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</si>
  <si>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</si>
  <si>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</si>
  <si>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</si>
  <si>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</si>
  <si>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</si>
  <si>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</si>
  <si>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</si>
  <si>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</si>
  <si>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</si>
  <si>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</si>
  <si>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</si>
  <si>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</si>
  <si>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rtdc.l.rtdc.4026:itc</t>
  </si>
  <si>
    <t>rtdc.l.rtdc.4013:itc</t>
  </si>
  <si>
    <t>rtdc.l.rtdc.4025:itc</t>
  </si>
  <si>
    <t>rtdc.l.rtdc.4029:itc</t>
  </si>
  <si>
    <t>rtdc.l.rtdc.4030:itc</t>
  </si>
  <si>
    <t>rtdc.l.rtdc.4027:itc</t>
  </si>
  <si>
    <t>204:156</t>
  </si>
  <si>
    <t>rtdc.l.rtdc.4008:itc</t>
  </si>
  <si>
    <t>rtdc.l.rtdc.4007:itc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</si>
  <si>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</si>
  <si>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</si>
  <si>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</si>
  <si>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</si>
  <si>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</si>
  <si>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</si>
  <si>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</si>
  <si>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</si>
  <si>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</si>
  <si>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</si>
  <si>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</si>
  <si>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</si>
  <si>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</si>
  <si>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</si>
  <si>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</si>
  <si>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</si>
  <si>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</si>
  <si>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</si>
  <si>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</si>
  <si>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204:150</t>
  </si>
  <si>
    <t>204:464</t>
  </si>
  <si>
    <t>204:462</t>
  </si>
  <si>
    <t>Omit due to TWC &lt; 1</t>
  </si>
  <si>
    <t>Reactive Enforcement (3)</t>
  </si>
  <si>
    <t>204:233293</t>
  </si>
  <si>
    <t>COOLAHAN</t>
  </si>
  <si>
    <t>rtdc.l.rtdc.4011:itc</t>
  </si>
  <si>
    <t>rtdc.l.rtdc.4012:itc</t>
  </si>
  <si>
    <t>204:233295</t>
  </si>
  <si>
    <t>rtdc.l.rtdc.4014:itc</t>
  </si>
  <si>
    <t>DE.1.0.7.0</t>
  </si>
  <si>
    <t>rtdc.l.rtdc.4031:itc</t>
  </si>
  <si>
    <t>rtdc.l.rtdc.4032:itc</t>
  </si>
  <si>
    <t>YOUNG</t>
  </si>
  <si>
    <t>CHANDLER</t>
  </si>
  <si>
    <t>BARTLETT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</si>
  <si>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</si>
  <si>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</si>
  <si>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</si>
  <si>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</si>
  <si>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</si>
  <si>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</si>
  <si>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</si>
  <si>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</si>
  <si>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</si>
  <si>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</si>
  <si>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</si>
  <si>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204:233004</t>
  </si>
  <si>
    <t>204:233297</t>
  </si>
  <si>
    <t>204:446</t>
  </si>
  <si>
    <t>204:455</t>
  </si>
  <si>
    <t>:.+((SYSTEM_STATE.+slice.+state.+changed )|(ment ac)|(system.+state.+changed )|(\|lc)|(penalty)|(\[timeout)|(PRM\|1\|D)|(kpr)|(kdp))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</si>
  <si>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</si>
  <si>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</si>
  <si>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</si>
  <si>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</si>
  <si>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</si>
  <si>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204:233000</t>
  </si>
  <si>
    <t>204:158</t>
  </si>
  <si>
    <t>204:233307</t>
  </si>
  <si>
    <t>204:233315</t>
  </si>
  <si>
    <t>204:471</t>
  </si>
  <si>
    <t>204:232989</t>
  </si>
  <si>
    <t>204:147</t>
  </si>
  <si>
    <t>204:161</t>
  </si>
  <si>
    <t>204:453</t>
  </si>
  <si>
    <t>204:233289</t>
  </si>
  <si>
    <t>204:232969</t>
  </si>
  <si>
    <t>204:232994</t>
  </si>
  <si>
    <t>204:449</t>
  </si>
  <si>
    <t>204:132</t>
  </si>
  <si>
    <t>204:149</t>
  </si>
  <si>
    <t>204:154</t>
  </si>
  <si>
    <t>204:145</t>
  </si>
  <si>
    <t>204:440</t>
  </si>
  <si>
    <t>204:141</t>
  </si>
  <si>
    <t>204:233286</t>
  </si>
  <si>
    <t>204:232985</t>
  </si>
  <si>
    <t>204:473</t>
  </si>
  <si>
    <t>204:232996</t>
  </si>
  <si>
    <t>204:233299</t>
  </si>
  <si>
    <t>300:23306</t>
  </si>
  <si>
    <t>STORY</t>
  </si>
  <si>
    <t>Early arrival</t>
  </si>
  <si>
    <t>204:233312</t>
  </si>
  <si>
    <t>204:136</t>
  </si>
  <si>
    <t>204:233303</t>
  </si>
  <si>
    <t>204:232959</t>
  </si>
  <si>
    <t>204:232981</t>
  </si>
  <si>
    <t>300:58929</t>
  </si>
  <si>
    <t>300:58606</t>
  </si>
  <si>
    <t>300:58609</t>
  </si>
  <si>
    <t>204:232987</t>
  </si>
  <si>
    <t>204:488</t>
  </si>
  <si>
    <t>204:232963</t>
  </si>
  <si>
    <t>204:491</t>
  </si>
  <si>
    <t>204:480</t>
  </si>
  <si>
    <t>-</t>
  </si>
  <si>
    <t>Decreasing Mileposts (2</t>
  </si>
  <si>
    <t>OUN</t>
  </si>
  <si>
    <t>STURGEON</t>
  </si>
  <si>
    <t>SPECTOR</t>
  </si>
  <si>
    <t>rtdc.l.rtdc.4039:itc</t>
  </si>
  <si>
    <t>rtdc.l.rtdc.4040:itc</t>
  </si>
  <si>
    <t>SWANSON</t>
  </si>
  <si>
    <t>HELVIE</t>
  </si>
  <si>
    <t>HAITHCOX</t>
  </si>
  <si>
    <t>ISHMAEL</t>
  </si>
  <si>
    <t>315-08</t>
  </si>
  <si>
    <t>302-09</t>
  </si>
  <si>
    <t>KILLIO</t>
  </si>
  <si>
    <t>204:484</t>
  </si>
  <si>
    <t>204:232961</t>
  </si>
  <si>
    <t>204:233334</t>
  </si>
  <si>
    <t>204:167</t>
  </si>
  <si>
    <t>204:169</t>
  </si>
  <si>
    <t>204:424</t>
  </si>
  <si>
    <t>204:233287</t>
  </si>
  <si>
    <t>204:232983</t>
  </si>
  <si>
    <t>204:469</t>
  </si>
  <si>
    <t>204:232971</t>
  </si>
  <si>
    <t>204:437</t>
  </si>
  <si>
    <t>204:458</t>
  </si>
  <si>
    <t>204:232982</t>
  </si>
  <si>
    <t>300:58924</t>
  </si>
  <si>
    <t>300:58912</t>
  </si>
  <si>
    <t>300:58596</t>
  </si>
  <si>
    <t>204:684</t>
  </si>
  <si>
    <t>204:976</t>
  </si>
  <si>
    <t>204:1002</t>
  </si>
  <si>
    <t>SWITCH UNKNOWN</t>
  </si>
  <si>
    <t>Track device (7)</t>
  </si>
  <si>
    <t>224-09</t>
  </si>
  <si>
    <t>228-09</t>
  </si>
  <si>
    <t>234-09</t>
  </si>
  <si>
    <t>239-09</t>
  </si>
  <si>
    <t>242-09</t>
  </si>
  <si>
    <t>204:139</t>
  </si>
  <si>
    <t>204:130</t>
  </si>
  <si>
    <t>204:493</t>
  </si>
  <si>
    <t>204:233298</t>
  </si>
  <si>
    <t>204:477</t>
  </si>
  <si>
    <t>204:232978</t>
  </si>
  <si>
    <t>204:232980</t>
  </si>
  <si>
    <t>204:451</t>
  </si>
  <si>
    <t>204:467</t>
  </si>
  <si>
    <t>204:233332</t>
  </si>
  <si>
    <t>204:233306</t>
  </si>
  <si>
    <t>204:233268</t>
  </si>
  <si>
    <t>204:232952</t>
  </si>
  <si>
    <t>204:233308</t>
  </si>
  <si>
    <t>225-09</t>
  </si>
  <si>
    <t>226-09</t>
  </si>
  <si>
    <t>227-09</t>
  </si>
  <si>
    <t>229-09</t>
  </si>
  <si>
    <t>230-09</t>
  </si>
  <si>
    <t>231-09</t>
  </si>
  <si>
    <t>204:233327</t>
  </si>
  <si>
    <t>232-09</t>
  </si>
  <si>
    <t>233-09</t>
  </si>
  <si>
    <t>235-09</t>
  </si>
  <si>
    <t>236-09</t>
  </si>
  <si>
    <t>237-09</t>
  </si>
  <si>
    <t>238-09</t>
  </si>
  <si>
    <t>204:154001</t>
  </si>
  <si>
    <t>240-09</t>
  </si>
  <si>
    <t>241-09</t>
  </si>
  <si>
    <t>243-09</t>
  </si>
  <si>
    <t>204:489</t>
  </si>
  <si>
    <t>244-09</t>
  </si>
  <si>
    <t>309-09</t>
  </si>
  <si>
    <t>311-09</t>
  </si>
  <si>
    <t>313-09</t>
  </si>
  <si>
    <t>315-09</t>
  </si>
  <si>
    <t>204:971</t>
  </si>
  <si>
    <t>300:58608</t>
  </si>
  <si>
    <t>300:58914</t>
  </si>
  <si>
    <t>300:58911</t>
  </si>
  <si>
    <t>300:58920</t>
  </si>
  <si>
    <t>204:657</t>
  </si>
  <si>
    <t>204:691</t>
  </si>
  <si>
    <t>842-09</t>
  </si>
  <si>
    <t>204:687</t>
  </si>
  <si>
    <t>843-09</t>
  </si>
  <si>
    <t>844-09</t>
  </si>
  <si>
    <t>845-09</t>
  </si>
  <si>
    <t>908-09</t>
  </si>
  <si>
    <t>KILLION</t>
  </si>
  <si>
    <t>ACKERMAN</t>
  </si>
  <si>
    <t>ROCHA</t>
  </si>
  <si>
    <t>BRANNON</t>
  </si>
  <si>
    <t>LEVIN</t>
  </si>
  <si>
    <t>DE LA ROSA</t>
  </si>
  <si>
    <t>BRUDER</t>
  </si>
  <si>
    <t>ROBINSON</t>
  </si>
  <si>
    <t>CHANDLE</t>
  </si>
  <si>
    <t>Wi-MAX outage</t>
  </si>
  <si>
    <t>Did not initialize</t>
  </si>
  <si>
    <t>101-10</t>
  </si>
  <si>
    <t>204:704</t>
  </si>
  <si>
    <t>102-10</t>
  </si>
  <si>
    <t>204:232656</t>
  </si>
  <si>
    <t>204:109</t>
  </si>
  <si>
    <t>103-10</t>
  </si>
  <si>
    <t>204:233345</t>
  </si>
  <si>
    <t>104-10</t>
  </si>
  <si>
    <t>204:232723</t>
  </si>
  <si>
    <t>204:163</t>
  </si>
  <si>
    <t>105-10</t>
  </si>
  <si>
    <t>204:1737</t>
  </si>
  <si>
    <t>106-10</t>
  </si>
  <si>
    <t>107-10</t>
  </si>
  <si>
    <t>108-10</t>
  </si>
  <si>
    <t>109-10</t>
  </si>
  <si>
    <t>204:233288</t>
  </si>
  <si>
    <t>110-10</t>
  </si>
  <si>
    <t>111-10</t>
  </si>
  <si>
    <t>204:737</t>
  </si>
  <si>
    <t>112-10</t>
  </si>
  <si>
    <t>113-10</t>
  </si>
  <si>
    <t>204:400</t>
  </si>
  <si>
    <t>114-10</t>
  </si>
  <si>
    <t>204:232990</t>
  </si>
  <si>
    <t>115-10</t>
  </si>
  <si>
    <t>204:748</t>
  </si>
  <si>
    <t>116-10</t>
  </si>
  <si>
    <t>117-10</t>
  </si>
  <si>
    <t>204:457</t>
  </si>
  <si>
    <t>118-10</t>
  </si>
  <si>
    <t>119-10</t>
  </si>
  <si>
    <t>204:779</t>
  </si>
  <si>
    <t>120-10</t>
  </si>
  <si>
    <t>121-10</t>
  </si>
  <si>
    <t>122-10</t>
  </si>
  <si>
    <t>123-10</t>
  </si>
  <si>
    <t>124-10</t>
  </si>
  <si>
    <t>125-10</t>
  </si>
  <si>
    <t>126-10</t>
  </si>
  <si>
    <t>127-10</t>
  </si>
  <si>
    <t>204:447</t>
  </si>
  <si>
    <t>204:233310</t>
  </si>
  <si>
    <t>128-10</t>
  </si>
  <si>
    <t>129-10</t>
  </si>
  <si>
    <t>204:233314</t>
  </si>
  <si>
    <t>130-10</t>
  </si>
  <si>
    <t>131-10</t>
  </si>
  <si>
    <t>204:435</t>
  </si>
  <si>
    <t>132-10</t>
  </si>
  <si>
    <t>133-10</t>
  </si>
  <si>
    <t>134-10</t>
  </si>
  <si>
    <t>135-10</t>
  </si>
  <si>
    <t>204:233319</t>
  </si>
  <si>
    <t>136-10</t>
  </si>
  <si>
    <t>204:138</t>
  </si>
  <si>
    <t>137-10</t>
  </si>
  <si>
    <t>138-10</t>
  </si>
  <si>
    <t>139-10</t>
  </si>
  <si>
    <t>140-10</t>
  </si>
  <si>
    <t>141-10</t>
  </si>
  <si>
    <t>204:438</t>
  </si>
  <si>
    <t>142-10</t>
  </si>
  <si>
    <t>143-10</t>
  </si>
  <si>
    <t>144-10</t>
  </si>
  <si>
    <t>145-10</t>
  </si>
  <si>
    <t>146-10</t>
  </si>
  <si>
    <t>204:125</t>
  </si>
  <si>
    <t>147-10</t>
  </si>
  <si>
    <t>148-10</t>
  </si>
  <si>
    <t>204:233021</t>
  </si>
  <si>
    <t>149-10</t>
  </si>
  <si>
    <t>204:233320</t>
  </si>
  <si>
    <t>150-10</t>
  </si>
  <si>
    <t>204:233013</t>
  </si>
  <si>
    <t>151-10</t>
  </si>
  <si>
    <t>152-10</t>
  </si>
  <si>
    <t>153-10</t>
  </si>
  <si>
    <t>154-10</t>
  </si>
  <si>
    <t>204:231005</t>
  </si>
  <si>
    <t>155-10</t>
  </si>
  <si>
    <t>204:19128</t>
  </si>
  <si>
    <t>156-10</t>
  </si>
  <si>
    <t>204:232974</t>
  </si>
  <si>
    <t>157-10</t>
  </si>
  <si>
    <t>158-10</t>
  </si>
  <si>
    <t>204:86793</t>
  </si>
  <si>
    <t>204:64157</t>
  </si>
  <si>
    <t>204:178</t>
  </si>
  <si>
    <t>159-10</t>
  </si>
  <si>
    <t>204:233340</t>
  </si>
  <si>
    <t>160-10</t>
  </si>
  <si>
    <t>204:233019</t>
  </si>
  <si>
    <t>161-10</t>
  </si>
  <si>
    <t>204:233337</t>
  </si>
  <si>
    <t>162-10</t>
  </si>
  <si>
    <t>163-10</t>
  </si>
  <si>
    <t>164-10</t>
  </si>
  <si>
    <t>204:127</t>
  </si>
  <si>
    <t>165-10</t>
  </si>
  <si>
    <t>204:233264</t>
  </si>
  <si>
    <t>166-10</t>
  </si>
  <si>
    <t>167-10</t>
  </si>
  <si>
    <t>168-10</t>
  </si>
  <si>
    <t>204:233008</t>
  </si>
  <si>
    <t>204:189</t>
  </si>
  <si>
    <t>169-10</t>
  </si>
  <si>
    <t>170-10</t>
  </si>
  <si>
    <t>171-10</t>
  </si>
  <si>
    <t>172-10</t>
  </si>
  <si>
    <t>173-10</t>
  </si>
  <si>
    <t>174-10</t>
  </si>
  <si>
    <t>204:174</t>
  </si>
  <si>
    <t>175-10</t>
  </si>
  <si>
    <t>176-10</t>
  </si>
  <si>
    <t>177-10</t>
  </si>
  <si>
    <t>178-10</t>
  </si>
  <si>
    <t>179-10</t>
  </si>
  <si>
    <t>180-10</t>
  </si>
  <si>
    <t>204:202982</t>
  </si>
  <si>
    <t>181-10</t>
  </si>
  <si>
    <t>182-10</t>
  </si>
  <si>
    <t>183-10</t>
  </si>
  <si>
    <t>185-10</t>
  </si>
  <si>
    <t>204:154429</t>
  </si>
  <si>
    <t>186-10</t>
  </si>
  <si>
    <t>204:154165</t>
  </si>
  <si>
    <t>187-10</t>
  </si>
  <si>
    <t>204:19130</t>
  </si>
  <si>
    <t>189-10</t>
  </si>
  <si>
    <t>193-10</t>
  </si>
  <si>
    <t>204:788</t>
  </si>
  <si>
    <t>204:154506</t>
  </si>
  <si>
    <t>194-10</t>
  </si>
  <si>
    <t>204:153960</t>
  </si>
  <si>
    <t>204:150702</t>
  </si>
  <si>
    <t>195-10</t>
  </si>
  <si>
    <t>204:497</t>
  </si>
  <si>
    <t>204:155011</t>
  </si>
  <si>
    <t>196-10</t>
  </si>
  <si>
    <t>204:154021</t>
  </si>
  <si>
    <t>197-10</t>
  </si>
  <si>
    <t>204:154509</t>
  </si>
  <si>
    <t>198-10</t>
  </si>
  <si>
    <t>204:157434</t>
  </si>
  <si>
    <t>200-10</t>
  </si>
  <si>
    <t>204:154004</t>
  </si>
  <si>
    <t>202-10</t>
  </si>
  <si>
    <t>204:154012</t>
  </si>
  <si>
    <t>204-10</t>
  </si>
  <si>
    <t>204:154013</t>
  </si>
  <si>
    <t>204:3383</t>
  </si>
  <si>
    <t>205-10</t>
  </si>
  <si>
    <t>204:340</t>
  </si>
  <si>
    <t>204:154430</t>
  </si>
  <si>
    <t>206-10</t>
  </si>
  <si>
    <t>204:154026</t>
  </si>
  <si>
    <t>207-10</t>
  </si>
  <si>
    <t>204:154411</t>
  </si>
  <si>
    <t>208-10</t>
  </si>
  <si>
    <t>204:127878</t>
  </si>
  <si>
    <t>209-10</t>
  </si>
  <si>
    <t>204:154638</t>
  </si>
  <si>
    <t>210-10</t>
  </si>
  <si>
    <t>204:153997</t>
  </si>
  <si>
    <t>204:127843</t>
  </si>
  <si>
    <t>211-10</t>
  </si>
  <si>
    <t>212-10</t>
  </si>
  <si>
    <t>214-10</t>
  </si>
  <si>
    <t>204:157578</t>
  </si>
  <si>
    <t>215-10</t>
  </si>
  <si>
    <t>204:154441</t>
  </si>
  <si>
    <t>216-10</t>
  </si>
  <si>
    <t>217-10</t>
  </si>
  <si>
    <t>204:154426</t>
  </si>
  <si>
    <t>219-10</t>
  </si>
  <si>
    <t>204:154433</t>
  </si>
  <si>
    <t>220-10</t>
  </si>
  <si>
    <t>221-10</t>
  </si>
  <si>
    <t>204:486</t>
  </si>
  <si>
    <t>204:154822</t>
  </si>
  <si>
    <t>222-10</t>
  </si>
  <si>
    <t>204:153999</t>
  </si>
  <si>
    <t>223-10</t>
  </si>
  <si>
    <t>204:154277</t>
  </si>
  <si>
    <t>225-10</t>
  </si>
  <si>
    <t>204:233282</t>
  </si>
  <si>
    <t>305-10</t>
  </si>
  <si>
    <t>300:21432</t>
  </si>
  <si>
    <t>800-10</t>
  </si>
  <si>
    <t>300:58662</t>
  </si>
  <si>
    <t>801-10</t>
  </si>
  <si>
    <t>802-10</t>
  </si>
  <si>
    <t>204:675</t>
  </si>
  <si>
    <t>803-10</t>
  </si>
  <si>
    <t>204:969</t>
  </si>
  <si>
    <t>300:58939</t>
  </si>
  <si>
    <t>804-10</t>
  </si>
  <si>
    <t>300:58630</t>
  </si>
  <si>
    <t>204:692</t>
  </si>
  <si>
    <t>805-10</t>
  </si>
  <si>
    <t>204:974</t>
  </si>
  <si>
    <t>806-10</t>
  </si>
  <si>
    <t>300:58615</t>
  </si>
  <si>
    <t>204:696</t>
  </si>
  <si>
    <t>807-10</t>
  </si>
  <si>
    <t>204:990</t>
  </si>
  <si>
    <t>808-10</t>
  </si>
  <si>
    <t>204:689</t>
  </si>
  <si>
    <t>809-10</t>
  </si>
  <si>
    <t>300:58937</t>
  </si>
  <si>
    <t>810-10</t>
  </si>
  <si>
    <t>811-10</t>
  </si>
  <si>
    <t>300:58907</t>
  </si>
  <si>
    <t>812-10</t>
  </si>
  <si>
    <t>300:58587</t>
  </si>
  <si>
    <t>813-10</t>
  </si>
  <si>
    <t>814-10</t>
  </si>
  <si>
    <t>815-10</t>
  </si>
  <si>
    <t>300:58899</t>
  </si>
  <si>
    <t>816-10</t>
  </si>
  <si>
    <t>300:58585</t>
  </si>
  <si>
    <t>204:699</t>
  </si>
  <si>
    <t>817-10</t>
  </si>
  <si>
    <t>204:983</t>
  </si>
  <si>
    <t>818-10</t>
  </si>
  <si>
    <t>204:694</t>
  </si>
  <si>
    <t>819-10</t>
  </si>
  <si>
    <t>204:985</t>
  </si>
  <si>
    <t>300:58916</t>
  </si>
  <si>
    <t>820-10</t>
  </si>
  <si>
    <t>300:58598</t>
  </si>
  <si>
    <t>821-10</t>
  </si>
  <si>
    <t>300:58935</t>
  </si>
  <si>
    <t>822-10</t>
  </si>
  <si>
    <t>300:58626</t>
  </si>
  <si>
    <t>204:752</t>
  </si>
  <si>
    <t>823-10</t>
  </si>
  <si>
    <t>204:1025</t>
  </si>
  <si>
    <t>300:58963</t>
  </si>
  <si>
    <t>824-10</t>
  </si>
  <si>
    <t>300:58645</t>
  </si>
  <si>
    <t>204:883</t>
  </si>
  <si>
    <t>825-10</t>
  </si>
  <si>
    <t>204:1160</t>
  </si>
  <si>
    <t>826-10</t>
  </si>
  <si>
    <t>300:58638</t>
  </si>
  <si>
    <t>204:729</t>
  </si>
  <si>
    <t>827-10</t>
  </si>
  <si>
    <t>828-10</t>
  </si>
  <si>
    <t>204:677</t>
  </si>
  <si>
    <t>829-10</t>
  </si>
  <si>
    <t>204:1020</t>
  </si>
  <si>
    <t>300:58975</t>
  </si>
  <si>
    <t>830-10</t>
  </si>
  <si>
    <t>300:58656</t>
  </si>
  <si>
    <t>204:663</t>
  </si>
  <si>
    <t>831-10</t>
  </si>
  <si>
    <t>832-10</t>
  </si>
  <si>
    <t>300:58589</t>
  </si>
  <si>
    <t>204:698</t>
  </si>
  <si>
    <t>833-10</t>
  </si>
  <si>
    <t>204:944</t>
  </si>
  <si>
    <t>300:58960</t>
  </si>
  <si>
    <t>834-10</t>
  </si>
  <si>
    <t>300:58653</t>
  </si>
  <si>
    <t>204:654</t>
  </si>
  <si>
    <t>835-10</t>
  </si>
  <si>
    <t>300:58950</t>
  </si>
  <si>
    <t>836-10</t>
  </si>
  <si>
    <t>300:58636</t>
  </si>
  <si>
    <t>204:712</t>
  </si>
  <si>
    <t>837-10</t>
  </si>
  <si>
    <t>204:941</t>
  </si>
  <si>
    <t>300:58965</t>
  </si>
  <si>
    <t>838-10</t>
  </si>
  <si>
    <t>300:58647</t>
  </si>
  <si>
    <t>839-10</t>
  </si>
  <si>
    <t>840-10</t>
  </si>
  <si>
    <t>300:58651</t>
  </si>
  <si>
    <t>204:638</t>
  </si>
  <si>
    <t>841-10</t>
  </si>
  <si>
    <t>204:946</t>
  </si>
  <si>
    <t>300:58877</t>
  </si>
  <si>
    <t>842-10</t>
  </si>
  <si>
    <t>843-10</t>
  </si>
  <si>
    <t>300:58973</t>
  </si>
  <si>
    <t>204:955</t>
  </si>
  <si>
    <t>903-10</t>
  </si>
  <si>
    <t>204:978</t>
  </si>
  <si>
    <t>300:24235</t>
  </si>
  <si>
    <t>904-10</t>
  </si>
  <si>
    <t>300:24389</t>
  </si>
  <si>
    <t>300:24005</t>
  </si>
  <si>
    <t>906-10</t>
  </si>
  <si>
    <t>300:21733</t>
  </si>
  <si>
    <t>LASTDAY-10</t>
  </si>
  <si>
    <t>rtdc.l.rtdc.4010:itc</t>
  </si>
  <si>
    <t>rtdc.l.rtdc.4043:itc</t>
  </si>
  <si>
    <t>rtdc.l.rtdc.4044:itc</t>
  </si>
  <si>
    <t>rtdc.l.rtdc.4009:itc</t>
  </si>
  <si>
    <t>MAELZER</t>
  </si>
  <si>
    <t>STAMBAUGH</t>
  </si>
  <si>
    <t>GRASTON</t>
  </si>
  <si>
    <t>rtdc.l.rtdc.4037:itc</t>
  </si>
  <si>
    <t>MOSES</t>
  </si>
  <si>
    <t>203-10</t>
  </si>
  <si>
    <t>YANAI</t>
  </si>
  <si>
    <t>227-10</t>
  </si>
  <si>
    <t>REBOLETTI</t>
  </si>
  <si>
    <t>229-10</t>
  </si>
  <si>
    <t>226-10</t>
  </si>
  <si>
    <t>845-10</t>
  </si>
  <si>
    <t>ISHMAE</t>
  </si>
  <si>
    <t>184-10</t>
  </si>
  <si>
    <t>188-10</t>
  </si>
  <si>
    <t>190-10</t>
  </si>
  <si>
    <t>191-10</t>
  </si>
  <si>
    <t>192-10</t>
  </si>
  <si>
    <t>199-10</t>
  </si>
  <si>
    <t>201-10</t>
  </si>
  <si>
    <t>213-10</t>
  </si>
  <si>
    <t>218-10</t>
  </si>
  <si>
    <t>224-10</t>
  </si>
  <si>
    <t>OCS Power Outage between 61st and Pena</t>
  </si>
  <si>
    <t xml:space="preserve">baselines for EC: </t>
  </si>
  <si>
    <t>baselines for NWES:</t>
  </si>
  <si>
    <t>M - F = 47 trips</t>
  </si>
  <si>
    <t>Sat - Sun = 33 Trips</t>
  </si>
  <si>
    <t>844-10</t>
  </si>
  <si>
    <t>846-10</t>
  </si>
  <si>
    <t>CRMF 6S was STOP, no requests sent (TMDS issue?)</t>
  </si>
  <si>
    <t>Dispatcher error - trip wasn't available until 38th</t>
  </si>
  <si>
    <t>228-10</t>
  </si>
  <si>
    <t>230-10</t>
  </si>
  <si>
    <t>231-10</t>
  </si>
  <si>
    <t>232-10</t>
  </si>
  <si>
    <t>233-10</t>
  </si>
  <si>
    <t>234-10</t>
  </si>
  <si>
    <t>235-10</t>
  </si>
  <si>
    <t>236-10</t>
  </si>
  <si>
    <t>237-10</t>
  </si>
  <si>
    <t>238-10</t>
  </si>
  <si>
    <t>239-10</t>
  </si>
  <si>
    <t>240-10</t>
  </si>
  <si>
    <t>241-10</t>
  </si>
  <si>
    <t>242-10</t>
  </si>
  <si>
    <t>243-10</t>
  </si>
  <si>
    <t>244-10</t>
  </si>
  <si>
    <t>Did not initialize (OCS Power Outage)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</si>
</sst>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1" fontId="0" fillId="0" borderId="5" xfId="0" applyNumberFormat="1" applyBorder="1" applyAlignment="1">
      <alignment horizontal="left"/>
    </xf>
    <xf numFmtId="169" fontId="0" fillId="0" borderId="5" xfId="0" applyBorder="1" applyAlignment="1">
      <alignment horizontal="left"/>
    </xf>
    <xf numFmtId="167" fontId="0" fillId="0" borderId="5" xfId="0" applyNumberFormat="1" applyBorder="1" applyAlignment="1">
      <alignment horizontal="left"/>
    </xf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2" borderId="13" xfId="0" applyNumberFormat="1" applyFill="1" applyBorder="1"/>
    <xf numFmtId="0" fontId="0" fillId="0" borderId="16" xfId="0" applyNumberFormat="1" applyBorder="1"/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" fontId="0" fillId="0" borderId="5" xfId="0" quotePrefix="1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27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09"/>
  <sheetViews>
    <sheetView tabSelected="1" topLeftCell="A154" zoomScaleNormal="100" workbookViewId="0">
      <selection activeCell="K175" sqref="K175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30" customWidth="1"/>
    <col min="22" max="22" width="5.7109375" style="113" customWidth="1"/>
    <col min="23" max="23" width="3.85546875" style="23" customWidth="1"/>
    <col min="24" max="24" width="5.28515625" style="134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06" customWidth="1"/>
    <col min="32" max="32" width="6.28515625" style="103" customWidth="1"/>
    <col min="33" max="33" width="5.42578125" customWidth="1"/>
    <col min="34" max="34" width="5" style="109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150</v>
      </c>
      <c r="J1" s="46"/>
      <c r="K1" s="31"/>
      <c r="L1" s="31"/>
      <c r="M1" s="45"/>
      <c r="N1" s="46"/>
      <c r="O1" s="2"/>
      <c r="P1" s="2"/>
      <c r="R1" s="43" t="s">
        <v>151</v>
      </c>
      <c r="S1" s="46"/>
      <c r="T1" s="31"/>
      <c r="U1" s="137"/>
      <c r="V1" s="45"/>
      <c r="W1" s="46"/>
      <c r="X1" s="130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87">
        <f>Variables!$A$2</f>
        <v>42592</v>
      </c>
      <c r="J2" s="88"/>
      <c r="K2" s="89"/>
      <c r="L2" s="89"/>
      <c r="M2" s="90" t="s">
        <v>8</v>
      </c>
      <c r="N2" s="91"/>
      <c r="O2" s="92"/>
      <c r="P2" s="2"/>
      <c r="R2" s="87">
        <f>Variables!$A$2</f>
        <v>42592</v>
      </c>
      <c r="S2" s="88"/>
      <c r="T2" s="89"/>
      <c r="U2" s="138"/>
      <c r="V2" s="111" t="s">
        <v>8</v>
      </c>
      <c r="W2" s="91"/>
      <c r="X2" s="131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93" t="s">
        <v>10</v>
      </c>
      <c r="J3" s="94"/>
      <c r="K3" s="95"/>
      <c r="L3" s="95"/>
      <c r="M3" s="47" t="s">
        <v>11</v>
      </c>
      <c r="N3" s="48" t="s">
        <v>12</v>
      </c>
      <c r="O3" s="3" t="s">
        <v>13</v>
      </c>
      <c r="P3" s="2"/>
      <c r="R3" s="93" t="s">
        <v>10</v>
      </c>
      <c r="S3" s="94"/>
      <c r="T3" s="95"/>
      <c r="U3" s="139"/>
      <c r="V3" s="47" t="s">
        <v>11</v>
      </c>
      <c r="W3" s="48" t="s">
        <v>12</v>
      </c>
      <c r="X3" s="132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96" t="s">
        <v>14</v>
      </c>
      <c r="J4" s="60">
        <f>SUM(J5:J7)</f>
        <v>144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96" t="s">
        <v>14</v>
      </c>
      <c r="S4" s="60">
        <f>SUM(S5:S7)</f>
        <v>47</v>
      </c>
      <c r="T4" s="49"/>
      <c r="U4" s="140"/>
      <c r="V4" s="50" t="s">
        <v>15</v>
      </c>
      <c r="W4" s="48" t="s">
        <v>15</v>
      </c>
      <c r="X4" s="132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96" t="s">
        <v>17</v>
      </c>
      <c r="J5" s="60">
        <f>COUNTIFS($N$13:$N$9651,"&gt;0",$AG$13:$AG$9651,I1)</f>
        <v>80</v>
      </c>
      <c r="K5" s="49"/>
      <c r="L5" s="49"/>
      <c r="M5" s="50">
        <f>AVERAGEIFS($N$13:$N$9651,$AG$13:$AG$9651,I1)</f>
        <v>44.72937499920954</v>
      </c>
      <c r="N5" s="48">
        <f t="array" ref="N5">MIN(IF($AG$13:$AG$9651=I1,IF(ISNUMBER($N$13:$N$9651),IF($N$13:$N$9651&gt;0,$N$13:$N$9651))))</f>
        <v>35.566666661761701</v>
      </c>
      <c r="O5" s="3">
        <f t="array" ref="O5">MAX(IF($AG$13:$AG$9651=I1,IF(ISNUMBER($N$13:$N$9651),IF($N$13:$N$9651&gt;0,$N$13:$N$9651))))</f>
        <v>111.08333333744667</v>
      </c>
      <c r="P5" s="2"/>
      <c r="R5" s="96" t="s">
        <v>17</v>
      </c>
      <c r="S5" s="60">
        <f>COUNTIFS($N$13:$N$9651,"&gt;0",$AG$13:$AG$9651,R1)</f>
        <v>44</v>
      </c>
      <c r="T5" s="49"/>
      <c r="U5" s="140"/>
      <c r="V5" s="50">
        <f>AVERAGEIFS($N$13:$N$9651,$AG$13:$AG$9651,R1)</f>
        <v>18.914015151438601</v>
      </c>
      <c r="W5" s="48">
        <f t="array" ref="W5">MIN(IF($AG$13:$AG$9651=R1,IF(ISNUMBER($N$13:$N$9651),IF($N$13:$N$9651&gt;0,$N$13:$N$9651))))</f>
        <v>14.96666666585952</v>
      </c>
      <c r="X5" s="132">
        <f t="array" ref="X5">MAX(IF($AG$13:$AG$9651=R1,IF(ISNUMBER($N$13:$N$9651),IF($N$13:$N$9651&gt;0,$N$13:$N$9651))))</f>
        <v>28.616666671587154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97" t="s">
        <v>43</v>
      </c>
      <c r="J6" s="60">
        <f>COUNT($O$13:$O$351)</f>
        <v>0</v>
      </c>
      <c r="K6" s="49"/>
      <c r="L6" s="49"/>
      <c r="M6" s="50">
        <f>IFERROR(AVERAGE($O$13:$O$351),0)</f>
        <v>0</v>
      </c>
      <c r="N6" s="48">
        <f>MIN($O$13:$O$351)</f>
        <v>0</v>
      </c>
      <c r="O6" s="3">
        <f>MAX($O$13:$O$351)</f>
        <v>0</v>
      </c>
      <c r="P6" s="2"/>
      <c r="R6" s="97" t="s">
        <v>43</v>
      </c>
      <c r="S6" s="60">
        <f>COUNT($O$13:$O$351)</f>
        <v>0</v>
      </c>
      <c r="T6" s="49"/>
      <c r="U6" s="140"/>
      <c r="V6" s="50">
        <f>IFERROR(AVERAGE($O$13:$O$351),0)</f>
        <v>0</v>
      </c>
      <c r="W6" s="48">
        <f>MIN($O$13:$O$351)</f>
        <v>0</v>
      </c>
      <c r="X6" s="132">
        <f>MAX($O$13:$O$351)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98" t="s">
        <v>9</v>
      </c>
      <c r="J7" s="60">
        <f>COUNTIFS($P$13:$P$9651,"&gt;0",$AG$13:$AG$9651,I1)</f>
        <v>64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98" t="s">
        <v>9</v>
      </c>
      <c r="S7" s="60">
        <f>COUNTIFS($P$13:$P$9651,"&gt;0",$AG$13:$AG$9651,R1)</f>
        <v>3</v>
      </c>
      <c r="T7" s="49"/>
      <c r="U7" s="140"/>
      <c r="V7" s="50" t="s">
        <v>15</v>
      </c>
      <c r="W7" s="48" t="s">
        <v>15</v>
      </c>
      <c r="X7" s="132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96" t="s">
        <v>16</v>
      </c>
      <c r="J8" s="60">
        <f>J5</f>
        <v>80</v>
      </c>
      <c r="K8" s="49"/>
      <c r="L8" s="49"/>
      <c r="M8" s="50">
        <f>M5</f>
        <v>44.72937499920954</v>
      </c>
      <c r="N8" s="48">
        <f>N5</f>
        <v>35.566666661761701</v>
      </c>
      <c r="O8" s="3">
        <f>O5</f>
        <v>111.08333333744667</v>
      </c>
      <c r="P8" s="2"/>
      <c r="R8" s="96" t="s">
        <v>16</v>
      </c>
      <c r="S8" s="60">
        <f>S5</f>
        <v>44</v>
      </c>
      <c r="T8" s="49"/>
      <c r="U8" s="140"/>
      <c r="V8" s="50">
        <f>V5</f>
        <v>18.914015151438601</v>
      </c>
      <c r="W8" s="48">
        <f>W5</f>
        <v>14.96666666585952</v>
      </c>
      <c r="X8" s="132">
        <f>X5</f>
        <v>28.616666671587154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96" t="s">
        <v>19</v>
      </c>
      <c r="J9" s="74">
        <f>J8/J4</f>
        <v>0.55555555555555558</v>
      </c>
      <c r="K9" s="51"/>
      <c r="L9" s="51"/>
      <c r="M9" s="99"/>
      <c r="N9" s="46"/>
      <c r="O9" s="100"/>
      <c r="P9" s="2"/>
      <c r="R9" s="96" t="s">
        <v>19</v>
      </c>
      <c r="S9" s="74">
        <f>S8/S4</f>
        <v>0.93617021276595747</v>
      </c>
      <c r="T9" s="51"/>
      <c r="U9" s="137"/>
      <c r="V9" s="99"/>
      <c r="W9" s="46"/>
      <c r="X9" s="133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30"/>
      <c r="V10" s="112"/>
      <c r="W10" s="23"/>
      <c r="X10" s="134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52" t="str">
        <f>"Eagle P3 System Performance - "&amp;TEXT(Variables!A2,"yyyy-mm-dd")</f>
        <v>Eagle P3 System Performance - 2016-08-10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S11" s="80">
        <f>AVERAGE(S13:S121)</f>
        <v>0.87885802469135799</v>
      </c>
      <c r="V11" s="112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2" t="s">
        <v>61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76</v>
      </c>
      <c r="T12" s="59" t="s">
        <v>77</v>
      </c>
      <c r="U12" s="141" t="s">
        <v>78</v>
      </c>
      <c r="V12" s="114" t="s">
        <v>45</v>
      </c>
      <c r="W12" s="56" t="s">
        <v>23</v>
      </c>
      <c r="X12" s="135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107</v>
      </c>
      <c r="AE12" s="107" t="s">
        <v>114</v>
      </c>
      <c r="AF12" s="104" t="s">
        <v>119</v>
      </c>
      <c r="AG12" s="4" t="s">
        <v>152</v>
      </c>
      <c r="AH12" s="110" t="s">
        <v>160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305</v>
      </c>
      <c r="B13" s="7">
        <v>4020</v>
      </c>
      <c r="C13" s="25" t="s">
        <v>137</v>
      </c>
      <c r="D13" s="25" t="s">
        <v>306</v>
      </c>
      <c r="E13" s="16">
        <v>42592.129305555558</v>
      </c>
      <c r="F13" s="16">
        <v>42592.130277777775</v>
      </c>
      <c r="G13" s="7">
        <v>1</v>
      </c>
      <c r="H13" s="16" t="s">
        <v>131</v>
      </c>
      <c r="I13" s="16">
        <v>42592.161585648151</v>
      </c>
      <c r="J13" s="7">
        <v>0</v>
      </c>
      <c r="K13" s="25" t="str">
        <f t="shared" ref="K13:K44" si="0">IF(ISEVEN(B13),(B13-1)&amp;"/"&amp;B13,B13&amp;"/"&amp;(B13+1))</f>
        <v>4019/4020</v>
      </c>
      <c r="L13" s="25" t="str">
        <f>VLOOKUP(A13,'Trips&amp;Operators'!$C$1:$E$10000,3,FALSE)</f>
        <v>MAELZER</v>
      </c>
      <c r="M13" s="6">
        <f t="shared" ref="M13:M44" si="1">I13-F13</f>
        <v>3.1307870376622304E-2</v>
      </c>
      <c r="N13" s="7">
        <f t="shared" ref="N13:N44" si="2">24*60*SUM($M13:$M13)</f>
        <v>45.083333342336118</v>
      </c>
      <c r="O13" s="7"/>
      <c r="P13" s="7"/>
      <c r="Q13" s="26"/>
      <c r="R13" s="26"/>
      <c r="S13" s="38">
        <f t="shared" ref="S13:S44" si="3">SUM(U13:U13)/IF(AG13="EC",12,1)</f>
        <v>1</v>
      </c>
      <c r="T13" s="55" t="str">
        <f t="shared" ref="T13:T44" si="4">IF(ISEVEN(LEFT(AD13,4)),"Southbound","NorthBound")</f>
        <v>NorthBound</v>
      </c>
      <c r="U13" s="14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5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https://search-rtdc-monitor-bjffxe2xuh6vdkpspy63sjmuny.us-east-1.es.amazonaws.com/_plugin/kibana/#/discover/Steve-Slow-Train-Analysis-(2080s-and-2083s)?_g=(refreshInterval:(display:Off,section:0,value:0),time:(from:'2016-08-10 02:06:12-0600',mode:absolute,to:'2016-08-10 04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3" s="57" t="str">
        <f t="shared" ref="W13:W44" si="6">IF(AA13&lt;IF(AG13="EC",23,5.65),"Y","N")</f>
        <v>N</v>
      </c>
      <c r="X13" s="136" t="e">
        <f t="shared" ref="X13:X44" si="7">VALUE(LEFT(AD13,4))-VALUE(LEFT(AD12,4))</f>
        <v>#VALUE!</v>
      </c>
      <c r="Y13" s="72">
        <f t="shared" ref="Y13:Y44" si="8">RIGHT(D13,LEN(D13)-4)/10000</f>
        <v>7.0400000000000004E-2</v>
      </c>
      <c r="Z13" s="72">
        <f t="shared" ref="Z13:Z44" si="9">RIGHT(H13,LEN(H13)-4)/10000</f>
        <v>23.3293</v>
      </c>
      <c r="AA13" s="72">
        <f t="shared" ref="AA13:AA44" si="10">ABS(Z13-Y13)</f>
        <v>23.258900000000001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 t="shared" ref="AD13:AD44" si="11">IF(LEN(A13)=6,"0"&amp;A13,A13)</f>
        <v>0101-10</v>
      </c>
      <c r="AE13" s="108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</c>
      <c r="AF13" s="105" t="str">
        <f t="shared" ref="AF13:AF44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/stypes="*4020*20160810*" /stext=" 09:.+((SYSTEM_STATE.+slice.+state.+changed )|(ment ac)|(system.+state.+changed )|(\|lc)|(penalty)|(\[timeout)|(PRM\|1\|D)|(kpr)|(kdp))" /e /r /s</v>
      </c>
      <c r="AG13" s="1" t="str">
        <f t="shared" ref="AG13:AG44" si="14">IF(VALUE(LEFT(AD13,2))&lt;=2,"EC",IF(OR(VALUE(LEFT(AD13,2))=8,VALUE(LEFT(AD13,2))=18),"NW","Other"))</f>
        <v>EC</v>
      </c>
      <c r="AH13" s="109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101-10 --locoid 4020 --swversion DE.1.0.7.0 --startMP 204:704 --initTime 2016-08-10T03:06:12 --startdatetime 2016-08-10T03:07:36 --delay 1 --endMP 204:233293 --enddatetime 2016-08-10T03:52:41 --enforcementcount 0</v>
      </c>
    </row>
    <row r="14" spans="1:91" s="1" customFormat="1" x14ac:dyDescent="0.25">
      <c r="A14" s="42" t="s">
        <v>307</v>
      </c>
      <c r="B14" s="7">
        <v>4010</v>
      </c>
      <c r="C14" s="25" t="s">
        <v>137</v>
      </c>
      <c r="D14" s="25" t="s">
        <v>308</v>
      </c>
      <c r="E14" s="16">
        <v>42592.170729166668</v>
      </c>
      <c r="F14" s="16">
        <v>42592.171655092592</v>
      </c>
      <c r="G14" s="7">
        <v>1</v>
      </c>
      <c r="H14" s="16" t="s">
        <v>309</v>
      </c>
      <c r="I14" s="16">
        <v>42592.203194444446</v>
      </c>
      <c r="J14" s="7">
        <v>0</v>
      </c>
      <c r="K14" s="25" t="str">
        <f t="shared" si="0"/>
        <v>4009/4010</v>
      </c>
      <c r="L14" s="25" t="str">
        <f>VLOOKUP(A14,'Trips&amp;Operators'!$C$1:$E$10000,3,FALSE)</f>
        <v>MAELZER</v>
      </c>
      <c r="M14" s="6">
        <f t="shared" si="1"/>
        <v>3.1539351854007691E-2</v>
      </c>
      <c r="N14" s="7">
        <f t="shared" si="2"/>
        <v>45.416666669771075</v>
      </c>
      <c r="O14" s="7"/>
      <c r="P14" s="7"/>
      <c r="Q14" s="26"/>
      <c r="R14" s="26"/>
      <c r="S14" s="38">
        <f t="shared" si="3"/>
        <v>1</v>
      </c>
      <c r="T14" s="55" t="str">
        <f t="shared" si="4"/>
        <v>Southbound</v>
      </c>
      <c r="U14" s="14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03:05:51-0600',mode:absolute,to:'2016-08-10 05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4" s="57" t="str">
        <f t="shared" si="6"/>
        <v>N</v>
      </c>
      <c r="X14" s="136">
        <f t="shared" si="7"/>
        <v>1</v>
      </c>
      <c r="Y14" s="72">
        <f t="shared" si="8"/>
        <v>23.265599999999999</v>
      </c>
      <c r="Z14" s="72">
        <f t="shared" si="9"/>
        <v>1.09E-2</v>
      </c>
      <c r="AA14" s="72">
        <f t="shared" si="10"/>
        <v>23.2547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 t="shared" si="11"/>
        <v>0102-10</v>
      </c>
      <c r="AE14" s="108" t="str">
        <f t="shared" si="12"/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AF14" s="105" t="str">
        <f t="shared" si="13"/>
        <v>"C:\Program Files (x86)\AstroGrep\AstroGrep.exe" /spath="%USERPROFILE%\AppData\Local\Temp\OnboardLogs" /stypes="*4010*20160810*"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9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102-10 --locoid 4010 --swversion DE.1.0.7.0 --startMP 204:232656 --initTime 2016-08-10T04:05:51 --startdatetime 2016-08-10T04:07:11 --delay 1 --endMP 204:109 --enddatetime 2016-08-10T04:52:36 --enforcementcount 0</v>
      </c>
    </row>
    <row r="15" spans="1:91" s="1" customFormat="1" x14ac:dyDescent="0.25">
      <c r="A15" s="42" t="s">
        <v>310</v>
      </c>
      <c r="B15" s="7">
        <v>4016</v>
      </c>
      <c r="C15" s="25" t="s">
        <v>137</v>
      </c>
      <c r="D15" s="25" t="s">
        <v>286</v>
      </c>
      <c r="E15" s="16">
        <v>42592.152314814812</v>
      </c>
      <c r="F15" s="16">
        <v>42592.153645833336</v>
      </c>
      <c r="G15" s="7">
        <v>1</v>
      </c>
      <c r="H15" s="16" t="s">
        <v>311</v>
      </c>
      <c r="I15" s="16">
        <v>42592.182974537034</v>
      </c>
      <c r="J15" s="7">
        <v>1</v>
      </c>
      <c r="K15" s="25" t="str">
        <f t="shared" si="0"/>
        <v>4015/4016</v>
      </c>
      <c r="L15" s="25" t="str">
        <f>VLOOKUP(A15,'Trips&amp;Operators'!$C$1:$E$10000,3,FALSE)</f>
        <v>ACKERMAN</v>
      </c>
      <c r="M15" s="6">
        <f t="shared" si="1"/>
        <v>2.9328703698411118E-2</v>
      </c>
      <c r="N15" s="7">
        <f t="shared" si="2"/>
        <v>42.23333332571201</v>
      </c>
      <c r="O15" s="7"/>
      <c r="P15" s="7"/>
      <c r="Q15" s="26"/>
      <c r="R15" s="26"/>
      <c r="S15" s="38">
        <f t="shared" si="3"/>
        <v>1</v>
      </c>
      <c r="T15" s="55" t="str">
        <f t="shared" si="4"/>
        <v>NorthBound</v>
      </c>
      <c r="U15" s="14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02:39:20-0600',mode:absolute,to:'2016-08-10 05:23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5" s="57" t="str">
        <f t="shared" si="6"/>
        <v>N</v>
      </c>
      <c r="X15" s="136">
        <f t="shared" si="7"/>
        <v>1</v>
      </c>
      <c r="Y15" s="72">
        <f t="shared" si="8"/>
        <v>6.5699999999999995E-2</v>
      </c>
      <c r="Z15" s="72">
        <f t="shared" si="9"/>
        <v>23.334499999999998</v>
      </c>
      <c r="AA15" s="72">
        <f t="shared" si="10"/>
        <v>23.268799999999999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si="11"/>
        <v>0103-10</v>
      </c>
      <c r="AE15" s="108" t="str">
        <f t="shared" si="12"/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15" s="105" t="str">
        <f t="shared" si="13"/>
        <v>"C:\Program Files (x86)\AstroGrep\AstroGrep.exe" /spath="%USERPROFILE%\AppData\Local\Temp\OnboardLogs" /stypes="*4016*20160810*"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9" t="str">
        <f t="shared" si="16"/>
        <v>"%USERPROFILE%\Documents\GitHub\eaglep3\Utilities\RefineRTDCRunTimes.py" --tripid 103-10 --locoid 4016 --swversion DE.1.0.7.0 --startMP 204:657 --initTime 2016-08-10T03:39:20 --startdatetime 2016-08-10T03:41:15 --delay 1 --endMP 204:233345 --enddatetime 2016-08-10T04:23:29 --enforcementcount 1</v>
      </c>
    </row>
    <row r="16" spans="1:91" s="1" customFormat="1" x14ac:dyDescent="0.25">
      <c r="A16" s="42" t="s">
        <v>312</v>
      </c>
      <c r="B16" s="7">
        <v>4030</v>
      </c>
      <c r="C16" s="25" t="s">
        <v>137</v>
      </c>
      <c r="D16" s="25" t="s">
        <v>313</v>
      </c>
      <c r="E16" s="16">
        <v>42592.192569444444</v>
      </c>
      <c r="F16" s="16">
        <v>42592.193252314813</v>
      </c>
      <c r="G16" s="7">
        <v>0</v>
      </c>
      <c r="H16" s="16" t="s">
        <v>314</v>
      </c>
      <c r="I16" s="16">
        <v>42592.224444444444</v>
      </c>
      <c r="J16" s="7">
        <v>1</v>
      </c>
      <c r="K16" s="25" t="str">
        <f t="shared" si="0"/>
        <v>4029/4030</v>
      </c>
      <c r="L16" s="25" t="str">
        <f>VLOOKUP(A16,'Trips&amp;Operators'!$C$1:$E$10000,3,FALSE)</f>
        <v>ACKERMAN</v>
      </c>
      <c r="M16" s="6">
        <f t="shared" si="1"/>
        <v>3.1192129630653653E-2</v>
      </c>
      <c r="N16" s="7">
        <f t="shared" si="2"/>
        <v>44.916666668141261</v>
      </c>
      <c r="O16" s="7"/>
      <c r="P16" s="7"/>
      <c r="Q16" s="26"/>
      <c r="R16" s="26"/>
      <c r="S16" s="38">
        <f t="shared" si="3"/>
        <v>1</v>
      </c>
      <c r="T16" s="55" t="str">
        <f t="shared" si="4"/>
        <v>Southbound</v>
      </c>
      <c r="U16" s="14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03:37:18-0600',mode:absolute,to:'2016-08-10 06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6" s="57" t="str">
        <f t="shared" si="6"/>
        <v>N</v>
      </c>
      <c r="X16" s="136">
        <f t="shared" si="7"/>
        <v>1</v>
      </c>
      <c r="Y16" s="72">
        <f t="shared" si="8"/>
        <v>23.272300000000001</v>
      </c>
      <c r="Z16" s="72">
        <f t="shared" si="9"/>
        <v>1.6299999999999999E-2</v>
      </c>
      <c r="AA16" s="72">
        <f t="shared" si="10"/>
        <v>23.256</v>
      </c>
      <c r="AB16" s="69">
        <f>VLOOKUP(A16,Enforcements!$C$7:$J$24,8,0)</f>
        <v>1</v>
      </c>
      <c r="AC16" s="65" t="str">
        <f>VLOOKUP(A16,Enforcements!$C$7:$E$24,3,0)</f>
        <v>TRACK WARRANT AUTHORITY</v>
      </c>
      <c r="AD16" s="66" t="str">
        <f t="shared" si="11"/>
        <v>0104-10</v>
      </c>
      <c r="AE16" s="108" t="str">
        <f t="shared" si="12"/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AF16" s="105" t="str">
        <f t="shared" si="13"/>
        <v>"C:\Program Files (x86)\AstroGrep\AstroGrep.exe" /spath="%USERPROFILE%\AppData\Local\Temp\OnboardLogs" /stypes="*4030*20160810*"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9" t="str">
        <f t="shared" si="16"/>
        <v>"%USERPROFILE%\Documents\GitHub\eaglep3\Utilities\RefineRTDCRunTimes.py" --tripid 104-10 --locoid 4030 --swversion DE.1.0.7.0 --startMP 204:232723 --initTime 2016-08-10T04:37:18 --startdatetime 2016-08-10T04:38:17 --delay 0 --endMP 204:163 --enddatetime 2016-08-10T05:23:12 --enforcementcount 1</v>
      </c>
    </row>
    <row r="17" spans="1:34" s="1" customFormat="1" x14ac:dyDescent="0.25">
      <c r="A17" s="42" t="s">
        <v>315</v>
      </c>
      <c r="B17" s="7">
        <v>4018</v>
      </c>
      <c r="C17" s="25" t="s">
        <v>137</v>
      </c>
      <c r="D17" s="25" t="s">
        <v>316</v>
      </c>
      <c r="E17" s="16">
        <v>42592.177152777775</v>
      </c>
      <c r="F17" s="16">
        <v>42592.1796875</v>
      </c>
      <c r="G17" s="7">
        <v>3</v>
      </c>
      <c r="H17" s="16" t="s">
        <v>166</v>
      </c>
      <c r="I17" s="16">
        <v>42592.204386574071</v>
      </c>
      <c r="J17" s="7">
        <v>0</v>
      </c>
      <c r="K17" s="25" t="str">
        <f t="shared" si="0"/>
        <v>4017/4018</v>
      </c>
      <c r="L17" s="25" t="str">
        <f>VLOOKUP(A17,'Trips&amp;Operators'!$C$1:$E$10000,3,FALSE)</f>
        <v>STAMBAUGH</v>
      </c>
      <c r="M17" s="6">
        <f t="shared" si="1"/>
        <v>2.4699074070667848E-2</v>
      </c>
      <c r="N17" s="7">
        <f t="shared" si="2"/>
        <v>35.566666661761701</v>
      </c>
      <c r="O17" s="7"/>
      <c r="P17" s="7"/>
      <c r="Q17" s="26"/>
      <c r="R17" s="26"/>
      <c r="S17" s="38">
        <f t="shared" si="3"/>
        <v>1</v>
      </c>
      <c r="T17" s="55" t="str">
        <f t="shared" si="4"/>
        <v>NorthBound</v>
      </c>
      <c r="U17" s="14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03:15:06-0600',mode:absolute,to:'2016-08-10 05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7" s="57" t="str">
        <f t="shared" si="6"/>
        <v>N</v>
      </c>
      <c r="X17" s="136">
        <f t="shared" si="7"/>
        <v>1</v>
      </c>
      <c r="Y17" s="72">
        <f t="shared" si="8"/>
        <v>0.17369999999999999</v>
      </c>
      <c r="Z17" s="72">
        <f t="shared" si="9"/>
        <v>23.3307</v>
      </c>
      <c r="AA17" s="72">
        <f t="shared" si="10"/>
        <v>23.157</v>
      </c>
      <c r="AB17" s="69" t="e">
        <f>VLOOKUP(A17,Enforcements!$C$7:$J$24,8,0)</f>
        <v>#N/A</v>
      </c>
      <c r="AC17" s="65" t="e">
        <f>VLOOKUP(A17,Enforcements!$C$7:$E$24,3,0)</f>
        <v>#N/A</v>
      </c>
      <c r="AD17" s="66" t="str">
        <f t="shared" si="11"/>
        <v>0105-10</v>
      </c>
      <c r="AE17" s="108" t="str">
        <f t="shared" si="12"/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17" s="105" t="str">
        <f t="shared" si="13"/>
        <v>"C:\Program Files (x86)\AstroGrep\AstroGrep.exe" /spath="%USERPROFILE%\AppData\Local\Temp\OnboardLogs" /stypes="*4018*20160810*"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9" t="str">
        <f t="shared" si="16"/>
        <v>"%USERPROFILE%\Documents\GitHub\eaglep3\Utilities\RefineRTDCRunTimes.py" --tripid 105-10 --locoid 4018 --swversion DE.1.0.7.0 --startMP 204:1737 --initTime 2016-08-10T04:15:06 --startdatetime 2016-08-10T04:18:45 --delay 3 --endMP 204:233307 --enddatetime 2016-08-10T04:54:19 --enforcementcount 0</v>
      </c>
    </row>
    <row r="18" spans="1:34" s="1" customFormat="1" x14ac:dyDescent="0.25">
      <c r="A18" s="42" t="s">
        <v>317</v>
      </c>
      <c r="B18" s="7">
        <v>4037</v>
      </c>
      <c r="C18" s="25" t="s">
        <v>137</v>
      </c>
      <c r="D18" s="25" t="s">
        <v>308</v>
      </c>
      <c r="E18" s="16">
        <v>42592.213055555556</v>
      </c>
      <c r="F18" s="16">
        <v>42592.214444444442</v>
      </c>
      <c r="G18" s="7">
        <v>1</v>
      </c>
      <c r="H18" s="16" t="s">
        <v>309</v>
      </c>
      <c r="I18" s="16">
        <v>42592.243217592593</v>
      </c>
      <c r="J18" s="7">
        <v>0</v>
      </c>
      <c r="K18" s="25" t="str">
        <f t="shared" si="0"/>
        <v>4037/4038</v>
      </c>
      <c r="L18" s="25" t="str">
        <f>VLOOKUP(A18,'Trips&amp;Operators'!$C$1:$E$10000,3,FALSE)</f>
        <v>STAMBAUGH</v>
      </c>
      <c r="M18" s="6">
        <f t="shared" si="1"/>
        <v>2.8773148151230998E-2</v>
      </c>
      <c r="N18" s="7">
        <f t="shared" si="2"/>
        <v>41.433333337772638</v>
      </c>
      <c r="O18" s="7"/>
      <c r="P18" s="7"/>
      <c r="Q18" s="26"/>
      <c r="R18" s="26"/>
      <c r="S18" s="38">
        <f t="shared" si="3"/>
        <v>1</v>
      </c>
      <c r="T18" s="55" t="str">
        <f t="shared" si="4"/>
        <v>Southbound</v>
      </c>
      <c r="U18" s="14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04:06:48-0600',mode:absolute,to:'2016-08-10 06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8" s="57" t="str">
        <f t="shared" si="6"/>
        <v>N</v>
      </c>
      <c r="X18" s="136">
        <f t="shared" si="7"/>
        <v>1</v>
      </c>
      <c r="Y18" s="72">
        <f t="shared" si="8"/>
        <v>23.265599999999999</v>
      </c>
      <c r="Z18" s="72">
        <f t="shared" si="9"/>
        <v>1.09E-2</v>
      </c>
      <c r="AA18" s="72">
        <f t="shared" si="10"/>
        <v>23.2547</v>
      </c>
      <c r="AB18" s="69" t="e">
        <f>VLOOKUP(A18,Enforcements!$C$7:$J$24,8,0)</f>
        <v>#N/A</v>
      </c>
      <c r="AC18" s="65" t="e">
        <f>VLOOKUP(A18,Enforcements!$C$7:$E$24,3,0)</f>
        <v>#N/A</v>
      </c>
      <c r="AD18" s="66" t="str">
        <f t="shared" si="11"/>
        <v>0106-10</v>
      </c>
      <c r="AE18" s="108" t="str">
        <f t="shared" si="12"/>
        <v>aws s3 cp s3://rtdc.mdm.uploadarchive/RTDC4037/2016-08-10/ "%USERPROFILE%\AppData\Local\Temp\OnboardLogs"\RTDC4037\2016-08-10 --recursive &amp; "%USERPROFILE%\Documents\GitHub\mrs-test-scripts\Headless Mode &amp; Sideloading\WalkAndUnGZ.bat" "%USERPROFILE%\AppData\Local\Temp\OnboardLogs"\RTDC4037\2016-08-10 &amp; 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</v>
      </c>
      <c r="AF18" s="105" t="str">
        <f t="shared" si="13"/>
        <v>"C:\Program Files (x86)\AstroGrep\AstroGrep.exe" /spath="%USERPROFILE%\AppData\Local\Temp\OnboardLogs" /stypes="*4037*20160810*"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9" t="str">
        <f t="shared" si="16"/>
        <v>"%USERPROFILE%\Documents\GitHub\eaglep3\Utilities\RefineRTDCRunTimes.py" --tripid 106-10 --locoid 4037 --swversion DE.1.0.7.0 --startMP 204:232656 --initTime 2016-08-10T05:06:48 --startdatetime 2016-08-10T05:08:48 --delay 1 --endMP 204:109 --enddatetime 2016-08-10T05:50:14 --enforcementcount 0</v>
      </c>
    </row>
    <row r="19" spans="1:34" s="1" customFormat="1" x14ac:dyDescent="0.25">
      <c r="A19" s="42" t="s">
        <v>318</v>
      </c>
      <c r="B19" s="7">
        <v>4007</v>
      </c>
      <c r="C19" s="25" t="s">
        <v>137</v>
      </c>
      <c r="D19" s="25" t="s">
        <v>252</v>
      </c>
      <c r="E19" s="16">
        <v>42592.184664351851</v>
      </c>
      <c r="F19" s="16">
        <v>42592.185567129629</v>
      </c>
      <c r="G19" s="7">
        <v>1</v>
      </c>
      <c r="H19" s="16" t="s">
        <v>257</v>
      </c>
      <c r="I19" s="16">
        <v>42592.213402777779</v>
      </c>
      <c r="J19" s="7">
        <v>0</v>
      </c>
      <c r="K19" s="25" t="str">
        <f t="shared" si="0"/>
        <v>4007/4008</v>
      </c>
      <c r="L19" s="25" t="str">
        <f>VLOOKUP(A19,'Trips&amp;Operators'!$C$1:$E$10000,3,FALSE)</f>
        <v>SPECTOR</v>
      </c>
      <c r="M19" s="6">
        <f t="shared" si="1"/>
        <v>2.7835648150357883E-2</v>
      </c>
      <c r="N19" s="7">
        <f t="shared" si="2"/>
        <v>40.083333336515352</v>
      </c>
      <c r="O19" s="7"/>
      <c r="P19" s="7"/>
      <c r="Q19" s="26"/>
      <c r="R19" s="26"/>
      <c r="S19" s="38">
        <f t="shared" si="3"/>
        <v>1</v>
      </c>
      <c r="T19" s="55" t="str">
        <f t="shared" si="4"/>
        <v>NorthBound</v>
      </c>
      <c r="U19" s="14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03:25:55-0600',mode:absolute,to:'2016-08-10 06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9" s="57" t="str">
        <f t="shared" si="6"/>
        <v>N</v>
      </c>
      <c r="X19" s="136">
        <f t="shared" si="7"/>
        <v>1</v>
      </c>
      <c r="Y19" s="72">
        <f t="shared" si="8"/>
        <v>4.6699999999999998E-2</v>
      </c>
      <c r="Z19" s="72">
        <f t="shared" si="9"/>
        <v>23.3308</v>
      </c>
      <c r="AA19" s="72">
        <f t="shared" si="10"/>
        <v>23.284099999999999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11"/>
        <v>0107-10</v>
      </c>
      <c r="AE19" s="108" t="str">
        <f t="shared" si="12"/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AF19" s="105" t="str">
        <f t="shared" si="13"/>
        <v>"C:\Program Files (x86)\AstroGrep\AstroGrep.exe" /spath="%USERPROFILE%\AppData\Local\Temp\OnboardLogs" /stypes="*4007*20160810*"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9" t="str">
        <f t="shared" si="16"/>
        <v>"%USERPROFILE%\Documents\GitHub\eaglep3\Utilities\RefineRTDCRunTimes.py" --tripid 107-10 --locoid 4007 --swversion DE.1.0.7.0 --startMP 204:467 --initTime 2016-08-10T04:25:55 --startdatetime 2016-08-10T04:27:13 --delay 1 --endMP 204:233308 --enddatetime 2016-08-10T05:07:18 --enforcementcount 0</v>
      </c>
    </row>
    <row r="20" spans="1:34" s="1" customFormat="1" x14ac:dyDescent="0.25">
      <c r="A20" s="42" t="s">
        <v>319</v>
      </c>
      <c r="B20" s="7">
        <v>4008</v>
      </c>
      <c r="C20" s="25" t="s">
        <v>137</v>
      </c>
      <c r="D20" s="25" t="s">
        <v>169</v>
      </c>
      <c r="E20" s="16">
        <v>42592.219155092593</v>
      </c>
      <c r="F20" s="16">
        <v>42592.220138888886</v>
      </c>
      <c r="G20" s="7">
        <v>1</v>
      </c>
      <c r="H20" s="16" t="s">
        <v>126</v>
      </c>
      <c r="I20" s="16">
        <v>42592.252893518518</v>
      </c>
      <c r="J20" s="7">
        <v>0</v>
      </c>
      <c r="K20" s="25" t="str">
        <f t="shared" si="0"/>
        <v>4007/4008</v>
      </c>
      <c r="L20" s="25" t="str">
        <f>VLOOKUP(A20,'Trips&amp;Operators'!$C$1:$E$10000,3,FALSE)</f>
        <v>SPECTOR</v>
      </c>
      <c r="M20" s="6">
        <f t="shared" si="1"/>
        <v>3.2754629632108845E-2</v>
      </c>
      <c r="N20" s="7">
        <f t="shared" si="2"/>
        <v>47.166666670236737</v>
      </c>
      <c r="O20" s="7"/>
      <c r="P20" s="7"/>
      <c r="Q20" s="26"/>
      <c r="R20" s="26"/>
      <c r="S20" s="38">
        <f t="shared" si="3"/>
        <v>1</v>
      </c>
      <c r="T20" s="55" t="str">
        <f t="shared" si="4"/>
        <v>Southbound</v>
      </c>
      <c r="U20" s="14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04:15:35-0600',mode:absolute,to:'2016-08-10 07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0" s="57" t="str">
        <f t="shared" si="6"/>
        <v>N</v>
      </c>
      <c r="X20" s="136">
        <f t="shared" si="7"/>
        <v>1</v>
      </c>
      <c r="Y20" s="72">
        <f t="shared" si="8"/>
        <v>23.2989</v>
      </c>
      <c r="Z20" s="72">
        <f t="shared" si="9"/>
        <v>1.4999999999999999E-2</v>
      </c>
      <c r="AA20" s="72">
        <f t="shared" si="10"/>
        <v>23.283899999999999</v>
      </c>
      <c r="AB20" s="69" t="e">
        <f>VLOOKUP(A20,Enforcements!$C$7:$J$24,8,0)</f>
        <v>#N/A</v>
      </c>
      <c r="AC20" s="65" t="e">
        <f>VLOOKUP(A20,Enforcements!$C$7:$E$24,3,0)</f>
        <v>#N/A</v>
      </c>
      <c r="AD20" s="66" t="str">
        <f t="shared" si="11"/>
        <v>0108-10</v>
      </c>
      <c r="AE20" s="108" t="str">
        <f t="shared" si="12"/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AF20" s="105" t="str">
        <f t="shared" si="13"/>
        <v>"C:\Program Files (x86)\AstroGrep\AstroGrep.exe" /spath="%USERPROFILE%\AppData\Local\Temp\OnboardLogs" /stypes="*4008*20160810*"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9" t="str">
        <f t="shared" si="16"/>
        <v>"%USERPROFILE%\Documents\GitHub\eaglep3\Utilities\RefineRTDCRunTimes.py" --tripid 108-10 --locoid 4008 --swversion DE.1.0.7.0 --startMP 204:232989 --initTime 2016-08-10T05:15:35 --startdatetime 2016-08-10T05:17:00 --delay 1 --endMP 204:150 --enddatetime 2016-08-10T06:04:10 --enforcementcount 0</v>
      </c>
    </row>
    <row r="21" spans="1:34" s="1" customFormat="1" ht="16.5" customHeight="1" x14ac:dyDescent="0.25">
      <c r="A21" s="42" t="s">
        <v>320</v>
      </c>
      <c r="B21" s="7">
        <v>4040</v>
      </c>
      <c r="C21" s="25" t="s">
        <v>137</v>
      </c>
      <c r="D21" s="25" t="s">
        <v>202</v>
      </c>
      <c r="E21" s="16">
        <v>42592.191412037035</v>
      </c>
      <c r="F21" s="16">
        <v>42592.19258101852</v>
      </c>
      <c r="G21" s="7">
        <v>1</v>
      </c>
      <c r="H21" s="16" t="s">
        <v>321</v>
      </c>
      <c r="I21" s="16">
        <v>42592.223310185182</v>
      </c>
      <c r="J21" s="7">
        <v>0</v>
      </c>
      <c r="K21" s="25" t="str">
        <f t="shared" si="0"/>
        <v>4039/4040</v>
      </c>
      <c r="L21" s="25" t="str">
        <f>VLOOKUP(A21,'Trips&amp;Operators'!$C$1:$E$10000,3,FALSE)</f>
        <v>KILLION</v>
      </c>
      <c r="M21" s="6">
        <f t="shared" si="1"/>
        <v>3.0729166661330964E-2</v>
      </c>
      <c r="N21" s="7">
        <f t="shared" si="2"/>
        <v>44.249999992316589</v>
      </c>
      <c r="O21" s="7"/>
      <c r="P21" s="7"/>
      <c r="Q21" s="26"/>
      <c r="R21" s="26"/>
      <c r="S21" s="38">
        <f t="shared" si="3"/>
        <v>1</v>
      </c>
      <c r="T21" s="55" t="str">
        <f t="shared" si="4"/>
        <v>NorthBound</v>
      </c>
      <c r="U21" s="14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03:35:38-0600',mode:absolute,to:'2016-08-10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21" s="57" t="str">
        <f t="shared" si="6"/>
        <v>N</v>
      </c>
      <c r="X21" s="136">
        <f t="shared" si="7"/>
        <v>1</v>
      </c>
      <c r="Y21" s="72">
        <f t="shared" si="8"/>
        <v>4.9099999999999998E-2</v>
      </c>
      <c r="Z21" s="72">
        <f t="shared" si="9"/>
        <v>23.328800000000001</v>
      </c>
      <c r="AA21" s="72">
        <f t="shared" si="10"/>
        <v>23.279700000000002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11"/>
        <v>0109-10</v>
      </c>
      <c r="AE21" s="108" t="str">
        <f t="shared" si="12"/>
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</c>
      <c r="AF21" s="105" t="str">
        <f t="shared" si="13"/>
        <v>"C:\Program Files (x86)\AstroGrep\AstroGrep.exe" /spath="%USERPROFILE%\AppData\Local\Temp\OnboardLogs" /stypes="*4040*20160810*"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9" t="str">
        <f t="shared" si="16"/>
        <v>"%USERPROFILE%\Documents\GitHub\eaglep3\Utilities\RefineRTDCRunTimes.py" --tripid 109-10 --locoid 4040 --swversion DE.1.0.7.0 --startMP 204:491 --initTime 2016-08-10T04:35:38 --startdatetime 2016-08-10T04:37:19 --delay 1 --endMP 204:233288 --enddatetime 2016-08-10T05:21:34 --enforcementcount 0</v>
      </c>
    </row>
    <row r="22" spans="1:34" s="1" customFormat="1" x14ac:dyDescent="0.25">
      <c r="A22" s="42" t="s">
        <v>322</v>
      </c>
      <c r="B22" s="7">
        <v>4039</v>
      </c>
      <c r="C22" s="25" t="s">
        <v>137</v>
      </c>
      <c r="D22" s="25" t="s">
        <v>256</v>
      </c>
      <c r="E22" s="16">
        <v>42592.230266203704</v>
      </c>
      <c r="F22" s="16">
        <v>42592.231377314813</v>
      </c>
      <c r="G22" s="7">
        <v>1</v>
      </c>
      <c r="H22" s="16" t="s">
        <v>179</v>
      </c>
      <c r="I22" s="16">
        <v>42592.264930555553</v>
      </c>
      <c r="J22" s="7">
        <v>0</v>
      </c>
      <c r="K22" s="25" t="str">
        <f t="shared" si="0"/>
        <v>4039/4040</v>
      </c>
      <c r="L22" s="25" t="str">
        <f>VLOOKUP(A22,'Trips&amp;Operators'!$C$1:$E$10000,3,FALSE)</f>
        <v>KILLION</v>
      </c>
      <c r="M22" s="6">
        <f t="shared" si="1"/>
        <v>3.3553240740729962E-2</v>
      </c>
      <c r="N22" s="7">
        <f t="shared" si="2"/>
        <v>48.316666666651145</v>
      </c>
      <c r="O22" s="7"/>
      <c r="P22" s="7"/>
      <c r="Q22" s="26"/>
      <c r="R22" s="26"/>
      <c r="S22" s="38">
        <f t="shared" si="3"/>
        <v>1</v>
      </c>
      <c r="T22" s="55" t="str">
        <f t="shared" si="4"/>
        <v>Southbound</v>
      </c>
      <c r="U22" s="14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04:31:35-0600',mode:absolute,to:'2016-08-10 07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22" s="57" t="str">
        <f t="shared" si="6"/>
        <v>N</v>
      </c>
      <c r="X22" s="136">
        <f t="shared" si="7"/>
        <v>1</v>
      </c>
      <c r="Y22" s="72">
        <f t="shared" si="8"/>
        <v>23.295200000000001</v>
      </c>
      <c r="Z22" s="72">
        <f t="shared" si="9"/>
        <v>1.54E-2</v>
      </c>
      <c r="AA22" s="72">
        <f t="shared" si="10"/>
        <v>23.279800000000002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11"/>
        <v>0110-10</v>
      </c>
      <c r="AE22" s="108" t="str">
        <f t="shared" si="12"/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AF22" s="105" t="str">
        <f t="shared" si="13"/>
        <v>"C:\Program Files (x86)\AstroGrep\AstroGrep.exe" /spath="%USERPROFILE%\AppData\Local\Temp\OnboardLogs" /stypes="*4039*20160810*"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9" t="str">
        <f t="shared" si="16"/>
        <v>"%USERPROFILE%\Documents\GitHub\eaglep3\Utilities\RefineRTDCRunTimes.py" --tripid 110-10 --locoid 4039 --swversion DE.1.0.7.0 --startMP 204:232952 --initTime 2016-08-10T05:31:35 --startdatetime 2016-08-10T05:33:11 --delay 1 --endMP 204:154 --enddatetime 2016-08-10T06:21:30 --enforcementcount 0</v>
      </c>
    </row>
    <row r="23" spans="1:34" s="32" customFormat="1" x14ac:dyDescent="0.25">
      <c r="A23" s="42" t="s">
        <v>323</v>
      </c>
      <c r="B23" s="7">
        <v>4020</v>
      </c>
      <c r="C23" s="25" t="s">
        <v>137</v>
      </c>
      <c r="D23" s="25" t="s">
        <v>324</v>
      </c>
      <c r="E23" s="16">
        <v>42592.20821759259</v>
      </c>
      <c r="F23" s="16">
        <v>42592.209143518521</v>
      </c>
      <c r="G23" s="7">
        <v>1</v>
      </c>
      <c r="H23" s="16" t="s">
        <v>253</v>
      </c>
      <c r="I23" s="16">
        <v>42592.234791666669</v>
      </c>
      <c r="J23" s="7">
        <v>0</v>
      </c>
      <c r="K23" s="25" t="str">
        <f t="shared" si="0"/>
        <v>4019/4020</v>
      </c>
      <c r="L23" s="25" t="str">
        <f>VLOOKUP(A23,'Trips&amp;Operators'!$C$1:$E$10000,3,FALSE)</f>
        <v>ROCHA</v>
      </c>
      <c r="M23" s="6">
        <f t="shared" si="1"/>
        <v>2.5648148148320615E-2</v>
      </c>
      <c r="N23" s="7">
        <f t="shared" si="2"/>
        <v>36.933333333581686</v>
      </c>
      <c r="O23" s="7"/>
      <c r="P23" s="7"/>
      <c r="Q23" s="26"/>
      <c r="R23" s="26"/>
      <c r="S23" s="38">
        <f t="shared" si="3"/>
        <v>1</v>
      </c>
      <c r="T23" s="55" t="str">
        <f t="shared" si="4"/>
        <v>NorthBound</v>
      </c>
      <c r="U23" s="14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03:59:50-0600',mode:absolute,to:'2016-08-10 06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3" s="57" t="str">
        <f t="shared" si="6"/>
        <v>N</v>
      </c>
      <c r="X23" s="136">
        <f t="shared" si="7"/>
        <v>1</v>
      </c>
      <c r="Y23" s="72">
        <f t="shared" si="8"/>
        <v>7.3700000000000002E-2</v>
      </c>
      <c r="Z23" s="72">
        <f t="shared" si="9"/>
        <v>23.333200000000001</v>
      </c>
      <c r="AA23" s="72">
        <f t="shared" si="10"/>
        <v>23.259500000000003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11"/>
        <v>0111-10</v>
      </c>
      <c r="AE23" s="108" t="str">
        <f t="shared" si="12"/>
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</c>
      <c r="AF23" s="105" t="str">
        <f t="shared" si="13"/>
        <v>"C:\Program Files (x86)\AstroGrep\AstroGrep.exe" /spath="%USERPROFILE%\AppData\Local\Temp\OnboardLogs" /stypes="*4020*20160810*"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9" t="str">
        <f t="shared" si="16"/>
        <v>"%USERPROFILE%\Documents\GitHub\eaglep3\Utilities\RefineRTDCRunTimes.py" --tripid 111-10 --locoid 4020 --swversion DE.1.0.7.0 --startMP 204:737 --initTime 2016-08-10T04:59:50 --startdatetime 2016-08-10T05:01:10 --delay 1 --endMP 204:233332 --enddatetime 2016-08-10T05:38:06 --enforcementcount 0</v>
      </c>
    </row>
    <row r="24" spans="1:34" s="1" customFormat="1" x14ac:dyDescent="0.25">
      <c r="A24" s="42" t="s">
        <v>325</v>
      </c>
      <c r="B24" s="7">
        <v>4019</v>
      </c>
      <c r="C24" s="25" t="s">
        <v>137</v>
      </c>
      <c r="D24" s="25" t="s">
        <v>184</v>
      </c>
      <c r="E24" s="16">
        <v>42592.244710648149</v>
      </c>
      <c r="F24" s="16">
        <v>42592.245636574073</v>
      </c>
      <c r="G24" s="7">
        <v>1</v>
      </c>
      <c r="H24" s="16" t="s">
        <v>179</v>
      </c>
      <c r="I24" s="16">
        <v>42592.274722222224</v>
      </c>
      <c r="J24" s="7">
        <v>0</v>
      </c>
      <c r="K24" s="25" t="str">
        <f t="shared" si="0"/>
        <v>4019/4020</v>
      </c>
      <c r="L24" s="25" t="str">
        <f>VLOOKUP(A24,'Trips&amp;Operators'!$C$1:$E$10000,3,FALSE)</f>
        <v>ROCHA</v>
      </c>
      <c r="M24" s="6">
        <f t="shared" si="1"/>
        <v>2.9085648151522037E-2</v>
      </c>
      <c r="N24" s="7">
        <f t="shared" si="2"/>
        <v>41.883333338191733</v>
      </c>
      <c r="O24" s="7"/>
      <c r="P24" s="7"/>
      <c r="Q24" s="26"/>
      <c r="R24" s="26"/>
      <c r="S24" s="38">
        <f t="shared" si="3"/>
        <v>1</v>
      </c>
      <c r="T24" s="55" t="str">
        <f t="shared" si="4"/>
        <v>Southbound</v>
      </c>
      <c r="U24" s="14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04:52:23-0600',mode:absolute,to:'2016-08-10 07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24" s="57" t="str">
        <f t="shared" si="6"/>
        <v>N</v>
      </c>
      <c r="X24" s="136">
        <f t="shared" si="7"/>
        <v>1</v>
      </c>
      <c r="Y24" s="72">
        <f t="shared" si="8"/>
        <v>23.298500000000001</v>
      </c>
      <c r="Z24" s="72">
        <f t="shared" si="9"/>
        <v>1.54E-2</v>
      </c>
      <c r="AA24" s="72">
        <f t="shared" si="10"/>
        <v>23.283100000000001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11"/>
        <v>0112-10</v>
      </c>
      <c r="AE24" s="108" t="str">
        <f t="shared" si="12"/>
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</c>
      <c r="AF24" s="105" t="str">
        <f t="shared" si="13"/>
        <v>"C:\Program Files (x86)\AstroGrep\AstroGrep.exe" /spath="%USERPROFILE%\AppData\Local\Temp\OnboardLogs" /stypes="*4019*20160810*"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9" t="str">
        <f t="shared" si="16"/>
        <v>"%USERPROFILE%\Documents\GitHub\eaglep3\Utilities\RefineRTDCRunTimes.py" --tripid 112-10 --locoid 4019 --swversion DE.1.0.7.0 --startMP 204:232985 --initTime 2016-08-10T05:52:23 --startdatetime 2016-08-10T05:53:43 --delay 1 --endMP 204:154 --enddatetime 2016-08-10T06:35:36 --enforcementcount 0</v>
      </c>
    </row>
    <row r="25" spans="1:34" s="1" customFormat="1" x14ac:dyDescent="0.25">
      <c r="A25" s="42" t="s">
        <v>326</v>
      </c>
      <c r="B25" s="7">
        <v>4009</v>
      </c>
      <c r="C25" s="25" t="s">
        <v>137</v>
      </c>
      <c r="D25" s="25" t="s">
        <v>327</v>
      </c>
      <c r="E25" s="16">
        <v>42592.210625</v>
      </c>
      <c r="F25" s="16">
        <v>42592.211481481485</v>
      </c>
      <c r="G25" s="7">
        <v>1</v>
      </c>
      <c r="H25" s="16" t="s">
        <v>187</v>
      </c>
      <c r="I25" s="16">
        <v>42592.244513888887</v>
      </c>
      <c r="J25" s="7">
        <v>0</v>
      </c>
      <c r="K25" s="25" t="str">
        <f t="shared" si="0"/>
        <v>4009/4010</v>
      </c>
      <c r="L25" s="25" t="str">
        <f>VLOOKUP(A25,'Trips&amp;Operators'!$C$1:$E$10000,3,FALSE)</f>
        <v>MAELZER</v>
      </c>
      <c r="M25" s="6">
        <f t="shared" si="1"/>
        <v>3.3032407402060926E-2</v>
      </c>
      <c r="N25" s="7">
        <f t="shared" si="2"/>
        <v>47.566666658967733</v>
      </c>
      <c r="O25" s="7"/>
      <c r="P25" s="7"/>
      <c r="Q25" s="26"/>
      <c r="R25" s="26"/>
      <c r="S25" s="38">
        <f t="shared" si="3"/>
        <v>1</v>
      </c>
      <c r="T25" s="55" t="str">
        <f t="shared" si="4"/>
        <v>NorthBound</v>
      </c>
      <c r="U25" s="14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04:03:18-0600',mode:absolute,to:'2016-08-10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25" s="57" t="str">
        <f t="shared" si="6"/>
        <v>N</v>
      </c>
      <c r="X25" s="136">
        <f t="shared" si="7"/>
        <v>1</v>
      </c>
      <c r="Y25" s="72">
        <f t="shared" si="8"/>
        <v>0.04</v>
      </c>
      <c r="Z25" s="72">
        <f t="shared" si="9"/>
        <v>23.329899999999999</v>
      </c>
      <c r="AA25" s="72">
        <f t="shared" si="10"/>
        <v>23.289899999999999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11"/>
        <v>0113-10</v>
      </c>
      <c r="AE25" s="108" t="str">
        <f t="shared" si="12"/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AF25" s="105" t="str">
        <f t="shared" si="13"/>
        <v>"C:\Program Files (x86)\AstroGrep\AstroGrep.exe" /spath="%USERPROFILE%\AppData\Local\Temp\OnboardLogs" /stypes="*4009*20160810*"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9" t="str">
        <f t="shared" si="16"/>
        <v>"%USERPROFILE%\Documents\GitHub\eaglep3\Utilities\RefineRTDCRunTimes.py" --tripid 113-10 --locoid 4009 --swversion DE.1.0.7.0 --startMP 204:400 --initTime 2016-08-10T05:03:18 --startdatetime 2016-08-10T05:04:32 --delay 1 --endMP 204:233299 --enddatetime 2016-08-10T05:52:06 --enforcementcount 0</v>
      </c>
    </row>
    <row r="26" spans="1:34" s="1" customFormat="1" ht="14.25" customHeight="1" x14ac:dyDescent="0.25">
      <c r="A26" s="42" t="s">
        <v>328</v>
      </c>
      <c r="B26" s="151">
        <v>4010</v>
      </c>
      <c r="C26" s="25" t="s">
        <v>137</v>
      </c>
      <c r="D26" s="25" t="s">
        <v>329</v>
      </c>
      <c r="E26" s="16">
        <v>42592.250277777777</v>
      </c>
      <c r="F26" s="16">
        <v>42592.251157407409</v>
      </c>
      <c r="G26" s="7">
        <v>1</v>
      </c>
      <c r="H26" s="16" t="s">
        <v>182</v>
      </c>
      <c r="I26" s="16">
        <v>42592.284571759257</v>
      </c>
      <c r="J26" s="7">
        <v>2</v>
      </c>
      <c r="K26" s="25" t="str">
        <f t="shared" si="0"/>
        <v>4009/4010</v>
      </c>
      <c r="L26" s="25" t="str">
        <f>VLOOKUP(A26,'Trips&amp;Operators'!$C$1:$E$10000,3,FALSE)</f>
        <v>MAELZER</v>
      </c>
      <c r="M26" s="6">
        <f t="shared" si="1"/>
        <v>3.3414351848477963E-2</v>
      </c>
      <c r="N26" s="7">
        <f t="shared" si="2"/>
        <v>48.116666661808267</v>
      </c>
      <c r="O26" s="7"/>
      <c r="P26" s="7"/>
      <c r="Q26" s="26"/>
      <c r="R26" s="26"/>
      <c r="S26" s="38">
        <f t="shared" si="3"/>
        <v>1</v>
      </c>
      <c r="T26" s="55" t="str">
        <f t="shared" si="4"/>
        <v>Southbound</v>
      </c>
      <c r="U26" s="14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26" s="57" t="str">
        <f t="shared" si="6"/>
        <v>N</v>
      </c>
      <c r="X26" s="136">
        <f t="shared" si="7"/>
        <v>1</v>
      </c>
      <c r="Y26" s="72">
        <f t="shared" si="8"/>
        <v>23.298999999999999</v>
      </c>
      <c r="Z26" s="72">
        <f t="shared" si="9"/>
        <v>1.41E-2</v>
      </c>
      <c r="AA26" s="72">
        <f t="shared" si="10"/>
        <v>23.2849</v>
      </c>
      <c r="AB26" s="69">
        <f>VLOOKUP(A26,Enforcements!$C$7:$J$24,8,0)</f>
        <v>5457</v>
      </c>
      <c r="AC26" s="65" t="str">
        <f>VLOOKUP(A26,Enforcements!$C$7:$E$24,3,0)</f>
        <v>PERMANENT SPEED RESTRICTION</v>
      </c>
      <c r="AD26" s="66" t="str">
        <f t="shared" si="11"/>
        <v>0114-10</v>
      </c>
      <c r="AE26" s="108" t="str">
        <f t="shared" si="12"/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AF26" s="105" t="str">
        <f t="shared" si="13"/>
        <v>"C:\Program Files (x86)\AstroGrep\AstroGrep.exe" /spath="%USERPROFILE%\AppData\Local\Temp\OnboardLogs" /stypes="*4010*20160810*"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9" t="str">
        <f t="shared" si="16"/>
        <v>"%USERPROFILE%\Documents\GitHub\eaglep3\Utilities\RefineRTDCRunTimes.py" --tripid 114-10 --locoid 4010 --swversion DE.1.0.7.0 --startMP 204:232990 --initTime 2016-08-10T06:00:24 --startdatetime 2016-08-10T06:01:40 --delay 1 --endMP 204:141 --enddatetime 2016-08-10T06:49:47 --enforcementcount 2</v>
      </c>
    </row>
    <row r="27" spans="1:34" s="1" customFormat="1" x14ac:dyDescent="0.25">
      <c r="A27" s="42" t="s">
        <v>330</v>
      </c>
      <c r="B27" s="7">
        <v>4016</v>
      </c>
      <c r="C27" s="25" t="s">
        <v>137</v>
      </c>
      <c r="D27" s="25" t="s">
        <v>331</v>
      </c>
      <c r="E27" s="16">
        <v>42592.229814814818</v>
      </c>
      <c r="F27" s="16">
        <v>42592.230891203704</v>
      </c>
      <c r="G27" s="7">
        <v>1</v>
      </c>
      <c r="H27" s="16" t="s">
        <v>167</v>
      </c>
      <c r="I27" s="16">
        <v>42592.256689814814</v>
      </c>
      <c r="J27" s="7">
        <v>0</v>
      </c>
      <c r="K27" s="25" t="str">
        <f t="shared" si="0"/>
        <v>4015/4016</v>
      </c>
      <c r="L27" s="25" t="str">
        <f>VLOOKUP(A27,'Trips&amp;Operators'!$C$1:$E$10000,3,FALSE)</f>
        <v>BRANNON</v>
      </c>
      <c r="M27" s="6">
        <f t="shared" si="1"/>
        <v>2.5798611110076308E-2</v>
      </c>
      <c r="N27" s="7">
        <f t="shared" si="2"/>
        <v>37.149999998509884</v>
      </c>
      <c r="O27" s="7"/>
      <c r="P27" s="7"/>
      <c r="Q27" s="26"/>
      <c r="R27" s="26"/>
      <c r="S27" s="38">
        <f t="shared" si="3"/>
        <v>1</v>
      </c>
      <c r="T27" s="55" t="str">
        <f t="shared" si="4"/>
        <v>NorthBound</v>
      </c>
      <c r="U27" s="14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04:30:56-0600',mode:absolute,to:'2016-08-10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7" s="57" t="str">
        <f t="shared" si="6"/>
        <v>N</v>
      </c>
      <c r="X27" s="136">
        <f t="shared" si="7"/>
        <v>1</v>
      </c>
      <c r="Y27" s="72">
        <f t="shared" si="8"/>
        <v>7.4800000000000005E-2</v>
      </c>
      <c r="Z27" s="72">
        <f t="shared" si="9"/>
        <v>23.331499999999998</v>
      </c>
      <c r="AA27" s="72">
        <f t="shared" si="10"/>
        <v>23.256699999999999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11"/>
        <v>0115-10</v>
      </c>
      <c r="AE27" s="108" t="str">
        <f t="shared" si="12"/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27" s="105" t="str">
        <f t="shared" si="13"/>
        <v>"C:\Program Files (x86)\AstroGrep\AstroGrep.exe" /spath="%USERPROFILE%\AppData\Local\Temp\OnboardLogs" /stypes="*4016*20160810*"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9" t="str">
        <f t="shared" si="16"/>
        <v>"%USERPROFILE%\Documents\GitHub\eaglep3\Utilities\RefineRTDCRunTimes.py" --tripid 115-10 --locoid 4016 --swversion DE.1.0.7.0 --startMP 204:748 --initTime 2016-08-10T05:30:56 --startdatetime 2016-08-10T05:32:29 --delay 1 --endMP 204:233315 --enddatetime 2016-08-10T06:09:38 --enforcementcount 0</v>
      </c>
    </row>
    <row r="28" spans="1:34" s="1" customFormat="1" x14ac:dyDescent="0.25">
      <c r="A28" s="42" t="s">
        <v>332</v>
      </c>
      <c r="B28" s="7">
        <v>4015</v>
      </c>
      <c r="C28" s="25" t="s">
        <v>137</v>
      </c>
      <c r="D28" s="25" t="s">
        <v>186</v>
      </c>
      <c r="E28" s="16">
        <v>42592.264756944445</v>
      </c>
      <c r="F28" s="16">
        <v>42592.265740740739</v>
      </c>
      <c r="G28" s="7">
        <v>1</v>
      </c>
      <c r="H28" s="16" t="s">
        <v>165</v>
      </c>
      <c r="I28" s="16">
        <v>42592.296157407407</v>
      </c>
      <c r="J28" s="7">
        <v>0</v>
      </c>
      <c r="K28" s="25" t="str">
        <f t="shared" si="0"/>
        <v>4015/4016</v>
      </c>
      <c r="L28" s="25" t="str">
        <f>VLOOKUP(A28,'Trips&amp;Operators'!$C$1:$E$10000,3,FALSE)</f>
        <v>BRANNON</v>
      </c>
      <c r="M28" s="6">
        <f t="shared" si="1"/>
        <v>3.0416666668315884E-2</v>
      </c>
      <c r="N28" s="7">
        <f t="shared" si="2"/>
        <v>43.800000002374873</v>
      </c>
      <c r="O28" s="7"/>
      <c r="P28" s="7"/>
      <c r="Q28" s="26"/>
      <c r="R28" s="26"/>
      <c r="S28" s="38">
        <f t="shared" si="3"/>
        <v>1</v>
      </c>
      <c r="T28" s="55" t="str">
        <f t="shared" si="4"/>
        <v>Southbound</v>
      </c>
      <c r="U28" s="14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05:21:15-0600',mode:absolute,to:'2016-08-10 08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8" s="57" t="str">
        <f t="shared" si="6"/>
        <v>N</v>
      </c>
      <c r="X28" s="136">
        <f t="shared" si="7"/>
        <v>1</v>
      </c>
      <c r="Y28" s="72">
        <f t="shared" si="8"/>
        <v>23.299600000000002</v>
      </c>
      <c r="Z28" s="72">
        <f t="shared" si="9"/>
        <v>1.5800000000000002E-2</v>
      </c>
      <c r="AA28" s="72">
        <f t="shared" si="10"/>
        <v>23.283800000000003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11"/>
        <v>0116-10</v>
      </c>
      <c r="AE28" s="108" t="str">
        <f t="shared" si="12"/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28" s="105" t="str">
        <f t="shared" si="13"/>
        <v>"C:\Program Files (x86)\AstroGrep\AstroGrep.exe" /spath="%USERPROFILE%\AppData\Local\Temp\OnboardLogs" /stypes="*4015*20160810*"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9" t="str">
        <f t="shared" si="16"/>
        <v>"%USERPROFILE%\Documents\GitHub\eaglep3\Utilities\RefineRTDCRunTimes.py" --tripid 116-10 --locoid 4015 --swversion DE.1.0.7.0 --startMP 204:232996 --initTime 2016-08-10T06:21:15 --startdatetime 2016-08-10T06:22:40 --delay 1 --endMP 204:158 --enddatetime 2016-08-10T07:06:28 --enforcementcount 0</v>
      </c>
    </row>
    <row r="29" spans="1:34" s="1" customFormat="1" x14ac:dyDescent="0.25">
      <c r="A29" s="42" t="s">
        <v>333</v>
      </c>
      <c r="B29" s="7">
        <v>4029</v>
      </c>
      <c r="C29" s="25" t="s">
        <v>137</v>
      </c>
      <c r="D29" s="25" t="s">
        <v>334</v>
      </c>
      <c r="E29" s="16">
        <v>42592.233888888892</v>
      </c>
      <c r="F29" s="16">
        <v>42592.23505787037</v>
      </c>
      <c r="G29" s="7">
        <v>1</v>
      </c>
      <c r="H29" s="16" t="s">
        <v>135</v>
      </c>
      <c r="I29" s="16">
        <v>42592.264675925922</v>
      </c>
      <c r="J29" s="7">
        <v>1</v>
      </c>
      <c r="K29" s="25" t="str">
        <f t="shared" si="0"/>
        <v>4029/4030</v>
      </c>
      <c r="L29" s="25" t="str">
        <f>VLOOKUP(A29,'Trips&amp;Operators'!$C$1:$E$10000,3,FALSE)</f>
        <v>ACKERMAN</v>
      </c>
      <c r="M29" s="6">
        <f t="shared" si="1"/>
        <v>2.9618055552418809E-2</v>
      </c>
      <c r="N29" s="7">
        <f t="shared" si="2"/>
        <v>42.649999995483086</v>
      </c>
      <c r="O29" s="7"/>
      <c r="P29" s="7"/>
      <c r="Q29" s="26"/>
      <c r="R29" s="26"/>
      <c r="S29" s="38">
        <f t="shared" si="3"/>
        <v>1</v>
      </c>
      <c r="T29" s="55" t="str">
        <f t="shared" si="4"/>
        <v>NorthBound</v>
      </c>
      <c r="U29" s="14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04:36:48-0600',mode:absolute,to:'2016-08-10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9" s="57" t="str">
        <f t="shared" si="6"/>
        <v>N</v>
      </c>
      <c r="X29" s="136">
        <f t="shared" si="7"/>
        <v>1</v>
      </c>
      <c r="Y29" s="72">
        <f t="shared" si="8"/>
        <v>4.5699999999999998E-2</v>
      </c>
      <c r="Z29" s="72">
        <f t="shared" si="9"/>
        <v>23.329499999999999</v>
      </c>
      <c r="AA29" s="72">
        <f t="shared" si="10"/>
        <v>23.283799999999999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11"/>
        <v>0117-10</v>
      </c>
      <c r="AE29" s="108" t="str">
        <f t="shared" si="12"/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AF29" s="105" t="str">
        <f t="shared" si="13"/>
        <v>"C:\Program Files (x86)\AstroGrep\AstroGrep.exe" /spath="%USERPROFILE%\AppData\Local\Temp\OnboardLogs" /stypes="*4029*20160810*"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9" t="str">
        <f t="shared" si="16"/>
        <v>"%USERPROFILE%\Documents\GitHub\eaglep3\Utilities\RefineRTDCRunTimes.py" --tripid 117-10 --locoid 4029 --swversion DE.1.0.7.0 --startMP 204:457 --initTime 2016-08-10T05:36:48 --startdatetime 2016-08-10T05:38:29 --delay 1 --endMP 204:233295 --enddatetime 2016-08-10T06:21:08 --enforcementcount 1</v>
      </c>
    </row>
    <row r="30" spans="1:34" s="1" customFormat="1" x14ac:dyDescent="0.25">
      <c r="A30" s="42" t="s">
        <v>335</v>
      </c>
      <c r="B30" s="7">
        <v>4030</v>
      </c>
      <c r="C30" s="25" t="s">
        <v>137</v>
      </c>
      <c r="D30" s="25" t="s">
        <v>194</v>
      </c>
      <c r="E30" s="16">
        <v>42592.272581018522</v>
      </c>
      <c r="F30" s="16">
        <v>42592.273587962962</v>
      </c>
      <c r="G30" s="7">
        <v>1</v>
      </c>
      <c r="H30" s="16" t="s">
        <v>177</v>
      </c>
      <c r="I30" s="16">
        <v>42592.307256944441</v>
      </c>
      <c r="J30" s="7">
        <v>0</v>
      </c>
      <c r="K30" s="25" t="str">
        <f t="shared" si="0"/>
        <v>4029/4030</v>
      </c>
      <c r="L30" s="25" t="str">
        <f>VLOOKUP(A30,'Trips&amp;Operators'!$C$1:$E$10000,3,FALSE)</f>
        <v>ACKERMAN</v>
      </c>
      <c r="M30" s="6">
        <f t="shared" si="1"/>
        <v>3.3668981479422655E-2</v>
      </c>
      <c r="N30" s="7">
        <f t="shared" si="2"/>
        <v>48.483333330368623</v>
      </c>
      <c r="O30" s="7"/>
      <c r="P30" s="7"/>
      <c r="Q30" s="26"/>
      <c r="R30" s="26"/>
      <c r="S30" s="38">
        <f t="shared" si="3"/>
        <v>1</v>
      </c>
      <c r="T30" s="55" t="str">
        <f t="shared" si="4"/>
        <v>Southbound</v>
      </c>
      <c r="U30" s="14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05:32:31-0600',mode:absolute,to:'2016-08-10 08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30" s="57" t="str">
        <f t="shared" si="6"/>
        <v>N</v>
      </c>
      <c r="X30" s="136">
        <f t="shared" si="7"/>
        <v>1</v>
      </c>
      <c r="Y30" s="72">
        <f t="shared" si="8"/>
        <v>23.2959</v>
      </c>
      <c r="Z30" s="72">
        <f t="shared" si="9"/>
        <v>1.32E-2</v>
      </c>
      <c r="AA30" s="72">
        <f t="shared" si="10"/>
        <v>23.282699999999998</v>
      </c>
      <c r="AB30" s="69" t="e">
        <f>VLOOKUP(A30,Enforcements!$C$7:$J$24,8,0)</f>
        <v>#N/A</v>
      </c>
      <c r="AC30" s="65" t="e">
        <f>VLOOKUP(A30,Enforcements!$C$7:$E$24,3,0)</f>
        <v>#N/A</v>
      </c>
      <c r="AD30" s="66" t="str">
        <f t="shared" si="11"/>
        <v>0118-10</v>
      </c>
      <c r="AE30" s="108" t="str">
        <f t="shared" si="12"/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AF30" s="105" t="str">
        <f t="shared" si="13"/>
        <v>"C:\Program Files (x86)\AstroGrep\AstroGrep.exe" /spath="%USERPROFILE%\AppData\Local\Temp\OnboardLogs" /stypes="*4030*20160810*"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9" t="str">
        <f t="shared" si="16"/>
        <v>"%USERPROFILE%\Documents\GitHub\eaglep3\Utilities\RefineRTDCRunTimes.py" --tripid 118-10 --locoid 4030 --swversion DE.1.0.7.0 --startMP 204:232959 --initTime 2016-08-10T06:32:31 --startdatetime 2016-08-10T06:33:58 --delay 1 --endMP 204:132 --enddatetime 2016-08-10T07:22:27 --enforcementcount 0</v>
      </c>
    </row>
    <row r="31" spans="1:34" s="1" customFormat="1" x14ac:dyDescent="0.25">
      <c r="A31" s="42" t="s">
        <v>336</v>
      </c>
      <c r="B31" s="7">
        <v>4018</v>
      </c>
      <c r="C31" s="25" t="s">
        <v>137</v>
      </c>
      <c r="D31" s="25" t="s">
        <v>337</v>
      </c>
      <c r="E31" s="16">
        <v>42592.246990740743</v>
      </c>
      <c r="F31" s="16">
        <v>42592.247986111113</v>
      </c>
      <c r="G31" s="7">
        <v>1</v>
      </c>
      <c r="H31" s="16" t="s">
        <v>167</v>
      </c>
      <c r="I31" s="16">
        <v>42592.275150462963</v>
      </c>
      <c r="J31" s="7">
        <v>0</v>
      </c>
      <c r="K31" s="25" t="str">
        <f t="shared" si="0"/>
        <v>4017/4018</v>
      </c>
      <c r="L31" s="25" t="str">
        <f>VLOOKUP(A31,'Trips&amp;Operators'!$C$1:$E$10000,3,FALSE)</f>
        <v>STAMBAUGH</v>
      </c>
      <c r="M31" s="6">
        <f t="shared" si="1"/>
        <v>2.7164351849933155E-2</v>
      </c>
      <c r="N31" s="7">
        <f t="shared" si="2"/>
        <v>39.116666663903743</v>
      </c>
      <c r="O31" s="7"/>
      <c r="P31" s="7"/>
      <c r="Q31" s="26"/>
      <c r="R31" s="26"/>
      <c r="S31" s="38">
        <f t="shared" si="3"/>
        <v>1</v>
      </c>
      <c r="T31" s="55" t="str">
        <f t="shared" si="4"/>
        <v>NorthBound</v>
      </c>
      <c r="U31" s="14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04:55:40-0600',mode:absolute,to:'2016-08-10 07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31" s="57" t="str">
        <f t="shared" si="6"/>
        <v>N</v>
      </c>
      <c r="X31" s="136">
        <f t="shared" si="7"/>
        <v>1</v>
      </c>
      <c r="Y31" s="72">
        <f t="shared" si="8"/>
        <v>7.7899999999999997E-2</v>
      </c>
      <c r="Z31" s="72">
        <f t="shared" si="9"/>
        <v>23.331499999999998</v>
      </c>
      <c r="AA31" s="72">
        <f t="shared" si="10"/>
        <v>23.253599999999999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11"/>
        <v>0119-10</v>
      </c>
      <c r="AE31" s="108" t="str">
        <f t="shared" si="12"/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31" s="105" t="str">
        <f t="shared" si="13"/>
        <v>"C:\Program Files (x86)\AstroGrep\AstroGrep.exe" /spath="%USERPROFILE%\AppData\Local\Temp\OnboardLogs" /stypes="*4018*20160810*"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9" t="str">
        <f t="shared" si="16"/>
        <v>"%USERPROFILE%\Documents\GitHub\eaglep3\Utilities\RefineRTDCRunTimes.py" --tripid 119-10 --locoid 4018 --swversion DE.1.0.7.0 --startMP 204:779 --initTime 2016-08-10T05:55:40 --startdatetime 2016-08-10T05:57:06 --delay 1 --endMP 204:233315 --enddatetime 2016-08-10T06:36:13 --enforcementcount 0</v>
      </c>
    </row>
    <row r="32" spans="1:34" s="1" customFormat="1" x14ac:dyDescent="0.25">
      <c r="A32" s="42" t="s">
        <v>338</v>
      </c>
      <c r="B32" s="7">
        <v>4017</v>
      </c>
      <c r="C32" s="25" t="s">
        <v>137</v>
      </c>
      <c r="D32" s="25" t="s">
        <v>164</v>
      </c>
      <c r="E32" s="16">
        <v>42592.284687500003</v>
      </c>
      <c r="F32" s="16">
        <v>42592.285520833335</v>
      </c>
      <c r="G32" s="7">
        <v>1</v>
      </c>
      <c r="H32" s="16" t="s">
        <v>244</v>
      </c>
      <c r="I32" s="16">
        <v>42592.316493055558</v>
      </c>
      <c r="J32" s="7">
        <v>0</v>
      </c>
      <c r="K32" s="25" t="str">
        <f t="shared" si="0"/>
        <v>4017/4018</v>
      </c>
      <c r="L32" s="25" t="str">
        <f>VLOOKUP(A32,'Trips&amp;Operators'!$C$1:$E$10000,3,FALSE)</f>
        <v>STAMBAUGH</v>
      </c>
      <c r="M32" s="6">
        <f t="shared" si="1"/>
        <v>3.0972222222771961E-2</v>
      </c>
      <c r="N32" s="7">
        <f t="shared" si="2"/>
        <v>44.600000000791624</v>
      </c>
      <c r="O32" s="7"/>
      <c r="P32" s="7"/>
      <c r="Q32" s="26"/>
      <c r="R32" s="26"/>
      <c r="S32" s="38">
        <f t="shared" si="3"/>
        <v>1</v>
      </c>
      <c r="T32" s="55" t="str">
        <f t="shared" si="4"/>
        <v>Southbound</v>
      </c>
      <c r="U32" s="14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05:49:57-0600',mode:absolute,to:'2016-08-10 08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32" s="57" t="str">
        <f t="shared" si="6"/>
        <v>N</v>
      </c>
      <c r="X32" s="136">
        <f t="shared" si="7"/>
        <v>1</v>
      </c>
      <c r="Y32" s="72">
        <f t="shared" si="8"/>
        <v>23.3</v>
      </c>
      <c r="Z32" s="72">
        <f t="shared" si="9"/>
        <v>1.3899999999999999E-2</v>
      </c>
      <c r="AA32" s="72">
        <f t="shared" si="10"/>
        <v>23.286100000000001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11"/>
        <v>0120-10</v>
      </c>
      <c r="AE32" s="108" t="str">
        <f t="shared" si="12"/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AF32" s="105" t="str">
        <f t="shared" si="13"/>
        <v>"C:\Program Files (x86)\AstroGrep\AstroGrep.exe" /spath="%USERPROFILE%\AppData\Local\Temp\OnboardLogs" /stypes="*4017*20160810*"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9" t="str">
        <f t="shared" si="16"/>
        <v>"%USERPROFILE%\Documents\GitHub\eaglep3\Utilities\RefineRTDCRunTimes.py" --tripid 120-10 --locoid 4017 --swversion DE.1.0.7.0 --startMP 204:233000 --initTime 2016-08-10T06:49:57 --startdatetime 2016-08-10T06:51:09 --delay 1 --endMP 204:139 --enddatetime 2016-08-10T07:35:45 --enforcementcount 0</v>
      </c>
    </row>
    <row r="33" spans="1:34" s="1" customFormat="1" x14ac:dyDescent="0.25">
      <c r="A33" s="42" t="s">
        <v>339</v>
      </c>
      <c r="B33" s="7">
        <v>4007</v>
      </c>
      <c r="C33" s="25" t="s">
        <v>137</v>
      </c>
      <c r="D33" s="25" t="s">
        <v>176</v>
      </c>
      <c r="E33" s="16">
        <v>42592.255520833336</v>
      </c>
      <c r="F33" s="16">
        <v>42592.256412037037</v>
      </c>
      <c r="G33" s="7">
        <v>1</v>
      </c>
      <c r="H33" s="16" t="s">
        <v>135</v>
      </c>
      <c r="I33" s="16">
        <v>42592.28769675926</v>
      </c>
      <c r="J33" s="7">
        <v>1</v>
      </c>
      <c r="K33" s="25" t="str">
        <f t="shared" si="0"/>
        <v>4007/4008</v>
      </c>
      <c r="L33" s="25" t="str">
        <f>VLOOKUP(A33,'Trips&amp;Operators'!$C$1:$E$10000,3,FALSE)</f>
        <v>SPECTOR</v>
      </c>
      <c r="M33" s="6">
        <f t="shared" si="1"/>
        <v>3.1284722223063E-2</v>
      </c>
      <c r="N33" s="7">
        <f t="shared" si="2"/>
        <v>45.050000001210719</v>
      </c>
      <c r="O33" s="7"/>
      <c r="P33" s="7"/>
      <c r="Q33" s="26"/>
      <c r="R33" s="26"/>
      <c r="S33" s="38">
        <f t="shared" si="3"/>
        <v>1</v>
      </c>
      <c r="T33" s="55" t="str">
        <f t="shared" si="4"/>
        <v>NorthBound</v>
      </c>
      <c r="U33" s="14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05:07:57-0600',mode:absolute,to:'2016-08-10 07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33" s="57" t="str">
        <f t="shared" si="6"/>
        <v>N</v>
      </c>
      <c r="X33" s="136">
        <f t="shared" si="7"/>
        <v>1</v>
      </c>
      <c r="Y33" s="72">
        <f t="shared" si="8"/>
        <v>4.4900000000000002E-2</v>
      </c>
      <c r="Z33" s="72">
        <f t="shared" si="9"/>
        <v>23.329499999999999</v>
      </c>
      <c r="AA33" s="72">
        <f t="shared" si="10"/>
        <v>23.284600000000001</v>
      </c>
      <c r="AB33" s="69">
        <f>VLOOKUP(A33,Enforcements!$C$7:$J$24,8,0)</f>
        <v>63069</v>
      </c>
      <c r="AC33" s="65" t="str">
        <f>VLOOKUP(A33,Enforcements!$C$7:$E$24,3,0)</f>
        <v>GRADE CROSSING</v>
      </c>
      <c r="AD33" s="66" t="str">
        <f t="shared" si="11"/>
        <v>0121-10</v>
      </c>
      <c r="AE33" s="108" t="str">
        <f t="shared" si="12"/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AF33" s="105" t="str">
        <f t="shared" si="13"/>
        <v>"C:\Program Files (x86)\AstroGrep\AstroGrep.exe" /spath="%USERPROFILE%\AppData\Local\Temp\OnboardLogs" /stypes="*4007*20160810*"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9" t="str">
        <f t="shared" si="16"/>
        <v>"%USERPROFILE%\Documents\GitHub\eaglep3\Utilities\RefineRTDCRunTimes.py" --tripid 121-10 --locoid 4007 --swversion DE.1.0.7.0 --startMP 204:449 --initTime 2016-08-10T06:07:57 --startdatetime 2016-08-10T06:09:14 --delay 1 --endMP 204:233295 --enddatetime 2016-08-10T06:54:17 --enforcementcount 1</v>
      </c>
    </row>
    <row r="34" spans="1:34" s="1" customFormat="1" x14ac:dyDescent="0.25">
      <c r="A34" s="42" t="s">
        <v>340</v>
      </c>
      <c r="B34" s="7">
        <v>4008</v>
      </c>
      <c r="C34" s="25" t="s">
        <v>137</v>
      </c>
      <c r="D34" s="25" t="s">
        <v>230</v>
      </c>
      <c r="E34" s="16">
        <v>42592.293263888889</v>
      </c>
      <c r="F34" s="16">
        <v>42592.294166666667</v>
      </c>
      <c r="G34" s="7">
        <v>1</v>
      </c>
      <c r="H34" s="16" t="s">
        <v>180</v>
      </c>
      <c r="I34" s="16">
        <v>42592.325740740744</v>
      </c>
      <c r="J34" s="7">
        <v>0</v>
      </c>
      <c r="K34" s="25" t="str">
        <f t="shared" si="0"/>
        <v>4007/4008</v>
      </c>
      <c r="L34" s="25" t="str">
        <f>VLOOKUP(A34,'Trips&amp;Operators'!$C$1:$E$10000,3,FALSE)</f>
        <v>SPECTOR</v>
      </c>
      <c r="M34" s="6">
        <f t="shared" si="1"/>
        <v>3.1574074077070691E-2</v>
      </c>
      <c r="N34" s="7">
        <f t="shared" si="2"/>
        <v>45.466666670981795</v>
      </c>
      <c r="O34" s="7"/>
      <c r="P34" s="7"/>
      <c r="Q34" s="26"/>
      <c r="R34" s="26"/>
      <c r="S34" s="38">
        <f t="shared" si="3"/>
        <v>1</v>
      </c>
      <c r="T34" s="55" t="str">
        <f t="shared" si="4"/>
        <v>Southbound</v>
      </c>
      <c r="U34" s="14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06:02:18-0600',mode:absolute,to:'2016-08-10 08:49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34" s="57" t="str">
        <f t="shared" si="6"/>
        <v>N</v>
      </c>
      <c r="X34" s="136">
        <f t="shared" si="7"/>
        <v>1</v>
      </c>
      <c r="Y34" s="72">
        <f t="shared" si="8"/>
        <v>23.298200000000001</v>
      </c>
      <c r="Z34" s="72">
        <f t="shared" si="9"/>
        <v>1.4500000000000001E-2</v>
      </c>
      <c r="AA34" s="72">
        <f t="shared" si="10"/>
        <v>23.2837</v>
      </c>
      <c r="AB34" s="69" t="e">
        <f>VLOOKUP(A34,Enforcements!$C$7:$J$24,8,0)</f>
        <v>#N/A</v>
      </c>
      <c r="AC34" s="65" t="e">
        <f>VLOOKUP(A34,Enforcements!$C$7:$E$24,3,0)</f>
        <v>#N/A</v>
      </c>
      <c r="AD34" s="66" t="str">
        <f t="shared" si="11"/>
        <v>0122-10</v>
      </c>
      <c r="AE34" s="108" t="str">
        <f t="shared" si="12"/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AF34" s="105" t="str">
        <f t="shared" si="13"/>
        <v>"C:\Program Files (x86)\AstroGrep\AstroGrep.exe" /spath="%USERPROFILE%\AppData\Local\Temp\OnboardLogs" /stypes="*4008*20160810*"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9" t="str">
        <f t="shared" si="16"/>
        <v>"%USERPROFILE%\Documents\GitHub\eaglep3\Utilities\RefineRTDCRunTimes.py" --tripid 122-10 --locoid 4008 --swversion DE.1.0.7.0 --startMP 204:232982 --initTime 2016-08-10T07:02:18 --startdatetime 2016-08-10T07:03:36 --delay 1 --endMP 204:145 --enddatetime 2016-08-10T07:49:04 --enforcementcount 0</v>
      </c>
    </row>
    <row r="35" spans="1:34" s="1" customFormat="1" x14ac:dyDescent="0.25">
      <c r="A35" s="42" t="s">
        <v>341</v>
      </c>
      <c r="B35" s="7">
        <v>4040</v>
      </c>
      <c r="C35" s="25" t="s">
        <v>137</v>
      </c>
      <c r="D35" s="25" t="s">
        <v>251</v>
      </c>
      <c r="E35" s="16">
        <v>42592.266238425924</v>
      </c>
      <c r="F35" s="16">
        <v>42592.267500000002</v>
      </c>
      <c r="G35" s="7">
        <v>1</v>
      </c>
      <c r="H35" s="16" t="s">
        <v>254</v>
      </c>
      <c r="I35" s="16">
        <v>42592.296493055554</v>
      </c>
      <c r="J35" s="7">
        <v>0</v>
      </c>
      <c r="K35" s="25" t="str">
        <f t="shared" si="0"/>
        <v>4039/4040</v>
      </c>
      <c r="L35" s="25" t="str">
        <f>VLOOKUP(A35,'Trips&amp;Operators'!$C$1:$E$10000,3,FALSE)</f>
        <v>KILLION</v>
      </c>
      <c r="M35" s="6">
        <f t="shared" si="1"/>
        <v>2.8993055551836733E-2</v>
      </c>
      <c r="N35" s="7">
        <f t="shared" si="2"/>
        <v>41.749999994644895</v>
      </c>
      <c r="O35" s="7"/>
      <c r="P35" s="7"/>
      <c r="Q35" s="26"/>
      <c r="R35" s="26"/>
      <c r="S35" s="38">
        <f t="shared" si="3"/>
        <v>1</v>
      </c>
      <c r="T35" s="55" t="str">
        <f t="shared" si="4"/>
        <v>NorthBound</v>
      </c>
      <c r="U35" s="14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05:23:23-0600',mode:absolute,to:'2016-08-10 08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35" s="57" t="str">
        <f t="shared" si="6"/>
        <v>N</v>
      </c>
      <c r="X35" s="136">
        <f t="shared" si="7"/>
        <v>1</v>
      </c>
      <c r="Y35" s="72">
        <f t="shared" si="8"/>
        <v>4.5100000000000001E-2</v>
      </c>
      <c r="Z35" s="72">
        <f t="shared" si="9"/>
        <v>23.3306</v>
      </c>
      <c r="AA35" s="72">
        <f t="shared" si="10"/>
        <v>23.285499999999999</v>
      </c>
      <c r="AB35" s="69" t="e">
        <f>VLOOKUP(A35,Enforcements!$C$7:$J$24,8,0)</f>
        <v>#N/A</v>
      </c>
      <c r="AC35" s="65" t="e">
        <f>VLOOKUP(A35,Enforcements!$C$7:$E$24,3,0)</f>
        <v>#N/A</v>
      </c>
      <c r="AD35" s="66" t="str">
        <f t="shared" si="11"/>
        <v>0123-10</v>
      </c>
      <c r="AE35" s="108" t="str">
        <f t="shared" si="12"/>
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</c>
      <c r="AF35" s="105" t="str">
        <f t="shared" si="13"/>
        <v>"C:\Program Files (x86)\AstroGrep\AstroGrep.exe" /spath="%USERPROFILE%\AppData\Local\Temp\OnboardLogs" /stypes="*4040*20160810*"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9" t="str">
        <f t="shared" si="16"/>
        <v>"%USERPROFILE%\Documents\GitHub\eaglep3\Utilities\RefineRTDCRunTimes.py" --tripid 123-10 --locoid 4040 --swversion DE.1.0.7.0 --startMP 204:451 --initTime 2016-08-10T06:23:23 --startdatetime 2016-08-10T06:25:12 --delay 1 --endMP 204:233306 --enddatetime 2016-08-10T07:06:57 --enforcementcount 0</v>
      </c>
    </row>
    <row r="36" spans="1:34" s="1" customFormat="1" x14ac:dyDescent="0.25">
      <c r="A36" s="42" t="s">
        <v>342</v>
      </c>
      <c r="B36" s="7">
        <v>4039</v>
      </c>
      <c r="C36" s="25" t="s">
        <v>137</v>
      </c>
      <c r="D36" s="25" t="s">
        <v>184</v>
      </c>
      <c r="E36" s="16">
        <v>42592.305219907408</v>
      </c>
      <c r="F36" s="16">
        <v>42592.306030092594</v>
      </c>
      <c r="G36" s="7">
        <v>1</v>
      </c>
      <c r="H36" s="16" t="s">
        <v>165</v>
      </c>
      <c r="I36" s="16">
        <v>42592.337453703702</v>
      </c>
      <c r="J36" s="7">
        <v>0</v>
      </c>
      <c r="K36" s="25" t="str">
        <f t="shared" si="0"/>
        <v>4039/4040</v>
      </c>
      <c r="L36" s="25" t="str">
        <f>VLOOKUP(A36,'Trips&amp;Operators'!$C$1:$E$10000,3,FALSE)</f>
        <v>KILLION</v>
      </c>
      <c r="M36" s="6">
        <f t="shared" si="1"/>
        <v>3.142361110803904E-2</v>
      </c>
      <c r="N36" s="7">
        <f t="shared" si="2"/>
        <v>45.249999995576218</v>
      </c>
      <c r="O36" s="7"/>
      <c r="P36" s="7"/>
      <c r="Q36" s="26"/>
      <c r="R36" s="26"/>
      <c r="S36" s="38">
        <f t="shared" si="3"/>
        <v>1</v>
      </c>
      <c r="T36" s="55" t="str">
        <f t="shared" si="4"/>
        <v>Southbound</v>
      </c>
      <c r="U36" s="14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06:19:31-0600',mode:absolute,to:'2016-08-10 09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36" s="57" t="str">
        <f t="shared" si="6"/>
        <v>N</v>
      </c>
      <c r="X36" s="136">
        <f t="shared" si="7"/>
        <v>1</v>
      </c>
      <c r="Y36" s="72">
        <f t="shared" si="8"/>
        <v>23.298500000000001</v>
      </c>
      <c r="Z36" s="72">
        <f t="shared" si="9"/>
        <v>1.5800000000000002E-2</v>
      </c>
      <c r="AA36" s="72">
        <f t="shared" si="10"/>
        <v>23.282700000000002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11"/>
        <v>0124-10</v>
      </c>
      <c r="AE36" s="108" t="str">
        <f t="shared" si="12"/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AF36" s="105" t="str">
        <f t="shared" si="13"/>
        <v>"C:\Program Files (x86)\AstroGrep\AstroGrep.exe" /spath="%USERPROFILE%\AppData\Local\Temp\OnboardLogs" /stypes="*4039*20160810*"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9" t="str">
        <f t="shared" si="16"/>
        <v>"%USERPROFILE%\Documents\GitHub\eaglep3\Utilities\RefineRTDCRunTimes.py" --tripid 124-10 --locoid 4039 --swversion DE.1.0.7.0 --startMP 204:232985 --initTime 2016-08-10T07:19:31 --startdatetime 2016-08-10T07:20:41 --delay 1 --endMP 204:158 --enddatetime 2016-08-10T08:05:56 --enforcementcount 0</v>
      </c>
    </row>
    <row r="37" spans="1:34" s="1" customFormat="1" x14ac:dyDescent="0.25">
      <c r="A37" s="42" t="s">
        <v>343</v>
      </c>
      <c r="B37" s="7">
        <v>4020</v>
      </c>
      <c r="C37" s="25" t="s">
        <v>137</v>
      </c>
      <c r="D37" s="25" t="s">
        <v>168</v>
      </c>
      <c r="E37" s="16">
        <v>42592.279699074075</v>
      </c>
      <c r="F37" s="16">
        <v>42592.280486111114</v>
      </c>
      <c r="G37" s="7">
        <v>1</v>
      </c>
      <c r="H37" s="16" t="s">
        <v>187</v>
      </c>
      <c r="I37" s="16">
        <v>42592.306261574071</v>
      </c>
      <c r="J37" s="7">
        <v>0</v>
      </c>
      <c r="K37" s="25" t="str">
        <f t="shared" si="0"/>
        <v>4019/4020</v>
      </c>
      <c r="L37" s="25" t="str">
        <f>VLOOKUP(A37,'Trips&amp;Operators'!$C$1:$E$10000,3,FALSE)</f>
        <v>ROCHA</v>
      </c>
      <c r="M37" s="6">
        <f t="shared" si="1"/>
        <v>2.5775462956517003E-2</v>
      </c>
      <c r="N37" s="7">
        <f t="shared" si="2"/>
        <v>37.116666657384485</v>
      </c>
      <c r="O37" s="7"/>
      <c r="P37" s="7"/>
      <c r="Q37" s="26"/>
      <c r="R37" s="26"/>
      <c r="S37" s="38">
        <f t="shared" si="3"/>
        <v>1</v>
      </c>
      <c r="T37" s="55" t="str">
        <f t="shared" si="4"/>
        <v>NorthBound</v>
      </c>
      <c r="U37" s="14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05:42:46-0600',mode:absolute,to:'2016-08-10 08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37" s="57" t="str">
        <f t="shared" si="6"/>
        <v>N</v>
      </c>
      <c r="X37" s="136">
        <f t="shared" si="7"/>
        <v>1</v>
      </c>
      <c r="Y37" s="72">
        <f t="shared" si="8"/>
        <v>4.7100000000000003E-2</v>
      </c>
      <c r="Z37" s="72">
        <f t="shared" si="9"/>
        <v>23.329899999999999</v>
      </c>
      <c r="AA37" s="72">
        <f t="shared" si="10"/>
        <v>23.282799999999998</v>
      </c>
      <c r="AB37" s="69" t="e">
        <f>VLOOKUP(A37,Enforcements!$C$7:$J$24,8,0)</f>
        <v>#N/A</v>
      </c>
      <c r="AC37" s="65" t="e">
        <f>VLOOKUP(A37,Enforcements!$C$7:$E$24,3,0)</f>
        <v>#N/A</v>
      </c>
      <c r="AD37" s="66" t="str">
        <f t="shared" si="11"/>
        <v>0125-10</v>
      </c>
      <c r="AE37" s="108" t="str">
        <f t="shared" si="12"/>
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</c>
      <c r="AF37" s="105" t="str">
        <f t="shared" si="13"/>
        <v>"C:\Program Files (x86)\AstroGrep\AstroGrep.exe" /spath="%USERPROFILE%\AppData\Local\Temp\OnboardLogs" /stypes="*4020*20160810*"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9" t="str">
        <f t="shared" si="16"/>
        <v>"%USERPROFILE%\Documents\GitHub\eaglep3\Utilities\RefineRTDCRunTimes.py" --tripid 125-10 --locoid 4020 --swversion DE.1.0.7.0 --startMP 204:471 --initTime 2016-08-10T06:42:46 --startdatetime 2016-08-10T06:43:54 --delay 1 --endMP 204:233299 --enddatetime 2016-08-10T07:21:01 --enforcementcount 0</v>
      </c>
    </row>
    <row r="38" spans="1:34" s="1" customFormat="1" x14ac:dyDescent="0.25">
      <c r="A38" s="42" t="s">
        <v>344</v>
      </c>
      <c r="B38" s="7">
        <v>4019</v>
      </c>
      <c r="C38" s="25" t="s">
        <v>137</v>
      </c>
      <c r="D38" s="25" t="s">
        <v>227</v>
      </c>
      <c r="E38" s="16">
        <v>42592.318680555552</v>
      </c>
      <c r="F38" s="16">
        <v>42592.320405092592</v>
      </c>
      <c r="G38" s="7">
        <v>2</v>
      </c>
      <c r="H38" s="16" t="s">
        <v>97</v>
      </c>
      <c r="I38" s="16">
        <v>42592.347812499997</v>
      </c>
      <c r="J38" s="7">
        <v>0</v>
      </c>
      <c r="K38" s="25" t="str">
        <f t="shared" si="0"/>
        <v>4019/4020</v>
      </c>
      <c r="L38" s="25" t="str">
        <f>VLOOKUP(A38,'Trips&amp;Operators'!$C$1:$E$10000,3,FALSE)</f>
        <v>ROCHA</v>
      </c>
      <c r="M38" s="6">
        <f t="shared" si="1"/>
        <v>2.7407407404098194E-2</v>
      </c>
      <c r="N38" s="7">
        <f t="shared" si="2"/>
        <v>39.466666661901399</v>
      </c>
      <c r="O38" s="7"/>
      <c r="P38" s="7"/>
      <c r="Q38" s="26"/>
      <c r="R38" s="26"/>
      <c r="S38" s="38">
        <f t="shared" si="3"/>
        <v>1</v>
      </c>
      <c r="T38" s="55" t="str">
        <f t="shared" si="4"/>
        <v>Southbound</v>
      </c>
      <c r="U38" s="14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06:38:54-0600',mode:absolute,to:'2016-08-10 09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38" s="57" t="str">
        <f t="shared" si="6"/>
        <v>N</v>
      </c>
      <c r="X38" s="136">
        <f t="shared" si="7"/>
        <v>1</v>
      </c>
      <c r="Y38" s="72">
        <f t="shared" si="8"/>
        <v>23.2971</v>
      </c>
      <c r="Z38" s="72">
        <f t="shared" si="9"/>
        <v>1.43E-2</v>
      </c>
      <c r="AA38" s="72">
        <f t="shared" si="10"/>
        <v>23.282800000000002</v>
      </c>
      <c r="AB38" s="69" t="e">
        <f>VLOOKUP(A38,Enforcements!$C$7:$J$24,8,0)</f>
        <v>#N/A</v>
      </c>
      <c r="AC38" s="65" t="e">
        <f>VLOOKUP(A38,Enforcements!$C$7:$E$24,3,0)</f>
        <v>#N/A</v>
      </c>
      <c r="AD38" s="66" t="str">
        <f t="shared" si="11"/>
        <v>0126-10</v>
      </c>
      <c r="AE38" s="108" t="str">
        <f t="shared" si="12"/>
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</c>
      <c r="AF38" s="105" t="str">
        <f t="shared" si="13"/>
        <v>"C:\Program Files (x86)\AstroGrep\AstroGrep.exe" /spath="%USERPROFILE%\AppData\Local\Temp\OnboardLogs" /stypes="*4019*20160810*"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9" t="str">
        <f t="shared" si="16"/>
        <v>"%USERPROFILE%\Documents\GitHub\eaglep3\Utilities\RefineRTDCRunTimes.py" --tripid 126-10 --locoid 4019 --swversion DE.1.0.7.0 --startMP 204:232971 --initTime 2016-08-10T07:38:54 --startdatetime 2016-08-10T07:41:23 --delay 2 --endMP 204:143 --enddatetime 2016-08-10T08:20:51 --enforcementcount 0</v>
      </c>
    </row>
    <row r="39" spans="1:34" s="1" customFormat="1" x14ac:dyDescent="0.25">
      <c r="A39" s="42" t="s">
        <v>345</v>
      </c>
      <c r="B39" s="7">
        <v>4009</v>
      </c>
      <c r="C39" s="25" t="s">
        <v>137</v>
      </c>
      <c r="D39" s="25" t="s">
        <v>346</v>
      </c>
      <c r="E39" s="16">
        <v>42592.286053240743</v>
      </c>
      <c r="F39" s="16">
        <v>42592.287175925929</v>
      </c>
      <c r="G39" s="7">
        <v>1</v>
      </c>
      <c r="H39" s="16" t="s">
        <v>347</v>
      </c>
      <c r="I39" s="16">
        <v>42592.317696759259</v>
      </c>
      <c r="J39" s="7">
        <v>0</v>
      </c>
      <c r="K39" s="25" t="str">
        <f t="shared" si="0"/>
        <v>4009/4010</v>
      </c>
      <c r="L39" s="25" t="str">
        <f>VLOOKUP(A39,'Trips&amp;Operators'!$C$1:$E$10000,3,FALSE)</f>
        <v>MAELZER</v>
      </c>
      <c r="M39" s="6">
        <f t="shared" si="1"/>
        <v>3.0520833330228925E-2</v>
      </c>
      <c r="N39" s="7">
        <f t="shared" si="2"/>
        <v>43.949999995529652</v>
      </c>
      <c r="O39" s="7"/>
      <c r="P39" s="7"/>
      <c r="Q39" s="26"/>
      <c r="R39" s="26"/>
      <c r="S39" s="38">
        <f t="shared" si="3"/>
        <v>1</v>
      </c>
      <c r="T39" s="55" t="str">
        <f t="shared" si="4"/>
        <v>NorthBound</v>
      </c>
      <c r="U39" s="14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05:51:55-0600',mode:absolute,to:'2016-08-10 08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39" s="57" t="str">
        <f t="shared" si="6"/>
        <v>N</v>
      </c>
      <c r="X39" s="136">
        <f t="shared" si="7"/>
        <v>1</v>
      </c>
      <c r="Y39" s="72">
        <f t="shared" si="8"/>
        <v>4.4699999999999997E-2</v>
      </c>
      <c r="Z39" s="72">
        <f t="shared" si="9"/>
        <v>23.331</v>
      </c>
      <c r="AA39" s="72">
        <f t="shared" si="10"/>
        <v>23.286300000000001</v>
      </c>
      <c r="AB39" s="69" t="e">
        <f>VLOOKUP(A39,Enforcements!$C$7:$J$24,8,0)</f>
        <v>#N/A</v>
      </c>
      <c r="AC39" s="65" t="e">
        <f>VLOOKUP(A39,Enforcements!$C$7:$E$24,3,0)</f>
        <v>#N/A</v>
      </c>
      <c r="AD39" s="66" t="str">
        <f t="shared" si="11"/>
        <v>0127-10</v>
      </c>
      <c r="AE39" s="108" t="str">
        <f t="shared" si="12"/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AF39" s="105" t="str">
        <f t="shared" si="13"/>
        <v>"C:\Program Files (x86)\AstroGrep\AstroGrep.exe" /spath="%USERPROFILE%\AppData\Local\Temp\OnboardLogs" /stypes="*4009*20160810*"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9" t="str">
        <f t="shared" si="16"/>
        <v>"%USERPROFILE%\Documents\GitHub\eaglep3\Utilities\RefineRTDCRunTimes.py" --tripid 127-10 --locoid 4009 --swversion DE.1.0.7.0 --startMP 204:447 --initTime 2016-08-10T06:51:55 --startdatetime 2016-08-10T06:53:32 --delay 1 --endMP 204:233310 --enddatetime 2016-08-10T07:37:29 --enforcementcount 0</v>
      </c>
    </row>
    <row r="40" spans="1:34" s="1" customFormat="1" x14ac:dyDescent="0.25">
      <c r="A40" s="42" t="s">
        <v>348</v>
      </c>
      <c r="B40" s="7">
        <v>4010</v>
      </c>
      <c r="C40" s="25" t="s">
        <v>137</v>
      </c>
      <c r="D40" s="25" t="s">
        <v>143</v>
      </c>
      <c r="E40" s="16">
        <v>42592.322696759256</v>
      </c>
      <c r="F40" s="16">
        <v>42592.323472222219</v>
      </c>
      <c r="G40" s="7">
        <v>1</v>
      </c>
      <c r="H40" s="16" t="s">
        <v>126</v>
      </c>
      <c r="I40" s="16">
        <v>42592.35800925926</v>
      </c>
      <c r="J40" s="7">
        <v>1</v>
      </c>
      <c r="K40" s="25" t="str">
        <f t="shared" si="0"/>
        <v>4009/4010</v>
      </c>
      <c r="L40" s="25" t="str">
        <f>VLOOKUP(A40,'Trips&amp;Operators'!$C$1:$E$10000,3,FALSE)</f>
        <v>MAELZER</v>
      </c>
      <c r="M40" s="6">
        <f t="shared" si="1"/>
        <v>3.4537037041445728E-2</v>
      </c>
      <c r="N40" s="7">
        <f t="shared" si="2"/>
        <v>49.733333339681849</v>
      </c>
      <c r="O40" s="7"/>
      <c r="P40" s="7"/>
      <c r="Q40" s="26"/>
      <c r="R40" s="26"/>
      <c r="S40" s="38">
        <f t="shared" si="3"/>
        <v>1</v>
      </c>
      <c r="T40" s="55" t="str">
        <f t="shared" si="4"/>
        <v>Southbound</v>
      </c>
      <c r="U40" s="14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06:44:41-0600',mode:absolute,to:'2016-08-10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40" s="57" t="str">
        <f t="shared" si="6"/>
        <v>N</v>
      </c>
      <c r="X40" s="136">
        <f t="shared" si="7"/>
        <v>1</v>
      </c>
      <c r="Y40" s="72">
        <f t="shared" si="8"/>
        <v>23.299299999999999</v>
      </c>
      <c r="Z40" s="72">
        <f t="shared" si="9"/>
        <v>1.4999999999999999E-2</v>
      </c>
      <c r="AA40" s="72">
        <f t="shared" si="10"/>
        <v>23.284299999999998</v>
      </c>
      <c r="AB40" s="69">
        <f>VLOOKUP(A40,Enforcements!$C$7:$J$24,8,0)</f>
        <v>2822</v>
      </c>
      <c r="AC40" s="65" t="str">
        <f>VLOOKUP(A40,Enforcements!$C$7:$E$24,3,0)</f>
        <v>SWITCH UNKNOWN</v>
      </c>
      <c r="AD40" s="66" t="str">
        <f t="shared" si="11"/>
        <v>0128-10</v>
      </c>
      <c r="AE40" s="108" t="str">
        <f t="shared" si="12"/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AF40" s="105" t="str">
        <f t="shared" si="13"/>
        <v>"C:\Program Files (x86)\AstroGrep\AstroGrep.exe" /spath="%USERPROFILE%\AppData\Local\Temp\OnboardLogs" /stypes="*4010*20160810*"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9" t="str">
        <f t="shared" si="16"/>
        <v>"%USERPROFILE%\Documents\GitHub\eaglep3\Utilities\RefineRTDCRunTimes.py" --tripid 128-10 --locoid 4010 --swversion DE.1.0.7.0 --startMP 204:232993 --initTime 2016-08-10T07:44:41 --startdatetime 2016-08-10T07:45:48 --delay 1 --endMP 204:150 --enddatetime 2016-08-10T08:35:32 --enforcementcount 1</v>
      </c>
    </row>
    <row r="41" spans="1:34" s="1" customFormat="1" x14ac:dyDescent="0.25">
      <c r="A41" s="42" t="s">
        <v>349</v>
      </c>
      <c r="B41" s="7">
        <v>4016</v>
      </c>
      <c r="C41" s="25" t="s">
        <v>137</v>
      </c>
      <c r="D41" s="25" t="s">
        <v>156</v>
      </c>
      <c r="E41" s="16">
        <v>42592.297418981485</v>
      </c>
      <c r="F41" s="16">
        <v>42592.298715277779</v>
      </c>
      <c r="G41" s="7">
        <v>1</v>
      </c>
      <c r="H41" s="16" t="s">
        <v>350</v>
      </c>
      <c r="I41" s="16">
        <v>42592.329479166663</v>
      </c>
      <c r="J41" s="7">
        <v>1</v>
      </c>
      <c r="K41" s="25" t="str">
        <f t="shared" si="0"/>
        <v>4015/4016</v>
      </c>
      <c r="L41" s="25" t="str">
        <f>VLOOKUP(A41,'Trips&amp;Operators'!$C$1:$E$10000,3,FALSE)</f>
        <v>BRANNON</v>
      </c>
      <c r="M41" s="6">
        <f t="shared" si="1"/>
        <v>3.0763888884393964E-2</v>
      </c>
      <c r="N41" s="7">
        <f t="shared" si="2"/>
        <v>44.299999993527308</v>
      </c>
      <c r="O41" s="7"/>
      <c r="P41" s="7"/>
      <c r="Q41" s="26"/>
      <c r="R41" s="26"/>
      <c r="S41" s="38">
        <f t="shared" si="3"/>
        <v>1</v>
      </c>
      <c r="T41" s="55" t="str">
        <f t="shared" si="4"/>
        <v>NorthBound</v>
      </c>
      <c r="U41" s="14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06:08:17-0600',mode:absolute,to:'2016-08-10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41" s="57" t="str">
        <f t="shared" si="6"/>
        <v>N</v>
      </c>
      <c r="X41" s="136">
        <f t="shared" si="7"/>
        <v>1</v>
      </c>
      <c r="Y41" s="72">
        <f t="shared" si="8"/>
        <v>4.4600000000000001E-2</v>
      </c>
      <c r="Z41" s="72">
        <f t="shared" si="9"/>
        <v>23.331399999999999</v>
      </c>
      <c r="AA41" s="72">
        <f t="shared" si="10"/>
        <v>23.286799999999999</v>
      </c>
      <c r="AB41" s="69">
        <f>VLOOKUP(A41,Enforcements!$C$7:$J$24,8,0)</f>
        <v>33137</v>
      </c>
      <c r="AC41" s="65" t="str">
        <f>VLOOKUP(A41,Enforcements!$C$7:$E$24,3,0)</f>
        <v>GRADE CROSSING</v>
      </c>
      <c r="AD41" s="66" t="str">
        <f t="shared" si="11"/>
        <v>0129-10</v>
      </c>
      <c r="AE41" s="108" t="str">
        <f t="shared" si="12"/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41" s="105" t="str">
        <f t="shared" si="13"/>
        <v>"C:\Program Files (x86)\AstroGrep\AstroGrep.exe" /spath="%USERPROFILE%\AppData\Local\Temp\OnboardLogs" /stypes="*4016*20160810*"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9" t="str">
        <f t="shared" si="16"/>
        <v>"%USERPROFILE%\Documents\GitHub\eaglep3\Utilities\RefineRTDCRunTimes.py" --tripid 129-10 --locoid 4016 --swversion DE.1.0.7.0 --startMP 204:446 --initTime 2016-08-10T07:08:17 --startdatetime 2016-08-10T07:10:09 --delay 1 --endMP 204:233314 --enddatetime 2016-08-10T07:54:27 --enforcementcount 1</v>
      </c>
    </row>
    <row r="42" spans="1:34" s="1" customFormat="1" x14ac:dyDescent="0.25">
      <c r="A42" s="42" t="s">
        <v>351</v>
      </c>
      <c r="B42" s="7">
        <v>4015</v>
      </c>
      <c r="C42" s="25" t="s">
        <v>137</v>
      </c>
      <c r="D42" s="25" t="s">
        <v>230</v>
      </c>
      <c r="E42" s="16">
        <v>42592.338206018518</v>
      </c>
      <c r="F42" s="16">
        <v>42592.339270833334</v>
      </c>
      <c r="G42" s="7">
        <v>1</v>
      </c>
      <c r="H42" s="16" t="s">
        <v>170</v>
      </c>
      <c r="I42" s="16">
        <v>42592.369606481479</v>
      </c>
      <c r="J42" s="7">
        <v>0</v>
      </c>
      <c r="K42" s="25" t="str">
        <f t="shared" si="0"/>
        <v>4015/4016</v>
      </c>
      <c r="L42" s="25" t="str">
        <f>VLOOKUP(A42,'Trips&amp;Operators'!$C$1:$E$10000,3,FALSE)</f>
        <v>BRANNON</v>
      </c>
      <c r="M42" s="6">
        <f t="shared" si="1"/>
        <v>3.0335648145410232E-2</v>
      </c>
      <c r="N42" s="7">
        <f t="shared" si="2"/>
        <v>43.683333329390734</v>
      </c>
      <c r="O42" s="7"/>
      <c r="P42" s="7"/>
      <c r="Q42" s="26"/>
      <c r="R42" s="26"/>
      <c r="S42" s="38">
        <f t="shared" si="3"/>
        <v>1</v>
      </c>
      <c r="T42" s="55" t="str">
        <f t="shared" si="4"/>
        <v>Southbound</v>
      </c>
      <c r="U42" s="14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07:07:01-0600',mode:absolute,to:'2016-08-10 09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42" s="57" t="str">
        <f t="shared" si="6"/>
        <v>N</v>
      </c>
      <c r="X42" s="136">
        <f t="shared" si="7"/>
        <v>1</v>
      </c>
      <c r="Y42" s="72">
        <f t="shared" si="8"/>
        <v>23.298200000000001</v>
      </c>
      <c r="Z42" s="72">
        <f t="shared" si="9"/>
        <v>1.47E-2</v>
      </c>
      <c r="AA42" s="72">
        <f t="shared" si="10"/>
        <v>23.2835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11"/>
        <v>0130-10</v>
      </c>
      <c r="AE42" s="108" t="str">
        <f t="shared" si="12"/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42" s="105" t="str">
        <f t="shared" si="13"/>
        <v>"C:\Program Files (x86)\AstroGrep\AstroGrep.exe" /spath="%USERPROFILE%\AppData\Local\Temp\OnboardLogs" /stypes="*4015*20160810*"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9" t="str">
        <f t="shared" si="16"/>
        <v>"%USERPROFILE%\Documents\GitHub\eaglep3\Utilities\RefineRTDCRunTimes.py" --tripid 130-10 --locoid 4015 --swversion DE.1.0.7.0 --startMP 204:232982 --initTime 2016-08-10T08:07:01 --startdatetime 2016-08-10T08:08:33 --delay 1 --endMP 204:147 --enddatetime 2016-08-10T08:52:14 --enforcementcount 0</v>
      </c>
    </row>
    <row r="43" spans="1:34" s="1" customFormat="1" x14ac:dyDescent="0.25">
      <c r="A43" s="42" t="s">
        <v>352</v>
      </c>
      <c r="B43" s="7">
        <v>4029</v>
      </c>
      <c r="C43" s="25" t="s">
        <v>137</v>
      </c>
      <c r="D43" s="25" t="s">
        <v>353</v>
      </c>
      <c r="E43" s="16">
        <v>42592.308807870373</v>
      </c>
      <c r="F43" s="16">
        <v>42592.309791666667</v>
      </c>
      <c r="G43" s="7">
        <v>1</v>
      </c>
      <c r="H43" s="16" t="s">
        <v>131</v>
      </c>
      <c r="I43" s="16">
        <v>42592.337893518517</v>
      </c>
      <c r="J43" s="7">
        <v>0</v>
      </c>
      <c r="K43" s="25" t="str">
        <f t="shared" si="0"/>
        <v>4029/4030</v>
      </c>
      <c r="L43" s="25" t="str">
        <f>VLOOKUP(A43,'Trips&amp;Operators'!$C$1:$E$10000,3,FALSE)</f>
        <v>ACKERMAN</v>
      </c>
      <c r="M43" s="6">
        <f t="shared" si="1"/>
        <v>2.810185185080627E-2</v>
      </c>
      <c r="N43" s="7">
        <f t="shared" si="2"/>
        <v>40.466666665161029</v>
      </c>
      <c r="O43" s="7"/>
      <c r="P43" s="7"/>
      <c r="Q43" s="26"/>
      <c r="R43" s="26"/>
      <c r="S43" s="38">
        <f t="shared" si="3"/>
        <v>1</v>
      </c>
      <c r="T43" s="55" t="str">
        <f t="shared" si="4"/>
        <v>NorthBound</v>
      </c>
      <c r="U43" s="14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06:24:41-0600',mode:absolute,to:'2016-08-10 09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43" s="57" t="str">
        <f t="shared" si="6"/>
        <v>N</v>
      </c>
      <c r="X43" s="136">
        <f t="shared" si="7"/>
        <v>1</v>
      </c>
      <c r="Y43" s="72">
        <f t="shared" si="8"/>
        <v>4.3499999999999997E-2</v>
      </c>
      <c r="Z43" s="72">
        <f t="shared" si="9"/>
        <v>23.3293</v>
      </c>
      <c r="AA43" s="72">
        <f t="shared" si="10"/>
        <v>23.285799999999998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11"/>
        <v>0131-10</v>
      </c>
      <c r="AE43" s="108" t="str">
        <f t="shared" si="12"/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AF43" s="105" t="str">
        <f t="shared" si="13"/>
        <v>"C:\Program Files (x86)\AstroGrep\AstroGrep.exe" /spath="%USERPROFILE%\AppData\Local\Temp\OnboardLogs" /stypes="*4029*20160810*"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9" t="str">
        <f t="shared" si="16"/>
        <v>"%USERPROFILE%\Documents\GitHub\eaglep3\Utilities\RefineRTDCRunTimes.py" --tripid 131-10 --locoid 4029 --swversion DE.1.0.7.0 --startMP 204:435 --initTime 2016-08-10T07:24:41 --startdatetime 2016-08-10T07:26:06 --delay 1 --endMP 204:233293 --enddatetime 2016-08-10T08:06:34 --enforcementcount 0</v>
      </c>
    </row>
    <row r="44" spans="1:34" s="1" customFormat="1" x14ac:dyDescent="0.25">
      <c r="A44" s="42" t="s">
        <v>354</v>
      </c>
      <c r="B44" s="7">
        <v>4030</v>
      </c>
      <c r="C44" s="25" t="s">
        <v>137</v>
      </c>
      <c r="D44" s="25" t="s">
        <v>169</v>
      </c>
      <c r="E44" s="16">
        <v>42592.344502314816</v>
      </c>
      <c r="F44" s="16">
        <v>42592.345578703702</v>
      </c>
      <c r="G44" s="7">
        <v>1</v>
      </c>
      <c r="H44" s="16" t="s">
        <v>178</v>
      </c>
      <c r="I44" s="16">
        <v>42592.378148148149</v>
      </c>
      <c r="J44" s="7">
        <v>1</v>
      </c>
      <c r="K44" s="25" t="str">
        <f t="shared" si="0"/>
        <v>4029/4030</v>
      </c>
      <c r="L44" s="25" t="str">
        <f>VLOOKUP(A44,'Trips&amp;Operators'!$C$1:$E$10000,3,FALSE)</f>
        <v>ACKERMAN</v>
      </c>
      <c r="M44" s="6">
        <f t="shared" si="1"/>
        <v>3.2569444447290152E-2</v>
      </c>
      <c r="N44" s="7">
        <f t="shared" si="2"/>
        <v>46.900000004097819</v>
      </c>
      <c r="O44" s="7"/>
      <c r="P44" s="7"/>
      <c r="Q44" s="26"/>
      <c r="R44" s="26"/>
      <c r="S44" s="38">
        <f t="shared" si="3"/>
        <v>1</v>
      </c>
      <c r="T44" s="55" t="str">
        <f t="shared" si="4"/>
        <v>Southbound</v>
      </c>
      <c r="U44" s="14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https://search-rtdc-monitor-bjffxe2xuh6vdkpspy63sjmuny.us-east-1.es.amazonaws.com/_plugin/kibana/#/discover/Steve-Slow-Train-Analysis-(2080s-and-2083s)?_g=(refreshInterval:(display:Off,section:0,value:0),time:(from:'2016-08-10 07:16:05-0600',mode:absolute,to:'2016-08-10 10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44" s="57" t="str">
        <f t="shared" si="6"/>
        <v>N</v>
      </c>
      <c r="X44" s="136">
        <f t="shared" si="7"/>
        <v>1</v>
      </c>
      <c r="Y44" s="72">
        <f t="shared" si="8"/>
        <v>23.2989</v>
      </c>
      <c r="Z44" s="72">
        <f t="shared" si="9"/>
        <v>1.49E-2</v>
      </c>
      <c r="AA44" s="72">
        <f t="shared" si="10"/>
        <v>23.283999999999999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11"/>
        <v>0132-10</v>
      </c>
      <c r="AE44" s="108" t="str">
        <f t="shared" si="12"/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AF44" s="105" t="str">
        <f t="shared" si="13"/>
        <v>"C:\Program Files (x86)\AstroGrep\AstroGrep.exe" /spath="%USERPROFILE%\AppData\Local\Temp\OnboardLogs" /stypes="*4030*20160810*"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9" t="str">
        <f t="shared" si="16"/>
        <v>"%USERPROFILE%\Documents\GitHub\eaglep3\Utilities\RefineRTDCRunTimes.py" --tripid 132-10 --locoid 4030 --swversion DE.1.0.7.0 --startMP 204:232989 --initTime 2016-08-10T08:16:05 --startdatetime 2016-08-10T08:17:38 --delay 1 --endMP 204:149 --enddatetime 2016-08-10T09:04:32 --enforcementcount 1</v>
      </c>
    </row>
    <row r="45" spans="1:34" s="1" customFormat="1" x14ac:dyDescent="0.25">
      <c r="A45" s="42" t="s">
        <v>355</v>
      </c>
      <c r="B45" s="7">
        <v>4018</v>
      </c>
      <c r="C45" s="25" t="s">
        <v>137</v>
      </c>
      <c r="D45" s="25" t="s">
        <v>229</v>
      </c>
      <c r="E45" s="16">
        <v>42592.31821759259</v>
      </c>
      <c r="F45" s="16">
        <v>42592.319224537037</v>
      </c>
      <c r="G45" s="7">
        <v>1</v>
      </c>
      <c r="H45" s="16" t="s">
        <v>183</v>
      </c>
      <c r="I45" s="16">
        <v>42592.348136574074</v>
      </c>
      <c r="J45" s="7">
        <v>0</v>
      </c>
      <c r="K45" s="25" t="str">
        <f t="shared" ref="K45:K76" si="17">IF(ISEVEN(B45),(B45-1)&amp;"/"&amp;B45,B45&amp;"/"&amp;(B45+1))</f>
        <v>4017/4018</v>
      </c>
      <c r="L45" s="25" t="str">
        <f>VLOOKUP(A45,'Trips&amp;Operators'!$C$1:$E$10000,3,FALSE)</f>
        <v>STAMBAUGH</v>
      </c>
      <c r="M45" s="6">
        <f t="shared" ref="M45:M76" si="18">I45-F45</f>
        <v>2.8912037036207039E-2</v>
      </c>
      <c r="N45" s="7">
        <f t="shared" ref="N45:N66" si="19">24*60*SUM($M45:$M45)</f>
        <v>41.633333332138136</v>
      </c>
      <c r="O45" s="7"/>
      <c r="P45" s="7"/>
      <c r="Q45" s="26"/>
      <c r="R45" s="26"/>
      <c r="S45" s="38">
        <f t="shared" ref="S45:S69" si="20">SUM(U45:U45)/IF(AG45="EC",12,1)</f>
        <v>1</v>
      </c>
      <c r="T45" s="55" t="str">
        <f t="shared" ref="T45:T76" si="21">IF(ISEVEN(LEFT(AD45,4)),"Southbound","NorthBound")</f>
        <v>NorthBound</v>
      </c>
      <c r="U45" s="14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5" t="str">
        <f t="shared" ref="V45:V76" si="22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https://search-rtdc-monitor-bjffxe2xuh6vdkpspy63sjmuny.us-east-1.es.amazonaws.com/_plugin/kibana/#/discover/Steve-Slow-Train-Analysis-(2080s-and-2083s)?_g=(refreshInterval:(display:Off,section:0,value:0),time:(from:'2016-08-10 06:38:14-0600',mode:absolute,to:'2016-08-10 09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45" s="57" t="str">
        <f t="shared" ref="W45:W76" si="23">IF(AA45&lt;IF(AG45="EC",23,5.65),"Y","N")</f>
        <v>N</v>
      </c>
      <c r="X45" s="136">
        <f t="shared" ref="X45:X76" si="24">VALUE(LEFT(AD45,4))-VALUE(LEFT(AD44,4))</f>
        <v>1</v>
      </c>
      <c r="Y45" s="72">
        <f t="shared" ref="Y45:Y76" si="25">RIGHT(D45,LEN(D45)-4)/10000</f>
        <v>4.58E-2</v>
      </c>
      <c r="Z45" s="72">
        <f t="shared" ref="Z45:Z76" si="26">RIGHT(H45,LEN(H45)-4)/10000</f>
        <v>23.328600000000002</v>
      </c>
      <c r="AA45" s="72">
        <f t="shared" ref="AA45:AA76" si="27">ABS(Z45-Y45)</f>
        <v>23.282800000000002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ref="AD45:AD76" si="28">IF(LEN(A45)=6,"0"&amp;A45,A45)</f>
        <v>0133-10</v>
      </c>
      <c r="AE45" s="108" t="str">
        <f t="shared" ref="AE45:AE76" si="29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45" s="105" t="str">
        <f t="shared" ref="AF45:AF76" si="30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/stypes="*4018*20160810*" /stext=" 14:.+((SYSTEM_STATE.+slice.+state.+changed )|(ment ac)|(system.+state.+changed )|(\|lc)|(penalty)|(\[timeout)|(PRM\|1\|D)|(kpr)|(kdp))" /e /r /s</v>
      </c>
      <c r="AG45" s="1" t="str">
        <f t="shared" ref="AG45:AG76" si="31">IF(VALUE(LEFT(AD45,2))&lt;=2,"EC",IF(OR(VALUE(LEFT(AD45,2))=8,VALUE(LEFT(AD45,2))=18),"NW","Other"))</f>
        <v>EC</v>
      </c>
      <c r="AH45" s="109" t="str">
        <f t="shared" si="16"/>
        <v>"%USERPROFILE%\Documents\GitHub\eaglep3\Utilities\RefineRTDCRunTimes.py" --tripid 133-10 --locoid 4018 --swversion DE.1.0.7.0 --startMP 204:458 --initTime 2016-08-10T07:38:14 --startdatetime 2016-08-10T07:39:41 --delay 1 --endMP 204:233286 --enddatetime 2016-08-10T08:21:19 --enforcementcount 0</v>
      </c>
    </row>
    <row r="46" spans="1:34" s="1" customFormat="1" x14ac:dyDescent="0.25">
      <c r="A46" s="42" t="s">
        <v>356</v>
      </c>
      <c r="B46" s="7">
        <v>4017</v>
      </c>
      <c r="C46" s="25" t="s">
        <v>137</v>
      </c>
      <c r="D46" s="25" t="s">
        <v>219</v>
      </c>
      <c r="E46" s="16">
        <v>42592.357870370368</v>
      </c>
      <c r="F46" s="16">
        <v>42592.358576388891</v>
      </c>
      <c r="G46" s="7">
        <v>1</v>
      </c>
      <c r="H46" s="16" t="s">
        <v>179</v>
      </c>
      <c r="I46" s="16">
        <v>42592.389027777775</v>
      </c>
      <c r="J46" s="7">
        <v>1</v>
      </c>
      <c r="K46" s="25" t="str">
        <f t="shared" si="17"/>
        <v>4017/4018</v>
      </c>
      <c r="L46" s="25" t="str">
        <f>VLOOKUP(A46,'Trips&amp;Operators'!$C$1:$E$10000,3,FALSE)</f>
        <v>STAMBAUGH</v>
      </c>
      <c r="M46" s="6">
        <f t="shared" si="18"/>
        <v>3.0451388884102926E-2</v>
      </c>
      <c r="N46" s="7">
        <f t="shared" si="19"/>
        <v>43.849999993108213</v>
      </c>
      <c r="O46" s="7"/>
      <c r="P46" s="7"/>
      <c r="Q46" s="26"/>
      <c r="R46" s="26"/>
      <c r="S46" s="38">
        <f t="shared" si="20"/>
        <v>1</v>
      </c>
      <c r="T46" s="55" t="str">
        <f t="shared" si="21"/>
        <v>Southbound</v>
      </c>
      <c r="U46" s="14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07:35:20-0600',mode:absolute,to:'2016-08-10 10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46" s="57" t="str">
        <f t="shared" si="23"/>
        <v>N</v>
      </c>
      <c r="X46" s="136">
        <f t="shared" si="24"/>
        <v>1</v>
      </c>
      <c r="Y46" s="72">
        <f t="shared" si="25"/>
        <v>23.296099999999999</v>
      </c>
      <c r="Z46" s="72">
        <f t="shared" si="26"/>
        <v>1.54E-2</v>
      </c>
      <c r="AA46" s="72">
        <f t="shared" si="27"/>
        <v>23.2807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28"/>
        <v>0134-10</v>
      </c>
      <c r="AE46" s="108" t="str">
        <f t="shared" si="29"/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AF46" s="105" t="str">
        <f t="shared" si="30"/>
        <v>"C:\Program Files (x86)\AstroGrep\AstroGrep.exe" /spath="%USERPROFILE%\AppData\Local\Temp\OnboardLogs" /stypes="*4017*20160810*" /stext=" 15:.+((SYSTEM_STATE.+slice.+state.+changed )|(ment ac)|(system.+state.+changed )|(\|lc)|(penalty)|(\[timeout)|(PRM\|1\|D)|(kpr)|(kdp))" /e /r /s</v>
      </c>
      <c r="AG46" s="1" t="str">
        <f t="shared" si="31"/>
        <v>EC</v>
      </c>
      <c r="AH46" s="109" t="str">
        <f t="shared" si="16"/>
        <v>"%USERPROFILE%\Documents\GitHub\eaglep3\Utilities\RefineRTDCRunTimes.py" --tripid 134-10 --locoid 4017 --swversion DE.1.0.7.0 --startMP 204:232961 --initTime 2016-08-10T08:35:20 --startdatetime 2016-08-10T08:36:21 --delay 1 --endMP 204:154 --enddatetime 2016-08-10T09:20:12 --enforcementcount 1</v>
      </c>
    </row>
    <row r="47" spans="1:34" s="1" customFormat="1" x14ac:dyDescent="0.25">
      <c r="A47" s="42" t="s">
        <v>357</v>
      </c>
      <c r="B47" s="7">
        <v>4007</v>
      </c>
      <c r="C47" s="25" t="s">
        <v>137</v>
      </c>
      <c r="D47" s="25" t="s">
        <v>346</v>
      </c>
      <c r="E47" s="16">
        <v>42592.327997685185</v>
      </c>
      <c r="F47" s="16">
        <v>42592.328923611109</v>
      </c>
      <c r="G47" s="7">
        <v>1</v>
      </c>
      <c r="H47" s="16" t="s">
        <v>358</v>
      </c>
      <c r="I47" s="16">
        <v>42592.359039351853</v>
      </c>
      <c r="J47" s="7">
        <v>0</v>
      </c>
      <c r="K47" s="25" t="str">
        <f t="shared" si="17"/>
        <v>4007/4008</v>
      </c>
      <c r="L47" s="25" t="str">
        <f>VLOOKUP(A47,'Trips&amp;Operators'!$C$1:$E$10000,3,FALSE)</f>
        <v>SPECTOR</v>
      </c>
      <c r="M47" s="6">
        <f t="shared" si="18"/>
        <v>3.0115740744804498E-2</v>
      </c>
      <c r="N47" s="7">
        <f t="shared" si="19"/>
        <v>43.366666672518477</v>
      </c>
      <c r="O47" s="7"/>
      <c r="P47" s="7"/>
      <c r="Q47" s="26"/>
      <c r="R47" s="26"/>
      <c r="S47" s="38">
        <f t="shared" si="20"/>
        <v>1</v>
      </c>
      <c r="T47" s="55" t="str">
        <f t="shared" si="21"/>
        <v>NorthBound</v>
      </c>
      <c r="U47" s="14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06:52:19-0600',mode:absolute,to:'2016-08-10 09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47" s="57" t="str">
        <f t="shared" si="23"/>
        <v>N</v>
      </c>
      <c r="X47" s="136">
        <f t="shared" si="24"/>
        <v>1</v>
      </c>
      <c r="Y47" s="72">
        <f t="shared" si="25"/>
        <v>4.4699999999999997E-2</v>
      </c>
      <c r="Z47" s="72">
        <f t="shared" si="26"/>
        <v>23.331900000000001</v>
      </c>
      <c r="AA47" s="72">
        <f t="shared" si="27"/>
        <v>23.287200000000002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28"/>
        <v>0135-10</v>
      </c>
      <c r="AE47" s="108" t="str">
        <f t="shared" si="29"/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AF47" s="105" t="str">
        <f t="shared" si="30"/>
        <v>"C:\Program Files (x86)\AstroGrep\AstroGrep.exe" /spath="%USERPROFILE%\AppData\Local\Temp\OnboardLogs" /stypes="*4007*20160810*" /stext=" 14:.+((SYSTEM_STATE.+slice.+state.+changed )|(ment ac)|(system.+state.+changed )|(\|lc)|(penalty)|(\[timeout)|(PRM\|1\|D)|(kpr)|(kdp))" /e /r /s</v>
      </c>
      <c r="AG47" s="1" t="str">
        <f t="shared" si="31"/>
        <v>EC</v>
      </c>
      <c r="AH47" s="109" t="str">
        <f t="shared" si="16"/>
        <v>"%USERPROFILE%\Documents\GitHub\eaglep3\Utilities\RefineRTDCRunTimes.py" --tripid 135-10 --locoid 4007 --swversion DE.1.0.7.0 --startMP 204:447 --initTime 2016-08-10T07:52:19 --startdatetime 2016-08-10T07:53:39 --delay 1 --endMP 204:233319 --enddatetime 2016-08-10T08:37:01 --enforcementcount 0</v>
      </c>
    </row>
    <row r="48" spans="1:34" s="1" customFormat="1" x14ac:dyDescent="0.25">
      <c r="A48" s="42" t="s">
        <v>359</v>
      </c>
      <c r="B48" s="7">
        <v>4008</v>
      </c>
      <c r="C48" s="25" t="s">
        <v>137</v>
      </c>
      <c r="D48" s="25" t="s">
        <v>164</v>
      </c>
      <c r="E48" s="16">
        <v>42592.364976851852</v>
      </c>
      <c r="F48" s="16">
        <v>42592.366377314815</v>
      </c>
      <c r="G48" s="7">
        <v>2</v>
      </c>
      <c r="H48" s="16" t="s">
        <v>360</v>
      </c>
      <c r="I48" s="16">
        <v>42592.398819444446</v>
      </c>
      <c r="J48" s="7">
        <v>0</v>
      </c>
      <c r="K48" s="25" t="str">
        <f t="shared" si="17"/>
        <v>4007/4008</v>
      </c>
      <c r="L48" s="25" t="str">
        <f>VLOOKUP(A48,'Trips&amp;Operators'!$C$1:$E$10000,3,FALSE)</f>
        <v>SPECTOR</v>
      </c>
      <c r="M48" s="6">
        <f t="shared" si="18"/>
        <v>3.2442129631817807E-2</v>
      </c>
      <c r="N48" s="7">
        <f t="shared" si="19"/>
        <v>46.716666669817641</v>
      </c>
      <c r="O48" s="7"/>
      <c r="P48" s="7"/>
      <c r="Q48" s="26"/>
      <c r="R48" s="26"/>
      <c r="S48" s="38">
        <f t="shared" si="20"/>
        <v>1</v>
      </c>
      <c r="T48" s="55" t="str">
        <f t="shared" si="21"/>
        <v>Southbound</v>
      </c>
      <c r="U48" s="14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07:45:34-0600',mode:absolute,to:'2016-08-10 10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48" s="57" t="str">
        <f t="shared" si="23"/>
        <v>N</v>
      </c>
      <c r="X48" s="136">
        <f t="shared" si="24"/>
        <v>1</v>
      </c>
      <c r="Y48" s="72">
        <f t="shared" si="25"/>
        <v>23.3</v>
      </c>
      <c r="Z48" s="72">
        <f t="shared" si="26"/>
        <v>1.38E-2</v>
      </c>
      <c r="AA48" s="72">
        <f t="shared" si="27"/>
        <v>23.286200000000001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28"/>
        <v>0136-10</v>
      </c>
      <c r="AE48" s="108" t="str">
        <f t="shared" si="29"/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AF48" s="105" t="str">
        <f t="shared" si="30"/>
        <v>"C:\Program Files (x86)\AstroGrep\AstroGrep.exe" /spath="%USERPROFILE%\AppData\Local\Temp\OnboardLogs" /stypes="*4008*20160810*" /stext=" 15:.+((SYSTEM_STATE.+slice.+state.+changed )|(ment ac)|(system.+state.+changed )|(\|lc)|(penalty)|(\[timeout)|(PRM\|1\|D)|(kpr)|(kdp))" /e /r /s</v>
      </c>
      <c r="AG48" s="1" t="str">
        <f t="shared" si="31"/>
        <v>EC</v>
      </c>
      <c r="AH48" s="109" t="str">
        <f t="shared" si="16"/>
        <v>"%USERPROFILE%\Documents\GitHub\eaglep3\Utilities\RefineRTDCRunTimes.py" --tripid 136-10 --locoid 4008 --swversion DE.1.0.7.0 --startMP 204:233000 --initTime 2016-08-10T08:45:34 --startdatetime 2016-08-10T08:47:35 --delay 2 --endMP 204:138 --enddatetime 2016-08-10T09:34:18 --enforcementcount 0</v>
      </c>
    </row>
    <row r="49" spans="1:34" s="1" customFormat="1" x14ac:dyDescent="0.25">
      <c r="A49" s="42" t="s">
        <v>361</v>
      </c>
      <c r="B49" s="7">
        <v>4040</v>
      </c>
      <c r="C49" s="25" t="s">
        <v>137</v>
      </c>
      <c r="D49" s="25" t="s">
        <v>128</v>
      </c>
      <c r="E49" s="16">
        <v>42592.341354166667</v>
      </c>
      <c r="F49" s="16">
        <v>42592.342407407406</v>
      </c>
      <c r="G49" s="7">
        <v>1</v>
      </c>
      <c r="H49" s="16" t="s">
        <v>183</v>
      </c>
      <c r="I49" s="16">
        <v>42592.368796296294</v>
      </c>
      <c r="J49" s="7">
        <v>0</v>
      </c>
      <c r="K49" s="25" t="str">
        <f t="shared" si="17"/>
        <v>4039/4040</v>
      </c>
      <c r="L49" s="25" t="str">
        <f>VLOOKUP(A49,'Trips&amp;Operators'!$C$1:$E$10000,3,FALSE)</f>
        <v>KILLION</v>
      </c>
      <c r="M49" s="6">
        <f t="shared" si="18"/>
        <v>2.6388888887595385E-2</v>
      </c>
      <c r="N49" s="7">
        <f t="shared" si="19"/>
        <v>37.999999998137355</v>
      </c>
      <c r="O49" s="7"/>
      <c r="P49" s="7"/>
      <c r="Q49" s="26"/>
      <c r="R49" s="26"/>
      <c r="S49" s="38">
        <f t="shared" si="20"/>
        <v>1</v>
      </c>
      <c r="T49" s="55" t="str">
        <f t="shared" si="21"/>
        <v>NorthBound</v>
      </c>
      <c r="U49" s="14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07:11:33-0600',mode:absolute,to:'2016-08-10 09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49" s="57" t="str">
        <f t="shared" si="23"/>
        <v>N</v>
      </c>
      <c r="X49" s="136">
        <f t="shared" si="24"/>
        <v>1</v>
      </c>
      <c r="Y49" s="72">
        <f t="shared" si="25"/>
        <v>4.6199999999999998E-2</v>
      </c>
      <c r="Z49" s="72">
        <f t="shared" si="26"/>
        <v>23.328600000000002</v>
      </c>
      <c r="AA49" s="72">
        <f t="shared" si="27"/>
        <v>23.282400000000003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28"/>
        <v>0137-10</v>
      </c>
      <c r="AE49" s="108" t="str">
        <f t="shared" si="29"/>
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</c>
      <c r="AF49" s="105" t="str">
        <f t="shared" si="30"/>
        <v>"C:\Program Files (x86)\AstroGrep\AstroGrep.exe" /spath="%USERPROFILE%\AppData\Local\Temp\OnboardLogs" /stypes="*4040*20160810*" /stext=" 14:.+((SYSTEM_STATE.+slice.+state.+changed )|(ment ac)|(system.+state.+changed )|(\|lc)|(penalty)|(\[timeout)|(PRM\|1\|D)|(kpr)|(kdp))" /e /r /s</v>
      </c>
      <c r="AG49" s="1" t="str">
        <f t="shared" si="31"/>
        <v>EC</v>
      </c>
      <c r="AH49" s="109" t="str">
        <f t="shared" si="16"/>
        <v>"%USERPROFILE%\Documents\GitHub\eaglep3\Utilities\RefineRTDCRunTimes.py" --tripid 137-10 --locoid 4040 --swversion DE.1.0.7.0 --startMP 204:462 --initTime 2016-08-10T08:11:33 --startdatetime 2016-08-10T08:13:04 --delay 1 --endMP 204:233286 --enddatetime 2016-08-10T08:51:04 --enforcementcount 0</v>
      </c>
    </row>
    <row r="50" spans="1:34" s="1" customFormat="1" x14ac:dyDescent="0.25">
      <c r="A50" s="42" t="s">
        <v>362</v>
      </c>
      <c r="B50" s="7">
        <v>4039</v>
      </c>
      <c r="C50" s="25" t="s">
        <v>137</v>
      </c>
      <c r="D50" s="25" t="s">
        <v>174</v>
      </c>
      <c r="E50" s="16">
        <v>42592.376701388886</v>
      </c>
      <c r="F50" s="16">
        <v>42592.377650462964</v>
      </c>
      <c r="G50" s="7">
        <v>1</v>
      </c>
      <c r="H50" s="16" t="s">
        <v>182</v>
      </c>
      <c r="I50" s="16">
        <v>42592.409733796296</v>
      </c>
      <c r="J50" s="7">
        <v>0</v>
      </c>
      <c r="K50" s="25" t="str">
        <f t="shared" si="17"/>
        <v>4039/4040</v>
      </c>
      <c r="L50" s="25" t="str">
        <f>VLOOKUP(A50,'Trips&amp;Operators'!$C$1:$E$10000,3,FALSE)</f>
        <v>KILLION</v>
      </c>
      <c r="M50" s="6">
        <f t="shared" si="18"/>
        <v>3.2083333331684116E-2</v>
      </c>
      <c r="N50" s="7">
        <f t="shared" si="19"/>
        <v>46.199999997625127</v>
      </c>
      <c r="O50" s="7"/>
      <c r="P50" s="7"/>
      <c r="Q50" s="26"/>
      <c r="R50" s="26"/>
      <c r="S50" s="38">
        <f t="shared" si="20"/>
        <v>1</v>
      </c>
      <c r="T50" s="55" t="str">
        <f t="shared" si="21"/>
        <v>Southbound</v>
      </c>
      <c r="U50" s="14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08:02:27-0600',mode:absolute,to:'2016-08-10 10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50" s="57" t="str">
        <f t="shared" si="23"/>
        <v>N</v>
      </c>
      <c r="X50" s="136">
        <f t="shared" si="24"/>
        <v>1</v>
      </c>
      <c r="Y50" s="72">
        <f t="shared" si="25"/>
        <v>23.296900000000001</v>
      </c>
      <c r="Z50" s="72">
        <f t="shared" si="26"/>
        <v>1.41E-2</v>
      </c>
      <c r="AA50" s="72">
        <f t="shared" si="27"/>
        <v>23.282800000000002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28"/>
        <v>0138-10</v>
      </c>
      <c r="AE50" s="108" t="str">
        <f t="shared" si="29"/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AF50" s="105" t="str">
        <f t="shared" si="30"/>
        <v>"C:\Program Files (x86)\AstroGrep\AstroGrep.exe" /spath="%USERPROFILE%\AppData\Local\Temp\OnboardLogs" /stypes="*4039*20160810*" /stext=" 15:.+((SYSTEM_STATE.+slice.+state.+changed )|(ment ac)|(system.+state.+changed )|(\|lc)|(penalty)|(\[timeout)|(PRM\|1\|D)|(kpr)|(kdp))" /e /r /s</v>
      </c>
      <c r="AG50" s="1" t="str">
        <f t="shared" si="31"/>
        <v>EC</v>
      </c>
      <c r="AH50" s="109" t="str">
        <f t="shared" si="16"/>
        <v>"%USERPROFILE%\Documents\GitHub\eaglep3\Utilities\RefineRTDCRunTimes.py" --tripid 138-10 --locoid 4039 --swversion DE.1.0.7.0 --startMP 204:232969 --initTime 2016-08-10T09:02:27 --startdatetime 2016-08-10T09:03:49 --delay 1 --endMP 204:141 --enddatetime 2016-08-10T09:50:01 --enforcementcount 0</v>
      </c>
    </row>
    <row r="51" spans="1:34" s="1" customFormat="1" x14ac:dyDescent="0.25">
      <c r="A51" s="42" t="s">
        <v>363</v>
      </c>
      <c r="B51" s="7">
        <v>4020</v>
      </c>
      <c r="C51" s="25" t="s">
        <v>137</v>
      </c>
      <c r="D51" s="25" t="s">
        <v>168</v>
      </c>
      <c r="E51" s="16">
        <v>42592.353182870371</v>
      </c>
      <c r="F51" s="16">
        <v>42592.354247685187</v>
      </c>
      <c r="G51" s="7">
        <v>1</v>
      </c>
      <c r="H51" s="16" t="s">
        <v>358</v>
      </c>
      <c r="I51" s="16">
        <v>42592.37939814815</v>
      </c>
      <c r="J51" s="7">
        <v>0</v>
      </c>
      <c r="K51" s="25" t="str">
        <f t="shared" si="17"/>
        <v>4019/4020</v>
      </c>
      <c r="L51" s="25" t="str">
        <f>VLOOKUP(A51,'Trips&amp;Operators'!$C$1:$E$10000,3,FALSE)</f>
        <v>ROCHA</v>
      </c>
      <c r="M51" s="6">
        <f t="shared" si="18"/>
        <v>2.5150462963210884E-2</v>
      </c>
      <c r="N51" s="7">
        <f t="shared" si="19"/>
        <v>36.216666667023674</v>
      </c>
      <c r="O51" s="7"/>
      <c r="P51" s="7"/>
      <c r="Q51" s="26"/>
      <c r="R51" s="26"/>
      <c r="S51" s="38">
        <f t="shared" si="20"/>
        <v>1</v>
      </c>
      <c r="T51" s="55" t="str">
        <f t="shared" si="21"/>
        <v>NorthBound</v>
      </c>
      <c r="U51" s="14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07:28:35-0600',mode:absolute,to:'2016-08-10 10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51" s="57" t="str">
        <f t="shared" si="23"/>
        <v>N</v>
      </c>
      <c r="X51" s="136">
        <f t="shared" si="24"/>
        <v>1</v>
      </c>
      <c r="Y51" s="72">
        <f t="shared" si="25"/>
        <v>4.7100000000000003E-2</v>
      </c>
      <c r="Z51" s="72">
        <f t="shared" si="26"/>
        <v>23.331900000000001</v>
      </c>
      <c r="AA51" s="72">
        <f t="shared" si="27"/>
        <v>23.284800000000001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28"/>
        <v>0139-10</v>
      </c>
      <c r="AE51" s="108" t="str">
        <f t="shared" si="29"/>
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</c>
      <c r="AF51" s="105" t="str">
        <f t="shared" si="30"/>
        <v>"C:\Program Files (x86)\AstroGrep\AstroGrep.exe" /spath="%USERPROFILE%\AppData\Local\Temp\OnboardLogs" /stypes="*4020*20160810*" /stext=" 15:.+((SYSTEM_STATE.+slice.+state.+changed )|(ment ac)|(system.+state.+changed )|(\|lc)|(penalty)|(\[timeout)|(PRM\|1\|D)|(kpr)|(kdp))" /e /r /s</v>
      </c>
      <c r="AG51" s="1" t="str">
        <f t="shared" si="31"/>
        <v>EC</v>
      </c>
      <c r="AH51" s="109" t="str">
        <f t="shared" si="16"/>
        <v>"%USERPROFILE%\Documents\GitHub\eaglep3\Utilities\RefineRTDCRunTimes.py" --tripid 139-10 --locoid 4020 --swversion DE.1.0.7.0 --startMP 204:471 --initTime 2016-08-10T08:28:35 --startdatetime 2016-08-10T08:30:07 --delay 1 --endMP 204:233319 --enddatetime 2016-08-10T09:06:20 --enforcementcount 0</v>
      </c>
    </row>
    <row r="52" spans="1:34" s="1" customFormat="1" x14ac:dyDescent="0.25">
      <c r="A52" s="42" t="s">
        <v>364</v>
      </c>
      <c r="B52" s="7">
        <v>4019</v>
      </c>
      <c r="C52" s="25" t="s">
        <v>137</v>
      </c>
      <c r="D52" s="25" t="s">
        <v>184</v>
      </c>
      <c r="E52" s="16">
        <v>42592.387060185189</v>
      </c>
      <c r="F52" s="16">
        <v>42592.387928240743</v>
      </c>
      <c r="G52" s="7">
        <v>1</v>
      </c>
      <c r="H52" s="16" t="s">
        <v>192</v>
      </c>
      <c r="I52" s="16">
        <v>42592.420300925929</v>
      </c>
      <c r="J52" s="7">
        <v>0</v>
      </c>
      <c r="K52" s="25" t="str">
        <f t="shared" si="17"/>
        <v>4019/4020</v>
      </c>
      <c r="L52" s="25" t="str">
        <f>VLOOKUP(A52,'Trips&amp;Operators'!$C$1:$E$10000,3,FALSE)</f>
        <v>ROCHA</v>
      </c>
      <c r="M52" s="6">
        <f t="shared" si="18"/>
        <v>3.2372685185691807E-2</v>
      </c>
      <c r="N52" s="7">
        <f t="shared" si="19"/>
        <v>46.616666667396203</v>
      </c>
      <c r="O52" s="7"/>
      <c r="P52" s="7"/>
      <c r="Q52" s="26"/>
      <c r="R52" s="26"/>
      <c r="S52" s="38">
        <f t="shared" si="20"/>
        <v>1</v>
      </c>
      <c r="T52" s="55" t="str">
        <f t="shared" si="21"/>
        <v>Southbound</v>
      </c>
      <c r="U52" s="14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08:17:22-0600',mode:absolute,to:'2016-08-10 11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52" s="57" t="str">
        <f t="shared" si="23"/>
        <v>N</v>
      </c>
      <c r="X52" s="136">
        <f t="shared" si="24"/>
        <v>1</v>
      </c>
      <c r="Y52" s="72">
        <f t="shared" si="25"/>
        <v>23.298500000000001</v>
      </c>
      <c r="Z52" s="72">
        <f t="shared" si="26"/>
        <v>1.3599999999999999E-2</v>
      </c>
      <c r="AA52" s="72">
        <f t="shared" si="27"/>
        <v>23.2849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28"/>
        <v>0140-10</v>
      </c>
      <c r="AE52" s="108" t="str">
        <f t="shared" si="29"/>
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</c>
      <c r="AF52" s="105" t="str">
        <f t="shared" si="30"/>
        <v>"C:\Program Files (x86)\AstroGrep\AstroGrep.exe" /spath="%USERPROFILE%\AppData\Local\Temp\OnboardLogs" /stypes="*4019*20160810*" /stext=" 16:.+((SYSTEM_STATE.+slice.+state.+changed )|(ment ac)|(system.+state.+changed )|(\|lc)|(penalty)|(\[timeout)|(PRM\|1\|D)|(kpr)|(kdp))" /e /r /s</v>
      </c>
      <c r="AG52" s="1" t="str">
        <f t="shared" si="31"/>
        <v>EC</v>
      </c>
      <c r="AH52" s="109" t="str">
        <f t="shared" si="16"/>
        <v>"%USERPROFILE%\Documents\GitHub\eaglep3\Utilities\RefineRTDCRunTimes.py" --tripid 140-10 --locoid 4019 --swversion DE.1.0.7.0 --startMP 204:232985 --initTime 2016-08-10T09:17:22 --startdatetime 2016-08-10T09:18:37 --delay 1 --endMP 204:136 --enddatetime 2016-08-10T10:05:14 --enforcementcount 0</v>
      </c>
    </row>
    <row r="53" spans="1:34" s="1" customFormat="1" x14ac:dyDescent="0.25">
      <c r="A53" s="42" t="s">
        <v>365</v>
      </c>
      <c r="B53" s="7">
        <v>4009</v>
      </c>
      <c r="C53" s="25" t="s">
        <v>137</v>
      </c>
      <c r="D53" s="25" t="s">
        <v>366</v>
      </c>
      <c r="E53" s="16">
        <v>42592.361215277779</v>
      </c>
      <c r="F53" s="16">
        <v>42592.362881944442</v>
      </c>
      <c r="G53" s="7">
        <v>2</v>
      </c>
      <c r="H53" s="16" t="s">
        <v>321</v>
      </c>
      <c r="I53" s="16">
        <v>42592.389965277776</v>
      </c>
      <c r="J53" s="7">
        <v>0</v>
      </c>
      <c r="K53" s="25" t="str">
        <f t="shared" si="17"/>
        <v>4009/4010</v>
      </c>
      <c r="L53" s="25" t="str">
        <f>VLOOKUP(A53,'Trips&amp;Operators'!$C$1:$E$10000,3,FALSE)</f>
        <v>MAELZER</v>
      </c>
      <c r="M53" s="6">
        <f t="shared" si="18"/>
        <v>2.7083333334303461E-2</v>
      </c>
      <c r="N53" s="7">
        <f t="shared" si="19"/>
        <v>39.000000001396984</v>
      </c>
      <c r="O53" s="7"/>
      <c r="P53" s="7"/>
      <c r="Q53" s="26"/>
      <c r="R53" s="26"/>
      <c r="S53" s="38">
        <f t="shared" si="20"/>
        <v>1</v>
      </c>
      <c r="T53" s="55" t="str">
        <f t="shared" si="21"/>
        <v>NorthBound</v>
      </c>
      <c r="U53" s="14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07:40:09-0600',mode:absolute,to:'2016-08-10 10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53" s="57" t="str">
        <f t="shared" si="23"/>
        <v>N</v>
      </c>
      <c r="X53" s="136">
        <f t="shared" si="24"/>
        <v>1</v>
      </c>
      <c r="Y53" s="72">
        <f t="shared" si="25"/>
        <v>4.3799999999999999E-2</v>
      </c>
      <c r="Z53" s="72">
        <f t="shared" si="26"/>
        <v>23.328800000000001</v>
      </c>
      <c r="AA53" s="72">
        <f t="shared" si="27"/>
        <v>23.285</v>
      </c>
      <c r="AB53" s="69" t="e">
        <f>VLOOKUP(A53,Enforcements!$C$7:$J$24,8,0)</f>
        <v>#N/A</v>
      </c>
      <c r="AC53" s="65" t="e">
        <f>VLOOKUP(A53,Enforcements!$C$7:$E$24,3,0)</f>
        <v>#N/A</v>
      </c>
      <c r="AD53" s="66" t="str">
        <f t="shared" si="28"/>
        <v>0141-10</v>
      </c>
      <c r="AE53" s="108" t="str">
        <f t="shared" si="29"/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AF53" s="105" t="str">
        <f t="shared" si="30"/>
        <v>"C:\Program Files (x86)\AstroGrep\AstroGrep.exe" /spath="%USERPROFILE%\AppData\Local\Temp\OnboardLogs" /stypes="*4009*20160810*" /stext=" 15:.+((SYSTEM_STATE.+slice.+state.+changed )|(ment ac)|(system.+state.+changed )|(\|lc)|(penalty)|(\[timeout)|(PRM\|1\|D)|(kpr)|(kdp))" /e /r /s</v>
      </c>
      <c r="AG53" s="1" t="str">
        <f t="shared" si="31"/>
        <v>EC</v>
      </c>
      <c r="AH53" s="109" t="str">
        <f t="shared" si="16"/>
        <v>"%USERPROFILE%\Documents\GitHub\eaglep3\Utilities\RefineRTDCRunTimes.py" --tripid 141-10 --locoid 4009 --swversion DE.1.0.7.0 --startMP 204:438 --initTime 2016-08-10T08:40:09 --startdatetime 2016-08-10T08:42:33 --delay 2 --endMP 204:233288 --enddatetime 2016-08-10T09:21:33 --enforcementcount 0</v>
      </c>
    </row>
    <row r="54" spans="1:34" s="1" customFormat="1" x14ac:dyDescent="0.25">
      <c r="A54" s="42" t="s">
        <v>367</v>
      </c>
      <c r="B54" s="7">
        <v>4010</v>
      </c>
      <c r="C54" s="25" t="s">
        <v>137</v>
      </c>
      <c r="D54" s="25" t="s">
        <v>201</v>
      </c>
      <c r="E54" s="16">
        <v>42592.39439814815</v>
      </c>
      <c r="F54" s="16">
        <v>42592.395219907405</v>
      </c>
      <c r="G54" s="7">
        <v>1</v>
      </c>
      <c r="H54" s="16" t="s">
        <v>58</v>
      </c>
      <c r="I54" s="16">
        <v>42592.43</v>
      </c>
      <c r="J54" s="7">
        <v>0</v>
      </c>
      <c r="K54" s="25" t="str">
        <f t="shared" si="17"/>
        <v>4009/4010</v>
      </c>
      <c r="L54" s="25" t="str">
        <f>VLOOKUP(A54,'Trips&amp;Operators'!$C$1:$E$10000,3,FALSE)</f>
        <v>MAELZER</v>
      </c>
      <c r="M54" s="6">
        <f t="shared" si="18"/>
        <v>3.4780092595610768E-2</v>
      </c>
      <c r="N54" s="7">
        <f t="shared" si="19"/>
        <v>50.083333337679505</v>
      </c>
      <c r="O54" s="7"/>
      <c r="P54" s="7"/>
      <c r="Q54" s="26"/>
      <c r="R54" s="26"/>
      <c r="S54" s="38">
        <f t="shared" si="20"/>
        <v>1</v>
      </c>
      <c r="T54" s="55" t="str">
        <f t="shared" si="21"/>
        <v>Southbound</v>
      </c>
      <c r="U54" s="14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08:27:56-0600',mode:absolute,to:'2016-08-10 11:19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54" s="57" t="str">
        <f t="shared" si="23"/>
        <v>N</v>
      </c>
      <c r="X54" s="136">
        <f t="shared" si="24"/>
        <v>1</v>
      </c>
      <c r="Y54" s="72">
        <f t="shared" si="25"/>
        <v>23.296299999999999</v>
      </c>
      <c r="Z54" s="72">
        <f t="shared" si="26"/>
        <v>1.52E-2</v>
      </c>
      <c r="AA54" s="72">
        <f t="shared" si="27"/>
        <v>23.281099999999999</v>
      </c>
      <c r="AB54" s="69" t="e">
        <f>VLOOKUP(A54,Enforcements!$C$7:$J$24,8,0)</f>
        <v>#N/A</v>
      </c>
      <c r="AC54" s="65" t="e">
        <f>VLOOKUP(A54,Enforcements!$C$7:$E$24,3,0)</f>
        <v>#N/A</v>
      </c>
      <c r="AD54" s="66" t="str">
        <f t="shared" si="28"/>
        <v>0142-10</v>
      </c>
      <c r="AE54" s="108" t="str">
        <f t="shared" si="29"/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AF54" s="105" t="str">
        <f t="shared" si="30"/>
        <v>"C:\Program Files (x86)\AstroGrep\AstroGrep.exe" /spath="%USERPROFILE%\AppData\Local\Temp\OnboardLogs" /stypes="*4010*20160810*" /stext=" 16:.+((SYSTEM_STATE.+slice.+state.+changed )|(ment ac)|(system.+state.+changed )|(\|lc)|(penalty)|(\[timeout)|(PRM\|1\|D)|(kpr)|(kdp))" /e /r /s</v>
      </c>
      <c r="AG54" s="1" t="str">
        <f t="shared" si="31"/>
        <v>EC</v>
      </c>
      <c r="AH54" s="109" t="str">
        <f t="shared" si="16"/>
        <v>"%USERPROFILE%\Documents\GitHub\eaglep3\Utilities\RefineRTDCRunTimes.py" --tripid 142-10 --locoid 4010 --swversion DE.1.0.7.0 --startMP 204:232963 --initTime 2016-08-10T09:27:56 --startdatetime 2016-08-10T09:29:07 --delay 1 --endMP 204:152 --enddatetime 2016-08-10T10:19:12 --enforcementcount 0</v>
      </c>
    </row>
    <row r="55" spans="1:34" s="1" customFormat="1" x14ac:dyDescent="0.25">
      <c r="A55" s="42" t="s">
        <v>368</v>
      </c>
      <c r="B55" s="7">
        <v>4016</v>
      </c>
      <c r="C55" s="25" t="s">
        <v>137</v>
      </c>
      <c r="D55" s="25" t="s">
        <v>226</v>
      </c>
      <c r="E55" s="16">
        <v>42592.370891203704</v>
      </c>
      <c r="F55" s="16">
        <v>42592.371886574074</v>
      </c>
      <c r="G55" s="7">
        <v>1</v>
      </c>
      <c r="H55" s="16" t="s">
        <v>224</v>
      </c>
      <c r="I55" s="16">
        <v>42592.402002314811</v>
      </c>
      <c r="J55" s="7">
        <v>0</v>
      </c>
      <c r="K55" s="25" t="str">
        <f t="shared" si="17"/>
        <v>4015/4016</v>
      </c>
      <c r="L55" s="25" t="str">
        <f>VLOOKUP(A55,'Trips&amp;Operators'!$C$1:$E$10000,3,FALSE)</f>
        <v>BRANNON</v>
      </c>
      <c r="M55" s="6">
        <f t="shared" si="18"/>
        <v>3.011574073752854E-2</v>
      </c>
      <c r="N55" s="7">
        <f t="shared" si="19"/>
        <v>43.366666662041098</v>
      </c>
      <c r="O55" s="7"/>
      <c r="P55" s="7"/>
      <c r="Q55" s="26"/>
      <c r="R55" s="26"/>
      <c r="S55" s="38">
        <f t="shared" si="20"/>
        <v>1</v>
      </c>
      <c r="T55" s="55" t="str">
        <f t="shared" si="21"/>
        <v>NorthBound</v>
      </c>
      <c r="U55" s="14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07:54:05-0600',mode:absolute,to:'2016-08-10 10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55" s="57" t="str">
        <f t="shared" si="23"/>
        <v>N</v>
      </c>
      <c r="X55" s="136">
        <f t="shared" si="24"/>
        <v>1</v>
      </c>
      <c r="Y55" s="72">
        <f t="shared" si="25"/>
        <v>4.6899999999999997E-2</v>
      </c>
      <c r="Z55" s="72">
        <f t="shared" si="26"/>
        <v>23.328700000000001</v>
      </c>
      <c r="AA55" s="72">
        <f t="shared" si="27"/>
        <v>23.2818</v>
      </c>
      <c r="AB55" s="69" t="e">
        <f>VLOOKUP(A55,Enforcements!$C$7:$J$24,8,0)</f>
        <v>#N/A</v>
      </c>
      <c r="AC55" s="65" t="e">
        <f>VLOOKUP(A55,Enforcements!$C$7:$E$24,3,0)</f>
        <v>#N/A</v>
      </c>
      <c r="AD55" s="66" t="str">
        <f t="shared" si="28"/>
        <v>0143-10</v>
      </c>
      <c r="AE55" s="108" t="str">
        <f t="shared" si="29"/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55" s="105" t="str">
        <f t="shared" si="30"/>
        <v>"C:\Program Files (x86)\AstroGrep\AstroGrep.exe" /spath="%USERPROFILE%\AppData\Local\Temp\OnboardLogs" /stypes="*4016*20160810*" /stext=" 15:.+((SYSTEM_STATE.+slice.+state.+changed )|(ment ac)|(system.+state.+changed )|(\|lc)|(penalty)|(\[timeout)|(PRM\|1\|D)|(kpr)|(kdp))" /e /r /s</v>
      </c>
      <c r="AG55" s="1" t="str">
        <f t="shared" si="31"/>
        <v>EC</v>
      </c>
      <c r="AH55" s="109" t="str">
        <f t="shared" si="16"/>
        <v>"%USERPROFILE%\Documents\GitHub\eaglep3\Utilities\RefineRTDCRunTimes.py" --tripid 143-10 --locoid 4016 --swversion DE.1.0.7.0 --startMP 204:469 --initTime 2016-08-10T08:54:05 --startdatetime 2016-08-10T08:55:31 --delay 1 --endMP 204:233287 --enddatetime 2016-08-10T09:38:53 --enforcementcount 0</v>
      </c>
    </row>
    <row r="56" spans="1:34" x14ac:dyDescent="0.25">
      <c r="A56" s="42" t="s">
        <v>369</v>
      </c>
      <c r="B56" s="7">
        <v>4015</v>
      </c>
      <c r="C56" s="25" t="s">
        <v>137</v>
      </c>
      <c r="D56" s="25" t="s">
        <v>199</v>
      </c>
      <c r="E56" s="16">
        <v>42592.409062500003</v>
      </c>
      <c r="F56" s="16">
        <v>42592.410937499997</v>
      </c>
      <c r="G56" s="7">
        <v>2</v>
      </c>
      <c r="H56" s="16" t="s">
        <v>104</v>
      </c>
      <c r="I56" s="16">
        <v>42592.442881944444</v>
      </c>
      <c r="J56" s="7">
        <v>1</v>
      </c>
      <c r="K56" s="25" t="str">
        <f t="shared" si="17"/>
        <v>4015/4016</v>
      </c>
      <c r="L56" s="25" t="str">
        <f>VLOOKUP(A56,'Trips&amp;Operators'!$C$1:$E$10000,3,FALSE)</f>
        <v>BRANNON</v>
      </c>
      <c r="M56" s="6">
        <f t="shared" si="18"/>
        <v>3.1944444446708076E-2</v>
      </c>
      <c r="N56" s="7">
        <f t="shared" si="19"/>
        <v>46.000000003259629</v>
      </c>
      <c r="O56" s="7"/>
      <c r="P56" s="7"/>
      <c r="Q56" s="26"/>
      <c r="R56" s="26"/>
      <c r="S56" s="38">
        <f t="shared" si="20"/>
        <v>1</v>
      </c>
      <c r="T56" s="55" t="str">
        <f t="shared" si="21"/>
        <v>Southbound</v>
      </c>
      <c r="U56" s="14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08:49:03-0600',mode:absolute,to:'2016-08-10 11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56" s="57" t="str">
        <f t="shared" si="23"/>
        <v>N</v>
      </c>
      <c r="X56" s="136">
        <f t="shared" si="24"/>
        <v>1</v>
      </c>
      <c r="Y56" s="72">
        <f t="shared" si="25"/>
        <v>23.2987</v>
      </c>
      <c r="Z56" s="72">
        <f t="shared" si="26"/>
        <v>1.5599999999999999E-2</v>
      </c>
      <c r="AA56" s="72">
        <f t="shared" si="27"/>
        <v>23.283100000000001</v>
      </c>
      <c r="AB56" s="69">
        <f>VLOOKUP(A56,Enforcements!$C$7:$J$24,8,0)</f>
        <v>42961</v>
      </c>
      <c r="AC56" s="65" t="str">
        <f>VLOOKUP(A56,Enforcements!$C$7:$E$24,3,0)</f>
        <v>GRADE CROSSING</v>
      </c>
      <c r="AD56" s="66" t="str">
        <f t="shared" si="28"/>
        <v>0144-10</v>
      </c>
      <c r="AE56" s="108" t="str">
        <f t="shared" si="29"/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56" s="105" t="str">
        <f t="shared" si="30"/>
        <v>"C:\Program Files (x86)\AstroGrep\AstroGrep.exe" /spath="%USERPROFILE%\AppData\Local\Temp\OnboardLogs" /stypes="*4015*20160810*" /stext=" 16:.+((SYSTEM_STATE.+slice.+state.+changed )|(ment ac)|(system.+state.+changed )|(\|lc)|(penalty)|(\[timeout)|(PRM\|1\|D)|(kpr)|(kdp))" /e /r /s</v>
      </c>
      <c r="AG56" s="1" t="str">
        <f t="shared" si="31"/>
        <v>EC</v>
      </c>
      <c r="AH56" s="109" t="str">
        <f t="shared" si="16"/>
        <v>"%USERPROFILE%\Documents\GitHub\eaglep3\Utilities\RefineRTDCRunTimes.py" --tripid 144-10 --locoid 4015 --swversion DE.1.0.7.0 --startMP 204:232987 --initTime 2016-08-10T09:49:03 --startdatetime 2016-08-10T09:51:45 --delay 2 --endMP 204:156 --enddatetime 2016-08-10T10:37:45 --enforcementcount 1</v>
      </c>
    </row>
    <row r="57" spans="1:34" x14ac:dyDescent="0.25">
      <c r="A57" s="42" t="s">
        <v>370</v>
      </c>
      <c r="B57" s="7">
        <v>4029</v>
      </c>
      <c r="C57" s="25" t="s">
        <v>137</v>
      </c>
      <c r="D57" s="25" t="s">
        <v>228</v>
      </c>
      <c r="E57" s="16">
        <v>42592.380393518521</v>
      </c>
      <c r="F57" s="16">
        <v>42592.381608796299</v>
      </c>
      <c r="G57" s="7">
        <v>1</v>
      </c>
      <c r="H57" s="16" t="s">
        <v>155</v>
      </c>
      <c r="I57" s="16">
        <v>42592.410196759258</v>
      </c>
      <c r="J57" s="7">
        <v>0</v>
      </c>
      <c r="K57" s="25" t="str">
        <f t="shared" si="17"/>
        <v>4029/4030</v>
      </c>
      <c r="L57" s="25" t="str">
        <f>VLOOKUP(A57,'Trips&amp;Operators'!$C$1:$E$10000,3,FALSE)</f>
        <v>ACKERMAN</v>
      </c>
      <c r="M57" s="6">
        <f t="shared" si="18"/>
        <v>2.8587962959136348E-2</v>
      </c>
      <c r="N57" s="7">
        <f t="shared" si="19"/>
        <v>41.166666661156341</v>
      </c>
      <c r="O57" s="7"/>
      <c r="P57" s="7"/>
      <c r="Q57" s="26"/>
      <c r="R57" s="26"/>
      <c r="S57" s="38">
        <f t="shared" si="20"/>
        <v>1</v>
      </c>
      <c r="T57" s="55" t="str">
        <f t="shared" si="21"/>
        <v>NorthBound</v>
      </c>
      <c r="U57" s="14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08:07:46-0600',mode:absolute,to:'2016-08-10 10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57" s="57" t="str">
        <f t="shared" si="23"/>
        <v>N</v>
      </c>
      <c r="X57" s="136">
        <f t="shared" si="24"/>
        <v>1</v>
      </c>
      <c r="Y57" s="72">
        <f t="shared" si="25"/>
        <v>4.3700000000000003E-2</v>
      </c>
      <c r="Z57" s="72">
        <f t="shared" si="26"/>
        <v>23.329699999999999</v>
      </c>
      <c r="AA57" s="72">
        <f t="shared" si="27"/>
        <v>23.285999999999998</v>
      </c>
      <c r="AB57" s="69" t="e">
        <f>VLOOKUP(A57,Enforcements!$C$7:$J$24,8,0)</f>
        <v>#N/A</v>
      </c>
      <c r="AC57" s="65" t="e">
        <f>VLOOKUP(A57,Enforcements!$C$7:$E$24,3,0)</f>
        <v>#N/A</v>
      </c>
      <c r="AD57" s="66" t="str">
        <f t="shared" si="28"/>
        <v>0145-10</v>
      </c>
      <c r="AE57" s="108" t="str">
        <f t="shared" si="29"/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AF57" s="105" t="str">
        <f t="shared" si="30"/>
        <v>"C:\Program Files (x86)\AstroGrep\AstroGrep.exe" /spath="%USERPROFILE%\AppData\Local\Temp\OnboardLogs" /stypes="*4029*20160810*" /stext=" 15:.+((SYSTEM_STATE.+slice.+state.+changed )|(ment ac)|(system.+state.+changed )|(\|lc)|(penalty)|(\[timeout)|(PRM\|1\|D)|(kpr)|(kdp))" /e /r /s</v>
      </c>
      <c r="AG57" s="1" t="str">
        <f t="shared" si="31"/>
        <v>EC</v>
      </c>
      <c r="AH57" s="109" t="str">
        <f t="shared" si="16"/>
        <v>"%USERPROFILE%\Documents\GitHub\eaglep3\Utilities\RefineRTDCRunTimes.py" --tripid 145-10 --locoid 4029 --swversion DE.1.0.7.0 --startMP 204:437 --initTime 2016-08-10T09:07:46 --startdatetime 2016-08-10T09:09:31 --delay 1 --endMP 204:233297 --enddatetime 2016-08-10T09:50:41 --enforcementcount 0</v>
      </c>
    </row>
    <row r="58" spans="1:34" s="1" customFormat="1" x14ac:dyDescent="0.25">
      <c r="A58" s="42" t="s">
        <v>371</v>
      </c>
      <c r="B58" s="7">
        <v>4030</v>
      </c>
      <c r="C58" s="25" t="s">
        <v>137</v>
      </c>
      <c r="D58" s="25" t="s">
        <v>63</v>
      </c>
      <c r="E58" s="16">
        <v>42592.417372685188</v>
      </c>
      <c r="F58" s="16">
        <v>42592.41883101852</v>
      </c>
      <c r="G58" s="7">
        <v>2</v>
      </c>
      <c r="H58" s="16" t="s">
        <v>372</v>
      </c>
      <c r="I58" s="16">
        <v>42592.451331018521</v>
      </c>
      <c r="J58" s="7">
        <v>0</v>
      </c>
      <c r="K58" s="25" t="str">
        <f t="shared" si="17"/>
        <v>4029/4030</v>
      </c>
      <c r="L58" s="25" t="str">
        <f>VLOOKUP(A58,'Trips&amp;Operators'!$C$1:$E$10000,3,FALSE)</f>
        <v>ACKERMAN</v>
      </c>
      <c r="M58" s="6">
        <f t="shared" si="18"/>
        <v>3.2500000001164153E-2</v>
      </c>
      <c r="N58" s="7">
        <f t="shared" si="19"/>
        <v>46.800000001676381</v>
      </c>
      <c r="O58" s="7"/>
      <c r="P58" s="7"/>
      <c r="Q58" s="26"/>
      <c r="R58" s="26"/>
      <c r="S58" s="38">
        <f t="shared" si="20"/>
        <v>1</v>
      </c>
      <c r="T58" s="55" t="str">
        <f t="shared" si="21"/>
        <v>Southbound</v>
      </c>
      <c r="U58" s="14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09:01:01-0600',mode:absolute,to:'2016-08-10 11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58" s="57" t="str">
        <f t="shared" si="23"/>
        <v>N</v>
      </c>
      <c r="X58" s="136">
        <f t="shared" si="24"/>
        <v>1</v>
      </c>
      <c r="Y58" s="72">
        <f t="shared" si="25"/>
        <v>23.297699999999999</v>
      </c>
      <c r="Z58" s="72">
        <f t="shared" si="26"/>
        <v>1.2500000000000001E-2</v>
      </c>
      <c r="AA58" s="72">
        <f t="shared" si="27"/>
        <v>23.2852</v>
      </c>
      <c r="AB58" s="69" t="e">
        <f>VLOOKUP(A58,Enforcements!$C$7:$J$24,8,0)</f>
        <v>#N/A</v>
      </c>
      <c r="AC58" s="65" t="e">
        <f>VLOOKUP(A58,Enforcements!$C$7:$E$24,3,0)</f>
        <v>#N/A</v>
      </c>
      <c r="AD58" s="66" t="str">
        <f t="shared" si="28"/>
        <v>0146-10</v>
      </c>
      <c r="AE58" s="108" t="str">
        <f t="shared" si="29"/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AF58" s="105" t="str">
        <f t="shared" si="30"/>
        <v>"C:\Program Files (x86)\AstroGrep\AstroGrep.exe" /spath="%USERPROFILE%\AppData\Local\Temp\OnboardLogs" /stypes="*4030*20160810*" /stext=" 16:.+((SYSTEM_STATE.+slice.+state.+changed )|(ment ac)|(system.+state.+changed )|(\|lc)|(penalty)|(\[timeout)|(PRM\|1\|D)|(kpr)|(kdp))" /e /r /s</v>
      </c>
      <c r="AG58" s="1" t="str">
        <f t="shared" si="31"/>
        <v>EC</v>
      </c>
      <c r="AH58" s="109" t="str">
        <f t="shared" si="16"/>
        <v>"%USERPROFILE%\Documents\GitHub\eaglep3\Utilities\RefineRTDCRunTimes.py" --tripid 146-10 --locoid 4030 --swversion DE.1.0.7.0 --startMP 204:232977 --initTime 2016-08-10T10:01:01 --startdatetime 2016-08-10T10:03:07 --delay 2 --endMP 204:125 --enddatetime 2016-08-10T10:49:55 --enforcementcount 0</v>
      </c>
    </row>
    <row r="59" spans="1:34" s="1" customFormat="1" x14ac:dyDescent="0.25">
      <c r="A59" s="42" t="s">
        <v>373</v>
      </c>
      <c r="B59" s="7">
        <v>4018</v>
      </c>
      <c r="C59" s="25" t="s">
        <v>137</v>
      </c>
      <c r="D59" s="25" t="s">
        <v>251</v>
      </c>
      <c r="E59" s="16">
        <v>42592.390983796293</v>
      </c>
      <c r="F59" s="16">
        <v>42592.391863425924</v>
      </c>
      <c r="G59" s="7">
        <v>1</v>
      </c>
      <c r="H59" s="16" t="s">
        <v>220</v>
      </c>
      <c r="I59" s="16">
        <v>42592.421099537038</v>
      </c>
      <c r="J59" s="7">
        <v>0</v>
      </c>
      <c r="K59" s="25" t="str">
        <f t="shared" si="17"/>
        <v>4017/4018</v>
      </c>
      <c r="L59" s="25" t="str">
        <f>VLOOKUP(A59,'Trips&amp;Operators'!$C$1:$E$10000,3,FALSE)</f>
        <v>STAMBAUGH</v>
      </c>
      <c r="M59" s="6">
        <f t="shared" si="18"/>
        <v>2.923611111327773E-2</v>
      </c>
      <c r="N59" s="7">
        <f t="shared" si="19"/>
        <v>42.100000003119931</v>
      </c>
      <c r="O59" s="7"/>
      <c r="P59" s="7"/>
      <c r="Q59" s="26"/>
      <c r="R59" s="26"/>
      <c r="S59" s="38">
        <f t="shared" si="20"/>
        <v>1</v>
      </c>
      <c r="T59" s="55" t="str">
        <f t="shared" si="21"/>
        <v>NorthBound</v>
      </c>
      <c r="U59" s="14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08:23:01-0600',mode:absolute,to:'2016-08-10 11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59" s="57" t="str">
        <f t="shared" si="23"/>
        <v>N</v>
      </c>
      <c r="X59" s="136">
        <f t="shared" si="24"/>
        <v>1</v>
      </c>
      <c r="Y59" s="72">
        <f t="shared" si="25"/>
        <v>4.5100000000000001E-2</v>
      </c>
      <c r="Z59" s="72">
        <f t="shared" si="26"/>
        <v>23.333400000000001</v>
      </c>
      <c r="AA59" s="72">
        <f t="shared" si="27"/>
        <v>23.2883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28"/>
        <v>0147-10</v>
      </c>
      <c r="AE59" s="108" t="str">
        <f t="shared" si="29"/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59" s="105" t="str">
        <f t="shared" si="30"/>
        <v>"C:\Program Files (x86)\AstroGrep\AstroGrep.exe" /spath="%USERPROFILE%\AppData\Local\Temp\OnboardLogs" /stypes="*4018*20160810*" /stext=" 16:.+((SYSTEM_STATE.+slice.+state.+changed )|(ment ac)|(system.+state.+changed )|(\|lc)|(penalty)|(\[timeout)|(PRM\|1\|D)|(kpr)|(kdp))" /e /r /s</v>
      </c>
      <c r="AG59" s="1" t="str">
        <f t="shared" si="31"/>
        <v>EC</v>
      </c>
      <c r="AH59" s="109" t="str">
        <f t="shared" si="16"/>
        <v>"%USERPROFILE%\Documents\GitHub\eaglep3\Utilities\RefineRTDCRunTimes.py" --tripid 147-10 --locoid 4018 --swversion DE.1.0.7.0 --startMP 204:451 --initTime 2016-08-10T09:23:01 --startdatetime 2016-08-10T09:24:17 --delay 1 --endMP 204:233334 --enddatetime 2016-08-10T10:06:23 --enforcementcount 0</v>
      </c>
    </row>
    <row r="60" spans="1:34" x14ac:dyDescent="0.25">
      <c r="A60" s="42" t="s">
        <v>374</v>
      </c>
      <c r="B60" s="7">
        <v>4017</v>
      </c>
      <c r="C60" s="25" t="s">
        <v>137</v>
      </c>
      <c r="D60" s="25" t="s">
        <v>375</v>
      </c>
      <c r="E60" s="16">
        <v>42592.429097222222</v>
      </c>
      <c r="F60" s="16">
        <v>42592.429918981485</v>
      </c>
      <c r="G60" s="7">
        <v>1</v>
      </c>
      <c r="H60" s="16" t="s">
        <v>182</v>
      </c>
      <c r="I60" s="16">
        <v>42592.461655092593</v>
      </c>
      <c r="J60" s="7">
        <v>0</v>
      </c>
      <c r="K60" s="25" t="str">
        <f t="shared" si="17"/>
        <v>4017/4018</v>
      </c>
      <c r="L60" s="25" t="str">
        <f>VLOOKUP(A60,'Trips&amp;Operators'!$C$1:$E$10000,3,FALSE)</f>
        <v>STAMBAUGH</v>
      </c>
      <c r="M60" s="6">
        <f t="shared" si="18"/>
        <v>3.1736111108330078E-2</v>
      </c>
      <c r="N60" s="7">
        <f t="shared" si="19"/>
        <v>45.699999995995313</v>
      </c>
      <c r="O60" s="7"/>
      <c r="P60" s="7"/>
      <c r="Q60" s="26"/>
      <c r="R60" s="26"/>
      <c r="S60" s="38">
        <f t="shared" si="20"/>
        <v>1</v>
      </c>
      <c r="T60" s="55" t="str">
        <f t="shared" si="21"/>
        <v>Southbound</v>
      </c>
      <c r="U60" s="14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09:17:54-0600',mode:absolute,to:'2016-08-10 12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60" s="57" t="str">
        <f t="shared" si="23"/>
        <v>N</v>
      </c>
      <c r="X60" s="136">
        <f t="shared" si="24"/>
        <v>1</v>
      </c>
      <c r="Y60" s="72">
        <f t="shared" si="25"/>
        <v>23.302099999999999</v>
      </c>
      <c r="Z60" s="72">
        <f t="shared" si="26"/>
        <v>1.41E-2</v>
      </c>
      <c r="AA60" s="72">
        <f t="shared" si="27"/>
        <v>23.288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28"/>
        <v>0148-10</v>
      </c>
      <c r="AE60" s="108" t="str">
        <f t="shared" si="29"/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AF60" s="105" t="str">
        <f t="shared" si="30"/>
        <v>"C:\Program Files (x86)\AstroGrep\AstroGrep.exe" /spath="%USERPROFILE%\AppData\Local\Temp\OnboardLogs" /stypes="*4017*20160810*" /stext=" 17:.+((SYSTEM_STATE.+slice.+state.+changed )|(ment ac)|(system.+state.+changed )|(\|lc)|(penalty)|(\[timeout)|(PRM\|1\|D)|(kpr)|(kdp))" /e /r /s</v>
      </c>
      <c r="AG60" s="1" t="str">
        <f t="shared" si="31"/>
        <v>EC</v>
      </c>
      <c r="AH60" s="109" t="str">
        <f t="shared" si="16"/>
        <v>"%USERPROFILE%\Documents\GitHub\eaglep3\Utilities\RefineRTDCRunTimes.py" --tripid 148-10 --locoid 4017 --swversion DE.1.0.7.0 --startMP 204:233021 --initTime 2016-08-10T10:17:54 --startdatetime 2016-08-10T10:19:05 --delay 1 --endMP 204:141 --enddatetime 2016-08-10T11:04:47 --enforcementcount 0</v>
      </c>
    </row>
    <row r="61" spans="1:34" x14ac:dyDescent="0.25">
      <c r="A61" s="42" t="s">
        <v>376</v>
      </c>
      <c r="B61" s="7">
        <v>4007</v>
      </c>
      <c r="C61" s="25" t="s">
        <v>137</v>
      </c>
      <c r="D61" s="25" t="s">
        <v>181</v>
      </c>
      <c r="E61" s="16">
        <v>42592.401030092595</v>
      </c>
      <c r="F61" s="16">
        <v>42592.402060185188</v>
      </c>
      <c r="G61" s="7">
        <v>1</v>
      </c>
      <c r="H61" s="16" t="s">
        <v>377</v>
      </c>
      <c r="I61" s="16">
        <v>42592.431030092594</v>
      </c>
      <c r="J61" s="7">
        <v>0</v>
      </c>
      <c r="K61" s="25" t="str">
        <f t="shared" si="17"/>
        <v>4007/4008</v>
      </c>
      <c r="L61" s="25" t="str">
        <f>VLOOKUP(A61,'Trips&amp;Operators'!$C$1:$E$10000,3,FALSE)</f>
        <v>SPECTOR</v>
      </c>
      <c r="M61" s="6">
        <f t="shared" si="18"/>
        <v>2.8969907405553386E-2</v>
      </c>
      <c r="N61" s="7">
        <f t="shared" si="19"/>
        <v>41.716666663996875</v>
      </c>
      <c r="O61" s="7"/>
      <c r="P61" s="7"/>
      <c r="Q61" s="26"/>
      <c r="R61" s="26"/>
      <c r="S61" s="38">
        <f t="shared" si="20"/>
        <v>1</v>
      </c>
      <c r="T61" s="55" t="str">
        <f t="shared" si="21"/>
        <v>NorthBound</v>
      </c>
      <c r="U61" s="14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08:37:29-0600',mode:absolute,to:'2016-08-10 11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61" s="57" t="str">
        <f t="shared" si="23"/>
        <v>N</v>
      </c>
      <c r="X61" s="136">
        <f t="shared" si="24"/>
        <v>1</v>
      </c>
      <c r="Y61" s="72">
        <f t="shared" si="25"/>
        <v>4.3999999999999997E-2</v>
      </c>
      <c r="Z61" s="72">
        <f t="shared" si="26"/>
        <v>23.332000000000001</v>
      </c>
      <c r="AA61" s="72">
        <f t="shared" si="27"/>
        <v>23.288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si="28"/>
        <v>0149-10</v>
      </c>
      <c r="AE61" s="108" t="str">
        <f t="shared" si="29"/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AF61" s="105" t="str">
        <f t="shared" si="30"/>
        <v>"C:\Program Files (x86)\AstroGrep\AstroGrep.exe" /spath="%USERPROFILE%\AppData\Local\Temp\OnboardLogs" /stypes="*4007*20160810*" /stext=" 16:.+((SYSTEM_STATE.+slice.+state.+changed )|(ment ac)|(system.+state.+changed )|(\|lc)|(penalty)|(\[timeout)|(PRM\|1\|D)|(kpr)|(kdp))" /e /r /s</v>
      </c>
      <c r="AG61" s="1" t="str">
        <f t="shared" si="31"/>
        <v>EC</v>
      </c>
      <c r="AH61" s="109" t="str">
        <f t="shared" si="16"/>
        <v>"%USERPROFILE%\Documents\GitHub\eaglep3\Utilities\RefineRTDCRunTimes.py" --tripid 149-10 --locoid 4007 --swversion DE.1.0.7.0 --startMP 204:440 --initTime 2016-08-10T09:37:29 --startdatetime 2016-08-10T09:38:58 --delay 1 --endMP 204:233320 --enddatetime 2016-08-10T10:20:41 --enforcementcount 0</v>
      </c>
    </row>
    <row r="62" spans="1:34" x14ac:dyDescent="0.25">
      <c r="A62" s="42" t="s">
        <v>378</v>
      </c>
      <c r="B62" s="7">
        <v>4008</v>
      </c>
      <c r="C62" s="25" t="s">
        <v>137</v>
      </c>
      <c r="D62" s="25" t="s">
        <v>379</v>
      </c>
      <c r="E62" s="16">
        <v>42592.437002314815</v>
      </c>
      <c r="F62" s="16">
        <v>42592.437974537039</v>
      </c>
      <c r="G62" s="7">
        <v>1</v>
      </c>
      <c r="H62" s="16" t="s">
        <v>165</v>
      </c>
      <c r="I62" s="16">
        <v>42592.473252314812</v>
      </c>
      <c r="J62" s="7">
        <v>0</v>
      </c>
      <c r="K62" s="25" t="str">
        <f t="shared" si="17"/>
        <v>4007/4008</v>
      </c>
      <c r="L62" s="25" t="str">
        <f>VLOOKUP(A62,'Trips&amp;Operators'!$C$1:$E$10000,3,FALSE)</f>
        <v>SPECTOR</v>
      </c>
      <c r="M62" s="6">
        <f t="shared" si="18"/>
        <v>3.5277777773444541E-2</v>
      </c>
      <c r="N62" s="7">
        <f t="shared" si="19"/>
        <v>50.799999993760139</v>
      </c>
      <c r="O62" s="7"/>
      <c r="P62" s="7"/>
      <c r="Q62" s="26"/>
      <c r="R62" s="26"/>
      <c r="S62" s="38">
        <f t="shared" si="20"/>
        <v>1</v>
      </c>
      <c r="T62" s="55" t="str">
        <f t="shared" si="21"/>
        <v>Southbound</v>
      </c>
      <c r="U62" s="14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09:29:17-0600',mode:absolute,to:'2016-08-10 12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62" s="57" t="str">
        <f t="shared" si="23"/>
        <v>N</v>
      </c>
      <c r="X62" s="136">
        <f t="shared" si="24"/>
        <v>1</v>
      </c>
      <c r="Y62" s="72">
        <f t="shared" si="25"/>
        <v>23.301300000000001</v>
      </c>
      <c r="Z62" s="72">
        <f t="shared" si="26"/>
        <v>1.5800000000000002E-2</v>
      </c>
      <c r="AA62" s="72">
        <f t="shared" si="27"/>
        <v>23.285500000000003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28"/>
        <v>0150-10</v>
      </c>
      <c r="AE62" s="108" t="str">
        <f t="shared" si="29"/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AF62" s="105" t="str">
        <f t="shared" si="30"/>
        <v>"C:\Program Files (x86)\AstroGrep\AstroGrep.exe" /spath="%USERPROFILE%\AppData\Local\Temp\OnboardLogs" /stypes="*4008*20160810*" /stext=" 17:.+((SYSTEM_STATE.+slice.+state.+changed )|(ment ac)|(system.+state.+changed )|(\|lc)|(penalty)|(\[timeout)|(PRM\|1\|D)|(kpr)|(kdp))" /e /r /s</v>
      </c>
      <c r="AG62" s="1" t="str">
        <f t="shared" si="31"/>
        <v>EC</v>
      </c>
      <c r="AH62" s="109" t="str">
        <f t="shared" si="16"/>
        <v>"%USERPROFILE%\Documents\GitHub\eaglep3\Utilities\RefineRTDCRunTimes.py" --tripid 150-10 --locoid 4008 --swversion DE.1.0.7.0 --startMP 204:233013 --initTime 2016-08-10T10:29:17 --startdatetime 2016-08-10T10:30:41 --delay 1 --endMP 204:158 --enddatetime 2016-08-10T11:21:29 --enforcementcount 0</v>
      </c>
    </row>
    <row r="63" spans="1:34" x14ac:dyDescent="0.25">
      <c r="A63" s="42" t="s">
        <v>380</v>
      </c>
      <c r="B63" s="7">
        <v>4040</v>
      </c>
      <c r="C63" s="25" t="s">
        <v>137</v>
      </c>
      <c r="D63" s="25" t="s">
        <v>176</v>
      </c>
      <c r="E63" s="16">
        <v>42592.411261574074</v>
      </c>
      <c r="F63" s="16">
        <v>42592.412280092591</v>
      </c>
      <c r="G63" s="7">
        <v>1</v>
      </c>
      <c r="H63" s="16" t="s">
        <v>224</v>
      </c>
      <c r="I63" s="16">
        <v>42592.442152777781</v>
      </c>
      <c r="J63" s="7">
        <v>0</v>
      </c>
      <c r="K63" s="25" t="str">
        <f t="shared" si="17"/>
        <v>4039/4040</v>
      </c>
      <c r="L63" s="25" t="str">
        <f>VLOOKUP(A63,'Trips&amp;Operators'!$C$1:$E$10000,3,FALSE)</f>
        <v>KILLION</v>
      </c>
      <c r="M63" s="6">
        <f t="shared" si="18"/>
        <v>2.9872685190639459E-2</v>
      </c>
      <c r="N63" s="7">
        <f t="shared" si="19"/>
        <v>43.01666667452082</v>
      </c>
      <c r="O63" s="7"/>
      <c r="P63" s="7"/>
      <c r="Q63" s="26"/>
      <c r="R63" s="26"/>
      <c r="S63" s="38">
        <f t="shared" si="20"/>
        <v>1</v>
      </c>
      <c r="T63" s="55" t="str">
        <f t="shared" si="21"/>
        <v>NorthBound</v>
      </c>
      <c r="U63" s="14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08:52:13-0600',mode:absolute,to:'2016-08-10 11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63" s="57" t="str">
        <f t="shared" si="23"/>
        <v>N</v>
      </c>
      <c r="X63" s="136">
        <f t="shared" si="24"/>
        <v>1</v>
      </c>
      <c r="Y63" s="72">
        <f t="shared" si="25"/>
        <v>4.4900000000000002E-2</v>
      </c>
      <c r="Z63" s="72">
        <f t="shared" si="26"/>
        <v>23.328700000000001</v>
      </c>
      <c r="AA63" s="72">
        <f t="shared" si="27"/>
        <v>23.283800000000003</v>
      </c>
      <c r="AB63" s="69" t="e">
        <f>VLOOKUP(A63,Enforcements!$C$7:$J$24,8,0)</f>
        <v>#N/A</v>
      </c>
      <c r="AC63" s="65" t="e">
        <f>VLOOKUP(A63,Enforcements!$C$7:$E$24,3,0)</f>
        <v>#N/A</v>
      </c>
      <c r="AD63" s="66" t="str">
        <f t="shared" si="28"/>
        <v>0151-10</v>
      </c>
      <c r="AE63" s="108" t="str">
        <f t="shared" si="29"/>
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</c>
      <c r="AF63" s="105" t="str">
        <f t="shared" si="30"/>
        <v>"C:\Program Files (x86)\AstroGrep\AstroGrep.exe" /spath="%USERPROFILE%\AppData\Local\Temp\OnboardLogs" /stypes="*4040*20160810*" /stext=" 16:.+((SYSTEM_STATE.+slice.+state.+changed )|(ment ac)|(system.+state.+changed )|(\|lc)|(penalty)|(\[timeout)|(PRM\|1\|D)|(kpr)|(kdp))" /e /r /s</v>
      </c>
      <c r="AG63" s="1" t="str">
        <f t="shared" si="31"/>
        <v>EC</v>
      </c>
      <c r="AH63" s="109" t="str">
        <f t="shared" si="16"/>
        <v>"%USERPROFILE%\Documents\GitHub\eaglep3\Utilities\RefineRTDCRunTimes.py" --tripid 151-10 --locoid 4040 --swversion DE.1.0.7.0 --startMP 204:449 --initTime 2016-08-10T09:52:13 --startdatetime 2016-08-10T09:53:41 --delay 1 --endMP 204:233287 --enddatetime 2016-08-10T10:36:42 --enforcementcount 0</v>
      </c>
    </row>
    <row r="64" spans="1:34" x14ac:dyDescent="0.25">
      <c r="A64" s="42" t="s">
        <v>381</v>
      </c>
      <c r="B64" s="7">
        <v>4039</v>
      </c>
      <c r="C64" s="25" t="s">
        <v>137</v>
      </c>
      <c r="D64" s="25" t="s">
        <v>195</v>
      </c>
      <c r="E64" s="16">
        <v>42592.449467592596</v>
      </c>
      <c r="F64" s="16">
        <v>42592.450370370374</v>
      </c>
      <c r="G64" s="7">
        <v>1</v>
      </c>
      <c r="H64" s="16" t="s">
        <v>104</v>
      </c>
      <c r="I64" s="16">
        <v>42592.484513888892</v>
      </c>
      <c r="J64" s="7">
        <v>0</v>
      </c>
      <c r="K64" s="25" t="str">
        <f t="shared" si="17"/>
        <v>4039/4040</v>
      </c>
      <c r="L64" s="25" t="str">
        <f>VLOOKUP(A64,'Trips&amp;Operators'!$C$1:$E$10000,3,FALSE)</f>
        <v>KILLION</v>
      </c>
      <c r="M64" s="6">
        <f t="shared" si="18"/>
        <v>3.4143518518249039E-2</v>
      </c>
      <c r="N64" s="7">
        <f t="shared" si="19"/>
        <v>49.166666666278616</v>
      </c>
      <c r="O64" s="7"/>
      <c r="P64" s="7"/>
      <c r="Q64" s="26"/>
      <c r="R64" s="26"/>
      <c r="S64" s="38">
        <f t="shared" si="20"/>
        <v>1</v>
      </c>
      <c r="T64" s="55" t="str">
        <f t="shared" si="21"/>
        <v>Southbound</v>
      </c>
      <c r="U64" s="14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09:47:14-0600',mode:absolute,to:'2016-08-10 12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64" s="57" t="str">
        <f t="shared" si="23"/>
        <v>N</v>
      </c>
      <c r="X64" s="136">
        <f t="shared" si="24"/>
        <v>1</v>
      </c>
      <c r="Y64" s="72">
        <f t="shared" si="25"/>
        <v>23.298100000000002</v>
      </c>
      <c r="Z64" s="72">
        <f t="shared" si="26"/>
        <v>1.5599999999999999E-2</v>
      </c>
      <c r="AA64" s="72">
        <f t="shared" si="27"/>
        <v>23.282500000000002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28"/>
        <v>0152-10</v>
      </c>
      <c r="AE64" s="108" t="str">
        <f t="shared" si="29"/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AF64" s="105" t="str">
        <f t="shared" si="30"/>
        <v>"C:\Program Files (x86)\AstroGrep\AstroGrep.exe" /spath="%USERPROFILE%\AppData\Local\Temp\OnboardLogs" /stypes="*4039*20160810*" /stext=" 17:.+((SYSTEM_STATE.+slice.+state.+changed )|(ment ac)|(system.+state.+changed )|(\|lc)|(penalty)|(\[timeout)|(PRM\|1\|D)|(kpr)|(kdp))" /e /r /s</v>
      </c>
      <c r="AG64" s="1" t="str">
        <f t="shared" si="31"/>
        <v>EC</v>
      </c>
      <c r="AH64" s="109" t="str">
        <f t="shared" si="16"/>
        <v>"%USERPROFILE%\Documents\GitHub\eaglep3\Utilities\RefineRTDCRunTimes.py" --tripid 152-10 --locoid 4039 --swversion DE.1.0.7.0 --startMP 204:232981 --initTime 2016-08-10T10:47:14 --startdatetime 2016-08-10T10:48:32 --delay 1 --endMP 204:156 --enddatetime 2016-08-10T11:37:42 --enforcementcount 0</v>
      </c>
    </row>
    <row r="65" spans="1:34" x14ac:dyDescent="0.25">
      <c r="A65" s="42" t="s">
        <v>382</v>
      </c>
      <c r="B65" s="7">
        <v>4020</v>
      </c>
      <c r="C65" s="25" t="s">
        <v>137</v>
      </c>
      <c r="D65" s="25" t="s">
        <v>346</v>
      </c>
      <c r="E65" s="16">
        <v>42592.421122685184</v>
      </c>
      <c r="F65" s="16">
        <v>42592.422210648147</v>
      </c>
      <c r="G65" s="7">
        <v>1</v>
      </c>
      <c r="H65" s="16" t="s">
        <v>173</v>
      </c>
      <c r="I65" s="16">
        <v>42592.451527777775</v>
      </c>
      <c r="J65" s="7">
        <v>0</v>
      </c>
      <c r="K65" s="25" t="str">
        <f t="shared" si="17"/>
        <v>4019/4020</v>
      </c>
      <c r="L65" s="25" t="str">
        <f>VLOOKUP(A65,'Trips&amp;Operators'!$C$1:$E$10000,3,FALSE)</f>
        <v>ROCHA</v>
      </c>
      <c r="M65" s="6">
        <f t="shared" si="18"/>
        <v>2.9317129628907423E-2</v>
      </c>
      <c r="N65" s="7">
        <f t="shared" si="19"/>
        <v>42.21666666562669</v>
      </c>
      <c r="O65" s="7"/>
      <c r="P65" s="7"/>
      <c r="Q65" s="26"/>
      <c r="R65" s="26"/>
      <c r="S65" s="38">
        <f t="shared" si="20"/>
        <v>1</v>
      </c>
      <c r="T65" s="55" t="str">
        <f t="shared" si="21"/>
        <v>NorthBound</v>
      </c>
      <c r="U65" s="14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09:06:25-0600',mode:absolute,to:'2016-08-10 11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65" s="57" t="str">
        <f t="shared" si="23"/>
        <v>N</v>
      </c>
      <c r="X65" s="136">
        <f t="shared" si="24"/>
        <v>1</v>
      </c>
      <c r="Y65" s="72">
        <f t="shared" si="25"/>
        <v>4.4699999999999997E-2</v>
      </c>
      <c r="Z65" s="72">
        <f t="shared" si="26"/>
        <v>23.328900000000001</v>
      </c>
      <c r="AA65" s="72">
        <f t="shared" si="27"/>
        <v>23.284200000000002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28"/>
        <v>0153-10</v>
      </c>
      <c r="AE65" s="108" t="str">
        <f t="shared" si="29"/>
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</c>
      <c r="AF65" s="105" t="str">
        <f t="shared" si="30"/>
        <v>"C:\Program Files (x86)\AstroGrep\AstroGrep.exe" /spath="%USERPROFILE%\AppData\Local\Temp\OnboardLogs" /stypes="*4020*20160810*" /stext=" 16:.+((SYSTEM_STATE.+slice.+state.+changed )|(ment ac)|(system.+state.+changed )|(\|lc)|(penalty)|(\[timeout)|(PRM\|1\|D)|(kpr)|(kdp))" /e /r /s</v>
      </c>
      <c r="AG65" s="1" t="str">
        <f t="shared" si="31"/>
        <v>EC</v>
      </c>
      <c r="AH65" s="109" t="str">
        <f t="shared" si="16"/>
        <v>"%USERPROFILE%\Documents\GitHub\eaglep3\Utilities\RefineRTDCRunTimes.py" --tripid 153-10 --locoid 4020 --swversion DE.1.0.7.0 --startMP 204:447 --initTime 2016-08-10T10:06:25 --startdatetime 2016-08-10T10:07:59 --delay 1 --endMP 204:233289 --enddatetime 2016-08-10T10:50:12 --enforcementcount 0</v>
      </c>
    </row>
    <row r="66" spans="1:34" x14ac:dyDescent="0.25">
      <c r="A66" s="42" t="s">
        <v>383</v>
      </c>
      <c r="B66" s="7">
        <v>4019</v>
      </c>
      <c r="C66" s="25" t="s">
        <v>137</v>
      </c>
      <c r="D66" s="25" t="s">
        <v>384</v>
      </c>
      <c r="E66" s="16">
        <v>42592.465613425928</v>
      </c>
      <c r="F66" s="16">
        <v>42592.467361111114</v>
      </c>
      <c r="G66" s="7">
        <v>2</v>
      </c>
      <c r="H66" s="16" t="s">
        <v>58</v>
      </c>
      <c r="I66" s="16">
        <v>42592.492743055554</v>
      </c>
      <c r="J66" s="7">
        <v>0</v>
      </c>
      <c r="K66" s="25" t="str">
        <f t="shared" si="17"/>
        <v>4019/4020</v>
      </c>
      <c r="L66" s="25" t="str">
        <f>VLOOKUP(A66,'Trips&amp;Operators'!$C$1:$E$10000,3,FALSE)</f>
        <v>ROCHA</v>
      </c>
      <c r="M66" s="6">
        <f t="shared" si="18"/>
        <v>2.5381944440596271E-2</v>
      </c>
      <c r="N66" s="7">
        <f t="shared" si="19"/>
        <v>36.549999994458631</v>
      </c>
      <c r="O66" s="7"/>
      <c r="P66" s="7"/>
      <c r="Q66" s="26"/>
      <c r="R66" s="26"/>
      <c r="S66" s="38">
        <f t="shared" si="20"/>
        <v>1</v>
      </c>
      <c r="T66" s="55" t="str">
        <f t="shared" si="21"/>
        <v>Southbound</v>
      </c>
      <c r="U66" s="14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10:10:29-0600',mode:absolute,to:'2016-08-10 12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66" s="57" t="str">
        <f t="shared" si="23"/>
        <v>N</v>
      </c>
      <c r="X66" s="136">
        <f t="shared" si="24"/>
        <v>1</v>
      </c>
      <c r="Y66" s="72">
        <f t="shared" si="25"/>
        <v>23.1005</v>
      </c>
      <c r="Z66" s="72">
        <f t="shared" si="26"/>
        <v>1.52E-2</v>
      </c>
      <c r="AA66" s="72">
        <f t="shared" si="27"/>
        <v>23.0853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28"/>
        <v>0154-10</v>
      </c>
      <c r="AE66" s="108" t="str">
        <f t="shared" si="29"/>
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</c>
      <c r="AF66" s="105" t="str">
        <f t="shared" si="30"/>
        <v>"C:\Program Files (x86)\AstroGrep\AstroGrep.exe" /spath="%USERPROFILE%\AppData\Local\Temp\OnboardLogs" /stypes="*4019*20160810*" /stext=" 17:.+((SYSTEM_STATE.+slice.+state.+changed )|(ment ac)|(system.+state.+changed )|(\|lc)|(penalty)|(\[timeout)|(PRM\|1\|D)|(kpr)|(kdp))" /e /r /s</v>
      </c>
      <c r="AG66" s="1" t="str">
        <f t="shared" si="31"/>
        <v>EC</v>
      </c>
      <c r="AH66" s="109" t="str">
        <f t="shared" si="16"/>
        <v>"%USERPROFILE%\Documents\GitHub\eaglep3\Utilities\RefineRTDCRunTimes.py" --tripid 154-10 --locoid 4019 --swversion DE.1.0.7.0 --startMP 204:231005 --initTime 2016-08-10T11:10:29 --startdatetime 2016-08-10T11:13:00 --delay 2 --endMP 204:152 --enddatetime 2016-08-10T11:49:33 --enforcementcount 0</v>
      </c>
    </row>
    <row r="67" spans="1:34" x14ac:dyDescent="0.25">
      <c r="A67" s="42" t="s">
        <v>385</v>
      </c>
      <c r="B67" s="7">
        <v>4009</v>
      </c>
      <c r="C67" s="25" t="s">
        <v>137</v>
      </c>
      <c r="D67" s="25" t="s">
        <v>386</v>
      </c>
      <c r="E67" s="16">
        <v>42592.442187499997</v>
      </c>
      <c r="F67" s="16">
        <v>42592.442997685182</v>
      </c>
      <c r="G67" s="7">
        <v>1</v>
      </c>
      <c r="H67" s="16" t="s">
        <v>247</v>
      </c>
      <c r="I67" s="16">
        <v>42592.465451388889</v>
      </c>
      <c r="J67" s="7">
        <v>0</v>
      </c>
      <c r="K67" s="25" t="str">
        <f t="shared" si="17"/>
        <v>4009/4010</v>
      </c>
      <c r="L67" s="25" t="str">
        <f>VLOOKUP(A67,'Trips&amp;Operators'!$C$1:$E$10000,3,FALSE)</f>
        <v>GRASTON</v>
      </c>
      <c r="M67" s="6">
        <f t="shared" si="18"/>
        <v>2.2453703706560191E-2</v>
      </c>
      <c r="N67" s="7"/>
      <c r="O67" s="7"/>
      <c r="P67" s="7">
        <f>24*60*SUM($M67:$M67)</f>
        <v>32.333333337446675</v>
      </c>
      <c r="Q67" s="26"/>
      <c r="R67" s="26" t="s">
        <v>637</v>
      </c>
      <c r="S67" s="38">
        <f t="shared" si="20"/>
        <v>1</v>
      </c>
      <c r="T67" s="55" t="str">
        <f t="shared" si="21"/>
        <v>NorthBound</v>
      </c>
      <c r="U67" s="14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09:36:45-0600',mode:absolute,to:'2016-08-10 12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67" s="57" t="str">
        <f t="shared" si="23"/>
        <v>Y</v>
      </c>
      <c r="X67" s="136">
        <f t="shared" si="24"/>
        <v>1</v>
      </c>
      <c r="Y67" s="72">
        <f t="shared" si="25"/>
        <v>1.9128000000000001</v>
      </c>
      <c r="Z67" s="72">
        <f t="shared" si="26"/>
        <v>23.329799999999999</v>
      </c>
      <c r="AA67" s="72">
        <f t="shared" si="27"/>
        <v>21.416999999999998</v>
      </c>
      <c r="AB67" s="69" t="e">
        <f>VLOOKUP(A67,Enforcements!$C$7:$J$24,8,0)</f>
        <v>#N/A</v>
      </c>
      <c r="AC67" s="65" t="e">
        <f>VLOOKUP(A67,Enforcements!$C$7:$E$24,3,0)</f>
        <v>#N/A</v>
      </c>
      <c r="AD67" s="66" t="str">
        <f t="shared" si="28"/>
        <v>0155-10</v>
      </c>
      <c r="AE67" s="108" t="str">
        <f t="shared" si="29"/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AF67" s="105" t="str">
        <f t="shared" si="30"/>
        <v>"C:\Program Files (x86)\AstroGrep\AstroGrep.exe" /spath="%USERPROFILE%\AppData\Local\Temp\OnboardLogs" /stypes="*4009*20160810*" /stext=" 17:.+((SYSTEM_STATE.+slice.+state.+changed )|(ment ac)|(system.+state.+changed )|(\|lc)|(penalty)|(\[timeout)|(PRM\|1\|D)|(kpr)|(kdp))" /e /r /s</v>
      </c>
      <c r="AG67" s="1" t="str">
        <f t="shared" si="31"/>
        <v>EC</v>
      </c>
      <c r="AH67" s="109" t="str">
        <f t="shared" si="16"/>
        <v>"%USERPROFILE%\Documents\GitHub\eaglep3\Utilities\RefineRTDCRunTimes.py" --tripid 155-10 --locoid 4009 --swversion DE.1.0.7.0 --startMP 204:19128 --initTime 2016-08-10T10:36:45 --startdatetime 2016-08-10T10:37:55 --delay 1 --endMP 204:233298 --enddatetime 2016-08-10T11:10:15 --enforcementcount 0</v>
      </c>
    </row>
    <row r="68" spans="1:34" x14ac:dyDescent="0.25">
      <c r="A68" s="42" t="s">
        <v>387</v>
      </c>
      <c r="B68" s="7">
        <v>4010</v>
      </c>
      <c r="C68" s="25" t="s">
        <v>137</v>
      </c>
      <c r="D68" s="25" t="s">
        <v>388</v>
      </c>
      <c r="E68" s="16">
        <v>42592.472662037035</v>
      </c>
      <c r="F68" s="16">
        <v>42592.473483796297</v>
      </c>
      <c r="G68" s="7">
        <v>1</v>
      </c>
      <c r="H68" s="16" t="s">
        <v>179</v>
      </c>
      <c r="I68" s="16">
        <v>42592.502430555556</v>
      </c>
      <c r="J68" s="7">
        <v>0</v>
      </c>
      <c r="K68" s="25" t="str">
        <f t="shared" si="17"/>
        <v>4009/4010</v>
      </c>
      <c r="L68" s="25" t="str">
        <f>VLOOKUP(A68,'Trips&amp;Operators'!$C$1:$E$10000,3,FALSE)</f>
        <v>GRASTON</v>
      </c>
      <c r="M68" s="6">
        <f t="shared" si="18"/>
        <v>2.8946759259270038E-2</v>
      </c>
      <c r="N68" s="7">
        <f>24*60*SUM($M68:$M68)</f>
        <v>41.683333333348855</v>
      </c>
      <c r="O68" s="7"/>
      <c r="P68" s="7"/>
      <c r="Q68" s="26"/>
      <c r="R68" s="26"/>
      <c r="S68" s="38">
        <f t="shared" si="20"/>
        <v>1</v>
      </c>
      <c r="T68" s="55" t="str">
        <f t="shared" si="21"/>
        <v>Southbound</v>
      </c>
      <c r="U68" s="14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10:20:38-0600',mode:absolute,to:'2016-08-10 13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68" s="57" t="str">
        <f t="shared" si="23"/>
        <v>N</v>
      </c>
      <c r="X68" s="136">
        <f t="shared" si="24"/>
        <v>1</v>
      </c>
      <c r="Y68" s="72">
        <f t="shared" si="25"/>
        <v>23.2974</v>
      </c>
      <c r="Z68" s="72">
        <f t="shared" si="26"/>
        <v>1.54E-2</v>
      </c>
      <c r="AA68" s="72">
        <f t="shared" si="27"/>
        <v>23.282</v>
      </c>
      <c r="AB68" s="69" t="e">
        <f>VLOOKUP(A68,Enforcements!$C$7:$J$24,8,0)</f>
        <v>#N/A</v>
      </c>
      <c r="AC68" s="65" t="e">
        <f>VLOOKUP(A68,Enforcements!$C$7:$E$24,3,0)</f>
        <v>#N/A</v>
      </c>
      <c r="AD68" s="66" t="str">
        <f t="shared" si="28"/>
        <v>0156-10</v>
      </c>
      <c r="AE68" s="108" t="str">
        <f t="shared" si="29"/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AF68" s="105" t="str">
        <f t="shared" si="30"/>
        <v>"C:\Program Files (x86)\AstroGrep\AstroGrep.exe" /spath="%USERPROFILE%\AppData\Local\Temp\OnboardLogs" /stypes="*4010*20160810*" /stext=" 18:.+((SYSTEM_STATE.+slice.+state.+changed )|(ment ac)|(system.+state.+changed )|(\|lc)|(penalty)|(\[timeout)|(PRM\|1\|D)|(kpr)|(kdp))" /e /r /s</v>
      </c>
      <c r="AG68" s="1" t="str">
        <f t="shared" si="31"/>
        <v>EC</v>
      </c>
      <c r="AH68" s="109" t="str">
        <f t="shared" si="16"/>
        <v>"%USERPROFILE%\Documents\GitHub\eaglep3\Utilities\RefineRTDCRunTimes.py" --tripid 156-10 --locoid 4010 --swversion DE.1.0.7.0 --startMP 204:232974 --initTime 2016-08-10T11:20:38 --startdatetime 2016-08-10T11:21:49 --delay 1 --endMP 204:154 --enddatetime 2016-08-10T12:03:30 --enforcementcount 0</v>
      </c>
    </row>
    <row r="69" spans="1:34" x14ac:dyDescent="0.25">
      <c r="A69" s="42" t="s">
        <v>389</v>
      </c>
      <c r="B69" s="7">
        <v>4016</v>
      </c>
      <c r="C69" s="25" t="s">
        <v>137</v>
      </c>
      <c r="D69" s="25" t="s">
        <v>248</v>
      </c>
      <c r="E69" s="16">
        <v>42592.444618055553</v>
      </c>
      <c r="F69" s="16">
        <v>42592.44804398148</v>
      </c>
      <c r="G69" s="7">
        <v>4</v>
      </c>
      <c r="H69" s="16" t="s">
        <v>131</v>
      </c>
      <c r="I69" s="16">
        <v>42592.474502314813</v>
      </c>
      <c r="J69" s="7">
        <v>0</v>
      </c>
      <c r="K69" s="25" t="str">
        <f t="shared" si="17"/>
        <v>4015/4016</v>
      </c>
      <c r="L69" s="25" t="str">
        <f>VLOOKUP(A69,'Trips&amp;Operators'!$C$1:$E$10000,3,FALSE)</f>
        <v>BRANNON</v>
      </c>
      <c r="M69" s="6">
        <f t="shared" si="18"/>
        <v>2.6458333333721384E-2</v>
      </c>
      <c r="N69" s="7">
        <f>24*60*SUM($M69:$M69)</f>
        <v>38.100000000558794</v>
      </c>
      <c r="O69" s="7"/>
      <c r="P69" s="7"/>
      <c r="Q69" s="26"/>
      <c r="R69" s="26"/>
      <c r="S69" s="38">
        <f t="shared" si="20"/>
        <v>1</v>
      </c>
      <c r="T69" s="55" t="str">
        <f t="shared" si="21"/>
        <v>NorthBound</v>
      </c>
      <c r="U69" s="14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09:40:15-0600',mode:absolute,to:'2016-08-10 12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69" s="57" t="str">
        <f t="shared" si="23"/>
        <v>N</v>
      </c>
      <c r="X69" s="136">
        <f t="shared" si="24"/>
        <v>1</v>
      </c>
      <c r="Y69" s="72">
        <f t="shared" si="25"/>
        <v>4.7699999999999999E-2</v>
      </c>
      <c r="Z69" s="72">
        <f t="shared" si="26"/>
        <v>23.3293</v>
      </c>
      <c r="AA69" s="72">
        <f t="shared" si="27"/>
        <v>23.281600000000001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28"/>
        <v>0157-10</v>
      </c>
      <c r="AE69" s="108" t="str">
        <f t="shared" si="29"/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69" s="105" t="str">
        <f t="shared" si="30"/>
        <v>"C:\Program Files (x86)\AstroGrep\AstroGrep.exe" /spath="%USERPROFILE%\AppData\Local\Temp\OnboardLogs" /stypes="*4016*20160810*" /stext=" 17:.+((SYSTEM_STATE.+slice.+state.+changed )|(ment ac)|(system.+state.+changed )|(\|lc)|(penalty)|(\[timeout)|(PRM\|1\|D)|(kpr)|(kdp))" /e /r /s</v>
      </c>
      <c r="AG69" s="1" t="str">
        <f t="shared" si="31"/>
        <v>EC</v>
      </c>
      <c r="AH69" s="109" t="str">
        <f t="shared" si="16"/>
        <v>"%USERPROFILE%\Documents\GitHub\eaglep3\Utilities\RefineRTDCRunTimes.py" --tripid 157-10 --locoid 4016 --swversion DE.1.0.7.0 --startMP 204:477 --initTime 2016-08-10T10:40:15 --startdatetime 2016-08-10T10:45:11 --delay 4 --endMP 204:233293 --enddatetime 2016-08-10T11:23:17 --enforcementcount 0</v>
      </c>
    </row>
    <row r="70" spans="1:34" x14ac:dyDescent="0.25">
      <c r="A70" s="42" t="s">
        <v>390</v>
      </c>
      <c r="B70" s="7">
        <v>4015</v>
      </c>
      <c r="C70" s="25" t="s">
        <v>137</v>
      </c>
      <c r="D70" s="25" t="s">
        <v>249</v>
      </c>
      <c r="E70" s="16">
        <v>42592.482592592591</v>
      </c>
      <c r="F70" s="16">
        <v>42592.483599537038</v>
      </c>
      <c r="G70" s="7">
        <v>1</v>
      </c>
      <c r="H70" s="16" t="s">
        <v>391</v>
      </c>
      <c r="I70" s="16">
        <v>42592.501793981479</v>
      </c>
      <c r="J70" s="7">
        <v>1</v>
      </c>
      <c r="K70" s="25" t="str">
        <f t="shared" si="17"/>
        <v>4015/4016</v>
      </c>
      <c r="L70" s="25" t="str">
        <f>VLOOKUP(A70,'Trips&amp;Operators'!$C$1:$E$10000,3,FALSE)</f>
        <v>BRANNON</v>
      </c>
      <c r="M70" s="6">
        <f t="shared" si="18"/>
        <v>1.8194444441178348E-2</v>
      </c>
      <c r="N70" s="7"/>
      <c r="O70" s="7"/>
      <c r="P70" s="7">
        <f>24*60*SUM($M70:$M71)</f>
        <v>42.066666661994532</v>
      </c>
      <c r="Q70" s="26"/>
      <c r="R70" s="26" t="s">
        <v>303</v>
      </c>
      <c r="S70" s="38">
        <f>SUM(U70:U71)/IF(AG70="EC",12,1)</f>
        <v>0.91666666666666663</v>
      </c>
      <c r="T70" s="55" t="str">
        <f t="shared" si="21"/>
        <v>Southbound</v>
      </c>
      <c r="U70" s="14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2</v>
      </c>
      <c r="V70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10:34:56-0600',mode:absolute,to:'2016-08-10 13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70" s="57" t="str">
        <f t="shared" si="23"/>
        <v>Y</v>
      </c>
      <c r="X70" s="136">
        <f t="shared" si="24"/>
        <v>1</v>
      </c>
      <c r="Y70" s="72">
        <f t="shared" si="25"/>
        <v>23.297799999999999</v>
      </c>
      <c r="Z70" s="72">
        <f t="shared" si="26"/>
        <v>8.6792999999999996</v>
      </c>
      <c r="AA70" s="72">
        <f t="shared" si="27"/>
        <v>14.618499999999999</v>
      </c>
      <c r="AB70" s="69">
        <f>VLOOKUP(A70,Enforcements!$C$7:$J$24,8,0)</f>
        <v>87902</v>
      </c>
      <c r="AC70" s="65" t="str">
        <f>VLOOKUP(A70,Enforcements!$C$7:$E$24,3,0)</f>
        <v>SIGNAL</v>
      </c>
      <c r="AD70" s="66" t="str">
        <f t="shared" si="28"/>
        <v>0158-10</v>
      </c>
      <c r="AE70" s="108" t="str">
        <f t="shared" si="29"/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70" s="105" t="str">
        <f t="shared" si="30"/>
        <v>"C:\Program Files (x86)\AstroGrep\AstroGrep.exe" /spath="%USERPROFILE%\AppData\Local\Temp\OnboardLogs" /stypes="*4015*20160810*" /stext=" 18:.+((SYSTEM_STATE.+slice.+state.+changed )|(ment ac)|(system.+state.+changed )|(\|lc)|(penalty)|(\[timeout)|(PRM\|1\|D)|(kpr)|(kdp))" /e /r /s</v>
      </c>
      <c r="AG70" s="1" t="str">
        <f t="shared" si="31"/>
        <v>EC</v>
      </c>
      <c r="AH70" s="109" t="str">
        <f t="shared" si="16"/>
        <v>"%USERPROFILE%\Documents\GitHub\eaglep3\Utilities\RefineRTDCRunTimes.py" --tripid 158-10 --locoid 4015 --swversion DE.1.0.7.0 --startMP 204:232978 --initTime 2016-08-10T11:34:56 --startdatetime 2016-08-10T11:36:23 --delay 1 --endMP 204:86793 --enddatetime 2016-08-10T12:02:35 --enforcementcount 1</v>
      </c>
    </row>
    <row r="71" spans="1:34" s="24" customFormat="1" x14ac:dyDescent="0.25">
      <c r="A71" s="42" t="s">
        <v>390</v>
      </c>
      <c r="B71" s="7">
        <v>4015</v>
      </c>
      <c r="C71" s="25" t="s">
        <v>137</v>
      </c>
      <c r="D71" s="25" t="s">
        <v>392</v>
      </c>
      <c r="E71" s="16">
        <v>42592.506192129629</v>
      </c>
      <c r="F71" s="16">
        <v>42592.506921296299</v>
      </c>
      <c r="G71" s="7">
        <v>1</v>
      </c>
      <c r="H71" s="16" t="s">
        <v>393</v>
      </c>
      <c r="I71" s="16">
        <v>42592.517939814818</v>
      </c>
      <c r="J71" s="7">
        <v>0</v>
      </c>
      <c r="K71" s="25" t="str">
        <f t="shared" si="17"/>
        <v>4015/4016</v>
      </c>
      <c r="L71" s="25" t="str">
        <f>VLOOKUP(A71,'Trips&amp;Operators'!$C$1:$E$10000,3,FALSE)</f>
        <v>BRANNON</v>
      </c>
      <c r="M71" s="6">
        <f t="shared" si="18"/>
        <v>1.1018518518540077E-2</v>
      </c>
      <c r="N71" s="7"/>
      <c r="O71" s="7"/>
      <c r="P71" s="7"/>
      <c r="Q71" s="26"/>
      <c r="R71" s="26"/>
      <c r="S71" s="38"/>
      <c r="T71" s="55" t="str">
        <f t="shared" si="21"/>
        <v>Southbound</v>
      </c>
      <c r="U71" s="14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9</v>
      </c>
      <c r="V71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11:08:55-0600',mode:absolute,to:'2016-08-10 13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71" s="57" t="str">
        <f t="shared" si="23"/>
        <v>Y</v>
      </c>
      <c r="X71" s="136">
        <f t="shared" si="24"/>
        <v>0</v>
      </c>
      <c r="Y71" s="72">
        <f t="shared" si="25"/>
        <v>6.4157000000000002</v>
      </c>
      <c r="Z71" s="72">
        <f t="shared" si="26"/>
        <v>1.78E-2</v>
      </c>
      <c r="AA71" s="72">
        <f t="shared" si="27"/>
        <v>6.3978999999999999</v>
      </c>
      <c r="AB71" s="69">
        <f>VLOOKUP(A71,Enforcements!$C$7:$J$24,8,0)</f>
        <v>87902</v>
      </c>
      <c r="AC71" s="65" t="str">
        <f>VLOOKUP(A71,Enforcements!$C$7:$E$24,3,0)</f>
        <v>SIGNAL</v>
      </c>
      <c r="AD71" s="66" t="str">
        <f t="shared" si="28"/>
        <v>0158-10</v>
      </c>
      <c r="AE71" s="108" t="str">
        <f t="shared" si="29"/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71" s="105" t="str">
        <f t="shared" si="30"/>
        <v>"C:\Program Files (x86)\AstroGrep\AstroGrep.exe" /spath="%USERPROFILE%\AppData\Local\Temp\OnboardLogs" /stypes="*4015*20160810*" /stext=" 18:.+((SYSTEM_STATE.+slice.+state.+changed )|(ment ac)|(system.+state.+changed )|(\|lc)|(penalty)|(\[timeout)|(PRM\|1\|D)|(kpr)|(kdp))" /e /r /s</v>
      </c>
      <c r="AG71" s="1" t="str">
        <f t="shared" si="31"/>
        <v>EC</v>
      </c>
      <c r="AH71" s="109" t="str">
        <f t="shared" si="16"/>
        <v>"%USERPROFILE%\Documents\GitHub\eaglep3\Utilities\RefineRTDCRunTimes.py" --tripid 158-10 --locoid 4015 --swversion DE.1.0.7.0 --startMP 204:64157 --initTime 2016-08-10T12:08:55 --startdatetime 2016-08-10T12:09:58 --delay 1 --endMP 204:178 --enddatetime 2016-08-10T12:25:50 --enforcementcount 0</v>
      </c>
    </row>
    <row r="72" spans="1:34" x14ac:dyDescent="0.25">
      <c r="A72" s="42" t="s">
        <v>394</v>
      </c>
      <c r="B72" s="7">
        <v>4029</v>
      </c>
      <c r="C72" s="25" t="s">
        <v>137</v>
      </c>
      <c r="D72" s="25" t="s">
        <v>181</v>
      </c>
      <c r="E72" s="16">
        <v>42592.454039351855</v>
      </c>
      <c r="F72" s="16">
        <v>42592.455335648148</v>
      </c>
      <c r="G72" s="7">
        <v>1</v>
      </c>
      <c r="H72" s="16" t="s">
        <v>395</v>
      </c>
      <c r="I72" s="16">
        <v>42592.482812499999</v>
      </c>
      <c r="J72" s="7">
        <v>0</v>
      </c>
      <c r="K72" s="25" t="str">
        <f t="shared" si="17"/>
        <v>4029/4030</v>
      </c>
      <c r="L72" s="25" t="str">
        <f>VLOOKUP(A72,'Trips&amp;Operators'!$C$1:$E$10000,3,FALSE)</f>
        <v>SWANSON</v>
      </c>
      <c r="M72" s="6">
        <f t="shared" si="18"/>
        <v>2.7476851850224193E-2</v>
      </c>
      <c r="N72" s="7">
        <f t="shared" ref="N72:N92" si="32">24*60*SUM($M72:$M72)</f>
        <v>39.566666664322838</v>
      </c>
      <c r="O72" s="7"/>
      <c r="P72" s="7"/>
      <c r="Q72" s="26"/>
      <c r="R72" s="26"/>
      <c r="S72" s="38">
        <f t="shared" ref="S72:S93" si="33">SUM(U72:U72)/IF(AG72="EC",12,1)</f>
        <v>1</v>
      </c>
      <c r="T72" s="55" t="str">
        <f t="shared" si="21"/>
        <v>NorthBound</v>
      </c>
      <c r="U72" s="14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09:53:49-0600',mode:absolute,to:'2016-08-10 12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72" s="57" t="str">
        <f t="shared" si="23"/>
        <v>N</v>
      </c>
      <c r="X72" s="136">
        <f t="shared" si="24"/>
        <v>1</v>
      </c>
      <c r="Y72" s="72">
        <f t="shared" si="25"/>
        <v>4.3999999999999997E-2</v>
      </c>
      <c r="Z72" s="72">
        <f t="shared" si="26"/>
        <v>23.334</v>
      </c>
      <c r="AA72" s="72">
        <f t="shared" si="27"/>
        <v>23.29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28"/>
        <v>0159-10</v>
      </c>
      <c r="AE72" s="108" t="str">
        <f t="shared" si="29"/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AF72" s="105" t="str">
        <f t="shared" si="30"/>
        <v>"C:\Program Files (x86)\AstroGrep\AstroGrep.exe" /spath="%USERPROFILE%\AppData\Local\Temp\OnboardLogs" /stypes="*4029*20160810*" /stext=" 17:.+((SYSTEM_STATE.+slice.+state.+changed )|(ment ac)|(system.+state.+changed )|(\|lc)|(penalty)|(\[timeout)|(PRM\|1\|D)|(kpr)|(kdp))" /e /r /s</v>
      </c>
      <c r="AG72" s="1" t="str">
        <f t="shared" si="31"/>
        <v>EC</v>
      </c>
      <c r="AH72" s="109" t="str">
        <f t="shared" si="16"/>
        <v>"%USERPROFILE%\Documents\GitHub\eaglep3\Utilities\RefineRTDCRunTimes.py" --tripid 159-10 --locoid 4029 --swversion DE.1.0.7.0 --startMP 204:440 --initTime 2016-08-10T10:53:49 --startdatetime 2016-08-10T10:55:41 --delay 1 --endMP 204:233340 --enddatetime 2016-08-10T11:35:15 --enforcementcount 0</v>
      </c>
    </row>
    <row r="73" spans="1:34" x14ac:dyDescent="0.25">
      <c r="A73" s="42" t="s">
        <v>396</v>
      </c>
      <c r="B73" s="7">
        <v>4030</v>
      </c>
      <c r="C73" s="25" t="s">
        <v>137</v>
      </c>
      <c r="D73" s="25" t="s">
        <v>397</v>
      </c>
      <c r="E73" s="16">
        <v>42592.495636574073</v>
      </c>
      <c r="F73" s="16">
        <v>42592.496840277781</v>
      </c>
      <c r="G73" s="7">
        <v>1</v>
      </c>
      <c r="H73" s="16" t="s">
        <v>221</v>
      </c>
      <c r="I73" s="16">
        <v>42592.526574074072</v>
      </c>
      <c r="J73" s="7">
        <v>1</v>
      </c>
      <c r="K73" s="25" t="str">
        <f t="shared" si="17"/>
        <v>4029/4030</v>
      </c>
      <c r="L73" s="25" t="str">
        <f>VLOOKUP(A73,'Trips&amp;Operators'!$C$1:$E$10000,3,FALSE)</f>
        <v>SWANSON</v>
      </c>
      <c r="M73" s="6">
        <f t="shared" si="18"/>
        <v>2.9733796291111503E-2</v>
      </c>
      <c r="N73" s="7">
        <f t="shared" si="32"/>
        <v>42.816666659200564</v>
      </c>
      <c r="O73" s="7"/>
      <c r="P73" s="7"/>
      <c r="Q73" s="26"/>
      <c r="R73" s="26"/>
      <c r="S73" s="38">
        <f t="shared" si="33"/>
        <v>1</v>
      </c>
      <c r="T73" s="55" t="str">
        <f t="shared" si="21"/>
        <v>Southbound</v>
      </c>
      <c r="U73" s="14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10:53:43-0600',mode:absolute,to:'2016-08-10 13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73" s="57" t="str">
        <f t="shared" si="23"/>
        <v>N</v>
      </c>
      <c r="X73" s="136">
        <f t="shared" si="24"/>
        <v>1</v>
      </c>
      <c r="Y73" s="72">
        <f t="shared" si="25"/>
        <v>23.3019</v>
      </c>
      <c r="Z73" s="72">
        <f t="shared" si="26"/>
        <v>1.67E-2</v>
      </c>
      <c r="AA73" s="72">
        <f t="shared" si="27"/>
        <v>23.2852</v>
      </c>
      <c r="AB73" s="69">
        <f>VLOOKUP(A73,Enforcements!$C$7:$J$24,8,0)</f>
        <v>21848</v>
      </c>
      <c r="AC73" s="65" t="str">
        <f>VLOOKUP(A73,Enforcements!$C$7:$E$24,3,0)</f>
        <v>PERMANENT SPEED RESTRICTION</v>
      </c>
      <c r="AD73" s="66" t="str">
        <f t="shared" si="28"/>
        <v>0160-10</v>
      </c>
      <c r="AE73" s="108" t="str">
        <f t="shared" si="29"/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AF73" s="105" t="str">
        <f t="shared" si="30"/>
        <v>"C:\Program Files (x86)\AstroGrep\AstroGrep.exe" /spath="%USERPROFILE%\AppData\Local\Temp\OnboardLogs" /stypes="*4030*20160810*" /stext=" 18:.+((SYSTEM_STATE.+slice.+state.+changed )|(ment ac)|(system.+state.+changed )|(\|lc)|(penalty)|(\[timeout)|(PRM\|1\|D)|(kpr)|(kdp))" /e /r /s</v>
      </c>
      <c r="AG73" s="1" t="str">
        <f t="shared" si="31"/>
        <v>EC</v>
      </c>
      <c r="AH73" s="109" t="str">
        <f t="shared" si="16"/>
        <v>"%USERPROFILE%\Documents\GitHub\eaglep3\Utilities\RefineRTDCRunTimes.py" --tripid 160-10 --locoid 4030 --swversion DE.1.0.7.0 --startMP 204:233019 --initTime 2016-08-10T11:53:43 --startdatetime 2016-08-10T11:55:27 --delay 1 --endMP 204:167 --enddatetime 2016-08-10T12:38:16 --enforcementcount 1</v>
      </c>
    </row>
    <row r="74" spans="1:34" x14ac:dyDescent="0.25">
      <c r="A74" s="42" t="s">
        <v>398</v>
      </c>
      <c r="B74" s="7">
        <v>4018</v>
      </c>
      <c r="C74" s="25" t="s">
        <v>137</v>
      </c>
      <c r="D74" s="25" t="s">
        <v>157</v>
      </c>
      <c r="E74" s="16">
        <v>42592.463229166664</v>
      </c>
      <c r="F74" s="16">
        <v>42592.464050925926</v>
      </c>
      <c r="G74" s="7">
        <v>1</v>
      </c>
      <c r="H74" s="16" t="s">
        <v>399</v>
      </c>
      <c r="I74" s="16">
        <v>42592.494421296295</v>
      </c>
      <c r="J74" s="7">
        <v>0</v>
      </c>
      <c r="K74" s="25" t="str">
        <f t="shared" si="17"/>
        <v>4017/4018</v>
      </c>
      <c r="L74" s="25" t="str">
        <f>VLOOKUP(A74,'Trips&amp;Operators'!$C$1:$E$10000,3,FALSE)</f>
        <v>BARTLETT</v>
      </c>
      <c r="M74" s="6">
        <f t="shared" si="18"/>
        <v>3.0370370368473232E-2</v>
      </c>
      <c r="N74" s="7">
        <f t="shared" si="32"/>
        <v>43.733333330601454</v>
      </c>
      <c r="O74" s="7"/>
      <c r="P74" s="7"/>
      <c r="Q74" s="26"/>
      <c r="R74" s="26"/>
      <c r="S74" s="38">
        <f t="shared" si="33"/>
        <v>1</v>
      </c>
      <c r="T74" s="55" t="str">
        <f t="shared" si="21"/>
        <v>NorthBound</v>
      </c>
      <c r="U74" s="14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10:07:03-0600',mode:absolute,to:'2016-08-10 12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74" s="57" t="str">
        <f t="shared" si="23"/>
        <v>N</v>
      </c>
      <c r="X74" s="136">
        <f t="shared" si="24"/>
        <v>1</v>
      </c>
      <c r="Y74" s="72">
        <f t="shared" si="25"/>
        <v>4.5499999999999999E-2</v>
      </c>
      <c r="Z74" s="72">
        <f t="shared" si="26"/>
        <v>23.3337</v>
      </c>
      <c r="AA74" s="72">
        <f t="shared" si="27"/>
        <v>23.2882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28"/>
        <v>0161-10</v>
      </c>
      <c r="AE74" s="108" t="str">
        <f t="shared" si="29"/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74" s="105" t="str">
        <f t="shared" si="30"/>
        <v>"C:\Program Files (x86)\AstroGrep\AstroGrep.exe" /spath="%USERPROFILE%\AppData\Local\Temp\OnboardLogs" /stypes="*4018*20160810*" /stext=" 17:.+((SYSTEM_STATE.+slice.+state.+changed )|(ment ac)|(system.+state.+changed )|(\|lc)|(penalty)|(\[timeout)|(PRM\|1\|D)|(kpr)|(kdp))" /e /r /s</v>
      </c>
      <c r="AG74" s="1" t="str">
        <f t="shared" si="31"/>
        <v>EC</v>
      </c>
      <c r="AH74" s="109" t="str">
        <f t="shared" si="16"/>
        <v>"%USERPROFILE%\Documents\GitHub\eaglep3\Utilities\RefineRTDCRunTimes.py" --tripid 161-10 --locoid 4018 --swversion DE.1.0.7.0 --startMP 204:455 --initTime 2016-08-10T11:07:03 --startdatetime 2016-08-10T11:08:14 --delay 1 --endMP 204:233337 --enddatetime 2016-08-10T11:51:58 --enforcementcount 0</v>
      </c>
    </row>
    <row r="75" spans="1:34" x14ac:dyDescent="0.25">
      <c r="A75" s="42" t="s">
        <v>400</v>
      </c>
      <c r="B75" s="7">
        <v>4017</v>
      </c>
      <c r="C75" s="25" t="s">
        <v>137</v>
      </c>
      <c r="D75" s="25" t="s">
        <v>153</v>
      </c>
      <c r="E75" s="16">
        <v>42592.49664351852</v>
      </c>
      <c r="F75" s="16">
        <v>42592.497847222221</v>
      </c>
      <c r="G75" s="7">
        <v>1</v>
      </c>
      <c r="H75" s="16" t="s">
        <v>97</v>
      </c>
      <c r="I75" s="16">
        <v>42592.535185185188</v>
      </c>
      <c r="J75" s="7">
        <v>0</v>
      </c>
      <c r="K75" s="25" t="str">
        <f t="shared" si="17"/>
        <v>4017/4018</v>
      </c>
      <c r="L75" s="25" t="str">
        <f>VLOOKUP(A75,'Trips&amp;Operators'!$C$1:$E$10000,3,FALSE)</f>
        <v>BARTLETT</v>
      </c>
      <c r="M75" s="6">
        <f t="shared" si="18"/>
        <v>3.7337962967285421E-2</v>
      </c>
      <c r="N75" s="7">
        <f t="shared" si="32"/>
        <v>53.766666672891006</v>
      </c>
      <c r="O75" s="7"/>
      <c r="P75" s="7"/>
      <c r="Q75" s="26"/>
      <c r="R75" s="26"/>
      <c r="S75" s="38">
        <f t="shared" si="33"/>
        <v>1</v>
      </c>
      <c r="T75" s="55" t="str">
        <f t="shared" si="21"/>
        <v>Southbound</v>
      </c>
      <c r="U75" s="14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10:55:10-0600',mode:absolute,to:'2016-08-10 13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75" s="57" t="str">
        <f t="shared" si="23"/>
        <v>N</v>
      </c>
      <c r="X75" s="136">
        <f t="shared" si="24"/>
        <v>1</v>
      </c>
      <c r="Y75" s="72">
        <f t="shared" si="25"/>
        <v>23.299800000000001</v>
      </c>
      <c r="Z75" s="72">
        <f t="shared" si="26"/>
        <v>1.43E-2</v>
      </c>
      <c r="AA75" s="72">
        <f t="shared" si="27"/>
        <v>23.285500000000003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28"/>
        <v>0162-10</v>
      </c>
      <c r="AE75" s="108" t="str">
        <f t="shared" si="29"/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AF75" s="105" t="str">
        <f t="shared" si="30"/>
        <v>"C:\Program Files (x86)\AstroGrep\AstroGrep.exe" /spath="%USERPROFILE%\AppData\Local\Temp\OnboardLogs" /stypes="*4017*20160810*" /stext=" 18:.+((SYSTEM_STATE.+slice.+state.+changed )|(ment ac)|(system.+state.+changed )|(\|lc)|(penalty)|(\[timeout)|(PRM\|1\|D)|(kpr)|(kdp))" /e /r /s</v>
      </c>
      <c r="AG75" s="1" t="str">
        <f t="shared" si="31"/>
        <v>EC</v>
      </c>
      <c r="AH75" s="109" t="str">
        <f t="shared" si="16"/>
        <v>"%USERPROFILE%\Documents\GitHub\eaglep3\Utilities\RefineRTDCRunTimes.py" --tripid 162-10 --locoid 4017 --swversion DE.1.0.7.0 --startMP 204:232998 --initTime 2016-08-10T11:55:10 --startdatetime 2016-08-10T11:56:54 --delay 1 --endMP 204:143 --enddatetime 2016-08-10T12:50:40 --enforcementcount 0</v>
      </c>
    </row>
    <row r="76" spans="1:34" x14ac:dyDescent="0.25">
      <c r="A76" s="42" t="s">
        <v>401</v>
      </c>
      <c r="B76" s="7">
        <v>4007</v>
      </c>
      <c r="C76" s="25" t="s">
        <v>137</v>
      </c>
      <c r="D76" s="25" t="s">
        <v>181</v>
      </c>
      <c r="E76" s="16">
        <v>42592.476782407408</v>
      </c>
      <c r="F76" s="16">
        <v>42592.478078703702</v>
      </c>
      <c r="G76" s="7">
        <v>1</v>
      </c>
      <c r="H76" s="16" t="s">
        <v>131</v>
      </c>
      <c r="I76" s="16">
        <v>42592.508298611108</v>
      </c>
      <c r="J76" s="7">
        <v>0</v>
      </c>
      <c r="K76" s="25" t="str">
        <f t="shared" si="17"/>
        <v>4007/4008</v>
      </c>
      <c r="L76" s="25" t="str">
        <f>VLOOKUP(A76,'Trips&amp;Operators'!$C$1:$E$10000,3,FALSE)</f>
        <v>HELVIE</v>
      </c>
      <c r="M76" s="6">
        <f t="shared" si="18"/>
        <v>3.0219907406717539E-2</v>
      </c>
      <c r="N76" s="7">
        <f t="shared" si="32"/>
        <v>43.516666665673256</v>
      </c>
      <c r="O76" s="7"/>
      <c r="P76" s="7"/>
      <c r="Q76" s="26"/>
      <c r="R76" s="26"/>
      <c r="S76" s="38">
        <f t="shared" si="33"/>
        <v>1</v>
      </c>
      <c r="T76" s="55" t="str">
        <f t="shared" si="21"/>
        <v>NorthBound</v>
      </c>
      <c r="U76" s="14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5" t="str">
        <f t="shared" si="22"/>
        <v>https://search-rtdc-monitor-bjffxe2xuh6vdkpspy63sjmuny.us-east-1.es.amazonaws.com/_plugin/kibana/#/discover/Steve-Slow-Train-Analysis-(2080s-and-2083s)?_g=(refreshInterval:(display:Off,section:0,value:0),time:(from:'2016-08-10 10:26:34-0600',mode:absolute,to:'2016-08-10 13:11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76" s="57" t="str">
        <f t="shared" si="23"/>
        <v>N</v>
      </c>
      <c r="X76" s="136">
        <f t="shared" si="24"/>
        <v>1</v>
      </c>
      <c r="Y76" s="72">
        <f t="shared" si="25"/>
        <v>4.3999999999999997E-2</v>
      </c>
      <c r="Z76" s="72">
        <f t="shared" si="26"/>
        <v>23.3293</v>
      </c>
      <c r="AA76" s="72">
        <f t="shared" si="27"/>
        <v>23.285299999999999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28"/>
        <v>0163-10</v>
      </c>
      <c r="AE76" s="108" t="str">
        <f t="shared" si="29"/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AF76" s="105" t="str">
        <f t="shared" si="30"/>
        <v>"C:\Program Files (x86)\AstroGrep\AstroGrep.exe" /spath="%USERPROFILE%\AppData\Local\Temp\OnboardLogs" /stypes="*4007*20160810*" /stext=" 18:.+((SYSTEM_STATE.+slice.+state.+changed )|(ment ac)|(system.+state.+changed )|(\|lc)|(penalty)|(\[timeout)|(PRM\|1\|D)|(kpr)|(kdp))" /e /r /s</v>
      </c>
      <c r="AG76" s="1" t="str">
        <f t="shared" si="31"/>
        <v>EC</v>
      </c>
      <c r="AH76" s="109" t="str">
        <f t="shared" si="16"/>
        <v>"%USERPROFILE%\Documents\GitHub\eaglep3\Utilities\RefineRTDCRunTimes.py" --tripid 163-10 --locoid 4007 --swversion DE.1.0.7.0 --startMP 204:440 --initTime 2016-08-10T11:26:34 --startdatetime 2016-08-10T11:28:26 --delay 1 --endMP 204:233293 --enddatetime 2016-08-10T12:11:57 --enforcementcount 0</v>
      </c>
    </row>
    <row r="77" spans="1:34" x14ac:dyDescent="0.25">
      <c r="A77" s="42" t="s">
        <v>402</v>
      </c>
      <c r="B77" s="7">
        <v>4008</v>
      </c>
      <c r="C77" s="25" t="s">
        <v>137</v>
      </c>
      <c r="D77" s="25" t="s">
        <v>225</v>
      </c>
      <c r="E77" s="16">
        <v>42592.514641203707</v>
      </c>
      <c r="F77" s="16">
        <v>42592.515960648147</v>
      </c>
      <c r="G77" s="7">
        <v>1</v>
      </c>
      <c r="H77" s="16" t="s">
        <v>403</v>
      </c>
      <c r="I77" s="16">
        <v>42592.548055555555</v>
      </c>
      <c r="J77" s="7">
        <v>1</v>
      </c>
      <c r="K77" s="25" t="str">
        <f t="shared" ref="K77:K96" si="34">IF(ISEVEN(B77),(B77-1)&amp;"/"&amp;B77,B77&amp;"/"&amp;(B77+1))</f>
        <v>4007/4008</v>
      </c>
      <c r="L77" s="25" t="str">
        <f>VLOOKUP(A77,'Trips&amp;Operators'!$C$1:$E$10000,3,FALSE)</f>
        <v>HELVIE</v>
      </c>
      <c r="M77" s="6">
        <f t="shared" ref="M77:M96" si="35">I77-F77</f>
        <v>3.2094907408463769E-2</v>
      </c>
      <c r="N77" s="7">
        <f t="shared" si="32"/>
        <v>46.216666668187827</v>
      </c>
      <c r="O77" s="7"/>
      <c r="P77" s="7"/>
      <c r="Q77" s="26"/>
      <c r="R77" s="26"/>
      <c r="S77" s="38">
        <f t="shared" si="33"/>
        <v>1</v>
      </c>
      <c r="T77" s="55" t="str">
        <f t="shared" ref="T77:T93" si="36">IF(ISEVEN(LEFT(AD77,4)),"Southbound","NorthBound")</f>
        <v>Southbound</v>
      </c>
      <c r="U77" s="14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5" t="str">
        <f t="shared" ref="V77:V93" si="3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https://search-rtdc-monitor-bjffxe2xuh6vdkpspy63sjmuny.us-east-1.es.amazonaws.com/_plugin/kibana/#/discover/Steve-Slow-Train-Analysis-(2080s-and-2083s)?_g=(refreshInterval:(display:Off,section:0,value:0),time:(from:'2016-08-10 11:21:05-0600',mode:absolute,to:'2016-08-10 14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77" s="57" t="str">
        <f t="shared" ref="W77:W93" si="38">IF(AA77&lt;IF(AG77="EC",23,5.65),"Y","N")</f>
        <v>N</v>
      </c>
      <c r="X77" s="136">
        <f t="shared" ref="X77:X93" si="39">VALUE(LEFT(AD77,4))-VALUE(LEFT(AD76,4))</f>
        <v>1</v>
      </c>
      <c r="Y77" s="72">
        <f t="shared" ref="Y77:Y93" si="40">RIGHT(D77,LEN(D77)-4)/10000</f>
        <v>23.298300000000001</v>
      </c>
      <c r="Z77" s="72">
        <f t="shared" ref="Z77:Z93" si="41">RIGHT(H77,LEN(H77)-4)/10000</f>
        <v>1.2699999999999999E-2</v>
      </c>
      <c r="AA77" s="72">
        <f t="shared" ref="AA77:AA93" si="42">ABS(Z77-Y77)</f>
        <v>23.285600000000002</v>
      </c>
      <c r="AB77" s="69">
        <f>VLOOKUP(A77,Enforcements!$C$7:$J$24,8,0)</f>
        <v>183829</v>
      </c>
      <c r="AC77" s="65" t="str">
        <f>VLOOKUP(A77,Enforcements!$C$7:$E$24,3,0)</f>
        <v>PERMANENT SPEED RESTRICTION</v>
      </c>
      <c r="AD77" s="66" t="str">
        <f t="shared" ref="AD77:AD108" si="43">IF(LEN(A77)=6,"0"&amp;A77,A77)</f>
        <v>0164-10</v>
      </c>
      <c r="AE77" s="108" t="str">
        <f t="shared" ref="AE77:AE96" si="44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AF77" s="105" t="str">
        <f t="shared" ref="AF77:AF96" si="45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/stypes="*4008*20160810*" /stext=" 19:.+((SYSTEM_STATE.+slice.+state.+changed )|(ment ac)|(system.+state.+changed )|(\|lc)|(penalty)|(\[timeout)|(PRM\|1\|D)|(kpr)|(kdp))" /e /r /s</v>
      </c>
      <c r="AG77" s="1" t="str">
        <f t="shared" ref="AG77:AG108" si="46">IF(VALUE(LEFT(AD77,2))&lt;=2,"EC",IF(OR(VALUE(LEFT(AD77,2))=8,VALUE(LEFT(AD77,2))=18),"NW","Other"))</f>
        <v>EC</v>
      </c>
      <c r="AH77" s="109" t="str">
        <f t="shared" si="16"/>
        <v>"%USERPROFILE%\Documents\GitHub\eaglep3\Utilities\RefineRTDCRunTimes.py" --tripid 164-10 --locoid 4008 --swversion DE.1.0.7.0 --startMP 204:232983 --initTime 2016-08-10T12:21:05 --startdatetime 2016-08-10T12:22:59 --delay 1 --endMP 204:127 --enddatetime 2016-08-10T13:09:12 --enforcementcount 1</v>
      </c>
    </row>
    <row r="78" spans="1:34" x14ac:dyDescent="0.25">
      <c r="A78" s="42" t="s">
        <v>404</v>
      </c>
      <c r="B78" s="7">
        <v>4040</v>
      </c>
      <c r="C78" s="25" t="s">
        <v>137</v>
      </c>
      <c r="D78" s="25" t="s">
        <v>128</v>
      </c>
      <c r="E78" s="16">
        <v>42592.486655092594</v>
      </c>
      <c r="F78" s="16">
        <v>42592.487893518519</v>
      </c>
      <c r="G78" s="7">
        <v>1</v>
      </c>
      <c r="H78" s="16" t="s">
        <v>405</v>
      </c>
      <c r="I78" s="16">
        <v>42592.514687499999</v>
      </c>
      <c r="J78" s="7">
        <v>0</v>
      </c>
      <c r="K78" s="25" t="str">
        <f t="shared" si="34"/>
        <v>4039/4040</v>
      </c>
      <c r="L78" s="25" t="str">
        <f>VLOOKUP(A78,'Trips&amp;Operators'!$C$1:$E$10000,3,FALSE)</f>
        <v>DE LA ROSA</v>
      </c>
      <c r="M78" s="6">
        <f t="shared" si="35"/>
        <v>2.679398148029577E-2</v>
      </c>
      <c r="N78" s="7">
        <f t="shared" si="32"/>
        <v>38.583333331625909</v>
      </c>
      <c r="O78" s="7"/>
      <c r="P78" s="7"/>
      <c r="Q78" s="26"/>
      <c r="R78" s="26"/>
      <c r="S78" s="38">
        <f t="shared" si="33"/>
        <v>1</v>
      </c>
      <c r="T78" s="55" t="str">
        <f t="shared" si="36"/>
        <v>NorthBound</v>
      </c>
      <c r="U78" s="14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10:40:47-0600',mode:absolute,to:'2016-08-10 13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78" s="57" t="str">
        <f t="shared" si="38"/>
        <v>N</v>
      </c>
      <c r="X78" s="136">
        <f t="shared" si="39"/>
        <v>1</v>
      </c>
      <c r="Y78" s="72">
        <f t="shared" si="40"/>
        <v>4.6199999999999998E-2</v>
      </c>
      <c r="Z78" s="72">
        <f t="shared" si="41"/>
        <v>23.3264</v>
      </c>
      <c r="AA78" s="72">
        <f t="shared" si="42"/>
        <v>23.280200000000001</v>
      </c>
      <c r="AB78" s="69" t="e">
        <f>VLOOKUP(A78,Enforcements!$C$7:$J$24,8,0)</f>
        <v>#N/A</v>
      </c>
      <c r="AC78" s="65" t="e">
        <f>VLOOKUP(A78,Enforcements!$C$7:$E$24,3,0)</f>
        <v>#N/A</v>
      </c>
      <c r="AD78" s="66" t="str">
        <f t="shared" si="43"/>
        <v>0165-10</v>
      </c>
      <c r="AE78" s="108" t="str">
        <f t="shared" si="44"/>
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</c>
      <c r="AF78" s="105" t="str">
        <f t="shared" si="45"/>
        <v>"C:\Program Files (x86)\AstroGrep\AstroGrep.exe" /spath="%USERPROFILE%\AppData\Local\Temp\OnboardLogs" /stypes="*4040*20160810*" /stext=" 18:.+((SYSTEM_STATE.+slice.+state.+changed )|(ment ac)|(system.+state.+changed )|(\|lc)|(penalty)|(\[timeout)|(PRM\|1\|D)|(kpr)|(kdp))" /e /r /s</v>
      </c>
      <c r="AG78" s="1" t="str">
        <f t="shared" si="46"/>
        <v>EC</v>
      </c>
      <c r="AH78" s="109" t="str">
        <f t="shared" ref="AH78:AH171" si="4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</f>
        <v>"%USERPROFILE%\Documents\GitHub\eaglep3\Utilities\RefineRTDCRunTimes.py" --tripid 165-10 --locoid 4040 --swversion DE.1.0.7.0 --startMP 204:462 --initTime 2016-08-10T11:40:47 --startdatetime 2016-08-10T11:42:34 --delay 1 --endMP 204:233264 --enddatetime 2016-08-10T12:21:09 --enforcementcount 0</v>
      </c>
    </row>
    <row r="79" spans="1:34" x14ac:dyDescent="0.25">
      <c r="A79" s="42" t="s">
        <v>406</v>
      </c>
      <c r="B79" s="7">
        <v>4039</v>
      </c>
      <c r="C79" s="25" t="s">
        <v>137</v>
      </c>
      <c r="D79" s="25" t="s">
        <v>249</v>
      </c>
      <c r="E79" s="16">
        <v>42592.524675925924</v>
      </c>
      <c r="F79" s="16">
        <v>42592.525763888887</v>
      </c>
      <c r="G79" s="7">
        <v>1</v>
      </c>
      <c r="H79" s="16" t="s">
        <v>360</v>
      </c>
      <c r="I79" s="16">
        <v>42592.557060185187</v>
      </c>
      <c r="J79" s="7">
        <v>1</v>
      </c>
      <c r="K79" s="25" t="str">
        <f t="shared" si="34"/>
        <v>4039/4040</v>
      </c>
      <c r="L79" s="25" t="str">
        <f>VLOOKUP(A79,'Trips&amp;Operators'!$C$1:$E$10000,3,FALSE)</f>
        <v>DE LA ROSA</v>
      </c>
      <c r="M79" s="6">
        <f t="shared" si="35"/>
        <v>3.1296296299842652E-2</v>
      </c>
      <c r="N79" s="7">
        <f t="shared" si="32"/>
        <v>45.066666671773419</v>
      </c>
      <c r="O79" s="7"/>
      <c r="P79" s="7"/>
      <c r="Q79" s="26"/>
      <c r="R79" s="26"/>
      <c r="S79" s="38">
        <f t="shared" si="33"/>
        <v>1</v>
      </c>
      <c r="T79" s="55" t="str">
        <f t="shared" si="36"/>
        <v>Southbound</v>
      </c>
      <c r="U79" s="14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11:35:32-0600',mode:absolute,to:'2016-08-10 14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79" s="57" t="str">
        <f t="shared" si="38"/>
        <v>N</v>
      </c>
      <c r="X79" s="136">
        <f t="shared" si="39"/>
        <v>1</v>
      </c>
      <c r="Y79" s="72">
        <f t="shared" si="40"/>
        <v>23.297799999999999</v>
      </c>
      <c r="Z79" s="72">
        <f t="shared" si="41"/>
        <v>1.38E-2</v>
      </c>
      <c r="AA79" s="72">
        <f t="shared" si="42"/>
        <v>23.283999999999999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43"/>
        <v>0166-10</v>
      </c>
      <c r="AE79" s="108" t="str">
        <f t="shared" si="44"/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AF79" s="105" t="str">
        <f t="shared" si="45"/>
        <v>"C:\Program Files (x86)\AstroGrep\AstroGrep.exe" /spath="%USERPROFILE%\AppData\Local\Temp\OnboardLogs" /stypes="*4039*20160810*" /stext=" 19:.+((SYSTEM_STATE.+slice.+state.+changed )|(ment ac)|(system.+state.+changed )|(\|lc)|(penalty)|(\[timeout)|(PRM\|1\|D)|(kpr)|(kdp))" /e /r /s</v>
      </c>
      <c r="AG79" s="1" t="str">
        <f t="shared" si="46"/>
        <v>EC</v>
      </c>
      <c r="AH79" s="109" t="str">
        <f t="shared" si="47"/>
        <v>"%USERPROFILE%\Documents\GitHub\eaglep3\Utilities\RefineRTDCRunTimes.py" --tripid 166-10 --locoid 4039 --swversion DE.1.0.7.0 --startMP 204:232978 --initTime 2016-08-10T12:35:32 --startdatetime 2016-08-10T12:37:06 --delay 1 --endMP 204:138 --enddatetime 2016-08-10T13:22:10 --enforcementcount 1</v>
      </c>
    </row>
    <row r="80" spans="1:34" x14ac:dyDescent="0.25">
      <c r="A80" s="42" t="s">
        <v>407</v>
      </c>
      <c r="B80" s="7">
        <v>4020</v>
      </c>
      <c r="C80" s="25" t="s">
        <v>137</v>
      </c>
      <c r="D80" s="25" t="s">
        <v>252</v>
      </c>
      <c r="E80" s="16">
        <v>42592.496157407404</v>
      </c>
      <c r="F80" s="16">
        <v>42592.497696759259</v>
      </c>
      <c r="G80" s="7">
        <v>2</v>
      </c>
      <c r="H80" s="16" t="s">
        <v>191</v>
      </c>
      <c r="I80" s="16">
        <v>42592.527754629627</v>
      </c>
      <c r="J80" s="7">
        <v>0</v>
      </c>
      <c r="K80" s="25" t="str">
        <f t="shared" si="34"/>
        <v>4019/4020</v>
      </c>
      <c r="L80" s="25" t="str">
        <f>VLOOKUP(A80,'Trips&amp;Operators'!$C$1:$E$10000,3,FALSE)</f>
        <v>YOUNG</v>
      </c>
      <c r="M80" s="6">
        <f t="shared" si="35"/>
        <v>3.0057870368182193E-2</v>
      </c>
      <c r="N80" s="7">
        <f t="shared" si="32"/>
        <v>43.283333330182359</v>
      </c>
      <c r="O80" s="7"/>
      <c r="P80" s="7"/>
      <c r="Q80" s="26"/>
      <c r="R80" s="26"/>
      <c r="S80" s="38">
        <f t="shared" si="33"/>
        <v>1</v>
      </c>
      <c r="T80" s="55" t="str">
        <f t="shared" si="36"/>
        <v>NorthBound</v>
      </c>
      <c r="U80" s="14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10:54:28-0600',mode:absolute,to:'2016-08-10 13:39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80" s="57" t="str">
        <f t="shared" si="38"/>
        <v>N</v>
      </c>
      <c r="X80" s="136">
        <f t="shared" si="39"/>
        <v>1</v>
      </c>
      <c r="Y80" s="72">
        <f t="shared" si="40"/>
        <v>4.6699999999999998E-2</v>
      </c>
      <c r="Z80" s="72">
        <f t="shared" si="41"/>
        <v>23.331199999999999</v>
      </c>
      <c r="AA80" s="72">
        <f t="shared" si="42"/>
        <v>23.284499999999998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43"/>
        <v>0167-10</v>
      </c>
      <c r="AE80" s="108" t="str">
        <f t="shared" si="44"/>
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</c>
      <c r="AF80" s="105" t="str">
        <f t="shared" si="45"/>
        <v>"C:\Program Files (x86)\AstroGrep\AstroGrep.exe" /spath="%USERPROFILE%\AppData\Local\Temp\OnboardLogs" /stypes="*4020*20160810*" /stext=" 18:.+((SYSTEM_STATE.+slice.+state.+changed )|(ment ac)|(system.+state.+changed )|(\|lc)|(penalty)|(\[timeout)|(PRM\|1\|D)|(kpr)|(kdp))" /e /r /s</v>
      </c>
      <c r="AG80" s="1" t="str">
        <f t="shared" si="46"/>
        <v>EC</v>
      </c>
      <c r="AH80" s="109" t="str">
        <f t="shared" si="47"/>
        <v>"%USERPROFILE%\Documents\GitHub\eaglep3\Utilities\RefineRTDCRunTimes.py" --tripid 167-10 --locoid 4020 --swversion DE.1.0.7.0 --startMP 204:467 --initTime 2016-08-10T11:54:28 --startdatetime 2016-08-10T11:56:41 --delay 2 --endMP 204:233312 --enddatetime 2016-08-10T12:39:58 --enforcementcount 0</v>
      </c>
    </row>
    <row r="81" spans="1:34" x14ac:dyDescent="0.25">
      <c r="A81" s="42" t="s">
        <v>408</v>
      </c>
      <c r="B81" s="7">
        <v>4019</v>
      </c>
      <c r="C81" s="25" t="s">
        <v>137</v>
      </c>
      <c r="D81" s="25" t="s">
        <v>409</v>
      </c>
      <c r="E81" s="16">
        <v>42592.530092592591</v>
      </c>
      <c r="F81" s="16">
        <v>42592.531597222223</v>
      </c>
      <c r="G81" s="7">
        <v>2</v>
      </c>
      <c r="H81" s="16" t="s">
        <v>410</v>
      </c>
      <c r="I81" s="16">
        <v>42592.569363425922</v>
      </c>
      <c r="J81" s="7">
        <v>0</v>
      </c>
      <c r="K81" s="25" t="str">
        <f t="shared" si="34"/>
        <v>4019/4020</v>
      </c>
      <c r="L81" s="25" t="str">
        <f>VLOOKUP(A81,'Trips&amp;Operators'!$C$1:$E$10000,3,FALSE)</f>
        <v>YOUNG</v>
      </c>
      <c r="M81" s="6">
        <f t="shared" si="35"/>
        <v>3.7766203698993195E-2</v>
      </c>
      <c r="N81" s="7">
        <f t="shared" si="32"/>
        <v>54.383333326550201</v>
      </c>
      <c r="O81" s="7"/>
      <c r="P81" s="7"/>
      <c r="Q81" s="26"/>
      <c r="R81" s="26"/>
      <c r="S81" s="38">
        <f t="shared" si="33"/>
        <v>1</v>
      </c>
      <c r="T81" s="55" t="str">
        <f t="shared" si="36"/>
        <v>Southbound</v>
      </c>
      <c r="U81" s="14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11:43:20-0600',mode:absolute,to:'2016-08-10 14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81" s="57" t="str">
        <f t="shared" si="38"/>
        <v>N</v>
      </c>
      <c r="X81" s="136">
        <f t="shared" si="39"/>
        <v>1</v>
      </c>
      <c r="Y81" s="72">
        <f t="shared" si="40"/>
        <v>23.300799999999999</v>
      </c>
      <c r="Z81" s="72">
        <f t="shared" si="41"/>
        <v>1.89E-2</v>
      </c>
      <c r="AA81" s="72">
        <f t="shared" si="42"/>
        <v>23.2819</v>
      </c>
      <c r="AB81" s="69" t="e">
        <f>VLOOKUP(A81,Enforcements!$C$7:$J$24,8,0)</f>
        <v>#N/A</v>
      </c>
      <c r="AC81" s="65" t="e">
        <f>VLOOKUP(A81,Enforcements!$C$7:$E$24,3,0)</f>
        <v>#N/A</v>
      </c>
      <c r="AD81" s="66" t="str">
        <f t="shared" si="43"/>
        <v>0168-10</v>
      </c>
      <c r="AE81" s="108" t="str">
        <f t="shared" si="44"/>
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</c>
      <c r="AF81" s="105" t="str">
        <f t="shared" si="45"/>
        <v>"C:\Program Files (x86)\AstroGrep\AstroGrep.exe" /spath="%USERPROFILE%\AppData\Local\Temp\OnboardLogs" /stypes="*4019*20160810*" /stext=" 19:.+((SYSTEM_STATE.+slice.+state.+changed )|(ment ac)|(system.+state.+changed )|(\|lc)|(penalty)|(\[timeout)|(PRM\|1\|D)|(kpr)|(kdp))" /e /r /s</v>
      </c>
      <c r="AG81" s="1" t="str">
        <f t="shared" si="46"/>
        <v>EC</v>
      </c>
      <c r="AH81" s="109" t="str">
        <f t="shared" si="47"/>
        <v>"%USERPROFILE%\Documents\GitHub\eaglep3\Utilities\RefineRTDCRunTimes.py" --tripid 168-10 --locoid 4019 --swversion DE.1.0.7.0 --startMP 204:233008 --initTime 2016-08-10T12:43:20 --startdatetime 2016-08-10T12:45:30 --delay 2 --endMP 204:189 --enddatetime 2016-08-10T13:39:53 --enforcementcount 0</v>
      </c>
    </row>
    <row r="82" spans="1:34" x14ac:dyDescent="0.25">
      <c r="A82" s="42" t="s">
        <v>411</v>
      </c>
      <c r="B82" s="7">
        <v>4009</v>
      </c>
      <c r="C82" s="25" t="s">
        <v>137</v>
      </c>
      <c r="D82" s="25" t="s">
        <v>334</v>
      </c>
      <c r="E82" s="16">
        <v>42592.507291666669</v>
      </c>
      <c r="F82" s="16">
        <v>42592.508831018517</v>
      </c>
      <c r="G82" s="7">
        <v>2</v>
      </c>
      <c r="H82" s="16" t="s">
        <v>255</v>
      </c>
      <c r="I82" s="16">
        <v>42592.536539351851</v>
      </c>
      <c r="J82" s="7">
        <v>0</v>
      </c>
      <c r="K82" s="25" t="str">
        <f t="shared" si="34"/>
        <v>4009/4010</v>
      </c>
      <c r="L82" s="25" t="str">
        <f>VLOOKUP(A82,'Trips&amp;Operators'!$C$1:$E$10000,3,FALSE)</f>
        <v>BRUDER</v>
      </c>
      <c r="M82" s="6">
        <f t="shared" si="35"/>
        <v>2.7708333334885538E-2</v>
      </c>
      <c r="N82" s="7">
        <f t="shared" si="32"/>
        <v>39.900000002235174</v>
      </c>
      <c r="O82" s="7"/>
      <c r="P82" s="7"/>
      <c r="Q82" s="26"/>
      <c r="R82" s="26"/>
      <c r="S82" s="38">
        <f t="shared" si="33"/>
        <v>1</v>
      </c>
      <c r="T82" s="55" t="str">
        <f t="shared" si="36"/>
        <v>NorthBound</v>
      </c>
      <c r="U82" s="14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11:10:30-0600',mode:absolute,to:'2016-08-10 13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82" s="57" t="str">
        <f t="shared" si="38"/>
        <v>N</v>
      </c>
      <c r="X82" s="136">
        <f t="shared" si="39"/>
        <v>1</v>
      </c>
      <c r="Y82" s="72">
        <f t="shared" si="40"/>
        <v>4.5699999999999998E-2</v>
      </c>
      <c r="Z82" s="72">
        <f t="shared" si="41"/>
        <v>23.326799999999999</v>
      </c>
      <c r="AA82" s="72">
        <f t="shared" si="42"/>
        <v>23.281099999999999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43"/>
        <v>0169-10</v>
      </c>
      <c r="AE82" s="108" t="str">
        <f t="shared" si="44"/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AF82" s="105" t="str">
        <f t="shared" si="45"/>
        <v>"C:\Program Files (x86)\AstroGrep\AstroGrep.exe" /spath="%USERPROFILE%\AppData\Local\Temp\OnboardLogs" /stypes="*4009*20160810*" /stext=" 18:.+((SYSTEM_STATE.+slice.+state.+changed )|(ment ac)|(system.+state.+changed )|(\|lc)|(penalty)|(\[timeout)|(PRM\|1\|D)|(kpr)|(kdp))" /e /r /s</v>
      </c>
      <c r="AG82" s="1" t="str">
        <f t="shared" si="46"/>
        <v>EC</v>
      </c>
      <c r="AH82" s="109" t="str">
        <f t="shared" si="47"/>
        <v>"%USERPROFILE%\Documents\GitHub\eaglep3\Utilities\RefineRTDCRunTimes.py" --tripid 169-10 --locoid 4009 --swversion DE.1.0.7.0 --startMP 204:457 --initTime 2016-08-10T12:10:30 --startdatetime 2016-08-10T12:12:43 --delay 2 --endMP 204:233268 --enddatetime 2016-08-10T12:52:37 --enforcementcount 0</v>
      </c>
    </row>
    <row r="83" spans="1:34" x14ac:dyDescent="0.25">
      <c r="A83" s="42" t="s">
        <v>412</v>
      </c>
      <c r="B83" s="7">
        <v>4010</v>
      </c>
      <c r="C83" s="25" t="s">
        <v>137</v>
      </c>
      <c r="D83" s="25" t="s">
        <v>250</v>
      </c>
      <c r="E83" s="16">
        <v>42592.544108796297</v>
      </c>
      <c r="F83" s="16">
        <v>42592.545543981483</v>
      </c>
      <c r="G83" s="7">
        <v>2</v>
      </c>
      <c r="H83" s="16" t="s">
        <v>97</v>
      </c>
      <c r="I83" s="16">
        <v>42592.577743055554</v>
      </c>
      <c r="J83" s="7">
        <v>0</v>
      </c>
      <c r="K83" s="25" t="str">
        <f t="shared" si="34"/>
        <v>4009/4010</v>
      </c>
      <c r="L83" s="25" t="str">
        <f>VLOOKUP(A83,'Trips&amp;Operators'!$C$1:$E$10000,3,FALSE)</f>
        <v>BRUDER</v>
      </c>
      <c r="M83" s="6">
        <f t="shared" si="35"/>
        <v>3.219907407037681E-2</v>
      </c>
      <c r="N83" s="7">
        <f t="shared" si="32"/>
        <v>46.366666661342606</v>
      </c>
      <c r="O83" s="7"/>
      <c r="P83" s="7"/>
      <c r="Q83" s="26"/>
      <c r="R83" s="26"/>
      <c r="S83" s="38">
        <f t="shared" si="33"/>
        <v>1</v>
      </c>
      <c r="T83" s="55" t="str">
        <f t="shared" si="36"/>
        <v>Southbound</v>
      </c>
      <c r="U83" s="14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12:03:31-0600',mode:absolute,to:'2016-08-10 14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83" s="57" t="str">
        <f t="shared" si="38"/>
        <v>N</v>
      </c>
      <c r="X83" s="136">
        <f t="shared" si="39"/>
        <v>1</v>
      </c>
      <c r="Y83" s="72">
        <f t="shared" si="40"/>
        <v>23.297999999999998</v>
      </c>
      <c r="Z83" s="72">
        <f t="shared" si="41"/>
        <v>1.43E-2</v>
      </c>
      <c r="AA83" s="72">
        <f t="shared" si="42"/>
        <v>23.2837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43"/>
        <v>0170-10</v>
      </c>
      <c r="AE83" s="108" t="str">
        <f t="shared" si="44"/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AF83" s="105" t="str">
        <f t="shared" si="45"/>
        <v>"C:\Program Files (x86)\AstroGrep\AstroGrep.exe" /spath="%USERPROFILE%\AppData\Local\Temp\OnboardLogs" /stypes="*4010*20160810*" /stext=" 19:.+((SYSTEM_STATE.+slice.+state.+changed )|(ment ac)|(system.+state.+changed )|(\|lc)|(penalty)|(\[timeout)|(PRM\|1\|D)|(kpr)|(kdp))" /e /r /s</v>
      </c>
      <c r="AG83" s="1" t="str">
        <f t="shared" si="46"/>
        <v>EC</v>
      </c>
      <c r="AH83" s="109" t="str">
        <f t="shared" si="47"/>
        <v>"%USERPROFILE%\Documents\GitHub\eaglep3\Utilities\RefineRTDCRunTimes.py" --tripid 170-10 --locoid 4010 --swversion DE.1.0.7.0 --startMP 204:232980 --initTime 2016-08-10T13:03:31 --startdatetime 2016-08-10T13:05:35 --delay 2 --endMP 204:143 --enddatetime 2016-08-10T13:51:57 --enforcementcount 0</v>
      </c>
    </row>
    <row r="84" spans="1:34" x14ac:dyDescent="0.25">
      <c r="A84" s="42" t="s">
        <v>413</v>
      </c>
      <c r="B84" s="7">
        <v>4016</v>
      </c>
      <c r="C84" s="25" t="s">
        <v>137</v>
      </c>
      <c r="D84" s="25" t="s">
        <v>218</v>
      </c>
      <c r="E84" s="16">
        <v>42592.520069444443</v>
      </c>
      <c r="F84" s="16">
        <v>42592.522118055553</v>
      </c>
      <c r="G84" s="7">
        <v>2</v>
      </c>
      <c r="H84" s="16" t="s">
        <v>131</v>
      </c>
      <c r="I84" s="16">
        <v>42592.548182870371</v>
      </c>
      <c r="J84" s="7">
        <v>0</v>
      </c>
      <c r="K84" s="25" t="str">
        <f t="shared" si="34"/>
        <v>4015/4016</v>
      </c>
      <c r="L84" s="25" t="str">
        <f>VLOOKUP(A84,'Trips&amp;Operators'!$C$1:$E$10000,3,FALSE)</f>
        <v>HAITHCOX</v>
      </c>
      <c r="M84" s="6">
        <f t="shared" si="35"/>
        <v>2.6064814817800652E-2</v>
      </c>
      <c r="N84" s="7">
        <f t="shared" si="32"/>
        <v>37.533333337632939</v>
      </c>
      <c r="O84" s="7"/>
      <c r="P84" s="7"/>
      <c r="Q84" s="26"/>
      <c r="R84" s="26"/>
      <c r="S84" s="38">
        <f t="shared" si="33"/>
        <v>1</v>
      </c>
      <c r="T84" s="55" t="str">
        <f t="shared" si="36"/>
        <v>NorthBound</v>
      </c>
      <c r="U84" s="14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11:28:54-0600',mode:absolute,to:'2016-08-10 14:09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84" s="57" t="str">
        <f t="shared" si="38"/>
        <v>N</v>
      </c>
      <c r="X84" s="136">
        <f t="shared" si="39"/>
        <v>1</v>
      </c>
      <c r="Y84" s="72">
        <f t="shared" si="40"/>
        <v>4.8399999999999999E-2</v>
      </c>
      <c r="Z84" s="72">
        <f t="shared" si="41"/>
        <v>23.3293</v>
      </c>
      <c r="AA84" s="72">
        <f t="shared" si="42"/>
        <v>23.280899999999999</v>
      </c>
      <c r="AB84" s="69" t="e">
        <f>VLOOKUP(A84,Enforcements!$C$7:$J$24,8,0)</f>
        <v>#N/A</v>
      </c>
      <c r="AC84" s="65" t="e">
        <f>VLOOKUP(A84,Enforcements!$C$7:$E$24,3,0)</f>
        <v>#N/A</v>
      </c>
      <c r="AD84" s="66" t="str">
        <f t="shared" si="43"/>
        <v>0171-10</v>
      </c>
      <c r="AE84" s="108" t="str">
        <f t="shared" si="44"/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84" s="105" t="str">
        <f t="shared" si="45"/>
        <v>"C:\Program Files (x86)\AstroGrep\AstroGrep.exe" /spath="%USERPROFILE%\AppData\Local\Temp\OnboardLogs" /stypes="*4016*20160810*" /stext=" 19:.+((SYSTEM_STATE.+slice.+state.+changed )|(ment ac)|(system.+state.+changed )|(\|lc)|(penalty)|(\[timeout)|(PRM\|1\|D)|(kpr)|(kdp))" /e /r /s</v>
      </c>
      <c r="AG84" s="1" t="str">
        <f t="shared" si="46"/>
        <v>EC</v>
      </c>
      <c r="AH84" s="109" t="str">
        <f t="shared" si="47"/>
        <v>"%USERPROFILE%\Documents\GitHub\eaglep3\Utilities\RefineRTDCRunTimes.py" --tripid 171-10 --locoid 4016 --swversion DE.1.0.7.0 --startMP 204:484 --initTime 2016-08-10T12:28:54 --startdatetime 2016-08-10T12:31:51 --delay 2 --endMP 204:233293 --enddatetime 2016-08-10T13:09:23 --enforcementcount 0</v>
      </c>
    </row>
    <row r="85" spans="1:34" x14ac:dyDescent="0.25">
      <c r="A85" s="42" t="s">
        <v>414</v>
      </c>
      <c r="B85" s="7">
        <v>4015</v>
      </c>
      <c r="C85" s="25" t="s">
        <v>137</v>
      </c>
      <c r="D85" s="25" t="s">
        <v>225</v>
      </c>
      <c r="E85" s="16">
        <v>42592.558356481481</v>
      </c>
      <c r="F85" s="16">
        <v>42592.559629629628</v>
      </c>
      <c r="G85" s="7">
        <v>1</v>
      </c>
      <c r="H85" s="16" t="s">
        <v>58</v>
      </c>
      <c r="I85" s="16">
        <v>42592.590289351851</v>
      </c>
      <c r="J85" s="7">
        <v>2</v>
      </c>
      <c r="K85" s="25" t="str">
        <f t="shared" si="34"/>
        <v>4015/4016</v>
      </c>
      <c r="L85" s="25" t="str">
        <f>VLOOKUP(A85,'Trips&amp;Operators'!$C$1:$E$10000,3,FALSE)</f>
        <v>HAITHCOX</v>
      </c>
      <c r="M85" s="6">
        <f t="shared" si="35"/>
        <v>3.0659722222480923E-2</v>
      </c>
      <c r="N85" s="7">
        <f t="shared" si="32"/>
        <v>44.150000000372529</v>
      </c>
      <c r="O85" s="7"/>
      <c r="P85" s="7"/>
      <c r="Q85" s="26"/>
      <c r="R85" s="26"/>
      <c r="S85" s="38">
        <f t="shared" si="33"/>
        <v>1</v>
      </c>
      <c r="T85" s="55" t="str">
        <f t="shared" si="36"/>
        <v>Southbound</v>
      </c>
      <c r="U85" s="14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85" s="57" t="str">
        <f t="shared" si="38"/>
        <v>N</v>
      </c>
      <c r="X85" s="136">
        <f t="shared" si="39"/>
        <v>1</v>
      </c>
      <c r="Y85" s="72">
        <f t="shared" si="40"/>
        <v>23.298300000000001</v>
      </c>
      <c r="Z85" s="72">
        <f t="shared" si="41"/>
        <v>1.52E-2</v>
      </c>
      <c r="AA85" s="72">
        <f t="shared" si="42"/>
        <v>23.283100000000001</v>
      </c>
      <c r="AB85" s="69">
        <f>VLOOKUP(A85,Enforcements!$C$7:$J$24,8,0)</f>
        <v>156300</v>
      </c>
      <c r="AC85" s="65" t="str">
        <f>VLOOKUP(A85,Enforcements!$C$7:$E$24,3,0)</f>
        <v>PERMANENT SPEED RESTRICTION</v>
      </c>
      <c r="AD85" s="66" t="str">
        <f t="shared" si="43"/>
        <v>0172-10</v>
      </c>
      <c r="AE85" s="108" t="str">
        <f t="shared" si="44"/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85" s="105" t="str">
        <f t="shared" si="45"/>
        <v>"C:\Program Files (x86)\AstroGrep\AstroGrep.exe" /spath="%USERPROFILE%\AppData\Local\Temp\OnboardLogs" /stypes="*4015*20160810*" /stext=" 20:.+((SYSTEM_STATE.+slice.+state.+changed )|(ment ac)|(system.+state.+changed )|(\|lc)|(penalty)|(\[timeout)|(PRM\|1\|D)|(kpr)|(kdp))" /e /r /s</v>
      </c>
      <c r="AG85" s="1" t="str">
        <f t="shared" si="46"/>
        <v>EC</v>
      </c>
      <c r="AH85" s="109" t="str">
        <f t="shared" si="47"/>
        <v>"%USERPROFILE%\Documents\GitHub\eaglep3\Utilities\RefineRTDCRunTimes.py" --tripid 172-10 --locoid 4015 --swversion DE.1.0.7.0 --startMP 204:232983 --initTime 2016-08-10T13:24:02 --startdatetime 2016-08-10T13:25:52 --delay 1 --endMP 204:152 --enddatetime 2016-08-10T14:10:01 --enforcementcount 2</v>
      </c>
    </row>
    <row r="86" spans="1:34" x14ac:dyDescent="0.25">
      <c r="A86" s="42" t="s">
        <v>415</v>
      </c>
      <c r="B86" s="7">
        <v>4029</v>
      </c>
      <c r="C86" s="25" t="s">
        <v>137</v>
      </c>
      <c r="D86" s="25" t="s">
        <v>185</v>
      </c>
      <c r="E86" s="16">
        <v>42592.528171296297</v>
      </c>
      <c r="F86" s="16">
        <v>42592.529247685183</v>
      </c>
      <c r="G86" s="7">
        <v>1</v>
      </c>
      <c r="H86" s="16" t="s">
        <v>187</v>
      </c>
      <c r="I86" s="16">
        <v>42592.556840277779</v>
      </c>
      <c r="J86" s="7">
        <v>0</v>
      </c>
      <c r="K86" s="25" t="str">
        <f t="shared" si="34"/>
        <v>4029/4030</v>
      </c>
      <c r="L86" s="25" t="str">
        <f>VLOOKUP(A86,'Trips&amp;Operators'!$C$1:$E$10000,3,FALSE)</f>
        <v>SWANSON</v>
      </c>
      <c r="M86" s="6">
        <f t="shared" si="35"/>
        <v>2.7592592596192844E-2</v>
      </c>
      <c r="N86" s="7">
        <f t="shared" si="32"/>
        <v>39.733333338517696</v>
      </c>
      <c r="O86" s="7"/>
      <c r="P86" s="7"/>
      <c r="Q86" s="26"/>
      <c r="R86" s="26"/>
      <c r="S86" s="38">
        <f t="shared" si="33"/>
        <v>1</v>
      </c>
      <c r="T86" s="55" t="str">
        <f t="shared" si="36"/>
        <v>NorthBound</v>
      </c>
      <c r="U86" s="14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11:40:34-0600',mode:absolute,to:'2016-08-10 14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86" s="57" t="str">
        <f t="shared" si="38"/>
        <v>N</v>
      </c>
      <c r="X86" s="136">
        <f t="shared" si="39"/>
        <v>1</v>
      </c>
      <c r="Y86" s="72">
        <f t="shared" si="40"/>
        <v>4.7300000000000002E-2</v>
      </c>
      <c r="Z86" s="72">
        <f t="shared" si="41"/>
        <v>23.329899999999999</v>
      </c>
      <c r="AA86" s="72">
        <f t="shared" si="42"/>
        <v>23.282599999999999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43"/>
        <v>0173-10</v>
      </c>
      <c r="AE86" s="108" t="str">
        <f t="shared" si="44"/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AF86" s="105" t="str">
        <f t="shared" si="45"/>
        <v>"C:\Program Files (x86)\AstroGrep\AstroGrep.exe" /spath="%USERPROFILE%\AppData\Local\Temp\OnboardLogs" /stypes="*4029*20160810*" /stext=" 19:.+((SYSTEM_STATE.+slice.+state.+changed )|(ment ac)|(system.+state.+changed )|(\|lc)|(penalty)|(\[timeout)|(PRM\|1\|D)|(kpr)|(kdp))" /e /r /s</v>
      </c>
      <c r="AG86" s="1" t="str">
        <f t="shared" si="46"/>
        <v>EC</v>
      </c>
      <c r="AH86" s="109" t="str">
        <f t="shared" si="47"/>
        <v>"%USERPROFILE%\Documents\GitHub\eaglep3\Utilities\RefineRTDCRunTimes.py" --tripid 173-10 --locoid 4029 --swversion DE.1.0.7.0 --startMP 204:473 --initTime 2016-08-10T12:40:34 --startdatetime 2016-08-10T12:42:07 --delay 1 --endMP 204:233299 --enddatetime 2016-08-10T13:21:51 --enforcementcount 0</v>
      </c>
    </row>
    <row r="87" spans="1:34" x14ac:dyDescent="0.25">
      <c r="A87" s="42" t="s">
        <v>416</v>
      </c>
      <c r="B87" s="7">
        <v>4030</v>
      </c>
      <c r="C87" s="25" t="s">
        <v>137</v>
      </c>
      <c r="D87" s="25" t="s">
        <v>230</v>
      </c>
      <c r="E87" s="16">
        <v>42592.565879629627</v>
      </c>
      <c r="F87" s="16">
        <v>42592.566770833335</v>
      </c>
      <c r="G87" s="7">
        <v>1</v>
      </c>
      <c r="H87" s="16" t="s">
        <v>417</v>
      </c>
      <c r="I87" s="16">
        <v>42592.597592592596</v>
      </c>
      <c r="J87" s="7">
        <v>1</v>
      </c>
      <c r="K87" s="25" t="str">
        <f t="shared" si="34"/>
        <v>4029/4030</v>
      </c>
      <c r="L87" s="25" t="str">
        <f>VLOOKUP(A87,'Trips&amp;Operators'!$C$1:$E$10000,3,FALSE)</f>
        <v>SWANSON</v>
      </c>
      <c r="M87" s="6">
        <f t="shared" si="35"/>
        <v>3.0821759261016268E-2</v>
      </c>
      <c r="N87" s="7">
        <f t="shared" si="32"/>
        <v>44.383333335863426</v>
      </c>
      <c r="O87" s="7"/>
      <c r="P87" s="7"/>
      <c r="Q87" s="26"/>
      <c r="R87" s="26"/>
      <c r="S87" s="38">
        <f t="shared" si="33"/>
        <v>1</v>
      </c>
      <c r="T87" s="55" t="str">
        <f t="shared" si="36"/>
        <v>Southbound</v>
      </c>
      <c r="U87" s="14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12:34:52-0600',mode:absolute,to:'2016-08-10 15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87" s="57" t="str">
        <f t="shared" si="38"/>
        <v>N</v>
      </c>
      <c r="X87" s="136">
        <f t="shared" si="39"/>
        <v>1</v>
      </c>
      <c r="Y87" s="72">
        <f t="shared" si="40"/>
        <v>23.298200000000001</v>
      </c>
      <c r="Z87" s="72">
        <f t="shared" si="41"/>
        <v>1.7399999999999999E-2</v>
      </c>
      <c r="AA87" s="72">
        <f t="shared" si="42"/>
        <v>23.280800000000003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43"/>
        <v>0174-10</v>
      </c>
      <c r="AE87" s="108" t="str">
        <f t="shared" si="44"/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AF87" s="105" t="str">
        <f t="shared" si="45"/>
        <v>"C:\Program Files (x86)\AstroGrep\AstroGrep.exe" /spath="%USERPROFILE%\AppData\Local\Temp\OnboardLogs" /stypes="*4030*20160810*" /stext=" 20:.+((SYSTEM_STATE.+slice.+state.+changed )|(ment ac)|(system.+state.+changed )|(\|lc)|(penalty)|(\[timeout)|(PRM\|1\|D)|(kpr)|(kdp))" /e /r /s</v>
      </c>
      <c r="AG87" s="1" t="str">
        <f t="shared" si="46"/>
        <v>EC</v>
      </c>
      <c r="AH87" s="109" t="str">
        <f t="shared" si="47"/>
        <v>"%USERPROFILE%\Documents\GitHub\eaglep3\Utilities\RefineRTDCRunTimes.py" --tripid 174-10 --locoid 4030 --swversion DE.1.0.7.0 --startMP 204:232982 --initTime 2016-08-10T13:34:52 --startdatetime 2016-08-10T13:36:09 --delay 1 --endMP 204:174 --enddatetime 2016-08-10T14:20:32 --enforcementcount 1</v>
      </c>
    </row>
    <row r="88" spans="1:34" x14ac:dyDescent="0.25">
      <c r="A88" s="42" t="s">
        <v>418</v>
      </c>
      <c r="B88" s="7">
        <v>4018</v>
      </c>
      <c r="C88" s="25" t="s">
        <v>137</v>
      </c>
      <c r="D88" s="25" t="s">
        <v>172</v>
      </c>
      <c r="E88" s="16">
        <v>42592.536817129629</v>
      </c>
      <c r="F88" s="16">
        <v>42592.537800925929</v>
      </c>
      <c r="G88" s="7">
        <v>1</v>
      </c>
      <c r="H88" s="16" t="s">
        <v>264</v>
      </c>
      <c r="I88" s="16">
        <v>42592.5702662037</v>
      </c>
      <c r="J88" s="7">
        <v>0</v>
      </c>
      <c r="K88" s="25" t="str">
        <f t="shared" si="34"/>
        <v>4017/4018</v>
      </c>
      <c r="L88" s="25" t="str">
        <f>VLOOKUP(A88,'Trips&amp;Operators'!$C$1:$E$10000,3,FALSE)</f>
        <v>BARTLETT</v>
      </c>
      <c r="M88" s="6">
        <f t="shared" si="35"/>
        <v>3.2465277770825196E-2</v>
      </c>
      <c r="N88" s="7">
        <f t="shared" si="32"/>
        <v>46.749999989988282</v>
      </c>
      <c r="O88" s="7"/>
      <c r="P88" s="7"/>
      <c r="Q88" s="26"/>
      <c r="R88" s="26"/>
      <c r="S88" s="38">
        <f t="shared" si="33"/>
        <v>1</v>
      </c>
      <c r="T88" s="55" t="str">
        <f t="shared" si="36"/>
        <v>NorthBound</v>
      </c>
      <c r="U88" s="14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11:53:01-0600',mode:absolute,to:'2016-08-10 14:41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88" s="57" t="str">
        <f t="shared" si="38"/>
        <v>N</v>
      </c>
      <c r="X88" s="136">
        <f t="shared" si="39"/>
        <v>1</v>
      </c>
      <c r="Y88" s="72">
        <f t="shared" si="40"/>
        <v>4.53E-2</v>
      </c>
      <c r="Z88" s="72">
        <f t="shared" si="41"/>
        <v>23.332699999999999</v>
      </c>
      <c r="AA88" s="72">
        <f t="shared" si="42"/>
        <v>23.287399999999998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43"/>
        <v>0175-10</v>
      </c>
      <c r="AE88" s="108" t="str">
        <f t="shared" si="44"/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88" s="105" t="str">
        <f t="shared" si="45"/>
        <v>"C:\Program Files (x86)\AstroGrep\AstroGrep.exe" /spath="%USERPROFILE%\AppData\Local\Temp\OnboardLogs" /stypes="*4018*20160810*" /stext=" 19:.+((SYSTEM_STATE.+slice.+state.+changed )|(ment ac)|(system.+state.+changed )|(\|lc)|(penalty)|(\[timeout)|(PRM\|1\|D)|(kpr)|(kdp))" /e /r /s</v>
      </c>
      <c r="AG88" s="1" t="str">
        <f t="shared" si="46"/>
        <v>EC</v>
      </c>
      <c r="AH88" s="109" t="str">
        <f t="shared" si="47"/>
        <v>"%USERPROFILE%\Documents\GitHub\eaglep3\Utilities\RefineRTDCRunTimes.py" --tripid 175-10 --locoid 4018 --swversion DE.1.0.7.0 --startMP 204:453 --initTime 2016-08-10T12:53:01 --startdatetime 2016-08-10T12:54:26 --delay 1 --endMP 204:233327 --enddatetime 2016-08-10T13:41:11 --enforcementcount 0</v>
      </c>
    </row>
    <row r="89" spans="1:34" x14ac:dyDescent="0.25">
      <c r="A89" s="42" t="s">
        <v>419</v>
      </c>
      <c r="B89" s="7">
        <v>4017</v>
      </c>
      <c r="C89" s="25" t="s">
        <v>137</v>
      </c>
      <c r="D89" s="25" t="s">
        <v>154</v>
      </c>
      <c r="E89" s="16">
        <v>42592.577488425923</v>
      </c>
      <c r="F89" s="16">
        <v>42592.578460648147</v>
      </c>
      <c r="G89" s="7">
        <v>1</v>
      </c>
      <c r="H89" s="16" t="s">
        <v>170</v>
      </c>
      <c r="I89" s="16">
        <v>42592.607592592591</v>
      </c>
      <c r="J89" s="7">
        <v>0</v>
      </c>
      <c r="K89" s="25" t="str">
        <f t="shared" si="34"/>
        <v>4017/4018</v>
      </c>
      <c r="L89" s="25" t="str">
        <f>VLOOKUP(A89,'Trips&amp;Operators'!$C$1:$E$10000,3,FALSE)</f>
        <v>BARTLETT</v>
      </c>
      <c r="M89" s="6">
        <f t="shared" si="35"/>
        <v>2.9131944444088731E-2</v>
      </c>
      <c r="N89" s="7">
        <f t="shared" si="32"/>
        <v>41.949999999487773</v>
      </c>
      <c r="O89" s="7"/>
      <c r="P89" s="7"/>
      <c r="Q89" s="26"/>
      <c r="R89" s="26"/>
      <c r="S89" s="38">
        <f t="shared" si="33"/>
        <v>1</v>
      </c>
      <c r="T89" s="55" t="str">
        <f t="shared" si="36"/>
        <v>Southbound</v>
      </c>
      <c r="U89" s="14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12:51:35-0600',mode:absolute,to:'2016-08-10 15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89" s="57" t="str">
        <f t="shared" si="38"/>
        <v>N</v>
      </c>
      <c r="X89" s="136">
        <f t="shared" si="39"/>
        <v>1</v>
      </c>
      <c r="Y89" s="72">
        <f t="shared" si="40"/>
        <v>23.3004</v>
      </c>
      <c r="Z89" s="72">
        <f t="shared" si="41"/>
        <v>1.47E-2</v>
      </c>
      <c r="AA89" s="72">
        <f t="shared" si="42"/>
        <v>23.285699999999999</v>
      </c>
      <c r="AB89" s="69" t="e">
        <f>VLOOKUP(A89,Enforcements!$C$7:$J$24,8,0)</f>
        <v>#N/A</v>
      </c>
      <c r="AC89" s="65" t="e">
        <f>VLOOKUP(A89,Enforcements!$C$7:$E$24,3,0)</f>
        <v>#N/A</v>
      </c>
      <c r="AD89" s="66" t="str">
        <f t="shared" si="43"/>
        <v>0176-10</v>
      </c>
      <c r="AE89" s="108" t="str">
        <f t="shared" si="44"/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AF89" s="105" t="str">
        <f t="shared" si="45"/>
        <v>"C:\Program Files (x86)\AstroGrep\AstroGrep.exe" /spath="%USERPROFILE%\AppData\Local\Temp\OnboardLogs" /stypes="*4017*20160810*" /stext=" 20:.+((SYSTEM_STATE.+slice.+state.+changed )|(ment ac)|(system.+state.+changed )|(\|lc)|(penalty)|(\[timeout)|(PRM\|1\|D)|(kpr)|(kdp))" /e /r /s</v>
      </c>
      <c r="AG89" s="1" t="str">
        <f t="shared" si="46"/>
        <v>EC</v>
      </c>
      <c r="AH89" s="109" t="str">
        <f t="shared" si="47"/>
        <v>"%USERPROFILE%\Documents\GitHub\eaglep3\Utilities\RefineRTDCRunTimes.py" --tripid 176-10 --locoid 4017 --swversion DE.1.0.7.0 --startMP 204:233004 --initTime 2016-08-10T13:51:35 --startdatetime 2016-08-10T13:52:59 --delay 1 --endMP 204:147 --enddatetime 2016-08-10T14:34:56 --enforcementcount 0</v>
      </c>
    </row>
    <row r="90" spans="1:34" x14ac:dyDescent="0.25">
      <c r="A90" s="42" t="s">
        <v>420</v>
      </c>
      <c r="B90" s="7">
        <v>4007</v>
      </c>
      <c r="C90" s="25" t="s">
        <v>137</v>
      </c>
      <c r="D90" s="25" t="s">
        <v>346</v>
      </c>
      <c r="E90" s="16">
        <v>42592.550069444442</v>
      </c>
      <c r="F90" s="16">
        <v>42592.551435185182</v>
      </c>
      <c r="G90" s="7">
        <v>1</v>
      </c>
      <c r="H90" s="16" t="s">
        <v>193</v>
      </c>
      <c r="I90" s="16">
        <v>42592.576724537037</v>
      </c>
      <c r="J90" s="7">
        <v>0</v>
      </c>
      <c r="K90" s="25" t="str">
        <f t="shared" si="34"/>
        <v>4007/4008</v>
      </c>
      <c r="L90" s="25" t="str">
        <f>VLOOKUP(A90,'Trips&amp;Operators'!$C$1:$E$10000,3,FALSE)</f>
        <v>HELVIE</v>
      </c>
      <c r="M90" s="6">
        <f t="shared" si="35"/>
        <v>2.5289351855462883E-2</v>
      </c>
      <c r="N90" s="7">
        <f t="shared" si="32"/>
        <v>36.416666671866551</v>
      </c>
      <c r="O90" s="7"/>
      <c r="P90" s="7"/>
      <c r="Q90" s="26"/>
      <c r="R90" s="26"/>
      <c r="S90" s="38">
        <f t="shared" si="33"/>
        <v>1</v>
      </c>
      <c r="T90" s="55" t="str">
        <f t="shared" si="36"/>
        <v>NorthBound</v>
      </c>
      <c r="U90" s="14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12:12:06-0600',mode:absolute,to:'2016-08-10 14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90" s="57" t="str">
        <f t="shared" si="38"/>
        <v>N</v>
      </c>
      <c r="X90" s="136">
        <f t="shared" si="39"/>
        <v>1</v>
      </c>
      <c r="Y90" s="72">
        <f t="shared" si="40"/>
        <v>4.4699999999999997E-2</v>
      </c>
      <c r="Z90" s="72">
        <f t="shared" si="41"/>
        <v>23.330300000000001</v>
      </c>
      <c r="AA90" s="72">
        <f t="shared" si="42"/>
        <v>23.285600000000002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43"/>
        <v>0177-10</v>
      </c>
      <c r="AE90" s="108" t="str">
        <f t="shared" si="44"/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AF90" s="105" t="str">
        <f t="shared" si="45"/>
        <v>"C:\Program Files (x86)\AstroGrep\AstroGrep.exe" /spath="%USERPROFILE%\AppData\Local\Temp\OnboardLogs" /stypes="*4007*20160810*" /stext=" 19:.+((SYSTEM_STATE.+slice.+state.+changed )|(ment ac)|(system.+state.+changed )|(\|lc)|(penalty)|(\[timeout)|(PRM\|1\|D)|(kpr)|(kdp))" /e /r /s</v>
      </c>
      <c r="AG90" s="1" t="str">
        <f t="shared" si="46"/>
        <v>EC</v>
      </c>
      <c r="AH90" s="109" t="str">
        <f t="shared" si="47"/>
        <v>"%USERPROFILE%\Documents\GitHub\eaglep3\Utilities\RefineRTDCRunTimes.py" --tripid 177-10 --locoid 4007 --swversion DE.1.0.7.0 --startMP 204:447 --initTime 2016-08-10T13:12:06 --startdatetime 2016-08-10T13:14:04 --delay 1 --endMP 204:233303 --enddatetime 2016-08-10T13:50:29 --enforcementcount 0</v>
      </c>
    </row>
    <row r="91" spans="1:34" x14ac:dyDescent="0.25">
      <c r="A91" s="42" t="s">
        <v>421</v>
      </c>
      <c r="B91" s="7">
        <v>4008</v>
      </c>
      <c r="C91" s="25" t="s">
        <v>137</v>
      </c>
      <c r="D91" s="25" t="s">
        <v>227</v>
      </c>
      <c r="E91" s="16">
        <v>42592.587743055556</v>
      </c>
      <c r="F91" s="16">
        <v>42592.588750000003</v>
      </c>
      <c r="G91" s="7">
        <v>1</v>
      </c>
      <c r="H91" s="16" t="s">
        <v>180</v>
      </c>
      <c r="I91" s="16">
        <v>42592.650636574072</v>
      </c>
      <c r="J91" s="7">
        <v>0</v>
      </c>
      <c r="K91" s="25" t="str">
        <f t="shared" si="34"/>
        <v>4007/4008</v>
      </c>
      <c r="L91" s="25" t="str">
        <f>VLOOKUP(A91,'Trips&amp;Operators'!$C$1:$E$10000,3,FALSE)</f>
        <v>HELVIE</v>
      </c>
      <c r="M91" s="6">
        <f t="shared" si="35"/>
        <v>6.1886574068921618E-2</v>
      </c>
      <c r="N91" s="7">
        <f t="shared" si="32"/>
        <v>89.11666665924713</v>
      </c>
      <c r="O91" s="7"/>
      <c r="P91" s="7"/>
      <c r="Q91" s="26"/>
      <c r="R91" s="26"/>
      <c r="S91" s="38">
        <f t="shared" si="33"/>
        <v>1</v>
      </c>
      <c r="T91" s="55" t="str">
        <f t="shared" si="36"/>
        <v>Southbound</v>
      </c>
      <c r="U91" s="14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13:06:21-0600',mode:absolute,to:'2016-08-10 16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91" s="57" t="str">
        <f t="shared" si="38"/>
        <v>N</v>
      </c>
      <c r="X91" s="136">
        <f t="shared" si="39"/>
        <v>1</v>
      </c>
      <c r="Y91" s="72">
        <f t="shared" si="40"/>
        <v>23.2971</v>
      </c>
      <c r="Z91" s="72">
        <f t="shared" si="41"/>
        <v>1.4500000000000001E-2</v>
      </c>
      <c r="AA91" s="72">
        <f t="shared" si="42"/>
        <v>23.282599999999999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43"/>
        <v>0178-10</v>
      </c>
      <c r="AE91" s="108" t="str">
        <f t="shared" si="44"/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AF91" s="105" t="str">
        <f t="shared" si="45"/>
        <v>"C:\Program Files (x86)\AstroGrep\AstroGrep.exe" /spath="%USERPROFILE%\AppData\Local\Temp\OnboardLogs" /stypes="*4008*20160810*" /stext=" 21:.+((SYSTEM_STATE.+slice.+state.+changed )|(ment ac)|(system.+state.+changed )|(\|lc)|(penalty)|(\[timeout)|(PRM\|1\|D)|(kpr)|(kdp))" /e /r /s</v>
      </c>
      <c r="AG91" s="1" t="str">
        <f t="shared" si="46"/>
        <v>EC</v>
      </c>
      <c r="AH91" s="109" t="str">
        <f t="shared" si="47"/>
        <v>"%USERPROFILE%\Documents\GitHub\eaglep3\Utilities\RefineRTDCRunTimes.py" --tripid 178-10 --locoid 4008 --swversion DE.1.0.7.0 --startMP 204:232971 --initTime 2016-08-10T14:06:21 --startdatetime 2016-08-10T14:07:48 --delay 1 --endMP 204:145 --enddatetime 2016-08-10T15:36:55 --enforcementcount 0</v>
      </c>
    </row>
    <row r="92" spans="1:34" x14ac:dyDescent="0.25">
      <c r="A92" s="42" t="s">
        <v>422</v>
      </c>
      <c r="B92" s="7">
        <v>4040</v>
      </c>
      <c r="C92" s="25" t="s">
        <v>137</v>
      </c>
      <c r="D92" s="25" t="s">
        <v>168</v>
      </c>
      <c r="E92" s="16">
        <v>42592.559571759259</v>
      </c>
      <c r="F92" s="16">
        <v>42592.560810185183</v>
      </c>
      <c r="G92" s="7">
        <v>1</v>
      </c>
      <c r="H92" s="16" t="s">
        <v>135</v>
      </c>
      <c r="I92" s="16">
        <v>42592.588449074072</v>
      </c>
      <c r="J92" s="7">
        <v>0</v>
      </c>
      <c r="K92" s="25" t="str">
        <f t="shared" si="34"/>
        <v>4039/4040</v>
      </c>
      <c r="L92" s="25" t="str">
        <f>VLOOKUP(A92,'Trips&amp;Operators'!$C$1:$E$10000,3,FALSE)</f>
        <v>DE LA ROSA</v>
      </c>
      <c r="M92" s="6">
        <f t="shared" si="35"/>
        <v>2.7638888888759539E-2</v>
      </c>
      <c r="N92" s="7">
        <f t="shared" si="32"/>
        <v>39.799999999813735</v>
      </c>
      <c r="O92" s="7"/>
      <c r="P92" s="7"/>
      <c r="Q92" s="26"/>
      <c r="R92" s="26"/>
      <c r="S92" s="38">
        <f t="shared" si="33"/>
        <v>1</v>
      </c>
      <c r="T92" s="55" t="str">
        <f t="shared" si="36"/>
        <v>NorthBound</v>
      </c>
      <c r="U92" s="14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12:25:47-0600',mode:absolute,to:'2016-08-10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92" s="57" t="str">
        <f t="shared" si="38"/>
        <v>N</v>
      </c>
      <c r="X92" s="136">
        <f t="shared" si="39"/>
        <v>1</v>
      </c>
      <c r="Y92" s="72">
        <f t="shared" si="40"/>
        <v>4.7100000000000003E-2</v>
      </c>
      <c r="Z92" s="72">
        <f t="shared" si="41"/>
        <v>23.329499999999999</v>
      </c>
      <c r="AA92" s="72">
        <f t="shared" si="42"/>
        <v>23.282399999999999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43"/>
        <v>0179-10</v>
      </c>
      <c r="AE92" s="108" t="str">
        <f t="shared" si="44"/>
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</c>
      <c r="AF92" s="105" t="str">
        <f t="shared" si="45"/>
        <v>"C:\Program Files (x86)\AstroGrep\AstroGrep.exe" /spath="%USERPROFILE%\AppData\Local\Temp\OnboardLogs" /stypes="*4040*20160810*" /stext=" 20:.+((SYSTEM_STATE.+slice.+state.+changed )|(ment ac)|(system.+state.+changed )|(\|lc)|(penalty)|(\[timeout)|(PRM\|1\|D)|(kpr)|(kdp))" /e /r /s</v>
      </c>
      <c r="AG92" s="1" t="str">
        <f t="shared" si="46"/>
        <v>EC</v>
      </c>
      <c r="AH92" s="109" t="str">
        <f t="shared" si="47"/>
        <v>"%USERPROFILE%\Documents\GitHub\eaglep3\Utilities\RefineRTDCRunTimes.py" --tripid 179-10 --locoid 4040 --swversion DE.1.0.7.0 --startMP 204:471 --initTime 2016-08-10T13:25:47 --startdatetime 2016-08-10T13:27:34 --delay 1 --endMP 204:233295 --enddatetime 2016-08-10T14:07:22 --enforcementcount 0</v>
      </c>
    </row>
    <row r="93" spans="1:34" x14ac:dyDescent="0.25">
      <c r="A93" s="42" t="s">
        <v>423</v>
      </c>
      <c r="B93" s="7">
        <v>4039</v>
      </c>
      <c r="C93" s="25" t="s">
        <v>137</v>
      </c>
      <c r="D93" s="25" t="s">
        <v>195</v>
      </c>
      <c r="E93" s="16">
        <v>42592.597071759257</v>
      </c>
      <c r="F93" s="16">
        <v>42592.598171296297</v>
      </c>
      <c r="G93" s="7">
        <v>1</v>
      </c>
      <c r="H93" s="16" t="s">
        <v>424</v>
      </c>
      <c r="I93" s="16">
        <v>42592.649988425925</v>
      </c>
      <c r="J93" s="7">
        <v>1</v>
      </c>
      <c r="K93" s="25" t="str">
        <f t="shared" si="34"/>
        <v>4039/4040</v>
      </c>
      <c r="L93" s="25" t="str">
        <f>VLOOKUP(A93,'Trips&amp;Operators'!$C$1:$E$10000,3,FALSE)</f>
        <v>DE LA ROSA</v>
      </c>
      <c r="M93" s="6">
        <f t="shared" si="35"/>
        <v>5.1817129628034309E-2</v>
      </c>
      <c r="N93" s="7"/>
      <c r="O93" s="7"/>
      <c r="P93" s="7">
        <f>24*60*SUM($M93:$M93)</f>
        <v>74.616666664369404</v>
      </c>
      <c r="Q93" s="26"/>
      <c r="R93" s="26" t="s">
        <v>629</v>
      </c>
      <c r="S93" s="38">
        <f t="shared" si="33"/>
        <v>0</v>
      </c>
      <c r="T93" s="55" t="str">
        <f t="shared" si="36"/>
        <v>Southbound</v>
      </c>
      <c r="U93" s="14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0</v>
      </c>
      <c r="V93" s="115" t="str">
        <f t="shared" si="37"/>
        <v>https://search-rtdc-monitor-bjffxe2xuh6vdkpspy63sjmuny.us-east-1.es.amazonaws.com/_plugin/kibana/#/discover/Steve-Slow-Train-Analysis-(2080s-and-2083s)?_g=(refreshInterval:(display:Off,section:0,value:0),time:(from:'2016-08-10 13:19:47-0600',mode:absolute,to:'2016-08-10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93" s="57" t="str">
        <f t="shared" si="38"/>
        <v>Y</v>
      </c>
      <c r="X93" s="136">
        <f t="shared" si="39"/>
        <v>1</v>
      </c>
      <c r="Y93" s="72">
        <f t="shared" si="40"/>
        <v>23.298100000000002</v>
      </c>
      <c r="Z93" s="72">
        <f t="shared" si="41"/>
        <v>20.298200000000001</v>
      </c>
      <c r="AA93" s="72">
        <f t="shared" si="42"/>
        <v>2.9999000000000002</v>
      </c>
      <c r="AB93" s="69">
        <f>VLOOKUP(A93,Enforcements!$C$7:$J$24,8,0)</f>
        <v>204340</v>
      </c>
      <c r="AC93" s="65" t="str">
        <f>VLOOKUP(A93,Enforcements!$C$7:$E$24,3,0)</f>
        <v>SIGNAL</v>
      </c>
      <c r="AD93" s="66" t="str">
        <f t="shared" si="43"/>
        <v>0180-10</v>
      </c>
      <c r="AE93" s="108" t="str">
        <f t="shared" si="44"/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AF93" s="105" t="str">
        <f t="shared" si="45"/>
        <v>"C:\Program Files (x86)\AstroGrep\AstroGrep.exe" /spath="%USERPROFILE%\AppData\Local\Temp\OnboardLogs" /stypes="*4039*20160810*" /stext=" 21:.+((SYSTEM_STATE.+slice.+state.+changed )|(ment ac)|(system.+state.+changed )|(\|lc)|(penalty)|(\[timeout)|(PRM\|1\|D)|(kpr)|(kdp))" /e /r /s</v>
      </c>
      <c r="AG93" s="1" t="str">
        <f t="shared" si="46"/>
        <v>EC</v>
      </c>
      <c r="AH93" s="109" t="str">
        <f t="shared" si="47"/>
        <v>"%USERPROFILE%\Documents\GitHub\eaglep3\Utilities\RefineRTDCRunTimes.py" --tripid 180-10 --locoid 4039 --swversion DE.1.0.7.0 --startMP 204:232981 --initTime 2016-08-10T14:19:47 --startdatetime 2016-08-10T14:21:22 --delay 1 --endMP 204:202982 --enddatetime 2016-08-10T15:35:59 --enforcementcount 1</v>
      </c>
    </row>
    <row r="94" spans="1:34" x14ac:dyDescent="0.25">
      <c r="A94" s="42" t="s">
        <v>425</v>
      </c>
      <c r="B94" s="7">
        <v>4020</v>
      </c>
      <c r="C94" s="25" t="s">
        <v>137</v>
      </c>
      <c r="D94" s="25" t="s">
        <v>246</v>
      </c>
      <c r="E94" s="16">
        <v>42592.571331018517</v>
      </c>
      <c r="F94" s="16">
        <v>42592.572268518517</v>
      </c>
      <c r="G94" s="7">
        <v>1</v>
      </c>
      <c r="H94" s="16" t="s">
        <v>193</v>
      </c>
      <c r="I94" s="16">
        <v>42592.599618055552</v>
      </c>
      <c r="J94" s="7">
        <v>0</v>
      </c>
      <c r="K94" s="25" t="str">
        <f t="shared" si="34"/>
        <v>4019/4020</v>
      </c>
      <c r="L94" s="25" t="str">
        <f>VLOOKUP(A94,'Trips&amp;Operators'!$C$1:$E$10000,3,FALSE)</f>
        <v>YOUNG</v>
      </c>
      <c r="M94" s="6">
        <f t="shared" si="35"/>
        <v>2.7349537034751847E-2</v>
      </c>
      <c r="N94" s="7">
        <f>24*60*SUM($M94:$M94)</f>
        <v>39.38333333004266</v>
      </c>
      <c r="O94" s="7"/>
      <c r="P94" s="7"/>
      <c r="Q94" s="26"/>
      <c r="R94" s="26"/>
      <c r="S94" s="38">
        <f t="shared" ref="S94:S110" si="48">SUM(U94:U94)/IF(AG94="EC",12,1)</f>
        <v>1</v>
      </c>
      <c r="T94" s="55" t="str">
        <f t="shared" ref="T94:T110" si="49">IF(ISEVEN(LEFT(AD94,4)),"Southbound","NorthBound")</f>
        <v>NorthBound</v>
      </c>
      <c r="U94" s="14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5" t="str">
        <f t="shared" ref="V94:V110" si="50"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https://search-rtdc-monitor-bjffxe2xuh6vdkpspy63sjmuny.us-east-1.es.amazonaws.com/_plugin/kibana/#/discover/Steve-Slow-Train-Analysis-(2080s-and-2083s)?_g=(refreshInterval:(display:Off,section:0,value:0),time:(from:'2016-08-10 12:42:43-0600',mode:absolute,to:'2016-08-10 15:23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94" s="57" t="str">
        <f t="shared" ref="W94:W110" si="51">IF(AA94&lt;IF(AG94="EC",23,5.65),"Y","N")</f>
        <v>N</v>
      </c>
      <c r="X94" s="136">
        <f t="shared" ref="X94:X110" si="52">VALUE(LEFT(AD94,4))-VALUE(LEFT(AD93,4))</f>
        <v>1</v>
      </c>
      <c r="Y94" s="72">
        <f t="shared" ref="Y94:Y110" si="53">RIGHT(D94,LEN(D94)-4)/10000</f>
        <v>4.9299999999999997E-2</v>
      </c>
      <c r="Z94" s="72">
        <f t="shared" ref="Z94:Z122" si="54">RIGHT(H94,LEN(H94)-4)/10000</f>
        <v>23.330300000000001</v>
      </c>
      <c r="AA94" s="72">
        <f t="shared" ref="AA94:AA122" si="55">ABS(Z94-Y94)</f>
        <v>23.281000000000002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43"/>
        <v>0181-10</v>
      </c>
      <c r="AE94" s="108" t="str">
        <f t="shared" si="44"/>
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</c>
      <c r="AF94" s="105" t="str">
        <f t="shared" si="45"/>
        <v>"C:\Program Files (x86)\AstroGrep\AstroGrep.exe" /spath="%USERPROFILE%\AppData\Local\Temp\OnboardLogs" /stypes="*4020*20160810*" /stext=" 20:.+((SYSTEM_STATE.+slice.+state.+changed )|(ment ac)|(system.+state.+changed )|(\|lc)|(penalty)|(\[timeout)|(PRM\|1\|D)|(kpr)|(kdp))" /e /r /s</v>
      </c>
      <c r="AG94" s="1" t="str">
        <f t="shared" si="46"/>
        <v>EC</v>
      </c>
      <c r="AH94" s="109" t="str">
        <f t="shared" si="47"/>
        <v>"%USERPROFILE%\Documents\GitHub\eaglep3\Utilities\RefineRTDCRunTimes.py" --tripid 181-10 --locoid 4020 --swversion DE.1.0.7.0 --startMP 204:493 --initTime 2016-08-10T13:42:43 --startdatetime 2016-08-10T13:44:04 --delay 1 --endMP 204:233303 --enddatetime 2016-08-10T14:23:27 --enforcementcount 0</v>
      </c>
    </row>
    <row r="95" spans="1:34" x14ac:dyDescent="0.25">
      <c r="A95" s="42" t="s">
        <v>426</v>
      </c>
      <c r="B95" s="7">
        <v>4019</v>
      </c>
      <c r="C95" s="25" t="s">
        <v>137</v>
      </c>
      <c r="D95" s="25" t="s">
        <v>175</v>
      </c>
      <c r="E95" s="16">
        <v>42592.608680555553</v>
      </c>
      <c r="F95" s="16">
        <v>42592.610023148147</v>
      </c>
      <c r="G95" s="7">
        <v>1</v>
      </c>
      <c r="H95" s="16" t="s">
        <v>329</v>
      </c>
      <c r="I95" s="16">
        <v>42592.797060185185</v>
      </c>
      <c r="J95" s="7">
        <v>0</v>
      </c>
      <c r="K95" s="25" t="str">
        <f t="shared" si="34"/>
        <v>4019/4020</v>
      </c>
      <c r="L95" s="25" t="str">
        <f>VLOOKUP(A95,'Trips&amp;Operators'!$C$1:$E$10000,3,FALSE)</f>
        <v>YOUNG</v>
      </c>
      <c r="M95" s="6">
        <f t="shared" si="35"/>
        <v>0.18703703703795327</v>
      </c>
      <c r="N95" s="7"/>
      <c r="O95" s="7"/>
      <c r="P95" s="7">
        <f>24*60*SUM($M95:$M95)</f>
        <v>269.33333333465271</v>
      </c>
      <c r="Q95" s="26"/>
      <c r="R95" s="26" t="s">
        <v>629</v>
      </c>
      <c r="S95" s="38">
        <f t="shared" si="48"/>
        <v>0</v>
      </c>
      <c r="T95" s="55" t="str">
        <f t="shared" si="49"/>
        <v>Southbound</v>
      </c>
      <c r="U95" s="14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0</v>
      </c>
      <c r="V95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13:36:30-0600',mode:absolute,to:'2016-08-10 20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95" s="57" t="str">
        <f t="shared" si="51"/>
        <v>Y</v>
      </c>
      <c r="X95" s="136">
        <f t="shared" si="52"/>
        <v>1</v>
      </c>
      <c r="Y95" s="72">
        <f t="shared" si="53"/>
        <v>23.299399999999999</v>
      </c>
      <c r="Z95" s="72">
        <f t="shared" si="54"/>
        <v>23.298999999999999</v>
      </c>
      <c r="AA95" s="72">
        <f t="shared" si="55"/>
        <v>3.9999999999906777E-4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43"/>
        <v>0182-10</v>
      </c>
      <c r="AE95" s="108" t="str">
        <f t="shared" si="44"/>
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</c>
      <c r="AF95" s="105" t="str">
        <f t="shared" si="45"/>
        <v>"C:\Program Files (x86)\AstroGrep\AstroGrep.exe" /spath="%USERPROFILE%\AppData\Local\Temp\OnboardLogs" /stypes="*4019*20160811*" /stext=" 01:.+((SYSTEM_STATE.+slice.+state.+changed )|(ment ac)|(system.+state.+changed )|(\|lc)|(penalty)|(\[timeout)|(PRM\|1\|D)|(kpr)|(kdp))" /e /r /s</v>
      </c>
      <c r="AG95" s="1" t="str">
        <f t="shared" si="46"/>
        <v>EC</v>
      </c>
      <c r="AH95" s="109" t="str">
        <f t="shared" si="47"/>
        <v>"%USERPROFILE%\Documents\GitHub\eaglep3\Utilities\RefineRTDCRunTimes.py" --tripid 182-10 --locoid 4019 --swversion DE.1.0.7.0 --startMP 204:232994 --initTime 2016-08-10T14:36:30 --startdatetime 2016-08-10T14:38:26 --delay 1 --endMP 204:232990 --enddatetime 2016-08-10T19:07:46 --enforcementcount 0</v>
      </c>
    </row>
    <row r="96" spans="1:34" x14ac:dyDescent="0.25">
      <c r="A96" s="42" t="s">
        <v>427</v>
      </c>
      <c r="B96" s="7">
        <v>4009</v>
      </c>
      <c r="C96" s="25" t="s">
        <v>137</v>
      </c>
      <c r="D96" s="25" t="s">
        <v>62</v>
      </c>
      <c r="E96" s="16">
        <v>42592.579108796293</v>
      </c>
      <c r="F96" s="16">
        <v>42592.580104166664</v>
      </c>
      <c r="G96" s="7">
        <v>1</v>
      </c>
      <c r="H96" s="16" t="s">
        <v>174</v>
      </c>
      <c r="I96" s="16">
        <v>42592.65724537037</v>
      </c>
      <c r="J96" s="7">
        <v>1</v>
      </c>
      <c r="K96" s="25" t="str">
        <f t="shared" si="34"/>
        <v>4009/4010</v>
      </c>
      <c r="L96" s="25" t="str">
        <f>VLOOKUP(A96,'Trips&amp;Operators'!$C$1:$E$10000,3,FALSE)</f>
        <v>BRUDER</v>
      </c>
      <c r="M96" s="6">
        <f t="shared" si="35"/>
        <v>7.7141203706560191E-2</v>
      </c>
      <c r="N96" s="7">
        <f>24*60*SUM($M96:$M96)</f>
        <v>111.08333333744667</v>
      </c>
      <c r="O96" s="7"/>
      <c r="P96" s="7"/>
      <c r="Q96" s="26"/>
      <c r="R96" s="26"/>
      <c r="S96" s="38">
        <f t="shared" si="48"/>
        <v>1</v>
      </c>
      <c r="T96" s="55" t="str">
        <f t="shared" si="49"/>
        <v>NorthBound</v>
      </c>
      <c r="U96" s="14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12:53:55-0600',mode:absolute,to:'2016-08-10 16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96" s="57" t="str">
        <f t="shared" si="51"/>
        <v>N</v>
      </c>
      <c r="X96" s="136">
        <f t="shared" si="52"/>
        <v>1</v>
      </c>
      <c r="Y96" s="72">
        <f t="shared" si="53"/>
        <v>4.5999999999999999E-2</v>
      </c>
      <c r="Z96" s="72">
        <f t="shared" si="54"/>
        <v>23.296900000000001</v>
      </c>
      <c r="AA96" s="72">
        <f t="shared" si="55"/>
        <v>23.250900000000001</v>
      </c>
      <c r="AB96" s="69">
        <f>VLOOKUP(A96,Enforcements!$C$7:$J$24,8,0)</f>
        <v>190834</v>
      </c>
      <c r="AC96" s="65" t="str">
        <f>VLOOKUP(A96,Enforcements!$C$7:$E$24,3,0)</f>
        <v>SWITCH UNKNOWN</v>
      </c>
      <c r="AD96" s="66" t="str">
        <f t="shared" si="43"/>
        <v>0183-10</v>
      </c>
      <c r="AE96" s="108" t="str">
        <f t="shared" si="44"/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AF96" s="105" t="str">
        <f t="shared" si="45"/>
        <v>"C:\Program Files (x86)\AstroGrep\AstroGrep.exe" /spath="%USERPROFILE%\AppData\Local\Temp\OnboardLogs" /stypes="*4009*20160810*" /stext=" 21:.+((SYSTEM_STATE.+slice.+state.+changed )|(ment ac)|(system.+state.+changed )|(\|lc)|(penalty)|(\[timeout)|(PRM\|1\|D)|(kpr)|(kdp))" /e /r /s</v>
      </c>
      <c r="AG96" s="1" t="str">
        <f t="shared" si="46"/>
        <v>EC</v>
      </c>
      <c r="AH96" s="109" t="str">
        <f t="shared" si="47"/>
        <v>"%USERPROFILE%\Documents\GitHub\eaglep3\Utilities\RefineRTDCRunTimes.py" --tripid 183-10 --locoid 4009 --swversion DE.1.0.7.0 --startMP 204:460 --initTime 2016-08-10T13:53:55 --startdatetime 2016-08-10T13:55:21 --delay 1 --endMP 204:232969 --enddatetime 2016-08-10T15:46:26 --enforcementcount 1</v>
      </c>
    </row>
    <row r="97" spans="1:34" s="24" customFormat="1" x14ac:dyDescent="0.25">
      <c r="A97" s="42" t="s">
        <v>619</v>
      </c>
      <c r="B97" s="7"/>
      <c r="C97" s="25"/>
      <c r="D97" s="25"/>
      <c r="E97" s="16"/>
      <c r="F97" s="16"/>
      <c r="G97" s="7"/>
      <c r="H97" s="16"/>
      <c r="I97" s="16"/>
      <c r="J97" s="7"/>
      <c r="K97" s="25"/>
      <c r="L97" s="25"/>
      <c r="M97" s="6"/>
      <c r="N97" s="7"/>
      <c r="O97" s="7"/>
      <c r="P97" s="7">
        <v>1</v>
      </c>
      <c r="Q97" s="26"/>
      <c r="R97" s="26" t="s">
        <v>629</v>
      </c>
      <c r="S97" s="38">
        <f t="shared" si="48"/>
        <v>0</v>
      </c>
      <c r="T97" s="55" t="str">
        <f t="shared" si="49"/>
        <v>Southbound</v>
      </c>
      <c r="U97" s="14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115" t="e">
        <f t="shared" si="50"/>
        <v>#VALUE!</v>
      </c>
      <c r="W97" s="57" t="e">
        <f t="shared" si="51"/>
        <v>#VALUE!</v>
      </c>
      <c r="X97" s="136">
        <f t="shared" si="52"/>
        <v>1</v>
      </c>
      <c r="Y97" s="72" t="e">
        <f t="shared" si="53"/>
        <v>#VALUE!</v>
      </c>
      <c r="Z97" s="72" t="e">
        <f t="shared" si="54"/>
        <v>#VALUE!</v>
      </c>
      <c r="AA97" s="72" t="e">
        <f t="shared" si="55"/>
        <v>#VALUE!</v>
      </c>
      <c r="AB97" s="69"/>
      <c r="AC97" s="65"/>
      <c r="AD97" s="66" t="str">
        <f t="shared" si="43"/>
        <v>0184-10</v>
      </c>
      <c r="AE97" s="108"/>
      <c r="AF97" s="105"/>
      <c r="AG97" s="1" t="str">
        <f t="shared" si="46"/>
        <v>EC</v>
      </c>
      <c r="AH97" s="109"/>
    </row>
    <row r="98" spans="1:34" x14ac:dyDescent="0.25">
      <c r="A98" s="25" t="s">
        <v>428</v>
      </c>
      <c r="B98" s="127">
        <v>4016</v>
      </c>
      <c r="C98" s="128" t="s">
        <v>137</v>
      </c>
      <c r="D98" s="128" t="s">
        <v>172</v>
      </c>
      <c r="E98" s="129">
        <v>42592.591770833336</v>
      </c>
      <c r="F98" s="129">
        <v>42592.594131944446</v>
      </c>
      <c r="G98" s="127">
        <v>3</v>
      </c>
      <c r="H98" s="129" t="s">
        <v>429</v>
      </c>
      <c r="I98" s="129">
        <v>42592.625960648147</v>
      </c>
      <c r="J98" s="127">
        <v>0</v>
      </c>
      <c r="K98" s="25" t="str">
        <f>IF(ISEVEN(B98),(B98-1)&amp;"/"&amp;B98,B98&amp;"/"&amp;(B98+1))</f>
        <v>4015/4016</v>
      </c>
      <c r="L98" s="25" t="str">
        <f>VLOOKUP(A98,'Trips&amp;Operators'!$C$1:$E$10000,3,FALSE)</f>
        <v>HAITHCOX</v>
      </c>
      <c r="M98" s="6">
        <f>I98-F98</f>
        <v>3.1828703700739425E-2</v>
      </c>
      <c r="N98" s="7"/>
      <c r="O98" s="7"/>
      <c r="P98" s="7">
        <f>24*60*SUM($M98:$M98)</f>
        <v>45.833333329064772</v>
      </c>
      <c r="Q98" s="26"/>
      <c r="R98" s="26" t="s">
        <v>629</v>
      </c>
      <c r="S98" s="38">
        <f t="shared" si="48"/>
        <v>1</v>
      </c>
      <c r="T98" s="55" t="str">
        <f t="shared" si="49"/>
        <v>NorthBound</v>
      </c>
      <c r="U98" s="14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13:12:09-0600',mode:absolute,to:'2016-08-10 16:01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98" s="57" t="str">
        <f t="shared" si="51"/>
        <v>Y</v>
      </c>
      <c r="X98" s="136">
        <f t="shared" si="52"/>
        <v>1</v>
      </c>
      <c r="Y98" s="72">
        <f t="shared" si="53"/>
        <v>4.53E-2</v>
      </c>
      <c r="Z98" s="72">
        <f t="shared" si="54"/>
        <v>15.4429</v>
      </c>
      <c r="AA98" s="72">
        <f t="shared" si="55"/>
        <v>15.397600000000001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43"/>
        <v>0185-10</v>
      </c>
      <c r="AE98" s="108" t="str">
        <f>"aws s3 cp "&amp;s3_bucket&amp;"/RTDC"&amp;B98&amp;"/"&amp;TEXT(F98,"YYYY-MM-DD")&amp;"/ "&amp;search_path&amp;"\RTDC"&amp;B98&amp;"\"&amp;TEXT(F98,"YYYY-MM-DD")&amp;" --recursive &amp; """&amp;walkandungz&amp;""" "&amp;search_path&amp;"\RTDC"&amp;B98&amp;"\"&amp;TEXT(F98,"YYYY-MM-DD")
&amp;" &amp; "&amp;"aws s3 cp "&amp;s3_bucket&amp;"/RTDC"&amp;B98&amp;"/"&amp;TEXT(F98+1,"YYYY-MM-DD")&amp;"/ "&amp;search_path&amp;"\RTDC"&amp;B98&amp;"\"&amp;TEXT(F98+1,"YYYY-MM-DD")&amp;" --recursive &amp; """&amp;walkandungz&amp;""" "&amp;search_path&amp;"\RTDC"&amp;B98&amp;"\"&amp;TEXT(F98+1,"YYYY-MM-DD")</f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98" s="105" t="str">
        <f>astrogrep_path&amp;" /spath="&amp;search_path&amp;" /stypes=""*"&amp;B98&amp;"*"&amp;TEXT(I98-utc_offset/24,"YYYYMMDD")&amp;"*"" /stext="" "&amp;TEXT(I98-utc_offset/24,"HH")&amp;search_regexp&amp;""" /e /r /s"</f>
        <v>"C:\Program Files (x86)\AstroGrep\AstroGrep.exe" /spath="%USERPROFILE%\AppData\Local\Temp\OnboardLogs" /stypes="*4016*20160810*" /stext=" 21:.+((SYSTEM_STATE.+slice.+state.+changed )|(ment ac)|(system.+state.+changed )|(\|lc)|(penalty)|(\[timeout)|(PRM\|1\|D)|(kpr)|(kdp))" /e /r /s</v>
      </c>
      <c r="AG98" s="1" t="str">
        <f t="shared" si="46"/>
        <v>EC</v>
      </c>
      <c r="AH98" s="109" t="str">
        <f t="shared" si="47"/>
        <v>"%USERPROFILE%\Documents\GitHub\eaglep3\Utilities\RefineRTDCRunTimes.py" --tripid 185-10 --locoid 4016 --swversion DE.1.0.7.0 --startMP 204:453 --initTime 2016-08-10T14:12:09 --startdatetime 2016-08-10T14:15:33 --delay 3 --endMP 204:154429 --enddatetime 2016-08-10T15:01:23 --enforcementcount 0</v>
      </c>
    </row>
    <row r="99" spans="1:34" x14ac:dyDescent="0.25">
      <c r="A99" s="25" t="s">
        <v>430</v>
      </c>
      <c r="B99" s="127">
        <v>4015</v>
      </c>
      <c r="C99" s="128" t="s">
        <v>137</v>
      </c>
      <c r="D99" s="128" t="s">
        <v>431</v>
      </c>
      <c r="E99" s="129">
        <v>42592.628761574073</v>
      </c>
      <c r="F99" s="129">
        <v>42592.629560185182</v>
      </c>
      <c r="G99" s="127">
        <v>1</v>
      </c>
      <c r="H99" s="129" t="s">
        <v>180</v>
      </c>
      <c r="I99" s="129">
        <v>42592.65965277778</v>
      </c>
      <c r="J99" s="127">
        <v>0</v>
      </c>
      <c r="K99" s="25" t="str">
        <f>IF(ISEVEN(B99),(B99-1)&amp;"/"&amp;B99,B99&amp;"/"&amp;(B99+1))</f>
        <v>4015/4016</v>
      </c>
      <c r="L99" s="25" t="str">
        <f>VLOOKUP(A99,'Trips&amp;Operators'!$C$1:$E$10000,3,FALSE)</f>
        <v>HAITHCOX</v>
      </c>
      <c r="M99" s="6">
        <f>I99-F99</f>
        <v>3.0092592598521151E-2</v>
      </c>
      <c r="N99" s="7"/>
      <c r="O99" s="7"/>
      <c r="P99" s="7">
        <f>24*60*SUM($M99:$M99)</f>
        <v>43.333333341870457</v>
      </c>
      <c r="Q99" s="26"/>
      <c r="R99" s="26" t="s">
        <v>629</v>
      </c>
      <c r="S99" s="38">
        <f t="shared" si="48"/>
        <v>1</v>
      </c>
      <c r="T99" s="55" t="str">
        <f t="shared" si="49"/>
        <v>Southbound</v>
      </c>
      <c r="U99" s="14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14:05:25-0600',mode:absolute,to:'2016-08-10 16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99" s="57" t="str">
        <f t="shared" si="51"/>
        <v>Y</v>
      </c>
      <c r="X99" s="136">
        <f t="shared" si="52"/>
        <v>1</v>
      </c>
      <c r="Y99" s="72">
        <f t="shared" si="53"/>
        <v>15.416499999999999</v>
      </c>
      <c r="Z99" s="72">
        <f t="shared" si="54"/>
        <v>1.4500000000000001E-2</v>
      </c>
      <c r="AA99" s="72">
        <f t="shared" si="55"/>
        <v>15.401999999999999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43"/>
        <v>0186-10</v>
      </c>
      <c r="AE99" s="108" t="str">
        <f>"aws s3 cp "&amp;s3_bucket&amp;"/RTDC"&amp;B99&amp;"/"&amp;TEXT(F99,"YYYY-MM-DD")&amp;"/ "&amp;search_path&amp;"\RTDC"&amp;B99&amp;"\"&amp;TEXT(F99,"YYYY-MM-DD")&amp;" --recursive &amp; """&amp;walkandungz&amp;""" "&amp;search_path&amp;"\RTDC"&amp;B99&amp;"\"&amp;TEXT(F99,"YYYY-MM-DD")
&amp;" &amp; "&amp;"aws s3 cp "&amp;s3_bucket&amp;"/RTDC"&amp;B99&amp;"/"&amp;TEXT(F99+1,"YYYY-MM-DD")&amp;"/ "&amp;search_path&amp;"\RTDC"&amp;B99&amp;"\"&amp;TEXT(F99+1,"YYYY-MM-DD")&amp;" --recursive &amp; """&amp;walkandungz&amp;""" "&amp;search_path&amp;"\RTDC"&amp;B99&amp;"\"&amp;TEXT(F99+1,"YYYY-MM-DD")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99" s="105" t="str">
        <f>astrogrep_path&amp;" /spath="&amp;search_path&amp;" /stypes=""*"&amp;B99&amp;"*"&amp;TEXT(I99-utc_offset/24,"YYYYMMDD")&amp;"*"" /stext="" "&amp;TEXT(I99-utc_offset/24,"HH")&amp;search_regexp&amp;""" /e /r /s"</f>
        <v>"C:\Program Files (x86)\AstroGrep\AstroGrep.exe" /spath="%USERPROFILE%\AppData\Local\Temp\OnboardLogs" /stypes="*4015*20160810*" /stext=" 21:.+((SYSTEM_STATE.+slice.+state.+changed )|(ment ac)|(system.+state.+changed )|(\|lc)|(penalty)|(\[timeout)|(PRM\|1\|D)|(kpr)|(kdp))" /e /r /s</v>
      </c>
      <c r="AG99" s="1" t="str">
        <f t="shared" si="46"/>
        <v>EC</v>
      </c>
      <c r="AH99" s="109" t="str">
        <f t="shared" si="47"/>
        <v>"%USERPROFILE%\Documents\GitHub\eaglep3\Utilities\RefineRTDCRunTimes.py" --tripid 186-10 --locoid 4015 --swversion DE.1.0.7.0 --startMP 204:154165 --initTime 2016-08-10T15:05:25 --startdatetime 2016-08-10T15:06:34 --delay 1 --endMP 204:145 --enddatetime 2016-08-10T15:49:54 --enforcementcount 0</v>
      </c>
    </row>
    <row r="100" spans="1:34" x14ac:dyDescent="0.25">
      <c r="A100" s="25" t="s">
        <v>432</v>
      </c>
      <c r="B100" s="127">
        <v>4029</v>
      </c>
      <c r="C100" s="128" t="s">
        <v>137</v>
      </c>
      <c r="D100" s="128" t="s">
        <v>200</v>
      </c>
      <c r="E100" s="129">
        <v>42592.599629629629</v>
      </c>
      <c r="F100" s="129">
        <v>42592.600590277776</v>
      </c>
      <c r="G100" s="127">
        <v>1</v>
      </c>
      <c r="H100" s="129" t="s">
        <v>433</v>
      </c>
      <c r="I100" s="129">
        <v>42592.618043981478</v>
      </c>
      <c r="J100" s="127">
        <v>0</v>
      </c>
      <c r="K100" s="25" t="str">
        <f>IF(ISEVEN(B100),(B100-1)&amp;"/"&amp;B100,B100&amp;"/"&amp;(B100+1))</f>
        <v>4029/4030</v>
      </c>
      <c r="L100" s="25" t="str">
        <f>VLOOKUP(A100,'Trips&amp;Operators'!$C$1:$E$10000,3,FALSE)</f>
        <v>SWANSON</v>
      </c>
      <c r="M100" s="6">
        <f>I100-F100</f>
        <v>1.7453703701903578E-2</v>
      </c>
      <c r="N100" s="7"/>
      <c r="O100" s="7"/>
      <c r="P100" s="7">
        <f>24*60*SUM($M100:$M100)</f>
        <v>25.133333330741152</v>
      </c>
      <c r="Q100" s="26"/>
      <c r="R100" s="26" t="s">
        <v>629</v>
      </c>
      <c r="S100" s="38">
        <f t="shared" si="48"/>
        <v>0</v>
      </c>
      <c r="T100" s="55" t="str">
        <f t="shared" si="49"/>
        <v>NorthBound</v>
      </c>
      <c r="U100" s="14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13:23:28-0600',mode:absolute,to:'2016-08-10 15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00" s="57" t="str">
        <f t="shared" si="51"/>
        <v>Y</v>
      </c>
      <c r="X100" s="136">
        <f t="shared" si="52"/>
        <v>1</v>
      </c>
      <c r="Y100" s="72">
        <f t="shared" si="53"/>
        <v>4.8800000000000003E-2</v>
      </c>
      <c r="Z100" s="72">
        <f t="shared" si="54"/>
        <v>1.913</v>
      </c>
      <c r="AA100" s="72">
        <f t="shared" si="55"/>
        <v>1.8642000000000001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43"/>
        <v>0187-10</v>
      </c>
      <c r="AE100" s="108" t="str">
        <f>"aws s3 cp "&amp;s3_bucket&amp;"/RTDC"&amp;B100&amp;"/"&amp;TEXT(F100,"YYYY-MM-DD")&amp;"/ "&amp;search_path&amp;"\RTDC"&amp;B100&amp;"\"&amp;TEXT(F100,"YYYY-MM-DD")&amp;" --recursive &amp; """&amp;walkandungz&amp;""" "&amp;search_path&amp;"\RTDC"&amp;B100&amp;"\"&amp;TEXT(F100,"YYYY-MM-DD")
&amp;" &amp; "&amp;"aws s3 cp "&amp;s3_bucket&amp;"/RTDC"&amp;B100&amp;"/"&amp;TEXT(F100+1,"YYYY-MM-DD")&amp;"/ "&amp;search_path&amp;"\RTDC"&amp;B100&amp;"\"&amp;TEXT(F100+1,"YYYY-MM-DD")&amp;" --recursive &amp; """&amp;walkandungz&amp;""" "&amp;search_path&amp;"\RTDC"&amp;B100&amp;"\"&amp;TEXT(F100+1,"YYYY-MM-DD")</f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AF100" s="105" t="str">
        <f>astrogrep_path&amp;" /spath="&amp;search_path&amp;" /stypes=""*"&amp;B100&amp;"*"&amp;TEXT(I100-utc_offset/24,"YYYYMMDD")&amp;"*"" /stext="" "&amp;TEXT(I100-utc_offset/24,"HH")&amp;search_regexp&amp;""" /e /r /s"</f>
        <v>"C:\Program Files (x86)\AstroGrep\AstroGrep.exe" /spath="%USERPROFILE%\AppData\Local\Temp\OnboardLogs" /stypes="*4029*20160810*" /stext=" 20:.+((SYSTEM_STATE.+slice.+state.+changed )|(ment ac)|(system.+state.+changed )|(\|lc)|(penalty)|(\[timeout)|(PRM\|1\|D)|(kpr)|(kdp))" /e /r /s</v>
      </c>
      <c r="AG100" s="1" t="str">
        <f t="shared" si="46"/>
        <v>EC</v>
      </c>
      <c r="AH100" s="109" t="str">
        <f t="shared" si="47"/>
        <v>"%USERPROFILE%\Documents\GitHub\eaglep3\Utilities\RefineRTDCRunTimes.py" --tripid 187-10 --locoid 4029 --swversion DE.1.0.7.0 --startMP 204:488 --initTime 2016-08-10T14:23:28 --startdatetime 2016-08-10T14:24:51 --delay 1 --endMP 204:19130 --enddatetime 2016-08-10T14:49:59 --enforcementcount 0</v>
      </c>
    </row>
    <row r="101" spans="1:34" s="24" customFormat="1" x14ac:dyDescent="0.25">
      <c r="A101" s="25" t="s">
        <v>620</v>
      </c>
      <c r="B101" s="127"/>
      <c r="C101" s="128"/>
      <c r="D101" s="128"/>
      <c r="E101" s="129"/>
      <c r="F101" s="129"/>
      <c r="G101" s="127"/>
      <c r="H101" s="129"/>
      <c r="I101" s="129"/>
      <c r="J101" s="127"/>
      <c r="K101" s="25"/>
      <c r="L101" s="25"/>
      <c r="M101" s="6"/>
      <c r="N101" s="7"/>
      <c r="O101" s="7"/>
      <c r="P101" s="7">
        <v>1</v>
      </c>
      <c r="Q101" s="26"/>
      <c r="R101" s="26" t="s">
        <v>629</v>
      </c>
      <c r="S101" s="38">
        <f t="shared" si="48"/>
        <v>0</v>
      </c>
      <c r="T101" s="55" t="str">
        <f t="shared" si="49"/>
        <v>Southbound</v>
      </c>
      <c r="U101" s="14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115" t="e">
        <f t="shared" si="50"/>
        <v>#VALUE!</v>
      </c>
      <c r="W101" s="57" t="e">
        <f t="shared" si="51"/>
        <v>#VALUE!</v>
      </c>
      <c r="X101" s="136">
        <f t="shared" si="52"/>
        <v>1</v>
      </c>
      <c r="Y101" s="72" t="e">
        <f t="shared" si="53"/>
        <v>#VALUE!</v>
      </c>
      <c r="Z101" s="72" t="e">
        <f t="shared" si="54"/>
        <v>#VALUE!</v>
      </c>
      <c r="AA101" s="72" t="e">
        <f t="shared" si="55"/>
        <v>#VALUE!</v>
      </c>
      <c r="AB101" s="69"/>
      <c r="AC101" s="65"/>
      <c r="AD101" s="66" t="str">
        <f t="shared" si="43"/>
        <v>0188-10</v>
      </c>
      <c r="AE101" s="108"/>
      <c r="AF101" s="105"/>
      <c r="AG101" s="1" t="str">
        <f t="shared" si="46"/>
        <v>EC</v>
      </c>
      <c r="AH101" s="109"/>
    </row>
    <row r="102" spans="1:34" x14ac:dyDescent="0.25">
      <c r="A102" s="25" t="s">
        <v>434</v>
      </c>
      <c r="B102" s="127">
        <v>4018</v>
      </c>
      <c r="C102" s="128" t="s">
        <v>137</v>
      </c>
      <c r="D102" s="128" t="s">
        <v>334</v>
      </c>
      <c r="E102" s="129">
        <v>42592.610185185185</v>
      </c>
      <c r="F102" s="129">
        <v>42592.611585648148</v>
      </c>
      <c r="G102" s="127">
        <v>2</v>
      </c>
      <c r="H102" s="129" t="s">
        <v>334</v>
      </c>
      <c r="I102" s="129">
        <v>42592.621689814812</v>
      </c>
      <c r="J102" s="127">
        <v>0</v>
      </c>
      <c r="K102" s="25" t="str">
        <f>IF(ISEVEN(B102),(B102-1)&amp;"/"&amp;B102,B102&amp;"/"&amp;(B102+1))</f>
        <v>4017/4018</v>
      </c>
      <c r="L102" s="25" t="str">
        <f>VLOOKUP(A102,'Trips&amp;Operators'!$C$1:$E$10000,3,FALSE)</f>
        <v>BARTLETT</v>
      </c>
      <c r="M102" s="6">
        <f>I102-F102</f>
        <v>1.0104166663950309E-2</v>
      </c>
      <c r="N102" s="7"/>
      <c r="O102" s="7"/>
      <c r="P102" s="7">
        <f>24*60*SUM($M102:$M102)</f>
        <v>14.549999996088445</v>
      </c>
      <c r="Q102" s="26"/>
      <c r="R102" s="26" t="s">
        <v>629</v>
      </c>
      <c r="S102" s="38">
        <f t="shared" si="48"/>
        <v>0</v>
      </c>
      <c r="T102" s="55" t="str">
        <f t="shared" si="49"/>
        <v>NorthBound</v>
      </c>
      <c r="U102" s="14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0</v>
      </c>
      <c r="V102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13:38:40-0600',mode:absolute,to:'2016-08-10 15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02" s="57" t="str">
        <f t="shared" si="51"/>
        <v>Y</v>
      </c>
      <c r="X102" s="136">
        <f t="shared" si="52"/>
        <v>1</v>
      </c>
      <c r="Y102" s="72">
        <f t="shared" si="53"/>
        <v>4.5699999999999998E-2</v>
      </c>
      <c r="Z102" s="72">
        <f t="shared" si="54"/>
        <v>4.5699999999999998E-2</v>
      </c>
      <c r="AA102" s="72">
        <f t="shared" si="55"/>
        <v>0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43"/>
        <v>0189-10</v>
      </c>
      <c r="AE102" s="108" t="str">
        <f>"aws s3 cp "&amp;s3_bucket&amp;"/RTDC"&amp;B102&amp;"/"&amp;TEXT(F102,"YYYY-MM-DD")&amp;"/ "&amp;search_path&amp;"\RTDC"&amp;B102&amp;"\"&amp;TEXT(F102,"YYYY-MM-DD")&amp;" --recursive &amp; """&amp;walkandungz&amp;""" "&amp;search_path&amp;"\RTDC"&amp;B102&amp;"\"&amp;TEXT(F102,"YYYY-MM-DD")
&amp;" &amp; "&amp;"aws s3 cp "&amp;s3_bucket&amp;"/RTDC"&amp;B102&amp;"/"&amp;TEXT(F102+1,"YYYY-MM-DD")&amp;"/ "&amp;search_path&amp;"\RTDC"&amp;B102&amp;"\"&amp;TEXT(F102+1,"YYYY-MM-DD")&amp;" --recursive &amp; """&amp;walkandungz&amp;""" "&amp;search_path&amp;"\RTDC"&amp;B102&amp;"\"&amp;TEXT(F102+1,"YYYY-MM-DD")</f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102" s="105" t="str">
        <f>astrogrep_path&amp;" /spath="&amp;search_path&amp;" /stypes=""*"&amp;B102&amp;"*"&amp;TEXT(I102-utc_offset/24,"YYYYMMDD")&amp;"*"" /stext="" "&amp;TEXT(I102-utc_offset/24,"HH")&amp;search_regexp&amp;""" /e /r /s"</f>
        <v>"C:\Program Files (x86)\AstroGrep\AstroGrep.exe" /spath="%USERPROFILE%\AppData\Local\Temp\OnboardLogs" /stypes="*4018*20160810*" /stext=" 20:.+((SYSTEM_STATE.+slice.+state.+changed )|(ment ac)|(system.+state.+changed )|(\|lc)|(penalty)|(\[timeout)|(PRM\|1\|D)|(kpr)|(kdp))" /e /r /s</v>
      </c>
      <c r="AG102" s="1" t="str">
        <f t="shared" si="46"/>
        <v>EC</v>
      </c>
      <c r="AH102" s="109" t="str">
        <f t="shared" si="47"/>
        <v>"%USERPROFILE%\Documents\GitHub\eaglep3\Utilities\RefineRTDCRunTimes.py" --tripid 189-10 --locoid 4018 --swversion DE.1.0.7.0 --startMP 204:457 --initTime 2016-08-10T14:38:40 --startdatetime 2016-08-10T14:40:41 --delay 2 --endMP 204:457 --enddatetime 2016-08-10T14:55:14 --enforcementcount 0</v>
      </c>
    </row>
    <row r="103" spans="1:34" s="24" customFormat="1" x14ac:dyDescent="0.25">
      <c r="A103" s="25" t="s">
        <v>621</v>
      </c>
      <c r="B103" s="127"/>
      <c r="C103" s="128"/>
      <c r="D103" s="128"/>
      <c r="E103" s="129"/>
      <c r="F103" s="129"/>
      <c r="G103" s="127"/>
      <c r="H103" s="129"/>
      <c r="I103" s="129"/>
      <c r="J103" s="127"/>
      <c r="K103" s="25"/>
      <c r="L103" s="25"/>
      <c r="M103" s="6"/>
      <c r="N103" s="7"/>
      <c r="O103" s="7"/>
      <c r="P103" s="7">
        <v>1</v>
      </c>
      <c r="Q103" s="26"/>
      <c r="R103" s="26" t="s">
        <v>629</v>
      </c>
      <c r="S103" s="38">
        <f t="shared" si="48"/>
        <v>0</v>
      </c>
      <c r="T103" s="55" t="str">
        <f t="shared" si="49"/>
        <v>Southbound</v>
      </c>
      <c r="U103" s="14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0</v>
      </c>
      <c r="V103" s="115" t="e">
        <f t="shared" si="50"/>
        <v>#VALUE!</v>
      </c>
      <c r="W103" s="57" t="e">
        <f t="shared" si="51"/>
        <v>#VALUE!</v>
      </c>
      <c r="X103" s="136">
        <f t="shared" si="52"/>
        <v>1</v>
      </c>
      <c r="Y103" s="72" t="e">
        <f t="shared" si="53"/>
        <v>#VALUE!</v>
      </c>
      <c r="Z103" s="72" t="e">
        <f t="shared" si="54"/>
        <v>#VALUE!</v>
      </c>
      <c r="AA103" s="72" t="e">
        <f t="shared" si="55"/>
        <v>#VALUE!</v>
      </c>
      <c r="AB103" s="69"/>
      <c r="AC103" s="65"/>
      <c r="AD103" s="66" t="str">
        <f t="shared" si="43"/>
        <v>0190-10</v>
      </c>
      <c r="AE103" s="108"/>
      <c r="AF103" s="105"/>
      <c r="AG103" s="1" t="str">
        <f t="shared" si="46"/>
        <v>EC</v>
      </c>
      <c r="AH103" s="109"/>
    </row>
    <row r="104" spans="1:34" s="24" customFormat="1" x14ac:dyDescent="0.25">
      <c r="A104" s="25" t="s">
        <v>622</v>
      </c>
      <c r="B104" s="127"/>
      <c r="C104" s="128"/>
      <c r="D104" s="128"/>
      <c r="E104" s="129"/>
      <c r="F104" s="129"/>
      <c r="G104" s="127"/>
      <c r="H104" s="129"/>
      <c r="I104" s="129"/>
      <c r="J104" s="127"/>
      <c r="K104" s="25"/>
      <c r="L104" s="25"/>
      <c r="M104" s="6"/>
      <c r="N104" s="7"/>
      <c r="O104" s="7"/>
      <c r="P104" s="7">
        <v>1</v>
      </c>
      <c r="Q104" s="26"/>
      <c r="R104" s="26" t="s">
        <v>629</v>
      </c>
      <c r="S104" s="38">
        <f t="shared" si="48"/>
        <v>0</v>
      </c>
      <c r="T104" s="55" t="str">
        <f t="shared" si="49"/>
        <v>NorthBound</v>
      </c>
      <c r="U104" s="14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115" t="e">
        <f t="shared" si="50"/>
        <v>#VALUE!</v>
      </c>
      <c r="W104" s="57" t="e">
        <f t="shared" si="51"/>
        <v>#VALUE!</v>
      </c>
      <c r="X104" s="136">
        <f t="shared" si="52"/>
        <v>1</v>
      </c>
      <c r="Y104" s="72" t="e">
        <f t="shared" si="53"/>
        <v>#VALUE!</v>
      </c>
      <c r="Z104" s="72" t="e">
        <f t="shared" si="54"/>
        <v>#VALUE!</v>
      </c>
      <c r="AA104" s="72" t="e">
        <f t="shared" si="55"/>
        <v>#VALUE!</v>
      </c>
      <c r="AB104" s="69"/>
      <c r="AC104" s="65"/>
      <c r="AD104" s="66" t="str">
        <f t="shared" si="43"/>
        <v>0191-10</v>
      </c>
      <c r="AE104" s="108"/>
      <c r="AF104" s="105"/>
      <c r="AG104" s="1" t="str">
        <f t="shared" si="46"/>
        <v>EC</v>
      </c>
      <c r="AH104" s="109"/>
    </row>
    <row r="105" spans="1:34" s="24" customFormat="1" x14ac:dyDescent="0.25">
      <c r="A105" s="25" t="s">
        <v>623</v>
      </c>
      <c r="B105" s="127"/>
      <c r="C105" s="128"/>
      <c r="D105" s="128"/>
      <c r="E105" s="129"/>
      <c r="F105" s="129"/>
      <c r="G105" s="127"/>
      <c r="H105" s="129"/>
      <c r="I105" s="129"/>
      <c r="J105" s="127"/>
      <c r="K105" s="25"/>
      <c r="L105" s="25"/>
      <c r="M105" s="6"/>
      <c r="N105" s="7"/>
      <c r="O105" s="7"/>
      <c r="P105" s="7">
        <v>1</v>
      </c>
      <c r="Q105" s="26"/>
      <c r="R105" s="26" t="s">
        <v>629</v>
      </c>
      <c r="S105" s="38">
        <f t="shared" si="48"/>
        <v>0</v>
      </c>
      <c r="T105" s="55" t="str">
        <f t="shared" si="49"/>
        <v>Southbound</v>
      </c>
      <c r="U105" s="14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0</v>
      </c>
      <c r="V105" s="115" t="e">
        <f t="shared" si="50"/>
        <v>#VALUE!</v>
      </c>
      <c r="W105" s="57" t="e">
        <f t="shared" si="51"/>
        <v>#VALUE!</v>
      </c>
      <c r="X105" s="136">
        <f t="shared" si="52"/>
        <v>1</v>
      </c>
      <c r="Y105" s="72" t="e">
        <f t="shared" si="53"/>
        <v>#VALUE!</v>
      </c>
      <c r="Z105" s="72" t="e">
        <f t="shared" si="54"/>
        <v>#VALUE!</v>
      </c>
      <c r="AA105" s="72" t="e">
        <f t="shared" si="55"/>
        <v>#VALUE!</v>
      </c>
      <c r="AB105" s="69"/>
      <c r="AC105" s="65"/>
      <c r="AD105" s="66" t="str">
        <f t="shared" si="43"/>
        <v>0192-10</v>
      </c>
      <c r="AE105" s="108"/>
      <c r="AF105" s="105"/>
      <c r="AG105" s="1" t="str">
        <f t="shared" si="46"/>
        <v>EC</v>
      </c>
      <c r="AH105" s="109"/>
    </row>
    <row r="106" spans="1:34" x14ac:dyDescent="0.25">
      <c r="A106" s="25" t="s">
        <v>435</v>
      </c>
      <c r="B106" s="127">
        <v>4029</v>
      </c>
      <c r="C106" s="128" t="s">
        <v>137</v>
      </c>
      <c r="D106" s="128" t="s">
        <v>436</v>
      </c>
      <c r="E106" s="129">
        <v>42592.631261574075</v>
      </c>
      <c r="F106" s="129">
        <v>42592.632557870369</v>
      </c>
      <c r="G106" s="127">
        <v>1</v>
      </c>
      <c r="H106" s="129" t="s">
        <v>437</v>
      </c>
      <c r="I106" s="129">
        <v>42592.655173611114</v>
      </c>
      <c r="J106" s="127">
        <v>0</v>
      </c>
      <c r="K106" s="25" t="str">
        <f t="shared" ref="K106:K111" si="56">IF(ISEVEN(B106),(B106-1)&amp;"/"&amp;B106,B106&amp;"/"&amp;(B106+1))</f>
        <v>4029/4030</v>
      </c>
      <c r="L106" s="25" t="str">
        <f>VLOOKUP(A106,'Trips&amp;Operators'!$C$1:$E$10000,3,FALSE)</f>
        <v>BARTLETT</v>
      </c>
      <c r="M106" s="6">
        <f t="shared" ref="M106:M111" si="57">I106-F106</f>
        <v>2.2615740745095536E-2</v>
      </c>
      <c r="N106" s="7"/>
      <c r="O106" s="7"/>
      <c r="P106" s="7">
        <v>1</v>
      </c>
      <c r="Q106" s="26"/>
      <c r="R106" s="26" t="s">
        <v>629</v>
      </c>
      <c r="S106" s="38">
        <f t="shared" si="48"/>
        <v>1</v>
      </c>
      <c r="T106" s="55" t="str">
        <f t="shared" si="49"/>
        <v>NorthBound</v>
      </c>
      <c r="U106" s="14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14:09:01-0600',mode:absolute,to:'2016-08-10 16:43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06" s="57" t="str">
        <f t="shared" si="51"/>
        <v>Y</v>
      </c>
      <c r="X106" s="136">
        <f t="shared" si="52"/>
        <v>1</v>
      </c>
      <c r="Y106" s="72">
        <f t="shared" si="53"/>
        <v>7.8799999999999995E-2</v>
      </c>
      <c r="Z106" s="72">
        <f t="shared" si="54"/>
        <v>15.4506</v>
      </c>
      <c r="AA106" s="72">
        <f t="shared" si="55"/>
        <v>15.3718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43"/>
        <v>0193-10</v>
      </c>
      <c r="AE106" s="108" t="str">
        <f t="shared" ref="AE106:AE111" si="58">"aws s3 cp "&amp;s3_bucket&amp;"/RTDC"&amp;B106&amp;"/"&amp;TEXT(F106,"YYYY-MM-DD")&amp;"/ "&amp;search_path&amp;"\RTDC"&amp;B106&amp;"\"&amp;TEXT(F106,"YYYY-MM-DD")&amp;" --recursive &amp; """&amp;walkandungz&amp;""" "&amp;search_path&amp;"\RTDC"&amp;B106&amp;"\"&amp;TEXT(F106,"YYYY-MM-DD")
&amp;" &amp; "&amp;"aws s3 cp "&amp;s3_bucket&amp;"/RTDC"&amp;B106&amp;"/"&amp;TEXT(F106+1,"YYYY-MM-DD")&amp;"/ "&amp;search_path&amp;"\RTDC"&amp;B106&amp;"\"&amp;TEXT(F106+1,"YYYY-MM-DD")&amp;" --recursive &amp; """&amp;walkandungz&amp;""" "&amp;search_path&amp;"\RTDC"&amp;B106&amp;"\"&amp;TEXT(F106+1,"YYYY-MM-DD")</f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AF106" s="105" t="str">
        <f t="shared" ref="AF106:AF111" si="59">astrogrep_path&amp;" /spath="&amp;search_path&amp;" /stypes=""*"&amp;B106&amp;"*"&amp;TEXT(I106-utc_offset/24,"YYYYMMDD")&amp;"*"" /stext="" "&amp;TEXT(I106-utc_offset/24,"HH")&amp;search_regexp&amp;""" /e /r /s"</f>
        <v>"C:\Program Files (x86)\AstroGrep\AstroGrep.exe" /spath="%USERPROFILE%\AppData\Local\Temp\OnboardLogs" /stypes="*4029*20160810*" /stext=" 21:.+((SYSTEM_STATE.+slice.+state.+changed )|(ment ac)|(system.+state.+changed )|(\|lc)|(penalty)|(\[timeout)|(PRM\|1\|D)|(kpr)|(kdp))" /e /r /s</v>
      </c>
      <c r="AG106" s="1" t="str">
        <f t="shared" si="46"/>
        <v>EC</v>
      </c>
      <c r="AH106" s="109" t="str">
        <f t="shared" si="47"/>
        <v>"%USERPROFILE%\Documents\GitHub\eaglep3\Utilities\RefineRTDCRunTimes.py" --tripid 193-10 --locoid 4029 --swversion DE.1.0.7.0 --startMP 204:788 --initTime 2016-08-10T15:09:01 --startdatetime 2016-08-10T15:10:53 --delay 1 --endMP 204:154506 --enddatetime 2016-08-10T15:43:27 --enforcementcount 0</v>
      </c>
    </row>
    <row r="107" spans="1:34" x14ac:dyDescent="0.25">
      <c r="A107" s="25" t="s">
        <v>438</v>
      </c>
      <c r="B107" s="127">
        <v>4017</v>
      </c>
      <c r="C107" s="128" t="s">
        <v>137</v>
      </c>
      <c r="D107" s="128" t="s">
        <v>439</v>
      </c>
      <c r="E107" s="129">
        <v>42592.659039351849</v>
      </c>
      <c r="F107" s="129">
        <v>42592.660254629627</v>
      </c>
      <c r="G107" s="127">
        <v>1</v>
      </c>
      <c r="H107" s="129" t="s">
        <v>440</v>
      </c>
      <c r="I107" s="129">
        <v>42592.662372685183</v>
      </c>
      <c r="J107" s="127">
        <v>0</v>
      </c>
      <c r="K107" s="25" t="str">
        <f t="shared" si="56"/>
        <v>4017/4018</v>
      </c>
      <c r="L107" s="25" t="str">
        <f>VLOOKUP(A107,'Trips&amp;Operators'!$C$1:$E$10000,3,FALSE)</f>
        <v>BARTLETT</v>
      </c>
      <c r="M107" s="6">
        <f t="shared" si="57"/>
        <v>2.118055555911269E-3</v>
      </c>
      <c r="N107" s="7"/>
      <c r="O107" s="7"/>
      <c r="P107" s="7">
        <v>1</v>
      </c>
      <c r="Q107" s="26"/>
      <c r="R107" s="26" t="s">
        <v>629</v>
      </c>
      <c r="S107" s="38">
        <f t="shared" si="48"/>
        <v>0</v>
      </c>
      <c r="T107" s="55" t="str">
        <f t="shared" si="49"/>
        <v>Southbound</v>
      </c>
      <c r="U107" s="14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0</v>
      </c>
      <c r="V107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14:49:01-0600',mode:absolute,to:'2016-08-10 16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07" s="57" t="str">
        <f t="shared" si="51"/>
        <v>Y</v>
      </c>
      <c r="X107" s="136">
        <f t="shared" si="52"/>
        <v>1</v>
      </c>
      <c r="Y107" s="72">
        <f t="shared" si="53"/>
        <v>15.396000000000001</v>
      </c>
      <c r="Z107" s="72">
        <f t="shared" si="54"/>
        <v>15.0702</v>
      </c>
      <c r="AA107" s="72">
        <f t="shared" si="55"/>
        <v>0.32580000000000098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43"/>
        <v>0194-10</v>
      </c>
      <c r="AE107" s="108" t="str">
        <f t="shared" si="58"/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AF107" s="105" t="str">
        <f t="shared" si="59"/>
        <v>"C:\Program Files (x86)\AstroGrep\AstroGrep.exe" /spath="%USERPROFILE%\AppData\Local\Temp\OnboardLogs" /stypes="*4017*20160810*" /stext=" 21:.+((SYSTEM_STATE.+slice.+state.+changed )|(ment ac)|(system.+state.+changed )|(\|lc)|(penalty)|(\[timeout)|(PRM\|1\|D)|(kpr)|(kdp))" /e /r /s</v>
      </c>
      <c r="AG107" s="1" t="str">
        <f t="shared" si="46"/>
        <v>EC</v>
      </c>
      <c r="AH107" s="109" t="str">
        <f t="shared" si="47"/>
        <v>"%USERPROFILE%\Documents\GitHub\eaglep3\Utilities\RefineRTDCRunTimes.py" --tripid 194-10 --locoid 4017 --swversion DE.1.0.7.0 --startMP 204:153960 --initTime 2016-08-10T15:49:01 --startdatetime 2016-08-10T15:50:46 --delay 1 --endMP 204:150702 --enddatetime 2016-08-10T15:53:49 --enforcementcount 0</v>
      </c>
    </row>
    <row r="108" spans="1:34" x14ac:dyDescent="0.25">
      <c r="A108" s="25" t="s">
        <v>441</v>
      </c>
      <c r="B108" s="127">
        <v>4007</v>
      </c>
      <c r="C108" s="128" t="s">
        <v>137</v>
      </c>
      <c r="D108" s="128" t="s">
        <v>442</v>
      </c>
      <c r="E108" s="129">
        <v>42592.653136574074</v>
      </c>
      <c r="F108" s="129">
        <v>42592.654351851852</v>
      </c>
      <c r="G108" s="127">
        <v>1</v>
      </c>
      <c r="H108" s="129" t="s">
        <v>443</v>
      </c>
      <c r="I108" s="129">
        <v>42592.682453703703</v>
      </c>
      <c r="J108" s="127">
        <v>0</v>
      </c>
      <c r="K108" s="25" t="str">
        <f t="shared" si="56"/>
        <v>4007/4008</v>
      </c>
      <c r="L108" s="25" t="str">
        <f>VLOOKUP(A108,'Trips&amp;Operators'!$C$1:$E$10000,3,FALSE)</f>
        <v>YOUNG</v>
      </c>
      <c r="M108" s="6">
        <f t="shared" si="57"/>
        <v>2.810185185080627E-2</v>
      </c>
      <c r="N108" s="7"/>
      <c r="O108" s="7"/>
      <c r="P108" s="7">
        <v>1</v>
      </c>
      <c r="Q108" s="26"/>
      <c r="R108" s="26" t="s">
        <v>629</v>
      </c>
      <c r="S108" s="38">
        <f t="shared" si="48"/>
        <v>1</v>
      </c>
      <c r="T108" s="55" t="str">
        <f t="shared" si="49"/>
        <v>NorthBound</v>
      </c>
      <c r="U108" s="14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14:40:31-0600',mode:absolute,to:'2016-08-10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08" s="57" t="str">
        <f t="shared" si="51"/>
        <v>Y</v>
      </c>
      <c r="X108" s="136">
        <f t="shared" si="52"/>
        <v>1</v>
      </c>
      <c r="Y108" s="72">
        <f t="shared" si="53"/>
        <v>4.9700000000000001E-2</v>
      </c>
      <c r="Z108" s="72">
        <f t="shared" si="54"/>
        <v>15.501099999999999</v>
      </c>
      <c r="AA108" s="72">
        <f t="shared" si="55"/>
        <v>15.4514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43"/>
        <v>0195-10</v>
      </c>
      <c r="AE108" s="108" t="str">
        <f t="shared" si="58"/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AF108" s="105" t="str">
        <f t="shared" si="59"/>
        <v>"C:\Program Files (x86)\AstroGrep\AstroGrep.exe" /spath="%USERPROFILE%\AppData\Local\Temp\OnboardLogs" /stypes="*4007*20160810*" /stext=" 22:.+((SYSTEM_STATE.+slice.+state.+changed )|(ment ac)|(system.+state.+changed )|(\|lc)|(penalty)|(\[timeout)|(PRM\|1\|D)|(kpr)|(kdp))" /e /r /s</v>
      </c>
      <c r="AG108" s="1" t="str">
        <f t="shared" si="46"/>
        <v>EC</v>
      </c>
      <c r="AH108" s="109" t="str">
        <f t="shared" si="47"/>
        <v>"%USERPROFILE%\Documents\GitHub\eaglep3\Utilities\RefineRTDCRunTimes.py" --tripid 195-10 --locoid 4007 --swversion DE.1.0.7.0 --startMP 204:497 --initTime 2016-08-10T15:40:31 --startdatetime 2016-08-10T15:42:16 --delay 1 --endMP 204:155011 --enddatetime 2016-08-10T16:22:44 --enforcementcount 0</v>
      </c>
    </row>
    <row r="109" spans="1:34" x14ac:dyDescent="0.25">
      <c r="A109" s="25" t="s">
        <v>444</v>
      </c>
      <c r="B109" s="127">
        <v>4008</v>
      </c>
      <c r="C109" s="128" t="s">
        <v>137</v>
      </c>
      <c r="D109" s="128" t="s">
        <v>445</v>
      </c>
      <c r="E109" s="129">
        <v>42592.685925925929</v>
      </c>
      <c r="F109" s="129">
        <v>42592.686921296299</v>
      </c>
      <c r="G109" s="127">
        <v>1</v>
      </c>
      <c r="H109" s="129" t="s">
        <v>170</v>
      </c>
      <c r="I109" s="129">
        <v>42592.709560185183</v>
      </c>
      <c r="J109" s="127">
        <v>0</v>
      </c>
      <c r="K109" s="25" t="str">
        <f t="shared" si="56"/>
        <v>4007/4008</v>
      </c>
      <c r="L109" s="25" t="str">
        <f>VLOOKUP(A109,'Trips&amp;Operators'!$C$1:$E$10000,3,FALSE)</f>
        <v>HELVIE</v>
      </c>
      <c r="M109" s="6">
        <f t="shared" si="57"/>
        <v>2.2638888884102926E-2</v>
      </c>
      <c r="N109" s="7"/>
      <c r="O109" s="7"/>
      <c r="P109" s="7">
        <v>1</v>
      </c>
      <c r="Q109" s="26"/>
      <c r="R109" s="26" t="s">
        <v>629</v>
      </c>
      <c r="S109" s="38">
        <f t="shared" si="48"/>
        <v>1</v>
      </c>
      <c r="T109" s="55" t="str">
        <f t="shared" si="49"/>
        <v>Southbound</v>
      </c>
      <c r="U109" s="14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15:27:44-0600',mode:absolute,to:'2016-08-10 18:01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09" s="57" t="str">
        <f t="shared" si="51"/>
        <v>Y</v>
      </c>
      <c r="X109" s="136">
        <f t="shared" si="52"/>
        <v>1</v>
      </c>
      <c r="Y109" s="72">
        <f t="shared" si="53"/>
        <v>15.402100000000001</v>
      </c>
      <c r="Z109" s="72">
        <f t="shared" si="54"/>
        <v>1.47E-2</v>
      </c>
      <c r="AA109" s="72">
        <f t="shared" si="55"/>
        <v>15.387400000000001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ref="AD109:AD159" si="60">IF(LEN(A109)=6,"0"&amp;A109,A109)</f>
        <v>0196-10</v>
      </c>
      <c r="AE109" s="108" t="str">
        <f t="shared" si="58"/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AF109" s="105" t="str">
        <f t="shared" si="59"/>
        <v>"C:\Program Files (x86)\AstroGrep\AstroGrep.exe" /spath="%USERPROFILE%\AppData\Local\Temp\OnboardLogs" /stypes="*4008*20160810*" /stext=" 23:.+((SYSTEM_STATE.+slice.+state.+changed )|(ment ac)|(system.+state.+changed )|(\|lc)|(penalty)|(\[timeout)|(PRM\|1\|D)|(kpr)|(kdp))" /e /r /s</v>
      </c>
      <c r="AG109" s="1" t="str">
        <f t="shared" ref="AG109:AG159" si="61">IF(VALUE(LEFT(AD109,2))&lt;=2,"EC",IF(OR(VALUE(LEFT(AD109,2))=8,VALUE(LEFT(AD109,2))=18),"NW","Other"))</f>
        <v>EC</v>
      </c>
      <c r="AH109" s="109" t="str">
        <f t="shared" si="47"/>
        <v>"%USERPROFILE%\Documents\GitHub\eaglep3\Utilities\RefineRTDCRunTimes.py" --tripid 196-10 --locoid 4008 --swversion DE.1.0.7.0 --startMP 204:154021 --initTime 2016-08-10T16:27:44 --startdatetime 2016-08-10T16:29:10 --delay 1 --endMP 204:147 --enddatetime 2016-08-10T17:01:46 --enforcementcount 0</v>
      </c>
    </row>
    <row r="110" spans="1:34" x14ac:dyDescent="0.25">
      <c r="A110" s="25" t="s">
        <v>446</v>
      </c>
      <c r="B110" s="127">
        <v>4016</v>
      </c>
      <c r="C110" s="128" t="s">
        <v>137</v>
      </c>
      <c r="D110" s="128" t="s">
        <v>366</v>
      </c>
      <c r="E110" s="129">
        <v>42592.66097222222</v>
      </c>
      <c r="F110" s="129">
        <v>42592.66201388889</v>
      </c>
      <c r="G110" s="127">
        <v>1</v>
      </c>
      <c r="H110" s="129" t="s">
        <v>447</v>
      </c>
      <c r="I110" s="129">
        <v>42592.689513888887</v>
      </c>
      <c r="J110" s="127">
        <v>0</v>
      </c>
      <c r="K110" s="25" t="str">
        <f t="shared" si="56"/>
        <v>4015/4016</v>
      </c>
      <c r="L110" s="25" t="str">
        <f>VLOOKUP(A110,'Trips&amp;Operators'!$C$1:$E$10000,3,FALSE)</f>
        <v>HAITHCOX</v>
      </c>
      <c r="M110" s="6">
        <f t="shared" si="57"/>
        <v>2.749999999650754E-2</v>
      </c>
      <c r="N110" s="7"/>
      <c r="O110" s="7"/>
      <c r="P110" s="7">
        <v>1</v>
      </c>
      <c r="Q110" s="26"/>
      <c r="R110" s="26" t="s">
        <v>629</v>
      </c>
      <c r="S110" s="38">
        <f t="shared" si="48"/>
        <v>1</v>
      </c>
      <c r="T110" s="55" t="str">
        <f t="shared" si="49"/>
        <v>NorthBound</v>
      </c>
      <c r="U110" s="14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5" t="str">
        <f t="shared" si="50"/>
        <v>https://search-rtdc-monitor-bjffxe2xuh6vdkpspy63sjmuny.us-east-1.es.amazonaws.com/_plugin/kibana/#/discover/Steve-Slow-Train-Analysis-(2080s-and-2083s)?_g=(refreshInterval:(display:Off,section:0,value:0),time:(from:'2016-08-10 14:51:48-0600',mode:absolute,to:'2016-08-10 17:32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10" s="57" t="str">
        <f t="shared" si="51"/>
        <v>Y</v>
      </c>
      <c r="X110" s="136">
        <f t="shared" si="52"/>
        <v>1</v>
      </c>
      <c r="Y110" s="72">
        <f t="shared" si="53"/>
        <v>4.3799999999999999E-2</v>
      </c>
      <c r="Z110" s="72">
        <f t="shared" si="54"/>
        <v>15.450900000000001</v>
      </c>
      <c r="AA110" s="72">
        <f t="shared" si="55"/>
        <v>15.407100000000002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60"/>
        <v>0197-10</v>
      </c>
      <c r="AE110" s="108" t="str">
        <f t="shared" si="58"/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110" s="105" t="str">
        <f t="shared" si="59"/>
        <v>"C:\Program Files (x86)\AstroGrep\AstroGrep.exe" /spath="%USERPROFILE%\AppData\Local\Temp\OnboardLogs" /stypes="*4016*20160810*" /stext=" 22:.+((SYSTEM_STATE.+slice.+state.+changed )|(ment ac)|(system.+state.+changed )|(\|lc)|(penalty)|(\[timeout)|(PRM\|1\|D)|(kpr)|(kdp))" /e /r /s</v>
      </c>
      <c r="AG110" s="1" t="str">
        <f t="shared" si="61"/>
        <v>EC</v>
      </c>
      <c r="AH110" s="109" t="str">
        <f t="shared" si="47"/>
        <v>"%USERPROFILE%\Documents\GitHub\eaglep3\Utilities\RefineRTDCRunTimes.py" --tripid 197-10 --locoid 4016 --swversion DE.1.0.7.0 --startMP 204:438 --initTime 2016-08-10T15:51:48 --startdatetime 2016-08-10T15:53:18 --delay 1 --endMP 204:154509 --enddatetime 2016-08-10T16:32:54 --enforcementcount 0</v>
      </c>
    </row>
    <row r="111" spans="1:34" x14ac:dyDescent="0.25">
      <c r="A111" s="25" t="s">
        <v>448</v>
      </c>
      <c r="B111" s="127">
        <v>4015</v>
      </c>
      <c r="C111" s="128" t="s">
        <v>137</v>
      </c>
      <c r="D111" s="128" t="s">
        <v>449</v>
      </c>
      <c r="E111" s="129">
        <v>42592.692685185182</v>
      </c>
      <c r="F111" s="129">
        <v>42592.69363425926</v>
      </c>
      <c r="G111" s="127">
        <v>1</v>
      </c>
      <c r="H111" s="129" t="s">
        <v>178</v>
      </c>
      <c r="I111" s="129">
        <v>42592.722453703704</v>
      </c>
      <c r="J111" s="127">
        <v>0</v>
      </c>
      <c r="K111" s="25" t="str">
        <f t="shared" si="56"/>
        <v>4015/4016</v>
      </c>
      <c r="L111" s="25" t="str">
        <f>VLOOKUP(A111,'Trips&amp;Operators'!$C$1:$E$10000,3,FALSE)</f>
        <v>HAITHCOX</v>
      </c>
      <c r="M111" s="6">
        <f t="shared" si="57"/>
        <v>2.8819444443797693E-2</v>
      </c>
      <c r="N111" s="7"/>
      <c r="O111" s="7"/>
      <c r="P111" s="7">
        <v>1</v>
      </c>
      <c r="Q111" s="26"/>
      <c r="R111" s="26" t="s">
        <v>629</v>
      </c>
      <c r="S111" s="38">
        <f t="shared" ref="S111:S121" si="62">SUM(U111:U111)/IF(AG111="EC",12,1)</f>
        <v>1</v>
      </c>
      <c r="T111" s="55" t="str">
        <f t="shared" ref="T111:T121" si="63">IF(ISEVEN(LEFT(AD111,4)),"Southbound","NorthBound")</f>
        <v>Southbound</v>
      </c>
      <c r="U111" s="14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5" t="str">
        <f t="shared" ref="V111:V121" si="64"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https://search-rtdc-monitor-bjffxe2xuh6vdkpspy63sjmuny.us-east-1.es.amazonaws.com/_plugin/kibana/#/discover/Steve-Slow-Train-Analysis-(2080s-and-2083s)?_g=(refreshInterval:(display:Off,section:0,value:0),time:(from:'2016-08-10 15:37:28-0600',mode:absolute,to:'2016-08-10 18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11" s="57" t="str">
        <f t="shared" ref="W111:W121" si="65">IF(AA111&lt;IF(AG111="EC",23,5.65),"Y","N")</f>
        <v>Y</v>
      </c>
      <c r="X111" s="136">
        <f t="shared" ref="X111:X121" si="66">VALUE(LEFT(AD111,4))-VALUE(LEFT(AD110,4))</f>
        <v>1</v>
      </c>
      <c r="Y111" s="72">
        <f t="shared" ref="Y111:Y121" si="67">RIGHT(D111,LEN(D111)-4)/10000</f>
        <v>15.743399999999999</v>
      </c>
      <c r="Z111" s="72">
        <f t="shared" ref="Z111:Z121" si="68">RIGHT(H111,LEN(H111)-4)/10000</f>
        <v>1.49E-2</v>
      </c>
      <c r="AA111" s="72">
        <f t="shared" ref="AA111:AA121" si="69">ABS(Z111-Y111)</f>
        <v>15.728499999999999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60"/>
        <v>0198-10</v>
      </c>
      <c r="AE111" s="108" t="str">
        <f t="shared" si="58"/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111" s="105" t="str">
        <f t="shared" si="59"/>
        <v>"C:\Program Files (x86)\AstroGrep\AstroGrep.exe" /spath="%USERPROFILE%\AppData\Local\Temp\OnboardLogs" /stypes="*4015*20160810*" /stext=" 23:.+((SYSTEM_STATE.+slice.+state.+changed )|(ment ac)|(system.+state.+changed )|(\|lc)|(penalty)|(\[timeout)|(PRM\|1\|D)|(kpr)|(kdp))" /e /r /s</v>
      </c>
      <c r="AG111" s="1" t="str">
        <f t="shared" si="61"/>
        <v>EC</v>
      </c>
      <c r="AH111" s="109" t="str">
        <f t="shared" si="47"/>
        <v>"%USERPROFILE%\Documents\GitHub\eaglep3\Utilities\RefineRTDCRunTimes.py" --tripid 198-10 --locoid 4015 --swversion DE.1.0.7.0 --startMP 204:157434 --initTime 2016-08-10T16:37:28 --startdatetime 2016-08-10T16:38:50 --delay 1 --endMP 204:149 --enddatetime 2016-08-10T17:20:20 --enforcementcount 0</v>
      </c>
    </row>
    <row r="112" spans="1:34" s="24" customFormat="1" x14ac:dyDescent="0.25">
      <c r="A112" s="25" t="s">
        <v>624</v>
      </c>
      <c r="B112" s="127"/>
      <c r="C112" s="128"/>
      <c r="D112" s="128"/>
      <c r="E112" s="129"/>
      <c r="F112" s="129"/>
      <c r="G112" s="127"/>
      <c r="H112" s="129"/>
      <c r="I112" s="129"/>
      <c r="J112" s="127"/>
      <c r="K112" s="25"/>
      <c r="L112" s="25"/>
      <c r="M112" s="6"/>
      <c r="N112" s="7"/>
      <c r="O112" s="7"/>
      <c r="P112" s="7">
        <v>1</v>
      </c>
      <c r="Q112" s="26"/>
      <c r="R112" s="26" t="s">
        <v>629</v>
      </c>
      <c r="S112" s="38">
        <f t="shared" si="62"/>
        <v>0</v>
      </c>
      <c r="T112" s="55" t="str">
        <f t="shared" si="63"/>
        <v>NorthBound</v>
      </c>
      <c r="U112" s="14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115" t="e">
        <f t="shared" si="64"/>
        <v>#VALUE!</v>
      </c>
      <c r="W112" s="57" t="e">
        <f t="shared" si="65"/>
        <v>#VALUE!</v>
      </c>
      <c r="X112" s="136">
        <f t="shared" si="66"/>
        <v>1</v>
      </c>
      <c r="Y112" s="72" t="e">
        <f t="shared" si="67"/>
        <v>#VALUE!</v>
      </c>
      <c r="Z112" s="72" t="e">
        <f t="shared" si="68"/>
        <v>#VALUE!</v>
      </c>
      <c r="AA112" s="72" t="e">
        <f t="shared" si="69"/>
        <v>#VALUE!</v>
      </c>
      <c r="AB112" s="69"/>
      <c r="AC112" s="65"/>
      <c r="AD112" s="66" t="str">
        <f t="shared" si="60"/>
        <v>0199-10</v>
      </c>
      <c r="AE112" s="108"/>
      <c r="AF112" s="105"/>
      <c r="AG112" s="1" t="str">
        <f t="shared" si="61"/>
        <v>EC</v>
      </c>
      <c r="AH112" s="109"/>
    </row>
    <row r="113" spans="1:34" x14ac:dyDescent="0.25">
      <c r="A113" s="25" t="s">
        <v>450</v>
      </c>
      <c r="B113" s="127">
        <v>4010</v>
      </c>
      <c r="C113" s="128" t="s">
        <v>137</v>
      </c>
      <c r="D113" s="128" t="s">
        <v>451</v>
      </c>
      <c r="E113" s="129">
        <v>42592.710706018515</v>
      </c>
      <c r="F113" s="129">
        <v>42592.711608796293</v>
      </c>
      <c r="G113" s="127">
        <v>1</v>
      </c>
      <c r="H113" s="129" t="s">
        <v>170</v>
      </c>
      <c r="I113" s="129">
        <v>42592.733969907407</v>
      </c>
      <c r="J113" s="127">
        <v>0</v>
      </c>
      <c r="K113" s="25" t="str">
        <f>IF(ISEVEN(B113),(B113-1)&amp;"/"&amp;B113,B113&amp;"/"&amp;(B113+1))</f>
        <v>4009/4010</v>
      </c>
      <c r="L113" s="25" t="str">
        <f>VLOOKUP(A113,'Trips&amp;Operators'!$C$1:$E$10000,3,FALSE)</f>
        <v>BRUDER</v>
      </c>
      <c r="M113" s="6">
        <f>I113-F113</f>
        <v>2.2361111114150845E-2</v>
      </c>
      <c r="N113" s="7"/>
      <c r="O113" s="7"/>
      <c r="P113" s="7">
        <v>1</v>
      </c>
      <c r="Q113" s="26"/>
      <c r="R113" s="26" t="s">
        <v>629</v>
      </c>
      <c r="S113" s="38">
        <f t="shared" si="62"/>
        <v>1</v>
      </c>
      <c r="T113" s="55" t="str">
        <f t="shared" si="63"/>
        <v>Southbound</v>
      </c>
      <c r="U113" s="14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5" t="str">
        <f t="shared" si="64"/>
        <v>https://search-rtdc-monitor-bjffxe2xuh6vdkpspy63sjmuny.us-east-1.es.amazonaws.com/_plugin/kibana/#/discover/Steve-Slow-Train-Analysis-(2080s-and-2083s)?_g=(refreshInterval:(display:Off,section:0,value:0),time:(from:'2016-08-10 16:03:25-0600',mode:absolute,to:'2016-08-10 18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13" s="57" t="str">
        <f t="shared" si="65"/>
        <v>Y</v>
      </c>
      <c r="X113" s="136">
        <f t="shared" si="66"/>
        <v>1</v>
      </c>
      <c r="Y113" s="72">
        <f t="shared" si="67"/>
        <v>15.400399999999999</v>
      </c>
      <c r="Z113" s="72">
        <f t="shared" si="68"/>
        <v>1.47E-2</v>
      </c>
      <c r="AA113" s="72">
        <f t="shared" si="69"/>
        <v>15.3857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60"/>
        <v>0200-10</v>
      </c>
      <c r="AE113" s="108" t="str">
        <f>"aws s3 cp "&amp;s3_bucket&amp;"/RTDC"&amp;B113&amp;"/"&amp;TEXT(F113,"YYYY-MM-DD")&amp;"/ "&amp;search_path&amp;"\RTDC"&amp;B113&amp;"\"&amp;TEXT(F113,"YYYY-MM-DD")&amp;" --recursive &amp; """&amp;walkandungz&amp;""" "&amp;search_path&amp;"\RTDC"&amp;B113&amp;"\"&amp;TEXT(F113,"YYYY-MM-DD")
&amp;" &amp; "&amp;"aws s3 cp "&amp;s3_bucket&amp;"/RTDC"&amp;B113&amp;"/"&amp;TEXT(F113+1,"YYYY-MM-DD")&amp;"/ "&amp;search_path&amp;"\RTDC"&amp;B113&amp;"\"&amp;TEXT(F113+1,"YYYY-MM-DD")&amp;" --recursive &amp; """&amp;walkandungz&amp;""" "&amp;search_path&amp;"\RTDC"&amp;B113&amp;"\"&amp;TEXT(F113+1,"YYYY-MM-DD")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AF113" s="105" t="str">
        <f>astrogrep_path&amp;" /spath="&amp;search_path&amp;" /stypes=""*"&amp;B113&amp;"*"&amp;TEXT(I113-utc_offset/24,"YYYYMMDD")&amp;"*"" /stext="" "&amp;TEXT(I113-utc_offset/24,"HH")&amp;search_regexp&amp;""" /e /r /s"</f>
        <v>"C:\Program Files (x86)\AstroGrep\AstroGrep.exe" /spath="%USERPROFILE%\AppData\Local\Temp\OnboardLogs" /stypes="*4010*20160810*" /stext=" 23:.+((SYSTEM_STATE.+slice.+state.+changed )|(ment ac)|(system.+state.+changed )|(\|lc)|(penalty)|(\[timeout)|(PRM\|1\|D)|(kpr)|(kdp))" /e /r /s</v>
      </c>
      <c r="AG113" s="1" t="str">
        <f t="shared" si="61"/>
        <v>EC</v>
      </c>
      <c r="AH113" s="109" t="str">
        <f t="shared" si="47"/>
        <v>"%USERPROFILE%\Documents\GitHub\eaglep3\Utilities\RefineRTDCRunTimes.py" --tripid 200-10 --locoid 4010 --swversion DE.1.0.7.0 --startMP 204:154004 --initTime 2016-08-10T17:03:25 --startdatetime 2016-08-10T17:04:43 --delay 1 --endMP 204:147 --enddatetime 2016-08-10T17:36:55 --enforcementcount 0</v>
      </c>
    </row>
    <row r="114" spans="1:34" s="24" customFormat="1" x14ac:dyDescent="0.25">
      <c r="A114" s="25" t="s">
        <v>625</v>
      </c>
      <c r="B114" s="127"/>
      <c r="C114" s="128"/>
      <c r="D114" s="128"/>
      <c r="E114" s="129"/>
      <c r="F114" s="129"/>
      <c r="G114" s="127"/>
      <c r="H114" s="129"/>
      <c r="I114" s="129"/>
      <c r="J114" s="127"/>
      <c r="K114" s="25"/>
      <c r="L114" s="25"/>
      <c r="M114" s="6"/>
      <c r="N114" s="7"/>
      <c r="O114" s="7"/>
      <c r="P114" s="7">
        <v>1</v>
      </c>
      <c r="Q114" s="26"/>
      <c r="R114" s="26" t="s">
        <v>629</v>
      </c>
      <c r="S114" s="38">
        <f t="shared" si="62"/>
        <v>0</v>
      </c>
      <c r="T114" s="55" t="str">
        <f t="shared" si="63"/>
        <v>NorthBound</v>
      </c>
      <c r="U114" s="14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0</v>
      </c>
      <c r="V114" s="115" t="e">
        <f t="shared" si="64"/>
        <v>#VALUE!</v>
      </c>
      <c r="W114" s="57" t="e">
        <f t="shared" si="65"/>
        <v>#VALUE!</v>
      </c>
      <c r="X114" s="136">
        <f t="shared" si="66"/>
        <v>1</v>
      </c>
      <c r="Y114" s="72" t="e">
        <f t="shared" si="67"/>
        <v>#VALUE!</v>
      </c>
      <c r="Z114" s="72" t="e">
        <f t="shared" si="68"/>
        <v>#VALUE!</v>
      </c>
      <c r="AA114" s="72" t="e">
        <f t="shared" si="69"/>
        <v>#VALUE!</v>
      </c>
      <c r="AB114" s="69"/>
      <c r="AC114" s="65"/>
      <c r="AD114" s="66" t="str">
        <f t="shared" si="60"/>
        <v>0201-10</v>
      </c>
      <c r="AE114" s="108"/>
      <c r="AF114" s="105"/>
      <c r="AG114" s="1" t="str">
        <f t="shared" si="61"/>
        <v>EC</v>
      </c>
      <c r="AH114" s="109"/>
    </row>
    <row r="115" spans="1:34" x14ac:dyDescent="0.25">
      <c r="A115" s="25" t="s">
        <v>452</v>
      </c>
      <c r="B115" s="127">
        <v>4030</v>
      </c>
      <c r="C115" s="128" t="s">
        <v>137</v>
      </c>
      <c r="D115" s="128" t="s">
        <v>453</v>
      </c>
      <c r="E115" s="129">
        <v>42592.723587962966</v>
      </c>
      <c r="F115" s="129">
        <v>42592.724652777775</v>
      </c>
      <c r="G115" s="127">
        <v>1</v>
      </c>
      <c r="H115" s="129" t="s">
        <v>245</v>
      </c>
      <c r="I115" s="129">
        <v>42592.746157407404</v>
      </c>
      <c r="J115" s="127">
        <v>1</v>
      </c>
      <c r="K115" s="25" t="str">
        <f>IF(ISEVEN(B115),(B115-1)&amp;"/"&amp;B115,B115&amp;"/"&amp;(B115+1))</f>
        <v>4029/4030</v>
      </c>
      <c r="L115" s="25" t="str">
        <f>VLOOKUP(A115,'Trips&amp;Operators'!$C$1:$E$10000,3,FALSE)</f>
        <v>STORY</v>
      </c>
      <c r="M115" s="6">
        <f>I115-F115</f>
        <v>2.1504629628907423E-2</v>
      </c>
      <c r="N115" s="7"/>
      <c r="O115" s="7"/>
      <c r="P115" s="7">
        <v>1</v>
      </c>
      <c r="Q115" s="26"/>
      <c r="R115" s="26" t="s">
        <v>629</v>
      </c>
      <c r="S115" s="38">
        <f t="shared" si="62"/>
        <v>1</v>
      </c>
      <c r="T115" s="55" t="str">
        <f t="shared" si="63"/>
        <v>Southbound</v>
      </c>
      <c r="U115" s="14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5" t="str">
        <f t="shared" si="64"/>
        <v>https://search-rtdc-monitor-bjffxe2xuh6vdkpspy63sjmuny.us-east-1.es.amazonaws.com/_plugin/kibana/#/discover/Steve-Slow-Train-Analysis-(2080s-and-2083s)?_g=(refreshInterval:(display:Off,section:0,value:0),time:(from:'2016-08-10 16:21:58-0600',mode:absolute,to:'2016-08-10 18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15" s="57" t="str">
        <f t="shared" si="65"/>
        <v>Y</v>
      </c>
      <c r="X115" s="136">
        <f t="shared" si="66"/>
        <v>1</v>
      </c>
      <c r="Y115" s="72">
        <f t="shared" si="67"/>
        <v>15.401199999999999</v>
      </c>
      <c r="Z115" s="72">
        <f t="shared" si="68"/>
        <v>1.2999999999999999E-2</v>
      </c>
      <c r="AA115" s="72">
        <f t="shared" si="69"/>
        <v>15.388199999999999</v>
      </c>
      <c r="AB115" s="69">
        <f>VLOOKUP(A115,Enforcements!$C$7:$J$24,8,0)</f>
        <v>157300</v>
      </c>
      <c r="AC115" s="65" t="str">
        <f>VLOOKUP(A115,Enforcements!$C$7:$E$24,3,0)</f>
        <v>SIGNAL</v>
      </c>
      <c r="AD115" s="66" t="str">
        <f t="shared" si="60"/>
        <v>0202-10</v>
      </c>
      <c r="AE115" s="108" t="str">
        <f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AF115" s="105" t="str">
        <f>astrogrep_path&amp;" /spath="&amp;search_path&amp;" /stypes=""*"&amp;B115&amp;"*"&amp;TEXT(I115-utc_offset/24,"YYYYMMDD")&amp;"*"" /stext="" "&amp;TEXT(I115-utc_offset/24,"HH")&amp;search_regexp&amp;""" /e /r /s"</f>
        <v>"C:\Program Files (x86)\AstroGrep\AstroGrep.exe" /spath="%USERPROFILE%\AppData\Local\Temp\OnboardLogs" /stypes="*4030*20160810*" /stext=" 23:.+((SYSTEM_STATE.+slice.+state.+changed )|(ment ac)|(system.+state.+changed )|(\|lc)|(penalty)|(\[timeout)|(PRM\|1\|D)|(kpr)|(kdp))" /e /r /s</v>
      </c>
      <c r="AG115" s="1" t="str">
        <f t="shared" si="61"/>
        <v>EC</v>
      </c>
      <c r="AH115" s="109" t="str">
        <f t="shared" si="47"/>
        <v>"%USERPROFILE%\Documents\GitHub\eaglep3\Utilities\RefineRTDCRunTimes.py" --tripid 202-10 --locoid 4030 --swversion DE.1.0.7.0 --startMP 204:154012 --initTime 2016-08-10T17:21:58 --startdatetime 2016-08-10T17:23:30 --delay 1 --endMP 204:130 --enddatetime 2016-08-10T17:54:28 --enforcementcount 1</v>
      </c>
    </row>
    <row r="116" spans="1:34" s="24" customFormat="1" x14ac:dyDescent="0.25">
      <c r="A116" s="25" t="s">
        <v>611</v>
      </c>
      <c r="B116" s="127"/>
      <c r="C116" s="128"/>
      <c r="D116" s="128"/>
      <c r="E116" s="129"/>
      <c r="F116" s="129"/>
      <c r="G116" s="127"/>
      <c r="H116" s="129"/>
      <c r="I116" s="129"/>
      <c r="J116" s="127"/>
      <c r="K116" s="25"/>
      <c r="L116" s="25"/>
      <c r="M116" s="6"/>
      <c r="N116" s="7"/>
      <c r="O116" s="7"/>
      <c r="P116" s="7">
        <v>1</v>
      </c>
      <c r="Q116" s="26"/>
      <c r="R116" s="26" t="s">
        <v>629</v>
      </c>
      <c r="S116" s="38">
        <f t="shared" si="62"/>
        <v>0</v>
      </c>
      <c r="T116" s="55" t="str">
        <f t="shared" si="63"/>
        <v>NorthBound</v>
      </c>
      <c r="U116" s="14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0</v>
      </c>
      <c r="V116" s="115" t="e">
        <f t="shared" si="64"/>
        <v>#VALUE!</v>
      </c>
      <c r="W116" s="57" t="e">
        <f t="shared" si="65"/>
        <v>#VALUE!</v>
      </c>
      <c r="X116" s="136">
        <f t="shared" si="66"/>
        <v>1</v>
      </c>
      <c r="Y116" s="72" t="e">
        <f t="shared" si="67"/>
        <v>#VALUE!</v>
      </c>
      <c r="Z116" s="72" t="e">
        <f t="shared" si="68"/>
        <v>#VALUE!</v>
      </c>
      <c r="AA116" s="72" t="e">
        <f t="shared" si="69"/>
        <v>#VALUE!</v>
      </c>
      <c r="AB116" s="69"/>
      <c r="AC116" s="65"/>
      <c r="AD116" s="66" t="str">
        <f t="shared" si="60"/>
        <v>0203-10</v>
      </c>
      <c r="AE116" s="108"/>
      <c r="AF116" s="105"/>
      <c r="AG116" s="1" t="str">
        <f t="shared" si="61"/>
        <v>EC</v>
      </c>
      <c r="AH116" s="109"/>
    </row>
    <row r="117" spans="1:34" x14ac:dyDescent="0.25">
      <c r="A117" s="25" t="s">
        <v>454</v>
      </c>
      <c r="B117" s="127">
        <v>4017</v>
      </c>
      <c r="C117" s="128" t="s">
        <v>137</v>
      </c>
      <c r="D117" s="128" t="s">
        <v>455</v>
      </c>
      <c r="E117" s="129">
        <v>42592.732662037037</v>
      </c>
      <c r="F117" s="129">
        <v>42592.73364583333</v>
      </c>
      <c r="G117" s="127">
        <v>1</v>
      </c>
      <c r="H117" s="129" t="s">
        <v>456</v>
      </c>
      <c r="I117" s="129">
        <v>42592.753287037034</v>
      </c>
      <c r="J117" s="127">
        <v>0</v>
      </c>
      <c r="K117" s="25" t="str">
        <f t="shared" ref="K117:K125" si="70">IF(ISEVEN(B117),(B117-1)&amp;"/"&amp;B117,B117&amp;"/"&amp;(B117+1))</f>
        <v>4017/4018</v>
      </c>
      <c r="L117" s="25" t="str">
        <f>VLOOKUP(A117,'Trips&amp;Operators'!$C$1:$E$10000,3,FALSE)</f>
        <v>BARTLETT</v>
      </c>
      <c r="M117" s="6">
        <f t="shared" ref="M117:M125" si="71">I117-F117</f>
        <v>1.9641203703940846E-2</v>
      </c>
      <c r="N117" s="7"/>
      <c r="O117" s="7"/>
      <c r="P117" s="7">
        <v>1</v>
      </c>
      <c r="Q117" s="26"/>
      <c r="R117" s="26" t="s">
        <v>629</v>
      </c>
      <c r="S117" s="38">
        <f t="shared" si="62"/>
        <v>1</v>
      </c>
      <c r="T117" s="55" t="str">
        <f t="shared" si="63"/>
        <v>Southbound</v>
      </c>
      <c r="U117" s="14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5" t="str">
        <f t="shared" si="64"/>
        <v>https://search-rtdc-monitor-bjffxe2xuh6vdkpspy63sjmuny.us-east-1.es.amazonaws.com/_plugin/kibana/#/discover/Steve-Slow-Train-Analysis-(2080s-and-2083s)?_g=(refreshInterval:(display:Off,section:0,value:0),time:(from:'2016-08-10 16:35:02-0600',mode:absolute,to:'2016-08-10 19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17" s="57" t="str">
        <f t="shared" si="65"/>
        <v>Y</v>
      </c>
      <c r="X117" s="136">
        <f t="shared" si="66"/>
        <v>1</v>
      </c>
      <c r="Y117" s="72">
        <f t="shared" si="67"/>
        <v>15.401300000000001</v>
      </c>
      <c r="Z117" s="72">
        <f t="shared" si="68"/>
        <v>0.33829999999999999</v>
      </c>
      <c r="AA117" s="72">
        <f t="shared" si="69"/>
        <v>15.063000000000001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60"/>
        <v>0204-10</v>
      </c>
      <c r="AE117" s="108" t="str">
        <f t="shared" ref="AE117:AE125" si="72">"aws s3 cp "&amp;s3_bucket&amp;"/RTDC"&amp;B117&amp;"/"&amp;TEXT(F117,"YYYY-MM-DD")&amp;"/ "&amp;search_path&amp;"\RTDC"&amp;B117&amp;"\"&amp;TEXT(F117,"YYYY-MM-DD")&amp;" --recursive &amp; """&amp;walkandungz&amp;""" "&amp;search_path&amp;"\RTDC"&amp;B117&amp;"\"&amp;TEXT(F117,"YYYY-MM-DD")
&amp;" &amp; "&amp;"aws s3 cp "&amp;s3_bucket&amp;"/RTDC"&amp;B117&amp;"/"&amp;TEXT(F117+1,"YYYY-MM-DD")&amp;"/ "&amp;search_path&amp;"\RTDC"&amp;B117&amp;"\"&amp;TEXT(F117+1,"YYYY-MM-DD")&amp;" --recursive &amp; """&amp;walkandungz&amp;""" "&amp;search_path&amp;"\RTDC"&amp;B117&amp;"\"&amp;TEXT(F117+1,"YYYY-MM-DD")</f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AF117" s="105" t="str">
        <f t="shared" ref="AF117:AF125" si="73">astrogrep_path&amp;" /spath="&amp;search_path&amp;" /stypes=""*"&amp;B117&amp;"*"&amp;TEXT(I117-utc_offset/24,"YYYYMMDD")&amp;"*"" /stext="" "&amp;TEXT(I117-utc_offset/24,"HH")&amp;search_regexp&amp;""" /e /r /s"</f>
        <v>"C:\Program Files (x86)\AstroGrep\AstroGrep.exe" /spath="%USERPROFILE%\AppData\Local\Temp\OnboardLogs" /stypes="*4017*20160811*" /stext=" 00:.+((SYSTEM_STATE.+slice.+state.+changed )|(ment ac)|(system.+state.+changed )|(\|lc)|(penalty)|(\[timeout)|(PRM\|1\|D)|(kpr)|(kdp))" /e /r /s</v>
      </c>
      <c r="AG117" s="1" t="str">
        <f t="shared" si="61"/>
        <v>EC</v>
      </c>
      <c r="AH117" s="109" t="str">
        <f t="shared" si="47"/>
        <v>"%USERPROFILE%\Documents\GitHub\eaglep3\Utilities\RefineRTDCRunTimes.py" --tripid 204-10 --locoid 4017 --swversion DE.1.0.7.0 --startMP 204:154013 --initTime 2016-08-10T17:35:02 --startdatetime 2016-08-10T17:36:27 --delay 1 --endMP 204:3383 --enddatetime 2016-08-10T18:04:44 --enforcementcount 0</v>
      </c>
    </row>
    <row r="118" spans="1:34" x14ac:dyDescent="0.25">
      <c r="A118" s="25" t="s">
        <v>457</v>
      </c>
      <c r="B118" s="127">
        <v>4018</v>
      </c>
      <c r="C118" s="128" t="s">
        <v>137</v>
      </c>
      <c r="D118" s="128" t="s">
        <v>458</v>
      </c>
      <c r="E118" s="129">
        <v>42592.698831018519</v>
      </c>
      <c r="F118" s="129">
        <v>42592.69971064815</v>
      </c>
      <c r="G118" s="127">
        <v>1</v>
      </c>
      <c r="H118" s="129" t="s">
        <v>459</v>
      </c>
      <c r="I118" s="129">
        <v>42592.727199074077</v>
      </c>
      <c r="J118" s="127">
        <v>0</v>
      </c>
      <c r="K118" s="25" t="str">
        <f t="shared" si="70"/>
        <v>4017/4018</v>
      </c>
      <c r="L118" s="25" t="str">
        <f>VLOOKUP(A118,'Trips&amp;Operators'!$C$1:$E$10000,3,FALSE)</f>
        <v>BARTLETT</v>
      </c>
      <c r="M118" s="6">
        <f t="shared" si="71"/>
        <v>2.7488425927003846E-2</v>
      </c>
      <c r="N118" s="7"/>
      <c r="O118" s="7"/>
      <c r="P118" s="7">
        <v>1</v>
      </c>
      <c r="Q118" s="26"/>
      <c r="R118" s="26" t="s">
        <v>629</v>
      </c>
      <c r="S118" s="38">
        <f t="shared" si="62"/>
        <v>1</v>
      </c>
      <c r="T118" s="55" t="str">
        <f t="shared" si="63"/>
        <v>NorthBound</v>
      </c>
      <c r="U118" s="14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5" t="str">
        <f t="shared" si="64"/>
        <v>https://search-rtdc-monitor-bjffxe2xuh6vdkpspy63sjmuny.us-east-1.es.amazonaws.com/_plugin/kibana/#/discover/Steve-Slow-Train-Analysis-(2080s-and-2083s)?_g=(refreshInterval:(display:Off,section:0,value:0),time:(from:'2016-08-10 15:46:19-0600',mode:absolute,to:'2016-08-10 18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18" s="57" t="str">
        <f t="shared" si="65"/>
        <v>Y</v>
      </c>
      <c r="X118" s="136">
        <f t="shared" si="66"/>
        <v>1</v>
      </c>
      <c r="Y118" s="72">
        <f t="shared" si="67"/>
        <v>3.4000000000000002E-2</v>
      </c>
      <c r="Z118" s="72">
        <f t="shared" si="68"/>
        <v>15.443</v>
      </c>
      <c r="AA118" s="72">
        <f t="shared" si="69"/>
        <v>15.408999999999999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60"/>
        <v>0205-10</v>
      </c>
      <c r="AE118" s="108" t="str">
        <f t="shared" si="72"/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118" s="105" t="str">
        <f t="shared" si="73"/>
        <v>"C:\Program Files (x86)\AstroGrep\AstroGrep.exe" /spath="%USERPROFILE%\AppData\Local\Temp\OnboardLogs" /stypes="*4018*20160810*" /stext=" 23:.+((SYSTEM_STATE.+slice.+state.+changed )|(ment ac)|(system.+state.+changed )|(\|lc)|(penalty)|(\[timeout)|(PRM\|1\|D)|(kpr)|(kdp))" /e /r /s</v>
      </c>
      <c r="AG118" s="1" t="str">
        <f t="shared" si="61"/>
        <v>EC</v>
      </c>
      <c r="AH118" s="109" t="str">
        <f t="shared" si="47"/>
        <v>"%USERPROFILE%\Documents\GitHub\eaglep3\Utilities\RefineRTDCRunTimes.py" --tripid 205-10 --locoid 4018 --swversion DE.1.0.7.0 --startMP 204:340 --initTime 2016-08-10T16:46:19 --startdatetime 2016-08-10T16:47:35 --delay 1 --endMP 204:154430 --enddatetime 2016-08-10T17:27:10 --enforcementcount 0</v>
      </c>
    </row>
    <row r="119" spans="1:34" x14ac:dyDescent="0.25">
      <c r="A119" s="25" t="s">
        <v>460</v>
      </c>
      <c r="B119" s="127">
        <v>4008</v>
      </c>
      <c r="C119" s="128" t="s">
        <v>137</v>
      </c>
      <c r="D119" s="128" t="s">
        <v>461</v>
      </c>
      <c r="E119" s="129">
        <v>42592.743692129632</v>
      </c>
      <c r="F119" s="129">
        <v>42592.744560185187</v>
      </c>
      <c r="G119" s="127">
        <v>1</v>
      </c>
      <c r="H119" s="129" t="s">
        <v>222</v>
      </c>
      <c r="I119" s="129">
        <v>42592.768773148149</v>
      </c>
      <c r="J119" s="127">
        <v>1</v>
      </c>
      <c r="K119" s="25" t="str">
        <f t="shared" si="70"/>
        <v>4007/4008</v>
      </c>
      <c r="L119" s="25" t="str">
        <f>VLOOKUP(A119,'Trips&amp;Operators'!$C$1:$E$10000,3,FALSE)</f>
        <v>HELVIE</v>
      </c>
      <c r="M119" s="6">
        <f t="shared" si="71"/>
        <v>2.421296296233777E-2</v>
      </c>
      <c r="N119" s="7"/>
      <c r="O119" s="7"/>
      <c r="P119" s="7">
        <v>1</v>
      </c>
      <c r="Q119" s="26"/>
      <c r="R119" s="26" t="s">
        <v>629</v>
      </c>
      <c r="S119" s="38">
        <f t="shared" si="62"/>
        <v>1</v>
      </c>
      <c r="T119" s="55" t="str">
        <f t="shared" si="63"/>
        <v>Southbound</v>
      </c>
      <c r="U119" s="14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5" t="str">
        <f t="shared" si="64"/>
        <v>https://search-rtdc-monitor-bjffxe2xuh6vdkpspy63sjmuny.us-east-1.es.amazonaws.com/_plugin/kibana/#/discover/Steve-Slow-Train-Analysis-(2080s-and-2083s)?_g=(refreshInterval:(display:Off,section:0,value:0),time:(from:'2016-08-10 16:50:55-0600',mode:absolute,to:'2016-08-10 19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19" s="57" t="str">
        <f t="shared" si="65"/>
        <v>Y</v>
      </c>
      <c r="X119" s="136">
        <f t="shared" si="66"/>
        <v>1</v>
      </c>
      <c r="Y119" s="72">
        <f t="shared" si="67"/>
        <v>15.4026</v>
      </c>
      <c r="Z119" s="72">
        <f t="shared" si="68"/>
        <v>1.6899999999999998E-2</v>
      </c>
      <c r="AA119" s="72">
        <f t="shared" si="69"/>
        <v>15.3857</v>
      </c>
      <c r="AB119" s="69">
        <f>VLOOKUP(A119,Enforcements!$C$7:$J$24,8,0)</f>
        <v>103800</v>
      </c>
      <c r="AC119" s="65" t="str">
        <f>VLOOKUP(A119,Enforcements!$C$7:$E$24,3,0)</f>
        <v>GRADE CROSSING</v>
      </c>
      <c r="AD119" s="66" t="str">
        <f t="shared" si="60"/>
        <v>0206-10</v>
      </c>
      <c r="AE119" s="108" t="str">
        <f t="shared" si="72"/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AF119" s="105" t="str">
        <f t="shared" si="73"/>
        <v>"C:\Program Files (x86)\AstroGrep\AstroGrep.exe" /spath="%USERPROFILE%\AppData\Local\Temp\OnboardLogs" /stypes="*4008*20160811*" /stext=" 00:.+((SYSTEM_STATE.+slice.+state.+changed )|(ment ac)|(system.+state.+changed )|(\|lc)|(penalty)|(\[timeout)|(PRM\|1\|D)|(kpr)|(kdp))" /e /r /s</v>
      </c>
      <c r="AG119" s="1" t="str">
        <f t="shared" si="61"/>
        <v>EC</v>
      </c>
      <c r="AH119" s="109" t="str">
        <f t="shared" si="47"/>
        <v>"%USERPROFILE%\Documents\GitHub\eaglep3\Utilities\RefineRTDCRunTimes.py" --tripid 206-10 --locoid 4008 --swversion DE.1.0.7.0 --startMP 204:154026 --initTime 2016-08-10T17:50:55 --startdatetime 2016-08-10T17:52:10 --delay 1 --endMP 204:169 --enddatetime 2016-08-10T18:27:02 --enforcementcount 1</v>
      </c>
    </row>
    <row r="120" spans="1:34" x14ac:dyDescent="0.25">
      <c r="A120" s="25" t="s">
        <v>462</v>
      </c>
      <c r="B120" s="127">
        <v>4007</v>
      </c>
      <c r="C120" s="128" t="s">
        <v>137</v>
      </c>
      <c r="D120" s="128" t="s">
        <v>229</v>
      </c>
      <c r="E120" s="129">
        <v>42592.712094907409</v>
      </c>
      <c r="F120" s="129">
        <v>42592.713252314818</v>
      </c>
      <c r="G120" s="127">
        <v>1</v>
      </c>
      <c r="H120" s="129" t="s">
        <v>463</v>
      </c>
      <c r="I120" s="129">
        <v>42592.739421296297</v>
      </c>
      <c r="J120" s="127">
        <v>0</v>
      </c>
      <c r="K120" s="25" t="str">
        <f t="shared" si="70"/>
        <v>4007/4008</v>
      </c>
      <c r="L120" s="25" t="str">
        <f>VLOOKUP(A120,'Trips&amp;Operators'!$C$1:$E$10000,3,FALSE)</f>
        <v>HELVIE</v>
      </c>
      <c r="M120" s="6">
        <f t="shared" si="71"/>
        <v>2.6168981479713693E-2</v>
      </c>
      <c r="N120" s="7"/>
      <c r="O120" s="7"/>
      <c r="P120" s="7">
        <f t="shared" ref="P120:P125" si="74">24*60*SUM($M120:$M120)</f>
        <v>37.683333330787718</v>
      </c>
      <c r="Q120" s="26"/>
      <c r="R120" s="26" t="s">
        <v>629</v>
      </c>
      <c r="S120" s="38">
        <f t="shared" si="62"/>
        <v>1</v>
      </c>
      <c r="T120" s="55" t="str">
        <f t="shared" si="63"/>
        <v>NorthBound</v>
      </c>
      <c r="U120" s="14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5" t="str">
        <f t="shared" si="64"/>
        <v>https://search-rtdc-monitor-bjffxe2xuh6vdkpspy63sjmuny.us-east-1.es.amazonaws.com/_plugin/kibana/#/discover/Steve-Slow-Train-Analysis-(2080s-and-2083s)?_g=(refreshInterval:(display:Off,section:0,value:0),time:(from:'2016-08-10 16:05:25-0600',mode:absolute,to:'2016-08-10 18:44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20" s="57" t="str">
        <f t="shared" si="65"/>
        <v>Y</v>
      </c>
      <c r="X120" s="136">
        <f t="shared" si="66"/>
        <v>1</v>
      </c>
      <c r="Y120" s="72">
        <f t="shared" si="67"/>
        <v>4.58E-2</v>
      </c>
      <c r="Z120" s="72">
        <f t="shared" si="68"/>
        <v>15.4411</v>
      </c>
      <c r="AA120" s="72">
        <f t="shared" si="69"/>
        <v>15.395300000000001</v>
      </c>
      <c r="AB120" s="69" t="e">
        <f>VLOOKUP(A120,Enforcements!$C$7:$J$24,8,0)</f>
        <v>#N/A</v>
      </c>
      <c r="AC120" s="65" t="e">
        <f>VLOOKUP(A120,Enforcements!$C$7:$E$24,3,0)</f>
        <v>#N/A</v>
      </c>
      <c r="AD120" s="66" t="str">
        <f t="shared" si="60"/>
        <v>0207-10</v>
      </c>
      <c r="AE120" s="108" t="str">
        <f t="shared" si="72"/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AF120" s="105" t="str">
        <f t="shared" si="73"/>
        <v>"C:\Program Files (x86)\AstroGrep\AstroGrep.exe" /spath="%USERPROFILE%\AppData\Local\Temp\OnboardLogs" /stypes="*4007*20160810*" /stext=" 23:.+((SYSTEM_STATE.+slice.+state.+changed )|(ment ac)|(system.+state.+changed )|(\|lc)|(penalty)|(\[timeout)|(PRM\|1\|D)|(kpr)|(kdp))" /e /r /s</v>
      </c>
      <c r="AG120" s="1" t="str">
        <f t="shared" si="61"/>
        <v>EC</v>
      </c>
      <c r="AH120" s="109" t="str">
        <f t="shared" si="47"/>
        <v>"%USERPROFILE%\Documents\GitHub\eaglep3\Utilities\RefineRTDCRunTimes.py" --tripid 207-10 --locoid 4007 --swversion DE.1.0.7.0 --startMP 204:458 --initTime 2016-08-10T17:05:25 --startdatetime 2016-08-10T17:07:05 --delay 1 --endMP 204:154411 --enddatetime 2016-08-10T17:44:46 --enforcementcount 0</v>
      </c>
    </row>
    <row r="121" spans="1:34" x14ac:dyDescent="0.25">
      <c r="A121" s="25" t="s">
        <v>464</v>
      </c>
      <c r="B121" s="127">
        <v>4015</v>
      </c>
      <c r="C121" s="128" t="s">
        <v>137</v>
      </c>
      <c r="D121" s="128" t="s">
        <v>465</v>
      </c>
      <c r="E121" s="129">
        <v>42592.763113425928</v>
      </c>
      <c r="F121" s="129">
        <v>42592.763935185183</v>
      </c>
      <c r="G121" s="127">
        <v>1</v>
      </c>
      <c r="H121" s="129" t="s">
        <v>171</v>
      </c>
      <c r="I121" s="129">
        <v>42592.781539351854</v>
      </c>
      <c r="J121" s="127">
        <v>0</v>
      </c>
      <c r="K121" s="25" t="str">
        <f t="shared" si="70"/>
        <v>4015/4016</v>
      </c>
      <c r="L121" s="25" t="str">
        <f>VLOOKUP(A121,'Trips&amp;Operators'!$C$1:$E$10000,3,FALSE)</f>
        <v>STURGEON</v>
      </c>
      <c r="M121" s="6">
        <f t="shared" si="71"/>
        <v>1.7604166670935228E-2</v>
      </c>
      <c r="N121" s="7"/>
      <c r="O121" s="7"/>
      <c r="P121" s="7">
        <f t="shared" si="74"/>
        <v>25.350000006146729</v>
      </c>
      <c r="Q121" s="26"/>
      <c r="R121" s="26" t="s">
        <v>629</v>
      </c>
      <c r="S121" s="38">
        <f t="shared" si="62"/>
        <v>1</v>
      </c>
      <c r="T121" s="55" t="str">
        <f t="shared" si="63"/>
        <v>Southbound</v>
      </c>
      <c r="U121" s="14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5" t="str">
        <f t="shared" si="64"/>
        <v>https://search-rtdc-monitor-bjffxe2xuh6vdkpspy63sjmuny.us-east-1.es.amazonaws.com/_plugin/kibana/#/discover/Steve-Slow-Train-Analysis-(2080s-and-2083s)?_g=(refreshInterval:(display:Off,section:0,value:0),time:(from:'2016-08-10 17:18:53-0600',mode:absolute,to:'2016-08-10 19:45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21" s="57" t="str">
        <f t="shared" si="65"/>
        <v>Y</v>
      </c>
      <c r="X121" s="136">
        <f t="shared" si="66"/>
        <v>1</v>
      </c>
      <c r="Y121" s="72">
        <f t="shared" si="67"/>
        <v>12.787800000000001</v>
      </c>
      <c r="Z121" s="72">
        <f t="shared" si="68"/>
        <v>1.61E-2</v>
      </c>
      <c r="AA121" s="72">
        <f t="shared" si="69"/>
        <v>12.771700000000001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60"/>
        <v>0208-10</v>
      </c>
      <c r="AE121" s="108" t="str">
        <f t="shared" si="72"/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121" s="105" t="str">
        <f t="shared" si="73"/>
        <v>"C:\Program Files (x86)\AstroGrep\AstroGrep.exe" /spath="%USERPROFILE%\AppData\Local\Temp\OnboardLogs" /stypes="*4015*20160811*" /stext=" 00:.+((SYSTEM_STATE.+slice.+state.+changed )|(ment ac)|(system.+state.+changed )|(\|lc)|(penalty)|(\[timeout)|(PRM\|1\|D)|(kpr)|(kdp))" /e /r /s</v>
      </c>
      <c r="AG121" s="1" t="str">
        <f t="shared" si="61"/>
        <v>EC</v>
      </c>
      <c r="AH121" s="109" t="str">
        <f t="shared" si="47"/>
        <v>"%USERPROFILE%\Documents\GitHub\eaglep3\Utilities\RefineRTDCRunTimes.py" --tripid 208-10 --locoid 4015 --swversion DE.1.0.7.0 --startMP 204:127878 --initTime 2016-08-10T18:18:53 --startdatetime 2016-08-10T18:20:04 --delay 1 --endMP 204:161 --enddatetime 2016-08-10T18:45:25 --enforcementcount 0</v>
      </c>
    </row>
    <row r="122" spans="1:34" x14ac:dyDescent="0.25">
      <c r="A122" s="25" t="s">
        <v>466</v>
      </c>
      <c r="B122" s="127">
        <v>4016</v>
      </c>
      <c r="C122" s="128" t="s">
        <v>137</v>
      </c>
      <c r="D122" s="128" t="s">
        <v>203</v>
      </c>
      <c r="E122" s="129">
        <v>42592.724907407406</v>
      </c>
      <c r="F122" s="129">
        <v>42592.727175925924</v>
      </c>
      <c r="G122" s="127">
        <v>3</v>
      </c>
      <c r="H122" s="129" t="s">
        <v>467</v>
      </c>
      <c r="I122" s="129">
        <v>42592.749456018515</v>
      </c>
      <c r="J122" s="127">
        <v>0</v>
      </c>
      <c r="K122" s="25" t="str">
        <f t="shared" si="70"/>
        <v>4015/4016</v>
      </c>
      <c r="L122" s="25" t="str">
        <f>VLOOKUP(A122,'Trips&amp;Operators'!$C$1:$E$10000,3,FALSE)</f>
        <v>STURGEON</v>
      </c>
      <c r="M122" s="6">
        <f t="shared" si="71"/>
        <v>2.2280092591245193E-2</v>
      </c>
      <c r="N122" s="7"/>
      <c r="O122" s="7"/>
      <c r="P122" s="7">
        <f t="shared" si="74"/>
        <v>32.083333331393078</v>
      </c>
      <c r="Q122" s="26"/>
      <c r="R122" s="26" t="s">
        <v>629</v>
      </c>
      <c r="S122" s="38">
        <f t="shared" ref="S122:S135" si="75">SUM(U122:U122)/IF(AG122="EC",12,1)</f>
        <v>1</v>
      </c>
      <c r="T122" s="55" t="str">
        <f t="shared" ref="T122:T135" si="76">IF(ISEVEN(LEFT(AD122,4)),"Southbound","NorthBound")</f>
        <v>NorthBound</v>
      </c>
      <c r="U122" s="14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5" t="str">
        <f t="shared" ref="V122:V135" si="77"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https://search-rtdc-monitor-bjffxe2xuh6vdkpspy63sjmuny.us-east-1.es.amazonaws.com/_plugin/kibana/#/discover/Steve-Slow-Train-Analysis-(2080s-and-2083s)?_g=(refreshInterval:(display:Off,section:0,value:0),time:(from:'2016-08-10 16:23:52-0600',mode:absolute,to:'2016-08-10 18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22" s="57" t="str">
        <f t="shared" ref="W122:W135" si="78">IF(AA122&lt;IF(AG122="EC",23,5.65),"Y","N")</f>
        <v>Y</v>
      </c>
      <c r="X122" s="136">
        <f t="shared" ref="X122:X135" si="79">VALUE(LEFT(AD122,4))-VALUE(LEFT(AD121,4))</f>
        <v>1</v>
      </c>
      <c r="Y122" s="72">
        <f t="shared" ref="Y122:Y135" si="80">RIGHT(D122,LEN(D122)-4)/10000</f>
        <v>4.8000000000000001E-2</v>
      </c>
      <c r="Z122" s="72">
        <f t="shared" si="54"/>
        <v>15.463800000000001</v>
      </c>
      <c r="AA122" s="72">
        <f t="shared" si="55"/>
        <v>15.415800000000001</v>
      </c>
      <c r="AB122" s="69" t="e">
        <f>VLOOKUP(A122,Enforcements!$C$7:$J$24,8,0)</f>
        <v>#N/A</v>
      </c>
      <c r="AC122" s="65" t="e">
        <f>VLOOKUP(A122,Enforcements!$C$7:$E$24,3,0)</f>
        <v>#N/A</v>
      </c>
      <c r="AD122" s="66" t="str">
        <f t="shared" si="60"/>
        <v>0209-10</v>
      </c>
      <c r="AE122" s="108" t="str">
        <f t="shared" si="72"/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122" s="105" t="str">
        <f t="shared" si="73"/>
        <v>"C:\Program Files (x86)\AstroGrep\AstroGrep.exe" /spath="%USERPROFILE%\AppData\Local\Temp\OnboardLogs" /stypes="*4016*20160810*" /stext=" 23:.+((SYSTEM_STATE.+slice.+state.+changed )|(ment ac)|(system.+state.+changed )|(\|lc)|(penalty)|(\[timeout)|(PRM\|1\|D)|(kpr)|(kdp))" /e /r /s</v>
      </c>
      <c r="AG122" s="1" t="str">
        <f t="shared" si="61"/>
        <v>EC</v>
      </c>
      <c r="AH122" s="109" t="str">
        <f t="shared" si="47"/>
        <v>"%USERPROFILE%\Documents\GitHub\eaglep3\Utilities\RefineRTDCRunTimes.py" --tripid 209-10 --locoid 4016 --swversion DE.1.0.7.0 --startMP 204:480 --initTime 2016-08-10T17:23:52 --startdatetime 2016-08-10T17:27:08 --delay 3 --endMP 204:154638 --enddatetime 2016-08-10T17:59:13 --enforcementcount 0</v>
      </c>
    </row>
    <row r="123" spans="1:34" x14ac:dyDescent="0.25">
      <c r="A123" s="25" t="s">
        <v>468</v>
      </c>
      <c r="B123" s="127">
        <v>4015</v>
      </c>
      <c r="C123" s="128" t="s">
        <v>137</v>
      </c>
      <c r="D123" s="128" t="s">
        <v>469</v>
      </c>
      <c r="E123" s="129">
        <v>42592.753692129627</v>
      </c>
      <c r="F123" s="129">
        <v>42592.754999999997</v>
      </c>
      <c r="G123" s="127">
        <v>1</v>
      </c>
      <c r="H123" s="129" t="s">
        <v>470</v>
      </c>
      <c r="I123" s="129">
        <v>42592.761886574073</v>
      </c>
      <c r="J123" s="127">
        <v>0</v>
      </c>
      <c r="K123" s="25" t="str">
        <f t="shared" si="70"/>
        <v>4015/4016</v>
      </c>
      <c r="L123" s="25" t="str">
        <f>VLOOKUP(A123,'Trips&amp;Operators'!$C$1:$E$10000,3,FALSE)</f>
        <v>STURGEON</v>
      </c>
      <c r="M123" s="6">
        <f t="shared" si="71"/>
        <v>6.8865740759065375E-3</v>
      </c>
      <c r="N123" s="7"/>
      <c r="O123" s="7"/>
      <c r="P123" s="7">
        <f t="shared" si="74"/>
        <v>9.916666669305414</v>
      </c>
      <c r="Q123" s="26"/>
      <c r="R123" s="26" t="s">
        <v>629</v>
      </c>
      <c r="S123" s="38">
        <f t="shared" si="75"/>
        <v>0</v>
      </c>
      <c r="T123" s="55" t="str">
        <f t="shared" si="76"/>
        <v>Southbound</v>
      </c>
      <c r="U123" s="14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0</v>
      </c>
      <c r="V123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17:05:19-0600',mode:absolute,to:'2016-08-10 19:17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23" s="57" t="str">
        <f t="shared" si="78"/>
        <v>Y</v>
      </c>
      <c r="X123" s="136">
        <f t="shared" si="79"/>
        <v>1</v>
      </c>
      <c r="Y123" s="72">
        <f t="shared" si="80"/>
        <v>15.399699999999999</v>
      </c>
      <c r="Z123" s="72">
        <f>RIGHT(H123,LEN(H123)-4)/10000</f>
        <v>12.7843</v>
      </c>
      <c r="AA123" s="72">
        <f>ABS(Z123-Y123)</f>
        <v>2.6153999999999993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60"/>
        <v>0210-10</v>
      </c>
      <c r="AE123" s="108" t="str">
        <f t="shared" si="72"/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123" s="105" t="str">
        <f t="shared" si="73"/>
        <v>"C:\Program Files (x86)\AstroGrep\AstroGrep.exe" /spath="%USERPROFILE%\AppData\Local\Temp\OnboardLogs" /stypes="*4015*20160811*" /stext=" 00:.+((SYSTEM_STATE.+slice.+state.+changed )|(ment ac)|(system.+state.+changed )|(\|lc)|(penalty)|(\[timeout)|(PRM\|1\|D)|(kpr)|(kdp))" /e /r /s</v>
      </c>
      <c r="AG123" s="1" t="str">
        <f t="shared" si="61"/>
        <v>EC</v>
      </c>
      <c r="AH123" s="109" t="str">
        <f t="shared" si="47"/>
        <v>"%USERPROFILE%\Documents\GitHub\eaglep3\Utilities\RefineRTDCRunTimes.py" --tripid 210-10 --locoid 4015 --swversion DE.1.0.7.0 --startMP 204:153997 --initTime 2016-08-10T18:05:19 --startdatetime 2016-08-10T18:07:12 --delay 1 --endMP 204:127843 --enddatetime 2016-08-10T18:17:07 --enforcementcount 0</v>
      </c>
    </row>
    <row r="124" spans="1:34" x14ac:dyDescent="0.25">
      <c r="A124" s="25" t="s">
        <v>471</v>
      </c>
      <c r="B124" s="127">
        <v>4009</v>
      </c>
      <c r="C124" s="128" t="s">
        <v>137</v>
      </c>
      <c r="D124" s="128" t="s">
        <v>252</v>
      </c>
      <c r="E124" s="129">
        <v>42592.736400462964</v>
      </c>
      <c r="F124" s="129">
        <v>42592.738391203704</v>
      </c>
      <c r="G124" s="127">
        <v>2</v>
      </c>
      <c r="H124" s="129" t="s">
        <v>459</v>
      </c>
      <c r="I124" s="129">
        <v>42592.758900462963</v>
      </c>
      <c r="J124" s="127">
        <v>0</v>
      </c>
      <c r="K124" s="25" t="str">
        <f t="shared" si="70"/>
        <v>4009/4010</v>
      </c>
      <c r="L124" s="25" t="str">
        <f>VLOOKUP(A124,'Trips&amp;Operators'!$C$1:$E$10000,3,FALSE)</f>
        <v>HAITHCOX</v>
      </c>
      <c r="M124" s="6">
        <f t="shared" si="71"/>
        <v>2.0509259258687962E-2</v>
      </c>
      <c r="N124" s="7"/>
      <c r="O124" s="7"/>
      <c r="P124" s="7">
        <f t="shared" si="74"/>
        <v>29.533333332510665</v>
      </c>
      <c r="Q124" s="26"/>
      <c r="R124" s="26" t="s">
        <v>629</v>
      </c>
      <c r="S124" s="38">
        <f t="shared" si="75"/>
        <v>1</v>
      </c>
      <c r="T124" s="55" t="str">
        <f t="shared" si="76"/>
        <v>NorthBound</v>
      </c>
      <c r="U124" s="14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16:40:25-0600',mode:absolute,to:'2016-08-10 19:12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24" s="57" t="str">
        <f t="shared" si="78"/>
        <v>Y</v>
      </c>
      <c r="X124" s="136">
        <f t="shared" si="79"/>
        <v>1</v>
      </c>
      <c r="Y124" s="72">
        <f t="shared" si="80"/>
        <v>4.6699999999999998E-2</v>
      </c>
      <c r="Z124" s="72">
        <f>RIGHT(H124,LEN(H124)-4)/10000</f>
        <v>15.443</v>
      </c>
      <c r="AA124" s="72">
        <f>ABS(Z124-Y124)</f>
        <v>15.3963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60"/>
        <v>0211-10</v>
      </c>
      <c r="AE124" s="108" t="str">
        <f t="shared" si="72"/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AF124" s="105" t="str">
        <f t="shared" si="73"/>
        <v>"C:\Program Files (x86)\AstroGrep\AstroGrep.exe" /spath="%USERPROFILE%\AppData\Local\Temp\OnboardLogs" /stypes="*4009*20160811*" /stext=" 00:.+((SYSTEM_STATE.+slice.+state.+changed )|(ment ac)|(system.+state.+changed )|(\|lc)|(penalty)|(\[timeout)|(PRM\|1\|D)|(kpr)|(kdp))" /e /r /s</v>
      </c>
      <c r="AG124" s="1" t="str">
        <f t="shared" si="61"/>
        <v>EC</v>
      </c>
      <c r="AH124" s="109" t="str">
        <f t="shared" si="47"/>
        <v>"%USERPROFILE%\Documents\GitHub\eaglep3\Utilities\RefineRTDCRunTimes.py" --tripid 211-10 --locoid 4009 --swversion DE.1.0.7.0 --startMP 204:467 --initTime 2016-08-10T17:40:25 --startdatetime 2016-08-10T17:43:17 --delay 2 --endMP 204:154430 --enddatetime 2016-08-10T18:12:49 --enforcementcount 0</v>
      </c>
    </row>
    <row r="125" spans="1:34" x14ac:dyDescent="0.25">
      <c r="A125" s="25" t="s">
        <v>472</v>
      </c>
      <c r="B125" s="127">
        <v>4030</v>
      </c>
      <c r="C125" s="128" t="s">
        <v>137</v>
      </c>
      <c r="D125" s="128" t="s">
        <v>271</v>
      </c>
      <c r="E125" s="129">
        <v>42592.77753472222</v>
      </c>
      <c r="F125" s="129">
        <v>42592.778564814813</v>
      </c>
      <c r="G125" s="127">
        <v>1</v>
      </c>
      <c r="H125" s="129" t="s">
        <v>179</v>
      </c>
      <c r="I125" s="129">
        <v>42592.800219907411</v>
      </c>
      <c r="J125" s="127">
        <v>1</v>
      </c>
      <c r="K125" s="25" t="str">
        <f t="shared" si="70"/>
        <v>4029/4030</v>
      </c>
      <c r="L125" s="25" t="str">
        <f>VLOOKUP(A125,'Trips&amp;Operators'!$C$1:$E$10000,3,FALSE)</f>
        <v>STORY</v>
      </c>
      <c r="M125" s="6">
        <f t="shared" si="71"/>
        <v>2.1655092597939074E-2</v>
      </c>
      <c r="N125" s="7"/>
      <c r="O125" s="7"/>
      <c r="P125" s="7">
        <f t="shared" si="74"/>
        <v>31.183333341032267</v>
      </c>
      <c r="Q125" s="26"/>
      <c r="R125" s="26" t="s">
        <v>629</v>
      </c>
      <c r="S125" s="38">
        <f t="shared" si="75"/>
        <v>1</v>
      </c>
      <c r="T125" s="55" t="str">
        <f t="shared" si="76"/>
        <v>Southbound</v>
      </c>
      <c r="U125" s="14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17:39:39-0600',mode:absolute,to:'2016-08-10 20:12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25" s="57" t="str">
        <f t="shared" si="78"/>
        <v>Y</v>
      </c>
      <c r="X125" s="136">
        <f t="shared" si="79"/>
        <v>1</v>
      </c>
      <c r="Y125" s="72">
        <f t="shared" si="80"/>
        <v>15.4001</v>
      </c>
      <c r="Z125" s="72">
        <f>RIGHT(H125,LEN(H125)-4)/10000</f>
        <v>1.54E-2</v>
      </c>
      <c r="AA125" s="72">
        <f>ABS(Z125-Y125)</f>
        <v>15.3847</v>
      </c>
      <c r="AB125" s="69">
        <f>VLOOKUP(A125,Enforcements!$C$7:$J$24,8,0)</f>
        <v>157300</v>
      </c>
      <c r="AC125" s="65" t="str">
        <f>VLOOKUP(A125,Enforcements!$C$7:$E$24,3,0)</f>
        <v>SIGNAL</v>
      </c>
      <c r="AD125" s="66" t="str">
        <f t="shared" si="60"/>
        <v>0212-10</v>
      </c>
      <c r="AE125" s="108" t="str">
        <f t="shared" si="72"/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AF125" s="105" t="str">
        <f t="shared" si="73"/>
        <v>"C:\Program Files (x86)\AstroGrep\AstroGrep.exe" /spath="%USERPROFILE%\AppData\Local\Temp\OnboardLogs" /stypes="*4030*20160811*" /stext=" 01:.+((SYSTEM_STATE.+slice.+state.+changed )|(ment ac)|(system.+state.+changed )|(\|lc)|(penalty)|(\[timeout)|(PRM\|1\|D)|(kpr)|(kdp))" /e /r /s</v>
      </c>
      <c r="AG125" s="1" t="str">
        <f t="shared" si="61"/>
        <v>EC</v>
      </c>
      <c r="AH125" s="109" t="str">
        <f t="shared" si="47"/>
        <v>"%USERPROFILE%\Documents\GitHub\eaglep3\Utilities\RefineRTDCRunTimes.py" --tripid 212-10 --locoid 4030 --swversion DE.1.0.7.0 --startMP 204:154001 --initTime 2016-08-10T18:39:39 --startdatetime 2016-08-10T18:41:08 --delay 1 --endMP 204:154 --enddatetime 2016-08-10T19:12:19 --enforcementcount 1</v>
      </c>
    </row>
    <row r="126" spans="1:34" s="24" customFormat="1" x14ac:dyDescent="0.25">
      <c r="A126" s="25" t="s">
        <v>626</v>
      </c>
      <c r="B126" s="127"/>
      <c r="C126" s="128"/>
      <c r="D126" s="128"/>
      <c r="E126" s="129"/>
      <c r="F126" s="129"/>
      <c r="G126" s="127"/>
      <c r="H126" s="129"/>
      <c r="I126" s="129"/>
      <c r="J126" s="127"/>
      <c r="K126" s="25"/>
      <c r="L126" s="25"/>
      <c r="M126" s="6"/>
      <c r="N126" s="7"/>
      <c r="O126" s="7"/>
      <c r="P126" s="7">
        <v>1</v>
      </c>
      <c r="Q126" s="26"/>
      <c r="R126" s="26" t="s">
        <v>629</v>
      </c>
      <c r="S126" s="38">
        <f t="shared" si="75"/>
        <v>0</v>
      </c>
      <c r="T126" s="55" t="str">
        <f t="shared" si="76"/>
        <v>NorthBound</v>
      </c>
      <c r="U126" s="14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0</v>
      </c>
      <c r="V126" s="115" t="e">
        <f t="shared" si="77"/>
        <v>#VALUE!</v>
      </c>
      <c r="W126" s="57" t="str">
        <f t="shared" si="78"/>
        <v>Y</v>
      </c>
      <c r="X126" s="136">
        <f t="shared" si="79"/>
        <v>1</v>
      </c>
      <c r="Y126" s="72" t="e">
        <f t="shared" si="80"/>
        <v>#VALUE!</v>
      </c>
      <c r="Z126" s="72"/>
      <c r="AA126" s="72"/>
      <c r="AB126" s="69"/>
      <c r="AC126" s="65"/>
      <c r="AD126" s="66" t="str">
        <f t="shared" si="60"/>
        <v>0213-10</v>
      </c>
      <c r="AE126" s="108"/>
      <c r="AF126" s="105"/>
      <c r="AG126" s="1" t="str">
        <f t="shared" si="61"/>
        <v>EC</v>
      </c>
      <c r="AH126" s="109"/>
    </row>
    <row r="127" spans="1:34" x14ac:dyDescent="0.25">
      <c r="A127" s="25" t="s">
        <v>473</v>
      </c>
      <c r="B127" s="127">
        <v>4017</v>
      </c>
      <c r="C127" s="128" t="s">
        <v>137</v>
      </c>
      <c r="D127" s="128" t="s">
        <v>474</v>
      </c>
      <c r="E127" s="129">
        <v>42592.785775462966</v>
      </c>
      <c r="F127" s="129">
        <v>42592.786666666667</v>
      </c>
      <c r="G127" s="127">
        <v>1</v>
      </c>
      <c r="H127" s="129" t="s">
        <v>58</v>
      </c>
      <c r="I127" s="129">
        <v>42592.809756944444</v>
      </c>
      <c r="J127" s="127">
        <v>0</v>
      </c>
      <c r="K127" s="25" t="str">
        <f>IF(ISEVEN(B127),(B127-1)&amp;"/"&amp;B127,B127&amp;"/"&amp;(B127+1))</f>
        <v>4017/4018</v>
      </c>
      <c r="L127" s="25" t="str">
        <f>VLOOKUP(A127,'Trips&amp;Operators'!$C$1:$E$10000,3,FALSE)</f>
        <v>YANAI</v>
      </c>
      <c r="M127" s="6">
        <f>I127-F127</f>
        <v>2.3090277776645962E-2</v>
      </c>
      <c r="N127" s="7"/>
      <c r="O127" s="7"/>
      <c r="P127" s="7">
        <f>24*60*SUM($M127:$M127)</f>
        <v>33.249999998370185</v>
      </c>
      <c r="Q127" s="26"/>
      <c r="R127" s="26" t="s">
        <v>629</v>
      </c>
      <c r="S127" s="38">
        <f t="shared" si="75"/>
        <v>1</v>
      </c>
      <c r="T127" s="55" t="str">
        <f t="shared" si="76"/>
        <v>Southbound</v>
      </c>
      <c r="U127" s="14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17:51:31-0600',mode:absolute,to:'2016-08-10 20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27" s="57" t="str">
        <f t="shared" si="78"/>
        <v>Y</v>
      </c>
      <c r="X127" s="136">
        <f t="shared" si="79"/>
        <v>1</v>
      </c>
      <c r="Y127" s="72">
        <f t="shared" si="80"/>
        <v>15.7578</v>
      </c>
      <c r="Z127" s="72">
        <f>RIGHT(H127,LEN(H127)-4)/10000</f>
        <v>1.52E-2</v>
      </c>
      <c r="AA127" s="72">
        <f>ABS(Z127-Y127)</f>
        <v>15.742599999999999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60"/>
        <v>0214-10</v>
      </c>
      <c r="AE127" s="108" t="str">
        <f>"aws s3 cp "&amp;s3_bucket&amp;"/RTDC"&amp;B127&amp;"/"&amp;TEXT(F127,"YYYY-MM-DD")&amp;"/ "&amp;search_path&amp;"\RTDC"&amp;B127&amp;"\"&amp;TEXT(F127,"YYYY-MM-DD")&amp;" --recursive &amp; """&amp;walkandungz&amp;""" "&amp;search_path&amp;"\RTDC"&amp;B127&amp;"\"&amp;TEXT(F127,"YYYY-MM-DD")
&amp;" &amp; "&amp;"aws s3 cp "&amp;s3_bucket&amp;"/RTDC"&amp;B127&amp;"/"&amp;TEXT(F127+1,"YYYY-MM-DD")&amp;"/ "&amp;search_path&amp;"\RTDC"&amp;B127&amp;"\"&amp;TEXT(F127+1,"YYYY-MM-DD")&amp;" --recursive &amp; """&amp;walkandungz&amp;""" "&amp;search_path&amp;"\RTDC"&amp;B127&amp;"\"&amp;TEXT(F127+1,"YYYY-MM-DD")</f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AF127" s="105" t="str">
        <f>astrogrep_path&amp;" /spath="&amp;search_path&amp;" /stypes=""*"&amp;B127&amp;"*"&amp;TEXT(I127-utc_offset/24,"YYYYMMDD")&amp;"*"" /stext="" "&amp;TEXT(I127-utc_offset/24,"HH")&amp;search_regexp&amp;""" /e /r /s"</f>
        <v>"C:\Program Files (x86)\AstroGrep\AstroGrep.exe" /spath="%USERPROFILE%\AppData\Local\Temp\OnboardLogs" /stypes="*4017*20160811*" /stext=" 01:.+((SYSTEM_STATE.+slice.+state.+changed )|(ment ac)|(system.+state.+changed )|(\|lc)|(penalty)|(\[timeout)|(PRM\|1\|D)|(kpr)|(kdp))" /e /r /s</v>
      </c>
      <c r="AG127" s="1" t="str">
        <f t="shared" si="61"/>
        <v>EC</v>
      </c>
      <c r="AH127" s="109" t="str">
        <f t="shared" si="47"/>
        <v>"%USERPROFILE%\Documents\GitHub\eaglep3\Utilities\RefineRTDCRunTimes.py" --tripid 214-10 --locoid 4017 --swversion DE.1.0.7.0 --startMP 204:157578 --initTime 2016-08-10T18:51:31 --startdatetime 2016-08-10T18:52:48 --delay 1 --endMP 204:152 --enddatetime 2016-08-10T19:26:03 --enforcementcount 0</v>
      </c>
    </row>
    <row r="128" spans="1:34" x14ac:dyDescent="0.25">
      <c r="A128" s="25" t="s">
        <v>475</v>
      </c>
      <c r="B128" s="127">
        <v>4029</v>
      </c>
      <c r="C128" s="128" t="s">
        <v>137</v>
      </c>
      <c r="D128" s="128" t="s">
        <v>228</v>
      </c>
      <c r="E128" s="129">
        <v>42592.748726851853</v>
      </c>
      <c r="F128" s="129">
        <v>42592.750590277778</v>
      </c>
      <c r="G128" s="127">
        <v>2</v>
      </c>
      <c r="H128" s="129" t="s">
        <v>476</v>
      </c>
      <c r="I128" s="129">
        <v>42592.773287037038</v>
      </c>
      <c r="J128" s="127">
        <v>0</v>
      </c>
      <c r="K128" s="25" t="str">
        <f>IF(ISEVEN(B128),(B128-1)&amp;"/"&amp;B128,B128&amp;"/"&amp;(B128+1))</f>
        <v>4029/4030</v>
      </c>
      <c r="L128" s="25" t="str">
        <f>VLOOKUP(A128,'Trips&amp;Operators'!$C$1:$E$10000,3,FALSE)</f>
        <v>STORY</v>
      </c>
      <c r="M128" s="6">
        <f>I128-F128</f>
        <v>2.269675926072523E-2</v>
      </c>
      <c r="N128" s="7"/>
      <c r="O128" s="7"/>
      <c r="P128" s="7">
        <f>24*60*SUM($M128:$M128)</f>
        <v>32.683333335444331</v>
      </c>
      <c r="Q128" s="26"/>
      <c r="R128" s="26" t="s">
        <v>629</v>
      </c>
      <c r="S128" s="38">
        <f t="shared" si="75"/>
        <v>1</v>
      </c>
      <c r="T128" s="55" t="str">
        <f t="shared" si="76"/>
        <v>NorthBound</v>
      </c>
      <c r="U128" s="14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16:58:10-0600',mode:absolute,to:'2016-08-10 19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28" s="57" t="str">
        <f t="shared" si="78"/>
        <v>Y</v>
      </c>
      <c r="X128" s="136">
        <f t="shared" si="79"/>
        <v>1</v>
      </c>
      <c r="Y128" s="72">
        <f t="shared" si="80"/>
        <v>4.3700000000000003E-2</v>
      </c>
      <c r="Z128" s="72">
        <f>RIGHT(H128,LEN(H128)-4)/10000</f>
        <v>15.444100000000001</v>
      </c>
      <c r="AA128" s="72">
        <f>ABS(Z128-Y128)</f>
        <v>15.400400000000001</v>
      </c>
      <c r="AB128" s="69" t="e">
        <f>VLOOKUP(A128,Enforcements!$C$7:$J$24,8,0)</f>
        <v>#N/A</v>
      </c>
      <c r="AC128" s="65" t="e">
        <f>VLOOKUP(A128,Enforcements!$C$7:$E$24,3,0)</f>
        <v>#N/A</v>
      </c>
      <c r="AD128" s="66" t="str">
        <f t="shared" si="60"/>
        <v>0215-10</v>
      </c>
      <c r="AE128" s="108" t="str">
        <f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AF128" s="105" t="str">
        <f>astrogrep_path&amp;" /spath="&amp;search_path&amp;" /stypes=""*"&amp;B128&amp;"*"&amp;TEXT(I128-utc_offset/24,"YYYYMMDD")&amp;"*"" /stext="" "&amp;TEXT(I128-utc_offset/24,"HH")&amp;search_regexp&amp;""" /e /r /s"</f>
        <v>"C:\Program Files (x86)\AstroGrep\AstroGrep.exe" /spath="%USERPROFILE%\AppData\Local\Temp\OnboardLogs" /stypes="*4029*20160811*" /stext=" 00:.+((SYSTEM_STATE.+slice.+state.+changed )|(ment ac)|(system.+state.+changed )|(\|lc)|(penalty)|(\[timeout)|(PRM\|1\|D)|(kpr)|(kdp))" /e /r /s</v>
      </c>
      <c r="AG128" s="1" t="str">
        <f t="shared" si="61"/>
        <v>EC</v>
      </c>
      <c r="AH128" s="109" t="str">
        <f t="shared" si="47"/>
        <v>"%USERPROFILE%\Documents\GitHub\eaglep3\Utilities\RefineRTDCRunTimes.py" --tripid 215-10 --locoid 4029 --swversion DE.1.0.7.0 --startMP 204:437 --initTime 2016-08-10T17:58:10 --startdatetime 2016-08-10T18:00:51 --delay 2 --endMP 204:154441 --enddatetime 2016-08-10T18:33:32 --enforcementcount 0</v>
      </c>
    </row>
    <row r="129" spans="1:34" x14ac:dyDescent="0.25">
      <c r="A129" s="25" t="s">
        <v>477</v>
      </c>
      <c r="B129" s="127">
        <v>4008</v>
      </c>
      <c r="C129" s="128" t="s">
        <v>137</v>
      </c>
      <c r="D129" s="128" t="s">
        <v>455</v>
      </c>
      <c r="E129" s="129">
        <v>42592.797210648147</v>
      </c>
      <c r="F129" s="129">
        <v>42592.798078703701</v>
      </c>
      <c r="G129" s="127">
        <v>1</v>
      </c>
      <c r="H129" s="129" t="s">
        <v>97</v>
      </c>
      <c r="I129" s="129">
        <v>42592.817743055559</v>
      </c>
      <c r="J129" s="127">
        <v>1</v>
      </c>
      <c r="K129" s="25" t="str">
        <f>IF(ISEVEN(B129),(B129-1)&amp;"/"&amp;B129,B129&amp;"/"&amp;(B129+1))</f>
        <v>4007/4008</v>
      </c>
      <c r="L129" s="25" t="str">
        <f>VLOOKUP(A129,'Trips&amp;Operators'!$C$1:$E$10000,3,FALSE)</f>
        <v>LEVIN</v>
      </c>
      <c r="M129" s="6">
        <f>I129-F129</f>
        <v>1.9664351857500151E-2</v>
      </c>
      <c r="N129" s="7"/>
      <c r="O129" s="7"/>
      <c r="P129" s="7">
        <f>24*60*SUM($M129:$M129)</f>
        <v>28.316666674800217</v>
      </c>
      <c r="Q129" s="26"/>
      <c r="R129" s="26" t="s">
        <v>629</v>
      </c>
      <c r="S129" s="38">
        <f t="shared" si="75"/>
        <v>1</v>
      </c>
      <c r="T129" s="55" t="str">
        <f t="shared" si="76"/>
        <v>Southbound</v>
      </c>
      <c r="U129" s="14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18:07:59-0600',mode:absolute,to:'2016-08-10 20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29" s="57" t="str">
        <f t="shared" si="78"/>
        <v>Y</v>
      </c>
      <c r="X129" s="136">
        <f t="shared" si="79"/>
        <v>1</v>
      </c>
      <c r="Y129" s="72">
        <f t="shared" si="80"/>
        <v>15.401300000000001</v>
      </c>
      <c r="Z129" s="72">
        <f>RIGHT(H129,LEN(H129)-4)/10000</f>
        <v>1.43E-2</v>
      </c>
      <c r="AA129" s="72">
        <f>ABS(Z129-Y129)</f>
        <v>15.387</v>
      </c>
      <c r="AB129" s="69">
        <f>VLOOKUP(A129,Enforcements!$C$7:$J$24,8,0)</f>
        <v>157300</v>
      </c>
      <c r="AC129" s="65" t="str">
        <f>VLOOKUP(A129,Enforcements!$C$7:$E$24,3,0)</f>
        <v>SIGNAL</v>
      </c>
      <c r="AD129" s="66" t="str">
        <f t="shared" si="60"/>
        <v>0216-10</v>
      </c>
      <c r="AE129" s="108" t="str">
        <f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AF129" s="105" t="str">
        <f>astrogrep_path&amp;" /spath="&amp;search_path&amp;" /stypes=""*"&amp;B129&amp;"*"&amp;TEXT(I129-utc_offset/24,"YYYYMMDD")&amp;"*"" /stext="" "&amp;TEXT(I129-utc_offset/24,"HH")&amp;search_regexp&amp;""" /e /r /s"</f>
        <v>"C:\Program Files (x86)\AstroGrep\AstroGrep.exe" /spath="%USERPROFILE%\AppData\Local\Temp\OnboardLogs" /stypes="*4008*20160811*" /stext=" 01:.+((SYSTEM_STATE.+slice.+state.+changed )|(ment ac)|(system.+state.+changed )|(\|lc)|(penalty)|(\[timeout)|(PRM\|1\|D)|(kpr)|(kdp))" /e /r /s</v>
      </c>
      <c r="AG129" s="1" t="str">
        <f t="shared" si="61"/>
        <v>EC</v>
      </c>
      <c r="AH129" s="109" t="str">
        <f t="shared" si="47"/>
        <v>"%USERPROFILE%\Documents\GitHub\eaglep3\Utilities\RefineRTDCRunTimes.py" --tripid 216-10 --locoid 4008 --swversion DE.1.0.7.0 --startMP 204:154013 --initTime 2016-08-10T19:07:59 --startdatetime 2016-08-10T19:09:14 --delay 1 --endMP 204:143 --enddatetime 2016-08-10T19:37:33 --enforcementcount 1</v>
      </c>
    </row>
    <row r="130" spans="1:34" x14ac:dyDescent="0.25">
      <c r="A130" s="25" t="s">
        <v>478</v>
      </c>
      <c r="B130" s="127">
        <v>4018</v>
      </c>
      <c r="C130" s="128" t="s">
        <v>137</v>
      </c>
      <c r="D130" s="128" t="s">
        <v>366</v>
      </c>
      <c r="E130" s="129">
        <v>42592.75708333333</v>
      </c>
      <c r="F130" s="129">
        <v>42592.757916666669</v>
      </c>
      <c r="G130" s="127">
        <v>1</v>
      </c>
      <c r="H130" s="129" t="s">
        <v>479</v>
      </c>
      <c r="I130" s="129">
        <v>42592.78019675926</v>
      </c>
      <c r="J130" s="127">
        <v>0</v>
      </c>
      <c r="K130" s="25" t="str">
        <f>IF(ISEVEN(B130),(B130-1)&amp;"/"&amp;B130,B130&amp;"/"&amp;(B130+1))</f>
        <v>4017/4018</v>
      </c>
      <c r="L130" s="25" t="str">
        <f>VLOOKUP(A130,'Trips&amp;Operators'!$C$1:$E$10000,3,FALSE)</f>
        <v>YANAI</v>
      </c>
      <c r="M130" s="6">
        <f>I130-F130</f>
        <v>2.2280092591245193E-2</v>
      </c>
      <c r="N130" s="7"/>
      <c r="O130" s="7"/>
      <c r="P130" s="7">
        <f>24*60*SUM($M130:$M130)</f>
        <v>32.083333331393078</v>
      </c>
      <c r="Q130" s="26"/>
      <c r="R130" s="26" t="s">
        <v>629</v>
      </c>
      <c r="S130" s="38">
        <f t="shared" si="75"/>
        <v>1</v>
      </c>
      <c r="T130" s="55" t="str">
        <f t="shared" si="76"/>
        <v>NorthBound</v>
      </c>
      <c r="U130" s="14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17:10:12-0600',mode:absolute,to:'2016-08-10 19:43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30" s="57" t="str">
        <f t="shared" si="78"/>
        <v>Y</v>
      </c>
      <c r="X130" s="136">
        <f t="shared" si="79"/>
        <v>1</v>
      </c>
      <c r="Y130" s="72">
        <f t="shared" si="80"/>
        <v>4.3799999999999999E-2</v>
      </c>
      <c r="Z130" s="72">
        <f>RIGHT(H130,LEN(H130)-4)/10000</f>
        <v>15.442600000000001</v>
      </c>
      <c r="AA130" s="72">
        <f>ABS(Z130-Y130)</f>
        <v>15.398800000000001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60"/>
        <v>0217-10</v>
      </c>
      <c r="AE130" s="108" t="str">
        <f>"aws s3 cp "&amp;s3_bucket&amp;"/RTDC"&amp;B130&amp;"/"&amp;TEXT(F130,"YYYY-MM-DD")&amp;"/ "&amp;search_path&amp;"\RTDC"&amp;B130&amp;"\"&amp;TEXT(F130,"YYYY-MM-DD")&amp;" --recursive &amp; """&amp;walkandungz&amp;""" "&amp;search_path&amp;"\RTDC"&amp;B130&amp;"\"&amp;TEXT(F130,"YYYY-MM-DD")
&amp;" &amp; "&amp;"aws s3 cp "&amp;s3_bucket&amp;"/RTDC"&amp;B130&amp;"/"&amp;TEXT(F130+1,"YYYY-MM-DD")&amp;"/ "&amp;search_path&amp;"\RTDC"&amp;B130&amp;"\"&amp;TEXT(F130+1,"YYYY-MM-DD")&amp;" --recursive &amp; """&amp;walkandungz&amp;""" "&amp;search_path&amp;"\RTDC"&amp;B130&amp;"\"&amp;TEXT(F130+1,"YYYY-MM-DD")</f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130" s="105" t="str">
        <f>astrogrep_path&amp;" /spath="&amp;search_path&amp;" /stypes=""*"&amp;B130&amp;"*"&amp;TEXT(I130-utc_offset/24,"YYYYMMDD")&amp;"*"" /stext="" "&amp;TEXT(I130-utc_offset/24,"HH")&amp;search_regexp&amp;""" /e /r /s"</f>
        <v>"C:\Program Files (x86)\AstroGrep\AstroGrep.exe" /spath="%USERPROFILE%\AppData\Local\Temp\OnboardLogs" /stypes="*4018*20160811*" /stext=" 00:.+((SYSTEM_STATE.+slice.+state.+changed )|(ment ac)|(system.+state.+changed )|(\|lc)|(penalty)|(\[timeout)|(PRM\|1\|D)|(kpr)|(kdp))" /e /r /s</v>
      </c>
      <c r="AG130" s="1" t="str">
        <f t="shared" si="61"/>
        <v>EC</v>
      </c>
      <c r="AH130" s="109" t="str">
        <f t="shared" si="47"/>
        <v>"%USERPROFILE%\Documents\GitHub\eaglep3\Utilities\RefineRTDCRunTimes.py" --tripid 217-10 --locoid 4018 --swversion DE.1.0.7.0 --startMP 204:438 --initTime 2016-08-10T18:10:12 --startdatetime 2016-08-10T18:11:24 --delay 1 --endMP 204:154426 --enddatetime 2016-08-10T18:43:29 --enforcementcount 0</v>
      </c>
    </row>
    <row r="131" spans="1:34" s="24" customFormat="1" x14ac:dyDescent="0.25">
      <c r="A131" s="25" t="s">
        <v>627</v>
      </c>
      <c r="B131" s="127"/>
      <c r="C131" s="128"/>
      <c r="D131" s="128"/>
      <c r="E131" s="129"/>
      <c r="F131" s="129"/>
      <c r="G131" s="127"/>
      <c r="H131" s="129"/>
      <c r="I131" s="129"/>
      <c r="J131" s="127"/>
      <c r="K131" s="25"/>
      <c r="L131" s="25"/>
      <c r="M131" s="6"/>
      <c r="N131" s="7"/>
      <c r="O131" s="7"/>
      <c r="P131" s="7">
        <v>1</v>
      </c>
      <c r="Q131" s="26"/>
      <c r="R131" s="26" t="s">
        <v>629</v>
      </c>
      <c r="S131" s="38">
        <f t="shared" si="75"/>
        <v>0</v>
      </c>
      <c r="T131" s="55" t="str">
        <f t="shared" si="76"/>
        <v>Southbound</v>
      </c>
      <c r="U131" s="14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115" t="e">
        <f t="shared" si="77"/>
        <v>#VALUE!</v>
      </c>
      <c r="W131" s="57" t="str">
        <f t="shared" si="78"/>
        <v>Y</v>
      </c>
      <c r="X131" s="136">
        <f t="shared" si="79"/>
        <v>1</v>
      </c>
      <c r="Y131" s="72" t="e">
        <f t="shared" si="80"/>
        <v>#VALUE!</v>
      </c>
      <c r="Z131" s="72"/>
      <c r="AA131" s="72"/>
      <c r="AB131" s="69"/>
      <c r="AC131" s="65"/>
      <c r="AD131" s="66" t="str">
        <f t="shared" si="60"/>
        <v>0218-10</v>
      </c>
      <c r="AE131" s="108"/>
      <c r="AF131" s="105"/>
      <c r="AG131" s="1" t="str">
        <f t="shared" si="61"/>
        <v>EC</v>
      </c>
      <c r="AH131" s="109"/>
    </row>
    <row r="132" spans="1:34" x14ac:dyDescent="0.25">
      <c r="A132" s="25" t="s">
        <v>480</v>
      </c>
      <c r="B132" s="127">
        <v>4007</v>
      </c>
      <c r="C132" s="128" t="s">
        <v>137</v>
      </c>
      <c r="D132" s="128" t="s">
        <v>251</v>
      </c>
      <c r="E132" s="129">
        <v>42592.770879629628</v>
      </c>
      <c r="F132" s="129">
        <v>42592.772789351853</v>
      </c>
      <c r="G132" s="127">
        <v>2</v>
      </c>
      <c r="H132" s="129" t="s">
        <v>481</v>
      </c>
      <c r="I132" s="129">
        <v>42592.790995370371</v>
      </c>
      <c r="J132" s="127">
        <v>0</v>
      </c>
      <c r="K132" s="25" t="str">
        <f>IF(ISEVEN(B132),(B132-1)&amp;"/"&amp;B132,B132&amp;"/"&amp;(B132+1))</f>
        <v>4007/4008</v>
      </c>
      <c r="L132" s="25" t="str">
        <f>VLOOKUP(A132,'Trips&amp;Operators'!$C$1:$E$10000,3,FALSE)</f>
        <v>LEVIN</v>
      </c>
      <c r="M132" s="6">
        <f>I132-F132</f>
        <v>1.8206018517958E-2</v>
      </c>
      <c r="N132" s="7"/>
      <c r="O132" s="7"/>
      <c r="P132" s="7">
        <f>24*60*SUM($M132:$M132)</f>
        <v>26.21666666585952</v>
      </c>
      <c r="Q132" s="26"/>
      <c r="R132" s="26" t="s">
        <v>629</v>
      </c>
      <c r="S132" s="38">
        <f t="shared" si="75"/>
        <v>1</v>
      </c>
      <c r="T132" s="55" t="str">
        <f t="shared" si="76"/>
        <v>NorthBound</v>
      </c>
      <c r="U132" s="14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17:30:04-0600',mode:absolute,to:'2016-08-10 19:59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32" s="57" t="str">
        <f t="shared" si="78"/>
        <v>Y</v>
      </c>
      <c r="X132" s="136">
        <f t="shared" si="79"/>
        <v>1</v>
      </c>
      <c r="Y132" s="72">
        <f t="shared" si="80"/>
        <v>4.5100000000000001E-2</v>
      </c>
      <c r="Z132" s="72">
        <f>RIGHT(H132,LEN(H132)-4)/10000</f>
        <v>15.443300000000001</v>
      </c>
      <c r="AA132" s="72">
        <f>ABS(Z132-Y132)</f>
        <v>15.398200000000001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60"/>
        <v>0219-10</v>
      </c>
      <c r="AE132" s="108" t="str">
        <f>"aws s3 cp "&amp;s3_bucket&amp;"/RTDC"&amp;B132&amp;"/"&amp;TEXT(F132,"YYYY-MM-DD")&amp;"/ "&amp;search_path&amp;"\RTDC"&amp;B132&amp;"\"&amp;TEXT(F132,"YYYY-MM-DD")&amp;" --recursive &amp; """&amp;walkandungz&amp;""" "&amp;search_path&amp;"\RTDC"&amp;B132&amp;"\"&amp;TEXT(F132,"YYYY-MM-DD")
&amp;" &amp; "&amp;"aws s3 cp "&amp;s3_bucket&amp;"/RTDC"&amp;B132&amp;"/"&amp;TEXT(F132+1,"YYYY-MM-DD")&amp;"/ "&amp;search_path&amp;"\RTDC"&amp;B132&amp;"\"&amp;TEXT(F132+1,"YYYY-MM-DD")&amp;" --recursive &amp; """&amp;walkandungz&amp;""" "&amp;search_path&amp;"\RTDC"&amp;B132&amp;"\"&amp;TEXT(F132+1,"YYYY-MM-DD")</f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AF132" s="105" t="str">
        <f>astrogrep_path&amp;" /spath="&amp;search_path&amp;" /stypes=""*"&amp;B132&amp;"*"&amp;TEXT(I132-utc_offset/24,"YYYYMMDD")&amp;"*"" /stext="" "&amp;TEXT(I132-utc_offset/24,"HH")&amp;search_regexp&amp;""" /e /r /s"</f>
        <v>"C:\Program Files (x86)\AstroGrep\AstroGrep.exe" /spath="%USERPROFILE%\AppData\Local\Temp\OnboardLogs" /stypes="*4007*20160811*" /stext=" 00:.+((SYSTEM_STATE.+slice.+state.+changed )|(ment ac)|(system.+state.+changed )|(\|lc)|(penalty)|(\[timeout)|(PRM\|1\|D)|(kpr)|(kdp))" /e /r /s</v>
      </c>
      <c r="AG132" s="1" t="str">
        <f t="shared" si="61"/>
        <v>EC</v>
      </c>
      <c r="AH132" s="109" t="str">
        <f t="shared" si="47"/>
        <v>"%USERPROFILE%\Documents\GitHub\eaglep3\Utilities\RefineRTDCRunTimes.py" --tripid 219-10 --locoid 4007 --swversion DE.1.0.7.0 --startMP 204:451 --initTime 2016-08-10T18:30:04 --startdatetime 2016-08-10T18:32:49 --delay 2 --endMP 204:154433 --enddatetime 2016-08-10T18:59:02 --enforcementcount 0</v>
      </c>
    </row>
    <row r="133" spans="1:34" x14ac:dyDescent="0.25">
      <c r="A133" s="25" t="s">
        <v>482</v>
      </c>
      <c r="B133" s="127">
        <v>4015</v>
      </c>
      <c r="C133" s="128" t="s">
        <v>137</v>
      </c>
      <c r="D133" s="128" t="s">
        <v>445</v>
      </c>
      <c r="E133" s="129">
        <v>42592.816643518519</v>
      </c>
      <c r="F133" s="129">
        <v>42592.817395833335</v>
      </c>
      <c r="G133" s="127">
        <v>1</v>
      </c>
      <c r="H133" s="129" t="s">
        <v>165</v>
      </c>
      <c r="I133" s="129">
        <v>42592.839120370372</v>
      </c>
      <c r="J133" s="127">
        <v>0</v>
      </c>
      <c r="K133" s="25" t="str">
        <f>IF(ISEVEN(B133),(B133-1)&amp;"/"&amp;B133,B133&amp;"/"&amp;(B133+1))</f>
        <v>4015/4016</v>
      </c>
      <c r="L133" s="25" t="str">
        <f>VLOOKUP(A133,'Trips&amp;Operators'!$C$1:$E$10000,3,FALSE)</f>
        <v>STURGEON</v>
      </c>
      <c r="M133" s="6">
        <f>I133-F133</f>
        <v>2.1724537036789116E-2</v>
      </c>
      <c r="N133" s="7"/>
      <c r="O133" s="7"/>
      <c r="P133" s="7">
        <f>24*60*SUM($M133:$M133)</f>
        <v>31.283333332976326</v>
      </c>
      <c r="Q133" s="26"/>
      <c r="R133" s="26" t="s">
        <v>629</v>
      </c>
      <c r="S133" s="38">
        <f t="shared" si="75"/>
        <v>1</v>
      </c>
      <c r="T133" s="55" t="str">
        <f t="shared" si="76"/>
        <v>Southbound</v>
      </c>
      <c r="U133" s="14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18:35:58-0600',mode:absolute,to:'2016-08-10 21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33" s="57" t="str">
        <f t="shared" si="78"/>
        <v>Y</v>
      </c>
      <c r="X133" s="136">
        <f t="shared" si="79"/>
        <v>1</v>
      </c>
      <c r="Y133" s="72">
        <f t="shared" si="80"/>
        <v>15.402100000000001</v>
      </c>
      <c r="Z133" s="72">
        <f>RIGHT(H133,LEN(H133)-4)/10000</f>
        <v>1.5800000000000002E-2</v>
      </c>
      <c r="AA133" s="72">
        <f>ABS(Z133-Y133)</f>
        <v>15.3863</v>
      </c>
      <c r="AB133" s="69" t="e">
        <f>VLOOKUP(A133,Enforcements!$C$7:$J$24,8,0)</f>
        <v>#N/A</v>
      </c>
      <c r="AC133" s="65" t="e">
        <f>VLOOKUP(A133,Enforcements!$C$7:$E$24,3,0)</f>
        <v>#N/A</v>
      </c>
      <c r="AD133" s="66" t="str">
        <f t="shared" si="60"/>
        <v>0220-10</v>
      </c>
      <c r="AE133" s="108" t="str">
        <f>"aws s3 cp "&amp;s3_bucket&amp;"/RTDC"&amp;B133&amp;"/"&amp;TEXT(F133,"YYYY-MM-DD")&amp;"/ "&amp;search_path&amp;"\RTDC"&amp;B133&amp;"\"&amp;TEXT(F133,"YYYY-MM-DD")&amp;" --recursive &amp; """&amp;walkandungz&amp;""" "&amp;search_path&amp;"\RTDC"&amp;B133&amp;"\"&amp;TEXT(F133,"YYYY-MM-DD")
&amp;" &amp; "&amp;"aws s3 cp "&amp;s3_bucket&amp;"/RTDC"&amp;B133&amp;"/"&amp;TEXT(F133+1,"YYYY-MM-DD")&amp;"/ "&amp;search_path&amp;"\RTDC"&amp;B133&amp;"\"&amp;TEXT(F133+1,"YYYY-MM-DD")&amp;" --recursive &amp; """&amp;walkandungz&amp;""" "&amp;search_path&amp;"\RTDC"&amp;B133&amp;"\"&amp;TEXT(F133+1,"YYYY-MM-DD")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AF133" s="105" t="str">
        <f>astrogrep_path&amp;" /spath="&amp;search_path&amp;" /stypes=""*"&amp;B133&amp;"*"&amp;TEXT(I133-utc_offset/24,"YYYYMMDD")&amp;"*"" /stext="" "&amp;TEXT(I133-utc_offset/24,"HH")&amp;search_regexp&amp;""" /e /r /s"</f>
        <v>"C:\Program Files (x86)\AstroGrep\AstroGrep.exe" /spath="%USERPROFILE%\AppData\Local\Temp\OnboardLogs" /stypes="*4015*20160811*" /stext=" 02:.+((SYSTEM_STATE.+slice.+state.+changed )|(ment ac)|(system.+state.+changed )|(\|lc)|(penalty)|(\[timeout)|(PRM\|1\|D)|(kpr)|(kdp))" /e /r /s</v>
      </c>
      <c r="AG133" s="1" t="str">
        <f t="shared" si="61"/>
        <v>EC</v>
      </c>
      <c r="AH133" s="109" t="str">
        <f t="shared" si="47"/>
        <v>"%USERPROFILE%\Documents\GitHub\eaglep3\Utilities\RefineRTDCRunTimes.py" --tripid 220-10 --locoid 4015 --swversion DE.1.0.7.0 --startMP 204:154021 --initTime 2016-08-10T19:35:58 --startdatetime 2016-08-10T19:37:03 --delay 1 --endMP 204:158 --enddatetime 2016-08-10T20:08:20 --enforcementcount 0</v>
      </c>
    </row>
    <row r="134" spans="1:34" x14ac:dyDescent="0.25">
      <c r="A134" s="25" t="s">
        <v>483</v>
      </c>
      <c r="B134" s="127">
        <v>4016</v>
      </c>
      <c r="C134" s="128" t="s">
        <v>137</v>
      </c>
      <c r="D134" s="128" t="s">
        <v>484</v>
      </c>
      <c r="E134" s="129">
        <v>42592.785543981481</v>
      </c>
      <c r="F134" s="129">
        <v>42592.787395833337</v>
      </c>
      <c r="G134" s="127">
        <v>2</v>
      </c>
      <c r="H134" s="129" t="s">
        <v>485</v>
      </c>
      <c r="I134" s="129">
        <v>42592.812789351854</v>
      </c>
      <c r="J134" s="127">
        <v>0</v>
      </c>
      <c r="K134" s="25" t="str">
        <f>IF(ISEVEN(B134),(B134-1)&amp;"/"&amp;B134,B134&amp;"/"&amp;(B134+1))</f>
        <v>4015/4016</v>
      </c>
      <c r="L134" s="25" t="str">
        <f>VLOOKUP(A134,'Trips&amp;Operators'!$C$1:$E$10000,3,FALSE)</f>
        <v>STURGEON</v>
      </c>
      <c r="M134" s="6">
        <f>I134-F134</f>
        <v>2.5393518517375924E-2</v>
      </c>
      <c r="N134" s="7"/>
      <c r="O134" s="7"/>
      <c r="P134" s="7">
        <f>24*60*SUM($M134:$M134)</f>
        <v>36.56666666502133</v>
      </c>
      <c r="Q134" s="26"/>
      <c r="R134" s="26" t="s">
        <v>629</v>
      </c>
      <c r="S134" s="38">
        <f t="shared" si="75"/>
        <v>1</v>
      </c>
      <c r="T134" s="55" t="str">
        <f t="shared" si="76"/>
        <v>NorthBound</v>
      </c>
      <c r="U134" s="14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17:51:11-0600',mode:absolute,to:'2016-08-10 20:30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34" s="57" t="str">
        <f t="shared" si="78"/>
        <v>Y</v>
      </c>
      <c r="X134" s="136">
        <f t="shared" si="79"/>
        <v>1</v>
      </c>
      <c r="Y134" s="72">
        <f t="shared" si="80"/>
        <v>4.8599999999999997E-2</v>
      </c>
      <c r="Z134" s="72">
        <f>RIGHT(H134,LEN(H134)-4)/10000</f>
        <v>15.482200000000001</v>
      </c>
      <c r="AA134" s="72">
        <f>ABS(Z134-Y134)</f>
        <v>15.4336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60"/>
        <v>0221-10</v>
      </c>
      <c r="AE134" s="108" t="str">
        <f>"aws s3 cp "&amp;s3_bucket&amp;"/RTDC"&amp;B134&amp;"/"&amp;TEXT(F134,"YYYY-MM-DD")&amp;"/ "&amp;search_path&amp;"\RTDC"&amp;B134&amp;"\"&amp;TEXT(F134,"YYYY-MM-DD")&amp;" --recursive &amp; """&amp;walkandungz&amp;""" "&amp;search_path&amp;"\RTDC"&amp;B134&amp;"\"&amp;TEXT(F134,"YYYY-MM-DD")
&amp;" &amp; "&amp;"aws s3 cp "&amp;s3_bucket&amp;"/RTDC"&amp;B134&amp;"/"&amp;TEXT(F134+1,"YYYY-MM-DD")&amp;"/ "&amp;search_path&amp;"\RTDC"&amp;B134&amp;"\"&amp;TEXT(F134+1,"YYYY-MM-DD")&amp;" --recursive &amp; """&amp;walkandungz&amp;""" "&amp;search_path&amp;"\RTDC"&amp;B134&amp;"\"&amp;TEXT(F134+1,"YYYY-MM-DD")</f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AF134" s="105" t="str">
        <f>astrogrep_path&amp;" /spath="&amp;search_path&amp;" /stypes=""*"&amp;B134&amp;"*"&amp;TEXT(I134-utc_offset/24,"YYYYMMDD")&amp;"*"" /stext="" "&amp;TEXT(I134-utc_offset/24,"HH")&amp;search_regexp&amp;""" /e /r /s"</f>
        <v>"C:\Program Files (x86)\AstroGrep\AstroGrep.exe" /spath="%USERPROFILE%\AppData\Local\Temp\OnboardLogs" /stypes="*4016*20160811*" /stext=" 01:.+((SYSTEM_STATE.+slice.+state.+changed )|(ment ac)|(system.+state.+changed )|(\|lc)|(penalty)|(\[timeout)|(PRM\|1\|D)|(kpr)|(kdp))" /e /r /s</v>
      </c>
      <c r="AG134" s="1" t="str">
        <f t="shared" si="61"/>
        <v>EC</v>
      </c>
      <c r="AH134" s="109" t="str">
        <f t="shared" si="47"/>
        <v>"%USERPROFILE%\Documents\GitHub\eaglep3\Utilities\RefineRTDCRunTimes.py" --tripid 221-10 --locoid 4016 --swversion DE.1.0.7.0 --startMP 204:486 --initTime 2016-08-10T18:51:11 --startdatetime 2016-08-10T18:53:51 --delay 2 --endMP 204:154822 --enddatetime 2016-08-10T19:30:25 --enforcementcount 0</v>
      </c>
    </row>
    <row r="135" spans="1:34" x14ac:dyDescent="0.25">
      <c r="A135" s="42" t="s">
        <v>486</v>
      </c>
      <c r="B135" s="7">
        <v>4010</v>
      </c>
      <c r="C135" s="25" t="s">
        <v>137</v>
      </c>
      <c r="D135" s="25" t="s">
        <v>487</v>
      </c>
      <c r="E135" s="16">
        <v>42592.837962962964</v>
      </c>
      <c r="F135" s="16">
        <v>42592.838865740741</v>
      </c>
      <c r="G135" s="7">
        <v>1</v>
      </c>
      <c r="H135" s="16" t="s">
        <v>314</v>
      </c>
      <c r="I135" s="16">
        <v>42592.864942129629</v>
      </c>
      <c r="J135" s="7">
        <v>1</v>
      </c>
      <c r="K135" s="25" t="str">
        <f>IF(ISEVEN(B135),(B135-1)&amp;"/"&amp;B135,B135&amp;"/"&amp;(B135+1))</f>
        <v>4009/4010</v>
      </c>
      <c r="L135" s="25" t="str">
        <f>VLOOKUP(A135,'Trips&amp;Operators'!$C$1:$E$10000,3,FALSE)</f>
        <v>COOLAHAN</v>
      </c>
      <c r="M135" s="6">
        <f>I135-F135</f>
        <v>2.6076388887304347E-2</v>
      </c>
      <c r="N135" s="7"/>
      <c r="O135" s="7"/>
      <c r="P135" s="7">
        <f>24*60*SUM($M135:$M135)</f>
        <v>37.54999999771826</v>
      </c>
      <c r="Q135" s="26"/>
      <c r="R135" s="26" t="s">
        <v>629</v>
      </c>
      <c r="S135" s="38">
        <f t="shared" si="75"/>
        <v>1</v>
      </c>
      <c r="T135" s="55" t="str">
        <f t="shared" si="76"/>
        <v>Southbound</v>
      </c>
      <c r="U135" s="14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5" t="str">
        <f t="shared" si="77"/>
        <v>https://search-rtdc-monitor-bjffxe2xuh6vdkpspy63sjmuny.us-east-1.es.amazonaws.com/_plugin/kibana/#/discover/Steve-Slow-Train-Analysis-(2080s-and-2083s)?_g=(refreshInterval:(display:Off,section:0,value:0),time:(from:'2016-08-10 19:06:40-0600',mode:absolute,to:'2016-08-10 21:45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35" s="57" t="str">
        <f t="shared" si="78"/>
        <v>Y</v>
      </c>
      <c r="X135" s="136">
        <f t="shared" si="79"/>
        <v>1</v>
      </c>
      <c r="Y135" s="72">
        <f t="shared" si="80"/>
        <v>15.399900000000001</v>
      </c>
      <c r="Z135" s="72">
        <f>RIGHT(H135,LEN(H135)-4)/10000</f>
        <v>1.6299999999999999E-2</v>
      </c>
      <c r="AA135" s="72">
        <f>ABS(Z135-Y135)</f>
        <v>15.383600000000001</v>
      </c>
      <c r="AB135" s="69">
        <f>VLOOKUP(A135,Enforcements!$C$7:$J$24,8,0)</f>
        <v>157300</v>
      </c>
      <c r="AC135" s="65" t="str">
        <f>VLOOKUP(A135,Enforcements!$C$7:$E$24,3,0)</f>
        <v>SIGNAL</v>
      </c>
      <c r="AD135" s="66" t="str">
        <f t="shared" si="60"/>
        <v>0222-10</v>
      </c>
      <c r="AE135" s="108" t="str">
        <f>"aws s3 cp "&amp;s3_bucket&amp;"/RTDC"&amp;B135&amp;"/"&amp;TEXT(F135,"YYYY-MM-DD")&amp;"/ "&amp;search_path&amp;"\RTDC"&amp;B135&amp;"\"&amp;TEXT(F135,"YYYY-MM-DD")&amp;" --recursive &amp; """&amp;walkandungz&amp;""" "&amp;search_path&amp;"\RTDC"&amp;B135&amp;"\"&amp;TEXT(F135,"YYYY-MM-DD")
&amp;" &amp; "&amp;"aws s3 cp "&amp;s3_bucket&amp;"/RTDC"&amp;B135&amp;"/"&amp;TEXT(F135+1,"YYYY-MM-DD")&amp;"/ "&amp;search_path&amp;"\RTDC"&amp;B135&amp;"\"&amp;TEXT(F135+1,"YYYY-MM-DD")&amp;" --recursive &amp; """&amp;walkandungz&amp;""" "&amp;search_path&amp;"\RTDC"&amp;B135&amp;"\"&amp;TEXT(F135+1,"YYYY-MM-DD")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AF135" s="105" t="str">
        <f>astrogrep_path&amp;" /spath="&amp;search_path&amp;" /stypes=""*"&amp;B135&amp;"*"&amp;TEXT(I135-utc_offset/24,"YYYYMMDD")&amp;"*"" /stext="" "&amp;TEXT(I135-utc_offset/24,"HH")&amp;search_regexp&amp;""" /e /r /s"</f>
        <v>"C:\Program Files (x86)\AstroGrep\AstroGrep.exe" /spath="%USERPROFILE%\AppData\Local\Temp\OnboardLogs" /stypes="*4010*20160811*" /stext=" 02:.+((SYSTEM_STATE.+slice.+state.+changed )|(ment ac)|(system.+state.+changed )|(\|lc)|(penalty)|(\[timeout)|(PRM\|1\|D)|(kpr)|(kdp))" /e /r /s</v>
      </c>
      <c r="AG135" s="1" t="str">
        <f t="shared" si="61"/>
        <v>EC</v>
      </c>
      <c r="AH135" s="109" t="str">
        <f t="shared" si="47"/>
        <v>"%USERPROFILE%\Documents\GitHub\eaglep3\Utilities\RefineRTDCRunTimes.py" --tripid 222-10 --locoid 4010 --swversion DE.1.0.7.0 --startMP 204:153999 --initTime 2016-08-10T20:06:40 --startdatetime 2016-08-10T20:07:58 --delay 1 --endMP 204:163 --enddatetime 2016-08-10T20:45:31 --enforcementcount 1</v>
      </c>
    </row>
    <row r="136" spans="1:34" x14ac:dyDescent="0.25">
      <c r="A136" s="42" t="s">
        <v>488</v>
      </c>
      <c r="B136" s="7">
        <v>4009</v>
      </c>
      <c r="C136" s="25" t="s">
        <v>137</v>
      </c>
      <c r="D136" s="25" t="s">
        <v>127</v>
      </c>
      <c r="E136" s="16">
        <v>42592.797337962962</v>
      </c>
      <c r="F136" s="16">
        <v>42592.798518518517</v>
      </c>
      <c r="G136" s="7">
        <v>1</v>
      </c>
      <c r="H136" s="16" t="s">
        <v>489</v>
      </c>
      <c r="I136" s="16">
        <v>42592.832777777781</v>
      </c>
      <c r="J136" s="7">
        <v>0</v>
      </c>
      <c r="K136" s="25" t="str">
        <f>IF(ISEVEN(B136),(B136-1)&amp;"/"&amp;B136,B136&amp;"/"&amp;(B136+1))</f>
        <v>4009/4010</v>
      </c>
      <c r="L136" s="25" t="str">
        <f>VLOOKUP(A136,'Trips&amp;Operators'!$C$1:$E$10000,3,FALSE)</f>
        <v>COOLAHAN</v>
      </c>
      <c r="M136" s="6">
        <f>I136-F136</f>
        <v>3.425925926421769E-2</v>
      </c>
      <c r="N136" s="7"/>
      <c r="O136" s="7"/>
      <c r="P136" s="7">
        <f>24*60*SUM($M136:$M136)</f>
        <v>49.333333340473473</v>
      </c>
      <c r="Q136" s="26"/>
      <c r="R136" s="26" t="s">
        <v>629</v>
      </c>
      <c r="S136" s="38">
        <f>SUM(U136:U136)/IF(AG136="EC",12,1)</f>
        <v>1</v>
      </c>
      <c r="T136" s="55" t="str">
        <f>IF(ISEVEN(LEFT(AD136,4)),"Southbound","NorthBound")</f>
        <v>NorthBound</v>
      </c>
      <c r="U136" s="14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5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https://search-rtdc-monitor-bjffxe2xuh6vdkpspy63sjmuny.us-east-1.es.amazonaws.com/_plugin/kibana/#/discover/Steve-Slow-Train-Analysis-(2080s-and-2083s)?_g=(refreshInterval:(display:Off,section:0,value:0),time:(from:'2016-08-10 18:08:10-0600',mode:absolute,to:'2016-08-10 20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36" s="57" t="str">
        <f>IF(AA136&lt;IF(AG136="EC",23,5.65),"Y","N")</f>
        <v>Y</v>
      </c>
      <c r="X136" s="136">
        <f>VALUE(LEFT(AD136,4))-VALUE(LEFT(AD135,4))</f>
        <v>1</v>
      </c>
      <c r="Y136" s="72">
        <f>RIGHT(D136,LEN(D136)-4)/10000</f>
        <v>4.6399999999999997E-2</v>
      </c>
      <c r="Z136" s="72">
        <f>RIGHT(H136,LEN(H136)-4)/10000</f>
        <v>15.4277</v>
      </c>
      <c r="AA136" s="72">
        <f>ABS(Z136-Y136)</f>
        <v>15.3813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60"/>
        <v>0223-10</v>
      </c>
      <c r="AE136" s="108" t="str">
        <f>"aws s3 cp "&amp;s3_bucket&amp;"/RTDC"&amp;B136&amp;"/"&amp;TEXT(F136,"YYYY-MM-DD")&amp;"/ "&amp;search_path&amp;"\RTDC"&amp;B136&amp;"\"&amp;TEXT(F136,"YYYY-MM-DD")&amp;" --recursive &amp; """&amp;walkandungz&amp;""" "&amp;search_path&amp;"\RTDC"&amp;B136&amp;"\"&amp;TEXT(F136,"YYYY-MM-DD")
&amp;" &amp; "&amp;"aws s3 cp "&amp;s3_bucket&amp;"/RTDC"&amp;B136&amp;"/"&amp;TEXT(F136+1,"YYYY-MM-DD")&amp;"/ "&amp;search_path&amp;"\RTDC"&amp;B136&amp;"\"&amp;TEXT(F136+1,"YYYY-MM-DD")&amp;" --recursive &amp; """&amp;walkandungz&amp;""" "&amp;search_path&amp;"\RTDC"&amp;B136&amp;"\"&amp;TEXT(F136+1,"YYYY-MM-DD")</f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AF136" s="105" t="str">
        <f>astrogrep_path&amp;" /spath="&amp;search_path&amp;" /stypes=""*"&amp;B136&amp;"*"&amp;TEXT(I136-utc_offset/24,"YYYYMMDD")&amp;"*"" /stext="" "&amp;TEXT(I136-utc_offset/24,"HH")&amp;search_regexp&amp;""" /e /r /s"</f>
        <v>"C:\Program Files (x86)\AstroGrep\AstroGrep.exe" /spath="%USERPROFILE%\AppData\Local\Temp\OnboardLogs" /stypes="*4009*20160811*" /stext=" 01:.+((SYSTEM_STATE.+slice.+state.+changed )|(ment ac)|(system.+state.+changed )|(\|lc)|(penalty)|(\[timeout)|(PRM\|1\|D)|(kpr)|(kdp))" /e /r /s</v>
      </c>
      <c r="AG136" s="1" t="str">
        <f t="shared" si="61"/>
        <v>EC</v>
      </c>
      <c r="AH136" s="109" t="str">
        <f t="shared" si="47"/>
        <v>"%USERPROFILE%\Documents\GitHub\eaglep3\Utilities\RefineRTDCRunTimes.py" --tripid 223-10 --locoid 4009 --swversion DE.1.0.7.0 --startMP 204:464 --initTime 2016-08-10T19:08:10 --startdatetime 2016-08-10T19:09:52 --delay 1 --endMP 204:154277 --enddatetime 2016-08-10T19:59:12 --enforcementcount 0</v>
      </c>
    </row>
    <row r="137" spans="1:34" s="24" customFormat="1" x14ac:dyDescent="0.25">
      <c r="A137" s="42" t="s">
        <v>628</v>
      </c>
      <c r="B137" s="7"/>
      <c r="C137" s="25"/>
      <c r="D137" s="25"/>
      <c r="E137" s="16"/>
      <c r="F137" s="16"/>
      <c r="G137" s="7"/>
      <c r="H137" s="16"/>
      <c r="I137" s="16"/>
      <c r="J137" s="7"/>
      <c r="K137" s="25"/>
      <c r="L137" s="25"/>
      <c r="M137" s="6"/>
      <c r="N137" s="7"/>
      <c r="O137" s="7"/>
      <c r="P137" s="7">
        <v>1</v>
      </c>
      <c r="Q137" s="26"/>
      <c r="R137" s="26" t="s">
        <v>629</v>
      </c>
      <c r="S137" s="38">
        <f t="shared" ref="S137:S138" si="81">SUM(U137:U137)/IF(AG137="EC",12,1)</f>
        <v>0</v>
      </c>
      <c r="T137" s="55" t="str">
        <f t="shared" ref="T137:T138" si="82">IF(ISEVEN(LEFT(AD137,4)),"Southbound","NorthBound")</f>
        <v>Southbound</v>
      </c>
      <c r="U137" s="14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115" t="e">
        <f t="shared" ref="V137:V138" si="83"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137&amp;"%22')),sort:!(Time,asc))"</f>
        <v>#VALUE!</v>
      </c>
      <c r="W137" s="57" t="str">
        <f t="shared" ref="W137:W138" si="84">IF(AA137&lt;IF(AG137="EC",23,5.65),"Y","N")</f>
        <v>Y</v>
      </c>
      <c r="X137" s="136">
        <f t="shared" ref="X137:X138" si="85">VALUE(LEFT(AD137,4))-VALUE(LEFT(AD136,4))</f>
        <v>1</v>
      </c>
      <c r="Y137" s="72"/>
      <c r="Z137" s="72"/>
      <c r="AA137" s="72"/>
      <c r="AB137" s="69"/>
      <c r="AC137" s="65"/>
      <c r="AD137" s="66" t="str">
        <f t="shared" si="60"/>
        <v>0224-10</v>
      </c>
      <c r="AE137" s="108"/>
      <c r="AF137" s="105"/>
      <c r="AG137" s="1" t="str">
        <f t="shared" si="61"/>
        <v>EC</v>
      </c>
      <c r="AH137" s="109"/>
    </row>
    <row r="138" spans="1:34" x14ac:dyDescent="0.25">
      <c r="A138" s="42" t="s">
        <v>490</v>
      </c>
      <c r="B138" s="7">
        <v>4018</v>
      </c>
      <c r="C138" s="25" t="s">
        <v>137</v>
      </c>
      <c r="D138" s="25" t="s">
        <v>127</v>
      </c>
      <c r="E138" s="16">
        <v>42592.827800925923</v>
      </c>
      <c r="F138" s="16">
        <v>42592.830347222225</v>
      </c>
      <c r="G138" s="7">
        <v>3</v>
      </c>
      <c r="H138" s="16" t="s">
        <v>491</v>
      </c>
      <c r="I138" s="16">
        <v>42592.860127314816</v>
      </c>
      <c r="J138" s="7">
        <v>0</v>
      </c>
      <c r="K138" s="25" t="str">
        <f t="shared" ref="K138:K175" si="86">IF(ISEVEN(B138),(B138-1)&amp;"/"&amp;B138,B138&amp;"/"&amp;(B138+1))</f>
        <v>4017/4018</v>
      </c>
      <c r="L138" s="25" t="str">
        <f>VLOOKUP(A138,'Trips&amp;Operators'!$C$1:$E$10000,3,FALSE)</f>
        <v>YANAI</v>
      </c>
      <c r="M138" s="6">
        <f t="shared" ref="M138:M175" si="87">I138-F138</f>
        <v>2.9780092590954155E-2</v>
      </c>
      <c r="N138" s="7">
        <f t="shared" ref="N138:N175" si="88">24*60*SUM($M138:$M138)</f>
        <v>42.883333330973983</v>
      </c>
      <c r="O138" s="7"/>
      <c r="P138" s="7"/>
      <c r="Q138" s="26"/>
      <c r="R138" s="26"/>
      <c r="S138" s="38">
        <f t="shared" si="81"/>
        <v>1</v>
      </c>
      <c r="T138" s="55" t="str">
        <f t="shared" si="82"/>
        <v>NorthBound</v>
      </c>
      <c r="U138" s="14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5" t="str">
        <f t="shared" si="83"/>
        <v>https://search-rtdc-monitor-bjffxe2xuh6vdkpspy63sjmuny.us-east-1.es.amazonaws.com/_plugin/kibana/#/discover/Steve-Slow-Train-Analysis-(2080s-and-2083s)?_g=(refreshInterval:(display:Off,section:0,value:0),time:(from:'2016-08-10 18:52:02-0600',mode:absolute,to:'2016-08-10 21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38" s="57" t="str">
        <f t="shared" si="84"/>
        <v>N</v>
      </c>
      <c r="X138" s="136">
        <f t="shared" si="85"/>
        <v>1</v>
      </c>
      <c r="Y138" s="72">
        <f t="shared" ref="Y138:Y175" si="89">RIGHT(D138,LEN(D138)-4)/10000</f>
        <v>4.6399999999999997E-2</v>
      </c>
      <c r="Z138" s="72">
        <f t="shared" ref="Z138:Z175" si="90">RIGHT(H138,LEN(H138)-4)/10000</f>
        <v>23.328199999999999</v>
      </c>
      <c r="AA138" s="72">
        <f t="shared" ref="AA138:AA175" si="91">ABS(Z138-Y138)</f>
        <v>23.2818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60"/>
        <v>0225-10</v>
      </c>
      <c r="AE138" s="108" t="str">
        <f t="shared" ref="AE138:AE188" si="92">"aws s3 cp "&amp;s3_bucket&amp;"/RTDC"&amp;B138&amp;"/"&amp;TEXT(F138,"YYYY-MM-DD")&amp;"/ "&amp;search_path&amp;"\RTDC"&amp;B138&amp;"\"&amp;TEXT(F138,"YYYY-MM-DD")&amp;" --recursive &amp; """&amp;walkandungz&amp;""" "&amp;search_path&amp;"\RTDC"&amp;B138&amp;"\"&amp;TEXT(F138,"YYYY-MM-DD")
&amp;" &amp; "&amp;"aws s3 cp "&amp;s3_bucket&amp;"/RTDC"&amp;B138&amp;"/"&amp;TEXT(F138+1,"YYYY-MM-DD")&amp;"/ "&amp;search_path&amp;"\RTDC"&amp;B138&amp;"\"&amp;TEXT(F138+1,"YYYY-MM-DD")&amp;" --recursive &amp; """&amp;walkandungz&amp;""" "&amp;search_path&amp;"\RTDC"&amp;B138&amp;"\"&amp;TEXT(F138+1,"YYYY-MM-DD")</f>
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</c>
      <c r="AF138" s="105" t="str">
        <f t="shared" ref="AF138:AF188" si="93">astrogrep_path&amp;" /spath="&amp;search_path&amp;" /stypes=""*"&amp;B138&amp;"*"&amp;TEXT(I138-utc_offset/24,"YYYYMMDD")&amp;"*"" /stext="" "&amp;TEXT(I138-utc_offset/24,"HH")&amp;search_regexp&amp;""" /e /r /s"</f>
        <v>"C:\Program Files (x86)\AstroGrep\AstroGrep.exe" /spath="%USERPROFILE%\AppData\Local\Temp\OnboardLogs" /stypes="*4018*20160811*" /stext=" 02:.+((SYSTEM_STATE.+slice.+state.+changed )|(ment ac)|(system.+state.+changed )|(\|lc)|(penalty)|(\[timeout)|(PRM\|1\|D)|(kpr)|(kdp))" /e /r /s</v>
      </c>
      <c r="AG138" s="1" t="str">
        <f t="shared" si="61"/>
        <v>EC</v>
      </c>
      <c r="AH138" s="109" t="str">
        <f t="shared" si="47"/>
        <v>"%USERPROFILE%\Documents\GitHub\eaglep3\Utilities\RefineRTDCRunTimes.py" --tripid 225-10 --locoid 4018 --swversion DE.1.0.7.0 --startMP 204:464 --initTime 2016-08-10T19:52:02 --startdatetime 2016-08-10T19:55:42 --delay 3 --endMP 204:233282 --enddatetime 2016-08-10T20:38:35 --enforcementcount 0</v>
      </c>
    </row>
    <row r="139" spans="1:34" s="24" customFormat="1" x14ac:dyDescent="0.25">
      <c r="A139" s="42" t="s">
        <v>616</v>
      </c>
      <c r="B139" s="7" t="s">
        <v>204</v>
      </c>
      <c r="C139" s="25" t="s">
        <v>204</v>
      </c>
      <c r="D139" s="25" t="s">
        <v>204</v>
      </c>
      <c r="E139" s="16" t="s">
        <v>204</v>
      </c>
      <c r="F139" s="16" t="s">
        <v>204</v>
      </c>
      <c r="G139" s="7" t="s">
        <v>204</v>
      </c>
      <c r="H139" s="16" t="s">
        <v>204</v>
      </c>
      <c r="I139" s="16" t="s">
        <v>204</v>
      </c>
      <c r="J139" s="7" t="s">
        <v>204</v>
      </c>
      <c r="K139" s="25" t="s">
        <v>204</v>
      </c>
      <c r="L139" s="25" t="s">
        <v>204</v>
      </c>
      <c r="M139" s="6" t="s">
        <v>204</v>
      </c>
      <c r="N139" s="7"/>
      <c r="O139" s="7"/>
      <c r="P139" s="7">
        <v>1</v>
      </c>
      <c r="Q139" s="26"/>
      <c r="R139" s="26" t="s">
        <v>654</v>
      </c>
      <c r="S139" s="38">
        <f t="shared" ref="S139:S157" si="94">SUM(U139:U139)/IF(AG139="EC",12,1)</f>
        <v>0</v>
      </c>
      <c r="T139" s="55" t="str">
        <f t="shared" ref="T139:T157" si="95">IF(ISEVEN(LEFT(AD139,4)),"Southbound","NorthBound")</f>
        <v>Southbound</v>
      </c>
      <c r="U139" s="14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0</v>
      </c>
      <c r="V139" s="115" t="e">
        <f t="shared" ref="V139:V157" si="96"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139&amp;"%22')),sort:!(Time,asc))"</f>
        <v>#VALUE!</v>
      </c>
      <c r="W139" s="57" t="e">
        <f t="shared" ref="W139:W157" si="97">IF(AA139&lt;IF(AG139="EC",23,5.65),"Y","N")</f>
        <v>#VALUE!</v>
      </c>
      <c r="X139" s="136">
        <f t="shared" ref="X139:X157" si="98">VALUE(LEFT(AD139,4))-VALUE(LEFT(AD138,4))</f>
        <v>1</v>
      </c>
      <c r="Y139" s="72" t="e">
        <f t="shared" ref="Y139:Y157" si="99">RIGHT(D139,LEN(D139)-4)/10000</f>
        <v>#VALUE!</v>
      </c>
      <c r="Z139" s="72" t="e">
        <f t="shared" ref="Z139:Z157" si="100">RIGHT(H139,LEN(H139)-4)/10000</f>
        <v>#VALUE!</v>
      </c>
      <c r="AA139" s="72" t="e">
        <f t="shared" ref="AA139:AA157" si="101">ABS(Z139-Y139)</f>
        <v>#VALUE!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ref="AD139:AD157" si="102">IF(LEN(A139)=6,"0"&amp;A139,A139)</f>
        <v>0226-10</v>
      </c>
      <c r="AE139" s="108" t="e">
        <f t="shared" ref="AE139:AE157" si="103">"aws s3 cp "&amp;s3_bucket&amp;"/RTDC"&amp;B139&amp;"/"&amp;TEXT(F139,"YYYY-MM-DD")&amp;"/ "&amp;search_path&amp;"\RTDC"&amp;B139&amp;"\"&amp;TEXT(F139,"YYYY-MM-DD")&amp;" --recursive &amp; """&amp;walkandungz&amp;""" "&amp;search_path&amp;"\RTDC"&amp;B139&amp;"\"&amp;TEXT(F139,"YYYY-MM-DD")
&amp;" &amp; "&amp;"aws s3 cp "&amp;s3_bucket&amp;"/RTDC"&amp;B139&amp;"/"&amp;TEXT(F139+1,"YYYY-MM-DD")&amp;"/ "&amp;search_path&amp;"\RTDC"&amp;B139&amp;"\"&amp;TEXT(F139+1,"YYYY-MM-DD")&amp;" --recursive &amp; """&amp;walkandungz&amp;""" "&amp;search_path&amp;"\RTDC"&amp;B139&amp;"\"&amp;TEXT(F139+1,"YYYY-MM-DD")</f>
        <v>#VALUE!</v>
      </c>
      <c r="AF139" s="105" t="e">
        <f t="shared" ref="AF139:AF157" si="104">astrogrep_path&amp;" /spath="&amp;search_path&amp;" /stypes=""*"&amp;B139&amp;"*"&amp;TEXT(I139-utc_offset/24,"YYYYMMDD")&amp;"*"" /stext="" "&amp;TEXT(I139-utc_offset/24,"HH")&amp;search_regexp&amp;""" /e /r /s"</f>
        <v>#VALUE!</v>
      </c>
      <c r="AG139" s="1" t="str">
        <f t="shared" ref="AG139:AG157" si="105">IF(VALUE(LEFT(AD139,2))&lt;=2,"EC",IF(OR(VALUE(LEFT(AD139,2))=8,VALUE(LEFT(AD139,2))=18),"NW","Other"))</f>
        <v>EC</v>
      </c>
      <c r="AH139" s="109" t="str">
        <f t="shared" ref="AH139:AH157" si="106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</f>
        <v>"%USERPROFILE%\Documents\GitHub\eaglep3\Utilities\RefineRTDCRunTimes.py" --tripid 226-10 --locoid - --swversion - --startMP - --initTime - --startdatetime - --delay - --endMP - --enddatetime - --enforcementcount -</v>
      </c>
    </row>
    <row r="140" spans="1:34" s="24" customFormat="1" x14ac:dyDescent="0.25">
      <c r="A140" s="42" t="s">
        <v>613</v>
      </c>
      <c r="B140" s="7" t="s">
        <v>204</v>
      </c>
      <c r="C140" s="25" t="s">
        <v>204</v>
      </c>
      <c r="D140" s="25" t="s">
        <v>204</v>
      </c>
      <c r="E140" s="16" t="s">
        <v>204</v>
      </c>
      <c r="F140" s="16" t="s">
        <v>204</v>
      </c>
      <c r="G140" s="7" t="s">
        <v>204</v>
      </c>
      <c r="H140" s="16" t="s">
        <v>204</v>
      </c>
      <c r="I140" s="16" t="s">
        <v>204</v>
      </c>
      <c r="J140" s="7" t="s">
        <v>204</v>
      </c>
      <c r="K140" s="25" t="s">
        <v>204</v>
      </c>
      <c r="L140" s="25" t="s">
        <v>204</v>
      </c>
      <c r="M140" s="6" t="s">
        <v>204</v>
      </c>
      <c r="N140" s="7"/>
      <c r="O140" s="7"/>
      <c r="P140" s="7">
        <v>1</v>
      </c>
      <c r="Q140" s="26"/>
      <c r="R140" s="26" t="s">
        <v>654</v>
      </c>
      <c r="S140" s="38">
        <f t="shared" si="94"/>
        <v>0</v>
      </c>
      <c r="T140" s="55" t="str">
        <f t="shared" si="95"/>
        <v>NorthBound</v>
      </c>
      <c r="U140" s="14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115" t="e">
        <f t="shared" si="96"/>
        <v>#VALUE!</v>
      </c>
      <c r="W140" s="57" t="e">
        <f t="shared" si="97"/>
        <v>#VALUE!</v>
      </c>
      <c r="X140" s="136">
        <f t="shared" si="98"/>
        <v>1</v>
      </c>
      <c r="Y140" s="72" t="e">
        <f t="shared" si="99"/>
        <v>#VALUE!</v>
      </c>
      <c r="Z140" s="72" t="e">
        <f t="shared" si="100"/>
        <v>#VALUE!</v>
      </c>
      <c r="AA140" s="72" t="e">
        <f t="shared" si="101"/>
        <v>#VALUE!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102"/>
        <v>0227-10</v>
      </c>
      <c r="AE140" s="108" t="e">
        <f t="shared" si="103"/>
        <v>#VALUE!</v>
      </c>
      <c r="AF140" s="105" t="e">
        <f t="shared" si="104"/>
        <v>#VALUE!</v>
      </c>
      <c r="AG140" s="1" t="str">
        <f t="shared" si="105"/>
        <v>EC</v>
      </c>
      <c r="AH140" s="109" t="str">
        <f t="shared" si="106"/>
        <v>"%USERPROFILE%\Documents\GitHub\eaglep3\Utilities\RefineRTDCRunTimes.py" --tripid 227-10 --locoid - --swversion - --startMP - --initTime - --startdatetime - --delay - --endMP - --enddatetime - --enforcementcount -</v>
      </c>
    </row>
    <row r="141" spans="1:34" s="24" customFormat="1" x14ac:dyDescent="0.25">
      <c r="A141" s="42" t="s">
        <v>638</v>
      </c>
      <c r="B141" s="7" t="s">
        <v>204</v>
      </c>
      <c r="C141" s="25" t="s">
        <v>204</v>
      </c>
      <c r="D141" s="25" t="s">
        <v>204</v>
      </c>
      <c r="E141" s="16" t="s">
        <v>204</v>
      </c>
      <c r="F141" s="16" t="s">
        <v>204</v>
      </c>
      <c r="G141" s="7" t="s">
        <v>204</v>
      </c>
      <c r="H141" s="16" t="s">
        <v>204</v>
      </c>
      <c r="I141" s="16" t="s">
        <v>204</v>
      </c>
      <c r="J141" s="7" t="s">
        <v>204</v>
      </c>
      <c r="K141" s="25" t="s">
        <v>204</v>
      </c>
      <c r="L141" s="25" t="s">
        <v>204</v>
      </c>
      <c r="M141" s="6" t="s">
        <v>204</v>
      </c>
      <c r="N141" s="7"/>
      <c r="O141" s="7"/>
      <c r="P141" s="7">
        <v>1</v>
      </c>
      <c r="Q141" s="26"/>
      <c r="R141" s="26" t="s">
        <v>654</v>
      </c>
      <c r="S141" s="38">
        <f t="shared" si="94"/>
        <v>0</v>
      </c>
      <c r="T141" s="55" t="str">
        <f t="shared" si="95"/>
        <v>Southbound</v>
      </c>
      <c r="U141" s="14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0</v>
      </c>
      <c r="V141" s="115" t="e">
        <f t="shared" si="96"/>
        <v>#VALUE!</v>
      </c>
      <c r="W141" s="57" t="e">
        <f t="shared" si="97"/>
        <v>#VALUE!</v>
      </c>
      <c r="X141" s="136">
        <f t="shared" si="98"/>
        <v>1</v>
      </c>
      <c r="Y141" s="72" t="e">
        <f t="shared" si="99"/>
        <v>#VALUE!</v>
      </c>
      <c r="Z141" s="72" t="e">
        <f t="shared" si="100"/>
        <v>#VALUE!</v>
      </c>
      <c r="AA141" s="72" t="e">
        <f t="shared" si="101"/>
        <v>#VALUE!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si="102"/>
        <v>0228-10</v>
      </c>
      <c r="AE141" s="108" t="e">
        <f t="shared" si="103"/>
        <v>#VALUE!</v>
      </c>
      <c r="AF141" s="105" t="e">
        <f t="shared" si="104"/>
        <v>#VALUE!</v>
      </c>
      <c r="AG141" s="1" t="str">
        <f t="shared" si="105"/>
        <v>EC</v>
      </c>
      <c r="AH141" s="109" t="str">
        <f t="shared" si="106"/>
        <v>"%USERPROFILE%\Documents\GitHub\eaglep3\Utilities\RefineRTDCRunTimes.py" --tripid 228-10 --locoid - --swversion - --startMP - --initTime - --startdatetime - --delay - --endMP - --enddatetime - --enforcementcount -</v>
      </c>
    </row>
    <row r="142" spans="1:34" s="24" customFormat="1" x14ac:dyDescent="0.25">
      <c r="A142" s="42" t="s">
        <v>615</v>
      </c>
      <c r="B142" s="7" t="s">
        <v>204</v>
      </c>
      <c r="C142" s="25" t="s">
        <v>204</v>
      </c>
      <c r="D142" s="25" t="s">
        <v>204</v>
      </c>
      <c r="E142" s="16" t="s">
        <v>204</v>
      </c>
      <c r="F142" s="16" t="s">
        <v>204</v>
      </c>
      <c r="G142" s="7" t="s">
        <v>204</v>
      </c>
      <c r="H142" s="16" t="s">
        <v>204</v>
      </c>
      <c r="I142" s="16" t="s">
        <v>204</v>
      </c>
      <c r="J142" s="7" t="s">
        <v>204</v>
      </c>
      <c r="K142" s="25" t="s">
        <v>204</v>
      </c>
      <c r="L142" s="25" t="s">
        <v>204</v>
      </c>
      <c r="M142" s="6" t="s">
        <v>204</v>
      </c>
      <c r="N142" s="7"/>
      <c r="O142" s="7"/>
      <c r="P142" s="7">
        <v>1</v>
      </c>
      <c r="Q142" s="26"/>
      <c r="R142" s="26" t="s">
        <v>654</v>
      </c>
      <c r="S142" s="38">
        <f t="shared" si="94"/>
        <v>0</v>
      </c>
      <c r="T142" s="55" t="str">
        <f t="shared" si="95"/>
        <v>NorthBound</v>
      </c>
      <c r="U142" s="14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15" t="e">
        <f t="shared" si="96"/>
        <v>#VALUE!</v>
      </c>
      <c r="W142" s="57" t="e">
        <f t="shared" si="97"/>
        <v>#VALUE!</v>
      </c>
      <c r="X142" s="136">
        <f t="shared" si="98"/>
        <v>1</v>
      </c>
      <c r="Y142" s="72" t="e">
        <f t="shared" si="99"/>
        <v>#VALUE!</v>
      </c>
      <c r="Z142" s="72" t="e">
        <f t="shared" si="100"/>
        <v>#VALUE!</v>
      </c>
      <c r="AA142" s="72" t="e">
        <f t="shared" si="101"/>
        <v>#VALUE!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102"/>
        <v>0229-10</v>
      </c>
      <c r="AE142" s="108" t="e">
        <f t="shared" si="103"/>
        <v>#VALUE!</v>
      </c>
      <c r="AF142" s="105" t="e">
        <f t="shared" si="104"/>
        <v>#VALUE!</v>
      </c>
      <c r="AG142" s="1" t="str">
        <f t="shared" si="105"/>
        <v>EC</v>
      </c>
      <c r="AH142" s="109" t="str">
        <f t="shared" si="106"/>
        <v>"%USERPROFILE%\Documents\GitHub\eaglep3\Utilities\RefineRTDCRunTimes.py" --tripid 229-10 --locoid - --swversion - --startMP - --initTime - --startdatetime - --delay - --endMP - --enddatetime - --enforcementcount -</v>
      </c>
    </row>
    <row r="143" spans="1:34" s="24" customFormat="1" x14ac:dyDescent="0.25">
      <c r="A143" s="42" t="s">
        <v>639</v>
      </c>
      <c r="B143" s="7" t="s">
        <v>204</v>
      </c>
      <c r="C143" s="25" t="s">
        <v>204</v>
      </c>
      <c r="D143" s="25" t="s">
        <v>204</v>
      </c>
      <c r="E143" s="16" t="s">
        <v>204</v>
      </c>
      <c r="F143" s="16" t="s">
        <v>204</v>
      </c>
      <c r="G143" s="7" t="s">
        <v>204</v>
      </c>
      <c r="H143" s="16" t="s">
        <v>204</v>
      </c>
      <c r="I143" s="16" t="s">
        <v>204</v>
      </c>
      <c r="J143" s="7" t="s">
        <v>204</v>
      </c>
      <c r="K143" s="25" t="s">
        <v>204</v>
      </c>
      <c r="L143" s="25" t="s">
        <v>204</v>
      </c>
      <c r="M143" s="6" t="s">
        <v>204</v>
      </c>
      <c r="N143" s="7"/>
      <c r="O143" s="7"/>
      <c r="P143" s="7">
        <v>1</v>
      </c>
      <c r="Q143" s="26"/>
      <c r="R143" s="26" t="s">
        <v>654</v>
      </c>
      <c r="S143" s="38">
        <f t="shared" si="94"/>
        <v>0</v>
      </c>
      <c r="T143" s="55" t="str">
        <f t="shared" si="95"/>
        <v>Southbound</v>
      </c>
      <c r="U143" s="14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115" t="e">
        <f t="shared" si="96"/>
        <v>#VALUE!</v>
      </c>
      <c r="W143" s="57" t="e">
        <f t="shared" si="97"/>
        <v>#VALUE!</v>
      </c>
      <c r="X143" s="136">
        <f t="shared" si="98"/>
        <v>1</v>
      </c>
      <c r="Y143" s="72" t="e">
        <f t="shared" si="99"/>
        <v>#VALUE!</v>
      </c>
      <c r="Z143" s="72" t="e">
        <f t="shared" si="100"/>
        <v>#VALUE!</v>
      </c>
      <c r="AA143" s="72" t="e">
        <f t="shared" si="101"/>
        <v>#VALUE!</v>
      </c>
      <c r="AB143" s="69" t="e">
        <f>VLOOKUP(A143,Enforcements!$C$7:$J$24,8,0)</f>
        <v>#N/A</v>
      </c>
      <c r="AC143" s="65" t="e">
        <f>VLOOKUP(A143,Enforcements!$C$7:$E$24,3,0)</f>
        <v>#N/A</v>
      </c>
      <c r="AD143" s="66" t="str">
        <f t="shared" si="102"/>
        <v>0230-10</v>
      </c>
      <c r="AE143" s="108" t="e">
        <f t="shared" si="103"/>
        <v>#VALUE!</v>
      </c>
      <c r="AF143" s="105" t="e">
        <f t="shared" si="104"/>
        <v>#VALUE!</v>
      </c>
      <c r="AG143" s="1" t="str">
        <f t="shared" si="105"/>
        <v>EC</v>
      </c>
      <c r="AH143" s="109" t="str">
        <f t="shared" si="106"/>
        <v>"%USERPROFILE%\Documents\GitHub\eaglep3\Utilities\RefineRTDCRunTimes.py" --tripid 230-10 --locoid - --swversion - --startMP - --initTime - --startdatetime - --delay - --endMP - --enddatetime - --enforcementcount -</v>
      </c>
    </row>
    <row r="144" spans="1:34" s="24" customFormat="1" x14ac:dyDescent="0.25">
      <c r="A144" s="42" t="s">
        <v>640</v>
      </c>
      <c r="B144" s="7" t="s">
        <v>204</v>
      </c>
      <c r="C144" s="25" t="s">
        <v>204</v>
      </c>
      <c r="D144" s="25" t="s">
        <v>204</v>
      </c>
      <c r="E144" s="16" t="s">
        <v>204</v>
      </c>
      <c r="F144" s="16" t="s">
        <v>204</v>
      </c>
      <c r="G144" s="7" t="s">
        <v>204</v>
      </c>
      <c r="H144" s="16" t="s">
        <v>204</v>
      </c>
      <c r="I144" s="16" t="s">
        <v>204</v>
      </c>
      <c r="J144" s="7" t="s">
        <v>204</v>
      </c>
      <c r="K144" s="25" t="s">
        <v>204</v>
      </c>
      <c r="L144" s="25" t="s">
        <v>204</v>
      </c>
      <c r="M144" s="6" t="s">
        <v>204</v>
      </c>
      <c r="N144" s="7"/>
      <c r="O144" s="7"/>
      <c r="P144" s="7">
        <v>1</v>
      </c>
      <c r="Q144" s="26"/>
      <c r="R144" s="26" t="s">
        <v>654</v>
      </c>
      <c r="S144" s="38">
        <f t="shared" si="94"/>
        <v>0</v>
      </c>
      <c r="T144" s="55" t="str">
        <f t="shared" si="95"/>
        <v>NorthBound</v>
      </c>
      <c r="U144" s="14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15" t="e">
        <f t="shared" si="96"/>
        <v>#VALUE!</v>
      </c>
      <c r="W144" s="57" t="e">
        <f t="shared" si="97"/>
        <v>#VALUE!</v>
      </c>
      <c r="X144" s="136">
        <f t="shared" si="98"/>
        <v>1</v>
      </c>
      <c r="Y144" s="72" t="e">
        <f t="shared" si="99"/>
        <v>#VALUE!</v>
      </c>
      <c r="Z144" s="72" t="e">
        <f t="shared" si="100"/>
        <v>#VALUE!</v>
      </c>
      <c r="AA144" s="72" t="e">
        <f t="shared" si="101"/>
        <v>#VALUE!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si="102"/>
        <v>0231-10</v>
      </c>
      <c r="AE144" s="108" t="e">
        <f t="shared" si="103"/>
        <v>#VALUE!</v>
      </c>
      <c r="AF144" s="105" t="e">
        <f t="shared" si="104"/>
        <v>#VALUE!</v>
      </c>
      <c r="AG144" s="1" t="str">
        <f t="shared" si="105"/>
        <v>EC</v>
      </c>
      <c r="AH144" s="109" t="str">
        <f t="shared" si="106"/>
        <v>"%USERPROFILE%\Documents\GitHub\eaglep3\Utilities\RefineRTDCRunTimes.py" --tripid 231-10 --locoid - --swversion - --startMP - --initTime - --startdatetime - --delay - --endMP - --enddatetime - --enforcementcount -</v>
      </c>
    </row>
    <row r="145" spans="1:34" s="24" customFormat="1" x14ac:dyDescent="0.25">
      <c r="A145" s="42" t="s">
        <v>641</v>
      </c>
      <c r="B145" s="7" t="s">
        <v>204</v>
      </c>
      <c r="C145" s="25" t="s">
        <v>204</v>
      </c>
      <c r="D145" s="25" t="s">
        <v>204</v>
      </c>
      <c r="E145" s="16" t="s">
        <v>204</v>
      </c>
      <c r="F145" s="16" t="s">
        <v>204</v>
      </c>
      <c r="G145" s="7" t="s">
        <v>204</v>
      </c>
      <c r="H145" s="16" t="s">
        <v>204</v>
      </c>
      <c r="I145" s="16" t="s">
        <v>204</v>
      </c>
      <c r="J145" s="7" t="s">
        <v>204</v>
      </c>
      <c r="K145" s="25" t="s">
        <v>204</v>
      </c>
      <c r="L145" s="25" t="s">
        <v>204</v>
      </c>
      <c r="M145" s="6" t="s">
        <v>204</v>
      </c>
      <c r="N145" s="7"/>
      <c r="O145" s="7"/>
      <c r="P145" s="7">
        <v>1</v>
      </c>
      <c r="Q145" s="26"/>
      <c r="R145" s="26" t="s">
        <v>654</v>
      </c>
      <c r="S145" s="38">
        <f t="shared" si="94"/>
        <v>0</v>
      </c>
      <c r="T145" s="55" t="str">
        <f t="shared" si="95"/>
        <v>Southbound</v>
      </c>
      <c r="U145" s="14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115" t="e">
        <f t="shared" si="96"/>
        <v>#VALUE!</v>
      </c>
      <c r="W145" s="57" t="e">
        <f t="shared" si="97"/>
        <v>#VALUE!</v>
      </c>
      <c r="X145" s="136">
        <f t="shared" si="98"/>
        <v>1</v>
      </c>
      <c r="Y145" s="72" t="e">
        <f t="shared" si="99"/>
        <v>#VALUE!</v>
      </c>
      <c r="Z145" s="72" t="e">
        <f t="shared" si="100"/>
        <v>#VALUE!</v>
      </c>
      <c r="AA145" s="72" t="e">
        <f t="shared" si="101"/>
        <v>#VALUE!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102"/>
        <v>0232-10</v>
      </c>
      <c r="AE145" s="108" t="e">
        <f t="shared" si="103"/>
        <v>#VALUE!</v>
      </c>
      <c r="AF145" s="105" t="e">
        <f t="shared" si="104"/>
        <v>#VALUE!</v>
      </c>
      <c r="AG145" s="1" t="str">
        <f t="shared" si="105"/>
        <v>EC</v>
      </c>
      <c r="AH145" s="109" t="str">
        <f t="shared" si="106"/>
        <v>"%USERPROFILE%\Documents\GitHub\eaglep3\Utilities\RefineRTDCRunTimes.py" --tripid 232-10 --locoid - --swversion - --startMP - --initTime - --startdatetime - --delay - --endMP - --enddatetime - --enforcementcount -</v>
      </c>
    </row>
    <row r="146" spans="1:34" s="24" customFormat="1" x14ac:dyDescent="0.25">
      <c r="A146" s="42" t="s">
        <v>642</v>
      </c>
      <c r="B146" s="7" t="s">
        <v>204</v>
      </c>
      <c r="C146" s="25" t="s">
        <v>204</v>
      </c>
      <c r="D146" s="25" t="s">
        <v>204</v>
      </c>
      <c r="E146" s="16" t="s">
        <v>204</v>
      </c>
      <c r="F146" s="16" t="s">
        <v>204</v>
      </c>
      <c r="G146" s="7" t="s">
        <v>204</v>
      </c>
      <c r="H146" s="16" t="s">
        <v>204</v>
      </c>
      <c r="I146" s="16" t="s">
        <v>204</v>
      </c>
      <c r="J146" s="7" t="s">
        <v>204</v>
      </c>
      <c r="K146" s="25" t="s">
        <v>204</v>
      </c>
      <c r="L146" s="25" t="s">
        <v>204</v>
      </c>
      <c r="M146" s="6" t="s">
        <v>204</v>
      </c>
      <c r="N146" s="7"/>
      <c r="O146" s="7"/>
      <c r="P146" s="7">
        <v>1</v>
      </c>
      <c r="Q146" s="26"/>
      <c r="R146" s="26" t="s">
        <v>654</v>
      </c>
      <c r="S146" s="38">
        <f t="shared" si="94"/>
        <v>0</v>
      </c>
      <c r="T146" s="55" t="str">
        <f t="shared" si="95"/>
        <v>NorthBound</v>
      </c>
      <c r="U146" s="14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115" t="e">
        <f t="shared" si="96"/>
        <v>#VALUE!</v>
      </c>
      <c r="W146" s="57" t="e">
        <f t="shared" si="97"/>
        <v>#VALUE!</v>
      </c>
      <c r="X146" s="136">
        <f t="shared" si="98"/>
        <v>1</v>
      </c>
      <c r="Y146" s="72" t="e">
        <f t="shared" si="99"/>
        <v>#VALUE!</v>
      </c>
      <c r="Z146" s="72" t="e">
        <f t="shared" si="100"/>
        <v>#VALUE!</v>
      </c>
      <c r="AA146" s="72" t="e">
        <f t="shared" si="101"/>
        <v>#VALUE!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102"/>
        <v>0233-10</v>
      </c>
      <c r="AE146" s="108" t="e">
        <f t="shared" si="103"/>
        <v>#VALUE!</v>
      </c>
      <c r="AF146" s="105" t="e">
        <f t="shared" si="104"/>
        <v>#VALUE!</v>
      </c>
      <c r="AG146" s="1" t="str">
        <f t="shared" si="105"/>
        <v>EC</v>
      </c>
      <c r="AH146" s="109" t="str">
        <f t="shared" si="106"/>
        <v>"%USERPROFILE%\Documents\GitHub\eaglep3\Utilities\RefineRTDCRunTimes.py" --tripid 233-10 --locoid - --swversion - --startMP - --initTime - --startdatetime - --delay - --endMP - --enddatetime - --enforcementcount -</v>
      </c>
    </row>
    <row r="147" spans="1:34" s="24" customFormat="1" x14ac:dyDescent="0.25">
      <c r="A147" s="42" t="s">
        <v>643</v>
      </c>
      <c r="B147" s="7" t="s">
        <v>204</v>
      </c>
      <c r="C147" s="25" t="s">
        <v>204</v>
      </c>
      <c r="D147" s="25" t="s">
        <v>204</v>
      </c>
      <c r="E147" s="16" t="s">
        <v>204</v>
      </c>
      <c r="F147" s="16" t="s">
        <v>204</v>
      </c>
      <c r="G147" s="7" t="s">
        <v>204</v>
      </c>
      <c r="H147" s="16" t="s">
        <v>204</v>
      </c>
      <c r="I147" s="16" t="s">
        <v>204</v>
      </c>
      <c r="J147" s="7" t="s">
        <v>204</v>
      </c>
      <c r="K147" s="25" t="s">
        <v>204</v>
      </c>
      <c r="L147" s="25" t="s">
        <v>204</v>
      </c>
      <c r="M147" s="6" t="s">
        <v>204</v>
      </c>
      <c r="N147" s="7"/>
      <c r="O147" s="7"/>
      <c r="P147" s="7">
        <v>1</v>
      </c>
      <c r="Q147" s="26"/>
      <c r="R147" s="26" t="s">
        <v>654</v>
      </c>
      <c r="S147" s="38">
        <f t="shared" si="94"/>
        <v>0</v>
      </c>
      <c r="T147" s="55" t="str">
        <f t="shared" si="95"/>
        <v>Southbound</v>
      </c>
      <c r="U147" s="14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115" t="e">
        <f t="shared" si="96"/>
        <v>#VALUE!</v>
      </c>
      <c r="W147" s="57" t="e">
        <f t="shared" si="97"/>
        <v>#VALUE!</v>
      </c>
      <c r="X147" s="136">
        <f t="shared" si="98"/>
        <v>1</v>
      </c>
      <c r="Y147" s="72" t="e">
        <f t="shared" si="99"/>
        <v>#VALUE!</v>
      </c>
      <c r="Z147" s="72" t="e">
        <f t="shared" si="100"/>
        <v>#VALUE!</v>
      </c>
      <c r="AA147" s="72" t="e">
        <f t="shared" si="101"/>
        <v>#VALUE!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102"/>
        <v>0234-10</v>
      </c>
      <c r="AE147" s="108" t="e">
        <f t="shared" si="103"/>
        <v>#VALUE!</v>
      </c>
      <c r="AF147" s="105" t="e">
        <f t="shared" si="104"/>
        <v>#VALUE!</v>
      </c>
      <c r="AG147" s="1" t="str">
        <f t="shared" si="105"/>
        <v>EC</v>
      </c>
      <c r="AH147" s="109" t="str">
        <f t="shared" si="106"/>
        <v>"%USERPROFILE%\Documents\GitHub\eaglep3\Utilities\RefineRTDCRunTimes.py" --tripid 234-10 --locoid - --swversion - --startMP - --initTime - --startdatetime - --delay - --endMP - --enddatetime - --enforcementcount -</v>
      </c>
    </row>
    <row r="148" spans="1:34" s="24" customFormat="1" x14ac:dyDescent="0.25">
      <c r="A148" s="42" t="s">
        <v>644</v>
      </c>
      <c r="B148" s="7" t="s">
        <v>204</v>
      </c>
      <c r="C148" s="25" t="s">
        <v>204</v>
      </c>
      <c r="D148" s="25" t="s">
        <v>204</v>
      </c>
      <c r="E148" s="16" t="s">
        <v>204</v>
      </c>
      <c r="F148" s="16" t="s">
        <v>204</v>
      </c>
      <c r="G148" s="7" t="s">
        <v>204</v>
      </c>
      <c r="H148" s="16" t="s">
        <v>204</v>
      </c>
      <c r="I148" s="16" t="s">
        <v>204</v>
      </c>
      <c r="J148" s="7" t="s">
        <v>204</v>
      </c>
      <c r="K148" s="25" t="s">
        <v>204</v>
      </c>
      <c r="L148" s="25" t="s">
        <v>204</v>
      </c>
      <c r="M148" s="6" t="s">
        <v>204</v>
      </c>
      <c r="N148" s="7"/>
      <c r="O148" s="7"/>
      <c r="P148" s="7">
        <v>1</v>
      </c>
      <c r="Q148" s="26"/>
      <c r="R148" s="26" t="s">
        <v>654</v>
      </c>
      <c r="S148" s="38">
        <f t="shared" si="94"/>
        <v>0</v>
      </c>
      <c r="T148" s="55" t="str">
        <f t="shared" si="95"/>
        <v>NorthBound</v>
      </c>
      <c r="U148" s="14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115" t="e">
        <f t="shared" si="96"/>
        <v>#VALUE!</v>
      </c>
      <c r="W148" s="57" t="e">
        <f t="shared" si="97"/>
        <v>#VALUE!</v>
      </c>
      <c r="X148" s="136">
        <f t="shared" si="98"/>
        <v>1</v>
      </c>
      <c r="Y148" s="72" t="e">
        <f t="shared" si="99"/>
        <v>#VALUE!</v>
      </c>
      <c r="Z148" s="72" t="e">
        <f t="shared" si="100"/>
        <v>#VALUE!</v>
      </c>
      <c r="AA148" s="72" t="e">
        <f t="shared" si="101"/>
        <v>#VALUE!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102"/>
        <v>0235-10</v>
      </c>
      <c r="AE148" s="108" t="e">
        <f t="shared" si="103"/>
        <v>#VALUE!</v>
      </c>
      <c r="AF148" s="105" t="e">
        <f t="shared" si="104"/>
        <v>#VALUE!</v>
      </c>
      <c r="AG148" s="1" t="str">
        <f t="shared" si="105"/>
        <v>EC</v>
      </c>
      <c r="AH148" s="109" t="str">
        <f t="shared" si="106"/>
        <v>"%USERPROFILE%\Documents\GitHub\eaglep3\Utilities\RefineRTDCRunTimes.py" --tripid 235-10 --locoid - --swversion - --startMP - --initTime - --startdatetime - --delay - --endMP - --enddatetime - --enforcementcount -</v>
      </c>
    </row>
    <row r="149" spans="1:34" s="24" customFormat="1" x14ac:dyDescent="0.25">
      <c r="A149" s="42" t="s">
        <v>645</v>
      </c>
      <c r="B149" s="7" t="s">
        <v>204</v>
      </c>
      <c r="C149" s="25" t="s">
        <v>204</v>
      </c>
      <c r="D149" s="25" t="s">
        <v>204</v>
      </c>
      <c r="E149" s="16" t="s">
        <v>204</v>
      </c>
      <c r="F149" s="16" t="s">
        <v>204</v>
      </c>
      <c r="G149" s="7" t="s">
        <v>204</v>
      </c>
      <c r="H149" s="16" t="s">
        <v>204</v>
      </c>
      <c r="I149" s="16" t="s">
        <v>204</v>
      </c>
      <c r="J149" s="7" t="s">
        <v>204</v>
      </c>
      <c r="K149" s="25" t="s">
        <v>204</v>
      </c>
      <c r="L149" s="25" t="s">
        <v>204</v>
      </c>
      <c r="M149" s="6" t="s">
        <v>204</v>
      </c>
      <c r="N149" s="7"/>
      <c r="O149" s="7"/>
      <c r="P149" s="7">
        <v>1</v>
      </c>
      <c r="Q149" s="26"/>
      <c r="R149" s="26" t="s">
        <v>654</v>
      </c>
      <c r="S149" s="38">
        <f t="shared" si="94"/>
        <v>0</v>
      </c>
      <c r="T149" s="55" t="str">
        <f t="shared" si="95"/>
        <v>Southbound</v>
      </c>
      <c r="U149" s="14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0</v>
      </c>
      <c r="V149" s="115" t="e">
        <f t="shared" si="96"/>
        <v>#VALUE!</v>
      </c>
      <c r="W149" s="57" t="e">
        <f t="shared" si="97"/>
        <v>#VALUE!</v>
      </c>
      <c r="X149" s="136">
        <f t="shared" si="98"/>
        <v>1</v>
      </c>
      <c r="Y149" s="72" t="e">
        <f t="shared" si="99"/>
        <v>#VALUE!</v>
      </c>
      <c r="Z149" s="72" t="e">
        <f t="shared" si="100"/>
        <v>#VALUE!</v>
      </c>
      <c r="AA149" s="72" t="e">
        <f t="shared" si="101"/>
        <v>#VALUE!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102"/>
        <v>0236-10</v>
      </c>
      <c r="AE149" s="108" t="e">
        <f t="shared" si="103"/>
        <v>#VALUE!</v>
      </c>
      <c r="AF149" s="105" t="e">
        <f t="shared" si="104"/>
        <v>#VALUE!</v>
      </c>
      <c r="AG149" s="1" t="str">
        <f t="shared" si="105"/>
        <v>EC</v>
      </c>
      <c r="AH149" s="109" t="str">
        <f t="shared" si="106"/>
        <v>"%USERPROFILE%\Documents\GitHub\eaglep3\Utilities\RefineRTDCRunTimes.py" --tripid 236-10 --locoid - --swversion - --startMP - --initTime - --startdatetime - --delay - --endMP - --enddatetime - --enforcementcount -</v>
      </c>
    </row>
    <row r="150" spans="1:34" s="24" customFormat="1" x14ac:dyDescent="0.25">
      <c r="A150" s="42" t="s">
        <v>646</v>
      </c>
      <c r="B150" s="7" t="s">
        <v>204</v>
      </c>
      <c r="C150" s="25" t="s">
        <v>204</v>
      </c>
      <c r="D150" s="25" t="s">
        <v>204</v>
      </c>
      <c r="E150" s="16" t="s">
        <v>204</v>
      </c>
      <c r="F150" s="16" t="s">
        <v>204</v>
      </c>
      <c r="G150" s="7" t="s">
        <v>204</v>
      </c>
      <c r="H150" s="16" t="s">
        <v>204</v>
      </c>
      <c r="I150" s="16" t="s">
        <v>204</v>
      </c>
      <c r="J150" s="7" t="s">
        <v>204</v>
      </c>
      <c r="K150" s="25" t="s">
        <v>204</v>
      </c>
      <c r="L150" s="25" t="s">
        <v>204</v>
      </c>
      <c r="M150" s="6" t="s">
        <v>204</v>
      </c>
      <c r="N150" s="7"/>
      <c r="O150" s="7"/>
      <c r="P150" s="7">
        <v>1</v>
      </c>
      <c r="Q150" s="26"/>
      <c r="R150" s="26" t="s">
        <v>654</v>
      </c>
      <c r="S150" s="38">
        <f t="shared" si="94"/>
        <v>0</v>
      </c>
      <c r="T150" s="55" t="str">
        <f t="shared" si="95"/>
        <v>NorthBound</v>
      </c>
      <c r="U150" s="14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15" t="e">
        <f t="shared" si="96"/>
        <v>#VALUE!</v>
      </c>
      <c r="W150" s="57" t="e">
        <f t="shared" si="97"/>
        <v>#VALUE!</v>
      </c>
      <c r="X150" s="136">
        <f t="shared" si="98"/>
        <v>1</v>
      </c>
      <c r="Y150" s="72" t="e">
        <f t="shared" si="99"/>
        <v>#VALUE!</v>
      </c>
      <c r="Z150" s="72" t="e">
        <f t="shared" si="100"/>
        <v>#VALUE!</v>
      </c>
      <c r="AA150" s="72" t="e">
        <f t="shared" si="101"/>
        <v>#VALUE!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102"/>
        <v>0237-10</v>
      </c>
      <c r="AE150" s="108" t="e">
        <f t="shared" si="103"/>
        <v>#VALUE!</v>
      </c>
      <c r="AF150" s="105" t="e">
        <f t="shared" si="104"/>
        <v>#VALUE!</v>
      </c>
      <c r="AG150" s="1" t="str">
        <f t="shared" si="105"/>
        <v>EC</v>
      </c>
      <c r="AH150" s="109" t="str">
        <f t="shared" si="106"/>
        <v>"%USERPROFILE%\Documents\GitHub\eaglep3\Utilities\RefineRTDCRunTimes.py" --tripid 237-10 --locoid - --swversion - --startMP - --initTime - --startdatetime - --delay - --endMP - --enddatetime - --enforcementcount -</v>
      </c>
    </row>
    <row r="151" spans="1:34" s="24" customFormat="1" x14ac:dyDescent="0.25">
      <c r="A151" s="42" t="s">
        <v>647</v>
      </c>
      <c r="B151" s="7" t="s">
        <v>204</v>
      </c>
      <c r="C151" s="25" t="s">
        <v>204</v>
      </c>
      <c r="D151" s="25" t="s">
        <v>204</v>
      </c>
      <c r="E151" s="16" t="s">
        <v>204</v>
      </c>
      <c r="F151" s="16" t="s">
        <v>204</v>
      </c>
      <c r="G151" s="7" t="s">
        <v>204</v>
      </c>
      <c r="H151" s="16" t="s">
        <v>204</v>
      </c>
      <c r="I151" s="16" t="s">
        <v>204</v>
      </c>
      <c r="J151" s="7" t="s">
        <v>204</v>
      </c>
      <c r="K151" s="25" t="s">
        <v>204</v>
      </c>
      <c r="L151" s="25" t="s">
        <v>204</v>
      </c>
      <c r="M151" s="6" t="s">
        <v>204</v>
      </c>
      <c r="N151" s="7"/>
      <c r="O151" s="7"/>
      <c r="P151" s="7">
        <v>1</v>
      </c>
      <c r="Q151" s="26"/>
      <c r="R151" s="26" t="s">
        <v>654</v>
      </c>
      <c r="S151" s="38">
        <f t="shared" si="94"/>
        <v>0</v>
      </c>
      <c r="T151" s="55" t="str">
        <f t="shared" si="95"/>
        <v>Southbound</v>
      </c>
      <c r="U151" s="14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115" t="e">
        <f t="shared" si="96"/>
        <v>#VALUE!</v>
      </c>
      <c r="W151" s="57" t="e">
        <f t="shared" si="97"/>
        <v>#VALUE!</v>
      </c>
      <c r="X151" s="136">
        <f t="shared" si="98"/>
        <v>1</v>
      </c>
      <c r="Y151" s="72" t="e">
        <f t="shared" si="99"/>
        <v>#VALUE!</v>
      </c>
      <c r="Z151" s="72" t="e">
        <f t="shared" si="100"/>
        <v>#VALUE!</v>
      </c>
      <c r="AA151" s="72" t="e">
        <f t="shared" si="101"/>
        <v>#VALUE!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102"/>
        <v>0238-10</v>
      </c>
      <c r="AE151" s="108" t="e">
        <f t="shared" si="103"/>
        <v>#VALUE!</v>
      </c>
      <c r="AF151" s="105" t="e">
        <f t="shared" si="104"/>
        <v>#VALUE!</v>
      </c>
      <c r="AG151" s="1" t="str">
        <f t="shared" si="105"/>
        <v>EC</v>
      </c>
      <c r="AH151" s="109" t="str">
        <f t="shared" si="106"/>
        <v>"%USERPROFILE%\Documents\GitHub\eaglep3\Utilities\RefineRTDCRunTimes.py" --tripid 238-10 --locoid - --swversion - --startMP - --initTime - --startdatetime - --delay - --endMP - --enddatetime - --enforcementcount -</v>
      </c>
    </row>
    <row r="152" spans="1:34" s="24" customFormat="1" x14ac:dyDescent="0.25">
      <c r="A152" s="42" t="s">
        <v>648</v>
      </c>
      <c r="B152" s="7" t="s">
        <v>204</v>
      </c>
      <c r="C152" s="25" t="s">
        <v>204</v>
      </c>
      <c r="D152" s="25" t="s">
        <v>204</v>
      </c>
      <c r="E152" s="16" t="s">
        <v>204</v>
      </c>
      <c r="F152" s="16" t="s">
        <v>204</v>
      </c>
      <c r="G152" s="7" t="s">
        <v>204</v>
      </c>
      <c r="H152" s="16" t="s">
        <v>204</v>
      </c>
      <c r="I152" s="16" t="s">
        <v>204</v>
      </c>
      <c r="J152" s="7" t="s">
        <v>204</v>
      </c>
      <c r="K152" s="25" t="s">
        <v>204</v>
      </c>
      <c r="L152" s="25" t="s">
        <v>204</v>
      </c>
      <c r="M152" s="6" t="s">
        <v>204</v>
      </c>
      <c r="N152" s="7"/>
      <c r="O152" s="7"/>
      <c r="P152" s="7">
        <v>1</v>
      </c>
      <c r="Q152" s="26"/>
      <c r="R152" s="26" t="s">
        <v>654</v>
      </c>
      <c r="S152" s="38">
        <f t="shared" si="94"/>
        <v>0</v>
      </c>
      <c r="T152" s="55" t="str">
        <f t="shared" si="95"/>
        <v>NorthBound</v>
      </c>
      <c r="U152" s="14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15" t="e">
        <f t="shared" si="96"/>
        <v>#VALUE!</v>
      </c>
      <c r="W152" s="57" t="e">
        <f t="shared" si="97"/>
        <v>#VALUE!</v>
      </c>
      <c r="X152" s="136">
        <f t="shared" si="98"/>
        <v>1</v>
      </c>
      <c r="Y152" s="72" t="e">
        <f t="shared" si="99"/>
        <v>#VALUE!</v>
      </c>
      <c r="Z152" s="72" t="e">
        <f t="shared" si="100"/>
        <v>#VALUE!</v>
      </c>
      <c r="AA152" s="72" t="e">
        <f t="shared" si="101"/>
        <v>#VALUE!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102"/>
        <v>0239-10</v>
      </c>
      <c r="AE152" s="108" t="e">
        <f t="shared" si="103"/>
        <v>#VALUE!</v>
      </c>
      <c r="AF152" s="105" t="e">
        <f t="shared" si="104"/>
        <v>#VALUE!</v>
      </c>
      <c r="AG152" s="1" t="str">
        <f t="shared" si="105"/>
        <v>EC</v>
      </c>
      <c r="AH152" s="109" t="str">
        <f t="shared" si="106"/>
        <v>"%USERPROFILE%\Documents\GitHub\eaglep3\Utilities\RefineRTDCRunTimes.py" --tripid 239-10 --locoid - --swversion - --startMP - --initTime - --startdatetime - --delay - --endMP - --enddatetime - --enforcementcount -</v>
      </c>
    </row>
    <row r="153" spans="1:34" s="24" customFormat="1" x14ac:dyDescent="0.25">
      <c r="A153" s="42" t="s">
        <v>649</v>
      </c>
      <c r="B153" s="7" t="s">
        <v>204</v>
      </c>
      <c r="C153" s="25" t="s">
        <v>204</v>
      </c>
      <c r="D153" s="25" t="s">
        <v>204</v>
      </c>
      <c r="E153" s="16" t="s">
        <v>204</v>
      </c>
      <c r="F153" s="16" t="s">
        <v>204</v>
      </c>
      <c r="G153" s="7" t="s">
        <v>204</v>
      </c>
      <c r="H153" s="16" t="s">
        <v>204</v>
      </c>
      <c r="I153" s="16" t="s">
        <v>204</v>
      </c>
      <c r="J153" s="7" t="s">
        <v>204</v>
      </c>
      <c r="K153" s="25" t="s">
        <v>204</v>
      </c>
      <c r="L153" s="25" t="s">
        <v>204</v>
      </c>
      <c r="M153" s="6" t="s">
        <v>204</v>
      </c>
      <c r="N153" s="7"/>
      <c r="O153" s="7"/>
      <c r="P153" s="7">
        <v>1</v>
      </c>
      <c r="Q153" s="26"/>
      <c r="R153" s="26" t="s">
        <v>654</v>
      </c>
      <c r="S153" s="38">
        <f t="shared" si="94"/>
        <v>0</v>
      </c>
      <c r="T153" s="55" t="str">
        <f t="shared" si="95"/>
        <v>Southbound</v>
      </c>
      <c r="U153" s="14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115" t="e">
        <f t="shared" si="96"/>
        <v>#VALUE!</v>
      </c>
      <c r="W153" s="57" t="e">
        <f t="shared" si="97"/>
        <v>#VALUE!</v>
      </c>
      <c r="X153" s="136">
        <f t="shared" si="98"/>
        <v>1</v>
      </c>
      <c r="Y153" s="72" t="e">
        <f t="shared" si="99"/>
        <v>#VALUE!</v>
      </c>
      <c r="Z153" s="72" t="e">
        <f t="shared" si="100"/>
        <v>#VALUE!</v>
      </c>
      <c r="AA153" s="72" t="e">
        <f t="shared" si="101"/>
        <v>#VALUE!</v>
      </c>
      <c r="AB153" s="69" t="e">
        <f>VLOOKUP(A153,Enforcements!$C$7:$J$24,8,0)</f>
        <v>#N/A</v>
      </c>
      <c r="AC153" s="65" t="e">
        <f>VLOOKUP(A153,Enforcements!$C$7:$E$24,3,0)</f>
        <v>#N/A</v>
      </c>
      <c r="AD153" s="66" t="str">
        <f t="shared" si="102"/>
        <v>0240-10</v>
      </c>
      <c r="AE153" s="108" t="e">
        <f t="shared" si="103"/>
        <v>#VALUE!</v>
      </c>
      <c r="AF153" s="105" t="e">
        <f t="shared" si="104"/>
        <v>#VALUE!</v>
      </c>
      <c r="AG153" s="1" t="str">
        <f t="shared" si="105"/>
        <v>EC</v>
      </c>
      <c r="AH153" s="109" t="str">
        <f t="shared" si="106"/>
        <v>"%USERPROFILE%\Documents\GitHub\eaglep3\Utilities\RefineRTDCRunTimes.py" --tripid 240-10 --locoid - --swversion - --startMP - --initTime - --startdatetime - --delay - --endMP - --enddatetime - --enforcementcount -</v>
      </c>
    </row>
    <row r="154" spans="1:34" s="24" customFormat="1" x14ac:dyDescent="0.25">
      <c r="A154" s="42" t="s">
        <v>650</v>
      </c>
      <c r="B154" s="7" t="s">
        <v>204</v>
      </c>
      <c r="C154" s="25" t="s">
        <v>204</v>
      </c>
      <c r="D154" s="25" t="s">
        <v>204</v>
      </c>
      <c r="E154" s="16" t="s">
        <v>204</v>
      </c>
      <c r="F154" s="16" t="s">
        <v>204</v>
      </c>
      <c r="G154" s="7" t="s">
        <v>204</v>
      </c>
      <c r="H154" s="16" t="s">
        <v>204</v>
      </c>
      <c r="I154" s="16" t="s">
        <v>204</v>
      </c>
      <c r="J154" s="7" t="s">
        <v>204</v>
      </c>
      <c r="K154" s="25" t="s">
        <v>204</v>
      </c>
      <c r="L154" s="25" t="s">
        <v>204</v>
      </c>
      <c r="M154" s="6" t="s">
        <v>204</v>
      </c>
      <c r="N154" s="7"/>
      <c r="O154" s="7"/>
      <c r="P154" s="7">
        <v>1</v>
      </c>
      <c r="Q154" s="26"/>
      <c r="R154" s="26" t="s">
        <v>654</v>
      </c>
      <c r="S154" s="38">
        <f t="shared" si="94"/>
        <v>0</v>
      </c>
      <c r="T154" s="55" t="str">
        <f t="shared" si="95"/>
        <v>NorthBound</v>
      </c>
      <c r="U154" s="14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115" t="e">
        <f t="shared" si="96"/>
        <v>#VALUE!</v>
      </c>
      <c r="W154" s="57" t="e">
        <f t="shared" si="97"/>
        <v>#VALUE!</v>
      </c>
      <c r="X154" s="136">
        <f t="shared" si="98"/>
        <v>1</v>
      </c>
      <c r="Y154" s="72" t="e">
        <f t="shared" si="99"/>
        <v>#VALUE!</v>
      </c>
      <c r="Z154" s="72" t="e">
        <f t="shared" si="100"/>
        <v>#VALUE!</v>
      </c>
      <c r="AA154" s="72" t="e">
        <f t="shared" si="101"/>
        <v>#VALUE!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si="102"/>
        <v>0241-10</v>
      </c>
      <c r="AE154" s="108" t="e">
        <f t="shared" si="103"/>
        <v>#VALUE!</v>
      </c>
      <c r="AF154" s="105" t="e">
        <f t="shared" si="104"/>
        <v>#VALUE!</v>
      </c>
      <c r="AG154" s="1" t="str">
        <f t="shared" si="105"/>
        <v>EC</v>
      </c>
      <c r="AH154" s="109" t="str">
        <f t="shared" si="106"/>
        <v>"%USERPROFILE%\Documents\GitHub\eaglep3\Utilities\RefineRTDCRunTimes.py" --tripid 241-10 --locoid - --swversion - --startMP - --initTime - --startdatetime - --delay - --endMP - --enddatetime - --enforcementcount -</v>
      </c>
    </row>
    <row r="155" spans="1:34" s="24" customFormat="1" x14ac:dyDescent="0.25">
      <c r="A155" s="42" t="s">
        <v>651</v>
      </c>
      <c r="B155" s="7" t="s">
        <v>204</v>
      </c>
      <c r="C155" s="25" t="s">
        <v>204</v>
      </c>
      <c r="D155" s="25" t="s">
        <v>204</v>
      </c>
      <c r="E155" s="16" t="s">
        <v>204</v>
      </c>
      <c r="F155" s="16" t="s">
        <v>204</v>
      </c>
      <c r="G155" s="7" t="s">
        <v>204</v>
      </c>
      <c r="H155" s="16" t="s">
        <v>204</v>
      </c>
      <c r="I155" s="16" t="s">
        <v>204</v>
      </c>
      <c r="J155" s="7" t="s">
        <v>204</v>
      </c>
      <c r="K155" s="25" t="s">
        <v>204</v>
      </c>
      <c r="L155" s="25" t="s">
        <v>204</v>
      </c>
      <c r="M155" s="6" t="s">
        <v>204</v>
      </c>
      <c r="N155" s="7"/>
      <c r="O155" s="7"/>
      <c r="P155" s="7">
        <v>1</v>
      </c>
      <c r="Q155" s="26"/>
      <c r="R155" s="26" t="s">
        <v>654</v>
      </c>
      <c r="S155" s="38">
        <f t="shared" si="94"/>
        <v>0</v>
      </c>
      <c r="T155" s="55" t="str">
        <f t="shared" si="95"/>
        <v>Southbound</v>
      </c>
      <c r="U155" s="14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115" t="e">
        <f t="shared" si="96"/>
        <v>#VALUE!</v>
      </c>
      <c r="W155" s="57" t="e">
        <f t="shared" si="97"/>
        <v>#VALUE!</v>
      </c>
      <c r="X155" s="136">
        <f t="shared" si="98"/>
        <v>1</v>
      </c>
      <c r="Y155" s="72" t="e">
        <f t="shared" si="99"/>
        <v>#VALUE!</v>
      </c>
      <c r="Z155" s="72" t="e">
        <f t="shared" si="100"/>
        <v>#VALUE!</v>
      </c>
      <c r="AA155" s="72" t="e">
        <f t="shared" si="101"/>
        <v>#VALUE!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102"/>
        <v>0242-10</v>
      </c>
      <c r="AE155" s="108" t="e">
        <f t="shared" si="103"/>
        <v>#VALUE!</v>
      </c>
      <c r="AF155" s="105" t="e">
        <f t="shared" si="104"/>
        <v>#VALUE!</v>
      </c>
      <c r="AG155" s="1" t="str">
        <f t="shared" si="105"/>
        <v>EC</v>
      </c>
      <c r="AH155" s="109" t="str">
        <f t="shared" si="106"/>
        <v>"%USERPROFILE%\Documents\GitHub\eaglep3\Utilities\RefineRTDCRunTimes.py" --tripid 242-10 --locoid - --swversion - --startMP - --initTime - --startdatetime - --delay - --endMP - --enddatetime - --enforcementcount -</v>
      </c>
    </row>
    <row r="156" spans="1:34" s="24" customFormat="1" x14ac:dyDescent="0.25">
      <c r="A156" s="42" t="s">
        <v>652</v>
      </c>
      <c r="B156" s="7" t="s">
        <v>204</v>
      </c>
      <c r="C156" s="25" t="s">
        <v>204</v>
      </c>
      <c r="D156" s="25" t="s">
        <v>204</v>
      </c>
      <c r="E156" s="16" t="s">
        <v>204</v>
      </c>
      <c r="F156" s="16" t="s">
        <v>204</v>
      </c>
      <c r="G156" s="7" t="s">
        <v>204</v>
      </c>
      <c r="H156" s="16" t="s">
        <v>204</v>
      </c>
      <c r="I156" s="16" t="s">
        <v>204</v>
      </c>
      <c r="J156" s="7" t="s">
        <v>204</v>
      </c>
      <c r="K156" s="25" t="s">
        <v>204</v>
      </c>
      <c r="L156" s="25" t="s">
        <v>204</v>
      </c>
      <c r="M156" s="6" t="s">
        <v>204</v>
      </c>
      <c r="N156" s="7"/>
      <c r="O156" s="7"/>
      <c r="P156" s="7">
        <v>1</v>
      </c>
      <c r="Q156" s="26"/>
      <c r="R156" s="26" t="s">
        <v>654</v>
      </c>
      <c r="S156" s="38">
        <f t="shared" si="94"/>
        <v>0</v>
      </c>
      <c r="T156" s="55" t="str">
        <f t="shared" si="95"/>
        <v>NorthBound</v>
      </c>
      <c r="U156" s="14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115" t="e">
        <f t="shared" si="96"/>
        <v>#VALUE!</v>
      </c>
      <c r="W156" s="57" t="e">
        <f t="shared" si="97"/>
        <v>#VALUE!</v>
      </c>
      <c r="X156" s="136">
        <f t="shared" si="98"/>
        <v>1</v>
      </c>
      <c r="Y156" s="72" t="e">
        <f t="shared" si="99"/>
        <v>#VALUE!</v>
      </c>
      <c r="Z156" s="72" t="e">
        <f t="shared" si="100"/>
        <v>#VALUE!</v>
      </c>
      <c r="AA156" s="72" t="e">
        <f t="shared" si="101"/>
        <v>#VALUE!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102"/>
        <v>0243-10</v>
      </c>
      <c r="AE156" s="108" t="e">
        <f t="shared" si="103"/>
        <v>#VALUE!</v>
      </c>
      <c r="AF156" s="105" t="e">
        <f t="shared" si="104"/>
        <v>#VALUE!</v>
      </c>
      <c r="AG156" s="1" t="str">
        <f t="shared" si="105"/>
        <v>EC</v>
      </c>
      <c r="AH156" s="109" t="str">
        <f t="shared" si="106"/>
        <v>"%USERPROFILE%\Documents\GitHub\eaglep3\Utilities\RefineRTDCRunTimes.py" --tripid 243-10 --locoid - --swversion - --startMP - --initTime - --startdatetime - --delay - --endMP - --enddatetime - --enforcementcount -</v>
      </c>
    </row>
    <row r="157" spans="1:34" s="24" customFormat="1" x14ac:dyDescent="0.25">
      <c r="A157" s="42" t="s">
        <v>653</v>
      </c>
      <c r="B157" s="7" t="s">
        <v>204</v>
      </c>
      <c r="C157" s="25" t="s">
        <v>204</v>
      </c>
      <c r="D157" s="25" t="s">
        <v>204</v>
      </c>
      <c r="E157" s="16" t="s">
        <v>204</v>
      </c>
      <c r="F157" s="16" t="s">
        <v>204</v>
      </c>
      <c r="G157" s="7" t="s">
        <v>204</v>
      </c>
      <c r="H157" s="16" t="s">
        <v>204</v>
      </c>
      <c r="I157" s="16" t="s">
        <v>204</v>
      </c>
      <c r="J157" s="7" t="s">
        <v>204</v>
      </c>
      <c r="K157" s="25" t="s">
        <v>204</v>
      </c>
      <c r="L157" s="25" t="s">
        <v>204</v>
      </c>
      <c r="M157" s="6" t="s">
        <v>204</v>
      </c>
      <c r="N157" s="7"/>
      <c r="O157" s="7"/>
      <c r="P157" s="7">
        <v>1</v>
      </c>
      <c r="Q157" s="26"/>
      <c r="R157" s="26" t="s">
        <v>654</v>
      </c>
      <c r="S157" s="38">
        <f t="shared" si="94"/>
        <v>0</v>
      </c>
      <c r="T157" s="55" t="str">
        <f t="shared" si="95"/>
        <v>Southbound</v>
      </c>
      <c r="U157" s="14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115" t="e">
        <f t="shared" si="96"/>
        <v>#VALUE!</v>
      </c>
      <c r="W157" s="57" t="e">
        <f t="shared" si="97"/>
        <v>#VALUE!</v>
      </c>
      <c r="X157" s="136">
        <f t="shared" si="98"/>
        <v>1</v>
      </c>
      <c r="Y157" s="72" t="e">
        <f t="shared" si="99"/>
        <v>#VALUE!</v>
      </c>
      <c r="Z157" s="72" t="e">
        <f t="shared" si="100"/>
        <v>#VALUE!</v>
      </c>
      <c r="AA157" s="72" t="e">
        <f t="shared" si="101"/>
        <v>#VALUE!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102"/>
        <v>0244-10</v>
      </c>
      <c r="AE157" s="108" t="e">
        <f t="shared" si="103"/>
        <v>#VALUE!</v>
      </c>
      <c r="AF157" s="105" t="e">
        <f t="shared" si="104"/>
        <v>#VALUE!</v>
      </c>
      <c r="AG157" s="1" t="str">
        <f t="shared" si="105"/>
        <v>EC</v>
      </c>
      <c r="AH157" s="109" t="str">
        <f t="shared" si="106"/>
        <v>"%USERPROFILE%\Documents\GitHub\eaglep3\Utilities\RefineRTDCRunTimes.py" --tripid 244-10 --locoid - --swversion - --startMP - --initTime - --startdatetime - --delay - --endMP - --enddatetime - --enforcementcount -</v>
      </c>
    </row>
    <row r="158" spans="1:34" x14ac:dyDescent="0.25">
      <c r="A158" s="42" t="s">
        <v>494</v>
      </c>
      <c r="B158" s="7">
        <v>4013</v>
      </c>
      <c r="C158" s="25" t="s">
        <v>137</v>
      </c>
      <c r="D158" s="25" t="s">
        <v>495</v>
      </c>
      <c r="E158" s="16">
        <v>42592.208506944444</v>
      </c>
      <c r="F158" s="16">
        <v>42592.209513888891</v>
      </c>
      <c r="G158" s="7">
        <v>1</v>
      </c>
      <c r="H158" s="16" t="s">
        <v>289</v>
      </c>
      <c r="I158" s="16">
        <v>42592.225740740738</v>
      </c>
      <c r="J158" s="7">
        <v>0</v>
      </c>
      <c r="K158" s="25" t="str">
        <f t="shared" si="86"/>
        <v>4013/4014</v>
      </c>
      <c r="L158" s="25" t="str">
        <f>VLOOKUP(A158,'Trips&amp;Operators'!$C$1:$E$10000,3,FALSE)</f>
        <v>GRASTON</v>
      </c>
      <c r="M158" s="6">
        <f t="shared" si="87"/>
        <v>1.6226851847022772E-2</v>
      </c>
      <c r="N158" s="7">
        <f t="shared" si="88"/>
        <v>23.366666659712791</v>
      </c>
      <c r="O158" s="7"/>
      <c r="P158" s="7"/>
      <c r="Q158" s="26"/>
      <c r="R158" s="26"/>
      <c r="S158" s="38">
        <f t="shared" ref="S158:S175" si="107">SUM(U158:U158)/IF(AG158="EC",12,1)</f>
        <v>1</v>
      </c>
      <c r="T158" s="55" t="str">
        <f t="shared" ref="T158:T175" si="108">IF(ISEVEN(LEFT(AD158,4)),"Southbound","NorthBound")</f>
        <v>Southbound</v>
      </c>
      <c r="U158" s="14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5" t="str">
        <f t="shared" ref="V158:V175" si="109"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https://search-rtdc-monitor-bjffxe2xuh6vdkpspy63sjmuny.us-east-1.es.amazonaws.com/_plugin/kibana/#/discover/Steve-Slow-Train-Analysis-(2080s-and-2083s)?_g=(refreshInterval:(display:Off,section:0,value:0),time:(from:'2016-08-10 04:00:15-0600',mode:absolute,to:'2016-08-10 06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58" s="57" t="str">
        <f t="shared" ref="W158:W175" si="110">IF(AA158&lt;IF(AG158="EC",23,5.65),"Y","N")</f>
        <v>N</v>
      </c>
      <c r="X158" s="136">
        <f>VALUE(LEFT(AD158,4))-VALUE(LEFT(AD138,4))</f>
        <v>575</v>
      </c>
      <c r="Y158" s="72">
        <f t="shared" si="89"/>
        <v>5.8662000000000001</v>
      </c>
      <c r="Z158" s="72">
        <f t="shared" si="90"/>
        <v>6.8699999999999997E-2</v>
      </c>
      <c r="AA158" s="72">
        <f t="shared" si="91"/>
        <v>5.7975000000000003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60"/>
        <v>0800-10</v>
      </c>
      <c r="AE158" s="108" t="str">
        <f t="shared" si="92"/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AF158" s="105" t="str">
        <f t="shared" si="93"/>
        <v>"C:\Program Files (x86)\AstroGrep\AstroGrep.exe" /spath="%USERPROFILE%\AppData\Local\Temp\OnboardLogs" /stypes="*4013*20160810*" /stext=" 11:.+((SYSTEM_STATE.+slice.+state.+changed )|(ment ac)|(system.+state.+changed )|(\|lc)|(penalty)|(\[timeout)|(PRM\|1\|D)|(kpr)|(kdp))" /e /r /s</v>
      </c>
      <c r="AG158" s="1" t="str">
        <f t="shared" si="61"/>
        <v>NW</v>
      </c>
      <c r="AH158" s="109" t="str">
        <f t="shared" si="47"/>
        <v>"%USERPROFILE%\Documents\GitHub\eaglep3\Utilities\RefineRTDCRunTimes.py" --tripid 800-10 --locoid 4013 --swversion DE.1.0.7.0 --startMP 300:58662 --initTime 2016-08-10T05:00:15 --startdatetime 2016-08-10T05:01:42 --delay 1 --endMP 204:687 --enddatetime 2016-08-10T05:25:04 --enforcementcount 0</v>
      </c>
    </row>
    <row r="159" spans="1:34" x14ac:dyDescent="0.25">
      <c r="A159" s="42" t="s">
        <v>496</v>
      </c>
      <c r="B159" s="7">
        <v>4014</v>
      </c>
      <c r="C159" s="25" t="s">
        <v>137</v>
      </c>
      <c r="D159" s="25" t="s">
        <v>281</v>
      </c>
      <c r="E159" s="16">
        <v>42592.240486111114</v>
      </c>
      <c r="F159" s="16">
        <v>42592.241354166668</v>
      </c>
      <c r="G159" s="7">
        <v>1</v>
      </c>
      <c r="H159" s="16" t="s">
        <v>285</v>
      </c>
      <c r="I159" s="16">
        <v>42592.253981481481</v>
      </c>
      <c r="J159" s="7">
        <v>0</v>
      </c>
      <c r="K159" s="25" t="str">
        <f t="shared" si="86"/>
        <v>4013/4014</v>
      </c>
      <c r="L159" s="25" t="str">
        <f>VLOOKUP(A159,'Trips&amp;Operators'!$C$1:$E$10000,3,FALSE)</f>
        <v>GRASTON</v>
      </c>
      <c r="M159" s="6">
        <f t="shared" si="87"/>
        <v>1.2627314812561963E-2</v>
      </c>
      <c r="N159" s="7">
        <f t="shared" si="88"/>
        <v>18.183333330089226</v>
      </c>
      <c r="O159" s="7"/>
      <c r="P159" s="7"/>
      <c r="Q159" s="26"/>
      <c r="R159" s="26"/>
      <c r="S159" s="38">
        <f t="shared" si="107"/>
        <v>1</v>
      </c>
      <c r="T159" s="55" t="str">
        <f t="shared" si="108"/>
        <v>NorthBound</v>
      </c>
      <c r="U159" s="14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04:46:18-0600',mode:absolute,to:'2016-08-10 07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59" s="57" t="str">
        <f t="shared" si="110"/>
        <v>N</v>
      </c>
      <c r="X159" s="136">
        <f t="shared" ref="X159:X173" si="111">VALUE(LEFT(AD159,4))-VALUE(LEFT(AD158,4))</f>
        <v>1</v>
      </c>
      <c r="Y159" s="72">
        <f t="shared" si="89"/>
        <v>9.7100000000000006E-2</v>
      </c>
      <c r="Z159" s="72">
        <f t="shared" si="90"/>
        <v>5.8920000000000003</v>
      </c>
      <c r="AA159" s="72">
        <f t="shared" si="91"/>
        <v>5.7949000000000002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60"/>
        <v>0801-10</v>
      </c>
      <c r="AE159" s="108" t="str">
        <f t="shared" si="92"/>
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</c>
      <c r="AF159" s="105" t="str">
        <f t="shared" si="93"/>
        <v>"C:\Program Files (x86)\AstroGrep\AstroGrep.exe" /spath="%USERPROFILE%\AppData\Local\Temp\OnboardLogs" /stypes="*4014*20160810*" /stext=" 12:.+((SYSTEM_STATE.+slice.+state.+changed )|(ment ac)|(system.+state.+changed )|(\|lc)|(penalty)|(\[timeout)|(PRM\|1\|D)|(kpr)|(kdp))" /e /r /s</v>
      </c>
      <c r="AG159" s="1" t="str">
        <f t="shared" si="61"/>
        <v>NW</v>
      </c>
      <c r="AH159" s="109" t="str">
        <f t="shared" si="47"/>
        <v>"%USERPROFILE%\Documents\GitHub\eaglep3\Utilities\RefineRTDCRunTimes.py" --tripid 801-10 --locoid 4014 --swversion DE.1.0.7.0 --startMP 204:971 --initTime 2016-08-10T05:46:18 --startdatetime 2016-08-10T05:47:33 --delay 1 --endMP 300:58920 --enddatetime 2016-08-10T06:05:44 --enforcementcount 0</v>
      </c>
    </row>
    <row r="160" spans="1:34" x14ac:dyDescent="0.25">
      <c r="A160" s="42" t="s">
        <v>497</v>
      </c>
      <c r="B160" s="7">
        <v>4013</v>
      </c>
      <c r="C160" s="25" t="s">
        <v>137</v>
      </c>
      <c r="D160" s="25" t="s">
        <v>198</v>
      </c>
      <c r="E160" s="16">
        <v>42592.254895833335</v>
      </c>
      <c r="F160" s="16">
        <v>42592.255578703705</v>
      </c>
      <c r="G160" s="7">
        <v>0</v>
      </c>
      <c r="H160" s="16" t="s">
        <v>498</v>
      </c>
      <c r="I160" s="16">
        <v>42592.267361111109</v>
      </c>
      <c r="J160" s="7">
        <v>0</v>
      </c>
      <c r="K160" s="25" t="str">
        <f t="shared" si="86"/>
        <v>4013/4014</v>
      </c>
      <c r="L160" s="25" t="str">
        <f>VLOOKUP(A160,'Trips&amp;Operators'!$C$1:$E$10000,3,FALSE)</f>
        <v>GRASTON</v>
      </c>
      <c r="M160" s="6">
        <f t="shared" si="87"/>
        <v>1.1782407404098194E-2</v>
      </c>
      <c r="N160" s="7">
        <f t="shared" si="88"/>
        <v>16.966666661901399</v>
      </c>
      <c r="O160" s="7"/>
      <c r="P160" s="7"/>
      <c r="Q160" s="26"/>
      <c r="R160" s="26"/>
      <c r="S160" s="38">
        <f t="shared" si="107"/>
        <v>1</v>
      </c>
      <c r="T160" s="55" t="str">
        <f t="shared" si="108"/>
        <v>Southbound</v>
      </c>
      <c r="U160" s="14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05:07:03-0600',mode:absolute,to:'2016-08-10 07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0" s="57" t="str">
        <f t="shared" si="110"/>
        <v>N</v>
      </c>
      <c r="X160" s="136">
        <f t="shared" si="111"/>
        <v>1</v>
      </c>
      <c r="Y160" s="72">
        <f t="shared" si="89"/>
        <v>5.8609</v>
      </c>
      <c r="Z160" s="72">
        <f t="shared" si="90"/>
        <v>6.7500000000000004E-2</v>
      </c>
      <c r="AA160" s="72">
        <f t="shared" si="91"/>
        <v>5.7934000000000001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ref="AD160:AD175" si="112">IF(LEN(A160)=6,"0"&amp;A160,A160)</f>
        <v>0802-10</v>
      </c>
      <c r="AE160" s="108" t="str">
        <f t="shared" si="92"/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AF160" s="105" t="str">
        <f t="shared" si="93"/>
        <v>"C:\Program Files (x86)\AstroGrep\AstroGrep.exe" /spath="%USERPROFILE%\AppData\Local\Temp\OnboardLogs" /stypes="*4013*20160810*" /stext=" 12:.+((SYSTEM_STATE.+slice.+state.+changed )|(ment ac)|(system.+state.+changed )|(\|lc)|(penalty)|(\[timeout)|(PRM\|1\|D)|(kpr)|(kdp))" /e /r /s</v>
      </c>
      <c r="AG160" s="1" t="str">
        <f t="shared" ref="AG160:AG175" si="113">IF(VALUE(LEFT(AD160,2))&lt;=2,"EC",IF(OR(VALUE(LEFT(AD160,2))=8,VALUE(LEFT(AD160,2))=18),"NW","Other"))</f>
        <v>NW</v>
      </c>
      <c r="AH160" s="109" t="str">
        <f t="shared" si="47"/>
        <v>"%USERPROFILE%\Documents\GitHub\eaglep3\Utilities\RefineRTDCRunTimes.py" --tripid 802-10 --locoid 4013 --swversion DE.1.0.7.0 --startMP 300:58609 --initTime 2016-08-10T06:07:03 --startdatetime 2016-08-10T06:08:02 --delay 0 --endMP 204:675 --enddatetime 2016-08-10T06:25:00 --enforcementcount 0</v>
      </c>
    </row>
    <row r="161" spans="1:34" x14ac:dyDescent="0.25">
      <c r="A161" s="42" t="s">
        <v>499</v>
      </c>
      <c r="B161" s="7">
        <v>4044</v>
      </c>
      <c r="C161" s="25" t="s">
        <v>137</v>
      </c>
      <c r="D161" s="25" t="s">
        <v>500</v>
      </c>
      <c r="E161" s="16">
        <v>42592.253148148149</v>
      </c>
      <c r="F161" s="16">
        <v>42592.254502314812</v>
      </c>
      <c r="G161" s="7">
        <v>1</v>
      </c>
      <c r="H161" s="16" t="s">
        <v>501</v>
      </c>
      <c r="I161" s="16">
        <v>42592.274375000001</v>
      </c>
      <c r="J161" s="7">
        <v>0</v>
      </c>
      <c r="K161" s="25" t="str">
        <f t="shared" si="86"/>
        <v>4043/4044</v>
      </c>
      <c r="L161" s="25" t="str">
        <f>VLOOKUP(A161,'Trips&amp;Operators'!$C$1:$E$10000,3,FALSE)</f>
        <v>OUN</v>
      </c>
      <c r="M161" s="6">
        <f t="shared" si="87"/>
        <v>1.987268518860219E-2</v>
      </c>
      <c r="N161" s="7">
        <f t="shared" si="88"/>
        <v>28.616666671587154</v>
      </c>
      <c r="O161" s="7"/>
      <c r="P161" s="7"/>
      <c r="Q161" s="26"/>
      <c r="R161" s="26"/>
      <c r="S161" s="38">
        <f t="shared" si="107"/>
        <v>1</v>
      </c>
      <c r="T161" s="55" t="str">
        <f t="shared" si="108"/>
        <v>NorthBound</v>
      </c>
      <c r="U161" s="14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05:04:32-0600',mode:absolute,to:'2016-08-10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61" s="57" t="str">
        <f t="shared" si="110"/>
        <v>N</v>
      </c>
      <c r="X161" s="136">
        <f t="shared" si="111"/>
        <v>1</v>
      </c>
      <c r="Y161" s="72">
        <f t="shared" si="89"/>
        <v>9.69E-2</v>
      </c>
      <c r="Z161" s="72">
        <f t="shared" si="90"/>
        <v>5.8939000000000004</v>
      </c>
      <c r="AA161" s="72">
        <f t="shared" si="91"/>
        <v>5.7970000000000006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112"/>
        <v>0803-10</v>
      </c>
      <c r="AE161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61" s="105" t="str">
        <f t="shared" si="93"/>
        <v>"C:\Program Files (x86)\AstroGrep\AstroGrep.exe" /spath="%USERPROFILE%\AppData\Local\Temp\OnboardLogs" /stypes="*4044*20160810*" /stext=" 12:.+((SYSTEM_STATE.+slice.+state.+changed )|(ment ac)|(system.+state.+changed )|(\|lc)|(penalty)|(\[timeout)|(PRM\|1\|D)|(kpr)|(kdp))" /e /r /s</v>
      </c>
      <c r="AG161" s="1" t="str">
        <f t="shared" si="113"/>
        <v>NW</v>
      </c>
      <c r="AH161" s="109" t="str">
        <f t="shared" si="47"/>
        <v>"%USERPROFILE%\Documents\GitHub\eaglep3\Utilities\RefineRTDCRunTimes.py" --tripid 803-10 --locoid 4044 --swversion DE.1.0.7.0 --startMP 204:969 --initTime 2016-08-10T06:04:32 --startdatetime 2016-08-10T06:06:29 --delay 1 --endMP 300:58939 --enddatetime 2016-08-10T06:35:06 --enforcementcount 0</v>
      </c>
    </row>
    <row r="162" spans="1:34" x14ac:dyDescent="0.25">
      <c r="A162" s="42" t="s">
        <v>502</v>
      </c>
      <c r="B162" s="7">
        <v>4043</v>
      </c>
      <c r="C162" s="25" t="s">
        <v>137</v>
      </c>
      <c r="D162" s="25" t="s">
        <v>503</v>
      </c>
      <c r="E162" s="16">
        <v>42592.275567129633</v>
      </c>
      <c r="F162" s="16">
        <v>42592.276932870373</v>
      </c>
      <c r="G162" s="7">
        <v>1</v>
      </c>
      <c r="H162" s="16" t="s">
        <v>504</v>
      </c>
      <c r="I162" s="16">
        <v>42592.289178240739</v>
      </c>
      <c r="J162" s="7">
        <v>0</v>
      </c>
      <c r="K162" s="25" t="str">
        <f t="shared" si="86"/>
        <v>4043/4044</v>
      </c>
      <c r="L162" s="25" t="str">
        <f>VLOOKUP(A162,'Trips&amp;Operators'!$C$1:$E$10000,3,FALSE)</f>
        <v>OUN</v>
      </c>
      <c r="M162" s="6">
        <f t="shared" si="87"/>
        <v>1.2245370366144925E-2</v>
      </c>
      <c r="N162" s="7">
        <f t="shared" si="88"/>
        <v>17.633333327248693</v>
      </c>
      <c r="O162" s="7"/>
      <c r="P162" s="7"/>
      <c r="Q162" s="26"/>
      <c r="R162" s="26"/>
      <c r="S162" s="38">
        <f t="shared" si="107"/>
        <v>1</v>
      </c>
      <c r="T162" s="55" t="str">
        <f t="shared" si="108"/>
        <v>Southbound</v>
      </c>
      <c r="U162" s="14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05:36:49-0600',mode:absolute,to:'2016-08-10 07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62" s="57" t="str">
        <f t="shared" si="110"/>
        <v>N</v>
      </c>
      <c r="X162" s="136">
        <f t="shared" si="111"/>
        <v>1</v>
      </c>
      <c r="Y162" s="72">
        <f t="shared" si="89"/>
        <v>5.8630000000000004</v>
      </c>
      <c r="Z162" s="72">
        <f t="shared" si="90"/>
        <v>6.9199999999999998E-2</v>
      </c>
      <c r="AA162" s="72">
        <f t="shared" si="91"/>
        <v>5.7938000000000001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112"/>
        <v>0804-10</v>
      </c>
      <c r="AE162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62" s="105" t="str">
        <f t="shared" si="93"/>
        <v>"C:\Program Files (x86)\AstroGrep\AstroGrep.exe" /spath="%USERPROFILE%\AppData\Local\Temp\OnboardLogs" /stypes="*4043*20160810*" /stext=" 12:.+((SYSTEM_STATE.+slice.+state.+changed )|(ment ac)|(system.+state.+changed )|(\|lc)|(penalty)|(\[timeout)|(PRM\|1\|D)|(kpr)|(kdp))" /e /r /s</v>
      </c>
      <c r="AG162" s="1" t="str">
        <f t="shared" si="113"/>
        <v>NW</v>
      </c>
      <c r="AH162" s="109" t="str">
        <f t="shared" si="47"/>
        <v>"%USERPROFILE%\Documents\GitHub\eaglep3\Utilities\RefineRTDCRunTimes.py" --tripid 804-10 --locoid 4043 --swversion DE.1.0.7.0 --startMP 300:58630 --initTime 2016-08-10T06:36:49 --startdatetime 2016-08-10T06:38:47 --delay 1 --endMP 204:692 --enddatetime 2016-08-10T06:56:25 --enforcementcount 0</v>
      </c>
    </row>
    <row r="163" spans="1:34" x14ac:dyDescent="0.25">
      <c r="A163" s="42" t="s">
        <v>505</v>
      </c>
      <c r="B163" s="7">
        <v>4014</v>
      </c>
      <c r="C163" s="25" t="s">
        <v>137</v>
      </c>
      <c r="D163" s="25" t="s">
        <v>506</v>
      </c>
      <c r="E163" s="16">
        <v>42592.282361111109</v>
      </c>
      <c r="F163" s="16">
        <v>42592.283425925925</v>
      </c>
      <c r="G163" s="7">
        <v>1</v>
      </c>
      <c r="H163" s="16" t="s">
        <v>196</v>
      </c>
      <c r="I163" s="16">
        <v>42592.295046296298</v>
      </c>
      <c r="J163" s="7">
        <v>0</v>
      </c>
      <c r="K163" s="25" t="str">
        <f t="shared" si="86"/>
        <v>4013/4014</v>
      </c>
      <c r="L163" s="25" t="str">
        <f>VLOOKUP(A163,'Trips&amp;Operators'!$C$1:$E$10000,3,FALSE)</f>
        <v>GRASTON</v>
      </c>
      <c r="M163" s="6">
        <f t="shared" si="87"/>
        <v>1.1620370372838806E-2</v>
      </c>
      <c r="N163" s="7">
        <f t="shared" si="88"/>
        <v>16.733333336887881</v>
      </c>
      <c r="O163" s="7"/>
      <c r="P163" s="7"/>
      <c r="Q163" s="26"/>
      <c r="R163" s="26"/>
      <c r="S163" s="38">
        <f t="shared" si="107"/>
        <v>1</v>
      </c>
      <c r="T163" s="55" t="str">
        <f t="shared" si="108"/>
        <v>NorthBound</v>
      </c>
      <c r="U163" s="14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05:46:36-0600',mode:absolute,to:'2016-08-10 08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63" s="57" t="str">
        <f t="shared" si="110"/>
        <v>N</v>
      </c>
      <c r="X163" s="136">
        <f t="shared" si="111"/>
        <v>1</v>
      </c>
      <c r="Y163" s="72">
        <f t="shared" si="89"/>
        <v>9.74E-2</v>
      </c>
      <c r="Z163" s="72">
        <f t="shared" si="90"/>
        <v>5.8929</v>
      </c>
      <c r="AA163" s="72">
        <f t="shared" si="91"/>
        <v>5.7954999999999997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112"/>
        <v>0805-10</v>
      </c>
      <c r="AE163" s="108" t="str">
        <f t="shared" si="92"/>
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</c>
      <c r="AF163" s="105" t="str">
        <f t="shared" si="93"/>
        <v>"C:\Program Files (x86)\AstroGrep\AstroGrep.exe" /spath="%USERPROFILE%\AppData\Local\Temp\OnboardLogs" /stypes="*4014*20160810*" /stext=" 13:.+((SYSTEM_STATE.+slice.+state.+changed )|(ment ac)|(system.+state.+changed )|(\|lc)|(penalty)|(\[timeout)|(PRM\|1\|D)|(kpr)|(kdp))" /e /r /s</v>
      </c>
      <c r="AG163" s="1" t="str">
        <f t="shared" si="113"/>
        <v>NW</v>
      </c>
      <c r="AH163" s="109" t="str">
        <f t="shared" si="47"/>
        <v>"%USERPROFILE%\Documents\GitHub\eaglep3\Utilities\RefineRTDCRunTimes.py" --tripid 805-10 --locoid 4014 --swversion DE.1.0.7.0 --startMP 204:974 --initTime 2016-08-10T06:46:36 --startdatetime 2016-08-10T06:48:08 --delay 1 --endMP 300:58929 --enddatetime 2016-08-10T07:04:52 --enforcementcount 0</v>
      </c>
    </row>
    <row r="164" spans="1:34" x14ac:dyDescent="0.25">
      <c r="A164" s="42" t="s">
        <v>507</v>
      </c>
      <c r="B164" s="7">
        <v>4013</v>
      </c>
      <c r="C164" s="25" t="s">
        <v>137</v>
      </c>
      <c r="D164" s="25" t="s">
        <v>508</v>
      </c>
      <c r="E164" s="16">
        <v>42592.295925925922</v>
      </c>
      <c r="F164" s="16">
        <v>42592.2969212963</v>
      </c>
      <c r="G164" s="7">
        <v>1</v>
      </c>
      <c r="H164" s="16" t="s">
        <v>509</v>
      </c>
      <c r="I164" s="16">
        <v>42592.309363425928</v>
      </c>
      <c r="J164" s="7">
        <v>1</v>
      </c>
      <c r="K164" s="25" t="str">
        <f t="shared" si="86"/>
        <v>4013/4014</v>
      </c>
      <c r="L164" s="25" t="str">
        <f>VLOOKUP(A164,'Trips&amp;Operators'!$C$1:$E$10000,3,FALSE)</f>
        <v>GRASTON</v>
      </c>
      <c r="M164" s="6">
        <f t="shared" si="87"/>
        <v>1.244212962774327E-2</v>
      </c>
      <c r="N164" s="7">
        <f t="shared" si="88"/>
        <v>17.916666663950309</v>
      </c>
      <c r="O164" s="7"/>
      <c r="P164" s="7"/>
      <c r="Q164" s="26"/>
      <c r="R164" s="26"/>
      <c r="S164" s="38">
        <f t="shared" si="107"/>
        <v>1</v>
      </c>
      <c r="T164" s="55" t="str">
        <f t="shared" si="108"/>
        <v>Southbound</v>
      </c>
      <c r="U164" s="14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06:06:08-0600',mode:absolute,to:'2016-08-10 08:25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4" s="57" t="str">
        <f t="shared" si="110"/>
        <v>N</v>
      </c>
      <c r="X164" s="136">
        <f t="shared" si="111"/>
        <v>1</v>
      </c>
      <c r="Y164" s="72">
        <f t="shared" si="89"/>
        <v>5.8615000000000004</v>
      </c>
      <c r="Z164" s="72">
        <f t="shared" si="90"/>
        <v>6.9599999999999995E-2</v>
      </c>
      <c r="AA164" s="72">
        <f t="shared" si="91"/>
        <v>5.7919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112"/>
        <v>0806-10</v>
      </c>
      <c r="AE164" s="108" t="str">
        <f t="shared" si="92"/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AF164" s="105" t="str">
        <f t="shared" si="93"/>
        <v>"C:\Program Files (x86)\AstroGrep\AstroGrep.exe" /spath="%USERPROFILE%\AppData\Local\Temp\OnboardLogs" /stypes="*4013*20160810*" /stext=" 13:.+((SYSTEM_STATE.+slice.+state.+changed )|(ment ac)|(system.+state.+changed )|(\|lc)|(penalty)|(\[timeout)|(PRM\|1\|D)|(kpr)|(kdp))" /e /r /s</v>
      </c>
      <c r="AG164" s="1" t="str">
        <f t="shared" si="113"/>
        <v>NW</v>
      </c>
      <c r="AH164" s="109" t="str">
        <f t="shared" si="47"/>
        <v>"%USERPROFILE%\Documents\GitHub\eaglep3\Utilities\RefineRTDCRunTimes.py" --tripid 806-10 --locoid 4013 --swversion DE.1.0.7.0 --startMP 300:58615 --initTime 2016-08-10T07:06:08 --startdatetime 2016-08-10T07:07:34 --delay 1 --endMP 204:696 --enddatetime 2016-08-10T07:25:29 --enforcementcount 1</v>
      </c>
    </row>
    <row r="165" spans="1:34" x14ac:dyDescent="0.25">
      <c r="A165" s="42" t="s">
        <v>510</v>
      </c>
      <c r="B165" s="7">
        <v>4044</v>
      </c>
      <c r="C165" s="25" t="s">
        <v>137</v>
      </c>
      <c r="D165" s="25" t="s">
        <v>511</v>
      </c>
      <c r="E165" s="16">
        <v>42592.298657407409</v>
      </c>
      <c r="F165" s="16">
        <v>42592.300034722219</v>
      </c>
      <c r="G165" s="7">
        <v>1</v>
      </c>
      <c r="H165" s="16" t="s">
        <v>232</v>
      </c>
      <c r="I165" s="16">
        <v>42592.316342592596</v>
      </c>
      <c r="J165" s="7">
        <v>0</v>
      </c>
      <c r="K165" s="25" t="str">
        <f t="shared" si="86"/>
        <v>4043/4044</v>
      </c>
      <c r="L165" s="25" t="str">
        <f>VLOOKUP(A165,'Trips&amp;Operators'!$C$1:$E$10000,3,FALSE)</f>
        <v>OUN</v>
      </c>
      <c r="M165" s="6">
        <f t="shared" si="87"/>
        <v>1.6307870377204381E-2</v>
      </c>
      <c r="N165" s="7">
        <f t="shared" si="88"/>
        <v>23.483333343174309</v>
      </c>
      <c r="O165" s="7"/>
      <c r="P165" s="7"/>
      <c r="Q165" s="26"/>
      <c r="R165" s="26"/>
      <c r="S165" s="38">
        <f t="shared" si="107"/>
        <v>1</v>
      </c>
      <c r="T165" s="55" t="str">
        <f t="shared" si="108"/>
        <v>NorthBound</v>
      </c>
      <c r="U165" s="14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06:10:04-0600',mode:absolute,to:'2016-08-10 08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65" s="57" t="str">
        <f t="shared" si="110"/>
        <v>N</v>
      </c>
      <c r="X165" s="136">
        <f t="shared" si="111"/>
        <v>1</v>
      </c>
      <c r="Y165" s="72">
        <f t="shared" si="89"/>
        <v>9.9000000000000005E-2</v>
      </c>
      <c r="Z165" s="72">
        <f t="shared" si="90"/>
        <v>5.8912000000000004</v>
      </c>
      <c r="AA165" s="72">
        <f t="shared" si="91"/>
        <v>5.7922000000000002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112"/>
        <v>0807-10</v>
      </c>
      <c r="AE165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65" s="105" t="str">
        <f t="shared" si="93"/>
        <v>"C:\Program Files (x86)\AstroGrep\AstroGrep.exe" /spath="%USERPROFILE%\AppData\Local\Temp\OnboardLogs" /stypes="*4044*20160810*" /stext=" 13:.+((SYSTEM_STATE.+slice.+state.+changed )|(ment ac)|(system.+state.+changed )|(\|lc)|(penalty)|(\[timeout)|(PRM\|1\|D)|(kpr)|(kdp))" /e /r /s</v>
      </c>
      <c r="AG165" s="1" t="str">
        <f t="shared" si="113"/>
        <v>NW</v>
      </c>
      <c r="AH165" s="109" t="str">
        <f t="shared" si="47"/>
        <v>"%USERPROFILE%\Documents\GitHub\eaglep3\Utilities\RefineRTDCRunTimes.py" --tripid 807-10 --locoid 4044 --swversion DE.1.0.7.0 --startMP 204:990 --initTime 2016-08-10T07:10:04 --startdatetime 2016-08-10T07:12:03 --delay 1 --endMP 300:58912 --enddatetime 2016-08-10T07:35:32 --enforcementcount 0</v>
      </c>
    </row>
    <row r="166" spans="1:34" x14ac:dyDescent="0.25">
      <c r="A166" s="42" t="s">
        <v>512</v>
      </c>
      <c r="B166" s="7">
        <v>4043</v>
      </c>
      <c r="C166" s="25" t="s">
        <v>137</v>
      </c>
      <c r="D166" s="25" t="s">
        <v>233</v>
      </c>
      <c r="E166" s="16">
        <v>42592.317662037036</v>
      </c>
      <c r="F166" s="16">
        <v>42592.318495370368</v>
      </c>
      <c r="G166" s="7">
        <v>1</v>
      </c>
      <c r="H166" s="16" t="s">
        <v>513</v>
      </c>
      <c r="I166" s="16">
        <v>42592.330069444448</v>
      </c>
      <c r="J166" s="7">
        <v>0</v>
      </c>
      <c r="K166" s="25" t="str">
        <f t="shared" si="86"/>
        <v>4043/4044</v>
      </c>
      <c r="L166" s="25" t="str">
        <f>VLOOKUP(A166,'Trips&amp;Operators'!$C$1:$E$10000,3,FALSE)</f>
        <v>OUN</v>
      </c>
      <c r="M166" s="6">
        <f t="shared" si="87"/>
        <v>1.1574074080272112E-2</v>
      </c>
      <c r="N166" s="7">
        <f t="shared" si="88"/>
        <v>16.666666675591841</v>
      </c>
      <c r="O166" s="7"/>
      <c r="P166" s="7"/>
      <c r="Q166" s="26"/>
      <c r="R166" s="26"/>
      <c r="S166" s="38">
        <f t="shared" si="107"/>
        <v>1</v>
      </c>
      <c r="T166" s="55" t="str">
        <f t="shared" si="108"/>
        <v>Southbound</v>
      </c>
      <c r="U166" s="14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06:37:26-0600',mode:absolute,to:'2016-08-10 08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66" s="57" t="str">
        <f t="shared" si="110"/>
        <v>N</v>
      </c>
      <c r="X166" s="136">
        <f t="shared" si="111"/>
        <v>1</v>
      </c>
      <c r="Y166" s="72">
        <f t="shared" si="89"/>
        <v>5.8596000000000004</v>
      </c>
      <c r="Z166" s="72">
        <f t="shared" si="90"/>
        <v>6.8900000000000003E-2</v>
      </c>
      <c r="AA166" s="72">
        <f t="shared" si="91"/>
        <v>5.7907000000000002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112"/>
        <v>0808-10</v>
      </c>
      <c r="AE166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66" s="105" t="str">
        <f t="shared" si="93"/>
        <v>"C:\Program Files (x86)\AstroGrep\AstroGrep.exe" /spath="%USERPROFILE%\AppData\Local\Temp\OnboardLogs" /stypes="*4043*20160810*" /stext=" 13:.+((SYSTEM_STATE.+slice.+state.+changed )|(ment ac)|(system.+state.+changed )|(\|lc)|(penalty)|(\[timeout)|(PRM\|1\|D)|(kpr)|(kdp))" /e /r /s</v>
      </c>
      <c r="AG166" s="1" t="str">
        <f t="shared" si="113"/>
        <v>NW</v>
      </c>
      <c r="AH166" s="109" t="str">
        <f t="shared" si="47"/>
        <v>"%USERPROFILE%\Documents\GitHub\eaglep3\Utilities\RefineRTDCRunTimes.py" --tripid 808-10 --locoid 4043 --swversion DE.1.0.7.0 --startMP 300:58596 --initTime 2016-08-10T07:37:26 --startdatetime 2016-08-10T07:38:38 --delay 1 --endMP 204:689 --enddatetime 2016-08-10T07:55:18 --enforcementcount 0</v>
      </c>
    </row>
    <row r="167" spans="1:34" x14ac:dyDescent="0.25">
      <c r="A167" s="42" t="s">
        <v>514</v>
      </c>
      <c r="B167" s="7">
        <v>4014</v>
      </c>
      <c r="C167" s="25" t="s">
        <v>137</v>
      </c>
      <c r="D167" s="25" t="s">
        <v>500</v>
      </c>
      <c r="E167" s="16">
        <v>42592.324201388888</v>
      </c>
      <c r="F167" s="16">
        <v>42592.324988425928</v>
      </c>
      <c r="G167" s="7">
        <v>1</v>
      </c>
      <c r="H167" s="16" t="s">
        <v>515</v>
      </c>
      <c r="I167" s="16">
        <v>42592.336712962962</v>
      </c>
      <c r="J167" s="7">
        <v>0</v>
      </c>
      <c r="K167" s="25" t="str">
        <f t="shared" si="86"/>
        <v>4013/4014</v>
      </c>
      <c r="L167" s="25" t="str">
        <f>VLOOKUP(A167,'Trips&amp;Operators'!$C$1:$E$10000,3,FALSE)</f>
        <v>GRASTON</v>
      </c>
      <c r="M167" s="6">
        <f t="shared" si="87"/>
        <v>1.1724537034751847E-2</v>
      </c>
      <c r="N167" s="7">
        <f t="shared" si="88"/>
        <v>16.88333333004266</v>
      </c>
      <c r="O167" s="7"/>
      <c r="P167" s="7"/>
      <c r="Q167" s="26"/>
      <c r="R167" s="26"/>
      <c r="S167" s="38">
        <f t="shared" si="107"/>
        <v>1</v>
      </c>
      <c r="T167" s="55" t="str">
        <f t="shared" si="108"/>
        <v>NorthBound</v>
      </c>
      <c r="U167" s="14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06:46:51-0600',mode:absolute,to:'2016-08-10 09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67" s="57" t="str">
        <f t="shared" si="110"/>
        <v>N</v>
      </c>
      <c r="X167" s="136">
        <f t="shared" si="111"/>
        <v>1</v>
      </c>
      <c r="Y167" s="72">
        <f t="shared" si="89"/>
        <v>9.69E-2</v>
      </c>
      <c r="Z167" s="72">
        <f t="shared" si="90"/>
        <v>5.8936999999999999</v>
      </c>
      <c r="AA167" s="72">
        <f t="shared" si="91"/>
        <v>5.7968000000000002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112"/>
        <v>0809-10</v>
      </c>
      <c r="AE167" s="108" t="str">
        <f t="shared" si="92"/>
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</c>
      <c r="AF167" s="105" t="str">
        <f t="shared" si="93"/>
        <v>"C:\Program Files (x86)\AstroGrep\AstroGrep.exe" /spath="%USERPROFILE%\AppData\Local\Temp\OnboardLogs" /stypes="*4014*20160810*" /stext=" 14:.+((SYSTEM_STATE.+slice.+state.+changed )|(ment ac)|(system.+state.+changed )|(\|lc)|(penalty)|(\[timeout)|(PRM\|1\|D)|(kpr)|(kdp))" /e /r /s</v>
      </c>
      <c r="AG167" s="1" t="str">
        <f t="shared" si="113"/>
        <v>NW</v>
      </c>
      <c r="AH167" s="109" t="str">
        <f t="shared" si="47"/>
        <v>"%USERPROFILE%\Documents\GitHub\eaglep3\Utilities\RefineRTDCRunTimes.py" --tripid 809-10 --locoid 4014 --swversion DE.1.0.7.0 --startMP 204:969 --initTime 2016-08-10T07:46:51 --startdatetime 2016-08-10T07:47:59 --delay 1 --endMP 300:58937 --enddatetime 2016-08-10T08:04:52 --enforcementcount 0</v>
      </c>
    </row>
    <row r="168" spans="1:34" x14ac:dyDescent="0.25">
      <c r="A168" s="42" t="s">
        <v>516</v>
      </c>
      <c r="B168" s="7">
        <v>4013</v>
      </c>
      <c r="C168" s="25" t="s">
        <v>137</v>
      </c>
      <c r="D168" s="25" t="s">
        <v>282</v>
      </c>
      <c r="E168" s="16">
        <v>42592.337650462963</v>
      </c>
      <c r="F168" s="16">
        <v>42592.338703703703</v>
      </c>
      <c r="G168" s="7">
        <v>1</v>
      </c>
      <c r="H168" s="16" t="s">
        <v>289</v>
      </c>
      <c r="I168" s="16">
        <v>42592.350821759261</v>
      </c>
      <c r="J168" s="7">
        <v>0</v>
      </c>
      <c r="K168" s="25" t="str">
        <f t="shared" si="86"/>
        <v>4013/4014</v>
      </c>
      <c r="L168" s="25" t="str">
        <f>VLOOKUP(A168,'Trips&amp;Operators'!$C$1:$E$10000,3,FALSE)</f>
        <v>GRASTON</v>
      </c>
      <c r="M168" s="6">
        <f t="shared" si="87"/>
        <v>1.2118055557948537E-2</v>
      </c>
      <c r="N168" s="7">
        <f t="shared" si="88"/>
        <v>17.450000003445894</v>
      </c>
      <c r="O168" s="7"/>
      <c r="P168" s="7"/>
      <c r="Q168" s="26"/>
      <c r="R168" s="26"/>
      <c r="S168" s="38">
        <f t="shared" si="107"/>
        <v>1</v>
      </c>
      <c r="T168" s="55" t="str">
        <f t="shared" si="108"/>
        <v>Southbound</v>
      </c>
      <c r="U168" s="14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07:06:13-0600',mode:absolute,to:'2016-08-10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8" s="57" t="str">
        <f t="shared" si="110"/>
        <v>N</v>
      </c>
      <c r="X168" s="136">
        <f t="shared" si="111"/>
        <v>1</v>
      </c>
      <c r="Y168" s="72">
        <f t="shared" si="89"/>
        <v>5.8608000000000002</v>
      </c>
      <c r="Z168" s="72">
        <f t="shared" si="90"/>
        <v>6.8699999999999997E-2</v>
      </c>
      <c r="AA168" s="72">
        <f t="shared" si="91"/>
        <v>5.7921000000000005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112"/>
        <v>0810-10</v>
      </c>
      <c r="AE168" s="108" t="str">
        <f t="shared" si="92"/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AF168" s="105" t="str">
        <f t="shared" si="93"/>
        <v>"C:\Program Files (x86)\AstroGrep\AstroGrep.exe" /spath="%USERPROFILE%\AppData\Local\Temp\OnboardLogs" /stypes="*4013*20160810*" /stext=" 14:.+((SYSTEM_STATE.+slice.+state.+changed )|(ment ac)|(system.+state.+changed )|(\|lc)|(penalty)|(\[timeout)|(PRM\|1\|D)|(kpr)|(kdp))" /e /r /s</v>
      </c>
      <c r="AG168" s="1" t="str">
        <f t="shared" si="113"/>
        <v>NW</v>
      </c>
      <c r="AH168" s="109" t="str">
        <f t="shared" si="47"/>
        <v>"%USERPROFILE%\Documents\GitHub\eaglep3\Utilities\RefineRTDCRunTimes.py" --tripid 810-10 --locoid 4013 --swversion DE.1.0.7.0 --startMP 300:58608 --initTime 2016-08-10T08:06:13 --startdatetime 2016-08-10T08:07:44 --delay 1 --endMP 204:687 --enddatetime 2016-08-10T08:25:11 --enforcementcount 0</v>
      </c>
    </row>
    <row r="169" spans="1:34" x14ac:dyDescent="0.25">
      <c r="A169" s="42" t="s">
        <v>517</v>
      </c>
      <c r="B169" s="7">
        <v>4044</v>
      </c>
      <c r="C169" s="25" t="s">
        <v>137</v>
      </c>
      <c r="D169" s="25" t="s">
        <v>281</v>
      </c>
      <c r="E169" s="16">
        <v>42592.343425925923</v>
      </c>
      <c r="F169" s="16">
        <v>42592.344340277778</v>
      </c>
      <c r="G169" s="7">
        <v>1</v>
      </c>
      <c r="H169" s="16" t="s">
        <v>518</v>
      </c>
      <c r="I169" s="16">
        <v>42592.357685185183</v>
      </c>
      <c r="J169" s="7">
        <v>0</v>
      </c>
      <c r="K169" s="25" t="str">
        <f t="shared" si="86"/>
        <v>4043/4044</v>
      </c>
      <c r="L169" s="25" t="str">
        <f>VLOOKUP(A169,'Trips&amp;Operators'!$C$1:$E$10000,3,FALSE)</f>
        <v>OUN</v>
      </c>
      <c r="M169" s="6">
        <f t="shared" si="87"/>
        <v>1.3344907405553386E-2</v>
      </c>
      <c r="N169" s="7">
        <f t="shared" si="88"/>
        <v>19.216666663996875</v>
      </c>
      <c r="O169" s="7"/>
      <c r="P169" s="7"/>
      <c r="Q169" s="26"/>
      <c r="R169" s="26"/>
      <c r="S169" s="38">
        <f t="shared" si="107"/>
        <v>1</v>
      </c>
      <c r="T169" s="55" t="str">
        <f t="shared" si="108"/>
        <v>NorthBound</v>
      </c>
      <c r="U169" s="14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07:14:32-0600',mode:absolute,to:'2016-08-10 09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69" s="57" t="str">
        <f t="shared" si="110"/>
        <v>N</v>
      </c>
      <c r="X169" s="136">
        <f t="shared" si="111"/>
        <v>1</v>
      </c>
      <c r="Y169" s="72">
        <f t="shared" si="89"/>
        <v>9.7100000000000006E-2</v>
      </c>
      <c r="Z169" s="72">
        <f t="shared" si="90"/>
        <v>5.8906999999999998</v>
      </c>
      <c r="AA169" s="72">
        <f t="shared" si="91"/>
        <v>5.7935999999999996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112"/>
        <v>0811-10</v>
      </c>
      <c r="AE169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69" s="105" t="str">
        <f t="shared" si="93"/>
        <v>"C:\Program Files (x86)\AstroGrep\AstroGrep.exe" /spath="%USERPROFILE%\AppData\Local\Temp\OnboardLogs" /stypes="*4044*20160810*" /stext=" 14:.+((SYSTEM_STATE.+slice.+state.+changed )|(ment ac)|(system.+state.+changed )|(\|lc)|(penalty)|(\[timeout)|(PRM\|1\|D)|(kpr)|(kdp))" /e /r /s</v>
      </c>
      <c r="AG169" s="1" t="str">
        <f t="shared" si="113"/>
        <v>NW</v>
      </c>
      <c r="AH169" s="109" t="str">
        <f t="shared" si="47"/>
        <v>"%USERPROFILE%\Documents\GitHub\eaglep3\Utilities\RefineRTDCRunTimes.py" --tripid 811-10 --locoid 4044 --swversion DE.1.0.7.0 --startMP 204:971 --initTime 2016-08-10T08:14:32 --startdatetime 2016-08-10T08:15:51 --delay 1 --endMP 300:58907 --enddatetime 2016-08-10T08:35:04 --enforcementcount 0</v>
      </c>
    </row>
    <row r="170" spans="1:34" x14ac:dyDescent="0.25">
      <c r="A170" s="42" t="s">
        <v>519</v>
      </c>
      <c r="B170" s="7">
        <v>4043</v>
      </c>
      <c r="C170" s="25" t="s">
        <v>137</v>
      </c>
      <c r="D170" s="25" t="s">
        <v>520</v>
      </c>
      <c r="E170" s="16">
        <v>42592.359027777777</v>
      </c>
      <c r="F170" s="16">
        <v>42592.359884259262</v>
      </c>
      <c r="G170" s="7">
        <v>1</v>
      </c>
      <c r="H170" s="16" t="s">
        <v>287</v>
      </c>
      <c r="I170" s="16">
        <v>42592.377060185187</v>
      </c>
      <c r="J170" s="7">
        <v>0</v>
      </c>
      <c r="K170" s="25" t="str">
        <f t="shared" si="86"/>
        <v>4043/4044</v>
      </c>
      <c r="L170" s="25" t="str">
        <f>VLOOKUP(A170,'Trips&amp;Operators'!$C$1:$E$10000,3,FALSE)</f>
        <v>OUN</v>
      </c>
      <c r="M170" s="6">
        <f t="shared" si="87"/>
        <v>1.7175925924675539E-2</v>
      </c>
      <c r="N170" s="7">
        <f t="shared" si="88"/>
        <v>24.733333331532776</v>
      </c>
      <c r="O170" s="7"/>
      <c r="P170" s="7"/>
      <c r="Q170" s="26"/>
      <c r="R170" s="26"/>
      <c r="S170" s="38">
        <f t="shared" si="107"/>
        <v>1</v>
      </c>
      <c r="T170" s="55" t="str">
        <f t="shared" si="108"/>
        <v>Southbound</v>
      </c>
      <c r="U170" s="14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07:37:00-0600',mode:absolute,to:'2016-08-10 10:02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70" s="57" t="str">
        <f t="shared" si="110"/>
        <v>N</v>
      </c>
      <c r="X170" s="136">
        <f t="shared" si="111"/>
        <v>1</v>
      </c>
      <c r="Y170" s="72">
        <f t="shared" si="89"/>
        <v>5.8586999999999998</v>
      </c>
      <c r="Z170" s="72">
        <f t="shared" si="90"/>
        <v>6.9099999999999995E-2</v>
      </c>
      <c r="AA170" s="72">
        <f t="shared" si="91"/>
        <v>5.7896000000000001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112"/>
        <v>0812-10</v>
      </c>
      <c r="AE170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70" s="105" t="str">
        <f t="shared" si="93"/>
        <v>"C:\Program Files (x86)\AstroGrep\AstroGrep.exe" /spath="%USERPROFILE%\AppData\Local\Temp\OnboardLogs" /stypes="*4043*20160810*" /stext=" 15:.+((SYSTEM_STATE.+slice.+state.+changed )|(ment ac)|(system.+state.+changed )|(\|lc)|(penalty)|(\[timeout)|(PRM\|1\|D)|(kpr)|(kdp))" /e /r /s</v>
      </c>
      <c r="AG170" s="1" t="str">
        <f t="shared" si="113"/>
        <v>NW</v>
      </c>
      <c r="AH170" s="109" t="str">
        <f t="shared" si="47"/>
        <v>"%USERPROFILE%\Documents\GitHub\eaglep3\Utilities\RefineRTDCRunTimes.py" --tripid 812-10 --locoid 4043 --swversion DE.1.0.7.0 --startMP 300:58587 --initTime 2016-08-10T08:37:00 --startdatetime 2016-08-10T08:38:14 --delay 1 --endMP 204:691 --enddatetime 2016-08-10T09:02:58 --enforcementcount 0</v>
      </c>
    </row>
    <row r="171" spans="1:34" x14ac:dyDescent="0.25">
      <c r="A171" s="42" t="s">
        <v>521</v>
      </c>
      <c r="B171" s="7">
        <v>4044</v>
      </c>
      <c r="C171" s="25" t="s">
        <v>137</v>
      </c>
      <c r="D171" s="25" t="s">
        <v>506</v>
      </c>
      <c r="E171" s="16">
        <v>42592.387118055558</v>
      </c>
      <c r="F171" s="16">
        <v>42592.388159722221</v>
      </c>
      <c r="G171" s="7">
        <v>1</v>
      </c>
      <c r="H171" s="16" t="s">
        <v>283</v>
      </c>
      <c r="I171" s="16">
        <v>42592.399606481478</v>
      </c>
      <c r="J171" s="7">
        <v>0</v>
      </c>
      <c r="K171" s="25" t="str">
        <f t="shared" si="86"/>
        <v>4043/4044</v>
      </c>
      <c r="L171" s="25" t="str">
        <f>VLOOKUP(A171,'Trips&amp;Operators'!$C$1:$E$10000,3,FALSE)</f>
        <v>OUN</v>
      </c>
      <c r="M171" s="6">
        <f t="shared" si="87"/>
        <v>1.1446759257523809E-2</v>
      </c>
      <c r="N171" s="7">
        <f t="shared" si="88"/>
        <v>16.483333330834284</v>
      </c>
      <c r="O171" s="7"/>
      <c r="P171" s="7"/>
      <c r="Q171" s="26"/>
      <c r="R171" s="26"/>
      <c r="S171" s="38">
        <f t="shared" si="107"/>
        <v>1</v>
      </c>
      <c r="T171" s="55" t="str">
        <f t="shared" si="108"/>
        <v>NorthBound</v>
      </c>
      <c r="U171" s="14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08:17:27-0600',mode:absolute,to:'2016-08-10 10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71" s="57" t="str">
        <f t="shared" si="110"/>
        <v>N</v>
      </c>
      <c r="X171" s="136">
        <f t="shared" si="111"/>
        <v>1</v>
      </c>
      <c r="Y171" s="72">
        <f t="shared" si="89"/>
        <v>9.74E-2</v>
      </c>
      <c r="Z171" s="72">
        <f t="shared" si="90"/>
        <v>5.8914</v>
      </c>
      <c r="AA171" s="72">
        <f t="shared" si="91"/>
        <v>5.7939999999999996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112"/>
        <v>0813-10</v>
      </c>
      <c r="AE171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71" s="105" t="str">
        <f t="shared" si="93"/>
        <v>"C:\Program Files (x86)\AstroGrep\AstroGrep.exe" /spath="%USERPROFILE%\AppData\Local\Temp\OnboardLogs" /stypes="*4044*20160810*" /stext=" 15:.+((SYSTEM_STATE.+slice.+state.+changed )|(ment ac)|(system.+state.+changed )|(\|lc)|(penalty)|(\[timeout)|(PRM\|1\|D)|(kpr)|(kdp))" /e /r /s</v>
      </c>
      <c r="AG171" s="1" t="str">
        <f t="shared" si="113"/>
        <v>NW</v>
      </c>
      <c r="AH171" s="109" t="str">
        <f t="shared" si="47"/>
        <v>"%USERPROFILE%\Documents\GitHub\eaglep3\Utilities\RefineRTDCRunTimes.py" --tripid 813-10 --locoid 4044 --swversion DE.1.0.7.0 --startMP 204:974 --initTime 2016-08-10T09:17:27 --startdatetime 2016-08-10T09:18:57 --delay 1 --endMP 300:58914 --enddatetime 2016-08-10T09:35:26 --enforcementcount 0</v>
      </c>
    </row>
    <row r="172" spans="1:34" x14ac:dyDescent="0.25">
      <c r="A172" s="42" t="s">
        <v>522</v>
      </c>
      <c r="B172" s="7">
        <v>4043</v>
      </c>
      <c r="C172" s="25" t="s">
        <v>137</v>
      </c>
      <c r="D172" s="25" t="s">
        <v>197</v>
      </c>
      <c r="E172" s="16">
        <v>42592.400810185187</v>
      </c>
      <c r="F172" s="16">
        <v>42592.40179398148</v>
      </c>
      <c r="G172" s="7">
        <v>1</v>
      </c>
      <c r="H172" s="16" t="s">
        <v>504</v>
      </c>
      <c r="I172" s="16">
        <v>42592.413680555554</v>
      </c>
      <c r="J172" s="7">
        <v>1</v>
      </c>
      <c r="K172" s="25" t="str">
        <f t="shared" si="86"/>
        <v>4043/4044</v>
      </c>
      <c r="L172" s="25" t="str">
        <f>VLOOKUP(A172,'Trips&amp;Operators'!$C$1:$E$10000,3,FALSE)</f>
        <v>OUN</v>
      </c>
      <c r="M172" s="6">
        <f t="shared" si="87"/>
        <v>1.1886574073287193E-2</v>
      </c>
      <c r="N172" s="7">
        <f t="shared" si="88"/>
        <v>17.116666665533558</v>
      </c>
      <c r="O172" s="7"/>
      <c r="P172" s="7"/>
      <c r="Q172" s="26"/>
      <c r="R172" s="26"/>
      <c r="S172" s="38">
        <f t="shared" si="107"/>
        <v>1</v>
      </c>
      <c r="T172" s="55" t="str">
        <f t="shared" si="108"/>
        <v>Southbound</v>
      </c>
      <c r="U172" s="14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08:37:10-0600',mode:absolute,to:'2016-08-10 10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72" s="57" t="str">
        <f t="shared" si="110"/>
        <v>N</v>
      </c>
      <c r="X172" s="136">
        <f t="shared" si="111"/>
        <v>1</v>
      </c>
      <c r="Y172" s="72">
        <f t="shared" si="89"/>
        <v>5.8605999999999998</v>
      </c>
      <c r="Z172" s="72">
        <f t="shared" si="90"/>
        <v>6.9199999999999998E-2</v>
      </c>
      <c r="AA172" s="72">
        <f t="shared" si="91"/>
        <v>5.7913999999999994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112"/>
        <v>0814-10</v>
      </c>
      <c r="AE172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72" s="105" t="str">
        <f t="shared" si="93"/>
        <v>"C:\Program Files (x86)\AstroGrep\AstroGrep.exe" /spath="%USERPROFILE%\AppData\Local\Temp\OnboardLogs" /stypes="*4043*20160810*" /stext=" 15:.+((SYSTEM_STATE.+slice.+state.+changed )|(ment ac)|(system.+state.+changed )|(\|lc)|(penalty)|(\[timeout)|(PRM\|1\|D)|(kpr)|(kdp))" /e /r /s</v>
      </c>
      <c r="AG172" s="1" t="str">
        <f t="shared" si="113"/>
        <v>NW</v>
      </c>
      <c r="AH172" s="109" t="str">
        <f t="shared" ref="AH172:AH175" si="114">refinertdcruntimes&amp;" --tripid "&amp;A172&amp;" --locoid "&amp;B172&amp;" --swversion "&amp;C172&amp;" --startMP "&amp;D172&amp;" --initTime "&amp;TEXT(E172,"yyyy-mm-ddTHH:MM:SS")&amp;" --startdatetime "&amp;TEXT(F172,"yyyy-mm-ddTHH:MM:SS")&amp;" --delay "&amp;G172&amp;" --endMP "&amp;H172&amp;" --enddatetime "&amp;TEXT(I172,"yyyy-mm-ddTHH:MM:SS")&amp;" --enforcementcount "&amp;J172</f>
        <v>"%USERPROFILE%\Documents\GitHub\eaglep3\Utilities\RefineRTDCRunTimes.py" --tripid 814-10 --locoid 4043 --swversion DE.1.0.7.0 --startMP 300:58606 --initTime 2016-08-10T09:37:10 --startdatetime 2016-08-10T09:38:35 --delay 1 --endMP 204:692 --enddatetime 2016-08-10T09:55:42 --enforcementcount 1</v>
      </c>
    </row>
    <row r="173" spans="1:34" x14ac:dyDescent="0.25">
      <c r="A173" s="42" t="s">
        <v>523</v>
      </c>
      <c r="B173" s="7">
        <v>4044</v>
      </c>
      <c r="C173" s="25" t="s">
        <v>137</v>
      </c>
      <c r="D173" s="25" t="s">
        <v>235</v>
      </c>
      <c r="E173" s="16">
        <v>42592.428379629629</v>
      </c>
      <c r="F173" s="16">
        <v>42592.429525462961</v>
      </c>
      <c r="G173" s="7">
        <v>1</v>
      </c>
      <c r="H173" s="16" t="s">
        <v>524</v>
      </c>
      <c r="I173" s="16">
        <v>42592.442256944443</v>
      </c>
      <c r="J173" s="7">
        <v>1</v>
      </c>
      <c r="K173" s="25" t="str">
        <f t="shared" si="86"/>
        <v>4043/4044</v>
      </c>
      <c r="L173" s="25" t="str">
        <f>VLOOKUP(A173,'Trips&amp;Operators'!$C$1:$E$10000,3,FALSE)</f>
        <v>OUN</v>
      </c>
      <c r="M173" s="6">
        <f t="shared" si="87"/>
        <v>1.2731481481750961E-2</v>
      </c>
      <c r="N173" s="7">
        <f t="shared" si="88"/>
        <v>18.333333333721384</v>
      </c>
      <c r="O173" s="7"/>
      <c r="P173" s="7"/>
      <c r="Q173" s="26"/>
      <c r="R173" s="26"/>
      <c r="S173" s="38">
        <f t="shared" si="107"/>
        <v>1</v>
      </c>
      <c r="T173" s="55" t="str">
        <f t="shared" si="108"/>
        <v>NorthBound</v>
      </c>
      <c r="U173" s="14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09:16:52-0600',mode:absolute,to:'2016-08-10 11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73" s="57" t="str">
        <f t="shared" si="110"/>
        <v>N</v>
      </c>
      <c r="X173" s="136">
        <f t="shared" si="111"/>
        <v>1</v>
      </c>
      <c r="Y173" s="72">
        <f t="shared" si="89"/>
        <v>9.7600000000000006E-2</v>
      </c>
      <c r="Z173" s="72">
        <f t="shared" si="90"/>
        <v>5.8898999999999999</v>
      </c>
      <c r="AA173" s="72">
        <f t="shared" si="91"/>
        <v>5.7923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si="112"/>
        <v>0815-10</v>
      </c>
      <c r="AE173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73" s="105" t="str">
        <f t="shared" si="93"/>
        <v>"C:\Program Files (x86)\AstroGrep\AstroGrep.exe" /spath="%USERPROFILE%\AppData\Local\Temp\OnboardLogs" /stypes="*4044*20160810*" /stext=" 16:.+((SYSTEM_STATE.+slice.+state.+changed )|(ment ac)|(system.+state.+changed )|(\|lc)|(penalty)|(\[timeout)|(PRM\|1\|D)|(kpr)|(kdp))" /e /r /s</v>
      </c>
      <c r="AG173" s="1" t="str">
        <f t="shared" si="113"/>
        <v>NW</v>
      </c>
      <c r="AH173" s="109" t="str">
        <f t="shared" si="114"/>
        <v>"%USERPROFILE%\Documents\GitHub\eaglep3\Utilities\RefineRTDCRunTimes.py" --tripid 815-10 --locoid 4044 --swversion DE.1.0.7.0 --startMP 204:976 --initTime 2016-08-10T10:16:52 --startdatetime 2016-08-10T10:18:31 --delay 1 --endMP 300:58899 --enddatetime 2016-08-10T10:36:51 --enforcementcount 1</v>
      </c>
    </row>
    <row r="174" spans="1:34" x14ac:dyDescent="0.25">
      <c r="A174" s="42" t="s">
        <v>525</v>
      </c>
      <c r="B174" s="7">
        <v>4043</v>
      </c>
      <c r="C174" s="25" t="s">
        <v>137</v>
      </c>
      <c r="D174" s="25" t="s">
        <v>526</v>
      </c>
      <c r="E174" s="16">
        <v>42592.443749999999</v>
      </c>
      <c r="F174" s="16">
        <v>42592.445543981485</v>
      </c>
      <c r="G174" s="7">
        <v>2</v>
      </c>
      <c r="H174" s="16" t="s">
        <v>527</v>
      </c>
      <c r="I174" s="16">
        <v>42592.459467592591</v>
      </c>
      <c r="J174" s="7">
        <v>1</v>
      </c>
      <c r="K174" s="25" t="str">
        <f t="shared" si="86"/>
        <v>4043/4044</v>
      </c>
      <c r="L174" s="25" t="str">
        <f>VLOOKUP(A174,'Trips&amp;Operators'!$C$1:$E$10000,3,FALSE)</f>
        <v>OUN</v>
      </c>
      <c r="M174" s="6">
        <f t="shared" si="87"/>
        <v>1.392361110629281E-2</v>
      </c>
      <c r="N174" s="7">
        <f t="shared" si="88"/>
        <v>20.049999993061647</v>
      </c>
      <c r="O174" s="7"/>
      <c r="P174" s="7"/>
      <c r="Q174" s="26"/>
      <c r="R174" s="26"/>
      <c r="S174" s="38">
        <f t="shared" si="107"/>
        <v>1</v>
      </c>
      <c r="T174" s="55" t="str">
        <f t="shared" si="108"/>
        <v>Southbound</v>
      </c>
      <c r="U174" s="14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09:39:00-0600',mode:absolute,to:'2016-08-10 12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74" s="57" t="str">
        <f t="shared" si="110"/>
        <v>N</v>
      </c>
      <c r="X174" s="136">
        <f t="shared" ref="X174:X180" si="115">VALUE(LEFT(AD174,4))-VALUE(LEFT(AD173,4))</f>
        <v>1</v>
      </c>
      <c r="Y174" s="72">
        <f t="shared" si="89"/>
        <v>5.8585000000000003</v>
      </c>
      <c r="Z174" s="72">
        <f t="shared" si="90"/>
        <v>6.9900000000000004E-2</v>
      </c>
      <c r="AA174" s="72">
        <f t="shared" si="91"/>
        <v>5.7886000000000006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112"/>
        <v>0816-10</v>
      </c>
      <c r="AE174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74" s="105" t="str">
        <f t="shared" si="93"/>
        <v>"C:\Program Files (x86)\AstroGrep\AstroGrep.exe" /spath="%USERPROFILE%\AppData\Local\Temp\OnboardLogs" /stypes="*4043*20160810*" /stext=" 17:.+((SYSTEM_STATE.+slice.+state.+changed )|(ment ac)|(system.+state.+changed )|(\|lc)|(penalty)|(\[timeout)|(PRM\|1\|D)|(kpr)|(kdp))" /e /r /s</v>
      </c>
      <c r="AG174" s="1" t="str">
        <f t="shared" si="113"/>
        <v>NW</v>
      </c>
      <c r="AH174" s="109" t="str">
        <f t="shared" si="114"/>
        <v>"%USERPROFILE%\Documents\GitHub\eaglep3\Utilities\RefineRTDCRunTimes.py" --tripid 816-10 --locoid 4043 --swversion DE.1.0.7.0 --startMP 300:58585 --initTime 2016-08-10T10:39:00 --startdatetime 2016-08-10T10:41:35 --delay 2 --endMP 204:699 --enddatetime 2016-08-10T11:01:38 --enforcementcount 1</v>
      </c>
    </row>
    <row r="175" spans="1:34" x14ac:dyDescent="0.25">
      <c r="A175" s="42" t="s">
        <v>528</v>
      </c>
      <c r="B175" s="7">
        <v>4044</v>
      </c>
      <c r="C175" s="25" t="s">
        <v>137</v>
      </c>
      <c r="D175" s="25" t="s">
        <v>529</v>
      </c>
      <c r="E175" s="16">
        <v>42592.468078703707</v>
      </c>
      <c r="F175" s="16">
        <v>42592.469652777778</v>
      </c>
      <c r="G175" s="7">
        <v>2</v>
      </c>
      <c r="H175" s="16" t="s">
        <v>284</v>
      </c>
      <c r="I175" s="16">
        <v>42592.483032407406</v>
      </c>
      <c r="J175" s="7">
        <v>0</v>
      </c>
      <c r="K175" s="25" t="str">
        <f t="shared" si="86"/>
        <v>4043/4044</v>
      </c>
      <c r="L175" s="25" t="str">
        <f>VLOOKUP(A175,'Trips&amp;Operators'!$C$1:$E$10000,3,FALSE)</f>
        <v>OUN</v>
      </c>
      <c r="M175" s="6">
        <f t="shared" si="87"/>
        <v>1.3379629628616385E-2</v>
      </c>
      <c r="N175" s="7">
        <f t="shared" si="88"/>
        <v>19.266666665207595</v>
      </c>
      <c r="O175" s="7"/>
      <c r="P175" s="7"/>
      <c r="Q175" s="26"/>
      <c r="R175" s="26"/>
      <c r="S175" s="38">
        <f t="shared" si="107"/>
        <v>1</v>
      </c>
      <c r="T175" s="55" t="str">
        <f t="shared" si="108"/>
        <v>NorthBound</v>
      </c>
      <c r="U175" s="14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5" t="str">
        <f t="shared" si="109"/>
        <v>https://search-rtdc-monitor-bjffxe2xuh6vdkpspy63sjmuny.us-east-1.es.amazonaws.com/_plugin/kibana/#/discover/Steve-Slow-Train-Analysis-(2080s-and-2083s)?_g=(refreshInterval:(display:Off,section:0,value:0),time:(from:'2016-08-10 10:14:02-0600',mode:absolute,to:'2016-08-10 12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75" s="57" t="str">
        <f t="shared" si="110"/>
        <v>N</v>
      </c>
      <c r="X175" s="136">
        <f t="shared" si="115"/>
        <v>1</v>
      </c>
      <c r="Y175" s="72">
        <f t="shared" si="89"/>
        <v>9.8299999999999998E-2</v>
      </c>
      <c r="Z175" s="72">
        <f t="shared" si="90"/>
        <v>5.8910999999999998</v>
      </c>
      <c r="AA175" s="72">
        <f t="shared" si="91"/>
        <v>5.7927999999999997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112"/>
        <v>0817-10</v>
      </c>
      <c r="AE175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75" s="105" t="str">
        <f t="shared" si="93"/>
        <v>"C:\Program Files (x86)\AstroGrep\AstroGrep.exe" /spath="%USERPROFILE%\AppData\Local\Temp\OnboardLogs" /stypes="*4044*20160810*" /stext=" 17:.+((SYSTEM_STATE.+slice.+state.+changed )|(ment ac)|(system.+state.+changed )|(\|lc)|(penalty)|(\[timeout)|(PRM\|1\|D)|(kpr)|(kdp))" /e /r /s</v>
      </c>
      <c r="AG175" s="1" t="str">
        <f t="shared" si="113"/>
        <v>NW</v>
      </c>
      <c r="AH175" s="109" t="str">
        <f t="shared" si="114"/>
        <v>"%USERPROFILE%\Documents\GitHub\eaglep3\Utilities\RefineRTDCRunTimes.py" --tripid 817-10 --locoid 4044 --swversion DE.1.0.7.0 --startMP 204:983 --initTime 2016-08-10T11:14:02 --startdatetime 2016-08-10T11:16:18 --delay 2 --endMP 300:58911 --enddatetime 2016-08-10T11:35:34 --enforcementcount 0</v>
      </c>
    </row>
    <row r="176" spans="1:34" x14ac:dyDescent="0.25">
      <c r="A176" s="42" t="s">
        <v>530</v>
      </c>
      <c r="B176" s="7">
        <v>4043</v>
      </c>
      <c r="C176" s="25" t="s">
        <v>137</v>
      </c>
      <c r="D176" s="25" t="s">
        <v>197</v>
      </c>
      <c r="E176" s="16">
        <v>42592.485509259262</v>
      </c>
      <c r="F176" s="16">
        <v>42592.486458333333</v>
      </c>
      <c r="G176" s="7">
        <v>1</v>
      </c>
      <c r="H176" s="16" t="s">
        <v>531</v>
      </c>
      <c r="I176" s="16">
        <v>42592.497430555559</v>
      </c>
      <c r="J176" s="7">
        <v>0</v>
      </c>
      <c r="K176" s="25" t="str">
        <f t="shared" ref="K176:K209" si="116">IF(ISEVEN(B176),(B176-1)&amp;"/"&amp;B176,B176&amp;"/"&amp;(B176+1))</f>
        <v>4043/4044</v>
      </c>
      <c r="L176" s="25" t="str">
        <f>VLOOKUP(A176,'Trips&amp;Operators'!$C$1:$E$10000,3,FALSE)</f>
        <v>OUN</v>
      </c>
      <c r="M176" s="6">
        <f t="shared" ref="M176:M209" si="117">I176-F176</f>
        <v>1.0972222225973383E-2</v>
      </c>
      <c r="N176" s="7">
        <f t="shared" ref="N176:P209" si="118">24*60*SUM($M176:$M176)</f>
        <v>15.800000005401671</v>
      </c>
      <c r="O176" s="7"/>
      <c r="P176" s="7"/>
      <c r="Q176" s="26"/>
      <c r="R176" s="26"/>
      <c r="S176" s="38">
        <f t="shared" ref="S176:S209" si="119">SUM(U176:U176)/IF(AG176="EC",12,1)</f>
        <v>1</v>
      </c>
      <c r="T176" s="55" t="str">
        <f t="shared" ref="T176:T209" si="120">IF(ISEVEN(LEFT(AD176,4)),"Southbound","NorthBound")</f>
        <v>Southbound</v>
      </c>
      <c r="U176" s="14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5" t="str">
        <f t="shared" ref="V176:V209" si="121"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https://search-rtdc-monitor-bjffxe2xuh6vdkpspy63sjmuny.us-east-1.es.amazonaws.com/_plugin/kibana/#/discover/Steve-Slow-Train-Analysis-(2080s-and-2083s)?_g=(refreshInterval:(display:Off,section:0,value:0),time:(from:'2016-08-10 10:39:08-0600',mode:absolute,to:'2016-08-10 12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76" s="57" t="str">
        <f t="shared" ref="W176:W209" si="122">IF(AA176&lt;IF(AG176="EC",23,5.65),"Y","N")</f>
        <v>N</v>
      </c>
      <c r="X176" s="136">
        <f t="shared" si="115"/>
        <v>1</v>
      </c>
      <c r="Y176" s="72">
        <f t="shared" ref="Y176:Y209" si="123">RIGHT(D176,LEN(D176)-4)/10000</f>
        <v>5.8605999999999998</v>
      </c>
      <c r="Z176" s="72">
        <f t="shared" ref="Z176:Z209" si="124">RIGHT(H176,LEN(H176)-4)/10000</f>
        <v>6.9400000000000003E-2</v>
      </c>
      <c r="AA176" s="72">
        <f t="shared" ref="AA176:AA209" si="125">ABS(Z176-Y176)</f>
        <v>5.7911999999999999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ref="AD176:AD209" si="126">IF(LEN(A176)=6,"0"&amp;A176,A176)</f>
        <v>0818-10</v>
      </c>
      <c r="AE176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76" s="105" t="str">
        <f t="shared" si="93"/>
        <v>"C:\Program Files (x86)\AstroGrep\AstroGrep.exe" /spath="%USERPROFILE%\AppData\Local\Temp\OnboardLogs" /stypes="*4043*20160810*" /stext=" 17:.+((SYSTEM_STATE.+slice.+state.+changed )|(ment ac)|(system.+state.+changed )|(\|lc)|(penalty)|(\[timeout)|(PRM\|1\|D)|(kpr)|(kdp))" /e /r /s</v>
      </c>
      <c r="AG176" s="1" t="str">
        <f t="shared" ref="AG176:AG209" si="127">IF(VALUE(LEFT(AD176,2))&lt;=2,"EC",IF(OR(VALUE(LEFT(AD176,2))=8,VALUE(LEFT(AD176,2))=18),"NW","Other"))</f>
        <v>NW</v>
      </c>
      <c r="AH176" s="109" t="str">
        <f t="shared" ref="AH176:AH209" si="128"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</f>
        <v>"%USERPROFILE%\Documents\GitHub\eaglep3\Utilities\RefineRTDCRunTimes.py" --tripid 818-10 --locoid 4043 --swversion DE.1.0.7.0 --startMP 300:58606 --initTime 2016-08-10T11:39:08 --startdatetime 2016-08-10T11:40:30 --delay 1 --endMP 204:694 --enddatetime 2016-08-10T11:56:18 --enforcementcount 0</v>
      </c>
    </row>
    <row r="177" spans="1:34" x14ac:dyDescent="0.25">
      <c r="A177" s="42" t="s">
        <v>532</v>
      </c>
      <c r="B177" s="7">
        <v>4044</v>
      </c>
      <c r="C177" s="25" t="s">
        <v>137</v>
      </c>
      <c r="D177" s="25" t="s">
        <v>533</v>
      </c>
      <c r="E177" s="16">
        <v>42592.510312500002</v>
      </c>
      <c r="F177" s="16">
        <v>42592.511516203704</v>
      </c>
      <c r="G177" s="7">
        <v>1</v>
      </c>
      <c r="H177" s="16" t="s">
        <v>534</v>
      </c>
      <c r="I177" s="16">
        <v>42592.525393518517</v>
      </c>
      <c r="J177" s="7">
        <v>1</v>
      </c>
      <c r="K177" s="25" t="str">
        <f t="shared" si="116"/>
        <v>4043/4044</v>
      </c>
      <c r="L177" s="25" t="str">
        <f>VLOOKUP(A177,'Trips&amp;Operators'!$C$1:$E$10000,3,FALSE)</f>
        <v>OUN</v>
      </c>
      <c r="M177" s="6">
        <f t="shared" si="117"/>
        <v>1.3877314813726116E-2</v>
      </c>
      <c r="N177" s="7">
        <f t="shared" si="118"/>
        <v>19.983333331765607</v>
      </c>
      <c r="O177" s="7"/>
      <c r="P177" s="7"/>
      <c r="Q177" s="26"/>
      <c r="R177" s="26"/>
      <c r="S177" s="38">
        <f t="shared" si="119"/>
        <v>1</v>
      </c>
      <c r="T177" s="55" t="str">
        <f t="shared" si="120"/>
        <v>NorthBound</v>
      </c>
      <c r="U177" s="14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11:14:51-0600',mode:absolute,to:'2016-08-10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77" s="57" t="str">
        <f t="shared" si="122"/>
        <v>N</v>
      </c>
      <c r="X177" s="136">
        <f t="shared" si="115"/>
        <v>1</v>
      </c>
      <c r="Y177" s="72">
        <f t="shared" si="123"/>
        <v>9.8500000000000004E-2</v>
      </c>
      <c r="Z177" s="72">
        <f t="shared" si="124"/>
        <v>5.8916000000000004</v>
      </c>
      <c r="AA177" s="72">
        <f t="shared" si="125"/>
        <v>5.7931000000000008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126"/>
        <v>0819-10</v>
      </c>
      <c r="AE177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77" s="105" t="str">
        <f t="shared" si="93"/>
        <v>"C:\Program Files (x86)\AstroGrep\AstroGrep.exe" /spath="%USERPROFILE%\AppData\Local\Temp\OnboardLogs" /stypes="*4044*20160810*" /stext=" 18:.+((SYSTEM_STATE.+slice.+state.+changed )|(ment ac)|(system.+state.+changed )|(\|lc)|(penalty)|(\[timeout)|(PRM\|1\|D)|(kpr)|(kdp))" /e /r /s</v>
      </c>
      <c r="AG177" s="1" t="str">
        <f t="shared" si="127"/>
        <v>NW</v>
      </c>
      <c r="AH177" s="109" t="str">
        <f t="shared" si="128"/>
        <v>"%USERPROFILE%\Documents\GitHub\eaglep3\Utilities\RefineRTDCRunTimes.py" --tripid 819-10 --locoid 4044 --swversion DE.1.0.7.0 --startMP 204:985 --initTime 2016-08-10T12:14:51 --startdatetime 2016-08-10T12:16:35 --delay 1 --endMP 300:58916 --enddatetime 2016-08-10T12:36:34 --enforcementcount 1</v>
      </c>
    </row>
    <row r="178" spans="1:34" x14ac:dyDescent="0.25">
      <c r="A178" s="42" t="s">
        <v>535</v>
      </c>
      <c r="B178" s="7">
        <v>4043</v>
      </c>
      <c r="C178" s="25" t="s">
        <v>137</v>
      </c>
      <c r="D178" s="25" t="s">
        <v>536</v>
      </c>
      <c r="E178" s="16">
        <v>42592.527094907404</v>
      </c>
      <c r="F178" s="16">
        <v>42592.528148148151</v>
      </c>
      <c r="G178" s="7">
        <v>1</v>
      </c>
      <c r="H178" s="16" t="s">
        <v>234</v>
      </c>
      <c r="I178" s="16">
        <v>42592.540405092594</v>
      </c>
      <c r="J178" s="7">
        <v>0</v>
      </c>
      <c r="K178" s="25" t="str">
        <f t="shared" si="116"/>
        <v>4043/4044</v>
      </c>
      <c r="L178" s="25" t="str">
        <f>VLOOKUP(A178,'Trips&amp;Operators'!$C$1:$E$10000,3,FALSE)</f>
        <v>OUN</v>
      </c>
      <c r="M178" s="6">
        <f t="shared" si="117"/>
        <v>1.2256944442924578E-2</v>
      </c>
      <c r="N178" s="7">
        <f t="shared" si="118"/>
        <v>17.649999997811392</v>
      </c>
      <c r="O178" s="7"/>
      <c r="P178" s="7"/>
      <c r="Q178" s="26"/>
      <c r="R178" s="26"/>
      <c r="S178" s="38">
        <f t="shared" si="119"/>
        <v>1</v>
      </c>
      <c r="T178" s="55" t="str">
        <f t="shared" si="120"/>
        <v>Southbound</v>
      </c>
      <c r="U178" s="14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11:39:01-0600',mode:absolute,to:'2016-08-10 13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78" s="57" t="str">
        <f t="shared" si="122"/>
        <v>N</v>
      </c>
      <c r="X178" s="136">
        <f t="shared" si="115"/>
        <v>1</v>
      </c>
      <c r="Y178" s="72">
        <f t="shared" si="123"/>
        <v>5.8597999999999999</v>
      </c>
      <c r="Z178" s="72">
        <f t="shared" si="124"/>
        <v>6.8400000000000002E-2</v>
      </c>
      <c r="AA178" s="72">
        <f t="shared" si="125"/>
        <v>5.7914000000000003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126"/>
        <v>0820-10</v>
      </c>
      <c r="AE178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78" s="105" t="str">
        <f t="shared" si="93"/>
        <v>"C:\Program Files (x86)\AstroGrep\AstroGrep.exe" /spath="%USERPROFILE%\AppData\Local\Temp\OnboardLogs" /stypes="*4043*20160810*" /stext=" 18:.+((SYSTEM_STATE.+slice.+state.+changed )|(ment ac)|(system.+state.+changed )|(\|lc)|(penalty)|(\[timeout)|(PRM\|1\|D)|(kpr)|(kdp))" /e /r /s</v>
      </c>
      <c r="AG178" s="1" t="str">
        <f t="shared" si="127"/>
        <v>NW</v>
      </c>
      <c r="AH178" s="109" t="str">
        <f t="shared" si="128"/>
        <v>"%USERPROFILE%\Documents\GitHub\eaglep3\Utilities\RefineRTDCRunTimes.py" --tripid 820-10 --locoid 4043 --swversion DE.1.0.7.0 --startMP 300:58598 --initTime 2016-08-10T12:39:01 --startdatetime 2016-08-10T12:40:32 --delay 1 --endMP 204:684 --enddatetime 2016-08-10T12:58:11 --enforcementcount 0</v>
      </c>
    </row>
    <row r="179" spans="1:34" x14ac:dyDescent="0.25">
      <c r="A179" s="42" t="s">
        <v>537</v>
      </c>
      <c r="B179" s="7">
        <v>4044</v>
      </c>
      <c r="C179" s="25" t="s">
        <v>137</v>
      </c>
      <c r="D179" s="25" t="s">
        <v>235</v>
      </c>
      <c r="E179" s="16">
        <v>42592.549201388887</v>
      </c>
      <c r="F179" s="16">
        <v>42592.550416666665</v>
      </c>
      <c r="G179" s="7">
        <v>1</v>
      </c>
      <c r="H179" s="16" t="s">
        <v>538</v>
      </c>
      <c r="I179" s="16">
        <v>42592.568090277775</v>
      </c>
      <c r="J179" s="7">
        <v>0</v>
      </c>
      <c r="K179" s="25" t="str">
        <f t="shared" si="116"/>
        <v>4043/4044</v>
      </c>
      <c r="L179" s="25" t="str">
        <f>VLOOKUP(A179,'Trips&amp;Operators'!$C$1:$E$10000,3,FALSE)</f>
        <v>MOSES</v>
      </c>
      <c r="M179" s="6">
        <f t="shared" si="117"/>
        <v>1.767361110978527E-2</v>
      </c>
      <c r="N179" s="7">
        <f t="shared" si="118"/>
        <v>25.449999998090789</v>
      </c>
      <c r="O179" s="7"/>
      <c r="P179" s="7"/>
      <c r="Q179" s="26"/>
      <c r="R179" s="26"/>
      <c r="S179" s="38">
        <f t="shared" si="119"/>
        <v>1</v>
      </c>
      <c r="T179" s="55" t="str">
        <f t="shared" si="120"/>
        <v>NorthBound</v>
      </c>
      <c r="U179" s="14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12:10:51-0600',mode:absolute,to:'2016-08-10 14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79" s="57" t="str">
        <f t="shared" si="122"/>
        <v>N</v>
      </c>
      <c r="X179" s="136">
        <f t="shared" si="115"/>
        <v>1</v>
      </c>
      <c r="Y179" s="72">
        <f t="shared" si="123"/>
        <v>9.7600000000000006E-2</v>
      </c>
      <c r="Z179" s="72">
        <f t="shared" si="124"/>
        <v>5.8935000000000004</v>
      </c>
      <c r="AA179" s="72">
        <f t="shared" si="125"/>
        <v>5.7959000000000005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126"/>
        <v>0821-10</v>
      </c>
      <c r="AE179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79" s="105" t="str">
        <f t="shared" si="93"/>
        <v>"C:\Program Files (x86)\AstroGrep\AstroGrep.exe" /spath="%USERPROFILE%\AppData\Local\Temp\OnboardLogs" /stypes="*4044*20160810*" /stext=" 19:.+((SYSTEM_STATE.+slice.+state.+changed )|(ment ac)|(system.+state.+changed )|(\|lc)|(penalty)|(\[timeout)|(PRM\|1\|D)|(kpr)|(kdp))" /e /r /s</v>
      </c>
      <c r="AG179" s="1" t="str">
        <f t="shared" si="127"/>
        <v>NW</v>
      </c>
      <c r="AH179" s="109" t="str">
        <f t="shared" si="128"/>
        <v>"%USERPROFILE%\Documents\GitHub\eaglep3\Utilities\RefineRTDCRunTimes.py" --tripid 821-10 --locoid 4044 --swversion DE.1.0.7.0 --startMP 204:976 --initTime 2016-08-10T13:10:51 --startdatetime 2016-08-10T13:12:36 --delay 1 --endMP 300:58935 --enddatetime 2016-08-10T13:38:03 --enforcementcount 0</v>
      </c>
    </row>
    <row r="180" spans="1:34" x14ac:dyDescent="0.25">
      <c r="A180" s="42" t="s">
        <v>539</v>
      </c>
      <c r="B180" s="7">
        <v>4043</v>
      </c>
      <c r="C180" s="25" t="s">
        <v>137</v>
      </c>
      <c r="D180" s="25" t="s">
        <v>540</v>
      </c>
      <c r="E180" s="16">
        <v>42592.569467592592</v>
      </c>
      <c r="F180" s="16">
        <v>42592.57068287037</v>
      </c>
      <c r="G180" s="7">
        <v>1</v>
      </c>
      <c r="H180" s="16" t="s">
        <v>541</v>
      </c>
      <c r="I180" s="16">
        <v>42592.581712962965</v>
      </c>
      <c r="J180" s="7">
        <v>1</v>
      </c>
      <c r="K180" s="25" t="str">
        <f t="shared" si="116"/>
        <v>4043/4044</v>
      </c>
      <c r="L180" s="25" t="str">
        <f>VLOOKUP(A180,'Trips&amp;Operators'!$C$1:$E$10000,3,FALSE)</f>
        <v>MOSES</v>
      </c>
      <c r="M180" s="6">
        <f t="shared" si="117"/>
        <v>1.1030092595319729E-2</v>
      </c>
      <c r="N180" s="7">
        <f t="shared" si="118"/>
        <v>15.88333333726041</v>
      </c>
      <c r="O180" s="7"/>
      <c r="P180" s="7"/>
      <c r="Q180" s="26"/>
      <c r="R180" s="26"/>
      <c r="S180" s="38">
        <f t="shared" si="119"/>
        <v>1</v>
      </c>
      <c r="T180" s="55" t="str">
        <f t="shared" si="120"/>
        <v>Southbound</v>
      </c>
      <c r="U180" s="14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12:40:02-0600',mode:absolute,to:'2016-08-10 14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80" s="57" t="str">
        <f t="shared" si="122"/>
        <v>N</v>
      </c>
      <c r="X180" s="136">
        <f t="shared" si="115"/>
        <v>1</v>
      </c>
      <c r="Y180" s="72">
        <f t="shared" si="123"/>
        <v>5.8625999999999996</v>
      </c>
      <c r="Z180" s="72">
        <f t="shared" si="124"/>
        <v>7.5200000000000003E-2</v>
      </c>
      <c r="AA180" s="72">
        <f t="shared" si="125"/>
        <v>5.7873999999999999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126"/>
        <v>0822-10</v>
      </c>
      <c r="AE180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80" s="105" t="str">
        <f t="shared" si="93"/>
        <v>"C:\Program Files (x86)\AstroGrep\AstroGrep.exe" /spath="%USERPROFILE%\AppData\Local\Temp\OnboardLogs" /stypes="*4043*20160810*" /stext=" 19:.+((SYSTEM_STATE.+slice.+state.+changed )|(ment ac)|(system.+state.+changed )|(\|lc)|(penalty)|(\[timeout)|(PRM\|1\|D)|(kpr)|(kdp))" /e /r /s</v>
      </c>
      <c r="AG180" s="1" t="str">
        <f t="shared" si="127"/>
        <v>NW</v>
      </c>
      <c r="AH180" s="109" t="str">
        <f t="shared" si="128"/>
        <v>"%USERPROFILE%\Documents\GitHub\eaglep3\Utilities\RefineRTDCRunTimes.py" --tripid 822-10 --locoid 4043 --swversion DE.1.0.7.0 --startMP 300:58626 --initTime 2016-08-10T13:40:02 --startdatetime 2016-08-10T13:41:47 --delay 1 --endMP 204:752 --enddatetime 2016-08-10T13:57:40 --enforcementcount 1</v>
      </c>
    </row>
    <row r="181" spans="1:34" x14ac:dyDescent="0.25">
      <c r="A181" s="42" t="s">
        <v>542</v>
      </c>
      <c r="B181" s="7">
        <v>4044</v>
      </c>
      <c r="C181" s="25" t="s">
        <v>137</v>
      </c>
      <c r="D181" s="25" t="s">
        <v>543</v>
      </c>
      <c r="E181" s="16">
        <v>42592.594953703701</v>
      </c>
      <c r="F181" s="16">
        <v>42592.595995370371</v>
      </c>
      <c r="G181" s="7">
        <v>1</v>
      </c>
      <c r="H181" s="16" t="s">
        <v>544</v>
      </c>
      <c r="I181" s="16">
        <v>42592.608148148145</v>
      </c>
      <c r="J181" s="7">
        <v>0</v>
      </c>
      <c r="K181" s="25" t="str">
        <f t="shared" si="116"/>
        <v>4043/4044</v>
      </c>
      <c r="L181" s="25" t="str">
        <f>VLOOKUP(A181,'Trips&amp;Operators'!$C$1:$E$10000,3,FALSE)</f>
        <v>MOSES</v>
      </c>
      <c r="M181" s="6">
        <f t="shared" si="117"/>
        <v>1.2152777773735579E-2</v>
      </c>
      <c r="N181" s="7">
        <f t="shared" si="118"/>
        <v>17.499999994179234</v>
      </c>
      <c r="O181" s="7"/>
      <c r="P181" s="7"/>
      <c r="Q181" s="26"/>
      <c r="R181" s="26"/>
      <c r="S181" s="38">
        <f t="shared" si="119"/>
        <v>1</v>
      </c>
      <c r="T181" s="55" t="str">
        <f t="shared" si="120"/>
        <v>NorthBound</v>
      </c>
      <c r="U181" s="14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13:16:44-0600',mode:absolute,to:'2016-08-10 15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81" s="57" t="str">
        <f t="shared" si="122"/>
        <v>N</v>
      </c>
      <c r="X181" s="136">
        <f t="shared" ref="X181:X209" si="129">VALUE(LEFT(AD181,4))-VALUE(LEFT(AD180,4))</f>
        <v>1</v>
      </c>
      <c r="Y181" s="72">
        <f t="shared" si="123"/>
        <v>0.10249999999999999</v>
      </c>
      <c r="Z181" s="72">
        <f t="shared" si="124"/>
        <v>5.8963000000000001</v>
      </c>
      <c r="AA181" s="72">
        <f t="shared" si="125"/>
        <v>5.7938000000000001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126"/>
        <v>0823-10</v>
      </c>
      <c r="AE181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81" s="105" t="str">
        <f t="shared" si="93"/>
        <v>"C:\Program Files (x86)\AstroGrep\AstroGrep.exe" /spath="%USERPROFILE%\AppData\Local\Temp\OnboardLogs" /stypes="*4044*20160810*" /stext=" 20:.+((SYSTEM_STATE.+slice.+state.+changed )|(ment ac)|(system.+state.+changed )|(\|lc)|(penalty)|(\[timeout)|(PRM\|1\|D)|(kpr)|(kdp))" /e /r /s</v>
      </c>
      <c r="AG181" s="1" t="str">
        <f t="shared" si="127"/>
        <v>NW</v>
      </c>
      <c r="AH181" s="109" t="str">
        <f t="shared" si="128"/>
        <v>"%USERPROFILE%\Documents\GitHub\eaglep3\Utilities\RefineRTDCRunTimes.py" --tripid 823-10 --locoid 4044 --swversion DE.1.0.7.0 --startMP 204:1025 --initTime 2016-08-10T14:16:44 --startdatetime 2016-08-10T14:18:14 --delay 1 --endMP 300:58963 --enddatetime 2016-08-10T14:35:44 --enforcementcount 0</v>
      </c>
    </row>
    <row r="182" spans="1:34" x14ac:dyDescent="0.25">
      <c r="A182" s="42" t="s">
        <v>545</v>
      </c>
      <c r="B182" s="7">
        <v>4043</v>
      </c>
      <c r="C182" s="25" t="s">
        <v>137</v>
      </c>
      <c r="D182" s="25" t="s">
        <v>546</v>
      </c>
      <c r="E182" s="16">
        <v>42592.609212962961</v>
      </c>
      <c r="F182" s="16">
        <v>42592.610092592593</v>
      </c>
      <c r="G182" s="7">
        <v>1</v>
      </c>
      <c r="H182" s="16" t="s">
        <v>547</v>
      </c>
      <c r="I182" s="16">
        <v>42592.621527777781</v>
      </c>
      <c r="J182" s="7">
        <v>0</v>
      </c>
      <c r="K182" s="25" t="str">
        <f t="shared" si="116"/>
        <v>4043/4044</v>
      </c>
      <c r="L182" s="25" t="str">
        <f>VLOOKUP(A182,'Trips&amp;Operators'!$C$1:$E$10000,3,FALSE)</f>
        <v>MOSES</v>
      </c>
      <c r="M182" s="6">
        <f t="shared" si="117"/>
        <v>1.1435185188020114E-2</v>
      </c>
      <c r="N182" s="7">
        <f t="shared" si="118"/>
        <v>16.466666670748964</v>
      </c>
      <c r="O182" s="7"/>
      <c r="P182" s="7"/>
      <c r="Q182" s="26"/>
      <c r="R182" s="26"/>
      <c r="S182" s="38">
        <f t="shared" si="119"/>
        <v>1</v>
      </c>
      <c r="T182" s="55" t="str">
        <f t="shared" si="120"/>
        <v>Southbound</v>
      </c>
      <c r="U182" s="14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13:37:16-0600',mode:absolute,to:'2016-08-10 15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82" s="57" t="str">
        <f t="shared" si="122"/>
        <v>N</v>
      </c>
      <c r="X182" s="136">
        <f t="shared" si="129"/>
        <v>1</v>
      </c>
      <c r="Y182" s="72">
        <f t="shared" si="123"/>
        <v>5.8644999999999996</v>
      </c>
      <c r="Z182" s="72">
        <f t="shared" si="124"/>
        <v>8.8300000000000003E-2</v>
      </c>
      <c r="AA182" s="72">
        <f t="shared" si="125"/>
        <v>5.7761999999999993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126"/>
        <v>0824-10</v>
      </c>
      <c r="AE182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82" s="105" t="str">
        <f t="shared" si="93"/>
        <v>"C:\Program Files (x86)\AstroGrep\AstroGrep.exe" /spath="%USERPROFILE%\AppData\Local\Temp\OnboardLogs" /stypes="*4043*20160810*" /stext=" 20:.+((SYSTEM_STATE.+slice.+state.+changed )|(ment ac)|(system.+state.+changed )|(\|lc)|(penalty)|(\[timeout)|(PRM\|1\|D)|(kpr)|(kdp))" /e /r /s</v>
      </c>
      <c r="AG182" s="1" t="str">
        <f t="shared" si="127"/>
        <v>NW</v>
      </c>
      <c r="AH182" s="109" t="str">
        <f t="shared" si="128"/>
        <v>"%USERPROFILE%\Documents\GitHub\eaglep3\Utilities\RefineRTDCRunTimes.py" --tripid 824-10 --locoid 4043 --swversion DE.1.0.7.0 --startMP 300:58645 --initTime 2016-08-10T14:37:16 --startdatetime 2016-08-10T14:38:32 --delay 1 --endMP 204:883 --enddatetime 2016-08-10T14:55:00 --enforcementcount 0</v>
      </c>
    </row>
    <row r="183" spans="1:34" x14ac:dyDescent="0.25">
      <c r="A183" s="42" t="s">
        <v>548</v>
      </c>
      <c r="B183" s="7">
        <v>4044</v>
      </c>
      <c r="C183" s="25" t="s">
        <v>137</v>
      </c>
      <c r="D183" s="25" t="s">
        <v>549</v>
      </c>
      <c r="E183" s="16">
        <v>42592.637465277781</v>
      </c>
      <c r="F183" s="16">
        <v>42592.638298611113</v>
      </c>
      <c r="G183" s="7">
        <v>1</v>
      </c>
      <c r="H183" s="16" t="s">
        <v>524</v>
      </c>
      <c r="I183" s="16">
        <v>42592.650057870371</v>
      </c>
      <c r="J183" s="7">
        <v>0</v>
      </c>
      <c r="K183" s="25" t="str">
        <f t="shared" si="116"/>
        <v>4043/4044</v>
      </c>
      <c r="L183" s="25" t="str">
        <f>VLOOKUP(A183,'Trips&amp;Operators'!$C$1:$E$10000,3,FALSE)</f>
        <v>MOSES</v>
      </c>
      <c r="M183" s="6">
        <f t="shared" si="117"/>
        <v>1.1759259257814847E-2</v>
      </c>
      <c r="N183" s="7">
        <f t="shared" si="118"/>
        <v>16.93333333125338</v>
      </c>
      <c r="O183" s="7"/>
      <c r="P183" s="7"/>
      <c r="Q183" s="26"/>
      <c r="R183" s="26"/>
      <c r="S183" s="38">
        <f t="shared" si="119"/>
        <v>1</v>
      </c>
      <c r="T183" s="55" t="str">
        <f t="shared" si="120"/>
        <v>NorthBound</v>
      </c>
      <c r="U183" s="14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14:17:57-0600',mode:absolute,to:'2016-08-10 16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83" s="57" t="str">
        <f t="shared" si="122"/>
        <v>N</v>
      </c>
      <c r="X183" s="136">
        <f t="shared" si="129"/>
        <v>1</v>
      </c>
      <c r="Y183" s="72">
        <f t="shared" si="123"/>
        <v>0.11600000000000001</v>
      </c>
      <c r="Z183" s="72">
        <f t="shared" si="124"/>
        <v>5.8898999999999999</v>
      </c>
      <c r="AA183" s="72">
        <f t="shared" si="125"/>
        <v>5.7739000000000003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126"/>
        <v>0825-10</v>
      </c>
      <c r="AE183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83" s="105" t="str">
        <f t="shared" si="93"/>
        <v>"C:\Program Files (x86)\AstroGrep\AstroGrep.exe" /spath="%USERPROFILE%\AppData\Local\Temp\OnboardLogs" /stypes="*4044*20160810*" /stext=" 21:.+((SYSTEM_STATE.+slice.+state.+changed )|(ment ac)|(system.+state.+changed )|(\|lc)|(penalty)|(\[timeout)|(PRM\|1\|D)|(kpr)|(kdp))" /e /r /s</v>
      </c>
      <c r="AG183" s="1" t="str">
        <f t="shared" si="127"/>
        <v>NW</v>
      </c>
      <c r="AH183" s="109" t="str">
        <f t="shared" si="128"/>
        <v>"%USERPROFILE%\Documents\GitHub\eaglep3\Utilities\RefineRTDCRunTimes.py" --tripid 825-10 --locoid 4044 --swversion DE.1.0.7.0 --startMP 204:1160 --initTime 2016-08-10T15:17:57 --startdatetime 2016-08-10T15:19:09 --delay 1 --endMP 300:58899 --enddatetime 2016-08-10T15:36:05 --enforcementcount 0</v>
      </c>
    </row>
    <row r="184" spans="1:34" x14ac:dyDescent="0.25">
      <c r="A184" s="42" t="s">
        <v>550</v>
      </c>
      <c r="B184" s="7">
        <v>4043</v>
      </c>
      <c r="C184" s="25" t="s">
        <v>137</v>
      </c>
      <c r="D184" s="25" t="s">
        <v>551</v>
      </c>
      <c r="E184" s="16">
        <v>42592.652581018519</v>
      </c>
      <c r="F184" s="16">
        <v>42592.653611111113</v>
      </c>
      <c r="G184" s="7">
        <v>1</v>
      </c>
      <c r="H184" s="16" t="s">
        <v>552</v>
      </c>
      <c r="I184" s="16">
        <v>42592.665509259263</v>
      </c>
      <c r="J184" s="7">
        <v>0</v>
      </c>
      <c r="K184" s="25" t="str">
        <f t="shared" si="116"/>
        <v>4043/4044</v>
      </c>
      <c r="L184" s="25" t="str">
        <f>VLOOKUP(A184,'Trips&amp;Operators'!$C$1:$E$10000,3,FALSE)</f>
        <v>MOSES</v>
      </c>
      <c r="M184" s="6">
        <f t="shared" si="117"/>
        <v>1.1898148150066845E-2</v>
      </c>
      <c r="N184" s="7">
        <f t="shared" si="118"/>
        <v>17.133333336096257</v>
      </c>
      <c r="O184" s="7"/>
      <c r="P184" s="7"/>
      <c r="Q184" s="26"/>
      <c r="R184" s="26"/>
      <c r="S184" s="38">
        <f t="shared" si="119"/>
        <v>1</v>
      </c>
      <c r="T184" s="55" t="str">
        <f t="shared" si="120"/>
        <v>Southbound</v>
      </c>
      <c r="U184" s="14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14:39:43-0600',mode:absolute,to:'2016-08-10 16:58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84" s="57" t="str">
        <f t="shared" si="122"/>
        <v>N</v>
      </c>
      <c r="X184" s="136">
        <f t="shared" si="129"/>
        <v>1</v>
      </c>
      <c r="Y184" s="72">
        <f t="shared" si="123"/>
        <v>5.8638000000000003</v>
      </c>
      <c r="Z184" s="72">
        <f t="shared" si="124"/>
        <v>7.2900000000000006E-2</v>
      </c>
      <c r="AA184" s="72">
        <f t="shared" si="125"/>
        <v>5.7909000000000006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126"/>
        <v>0826-10</v>
      </c>
      <c r="AE184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84" s="105" t="str">
        <f t="shared" si="93"/>
        <v>"C:\Program Files (x86)\AstroGrep\AstroGrep.exe" /spath="%USERPROFILE%\AppData\Local\Temp\OnboardLogs" /stypes="*4043*20160810*" /stext=" 21:.+((SYSTEM_STATE.+slice.+state.+changed )|(ment ac)|(system.+state.+changed )|(\|lc)|(penalty)|(\[timeout)|(PRM\|1\|D)|(kpr)|(kdp))" /e /r /s</v>
      </c>
      <c r="AG184" s="1" t="str">
        <f t="shared" si="127"/>
        <v>NW</v>
      </c>
      <c r="AH184" s="109" t="str">
        <f t="shared" si="128"/>
        <v>"%USERPROFILE%\Documents\GitHub\eaglep3\Utilities\RefineRTDCRunTimes.py" --tripid 826-10 --locoid 4043 --swversion DE.1.0.7.0 --startMP 300:58638 --initTime 2016-08-10T15:39:43 --startdatetime 2016-08-10T15:41:12 --delay 1 --endMP 204:729 --enddatetime 2016-08-10T15:58:20 --enforcementcount 0</v>
      </c>
    </row>
    <row r="185" spans="1:34" x14ac:dyDescent="0.25">
      <c r="A185" s="42" t="s">
        <v>553</v>
      </c>
      <c r="B185" s="7">
        <v>4014</v>
      </c>
      <c r="C185" s="25" t="s">
        <v>137</v>
      </c>
      <c r="D185" s="25" t="s">
        <v>223</v>
      </c>
      <c r="E185" s="16">
        <v>42592.657881944448</v>
      </c>
      <c r="F185" s="16">
        <v>42592.658877314818</v>
      </c>
      <c r="G185" s="7">
        <v>1</v>
      </c>
      <c r="H185" s="16" t="s">
        <v>231</v>
      </c>
      <c r="I185" s="16">
        <v>42592.671087962961</v>
      </c>
      <c r="J185" s="7">
        <v>0</v>
      </c>
      <c r="K185" s="25" t="str">
        <f t="shared" si="116"/>
        <v>4013/4014</v>
      </c>
      <c r="L185" s="25" t="str">
        <f>VLOOKUP(A185,'Trips&amp;Operators'!$C$1:$E$10000,3,FALSE)</f>
        <v>ISHMAEL</v>
      </c>
      <c r="M185" s="6">
        <f t="shared" si="117"/>
        <v>1.2210648143081926E-2</v>
      </c>
      <c r="N185" s="7">
        <f t="shared" si="118"/>
        <v>17.583333326037973</v>
      </c>
      <c r="O185" s="7"/>
      <c r="P185" s="7"/>
      <c r="Q185" s="26"/>
      <c r="R185" s="26"/>
      <c r="S185" s="38">
        <f t="shared" si="119"/>
        <v>1</v>
      </c>
      <c r="T185" s="55" t="str">
        <f t="shared" si="120"/>
        <v>NorthBound</v>
      </c>
      <c r="U185" s="14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14:47:21-0600',mode:absolute,to:'2016-08-10 17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85" s="57" t="str">
        <f t="shared" si="122"/>
        <v>N</v>
      </c>
      <c r="X185" s="136">
        <f t="shared" si="129"/>
        <v>1</v>
      </c>
      <c r="Y185" s="72">
        <f t="shared" si="123"/>
        <v>4.24E-2</v>
      </c>
      <c r="Z185" s="72">
        <f t="shared" si="124"/>
        <v>5.8924000000000003</v>
      </c>
      <c r="AA185" s="72">
        <f t="shared" si="125"/>
        <v>5.8500000000000005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126"/>
        <v>0827-10</v>
      </c>
      <c r="AE185" s="108" t="str">
        <f t="shared" si="92"/>
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</c>
      <c r="AF185" s="105" t="str">
        <f t="shared" si="93"/>
        <v>"C:\Program Files (x86)\AstroGrep\AstroGrep.exe" /spath="%USERPROFILE%\AppData\Local\Temp\OnboardLogs" /stypes="*4014*20160810*" /stext=" 22:.+((SYSTEM_STATE.+slice.+state.+changed )|(ment ac)|(system.+state.+changed )|(\|lc)|(penalty)|(\[timeout)|(PRM\|1\|D)|(kpr)|(kdp))" /e /r /s</v>
      </c>
      <c r="AG185" s="1" t="str">
        <f t="shared" si="127"/>
        <v>NW</v>
      </c>
      <c r="AH185" s="109" t="str">
        <f t="shared" si="128"/>
        <v>"%USERPROFILE%\Documents\GitHub\eaglep3\Utilities\RefineRTDCRunTimes.py" --tripid 827-10 --locoid 4014 --swversion DE.1.0.7.0 --startMP 204:424 --initTime 2016-08-10T15:47:21 --startdatetime 2016-08-10T15:48:47 --delay 1 --endMP 300:58924 --enddatetime 2016-08-10T16:06:22 --enforcementcount 0</v>
      </c>
    </row>
    <row r="186" spans="1:34" x14ac:dyDescent="0.25">
      <c r="A186" s="42" t="s">
        <v>554</v>
      </c>
      <c r="B186" s="7">
        <v>4013</v>
      </c>
      <c r="C186" s="25" t="s">
        <v>137</v>
      </c>
      <c r="D186" s="25" t="s">
        <v>198</v>
      </c>
      <c r="E186" s="16">
        <v>42592.672013888892</v>
      </c>
      <c r="F186" s="16">
        <v>42592.672824074078</v>
      </c>
      <c r="G186" s="7">
        <v>1</v>
      </c>
      <c r="H186" s="16" t="s">
        <v>555</v>
      </c>
      <c r="I186" s="16">
        <v>42592.68513888889</v>
      </c>
      <c r="J186" s="7">
        <v>0</v>
      </c>
      <c r="K186" s="25" t="str">
        <f t="shared" si="116"/>
        <v>4013/4014</v>
      </c>
      <c r="L186" s="25" t="str">
        <f>VLOOKUP(A186,'Trips&amp;Operators'!$C$1:$E$10000,3,FALSE)</f>
        <v>ISHMAEL</v>
      </c>
      <c r="M186" s="6">
        <f t="shared" si="117"/>
        <v>1.2314814812270924E-2</v>
      </c>
      <c r="N186" s="7">
        <f t="shared" si="118"/>
        <v>17.733333329670131</v>
      </c>
      <c r="O186" s="7"/>
      <c r="P186" s="7"/>
      <c r="Q186" s="26"/>
      <c r="R186" s="26"/>
      <c r="S186" s="38">
        <f t="shared" si="119"/>
        <v>1</v>
      </c>
      <c r="T186" s="55" t="str">
        <f t="shared" si="120"/>
        <v>Southbound</v>
      </c>
      <c r="U186" s="14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15:07:42-0600',mode:absolute,to:'2016-08-10 17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86" s="57" t="str">
        <f t="shared" si="122"/>
        <v>N</v>
      </c>
      <c r="X186" s="136">
        <f t="shared" si="129"/>
        <v>1</v>
      </c>
      <c r="Y186" s="72">
        <f t="shared" si="123"/>
        <v>5.8609</v>
      </c>
      <c r="Z186" s="72">
        <f t="shared" si="124"/>
        <v>6.7699999999999996E-2</v>
      </c>
      <c r="AA186" s="72">
        <f t="shared" si="125"/>
        <v>5.7931999999999997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126"/>
        <v>0828-10</v>
      </c>
      <c r="AE186" s="108" t="str">
        <f t="shared" si="92"/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AF186" s="105" t="str">
        <f t="shared" si="93"/>
        <v>"C:\Program Files (x86)\AstroGrep\AstroGrep.exe" /spath="%USERPROFILE%\AppData\Local\Temp\OnboardLogs" /stypes="*4013*20160810*" /stext=" 22:.+((SYSTEM_STATE.+slice.+state.+changed )|(ment ac)|(system.+state.+changed )|(\|lc)|(penalty)|(\[timeout)|(PRM\|1\|D)|(kpr)|(kdp))" /e /r /s</v>
      </c>
      <c r="AG186" s="1" t="str">
        <f t="shared" si="127"/>
        <v>NW</v>
      </c>
      <c r="AH186" s="109" t="str">
        <f t="shared" si="128"/>
        <v>"%USERPROFILE%\Documents\GitHub\eaglep3\Utilities\RefineRTDCRunTimes.py" --tripid 828-10 --locoid 4013 --swversion DE.1.0.7.0 --startMP 300:58609 --initTime 2016-08-10T16:07:42 --startdatetime 2016-08-10T16:08:52 --delay 1 --endMP 204:677 --enddatetime 2016-08-10T16:26:36 --enforcementcount 0</v>
      </c>
    </row>
    <row r="187" spans="1:34" x14ac:dyDescent="0.25">
      <c r="A187" s="42" t="s">
        <v>556</v>
      </c>
      <c r="B187" s="7">
        <v>4044</v>
      </c>
      <c r="C187" s="25" t="s">
        <v>137</v>
      </c>
      <c r="D187" s="25" t="s">
        <v>557</v>
      </c>
      <c r="E187" s="16">
        <v>42592.677523148152</v>
      </c>
      <c r="F187" s="16">
        <v>42592.678761574076</v>
      </c>
      <c r="G187" s="7">
        <v>1</v>
      </c>
      <c r="H187" s="16" t="s">
        <v>558</v>
      </c>
      <c r="I187" s="16">
        <v>42592.691458333335</v>
      </c>
      <c r="J187" s="7">
        <v>0</v>
      </c>
      <c r="K187" s="25" t="str">
        <f t="shared" si="116"/>
        <v>4043/4044</v>
      </c>
      <c r="L187" s="25" t="str">
        <f>VLOOKUP(A187,'Trips&amp;Operators'!$C$1:$E$10000,3,FALSE)</f>
        <v>MOSES</v>
      </c>
      <c r="M187" s="6">
        <f t="shared" si="117"/>
        <v>1.2696759258687962E-2</v>
      </c>
      <c r="N187" s="7">
        <f t="shared" si="118"/>
        <v>18.283333332510665</v>
      </c>
      <c r="O187" s="7"/>
      <c r="P187" s="7"/>
      <c r="Q187" s="26"/>
      <c r="R187" s="26"/>
      <c r="S187" s="38">
        <f t="shared" si="119"/>
        <v>1</v>
      </c>
      <c r="T187" s="55" t="str">
        <f t="shared" si="120"/>
        <v>NorthBound</v>
      </c>
      <c r="U187" s="14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15:15:38-0600',mode:absolute,to:'2016-08-10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87" s="57" t="str">
        <f t="shared" si="122"/>
        <v>N</v>
      </c>
      <c r="X187" s="136">
        <f t="shared" si="129"/>
        <v>1</v>
      </c>
      <c r="Y187" s="72">
        <f t="shared" si="123"/>
        <v>0.10199999999999999</v>
      </c>
      <c r="Z187" s="72">
        <f t="shared" si="124"/>
        <v>5.8975</v>
      </c>
      <c r="AA187" s="72">
        <f t="shared" si="125"/>
        <v>5.7954999999999997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126"/>
        <v>0829-10</v>
      </c>
      <c r="AE187" s="108" t="str">
        <f t="shared" si="92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87" s="105" t="str">
        <f t="shared" si="93"/>
        <v>"C:\Program Files (x86)\AstroGrep\AstroGrep.exe" /spath="%USERPROFILE%\AppData\Local\Temp\OnboardLogs" /stypes="*4044*20160810*" /stext=" 22:.+((SYSTEM_STATE.+slice.+state.+changed )|(ment ac)|(system.+state.+changed )|(\|lc)|(penalty)|(\[timeout)|(PRM\|1\|D)|(kpr)|(kdp))" /e /r /s</v>
      </c>
      <c r="AG187" s="1" t="str">
        <f t="shared" si="127"/>
        <v>NW</v>
      </c>
      <c r="AH187" s="109" t="str">
        <f t="shared" si="128"/>
        <v>"%USERPROFILE%\Documents\GitHub\eaglep3\Utilities\RefineRTDCRunTimes.py" --tripid 829-10 --locoid 4044 --swversion DE.1.0.7.0 --startMP 204:1020 --initTime 2016-08-10T16:15:38 --startdatetime 2016-08-10T16:17:25 --delay 1 --endMP 300:58975 --enddatetime 2016-08-10T16:35:42 --enforcementcount 0</v>
      </c>
    </row>
    <row r="188" spans="1:34" x14ac:dyDescent="0.25">
      <c r="A188" s="42" t="s">
        <v>559</v>
      </c>
      <c r="B188" s="7">
        <v>4043</v>
      </c>
      <c r="C188" s="25" t="s">
        <v>137</v>
      </c>
      <c r="D188" s="25" t="s">
        <v>560</v>
      </c>
      <c r="E188" s="16">
        <v>42592.69258101852</v>
      </c>
      <c r="F188" s="16">
        <v>42592.693530092591</v>
      </c>
      <c r="G188" s="7">
        <v>1</v>
      </c>
      <c r="H188" s="16" t="s">
        <v>561</v>
      </c>
      <c r="I188" s="16">
        <v>42592.705740740741</v>
      </c>
      <c r="J188" s="7">
        <v>0</v>
      </c>
      <c r="K188" s="25" t="str">
        <f t="shared" si="116"/>
        <v>4043/4044</v>
      </c>
      <c r="L188" s="25" t="str">
        <f>VLOOKUP(A188,'Trips&amp;Operators'!$C$1:$E$10000,3,FALSE)</f>
        <v>MOSES</v>
      </c>
      <c r="M188" s="6">
        <f t="shared" si="117"/>
        <v>1.2210648150357883E-2</v>
      </c>
      <c r="N188" s="7">
        <f t="shared" si="118"/>
        <v>17.583333336515352</v>
      </c>
      <c r="O188" s="7"/>
      <c r="P188" s="7"/>
      <c r="Q188" s="26"/>
      <c r="R188" s="26"/>
      <c r="S188" s="38">
        <f t="shared" si="119"/>
        <v>1</v>
      </c>
      <c r="T188" s="55" t="str">
        <f t="shared" si="120"/>
        <v>Southbound</v>
      </c>
      <c r="U188" s="14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15:37:19-0600',mode:absolute,to:'2016-08-10 17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88" s="57" t="str">
        <f t="shared" si="122"/>
        <v>N</v>
      </c>
      <c r="X188" s="136">
        <f t="shared" si="129"/>
        <v>1</v>
      </c>
      <c r="Y188" s="72">
        <f t="shared" si="123"/>
        <v>5.8655999999999997</v>
      </c>
      <c r="Z188" s="72">
        <f t="shared" si="124"/>
        <v>6.6299999999999998E-2</v>
      </c>
      <c r="AA188" s="72">
        <f t="shared" si="125"/>
        <v>5.7992999999999997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126"/>
        <v>0830-10</v>
      </c>
      <c r="AE188" s="108" t="str">
        <f t="shared" si="92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88" s="105" t="str">
        <f t="shared" si="93"/>
        <v>"C:\Program Files (x86)\AstroGrep\AstroGrep.exe" /spath="%USERPROFILE%\AppData\Local\Temp\OnboardLogs" /stypes="*4043*20160810*" /stext=" 22:.+((SYSTEM_STATE.+slice.+state.+changed )|(ment ac)|(system.+state.+changed )|(\|lc)|(penalty)|(\[timeout)|(PRM\|1\|D)|(kpr)|(kdp))" /e /r /s</v>
      </c>
      <c r="AG188" s="1" t="str">
        <f t="shared" si="127"/>
        <v>NW</v>
      </c>
      <c r="AH188" s="109" t="str">
        <f t="shared" si="128"/>
        <v>"%USERPROFILE%\Documents\GitHub\eaglep3\Utilities\RefineRTDCRunTimes.py" --tripid 830-10 --locoid 4043 --swversion DE.1.0.7.0 --startMP 300:58656 --initTime 2016-08-10T16:37:19 --startdatetime 2016-08-10T16:38:41 --delay 1 --endMP 204:663 --enddatetime 2016-08-10T16:56:16 --enforcementcount 0</v>
      </c>
    </row>
    <row r="189" spans="1:34" x14ac:dyDescent="0.25">
      <c r="A189" s="42" t="s">
        <v>562</v>
      </c>
      <c r="B189" s="7">
        <v>4014</v>
      </c>
      <c r="C189" s="25" t="s">
        <v>137</v>
      </c>
      <c r="D189" s="25" t="s">
        <v>500</v>
      </c>
      <c r="E189" s="16">
        <v>42592.697337962964</v>
      </c>
      <c r="F189" s="16">
        <v>42592.698310185187</v>
      </c>
      <c r="G189" s="7">
        <v>1</v>
      </c>
      <c r="H189" s="16" t="s">
        <v>518</v>
      </c>
      <c r="I189" s="16">
        <v>42592.712222222224</v>
      </c>
      <c r="J189" s="7">
        <v>0</v>
      </c>
      <c r="K189" s="25" t="str">
        <f t="shared" si="116"/>
        <v>4013/4014</v>
      </c>
      <c r="L189" s="25" t="str">
        <f>VLOOKUP(A189,'Trips&amp;Operators'!$C$1:$E$10000,3,FALSE)</f>
        <v>ISHMAEL</v>
      </c>
      <c r="M189" s="6">
        <f t="shared" si="117"/>
        <v>1.3912037036789116E-2</v>
      </c>
      <c r="N189" s="7">
        <f t="shared" si="118"/>
        <v>20.033333332976326</v>
      </c>
      <c r="O189" s="7"/>
      <c r="P189" s="7"/>
      <c r="Q189" s="26"/>
      <c r="R189" s="26"/>
      <c r="S189" s="38">
        <f t="shared" si="119"/>
        <v>1</v>
      </c>
      <c r="T189" s="55" t="str">
        <f t="shared" si="120"/>
        <v>NorthBound</v>
      </c>
      <c r="U189" s="14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15:44:10-0600',mode:absolute,to:'2016-08-10 18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89" s="57" t="str">
        <f t="shared" si="122"/>
        <v>N</v>
      </c>
      <c r="X189" s="136">
        <f t="shared" si="129"/>
        <v>1</v>
      </c>
      <c r="Y189" s="72">
        <f t="shared" si="123"/>
        <v>9.69E-2</v>
      </c>
      <c r="Z189" s="72">
        <f t="shared" si="124"/>
        <v>5.8906999999999998</v>
      </c>
      <c r="AA189" s="72">
        <f t="shared" si="125"/>
        <v>5.7938000000000001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126"/>
        <v>0831-10</v>
      </c>
      <c r="AE189" s="108" t="str">
        <f t="shared" ref="AE189:AE209" si="130">"aws s3 cp "&amp;s3_bucket&amp;"/RTDC"&amp;B189&amp;"/"&amp;TEXT(F189,"YYYY-MM-DD")&amp;"/ "&amp;search_path&amp;"\RTDC"&amp;B189&amp;"\"&amp;TEXT(F189,"YYYY-MM-DD")&amp;" --recursive &amp; """&amp;walkandungz&amp;""" "&amp;search_path&amp;"\RTDC"&amp;B189&amp;"\"&amp;TEXT(F189,"YYYY-MM-DD")
&amp;" &amp; "&amp;"aws s3 cp "&amp;s3_bucket&amp;"/RTDC"&amp;B189&amp;"/"&amp;TEXT(F189+1,"YYYY-MM-DD")&amp;"/ "&amp;search_path&amp;"\RTDC"&amp;B189&amp;"\"&amp;TEXT(F189+1,"YYYY-MM-DD")&amp;" --recursive &amp; """&amp;walkandungz&amp;""" "&amp;search_path&amp;"\RTDC"&amp;B189&amp;"\"&amp;TEXT(F189+1,"YYYY-MM-DD")</f>
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</c>
      <c r="AF189" s="105" t="str">
        <f t="shared" ref="AF189:AF209" si="131">astrogrep_path&amp;" /spath="&amp;search_path&amp;" /stypes=""*"&amp;B189&amp;"*"&amp;TEXT(I189-utc_offset/24,"YYYYMMDD")&amp;"*"" /stext="" "&amp;TEXT(I189-utc_offset/24,"HH")&amp;search_regexp&amp;""" /e /r /s"</f>
        <v>"C:\Program Files (x86)\AstroGrep\AstroGrep.exe" /spath="%USERPROFILE%\AppData\Local\Temp\OnboardLogs" /stypes="*4014*20160810*" /stext=" 23:.+((SYSTEM_STATE.+slice.+state.+changed )|(ment ac)|(system.+state.+changed )|(\|lc)|(penalty)|(\[timeout)|(PRM\|1\|D)|(kpr)|(kdp))" /e /r /s</v>
      </c>
      <c r="AG189" s="1" t="str">
        <f t="shared" si="127"/>
        <v>NW</v>
      </c>
      <c r="AH189" s="109" t="str">
        <f t="shared" si="128"/>
        <v>"%USERPROFILE%\Documents\GitHub\eaglep3\Utilities\RefineRTDCRunTimes.py" --tripid 831-10 --locoid 4014 --swversion DE.1.0.7.0 --startMP 204:969 --initTime 2016-08-10T16:44:10 --startdatetime 2016-08-10T16:45:34 --delay 1 --endMP 300:58907 --enddatetime 2016-08-10T17:05:36 --enforcementcount 0</v>
      </c>
    </row>
    <row r="190" spans="1:34" x14ac:dyDescent="0.25">
      <c r="A190" s="42" t="s">
        <v>563</v>
      </c>
      <c r="B190" s="7">
        <v>4013</v>
      </c>
      <c r="C190" s="25" t="s">
        <v>137</v>
      </c>
      <c r="D190" s="25" t="s">
        <v>564</v>
      </c>
      <c r="E190" s="16">
        <v>42592.713356481479</v>
      </c>
      <c r="F190" s="16">
        <v>42592.714224537034</v>
      </c>
      <c r="G190" s="7">
        <v>1</v>
      </c>
      <c r="H190" s="16" t="s">
        <v>565</v>
      </c>
      <c r="I190" s="16">
        <v>42592.727476851855</v>
      </c>
      <c r="J190" s="7">
        <v>0</v>
      </c>
      <c r="K190" s="25" t="str">
        <f t="shared" si="116"/>
        <v>4013/4014</v>
      </c>
      <c r="L190" s="25" t="str">
        <f>VLOOKUP(A190,'Trips&amp;Operators'!$C$1:$E$10000,3,FALSE)</f>
        <v>ISHMAEL</v>
      </c>
      <c r="M190" s="6">
        <f t="shared" si="117"/>
        <v>1.3252314820419997E-2</v>
      </c>
      <c r="N190" s="7">
        <f t="shared" si="118"/>
        <v>19.083333341404796</v>
      </c>
      <c r="O190" s="7"/>
      <c r="P190" s="7"/>
      <c r="Q190" s="26"/>
      <c r="R190" s="26"/>
      <c r="S190" s="38">
        <f t="shared" si="119"/>
        <v>1</v>
      </c>
      <c r="T190" s="55" t="str">
        <f t="shared" si="120"/>
        <v>Southbound</v>
      </c>
      <c r="U190" s="14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16:07:14-0600',mode:absolute,to:'2016-08-10 18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90" s="57" t="str">
        <f t="shared" si="122"/>
        <v>N</v>
      </c>
      <c r="X190" s="136">
        <f t="shared" si="129"/>
        <v>1</v>
      </c>
      <c r="Y190" s="72">
        <f t="shared" si="123"/>
        <v>5.8589000000000002</v>
      </c>
      <c r="Z190" s="72">
        <f t="shared" si="124"/>
        <v>6.9800000000000001E-2</v>
      </c>
      <c r="AA190" s="72">
        <f t="shared" si="125"/>
        <v>5.7891000000000004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126"/>
        <v>0832-10</v>
      </c>
      <c r="AE190" s="108" t="str">
        <f t="shared" si="130"/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AF190" s="105" t="str">
        <f t="shared" si="131"/>
        <v>"C:\Program Files (x86)\AstroGrep\AstroGrep.exe" /spath="%USERPROFILE%\AppData\Local\Temp\OnboardLogs" /stypes="*4013*20160810*" /stext=" 23:.+((SYSTEM_STATE.+slice.+state.+changed )|(ment ac)|(system.+state.+changed )|(\|lc)|(penalty)|(\[timeout)|(PRM\|1\|D)|(kpr)|(kdp))" /e /r /s</v>
      </c>
      <c r="AG190" s="1" t="str">
        <f t="shared" si="127"/>
        <v>NW</v>
      </c>
      <c r="AH190" s="109" t="str">
        <f t="shared" si="128"/>
        <v>"%USERPROFILE%\Documents\GitHub\eaglep3\Utilities\RefineRTDCRunTimes.py" --tripid 832-10 --locoid 4013 --swversion DE.1.0.7.0 --startMP 300:58589 --initTime 2016-08-10T17:07:14 --startdatetime 2016-08-10T17:08:29 --delay 1 --endMP 204:698 --enddatetime 2016-08-10T17:27:34 --enforcementcount 0</v>
      </c>
    </row>
    <row r="191" spans="1:34" x14ac:dyDescent="0.25">
      <c r="A191" s="42" t="s">
        <v>566</v>
      </c>
      <c r="B191" s="7">
        <v>4044</v>
      </c>
      <c r="C191" s="25" t="s">
        <v>137</v>
      </c>
      <c r="D191" s="25" t="s">
        <v>567</v>
      </c>
      <c r="E191" s="16">
        <v>42592.719212962962</v>
      </c>
      <c r="F191" s="16">
        <v>42592.72011574074</v>
      </c>
      <c r="G191" s="7">
        <v>1</v>
      </c>
      <c r="H191" s="16" t="s">
        <v>568</v>
      </c>
      <c r="I191" s="16">
        <v>42592.733715277776</v>
      </c>
      <c r="J191" s="7">
        <v>0</v>
      </c>
      <c r="K191" s="25" t="str">
        <f t="shared" si="116"/>
        <v>4043/4044</v>
      </c>
      <c r="L191" s="25" t="str">
        <f>VLOOKUP(A191,'Trips&amp;Operators'!$C$1:$E$10000,3,FALSE)</f>
        <v>MOSES</v>
      </c>
      <c r="M191" s="6">
        <f t="shared" si="117"/>
        <v>1.3599537036498077E-2</v>
      </c>
      <c r="N191" s="7">
        <f t="shared" si="118"/>
        <v>19.583333332557231</v>
      </c>
      <c r="O191" s="7"/>
      <c r="P191" s="7"/>
      <c r="Q191" s="26"/>
      <c r="R191" s="26"/>
      <c r="S191" s="38">
        <f t="shared" si="119"/>
        <v>1</v>
      </c>
      <c r="T191" s="55" t="str">
        <f t="shared" si="120"/>
        <v>NorthBound</v>
      </c>
      <c r="U191" s="14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16:15:40-0600',mode:absolute,to:'2016-08-10 18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91" s="57" t="str">
        <f t="shared" si="122"/>
        <v>N</v>
      </c>
      <c r="X191" s="136">
        <f t="shared" si="129"/>
        <v>1</v>
      </c>
      <c r="Y191" s="72">
        <f t="shared" si="123"/>
        <v>9.4399999999999998E-2</v>
      </c>
      <c r="Z191" s="72">
        <f t="shared" si="124"/>
        <v>5.8959999999999999</v>
      </c>
      <c r="AA191" s="72">
        <f t="shared" si="125"/>
        <v>5.8015999999999996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126"/>
        <v>0833-10</v>
      </c>
      <c r="AE191" s="108" t="str">
        <f t="shared" si="130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91" s="105" t="str">
        <f t="shared" si="131"/>
        <v>"C:\Program Files (x86)\AstroGrep\AstroGrep.exe" /spath="%USERPROFILE%\AppData\Local\Temp\OnboardLogs" /stypes="*4044*20160810*" /stext=" 23:.+((SYSTEM_STATE.+slice.+state.+changed )|(ment ac)|(system.+state.+changed )|(\|lc)|(penalty)|(\[timeout)|(PRM\|1\|D)|(kpr)|(kdp))" /e /r /s</v>
      </c>
      <c r="AG191" s="1" t="str">
        <f t="shared" si="127"/>
        <v>NW</v>
      </c>
      <c r="AH191" s="109" t="str">
        <f t="shared" si="128"/>
        <v>"%USERPROFILE%\Documents\GitHub\eaglep3\Utilities\RefineRTDCRunTimes.py" --tripid 833-10 --locoid 4044 --swversion DE.1.0.7.0 --startMP 204:944 --initTime 2016-08-10T17:15:40 --startdatetime 2016-08-10T17:16:58 --delay 1 --endMP 300:58960 --enddatetime 2016-08-10T17:36:33 --enforcementcount 0</v>
      </c>
    </row>
    <row r="192" spans="1:34" x14ac:dyDescent="0.25">
      <c r="A192" s="42" t="s">
        <v>569</v>
      </c>
      <c r="B192" s="7">
        <v>4043</v>
      </c>
      <c r="C192" s="25" t="s">
        <v>137</v>
      </c>
      <c r="D192" s="25" t="s">
        <v>570</v>
      </c>
      <c r="E192" s="16">
        <v>42592.735335648147</v>
      </c>
      <c r="F192" s="16">
        <v>42592.736747685187</v>
      </c>
      <c r="G192" s="7">
        <v>2</v>
      </c>
      <c r="H192" s="16" t="s">
        <v>571</v>
      </c>
      <c r="I192" s="16">
        <v>42592.747337962966</v>
      </c>
      <c r="J192" s="7">
        <v>0</v>
      </c>
      <c r="K192" s="25" t="str">
        <f t="shared" si="116"/>
        <v>4043/4044</v>
      </c>
      <c r="L192" s="25" t="str">
        <f>VLOOKUP(A192,'Trips&amp;Operators'!$C$1:$E$10000,3,FALSE)</f>
        <v>MOSES</v>
      </c>
      <c r="M192" s="6">
        <f t="shared" si="117"/>
        <v>1.0590277779556345E-2</v>
      </c>
      <c r="N192" s="7">
        <f t="shared" si="118"/>
        <v>15.250000002561137</v>
      </c>
      <c r="O192" s="7"/>
      <c r="P192" s="7"/>
      <c r="Q192" s="26"/>
      <c r="R192" s="26"/>
      <c r="S192" s="38">
        <f t="shared" si="119"/>
        <v>1</v>
      </c>
      <c r="T192" s="55" t="str">
        <f t="shared" si="120"/>
        <v>Southbound</v>
      </c>
      <c r="U192" s="14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16:38:53-0600',mode:absolute,to:'2016-08-10 18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92" s="57" t="str">
        <f t="shared" si="122"/>
        <v>N</v>
      </c>
      <c r="X192" s="136">
        <f t="shared" si="129"/>
        <v>1</v>
      </c>
      <c r="Y192" s="72">
        <f t="shared" si="123"/>
        <v>5.8653000000000004</v>
      </c>
      <c r="Z192" s="72">
        <f t="shared" si="124"/>
        <v>6.54E-2</v>
      </c>
      <c r="AA192" s="72">
        <f t="shared" si="125"/>
        <v>5.7999000000000001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126"/>
        <v>0834-10</v>
      </c>
      <c r="AE192" s="108" t="str">
        <f t="shared" si="130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92" s="105" t="str">
        <f t="shared" si="131"/>
        <v>"C:\Program Files (x86)\AstroGrep\AstroGrep.exe" /spath="%USERPROFILE%\AppData\Local\Temp\OnboardLogs" /stypes="*4043*20160810*" /stext=" 23:.+((SYSTEM_STATE.+slice.+state.+changed )|(ment ac)|(system.+state.+changed )|(\|lc)|(penalty)|(\[timeout)|(PRM\|1\|D)|(kpr)|(kdp))" /e /r /s</v>
      </c>
      <c r="AG192" s="1" t="str">
        <f t="shared" si="127"/>
        <v>NW</v>
      </c>
      <c r="AH192" s="109" t="str">
        <f t="shared" si="128"/>
        <v>"%USERPROFILE%\Documents\GitHub\eaglep3\Utilities\RefineRTDCRunTimes.py" --tripid 834-10 --locoid 4043 --swversion DE.1.0.7.0 --startMP 300:58653 --initTime 2016-08-10T17:38:53 --startdatetime 2016-08-10T17:40:55 --delay 2 --endMP 204:654 --enddatetime 2016-08-10T17:56:10 --enforcementcount 0</v>
      </c>
    </row>
    <row r="193" spans="1:34" x14ac:dyDescent="0.25">
      <c r="A193" s="42" t="s">
        <v>572</v>
      </c>
      <c r="B193" s="7">
        <v>4014</v>
      </c>
      <c r="C193" s="25" t="s">
        <v>137</v>
      </c>
      <c r="D193" s="25" t="s">
        <v>533</v>
      </c>
      <c r="E193" s="16">
        <v>42592.736527777779</v>
      </c>
      <c r="F193" s="16">
        <v>42592.73741898148</v>
      </c>
      <c r="G193" s="7">
        <v>1</v>
      </c>
      <c r="H193" s="16" t="s">
        <v>573</v>
      </c>
      <c r="I193" s="16">
        <v>42592.75371527778</v>
      </c>
      <c r="J193" s="7">
        <v>0</v>
      </c>
      <c r="K193" s="25" t="str">
        <f t="shared" si="116"/>
        <v>4013/4014</v>
      </c>
      <c r="L193" s="25" t="str">
        <f>VLOOKUP(A193,'Trips&amp;Operators'!$C$1:$E$10000,3,FALSE)</f>
        <v>ISHMAEL</v>
      </c>
      <c r="M193" s="6">
        <f t="shared" si="117"/>
        <v>1.6296296300424729E-2</v>
      </c>
      <c r="N193" s="7">
        <f t="shared" si="118"/>
        <v>23.466666672611609</v>
      </c>
      <c r="O193" s="7"/>
      <c r="P193" s="7"/>
      <c r="Q193" s="26"/>
      <c r="R193" s="26"/>
      <c r="S193" s="38">
        <f t="shared" si="119"/>
        <v>1</v>
      </c>
      <c r="T193" s="55" t="str">
        <f t="shared" si="120"/>
        <v>NorthBound</v>
      </c>
      <c r="U193" s="14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16:40:36-0600',mode:absolute,to:'2016-08-10 19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93" s="57" t="str">
        <f t="shared" si="122"/>
        <v>N</v>
      </c>
      <c r="X193" s="136">
        <f t="shared" si="129"/>
        <v>1</v>
      </c>
      <c r="Y193" s="72">
        <f t="shared" si="123"/>
        <v>9.8500000000000004E-2</v>
      </c>
      <c r="Z193" s="72">
        <f t="shared" si="124"/>
        <v>5.8949999999999996</v>
      </c>
      <c r="AA193" s="72">
        <f t="shared" si="125"/>
        <v>5.7965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126"/>
        <v>0835-10</v>
      </c>
      <c r="AE193" s="108" t="str">
        <f t="shared" si="130"/>
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</c>
      <c r="AF193" s="105" t="str">
        <f t="shared" si="131"/>
        <v>"C:\Program Files (x86)\AstroGrep\AstroGrep.exe" /spath="%USERPROFILE%\AppData\Local\Temp\OnboardLogs" /stypes="*4014*20160811*" /stext=" 00:.+((SYSTEM_STATE.+slice.+state.+changed )|(ment ac)|(system.+state.+changed )|(\|lc)|(penalty)|(\[timeout)|(PRM\|1\|D)|(kpr)|(kdp))" /e /r /s</v>
      </c>
      <c r="AG193" s="1" t="str">
        <f t="shared" si="127"/>
        <v>NW</v>
      </c>
      <c r="AH193" s="109" t="str">
        <f t="shared" si="128"/>
        <v>"%USERPROFILE%\Documents\GitHub\eaglep3\Utilities\RefineRTDCRunTimes.py" --tripid 835-10 --locoid 4014 --swversion DE.1.0.7.0 --startMP 204:985 --initTime 2016-08-10T17:40:36 --startdatetime 2016-08-10T17:41:53 --delay 1 --endMP 300:58950 --enddatetime 2016-08-10T18:05:21 --enforcementcount 0</v>
      </c>
    </row>
    <row r="194" spans="1:34" x14ac:dyDescent="0.25">
      <c r="A194" s="42" t="s">
        <v>574</v>
      </c>
      <c r="B194" s="7">
        <v>4013</v>
      </c>
      <c r="C194" s="25" t="s">
        <v>137</v>
      </c>
      <c r="D194" s="25" t="s">
        <v>575</v>
      </c>
      <c r="E194" s="16">
        <v>42592.75476851852</v>
      </c>
      <c r="F194" s="16">
        <v>42592.755567129629</v>
      </c>
      <c r="G194" s="7">
        <v>1</v>
      </c>
      <c r="H194" s="16" t="s">
        <v>576</v>
      </c>
      <c r="I194" s="16">
        <v>42592.769641203704</v>
      </c>
      <c r="J194" s="7">
        <v>1</v>
      </c>
      <c r="K194" s="25" t="str">
        <f t="shared" si="116"/>
        <v>4013/4014</v>
      </c>
      <c r="L194" s="25" t="str">
        <f>VLOOKUP(A194,'Trips&amp;Operators'!$C$1:$E$10000,3,FALSE)</f>
        <v>ISHMAEL</v>
      </c>
      <c r="M194" s="6">
        <f t="shared" si="117"/>
        <v>1.4074074075324461E-2</v>
      </c>
      <c r="N194" s="7">
        <f t="shared" si="118"/>
        <v>20.266666668467224</v>
      </c>
      <c r="O194" s="7"/>
      <c r="P194" s="7"/>
      <c r="Q194" s="26"/>
      <c r="R194" s="26"/>
      <c r="S194" s="38">
        <f t="shared" si="119"/>
        <v>1</v>
      </c>
      <c r="T194" s="55" t="str">
        <f t="shared" si="120"/>
        <v>Southbound</v>
      </c>
      <c r="U194" s="14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17:06:52-0600',mode:absolute,to:'2016-08-10 19:28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94" s="57" t="str">
        <f t="shared" si="122"/>
        <v>N</v>
      </c>
      <c r="X194" s="136">
        <f t="shared" si="129"/>
        <v>1</v>
      </c>
      <c r="Y194" s="72">
        <f t="shared" si="123"/>
        <v>5.8635999999999999</v>
      </c>
      <c r="Z194" s="72">
        <f t="shared" si="124"/>
        <v>7.1199999999999999E-2</v>
      </c>
      <c r="AA194" s="72">
        <f t="shared" si="125"/>
        <v>5.7923999999999998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126"/>
        <v>0836-10</v>
      </c>
      <c r="AE194" s="108" t="str">
        <f t="shared" si="130"/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AF194" s="105" t="str">
        <f t="shared" si="131"/>
        <v>"C:\Program Files (x86)\AstroGrep\AstroGrep.exe" /spath="%USERPROFILE%\AppData\Local\Temp\OnboardLogs" /stypes="*4013*20160811*" /stext=" 00:.+((SYSTEM_STATE.+slice.+state.+changed )|(ment ac)|(system.+state.+changed )|(\|lc)|(penalty)|(\[timeout)|(PRM\|1\|D)|(kpr)|(kdp))" /e /r /s</v>
      </c>
      <c r="AG194" s="1" t="str">
        <f t="shared" si="127"/>
        <v>NW</v>
      </c>
      <c r="AH194" s="109" t="str">
        <f t="shared" si="128"/>
        <v>"%USERPROFILE%\Documents\GitHub\eaglep3\Utilities\RefineRTDCRunTimes.py" --tripid 836-10 --locoid 4013 --swversion DE.1.0.7.0 --startMP 300:58636 --initTime 2016-08-10T18:06:52 --startdatetime 2016-08-10T18:08:01 --delay 1 --endMP 204:712 --enddatetime 2016-08-10T18:28:17 --enforcementcount 1</v>
      </c>
    </row>
    <row r="195" spans="1:34" x14ac:dyDescent="0.25">
      <c r="A195" s="42" t="s">
        <v>577</v>
      </c>
      <c r="B195" s="7">
        <v>4044</v>
      </c>
      <c r="C195" s="25" t="s">
        <v>137</v>
      </c>
      <c r="D195" s="25" t="s">
        <v>578</v>
      </c>
      <c r="E195" s="16">
        <v>42592.760104166664</v>
      </c>
      <c r="F195" s="16">
        <v>42592.760983796295</v>
      </c>
      <c r="G195" s="7">
        <v>1</v>
      </c>
      <c r="H195" s="16" t="s">
        <v>579</v>
      </c>
      <c r="I195" s="16">
        <v>42592.776712962965</v>
      </c>
      <c r="J195" s="7">
        <v>0</v>
      </c>
      <c r="K195" s="25" t="str">
        <f t="shared" si="116"/>
        <v>4043/4044</v>
      </c>
      <c r="L195" s="25" t="str">
        <f>VLOOKUP(A195,'Trips&amp;Operators'!$C$1:$E$10000,3,FALSE)</f>
        <v>MOSES</v>
      </c>
      <c r="M195" s="6">
        <f t="shared" si="117"/>
        <v>1.5729166669188999E-2</v>
      </c>
      <c r="N195" s="7">
        <f t="shared" si="118"/>
        <v>22.650000003632158</v>
      </c>
      <c r="O195" s="7"/>
      <c r="P195" s="7"/>
      <c r="Q195" s="26"/>
      <c r="R195" s="26"/>
      <c r="S195" s="38">
        <f t="shared" si="119"/>
        <v>1</v>
      </c>
      <c r="T195" s="55" t="str">
        <f t="shared" ref="T195:T207" si="132">IF(ISEVEN(LEFT(AD195,4)),"Southbound","NorthBound")</f>
        <v>NorthBound</v>
      </c>
      <c r="U195" s="14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5" t="str">
        <f t="shared" ref="V195:V207" si="133"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https://search-rtdc-monitor-bjffxe2xuh6vdkpspy63sjmuny.us-east-1.es.amazonaws.com/_plugin/kibana/#/discover/Steve-Slow-Train-Analysis-(2080s-and-2083s)?_g=(refreshInterval:(display:Off,section:0,value:0),time:(from:'2016-08-10 17:14:33-0600',mode:absolute,to:'2016-08-10 19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95" s="57" t="str">
        <f t="shared" ref="W195:W207" si="134">IF(AA195&lt;IF(AG195="EC",23,5.65),"Y","N")</f>
        <v>N</v>
      </c>
      <c r="X195" s="136">
        <f t="shared" ref="X195:X207" si="135">VALUE(LEFT(AD195,4))-VALUE(LEFT(AD194,4))</f>
        <v>1</v>
      </c>
      <c r="Y195" s="72">
        <f t="shared" ref="Y195:Y207" si="136">RIGHT(D195,LEN(D195)-4)/10000</f>
        <v>9.4100000000000003E-2</v>
      </c>
      <c r="Z195" s="72">
        <f t="shared" ref="Z195:Z207" si="137">RIGHT(H195,LEN(H195)-4)/10000</f>
        <v>5.8964999999999996</v>
      </c>
      <c r="AA195" s="72">
        <f t="shared" ref="AA195:AA207" si="138">ABS(Z195-Y195)</f>
        <v>5.8023999999999996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126"/>
        <v>0837-10</v>
      </c>
      <c r="AE195" s="108" t="str">
        <f t="shared" si="130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95" s="105" t="str">
        <f t="shared" si="131"/>
        <v>"C:\Program Files (x86)\AstroGrep\AstroGrep.exe" /spath="%USERPROFILE%\AppData\Local\Temp\OnboardLogs" /stypes="*4044*20160811*" /stext=" 00:.+((SYSTEM_STATE.+slice.+state.+changed )|(ment ac)|(system.+state.+changed )|(\|lc)|(penalty)|(\[timeout)|(PRM\|1\|D)|(kpr)|(kdp))" /e /r /s</v>
      </c>
      <c r="AG195" s="1" t="str">
        <f t="shared" si="127"/>
        <v>NW</v>
      </c>
      <c r="AH195" s="109" t="str">
        <f t="shared" si="128"/>
        <v>"%USERPROFILE%\Documents\GitHub\eaglep3\Utilities\RefineRTDCRunTimes.py" --tripid 837-10 --locoid 4044 --swversion DE.1.0.7.0 --startMP 204:941 --initTime 2016-08-10T18:14:33 --startdatetime 2016-08-10T18:15:49 --delay 1 --endMP 300:58965 --enddatetime 2016-08-10T18:38:28 --enforcementcount 0</v>
      </c>
    </row>
    <row r="196" spans="1:34" x14ac:dyDescent="0.25">
      <c r="A196" s="42" t="s">
        <v>580</v>
      </c>
      <c r="B196" s="7">
        <v>4043</v>
      </c>
      <c r="C196" s="25" t="s">
        <v>137</v>
      </c>
      <c r="D196" s="25" t="s">
        <v>581</v>
      </c>
      <c r="E196" s="16">
        <v>42592.779444444444</v>
      </c>
      <c r="F196" s="16">
        <v>42592.780150462961</v>
      </c>
      <c r="G196" s="7">
        <v>1</v>
      </c>
      <c r="H196" s="16" t="s">
        <v>561</v>
      </c>
      <c r="I196" s="16">
        <v>42592.791203703702</v>
      </c>
      <c r="J196" s="7">
        <v>0</v>
      </c>
      <c r="K196" s="25" t="str">
        <f t="shared" si="116"/>
        <v>4043/4044</v>
      </c>
      <c r="L196" s="25" t="str">
        <f>VLOOKUP(A196,'Trips&amp;Operators'!$C$1:$E$10000,3,FALSE)</f>
        <v>MOSES</v>
      </c>
      <c r="M196" s="6">
        <f t="shared" si="117"/>
        <v>1.1053240741603076E-2</v>
      </c>
      <c r="N196" s="7">
        <f t="shared" si="118"/>
        <v>15.91666666790843</v>
      </c>
      <c r="O196" s="7"/>
      <c r="P196" s="7"/>
      <c r="Q196" s="26"/>
      <c r="R196" s="26"/>
      <c r="S196" s="38">
        <f t="shared" si="119"/>
        <v>1</v>
      </c>
      <c r="T196" s="55" t="str">
        <f t="shared" si="132"/>
        <v>Southbound</v>
      </c>
      <c r="U196" s="14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5" t="str">
        <f t="shared" si="133"/>
        <v>https://search-rtdc-monitor-bjffxe2xuh6vdkpspy63sjmuny.us-east-1.es.amazonaws.com/_plugin/kibana/#/discover/Steve-Slow-Train-Analysis-(2080s-and-2083s)?_g=(refreshInterval:(display:Off,section:0,value:0),time:(from:'2016-08-10 17:42:24-0600',mode:absolute,to:'2016-08-10 19:59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96" s="57" t="str">
        <f t="shared" si="134"/>
        <v>N</v>
      </c>
      <c r="X196" s="136">
        <f t="shared" si="135"/>
        <v>1</v>
      </c>
      <c r="Y196" s="72">
        <f t="shared" si="136"/>
        <v>5.8647</v>
      </c>
      <c r="Z196" s="72">
        <f t="shared" si="137"/>
        <v>6.6299999999999998E-2</v>
      </c>
      <c r="AA196" s="72">
        <f t="shared" si="138"/>
        <v>5.7984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126"/>
        <v>0838-10</v>
      </c>
      <c r="AE196" s="108" t="str">
        <f t="shared" si="130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96" s="105" t="str">
        <f t="shared" si="131"/>
        <v>"C:\Program Files (x86)\AstroGrep\AstroGrep.exe" /spath="%USERPROFILE%\AppData\Local\Temp\OnboardLogs" /stypes="*4043*20160811*" /stext=" 00:.+((SYSTEM_STATE.+slice.+state.+changed )|(ment ac)|(system.+state.+changed )|(\|lc)|(penalty)|(\[timeout)|(PRM\|1\|D)|(kpr)|(kdp))" /e /r /s</v>
      </c>
      <c r="AG196" s="1" t="str">
        <f t="shared" si="127"/>
        <v>NW</v>
      </c>
      <c r="AH196" s="109" t="str">
        <f t="shared" si="128"/>
        <v>"%USERPROFILE%\Documents\GitHub\eaglep3\Utilities\RefineRTDCRunTimes.py" --tripid 838-10 --locoid 4043 --swversion DE.1.0.7.0 --startMP 300:58647 --initTime 2016-08-10T18:42:24 --startdatetime 2016-08-10T18:43:25 --delay 1 --endMP 204:663 --enddatetime 2016-08-10T18:59:20 --enforcementcount 0</v>
      </c>
    </row>
    <row r="197" spans="1:34" x14ac:dyDescent="0.25">
      <c r="A197" s="42" t="s">
        <v>582</v>
      </c>
      <c r="B197" s="7">
        <v>4014</v>
      </c>
      <c r="C197" s="25" t="s">
        <v>137</v>
      </c>
      <c r="D197" s="25" t="s">
        <v>236</v>
      </c>
      <c r="E197" s="16">
        <v>42592.778298611112</v>
      </c>
      <c r="F197" s="16">
        <v>42592.779027777775</v>
      </c>
      <c r="G197" s="7">
        <v>1</v>
      </c>
      <c r="H197" s="16" t="s">
        <v>231</v>
      </c>
      <c r="I197" s="16">
        <v>42592.795370370368</v>
      </c>
      <c r="J197" s="7">
        <v>0</v>
      </c>
      <c r="K197" s="25" t="str">
        <f t="shared" si="116"/>
        <v>4013/4014</v>
      </c>
      <c r="L197" s="25" t="str">
        <f>VLOOKUP(A197,'Trips&amp;Operators'!$C$1:$E$10000,3,FALSE)</f>
        <v>ISHMAEL</v>
      </c>
      <c r="M197" s="6">
        <f t="shared" si="117"/>
        <v>1.6342592592991423E-2</v>
      </c>
      <c r="N197" s="7">
        <f t="shared" si="118"/>
        <v>23.533333333907649</v>
      </c>
      <c r="O197" s="7"/>
      <c r="P197" s="7"/>
      <c r="Q197" s="26"/>
      <c r="R197" s="26"/>
      <c r="S197" s="38">
        <f t="shared" si="119"/>
        <v>1</v>
      </c>
      <c r="T197" s="55" t="str">
        <f t="shared" si="132"/>
        <v>NorthBound</v>
      </c>
      <c r="U197" s="14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5" t="str">
        <f t="shared" ref="V197:V200" si="139"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https://search-rtdc-monitor-bjffxe2xuh6vdkpspy63sjmuny.us-east-1.es.amazonaws.com/_plugin/kibana/#/discover/Steve-Slow-Train-Analysis-(2080s-and-2083s)?_g=(refreshInterval:(display:Off,section:0,value:0),time:(from:'2016-08-10 17:40:45-0600',mode:absolute,to:'2016-08-10 20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97" s="57" t="str">
        <f t="shared" ref="W197:W200" si="140">IF(AA197&lt;IF(AG197="EC",23,5.65),"Y","N")</f>
        <v>N</v>
      </c>
      <c r="X197" s="136">
        <f t="shared" ref="X197:X200" si="141">VALUE(LEFT(AD197,4))-VALUE(LEFT(AD196,4))</f>
        <v>1</v>
      </c>
      <c r="Y197" s="72">
        <f t="shared" ref="Y197:Y200" si="142">RIGHT(D197,LEN(D197)-4)/10000</f>
        <v>0.1002</v>
      </c>
      <c r="Z197" s="72">
        <f t="shared" ref="Z197:Z200" si="143">RIGHT(H197,LEN(H197)-4)/10000</f>
        <v>5.8924000000000003</v>
      </c>
      <c r="AA197" s="72">
        <f t="shared" ref="AA197:AA200" si="144">ABS(Z197-Y197)</f>
        <v>5.7922000000000002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126"/>
        <v>0839-10</v>
      </c>
      <c r="AE197" s="108" t="str">
        <f t="shared" si="130"/>
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</c>
      <c r="AF197" s="105" t="str">
        <f t="shared" si="131"/>
        <v>"C:\Program Files (x86)\AstroGrep\AstroGrep.exe" /spath="%USERPROFILE%\AppData\Local\Temp\OnboardLogs" /stypes="*4014*20160811*" /stext=" 01:.+((SYSTEM_STATE.+slice.+state.+changed )|(ment ac)|(system.+state.+changed )|(\|lc)|(penalty)|(\[timeout)|(PRM\|1\|D)|(kpr)|(kdp))" /e /r /s</v>
      </c>
      <c r="AG197" s="1" t="str">
        <f t="shared" si="127"/>
        <v>NW</v>
      </c>
      <c r="AH197" s="109" t="str">
        <f t="shared" si="128"/>
        <v>"%USERPROFILE%\Documents\GitHub\eaglep3\Utilities\RefineRTDCRunTimes.py" --tripid 839-10 --locoid 4014 --swversion DE.1.0.7.0 --startMP 204:1002 --initTime 2016-08-10T18:40:45 --startdatetime 2016-08-10T18:41:48 --delay 1 --endMP 300:58924 --enddatetime 2016-08-10T19:05:20 --enforcementcount 0</v>
      </c>
    </row>
    <row r="198" spans="1:34" x14ac:dyDescent="0.25">
      <c r="A198" s="42" t="s">
        <v>583</v>
      </c>
      <c r="B198" s="7">
        <v>4043</v>
      </c>
      <c r="C198" s="25" t="s">
        <v>137</v>
      </c>
      <c r="D198" s="25" t="s">
        <v>584</v>
      </c>
      <c r="E198" s="16">
        <v>42592.821423611109</v>
      </c>
      <c r="F198" s="16">
        <v>42592.822210648148</v>
      </c>
      <c r="G198" s="7">
        <v>1</v>
      </c>
      <c r="H198" s="16" t="s">
        <v>585</v>
      </c>
      <c r="I198" s="16">
        <v>42592.832604166666</v>
      </c>
      <c r="J198" s="7">
        <v>1</v>
      </c>
      <c r="K198" s="25" t="str">
        <f t="shared" si="116"/>
        <v>4043/4044</v>
      </c>
      <c r="L198" s="25" t="str">
        <f>VLOOKUP(A198,'Trips&amp;Operators'!$C$1:$E$10000,3,FALSE)</f>
        <v>MOSES</v>
      </c>
      <c r="M198" s="6">
        <f t="shared" si="117"/>
        <v>1.0393518517958E-2</v>
      </c>
      <c r="N198" s="7">
        <f t="shared" si="118"/>
        <v>14.96666666585952</v>
      </c>
      <c r="O198" s="7"/>
      <c r="P198" s="7"/>
      <c r="Q198" s="26"/>
      <c r="R198" s="26"/>
      <c r="S198" s="38">
        <f t="shared" si="119"/>
        <v>1</v>
      </c>
      <c r="T198" s="55" t="str">
        <f t="shared" si="132"/>
        <v>Southbound</v>
      </c>
      <c r="U198" s="14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5" t="str">
        <f t="shared" si="139"/>
        <v>https://search-rtdc-monitor-bjffxe2xuh6vdkpspy63sjmuny.us-east-1.es.amazonaws.com/_plugin/kibana/#/discover/Steve-Slow-Train-Analysis-(2080s-and-2083s)?_g=(refreshInterval:(display:Off,section:0,value:0),time:(from:'2016-08-10 18:42:51-0600',mode:absolute,to:'2016-08-10 20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98" s="57" t="str">
        <f t="shared" si="140"/>
        <v>N</v>
      </c>
      <c r="X198" s="136">
        <f t="shared" si="141"/>
        <v>1</v>
      </c>
      <c r="Y198" s="72">
        <f t="shared" si="142"/>
        <v>5.8651</v>
      </c>
      <c r="Z198" s="72">
        <f t="shared" si="143"/>
        <v>6.3799999999999996E-2</v>
      </c>
      <c r="AA198" s="72">
        <f t="shared" si="144"/>
        <v>5.8013000000000003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126"/>
        <v>0840-10</v>
      </c>
      <c r="AE198" s="108" t="str">
        <f t="shared" si="130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198" s="105" t="str">
        <f t="shared" si="131"/>
        <v>"C:\Program Files (x86)\AstroGrep\AstroGrep.exe" /spath="%USERPROFILE%\AppData\Local\Temp\OnboardLogs" /stypes="*4043*20160811*" /stext=" 01:.+((SYSTEM_STATE.+slice.+state.+changed )|(ment ac)|(system.+state.+changed )|(\|lc)|(penalty)|(\[timeout)|(PRM\|1\|D)|(kpr)|(kdp))" /e /r /s</v>
      </c>
      <c r="AG198" s="1" t="str">
        <f t="shared" si="127"/>
        <v>NW</v>
      </c>
      <c r="AH198" s="109" t="str">
        <f t="shared" si="128"/>
        <v>"%USERPROFILE%\Documents\GitHub\eaglep3\Utilities\RefineRTDCRunTimes.py" --tripid 840-10 --locoid 4043 --swversion DE.1.0.7.0 --startMP 300:58651 --initTime 2016-08-10T19:42:51 --startdatetime 2016-08-10T19:43:59 --delay 1 --endMP 204:638 --enddatetime 2016-08-10T19:58:57 --enforcementcount 1</v>
      </c>
    </row>
    <row r="199" spans="1:34" x14ac:dyDescent="0.25">
      <c r="A199" s="42" t="s">
        <v>586</v>
      </c>
      <c r="B199" s="7">
        <v>4044</v>
      </c>
      <c r="C199" s="25" t="s">
        <v>137</v>
      </c>
      <c r="D199" s="25" t="s">
        <v>587</v>
      </c>
      <c r="E199" s="16">
        <v>42592.803206018521</v>
      </c>
      <c r="F199" s="16">
        <v>42592.804444444446</v>
      </c>
      <c r="G199" s="7">
        <v>1</v>
      </c>
      <c r="H199" s="16" t="s">
        <v>588</v>
      </c>
      <c r="I199" s="16">
        <v>42592.816724537035</v>
      </c>
      <c r="J199" s="7">
        <v>2</v>
      </c>
      <c r="K199" s="25" t="str">
        <f t="shared" si="116"/>
        <v>4043/4044</v>
      </c>
      <c r="L199" s="25" t="str">
        <f>VLOOKUP(A199,'Trips&amp;Operators'!$C$1:$E$10000,3,FALSE)</f>
        <v>MOSES</v>
      </c>
      <c r="M199" s="6">
        <f t="shared" si="117"/>
        <v>1.2280092589207925E-2</v>
      </c>
      <c r="N199" s="7">
        <f t="shared" si="118"/>
        <v>17.683333328459412</v>
      </c>
      <c r="O199" s="7"/>
      <c r="P199" s="7"/>
      <c r="Q199" s="26"/>
      <c r="R199" s="26"/>
      <c r="S199" s="38">
        <f t="shared" si="119"/>
        <v>1</v>
      </c>
      <c r="T199" s="55" t="str">
        <f t="shared" si="132"/>
        <v>NorthBound</v>
      </c>
      <c r="U199" s="14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5" t="str">
        <f t="shared" si="139"/>
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99" s="57" t="str">
        <f t="shared" si="140"/>
        <v>N</v>
      </c>
      <c r="X199" s="136">
        <f t="shared" si="141"/>
        <v>1</v>
      </c>
      <c r="Y199" s="72">
        <f t="shared" si="142"/>
        <v>9.4600000000000004E-2</v>
      </c>
      <c r="Z199" s="72">
        <f t="shared" si="143"/>
        <v>5.8876999999999997</v>
      </c>
      <c r="AA199" s="72">
        <f t="shared" si="144"/>
        <v>5.7930999999999999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126"/>
        <v>0841-10</v>
      </c>
      <c r="AE199" s="108" t="str">
        <f t="shared" si="130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199" s="105" t="str">
        <f t="shared" si="131"/>
        <v>"C:\Program Files (x86)\AstroGrep\AstroGrep.exe" /spath="%USERPROFILE%\AppData\Local\Temp\OnboardLogs" /stypes="*4044*20160811*" /stext=" 01:.+((SYSTEM_STATE.+slice.+state.+changed )|(ment ac)|(system.+state.+changed )|(\|lc)|(penalty)|(\[timeout)|(PRM\|1\|D)|(kpr)|(kdp))" /e /r /s</v>
      </c>
      <c r="AG199" s="1" t="str">
        <f t="shared" si="127"/>
        <v>NW</v>
      </c>
      <c r="AH199" s="109" t="str">
        <f t="shared" si="128"/>
        <v>"%USERPROFILE%\Documents\GitHub\eaglep3\Utilities\RefineRTDCRunTimes.py" --tripid 841-10 --locoid 4044 --swversion DE.1.0.7.0 --startMP 204:946 --initTime 2016-08-10T19:16:37 --startdatetime 2016-08-10T19:18:24 --delay 1 --endMP 300:58877 --enddatetime 2016-08-10T19:36:05 --enforcementcount 2</v>
      </c>
    </row>
    <row r="200" spans="1:34" x14ac:dyDescent="0.25">
      <c r="A200" s="42" t="s">
        <v>589</v>
      </c>
      <c r="B200" s="7">
        <v>4043</v>
      </c>
      <c r="C200" s="25" t="s">
        <v>137</v>
      </c>
      <c r="D200" s="25" t="s">
        <v>560</v>
      </c>
      <c r="E200" s="16">
        <v>42592.860752314817</v>
      </c>
      <c r="F200" s="16">
        <v>42592.861817129633</v>
      </c>
      <c r="G200" s="7">
        <v>1</v>
      </c>
      <c r="H200" s="16" t="s">
        <v>286</v>
      </c>
      <c r="I200" s="16">
        <v>42592.875069444446</v>
      </c>
      <c r="J200" s="7">
        <v>0</v>
      </c>
      <c r="K200" s="25" t="str">
        <f t="shared" si="116"/>
        <v>4043/4044</v>
      </c>
      <c r="L200" s="25" t="str">
        <f>VLOOKUP(A200,'Trips&amp;Operators'!$C$1:$E$10000,3,FALSE)</f>
        <v>MOSES</v>
      </c>
      <c r="M200" s="6">
        <f t="shared" si="117"/>
        <v>1.3252314813144039E-2</v>
      </c>
      <c r="N200" s="7">
        <f t="shared" si="118"/>
        <v>19.083333330927417</v>
      </c>
      <c r="O200" s="7"/>
      <c r="P200" s="7"/>
      <c r="Q200" s="26"/>
      <c r="R200" s="26"/>
      <c r="S200" s="38">
        <f t="shared" si="119"/>
        <v>1</v>
      </c>
      <c r="T200" s="55" t="str">
        <f t="shared" si="132"/>
        <v>Southbound</v>
      </c>
      <c r="U200" s="14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5" t="str">
        <f t="shared" si="139"/>
        <v>https://search-rtdc-monitor-bjffxe2xuh6vdkpspy63sjmuny.us-east-1.es.amazonaws.com/_plugin/kibana/#/discover/Steve-Slow-Train-Analysis-(2080s-and-2083s)?_g=(refreshInterval:(display:Off,section:0,value:0),time:(from:'2016-08-10 19:39:29-0600',mode:absolute,to:'2016-08-10 22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200" s="57" t="str">
        <f t="shared" si="140"/>
        <v>N</v>
      </c>
      <c r="X200" s="136">
        <f t="shared" si="141"/>
        <v>1</v>
      </c>
      <c r="Y200" s="72">
        <f t="shared" si="142"/>
        <v>5.8655999999999997</v>
      </c>
      <c r="Z200" s="72">
        <f t="shared" si="143"/>
        <v>6.5699999999999995E-2</v>
      </c>
      <c r="AA200" s="72">
        <f t="shared" si="144"/>
        <v>5.7999000000000001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126"/>
        <v>0842-10</v>
      </c>
      <c r="AE200" s="108" t="str">
        <f t="shared" si="130"/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AF200" s="105" t="str">
        <f t="shared" si="131"/>
        <v>"C:\Program Files (x86)\AstroGrep\AstroGrep.exe" /spath="%USERPROFILE%\AppData\Local\Temp\OnboardLogs" /stypes="*4043*20160811*" /stext=" 03:.+((SYSTEM_STATE.+slice.+state.+changed )|(ment ac)|(system.+state.+changed )|(\|lc)|(penalty)|(\[timeout)|(PRM\|1\|D)|(kpr)|(kdp))" /e /r /s</v>
      </c>
      <c r="AG200" s="1" t="str">
        <f t="shared" si="127"/>
        <v>NW</v>
      </c>
      <c r="AH200" s="109" t="str">
        <f t="shared" si="128"/>
        <v>"%USERPROFILE%\Documents\GitHub\eaglep3\Utilities\RefineRTDCRunTimes.py" --tripid 842-10 --locoid 4043 --swversion DE.1.0.7.0 --startMP 300:58656 --initTime 2016-08-10T20:39:29 --startdatetime 2016-08-10T20:41:01 --delay 1 --endMP 204:657 --enddatetime 2016-08-10T21:00:06 --enforcementcount 0</v>
      </c>
    </row>
    <row r="201" spans="1:34" x14ac:dyDescent="0.25">
      <c r="A201" s="42" t="s">
        <v>590</v>
      </c>
      <c r="B201" s="7">
        <v>4044</v>
      </c>
      <c r="C201" s="25" t="s">
        <v>137</v>
      </c>
      <c r="D201" s="25" t="s">
        <v>592</v>
      </c>
      <c r="E201" s="16">
        <v>42592.845451388886</v>
      </c>
      <c r="F201" s="16">
        <v>42592.846967592595</v>
      </c>
      <c r="G201" s="7">
        <v>2</v>
      </c>
      <c r="H201" s="16" t="s">
        <v>591</v>
      </c>
      <c r="I201" s="16">
        <v>42592.859201388892</v>
      </c>
      <c r="J201" s="7">
        <v>0</v>
      </c>
      <c r="K201" s="25" t="str">
        <f t="shared" si="116"/>
        <v>4043/4044</v>
      </c>
      <c r="L201" s="25" t="str">
        <f>VLOOKUP(A201,'Trips&amp;Operators'!$C$1:$E$10000,3,FALSE)</f>
        <v>MOSES</v>
      </c>
      <c r="M201" s="6">
        <f t="shared" si="117"/>
        <v>1.2233796296641231E-2</v>
      </c>
      <c r="N201" s="7">
        <f t="shared" si="118"/>
        <v>17.616666667163372</v>
      </c>
      <c r="O201" s="7"/>
      <c r="P201" s="7"/>
      <c r="Q201" s="26"/>
      <c r="R201" s="26"/>
      <c r="S201" s="38">
        <f t="shared" ref="S201:S206" si="145">SUM(U201:U201)/IF(AG201="EC",12,1)</f>
        <v>1</v>
      </c>
      <c r="T201" s="55" t="str">
        <f t="shared" ref="T201:T206" si="146">IF(ISEVEN(LEFT(AD201,4)),"Southbound","NorthBound")</f>
        <v>NorthBound</v>
      </c>
      <c r="U201" s="14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5" t="str">
        <f t="shared" ref="V201:V206" si="147"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https://search-rtdc-monitor-bjffxe2xuh6vdkpspy63sjmuny.us-east-1.es.amazonaws.com/_plugin/kibana/#/discover/Steve-Slow-Train-Analysis-(2080s-and-2083s)?_g=(refreshInterval:(display:Off,section:0,value:0),time:(from:'2016-08-10 19:17:27-0600',mode:absolute,to:'2016-08-10 21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201" s="57" t="str">
        <f t="shared" ref="W201:W206" si="148">IF(AA201&lt;IF(AG201="EC",23,5.65),"Y","N")</f>
        <v>N</v>
      </c>
      <c r="X201" s="136">
        <f t="shared" ref="X201:X206" si="149">VALUE(LEFT(AD201,4))-VALUE(LEFT(AD200,4))</f>
        <v>1</v>
      </c>
      <c r="Y201" s="72">
        <f t="shared" ref="Y201:Y206" si="150">RIGHT(D201,LEN(D201)-4)/10000</f>
        <v>9.5500000000000002E-2</v>
      </c>
      <c r="Z201" s="72">
        <f t="shared" ref="Z201:Z206" si="151">RIGHT(H201,LEN(H201)-4)/10000</f>
        <v>5.8973000000000004</v>
      </c>
      <c r="AA201" s="72">
        <f t="shared" ref="AA201:AA206" si="152">ABS(Z201-Y201)</f>
        <v>5.8018000000000001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ref="AD201:AD206" si="153">IF(LEN(A201)=6,"0"&amp;A201,A201)</f>
        <v>0843-10</v>
      </c>
      <c r="AE201" s="108" t="str">
        <f t="shared" si="130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201" s="105" t="str">
        <f t="shared" si="131"/>
        <v>"C:\Program Files (x86)\AstroGrep\AstroGrep.exe" /spath="%USERPROFILE%\AppData\Local\Temp\OnboardLogs" /stypes="*4044*20160811*" /stext=" 02:.+((SYSTEM_STATE.+slice.+state.+changed )|(ment ac)|(system.+state.+changed )|(\|lc)|(penalty)|(\[timeout)|(PRM\|1\|D)|(kpr)|(kdp))" /e /r /s</v>
      </c>
      <c r="AG201" s="1" t="str">
        <f t="shared" ref="AG201:AG206" si="154">IF(VALUE(LEFT(AD201,2))&lt;=2,"EC",IF(OR(VALUE(LEFT(AD201,2))=8,VALUE(LEFT(AD201,2))=18),"NW","Other"))</f>
        <v>NW</v>
      </c>
      <c r="AH201" s="109" t="str">
        <f t="shared" ref="AH201:AH206" si="155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</f>
        <v>"%USERPROFILE%\Documents\GitHub\eaglep3\Utilities\RefineRTDCRunTimes.py" --tripid 843-10 --locoid 4044 --swversion DE.1.0.7.0 --startMP 204:955 --initTime 2016-08-10T20:17:27 --startdatetime 2016-08-10T20:19:38 --delay 2 --endMP 300:58973 --enddatetime 2016-08-10T20:37:15 --enforcementcount 0</v>
      </c>
    </row>
    <row r="202" spans="1:34" s="24" customFormat="1" x14ac:dyDescent="0.25">
      <c r="A202" s="42" t="s">
        <v>634</v>
      </c>
      <c r="B202" s="7" t="s">
        <v>204</v>
      </c>
      <c r="C202" s="25" t="s">
        <v>204</v>
      </c>
      <c r="D202" s="25" t="s">
        <v>204</v>
      </c>
      <c r="E202" s="16" t="s">
        <v>204</v>
      </c>
      <c r="F202" s="16" t="s">
        <v>204</v>
      </c>
      <c r="G202" s="7" t="s">
        <v>204</v>
      </c>
      <c r="H202" s="16" t="s">
        <v>204</v>
      </c>
      <c r="I202" s="16" t="s">
        <v>204</v>
      </c>
      <c r="J202" s="7" t="s">
        <v>204</v>
      </c>
      <c r="K202" s="25" t="s">
        <v>204</v>
      </c>
      <c r="L202" s="25"/>
      <c r="M202" s="6"/>
      <c r="N202" s="7"/>
      <c r="O202" s="7"/>
      <c r="P202" s="7">
        <v>1</v>
      </c>
      <c r="Q202" s="26"/>
      <c r="R202" s="26" t="s">
        <v>304</v>
      </c>
      <c r="S202" s="38">
        <f t="shared" si="145"/>
        <v>0</v>
      </c>
      <c r="T202" s="55" t="str">
        <f t="shared" si="146"/>
        <v>Southbound</v>
      </c>
      <c r="U202" s="14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15" t="e">
        <f t="shared" si="147"/>
        <v>#VALUE!</v>
      </c>
      <c r="W202" s="57" t="e">
        <f t="shared" si="148"/>
        <v>#VALUE!</v>
      </c>
      <c r="X202" s="136">
        <f t="shared" si="149"/>
        <v>1</v>
      </c>
      <c r="Y202" s="72" t="e">
        <f t="shared" si="150"/>
        <v>#VALUE!</v>
      </c>
      <c r="Z202" s="72" t="e">
        <f t="shared" si="151"/>
        <v>#VALUE!</v>
      </c>
      <c r="AA202" s="72" t="e">
        <f t="shared" si="152"/>
        <v>#VALUE!</v>
      </c>
      <c r="AB202" s="69" t="e">
        <f>VLOOKUP(A202,Enforcements!$C$7:$J$24,8,0)</f>
        <v>#N/A</v>
      </c>
      <c r="AC202" s="65" t="e">
        <f>VLOOKUP(A202,Enforcements!$C$7:$E$24,3,0)</f>
        <v>#N/A</v>
      </c>
      <c r="AD202" s="66" t="str">
        <f t="shared" si="153"/>
        <v>0844-10</v>
      </c>
      <c r="AE202" s="108" t="e">
        <f t="shared" si="130"/>
        <v>#VALUE!</v>
      </c>
      <c r="AF202" s="105" t="e">
        <f t="shared" si="131"/>
        <v>#VALUE!</v>
      </c>
      <c r="AG202" s="1" t="str">
        <f t="shared" si="154"/>
        <v>NW</v>
      </c>
      <c r="AH202" s="109" t="str">
        <f t="shared" si="155"/>
        <v>"%USERPROFILE%\Documents\GitHub\eaglep3\Utilities\RefineRTDCRunTimes.py" --tripid 844-10 --locoid - --swversion - --startMP - --initTime - --startdatetime - --delay - --endMP - --enddatetime - --enforcementcount -</v>
      </c>
    </row>
    <row r="203" spans="1:34" s="24" customFormat="1" x14ac:dyDescent="0.25">
      <c r="A203" s="42" t="s">
        <v>617</v>
      </c>
      <c r="B203" s="7">
        <v>4044</v>
      </c>
      <c r="C203" s="25" t="s">
        <v>137</v>
      </c>
      <c r="D203" s="25" t="s">
        <v>592</v>
      </c>
      <c r="E203" s="16">
        <v>42592.845451388886</v>
      </c>
      <c r="F203" s="16">
        <v>42592.881041666667</v>
      </c>
      <c r="G203" s="7">
        <v>2</v>
      </c>
      <c r="H203" s="16" t="s">
        <v>591</v>
      </c>
      <c r="I203" s="16">
        <v>42592.881701388891</v>
      </c>
      <c r="J203" s="7">
        <v>0</v>
      </c>
      <c r="K203" s="25" t="str">
        <f t="shared" ref="K203" si="156">IF(ISEVEN(B203),(B203-1)&amp;"/"&amp;B203,B203&amp;"/"&amp;(B203+1))</f>
        <v>4043/4044</v>
      </c>
      <c r="L203" s="25" t="str">
        <f>VLOOKUP(A203,'Trips&amp;Operators'!$C$1:$E$10000,3,FALSE)</f>
        <v>ISHMAE</v>
      </c>
      <c r="M203" s="6">
        <f t="shared" ref="M203" si="157">I203-F203</f>
        <v>6.5972222364507616E-4</v>
      </c>
      <c r="N203" s="7"/>
      <c r="O203" s="7"/>
      <c r="P203" s="7">
        <f t="shared" si="118"/>
        <v>0.95000000204890966</v>
      </c>
      <c r="Q203" s="26"/>
      <c r="R203" s="26" t="s">
        <v>303</v>
      </c>
      <c r="S203" s="38">
        <f t="shared" si="145"/>
        <v>0</v>
      </c>
      <c r="T203" s="55" t="str">
        <f t="shared" si="146"/>
        <v>NorthBound</v>
      </c>
      <c r="U203" s="14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15" t="str">
        <f t="shared" si="147"/>
        <v>https://search-rtdc-monitor-bjffxe2xuh6vdkpspy63sjmuny.us-east-1.es.amazonaws.com/_plugin/kibana/#/discover/Steve-Slow-Train-Analysis-(2080s-and-2083s)?_g=(refreshInterval:(display:Off,section:0,value:0),time:(from:'2016-08-10 19:17:27-0600',mode:absolute,to:'2016-08-10 22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203" s="57" t="str">
        <f t="shared" si="148"/>
        <v>Y</v>
      </c>
      <c r="X203" s="136">
        <f t="shared" si="149"/>
        <v>1</v>
      </c>
      <c r="Y203" s="72">
        <v>9.4299999999999995E-2</v>
      </c>
      <c r="Z203" s="72">
        <v>9.4299999999999995E-2</v>
      </c>
      <c r="AA203" s="72">
        <f t="shared" si="152"/>
        <v>0</v>
      </c>
      <c r="AB203" s="69" t="e">
        <f>VLOOKUP(A203,Enforcements!$C$7:$J$24,8,0)</f>
        <v>#N/A</v>
      </c>
      <c r="AC203" s="65" t="e">
        <f>VLOOKUP(A203,Enforcements!$C$7:$E$24,3,0)</f>
        <v>#N/A</v>
      </c>
      <c r="AD203" s="66" t="str">
        <f t="shared" si="153"/>
        <v>0845-10</v>
      </c>
      <c r="AE203" s="108" t="str">
        <f t="shared" si="130"/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AF203" s="105" t="str">
        <f t="shared" si="131"/>
        <v>"C:\Program Files (x86)\AstroGrep\AstroGrep.exe" /spath="%USERPROFILE%\AppData\Local\Temp\OnboardLogs" /stypes="*4044*20160811*" /stext=" 03:.+((SYSTEM_STATE.+slice.+state.+changed )|(ment ac)|(system.+state.+changed )|(\|lc)|(penalty)|(\[timeout)|(PRM\|1\|D)|(kpr)|(kdp))" /e /r /s</v>
      </c>
      <c r="AG203" s="1" t="str">
        <f t="shared" si="154"/>
        <v>NW</v>
      </c>
      <c r="AH203" s="109" t="str">
        <f t="shared" si="155"/>
        <v>"%USERPROFILE%\Documents\GitHub\eaglep3\Utilities\RefineRTDCRunTimes.py" --tripid 845-10 --locoid 4044 --swversion DE.1.0.7.0 --startMP 204:955 --initTime 2016-08-10T20:17:27 --startdatetime 2016-08-10T21:08:42 --delay 2 --endMP 300:58973 --enddatetime 2016-08-10T21:09:39 --enforcementcount 0</v>
      </c>
    </row>
    <row r="204" spans="1:34" s="24" customFormat="1" x14ac:dyDescent="0.25">
      <c r="A204" s="42" t="s">
        <v>635</v>
      </c>
      <c r="B204" s="7" t="s">
        <v>204</v>
      </c>
      <c r="C204" s="25" t="s">
        <v>204</v>
      </c>
      <c r="D204" s="25" t="s">
        <v>204</v>
      </c>
      <c r="E204" s="16" t="s">
        <v>204</v>
      </c>
      <c r="F204" s="16" t="s">
        <v>204</v>
      </c>
      <c r="G204" s="7" t="s">
        <v>204</v>
      </c>
      <c r="H204" s="16" t="s">
        <v>204</v>
      </c>
      <c r="I204" s="16" t="s">
        <v>204</v>
      </c>
      <c r="J204" s="7" t="s">
        <v>204</v>
      </c>
      <c r="K204" s="25" t="s">
        <v>204</v>
      </c>
      <c r="L204" s="25"/>
      <c r="M204" s="6"/>
      <c r="N204" s="7"/>
      <c r="O204" s="7"/>
      <c r="P204" s="7">
        <v>1</v>
      </c>
      <c r="Q204" s="26"/>
      <c r="R204" s="26" t="s">
        <v>304</v>
      </c>
      <c r="S204" s="38">
        <f t="shared" si="145"/>
        <v>0</v>
      </c>
      <c r="T204" s="55" t="str">
        <f t="shared" si="146"/>
        <v>Southbound</v>
      </c>
      <c r="U204" s="14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15" t="e">
        <f t="shared" si="147"/>
        <v>#VALUE!</v>
      </c>
      <c r="W204" s="57" t="e">
        <f t="shared" si="148"/>
        <v>#VALUE!</v>
      </c>
      <c r="X204" s="136">
        <f t="shared" si="149"/>
        <v>1</v>
      </c>
      <c r="Y204" s="72" t="e">
        <f t="shared" si="150"/>
        <v>#VALUE!</v>
      </c>
      <c r="Z204" s="72" t="e">
        <f t="shared" si="151"/>
        <v>#VALUE!</v>
      </c>
      <c r="AA204" s="72" t="e">
        <f t="shared" si="152"/>
        <v>#VALUE!</v>
      </c>
      <c r="AB204" s="69" t="e">
        <f>VLOOKUP(A204,Enforcements!$C$7:$J$24,8,0)</f>
        <v>#N/A</v>
      </c>
      <c r="AC204" s="65" t="e">
        <f>VLOOKUP(A204,Enforcements!$C$7:$E$24,3,0)</f>
        <v>#N/A</v>
      </c>
      <c r="AD204" s="66" t="str">
        <f t="shared" si="153"/>
        <v>0846-10</v>
      </c>
      <c r="AE204" s="108" t="e">
        <f t="shared" si="130"/>
        <v>#VALUE!</v>
      </c>
      <c r="AF204" s="105" t="e">
        <f t="shared" si="131"/>
        <v>#VALUE!</v>
      </c>
      <c r="AG204" s="1" t="str">
        <f t="shared" si="154"/>
        <v>NW</v>
      </c>
      <c r="AH204" s="109" t="str">
        <f t="shared" si="155"/>
        <v>"%USERPROFILE%\Documents\GitHub\eaglep3\Utilities\RefineRTDCRunTimes.py" --tripid 846-10 --locoid - --swversion - --startMP - --initTime - --startdatetime - --delay - --endMP - --enddatetime - --enforcementcount -</v>
      </c>
    </row>
    <row r="205" spans="1:34" x14ac:dyDescent="0.25">
      <c r="A205" s="42" t="s">
        <v>492</v>
      </c>
      <c r="B205" s="7">
        <v>4029</v>
      </c>
      <c r="C205" s="25" t="s">
        <v>137</v>
      </c>
      <c r="D205" s="25" t="s">
        <v>275</v>
      </c>
      <c r="E205" s="16">
        <v>42592.802662037036</v>
      </c>
      <c r="F205" s="16">
        <v>42592.803495370368</v>
      </c>
      <c r="G205" s="7">
        <v>1</v>
      </c>
      <c r="H205" s="16" t="s">
        <v>493</v>
      </c>
      <c r="I205" s="16">
        <v>42592.812118055554</v>
      </c>
      <c r="J205" s="7">
        <v>0</v>
      </c>
      <c r="K205" s="25" t="str">
        <f>IF(ISEVEN(B205),(B205-1)&amp;"/"&amp;B205,B205&amp;"/"&amp;(B205+1))</f>
        <v>4029/4030</v>
      </c>
      <c r="L205" s="25" t="str">
        <f>VLOOKUP(A205,'Trips&amp;Operators'!$C$1:$E$10000,3,FALSE)</f>
        <v>STORY</v>
      </c>
      <c r="M205" s="6">
        <f>I205-F205</f>
        <v>8.6226851854007691E-3</v>
      </c>
      <c r="N205" s="7">
        <f>24*60*SUM($M205:$M205)</f>
        <v>12.416666666977108</v>
      </c>
      <c r="O205" s="7"/>
      <c r="P205" s="7"/>
      <c r="Q205" s="26"/>
      <c r="R205" s="26"/>
      <c r="S205" s="38">
        <f t="shared" si="145"/>
        <v>1</v>
      </c>
      <c r="T205" s="55" t="str">
        <f t="shared" si="146"/>
        <v>NorthBound</v>
      </c>
      <c r="U205" s="14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5" t="str">
        <f t="shared" si="147"/>
        <v>https://search-rtdc-monitor-bjffxe2xuh6vdkpspy63sjmuny.us-east-1.es.amazonaws.com/_plugin/kibana/#/discover/Steve-Slow-Train-Analysis-(2080s-and-2083s)?_g=(refreshInterval:(display:Off,section:0,value:0),time:(from:'2016-08-10 18:15:50-0600',mode:absolute,to:'2016-08-10 20:29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05" s="57" t="str">
        <f t="shared" si="148"/>
        <v>Y</v>
      </c>
      <c r="X205" s="136">
        <f t="shared" si="149"/>
        <v>-541</v>
      </c>
      <c r="Y205" s="72">
        <f t="shared" si="150"/>
        <v>4.8899999999999999E-2</v>
      </c>
      <c r="Z205" s="72">
        <f t="shared" si="151"/>
        <v>2.1432000000000002</v>
      </c>
      <c r="AA205" s="72">
        <f t="shared" si="152"/>
        <v>2.0943000000000001</v>
      </c>
      <c r="AB205" s="69" t="e">
        <f>VLOOKUP(A205,Enforcements!$C$7:$J$24,8,0)</f>
        <v>#N/A</v>
      </c>
      <c r="AC205" s="65" t="e">
        <f>VLOOKUP(A205,Enforcements!$C$7:$E$24,3,0)</f>
        <v>#N/A</v>
      </c>
      <c r="AD205" s="66" t="str">
        <f t="shared" si="153"/>
        <v>0305-10</v>
      </c>
      <c r="AE205" s="108" t="str">
        <f t="shared" si="130"/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AF205" s="105" t="str">
        <f t="shared" si="131"/>
        <v>"C:\Program Files (x86)\AstroGrep\AstroGrep.exe" /spath="%USERPROFILE%\AppData\Local\Temp\OnboardLogs" /stypes="*4029*20160811*" /stext=" 01:.+((SYSTEM_STATE.+slice.+state.+changed )|(ment ac)|(system.+state.+changed )|(\|lc)|(penalty)|(\[timeout)|(PRM\|1\|D)|(kpr)|(kdp))" /e /r /s</v>
      </c>
      <c r="AG205" s="1" t="str">
        <f t="shared" si="154"/>
        <v>Other</v>
      </c>
      <c r="AH205" s="109" t="str">
        <f t="shared" si="155"/>
        <v>"%USERPROFILE%\Documents\GitHub\eaglep3\Utilities\RefineRTDCRunTimes.py" --tripid 305-10 --locoid 4029 --swversion DE.1.0.7.0 --startMP 204:489 --initTime 2016-08-10T19:15:50 --startdatetime 2016-08-10T19:17:02 --delay 1 --endMP 300:21432 --enddatetime 2016-08-10T19:29:27 --enforcementcount 0</v>
      </c>
    </row>
    <row r="206" spans="1:34" x14ac:dyDescent="0.25">
      <c r="A206" s="42" t="s">
        <v>280</v>
      </c>
      <c r="B206" s="7">
        <v>4031</v>
      </c>
      <c r="C206" s="25" t="s">
        <v>137</v>
      </c>
      <c r="D206" s="25" t="s">
        <v>203</v>
      </c>
      <c r="E206" s="16">
        <v>42592.090833333335</v>
      </c>
      <c r="F206" s="16">
        <v>42592.09170138889</v>
      </c>
      <c r="G206" s="7">
        <v>1</v>
      </c>
      <c r="H206" s="16" t="s">
        <v>188</v>
      </c>
      <c r="I206" s="16">
        <v>42592.100902777776</v>
      </c>
      <c r="J206" s="7">
        <v>0</v>
      </c>
      <c r="K206" s="25" t="str">
        <f>IF(ISEVEN(B206),(B206-1)&amp;"/"&amp;B206,B206&amp;"/"&amp;(B206+1))</f>
        <v>4031/4032</v>
      </c>
      <c r="L206" s="25" t="str">
        <f>VLOOKUP(A206,'Trips&amp;Operators'!$C$1:$E$10000,3,FALSE)</f>
        <v>CHANDLER</v>
      </c>
      <c r="M206" s="6">
        <f>I206-F206</f>
        <v>9.2013888861401938E-3</v>
      </c>
      <c r="N206" s="7">
        <f>24*60*SUM($M206:$M206)</f>
        <v>13.249999996041879</v>
      </c>
      <c r="O206" s="7"/>
      <c r="P206" s="7"/>
      <c r="Q206" s="26"/>
      <c r="R206" s="26"/>
      <c r="S206" s="38">
        <f t="shared" si="145"/>
        <v>1</v>
      </c>
      <c r="T206" s="55" t="str">
        <f t="shared" si="146"/>
        <v>NorthBound</v>
      </c>
      <c r="U206" s="14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5" t="str">
        <f t="shared" si="147"/>
        <v>https://search-rtdc-monitor-bjffxe2xuh6vdkpspy63sjmuny.us-east-1.es.amazonaws.com/_plugin/kibana/#/discover/Steve-Slow-Train-Analysis-(2080s-and-2083s)?_g=(refreshInterval:(display:Off,section:0,value:0),time:(from:'2016-08-10 01:10:48-0600',mode:absolute,to:'2016-08-10 03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6" s="57" t="str">
        <f t="shared" si="148"/>
        <v>Y</v>
      </c>
      <c r="X206" s="136">
        <f t="shared" si="149"/>
        <v>10</v>
      </c>
      <c r="Y206" s="72">
        <f t="shared" si="150"/>
        <v>4.8000000000000001E-2</v>
      </c>
      <c r="Z206" s="72">
        <f t="shared" si="151"/>
        <v>2.3306</v>
      </c>
      <c r="AA206" s="72">
        <f t="shared" si="152"/>
        <v>2.2826</v>
      </c>
      <c r="AB206" s="69" t="e">
        <f>VLOOKUP(A206,Enforcements!$C$7:$J$24,8,0)</f>
        <v>#N/A</v>
      </c>
      <c r="AC206" s="65" t="e">
        <f>VLOOKUP(A206,Enforcements!$C$7:$E$24,3,0)</f>
        <v>#N/A</v>
      </c>
      <c r="AD206" s="66" t="str">
        <f t="shared" si="153"/>
        <v>0315-09</v>
      </c>
      <c r="AE206" s="108" t="str">
        <f t="shared" si="130"/>
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</c>
      <c r="AF206" s="105" t="str">
        <f t="shared" si="131"/>
        <v>"C:\Program Files (x86)\AstroGrep\AstroGrep.exe" /spath="%USERPROFILE%\AppData\Local\Temp\OnboardLogs" /stypes="*4031*20160810*" /stext=" 08:.+((SYSTEM_STATE.+slice.+state.+changed )|(ment ac)|(system.+state.+changed )|(\|lc)|(penalty)|(\[timeout)|(PRM\|1\|D)|(kpr)|(kdp))" /e /r /s</v>
      </c>
      <c r="AG206" s="1" t="str">
        <f t="shared" si="154"/>
        <v>Other</v>
      </c>
      <c r="AH206" s="109" t="str">
        <f t="shared" si="155"/>
        <v>"%USERPROFILE%\Documents\GitHub\eaglep3\Utilities\RefineRTDCRunTimes.py" --tripid 315-09 --locoid 4031 --swversion DE.1.0.7.0 --startMP 204:480 --initTime 2016-08-10T02:10:48 --startdatetime 2016-08-10T02:12:03 --delay 1 --endMP 300:23306 --enddatetime 2016-08-10T02:25:18 --enforcementcount 0</v>
      </c>
    </row>
    <row r="207" spans="1:34" x14ac:dyDescent="0.25">
      <c r="A207" s="42" t="s">
        <v>593</v>
      </c>
      <c r="B207" s="7">
        <v>4014</v>
      </c>
      <c r="C207" s="25" t="s">
        <v>137</v>
      </c>
      <c r="D207" s="25" t="s">
        <v>594</v>
      </c>
      <c r="E207" s="16">
        <v>42592.353032407409</v>
      </c>
      <c r="F207" s="16">
        <v>42592.353703703702</v>
      </c>
      <c r="G207" s="7">
        <v>0</v>
      </c>
      <c r="H207" s="16" t="s">
        <v>595</v>
      </c>
      <c r="I207" s="16">
        <v>42592.361631944441</v>
      </c>
      <c r="J207" s="7">
        <v>0</v>
      </c>
      <c r="K207" s="25" t="str">
        <f t="shared" si="116"/>
        <v>4013/4014</v>
      </c>
      <c r="L207" s="25" t="str">
        <f>VLOOKUP(A207,'Trips&amp;Operators'!$C$1:$E$10000,3,FALSE)</f>
        <v>GRASTON</v>
      </c>
      <c r="M207" s="6">
        <f t="shared" si="117"/>
        <v>7.9282407386926934E-3</v>
      </c>
      <c r="N207" s="7">
        <f t="shared" si="118"/>
        <v>11.416666663717479</v>
      </c>
      <c r="O207" s="7"/>
      <c r="P207" s="7"/>
      <c r="Q207" s="26"/>
      <c r="R207" s="26"/>
      <c r="S207" s="38">
        <f t="shared" si="119"/>
        <v>1</v>
      </c>
      <c r="T207" s="55" t="str">
        <f t="shared" si="132"/>
        <v>NorthBound</v>
      </c>
      <c r="U207" s="14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5" t="str">
        <f t="shared" si="133"/>
        <v>https://search-rtdc-monitor-bjffxe2xuh6vdkpspy63sjmuny.us-east-1.es.amazonaws.com/_plugin/kibana/#/discover/Steve-Slow-Train-Analysis-(2080s-and-2083s)?_g=(refreshInterval:(display:Off,section:0,value:0),time:(from:'2016-08-10 07:28:22-0600',mode:absolute,to:'2016-08-10 09:40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207" s="57" t="str">
        <f t="shared" si="134"/>
        <v>Y</v>
      </c>
      <c r="X207" s="136">
        <f t="shared" si="135"/>
        <v>588</v>
      </c>
      <c r="Y207" s="72">
        <f t="shared" si="136"/>
        <v>9.7799999999999998E-2</v>
      </c>
      <c r="Z207" s="72">
        <f t="shared" si="137"/>
        <v>2.4235000000000002</v>
      </c>
      <c r="AA207" s="72">
        <f t="shared" si="138"/>
        <v>2.3257000000000003</v>
      </c>
      <c r="AB207" s="69" t="e">
        <f>VLOOKUP(A207,Enforcements!$C$7:$J$24,8,0)</f>
        <v>#N/A</v>
      </c>
      <c r="AC207" s="65" t="e">
        <f>VLOOKUP(A207,Enforcements!$C$7:$E$24,3,0)</f>
        <v>#N/A</v>
      </c>
      <c r="AD207" s="66" t="str">
        <f t="shared" si="126"/>
        <v>0903-10</v>
      </c>
      <c r="AE207" s="108" t="str">
        <f t="shared" si="130"/>
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</c>
      <c r="AF207" s="105" t="str">
        <f t="shared" si="131"/>
        <v>"C:\Program Files (x86)\AstroGrep\AstroGrep.exe" /spath="%USERPROFILE%\AppData\Local\Temp\OnboardLogs" /stypes="*4014*20160810*" /stext=" 14:.+((SYSTEM_STATE.+slice.+state.+changed )|(ment ac)|(system.+state.+changed )|(\|lc)|(penalty)|(\[timeout)|(PRM\|1\|D)|(kpr)|(kdp))" /e /r /s</v>
      </c>
      <c r="AG207" s="1" t="str">
        <f t="shared" si="127"/>
        <v>Other</v>
      </c>
      <c r="AH207" s="109" t="str">
        <f t="shared" si="128"/>
        <v>"%USERPROFILE%\Documents\GitHub\eaglep3\Utilities\RefineRTDCRunTimes.py" --tripid 903-10 --locoid 4014 --swversion DE.1.0.7.0 --startMP 204:978 --initTime 2016-08-10T08:28:22 --startdatetime 2016-08-10T08:29:20 --delay 0 --endMP 300:24235 --enddatetime 2016-08-10T08:40:45 --enforcementcount 0</v>
      </c>
    </row>
    <row r="208" spans="1:34" x14ac:dyDescent="0.25">
      <c r="A208" s="25" t="s">
        <v>596</v>
      </c>
      <c r="B208" s="127">
        <v>4013</v>
      </c>
      <c r="C208" s="128" t="s">
        <v>137</v>
      </c>
      <c r="D208" s="128" t="s">
        <v>597</v>
      </c>
      <c r="E208" s="129">
        <v>42592.643101851849</v>
      </c>
      <c r="F208" s="129">
        <v>42592.644814814812</v>
      </c>
      <c r="G208" s="127">
        <v>2</v>
      </c>
      <c r="H208" s="129" t="s">
        <v>598</v>
      </c>
      <c r="I208" s="129">
        <v>42592.647835648146</v>
      </c>
      <c r="J208" s="127">
        <v>1</v>
      </c>
      <c r="K208" s="25" t="str">
        <f t="shared" si="116"/>
        <v>4013/4014</v>
      </c>
      <c r="L208" s="25" t="str">
        <f>VLOOKUP(A208,'Trips&amp;Operators'!$C$1:$E$10000,3,FALSE)</f>
        <v>ISHMAEL</v>
      </c>
      <c r="M208" s="6">
        <f t="shared" si="117"/>
        <v>3.0208333337213844E-3</v>
      </c>
      <c r="N208" s="7">
        <f t="shared" si="118"/>
        <v>4.3500000005587935</v>
      </c>
      <c r="O208" s="7"/>
      <c r="P208" s="7"/>
      <c r="Q208" s="26"/>
      <c r="R208" s="26"/>
      <c r="S208" s="38">
        <f t="shared" si="119"/>
        <v>0</v>
      </c>
      <c r="T208" s="55" t="str">
        <f t="shared" si="120"/>
        <v>Southbound</v>
      </c>
      <c r="U208" s="14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14:26:04-0600',mode:absolute,to:'2016-08-10 16:32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208" s="57" t="str">
        <f t="shared" si="122"/>
        <v>Y</v>
      </c>
      <c r="X208" s="136">
        <f t="shared" si="129"/>
        <v>1</v>
      </c>
      <c r="Y208" s="72">
        <f t="shared" si="123"/>
        <v>2.4388999999999998</v>
      </c>
      <c r="Z208" s="72">
        <f t="shared" si="124"/>
        <v>2.4005000000000001</v>
      </c>
      <c r="AA208" s="72">
        <f t="shared" si="125"/>
        <v>3.8399999999999768E-2</v>
      </c>
      <c r="AB208" s="69" t="e">
        <f>VLOOKUP(A208,Enforcements!$C$7:$J$24,8,0)</f>
        <v>#N/A</v>
      </c>
      <c r="AC208" s="65" t="e">
        <f>VLOOKUP(A208,Enforcements!$C$7:$E$24,3,0)</f>
        <v>#N/A</v>
      </c>
      <c r="AD208" s="66" t="str">
        <f t="shared" si="126"/>
        <v>0904-10</v>
      </c>
      <c r="AE208" s="108" t="str">
        <f t="shared" si="130"/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AF208" s="105" t="str">
        <f t="shared" si="131"/>
        <v>"C:\Program Files (x86)\AstroGrep\AstroGrep.exe" /spath="%USERPROFILE%\AppData\Local\Temp\OnboardLogs" /stypes="*4013*20160810*" /stext=" 21:.+((SYSTEM_STATE.+slice.+state.+changed )|(ment ac)|(system.+state.+changed )|(\|lc)|(penalty)|(\[timeout)|(PRM\|1\|D)|(kpr)|(kdp))" /e /r /s</v>
      </c>
      <c r="AG208" s="1" t="str">
        <f t="shared" si="127"/>
        <v>Other</v>
      </c>
      <c r="AH208" s="109" t="str">
        <f t="shared" si="128"/>
        <v>"%USERPROFILE%\Documents\GitHub\eaglep3\Utilities\RefineRTDCRunTimes.py" --tripid 904-10 --locoid 4013 --swversion DE.1.0.7.0 --startMP 300:24389 --initTime 2016-08-10T15:26:04 --startdatetime 2016-08-10T15:28:32 --delay 2 --endMP 300:24005 --enddatetime 2016-08-10T15:32:53 --enforcementcount 1</v>
      </c>
    </row>
    <row r="209" spans="1:34" x14ac:dyDescent="0.25">
      <c r="A209" s="25" t="s">
        <v>599</v>
      </c>
      <c r="B209" s="127">
        <v>4013</v>
      </c>
      <c r="C209" s="128" t="s">
        <v>137</v>
      </c>
      <c r="D209" s="128" t="s">
        <v>508</v>
      </c>
      <c r="E209" s="129">
        <v>42592.796944444446</v>
      </c>
      <c r="F209" s="129">
        <v>42592.797789351855</v>
      </c>
      <c r="G209" s="127">
        <v>1</v>
      </c>
      <c r="H209" s="129" t="s">
        <v>600</v>
      </c>
      <c r="I209" s="129">
        <v>42592.803773148145</v>
      </c>
      <c r="J209" s="127">
        <v>0</v>
      </c>
      <c r="K209" s="25" t="str">
        <f t="shared" si="116"/>
        <v>4013/4014</v>
      </c>
      <c r="L209" s="25" t="str">
        <f>VLOOKUP(A209,'Trips&amp;Operators'!$C$1:$E$10000,3,FALSE)</f>
        <v>ISHMAEL</v>
      </c>
      <c r="M209" s="6">
        <f t="shared" si="117"/>
        <v>5.9837962908204645E-3</v>
      </c>
      <c r="N209" s="7">
        <f t="shared" si="118"/>
        <v>8.6166666587814689</v>
      </c>
      <c r="O209" s="7"/>
      <c r="P209" s="7"/>
      <c r="Q209" s="26"/>
      <c r="R209" s="26"/>
      <c r="S209" s="38">
        <f t="shared" si="119"/>
        <v>0</v>
      </c>
      <c r="T209" s="55" t="str">
        <f t="shared" si="120"/>
        <v>Southbound</v>
      </c>
      <c r="U209" s="14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15" t="str">
        <f t="shared" si="121"/>
        <v>https://search-rtdc-monitor-bjffxe2xuh6vdkpspy63sjmuny.us-east-1.es.amazonaws.com/_plugin/kibana/#/discover/Steve-Slow-Train-Analysis-(2080s-and-2083s)?_g=(refreshInterval:(display:Off,section:0,value:0),time:(from:'2016-08-10 18:07:36-0600',mode:absolute,to:'2016-08-10 20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209" s="57" t="str">
        <f t="shared" si="122"/>
        <v>Y</v>
      </c>
      <c r="X209" s="136">
        <f t="shared" si="129"/>
        <v>2</v>
      </c>
      <c r="Y209" s="72">
        <f t="shared" si="123"/>
        <v>5.8615000000000004</v>
      </c>
      <c r="Z209" s="72">
        <f t="shared" si="124"/>
        <v>2.1732999999999998</v>
      </c>
      <c r="AA209" s="72">
        <f t="shared" si="125"/>
        <v>3.6882000000000006</v>
      </c>
      <c r="AB209" s="69" t="e">
        <f>VLOOKUP(A209,Enforcements!$C$7:$J$24,8,0)</f>
        <v>#N/A</v>
      </c>
      <c r="AC209" s="65" t="e">
        <f>VLOOKUP(A209,Enforcements!$C$7:$E$24,3,0)</f>
        <v>#N/A</v>
      </c>
      <c r="AD209" s="66" t="str">
        <f t="shared" si="126"/>
        <v>0906-10</v>
      </c>
      <c r="AE209" s="108" t="str">
        <f t="shared" si="130"/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AF209" s="105" t="str">
        <f t="shared" si="131"/>
        <v>"C:\Program Files (x86)\AstroGrep\AstroGrep.exe" /spath="%USERPROFILE%\AppData\Local\Temp\OnboardLogs" /stypes="*4013*20160811*" /stext=" 01:.+((SYSTEM_STATE.+slice.+state.+changed )|(ment ac)|(system.+state.+changed )|(\|lc)|(penalty)|(\[timeout)|(PRM\|1\|D)|(kpr)|(kdp))" /e /r /s</v>
      </c>
      <c r="AG209" s="1" t="str">
        <f t="shared" si="127"/>
        <v>Other</v>
      </c>
      <c r="AH209" s="109" t="str">
        <f t="shared" si="128"/>
        <v>"%USERPROFILE%\Documents\GitHub\eaglep3\Utilities\RefineRTDCRunTimes.py" --tripid 906-10 --locoid 4013 --swversion DE.1.0.7.0 --startMP 300:58615 --initTime 2016-08-10T19:07:36 --startdatetime 2016-08-10T19:08:49 --delay 1 --endMP 300:21733 --enddatetime 2016-08-10T19:17:26 --enforcementcount 0</v>
      </c>
    </row>
  </sheetData>
  <autoFilter ref="A12:AG209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160" operator="equal">
      <formula>"Y"</formula>
    </cfRule>
  </conditionalFormatting>
  <conditionalFormatting sqref="X13:X1048576">
    <cfRule type="cellIs" dxfId="10" priority="143" operator="greaterThan">
      <formula>1</formula>
    </cfRule>
  </conditionalFormatting>
  <conditionalFormatting sqref="X12:X1048576">
    <cfRule type="cellIs" dxfId="9" priority="140" operator="equal">
      <formula>0</formula>
    </cfRule>
  </conditionalFormatting>
  <conditionalFormatting sqref="K208:S209 A207:S207 A204:R206 A201:R202 S201:S206 A13:S200">
    <cfRule type="expression" dxfId="8" priority="136">
      <formula>$O13&gt;0</formula>
    </cfRule>
  </conditionalFormatting>
  <conditionalFormatting sqref="K208:S209 A207:S207 A204:R206 A201:R202 S201:S206 A13:S200">
    <cfRule type="expression" dxfId="7" priority="135">
      <formula>$P13&gt;0</formula>
    </cfRule>
  </conditionalFormatting>
  <conditionalFormatting sqref="A203:R203">
    <cfRule type="expression" dxfId="6" priority="3">
      <formula>$O203&gt;0</formula>
    </cfRule>
  </conditionalFormatting>
  <conditionalFormatting sqref="A203:R203">
    <cfRule type="expression" dxfId="5" priority="2">
      <formula>$P203&gt;0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K208:S209 A207:S207 A204:R206 A201:R202 S201:S206 A13:S200</xm:sqref>
        </x14:conditionalFormatting>
        <x14:conditionalFormatting xmlns:xm="http://schemas.microsoft.com/office/excel/2006/main">
          <x14:cfRule type="expression" priority="1" id="{B0E79AF4-70CD-45CC-BD36-E1CC3EC92844}">
            <xm:f>IF($AG203="EC",$N203&gt;Variables!$C$2,$N203&gt;Variables!$D$2)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A203:R203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7"/>
  <sheetViews>
    <sheetView workbookViewId="0">
      <selection activeCell="N27" sqref="N2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30" customWidth="1"/>
    <col min="14" max="14" width="24.140625" customWidth="1"/>
    <col min="15" max="15" width="5" hidden="1" customWidth="1"/>
    <col min="16" max="16" width="5.7109375" style="106" customWidth="1"/>
    <col min="17" max="17" width="5.7109375" style="120" customWidth="1"/>
    <col min="18" max="18" width="6" style="103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30"/>
      <c r="P1" s="106"/>
      <c r="Q1" s="120"/>
      <c r="R1" s="103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95</v>
      </c>
      <c r="L2" s="75"/>
      <c r="M2" s="147">
        <f>COUNTIF($M$7:$M$442,"=Y")</f>
        <v>4</v>
      </c>
      <c r="P2" s="106"/>
      <c r="Q2" s="120"/>
      <c r="R2" s="103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96</v>
      </c>
      <c r="L3" s="76"/>
      <c r="M3" s="148">
        <f>COUNTA($M$7:$M$442)-M2</f>
        <v>33</v>
      </c>
      <c r="P3" s="106"/>
      <c r="Q3" s="120"/>
      <c r="R3" s="103"/>
      <c r="T3" s="53"/>
    </row>
    <row r="4" spans="1:22" s="24" customFormat="1" x14ac:dyDescent="0.25">
      <c r="A4" s="8"/>
      <c r="F4" s="2"/>
      <c r="G4" s="2"/>
      <c r="H4" s="2"/>
      <c r="J4" s="2"/>
      <c r="L4" s="31"/>
      <c r="M4" s="130"/>
      <c r="P4" s="106"/>
      <c r="Q4" s="120"/>
      <c r="R4" s="103"/>
      <c r="T4" s="53"/>
    </row>
    <row r="5" spans="1:22" s="12" customFormat="1" ht="15" customHeight="1" x14ac:dyDescent="0.25">
      <c r="A5" s="152" t="str">
        <f>"Eagle P3 Braking Events - "&amp;TEXT(Variables!$A$2,"YYYY-mm-dd")</f>
        <v>Eagle P3 Braking Events - 2016-08-10</v>
      </c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3"/>
      <c r="P5" s="117"/>
      <c r="Q5" s="121"/>
      <c r="R5" s="124"/>
      <c r="T5" s="54"/>
    </row>
    <row r="6" spans="1:22" s="1" customFormat="1" ht="30" x14ac:dyDescent="0.25">
      <c r="A6" s="11" t="s">
        <v>38</v>
      </c>
      <c r="B6" s="77" t="s">
        <v>37</v>
      </c>
      <c r="C6" s="77" t="s">
        <v>36</v>
      </c>
      <c r="D6" s="77" t="s">
        <v>35</v>
      </c>
      <c r="E6" s="77" t="s">
        <v>34</v>
      </c>
      <c r="F6" s="78" t="s">
        <v>33</v>
      </c>
      <c r="G6" s="78" t="s">
        <v>32</v>
      </c>
      <c r="H6" s="78" t="s">
        <v>31</v>
      </c>
      <c r="I6" s="77" t="s">
        <v>30</v>
      </c>
      <c r="J6" s="78" t="s">
        <v>29</v>
      </c>
      <c r="K6" s="77" t="s">
        <v>28</v>
      </c>
      <c r="L6" s="17" t="s">
        <v>47</v>
      </c>
      <c r="M6" s="149" t="s">
        <v>27</v>
      </c>
      <c r="N6" s="77" t="s">
        <v>24</v>
      </c>
      <c r="O6" s="55"/>
      <c r="P6" s="118" t="s">
        <v>114</v>
      </c>
      <c r="Q6" s="122" t="s">
        <v>64</v>
      </c>
      <c r="R6" s="125" t="s">
        <v>113</v>
      </c>
      <c r="S6" s="77" t="s">
        <v>108</v>
      </c>
      <c r="T6" s="79" t="s">
        <v>109</v>
      </c>
      <c r="U6" s="55" t="s">
        <v>125</v>
      </c>
      <c r="V6" s="55" t="s">
        <v>129</v>
      </c>
    </row>
    <row r="7" spans="1:22" s="1" customFormat="1" x14ac:dyDescent="0.25">
      <c r="A7" s="41">
        <v>42592.308055555557</v>
      </c>
      <c r="B7" s="34" t="s">
        <v>124</v>
      </c>
      <c r="C7" s="34" t="s">
        <v>349</v>
      </c>
      <c r="D7" s="34" t="s">
        <v>130</v>
      </c>
      <c r="E7" s="34" t="s">
        <v>121</v>
      </c>
      <c r="F7" s="52">
        <v>0</v>
      </c>
      <c r="G7" s="52">
        <v>270</v>
      </c>
      <c r="H7" s="52">
        <v>33155</v>
      </c>
      <c r="I7" s="34" t="s">
        <v>122</v>
      </c>
      <c r="J7" s="52">
        <v>33137</v>
      </c>
      <c r="K7" s="34" t="s">
        <v>52</v>
      </c>
      <c r="L7" s="101" t="str">
        <f>VLOOKUP(C7,'Trips&amp;Operators'!$C$1:$E$9999,3,0)</f>
        <v>BRANNON</v>
      </c>
      <c r="M7" s="150" t="s">
        <v>94</v>
      </c>
      <c r="N7" s="10" t="s">
        <v>190</v>
      </c>
      <c r="O7" s="34"/>
      <c r="P7" s="119" t="str">
        <f>VLOOKUP(C7,'Train Runs'!$A$13:$AE$462,31,0)</f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Q7" s="123" t="str">
        <f>VLOOKUP(C7,'Train Runs'!$A$13:$AE$462,22,0)</f>
        <v>https://search-rtdc-monitor-bjffxe2xuh6vdkpspy63sjmuny.us-east-1.es.amazonaws.com/_plugin/kibana/#/discover/Steve-Slow-Train-Analysis-(2080s-and-2083s)?_g=(refreshInterval:(display:Off,section:0,value:0),time:(from:'2016-08-10 06:08:17-0600',mode:absolute,to:'2016-08-10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7" s="126" t="str">
        <f t="shared" ref="R7:R43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/stypes="*4016*201608101*" /stext=" 13:.+((SYSTEM_STATE.+slice.+state.+changed )|(ment ac)|(system.+state.+changed )|(\|lc)|(penalty)|(\[timeout)|(PRM\|1\|D)|(kpr)|(kdp))" /e /r /s</v>
      </c>
      <c r="S7" s="9" t="str">
        <f t="shared" ref="S7:S43" si="1">MID(B7,13,4)</f>
        <v>4016</v>
      </c>
      <c r="T7" s="41">
        <f t="shared" ref="T7:T43" si="2">A7+6/24</f>
        <v>42592.558055555557</v>
      </c>
      <c r="U7" s="55" t="str">
        <f t="shared" ref="U7:U43" si="3">IF(VALUE(LEFT(IF(LEN(C7)=6,"0"&amp;C7,C7),2))&lt;=2,"EC",IF(OR(VALUE(LEFT(IF(LEN(C7)=6,"0"&amp;C7,C7),2))=8,VALUE(LEFT(IF(LEN(C7)=6,"0"&amp;C7,C7),2))=18),"NW","GL"))</f>
        <v>EC</v>
      </c>
      <c r="V7" s="55" t="str">
        <f t="shared" ref="V7:V43" si="4">IF(AND(E7="TRACK WARRANT AUTHORITY",G7&lt;10),"OMIT","KEEP")</f>
        <v>KEEP</v>
      </c>
    </row>
    <row r="8" spans="1:22" s="1" customFormat="1" x14ac:dyDescent="0.25">
      <c r="A8" s="41">
        <v>42592.433530092596</v>
      </c>
      <c r="B8" s="34" t="s">
        <v>123</v>
      </c>
      <c r="C8" s="34" t="s">
        <v>369</v>
      </c>
      <c r="D8" s="34" t="s">
        <v>49</v>
      </c>
      <c r="E8" s="34" t="s">
        <v>121</v>
      </c>
      <c r="F8" s="52">
        <v>0</v>
      </c>
      <c r="G8" s="52">
        <v>602</v>
      </c>
      <c r="H8" s="52">
        <v>44518</v>
      </c>
      <c r="I8" s="34" t="s">
        <v>122</v>
      </c>
      <c r="J8" s="52">
        <v>42961</v>
      </c>
      <c r="K8" s="34" t="s">
        <v>53</v>
      </c>
      <c r="L8" s="101" t="str">
        <f>VLOOKUP(C8,'Trips&amp;Operators'!$C$1:$E$9999,3,0)</f>
        <v>BRANNON</v>
      </c>
      <c r="M8" s="150" t="s">
        <v>94</v>
      </c>
      <c r="N8" s="10" t="s">
        <v>190</v>
      </c>
      <c r="O8" s="34"/>
      <c r="P8" s="119" t="str">
        <f>VLOOKUP(C8,'Train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Q8" s="123" t="str">
        <f>VLOOKUP(C8,'Train Runs'!$A$13:$AE$462,22,0)</f>
        <v>https://search-rtdc-monitor-bjffxe2xuh6vdkpspy63sjmuny.us-east-1.es.amazonaws.com/_plugin/kibana/#/discover/Steve-Slow-Train-Analysis-(2080s-and-2083s)?_g=(refreshInterval:(display:Off,section:0,value:0),time:(from:'2016-08-10 08:49:03-0600',mode:absolute,to:'2016-08-10 11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" s="126" t="str">
        <f t="shared" si="0"/>
        <v>"C:\Program Files (x86)\AstroGrep\AstroGrep.exe" /spath="%USERPROFILE%\AppData\Local\Temp\OnboardLogs" /stypes="*4015*201608101*" /stext=" 16:.+((SYSTEM_STATE.+slice.+state.+changed )|(ment ac)|(system.+state.+changed )|(\|lc)|(penalty)|(\[timeout)|(PRM\|1\|D)|(kpr)|(kdp))" /e /r /s</v>
      </c>
      <c r="S8" s="9" t="str">
        <f t="shared" si="1"/>
        <v>4015</v>
      </c>
      <c r="T8" s="41">
        <f t="shared" si="2"/>
        <v>42592.683530092596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42592.26971064815</v>
      </c>
      <c r="B9" s="34" t="s">
        <v>106</v>
      </c>
      <c r="C9" s="34" t="s">
        <v>339</v>
      </c>
      <c r="D9" s="34" t="s">
        <v>49</v>
      </c>
      <c r="E9" s="34" t="s">
        <v>121</v>
      </c>
      <c r="F9" s="52">
        <v>0</v>
      </c>
      <c r="G9" s="52">
        <v>392</v>
      </c>
      <c r="H9" s="52">
        <v>62512</v>
      </c>
      <c r="I9" s="34" t="s">
        <v>122</v>
      </c>
      <c r="J9" s="52">
        <v>63069</v>
      </c>
      <c r="K9" s="34" t="s">
        <v>52</v>
      </c>
      <c r="L9" s="101" t="str">
        <f>VLOOKUP(C9,'Trips&amp;Operators'!$C$1:$E$9999,3,0)</f>
        <v>SPECTOR</v>
      </c>
      <c r="M9" s="150" t="s">
        <v>94</v>
      </c>
      <c r="N9" s="10" t="s">
        <v>190</v>
      </c>
      <c r="O9" s="34"/>
      <c r="P9" s="119" t="str">
        <f>VLOOKUP(C9,'Train Runs'!$A$13:$AE$462,31,0)</f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Q9" s="123" t="str">
        <f>VLOOKUP(C9,'Train Runs'!$A$13:$AE$462,22,0)</f>
        <v>https://search-rtdc-monitor-bjffxe2xuh6vdkpspy63sjmuny.us-east-1.es.amazonaws.com/_plugin/kibana/#/discover/Steve-Slow-Train-Analysis-(2080s-and-2083s)?_g=(refreshInterval:(display:Off,section:0,value:0),time:(from:'2016-08-10 05:07:57-0600',mode:absolute,to:'2016-08-10 07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9" s="126" t="str">
        <f t="shared" si="0"/>
        <v>"C:\Program Files (x86)\AstroGrep\AstroGrep.exe" /spath="%USERPROFILE%\AppData\Local\Temp\OnboardLogs" /stypes="*4007*201608101*" /stext=" 12:.+((SYSTEM_STATE.+slice.+state.+changed )|(ment ac)|(system.+state.+changed )|(\|lc)|(penalty)|(\[timeout)|(PRM\|1\|D)|(kpr)|(kdp))" /e /r /s</v>
      </c>
      <c r="S9" s="9" t="str">
        <f t="shared" si="1"/>
        <v>4007</v>
      </c>
      <c r="T9" s="41">
        <f t="shared" si="2"/>
        <v>42592.51971064815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42592.751736111109</v>
      </c>
      <c r="B10" s="34" t="s">
        <v>105</v>
      </c>
      <c r="C10" s="34" t="s">
        <v>460</v>
      </c>
      <c r="D10" s="34" t="s">
        <v>49</v>
      </c>
      <c r="E10" s="34" t="s">
        <v>121</v>
      </c>
      <c r="F10" s="52">
        <v>0</v>
      </c>
      <c r="G10" s="52">
        <v>581</v>
      </c>
      <c r="H10" s="52">
        <v>103938</v>
      </c>
      <c r="I10" s="34" t="s">
        <v>122</v>
      </c>
      <c r="J10" s="52">
        <v>103800</v>
      </c>
      <c r="K10" s="34" t="s">
        <v>53</v>
      </c>
      <c r="L10" s="101" t="str">
        <f>VLOOKUP(C10,'Trips&amp;Operators'!$C$1:$E$9999,3,0)</f>
        <v>HELVIE</v>
      </c>
      <c r="M10" s="150" t="s">
        <v>94</v>
      </c>
      <c r="N10" s="10" t="s">
        <v>190</v>
      </c>
      <c r="O10" s="34"/>
      <c r="P10" s="119" t="str">
        <f>VLOOKUP(C10,'Train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Q10" s="123" t="str">
        <f>VLOOKUP(C10,'Train Runs'!$A$13:$AE$462,22,0)</f>
        <v>https://search-rtdc-monitor-bjffxe2xuh6vdkpspy63sjmuny.us-east-1.es.amazonaws.com/_plugin/kibana/#/discover/Steve-Slow-Train-Analysis-(2080s-and-2083s)?_g=(refreshInterval:(display:Off,section:0,value:0),time:(from:'2016-08-10 16:50:55-0600',mode:absolute,to:'2016-08-10 19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0" s="126" t="str">
        <f t="shared" si="0"/>
        <v>"C:\Program Files (x86)\AstroGrep\AstroGrep.exe" /spath="%USERPROFILE%\AppData\Local\Temp\OnboardLogs" /stypes="*4008*201608110*" /stext=" 00:.+((SYSTEM_STATE.+slice.+state.+changed )|(ment ac)|(system.+state.+changed )|(\|lc)|(penalty)|(\[timeout)|(PRM\|1\|D)|(kpr)|(kdp))" /e /r /s</v>
      </c>
      <c r="S10" s="9" t="str">
        <f t="shared" si="1"/>
        <v>4008</v>
      </c>
      <c r="T10" s="41">
        <f t="shared" si="2"/>
        <v>42593.001736111109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42592.282395833332</v>
      </c>
      <c r="B11" s="34" t="s">
        <v>602</v>
      </c>
      <c r="C11" s="34" t="s">
        <v>328</v>
      </c>
      <c r="D11" s="34" t="s">
        <v>49</v>
      </c>
      <c r="E11" s="34" t="s">
        <v>56</v>
      </c>
      <c r="F11" s="52">
        <v>200</v>
      </c>
      <c r="G11" s="52">
        <v>355</v>
      </c>
      <c r="H11" s="52">
        <v>7054</v>
      </c>
      <c r="I11" s="34" t="s">
        <v>57</v>
      </c>
      <c r="J11" s="52">
        <v>5457</v>
      </c>
      <c r="K11" s="34" t="s">
        <v>53</v>
      </c>
      <c r="L11" s="101" t="str">
        <f>VLOOKUP(C11,'Trips&amp;Operators'!$C$1:$E$9999,3,0)</f>
        <v>MAELZER</v>
      </c>
      <c r="M11" s="150" t="s">
        <v>94</v>
      </c>
      <c r="N11" s="10"/>
      <c r="O11" s="34"/>
      <c r="P11" s="119" t="str">
        <f>VLOOKUP(C11,'Train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Q11" s="123" t="str">
        <f>VLOOKUP(C11,'Train Runs'!$A$13:$AE$462,22,0)</f>
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11" s="126" t="str">
        <f t="shared" si="0"/>
        <v>"C:\Program Files (x86)\AstroGrep\AstroGrep.exe" /spath="%USERPROFILE%\AppData\Local\Temp\OnboardLogs" /stypes="*4010*201608101*" /stext=" 12:.+((SYSTEM_STATE.+slice.+state.+changed )|(ment ac)|(system.+state.+changed )|(\|lc)|(penalty)|(\[timeout)|(PRM\|1\|D)|(kpr)|(kdp))" /e /r /s</v>
      </c>
      <c r="S11" s="9" t="str">
        <f t="shared" si="1"/>
        <v>4010</v>
      </c>
      <c r="T11" s="41">
        <f t="shared" si="2"/>
        <v>42592.532395833332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42592.521863425929</v>
      </c>
      <c r="B12" s="34" t="s">
        <v>102</v>
      </c>
      <c r="C12" s="34" t="s">
        <v>396</v>
      </c>
      <c r="D12" s="34" t="s">
        <v>49</v>
      </c>
      <c r="E12" s="34" t="s">
        <v>56</v>
      </c>
      <c r="F12" s="52">
        <v>300</v>
      </c>
      <c r="G12" s="52">
        <v>354</v>
      </c>
      <c r="H12" s="52">
        <v>22706</v>
      </c>
      <c r="I12" s="34" t="s">
        <v>57</v>
      </c>
      <c r="J12" s="52">
        <v>21848</v>
      </c>
      <c r="K12" s="34" t="s">
        <v>53</v>
      </c>
      <c r="L12" s="101" t="str">
        <f>VLOOKUP(C12,'Trips&amp;Operators'!$C$1:$E$9999,3,0)</f>
        <v>SWANSON</v>
      </c>
      <c r="M12" s="150" t="s">
        <v>94</v>
      </c>
      <c r="N12" s="10"/>
      <c r="O12" s="34"/>
      <c r="P12" s="119" t="str">
        <f>VLOOKUP(C12,'Train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12" s="123" t="str">
        <f>VLOOKUP(C12,'Train Runs'!$A$13:$AE$462,22,0)</f>
        <v>https://search-rtdc-monitor-bjffxe2xuh6vdkpspy63sjmuny.us-east-1.es.amazonaws.com/_plugin/kibana/#/discover/Steve-Slow-Train-Analysis-(2080s-and-2083s)?_g=(refreshInterval:(display:Off,section:0,value:0),time:(from:'2016-08-10 10:53:43-0600',mode:absolute,to:'2016-08-10 13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12" s="126" t="str">
        <f t="shared" si="0"/>
        <v>"C:\Program Files (x86)\AstroGrep\AstroGrep.exe" /spath="%USERPROFILE%\AppData\Local\Temp\OnboardLogs" /stypes="*4030*201608101*" /stext=" 18:.+((SYSTEM_STATE.+slice.+state.+changed )|(ment ac)|(system.+state.+changed )|(\|lc)|(penalty)|(\[timeout)|(PRM\|1\|D)|(kpr)|(kdp))" /e /r /s</v>
      </c>
      <c r="S12" s="9" t="str">
        <f t="shared" si="1"/>
        <v>4030</v>
      </c>
      <c r="T12" s="41">
        <f t="shared" si="2"/>
        <v>42592.771863425929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42592.569178240738</v>
      </c>
      <c r="B13" s="34" t="s">
        <v>123</v>
      </c>
      <c r="C13" s="34" t="s">
        <v>414</v>
      </c>
      <c r="D13" s="34" t="s">
        <v>49</v>
      </c>
      <c r="E13" s="34" t="s">
        <v>56</v>
      </c>
      <c r="F13" s="52">
        <v>450</v>
      </c>
      <c r="G13" s="52">
        <v>578</v>
      </c>
      <c r="H13" s="52">
        <v>158148</v>
      </c>
      <c r="I13" s="34" t="s">
        <v>57</v>
      </c>
      <c r="J13" s="52">
        <v>156300</v>
      </c>
      <c r="K13" s="34" t="s">
        <v>53</v>
      </c>
      <c r="L13" s="101" t="str">
        <f>VLOOKUP(C13,'Trips&amp;Operators'!$C$1:$E$9999,3,0)</f>
        <v>HAITHCOX</v>
      </c>
      <c r="M13" s="150" t="s">
        <v>94</v>
      </c>
      <c r="N13" s="10"/>
      <c r="O13" s="34"/>
      <c r="P13" s="119" t="str">
        <f>VLOOKUP(C13,'Train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Q13" s="123" t="str">
        <f>VLOOKUP(C13,'Train Runs'!$A$13:$AE$462,22,0)</f>
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13" s="126" t="str">
        <f t="shared" si="0"/>
        <v>"C:\Program Files (x86)\AstroGrep\AstroGrep.exe" /spath="%USERPROFILE%\AppData\Local\Temp\OnboardLogs" /stypes="*4015*201608101*" /stext=" 19:.+((SYSTEM_STATE.+slice.+state.+changed )|(ment ac)|(system.+state.+changed )|(\|lc)|(penalty)|(\[timeout)|(PRM\|1\|D)|(kpr)|(kdp))" /e /r /s</v>
      </c>
      <c r="S13" s="9" t="str">
        <f t="shared" si="1"/>
        <v>4015</v>
      </c>
      <c r="T13" s="41">
        <f t="shared" si="2"/>
        <v>42592.819178240738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42592.525405092594</v>
      </c>
      <c r="B14" s="34" t="s">
        <v>105</v>
      </c>
      <c r="C14" s="34" t="s">
        <v>402</v>
      </c>
      <c r="D14" s="34" t="s">
        <v>130</v>
      </c>
      <c r="E14" s="34" t="s">
        <v>56</v>
      </c>
      <c r="F14" s="52">
        <v>700</v>
      </c>
      <c r="G14" s="52">
        <v>751</v>
      </c>
      <c r="H14" s="52">
        <v>180588</v>
      </c>
      <c r="I14" s="34" t="s">
        <v>57</v>
      </c>
      <c r="J14" s="52">
        <v>183829</v>
      </c>
      <c r="K14" s="34" t="s">
        <v>53</v>
      </c>
      <c r="L14" s="101" t="str">
        <f>VLOOKUP(C14,'Trips&amp;Operators'!$C$1:$E$9999,3,0)</f>
        <v>HELVIE</v>
      </c>
      <c r="M14" s="150" t="s">
        <v>94</v>
      </c>
      <c r="N14" s="10"/>
      <c r="O14" s="34"/>
      <c r="P14" s="119" t="str">
        <f>VLOOKUP(C14,'Train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Q14" s="123" t="str">
        <f>VLOOKUP(C14,'Train Runs'!$A$13:$AE$462,22,0)</f>
        <v>https://search-rtdc-monitor-bjffxe2xuh6vdkpspy63sjmuny.us-east-1.es.amazonaws.com/_plugin/kibana/#/discover/Steve-Slow-Train-Analysis-(2080s-and-2083s)?_g=(refreshInterval:(display:Off,section:0,value:0),time:(from:'2016-08-10 11:21:05-0600',mode:absolute,to:'2016-08-10 14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4" s="126" t="str">
        <f t="shared" si="0"/>
        <v>"C:\Program Files (x86)\AstroGrep\AstroGrep.exe" /spath="%USERPROFILE%\AppData\Local\Temp\OnboardLogs" /stypes="*4008*201608101*" /stext=" 18:.+((SYSTEM_STATE.+slice.+state.+changed )|(ment ac)|(system.+state.+changed )|(\|lc)|(penalty)|(\[timeout)|(PRM\|1\|D)|(kpr)|(kdp))" /e /r /s</v>
      </c>
      <c r="S14" s="9" t="str">
        <f t="shared" si="1"/>
        <v>4008</v>
      </c>
      <c r="T14" s="41">
        <f t="shared" si="2"/>
        <v>42592.775405092594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42592.501701388886</v>
      </c>
      <c r="B15" s="34" t="s">
        <v>123</v>
      </c>
      <c r="C15" s="34" t="s">
        <v>390</v>
      </c>
      <c r="D15" s="34" t="s">
        <v>49</v>
      </c>
      <c r="E15" s="34" t="s">
        <v>54</v>
      </c>
      <c r="F15" s="52">
        <v>0</v>
      </c>
      <c r="G15" s="52">
        <v>577</v>
      </c>
      <c r="H15" s="52">
        <v>89281</v>
      </c>
      <c r="I15" s="34" t="s">
        <v>55</v>
      </c>
      <c r="J15" s="52">
        <v>87902</v>
      </c>
      <c r="K15" s="34" t="s">
        <v>53</v>
      </c>
      <c r="L15" s="101" t="str">
        <f>VLOOKUP(C15,'Trips&amp;Operators'!$C$1:$E$9999,3,0)</f>
        <v>BRANNON</v>
      </c>
      <c r="M15" s="150" t="s">
        <v>93</v>
      </c>
      <c r="N15" s="10" t="s">
        <v>303</v>
      </c>
      <c r="O15" s="34"/>
      <c r="P15" s="119" t="str">
        <f>VLOOKUP(C15,'Train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Q15" s="123" t="str">
        <f>VLOOKUP(C15,'Train Runs'!$A$13:$AE$462,22,0)</f>
        <v>https://search-rtdc-monitor-bjffxe2xuh6vdkpspy63sjmuny.us-east-1.es.amazonaws.com/_plugin/kibana/#/discover/Steve-Slow-Train-Analysis-(2080s-and-2083s)?_g=(refreshInterval:(display:Off,section:0,value:0),time:(from:'2016-08-10 10:34:56-0600',mode:absolute,to:'2016-08-10 13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15" s="126" t="str">
        <f t="shared" si="0"/>
        <v>"C:\Program Files (x86)\AstroGrep\AstroGrep.exe" /spath="%USERPROFILE%\AppData\Local\Temp\OnboardLogs" /stypes="*4015*201608101*" /stext=" 18:.+((SYSTEM_STATE.+slice.+state.+changed )|(ment ac)|(system.+state.+changed )|(\|lc)|(penalty)|(\[timeout)|(PRM\|1\|D)|(kpr)|(kdp))" /e /r /s</v>
      </c>
      <c r="S15" s="9" t="str">
        <f t="shared" si="1"/>
        <v>4015</v>
      </c>
      <c r="T15" s="41">
        <f t="shared" si="2"/>
        <v>42592.751701388886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42592.72515046296</v>
      </c>
      <c r="B16" s="34" t="s">
        <v>102</v>
      </c>
      <c r="C16" s="34" t="s">
        <v>452</v>
      </c>
      <c r="D16" s="34" t="s">
        <v>130</v>
      </c>
      <c r="E16" s="34" t="s">
        <v>54</v>
      </c>
      <c r="F16" s="52">
        <v>200</v>
      </c>
      <c r="G16" s="52">
        <v>264</v>
      </c>
      <c r="H16" s="52">
        <v>153386</v>
      </c>
      <c r="I16" s="34" t="s">
        <v>55</v>
      </c>
      <c r="J16" s="52">
        <v>157300</v>
      </c>
      <c r="K16" s="34" t="s">
        <v>53</v>
      </c>
      <c r="L16" s="101" t="str">
        <f>VLOOKUP(C16,'Trips&amp;Operators'!$C$1:$E$9999,3,0)</f>
        <v>STORY</v>
      </c>
      <c r="M16" s="150" t="s">
        <v>94</v>
      </c>
      <c r="N16" s="10" t="s">
        <v>629</v>
      </c>
      <c r="O16" s="34"/>
      <c r="P16" s="119" t="str">
        <f>VLOOKUP(C16,'Train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16" s="123" t="str">
        <f>VLOOKUP(C16,'Train Runs'!$A$13:$AE$462,22,0)</f>
        <v>https://search-rtdc-monitor-bjffxe2xuh6vdkpspy63sjmuny.us-east-1.es.amazonaws.com/_plugin/kibana/#/discover/Steve-Slow-Train-Analysis-(2080s-and-2083s)?_g=(refreshInterval:(display:Off,section:0,value:0),time:(from:'2016-08-10 16:21:58-0600',mode:absolute,to:'2016-08-10 18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16" s="126" t="str">
        <f t="shared" si="0"/>
        <v>"C:\Program Files (x86)\AstroGrep\AstroGrep.exe" /spath="%USERPROFILE%\AppData\Local\Temp\OnboardLogs" /stypes="*4030*201608102*" /stext=" 23:.+((SYSTEM_STATE.+slice.+state.+changed )|(ment ac)|(system.+state.+changed )|(\|lc)|(penalty)|(\[timeout)|(PRM\|1\|D)|(kpr)|(kdp))" /e /r /s</v>
      </c>
      <c r="S16" s="9" t="str">
        <f t="shared" si="1"/>
        <v>4030</v>
      </c>
      <c r="T16" s="41">
        <f t="shared" si="2"/>
        <v>42592.97515046296</v>
      </c>
      <c r="U16" s="55" t="str">
        <f t="shared" si="3"/>
        <v>EC</v>
      </c>
      <c r="V16" s="55" t="str">
        <f t="shared" si="4"/>
        <v>KEEP</v>
      </c>
    </row>
    <row r="17" spans="1:24" s="1" customFormat="1" x14ac:dyDescent="0.25">
      <c r="A17" s="41">
        <v>42592.779351851852</v>
      </c>
      <c r="B17" s="34" t="s">
        <v>102</v>
      </c>
      <c r="C17" s="34" t="s">
        <v>472</v>
      </c>
      <c r="D17" s="34" t="s">
        <v>130</v>
      </c>
      <c r="E17" s="34" t="s">
        <v>54</v>
      </c>
      <c r="F17" s="52">
        <v>200</v>
      </c>
      <c r="G17" s="52">
        <v>265</v>
      </c>
      <c r="H17" s="52">
        <v>153371</v>
      </c>
      <c r="I17" s="34" t="s">
        <v>55</v>
      </c>
      <c r="J17" s="52">
        <v>157300</v>
      </c>
      <c r="K17" s="34" t="s">
        <v>53</v>
      </c>
      <c r="L17" s="101" t="str">
        <f>VLOOKUP(C17,'Trips&amp;Operators'!$C$1:$E$9999,3,0)</f>
        <v>STORY</v>
      </c>
      <c r="M17" s="150" t="s">
        <v>94</v>
      </c>
      <c r="N17" s="10" t="s">
        <v>629</v>
      </c>
      <c r="O17" s="34"/>
      <c r="P17" s="119" t="str">
        <f>VLOOKUP(C17,'Train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17" s="123" t="str">
        <f>VLOOKUP(C17,'Train Runs'!$A$13:$AE$462,22,0)</f>
        <v>https://search-rtdc-monitor-bjffxe2xuh6vdkpspy63sjmuny.us-east-1.es.amazonaws.com/_plugin/kibana/#/discover/Steve-Slow-Train-Analysis-(2080s-and-2083s)?_g=(refreshInterval:(display:Off,section:0,value:0),time:(from:'2016-08-10 17:39:39-0600',mode:absolute,to:'2016-08-10 20:12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17" s="126" t="str">
        <f t="shared" si="0"/>
        <v>"C:\Program Files (x86)\AstroGrep\AstroGrep.exe" /spath="%USERPROFILE%\AppData\Local\Temp\OnboardLogs" /stypes="*4030*201608110*" /stext=" 00:.+((SYSTEM_STATE.+slice.+state.+changed )|(ment ac)|(system.+state.+changed )|(\|lc)|(penalty)|(\[timeout)|(PRM\|1\|D)|(kpr)|(kdp))" /e /r /s</v>
      </c>
      <c r="S17" s="9" t="str">
        <f t="shared" si="1"/>
        <v>4030</v>
      </c>
      <c r="T17" s="41">
        <f t="shared" si="2"/>
        <v>42593.029351851852</v>
      </c>
      <c r="U17" s="55" t="str">
        <f t="shared" si="3"/>
        <v>EC</v>
      </c>
      <c r="V17" s="55" t="str">
        <f t="shared" si="4"/>
        <v>KEEP</v>
      </c>
    </row>
    <row r="18" spans="1:24" s="1" customFormat="1" x14ac:dyDescent="0.25">
      <c r="A18" s="41">
        <v>42592.798541666663</v>
      </c>
      <c r="B18" s="34" t="s">
        <v>105</v>
      </c>
      <c r="C18" s="34" t="s">
        <v>477</v>
      </c>
      <c r="D18" s="34" t="s">
        <v>130</v>
      </c>
      <c r="E18" s="34" t="s">
        <v>54</v>
      </c>
      <c r="F18" s="52">
        <v>200</v>
      </c>
      <c r="G18" s="52">
        <v>256</v>
      </c>
      <c r="H18" s="52">
        <v>153431</v>
      </c>
      <c r="I18" s="34" t="s">
        <v>55</v>
      </c>
      <c r="J18" s="52">
        <v>157300</v>
      </c>
      <c r="K18" s="34" t="s">
        <v>53</v>
      </c>
      <c r="L18" s="101" t="str">
        <f>VLOOKUP(C18,'Trips&amp;Operators'!$C$1:$E$9999,3,0)</f>
        <v>LEVIN</v>
      </c>
      <c r="M18" s="150" t="s">
        <v>94</v>
      </c>
      <c r="N18" s="10" t="s">
        <v>629</v>
      </c>
      <c r="O18" s="34"/>
      <c r="P18" s="119" t="str">
        <f>VLOOKUP(C18,'Train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Q18" s="123" t="str">
        <f>VLOOKUP(C18,'Train Runs'!$A$13:$AE$462,22,0)</f>
        <v>https://search-rtdc-monitor-bjffxe2xuh6vdkpspy63sjmuny.us-east-1.es.amazonaws.com/_plugin/kibana/#/discover/Steve-Slow-Train-Analysis-(2080s-and-2083s)?_g=(refreshInterval:(display:Off,section:0,value:0),time:(from:'2016-08-10 18:07:59-0600',mode:absolute,to:'2016-08-10 20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8" s="126" t="str">
        <f t="shared" si="0"/>
        <v>"C:\Program Files (x86)\AstroGrep\AstroGrep.exe" /spath="%USERPROFILE%\AppData\Local\Temp\OnboardLogs" /stypes="*4008*201608110*" /stext=" 01:.+((SYSTEM_STATE.+slice.+state.+changed )|(ment ac)|(system.+state.+changed )|(\|lc)|(penalty)|(\[timeout)|(PRM\|1\|D)|(kpr)|(kdp))" /e /r /s</v>
      </c>
      <c r="S18" s="9" t="str">
        <f t="shared" si="1"/>
        <v>4008</v>
      </c>
      <c r="T18" s="41">
        <f t="shared" si="2"/>
        <v>42593.048541666663</v>
      </c>
      <c r="U18" s="55" t="str">
        <f t="shared" si="3"/>
        <v>EC</v>
      </c>
      <c r="V18" s="55" t="str">
        <f t="shared" si="4"/>
        <v>KEEP</v>
      </c>
    </row>
    <row r="19" spans="1:24" s="1" customFormat="1" x14ac:dyDescent="0.25">
      <c r="A19" s="41">
        <v>42592.839895833335</v>
      </c>
      <c r="B19" s="34" t="s">
        <v>602</v>
      </c>
      <c r="C19" s="34" t="s">
        <v>486</v>
      </c>
      <c r="D19" s="34" t="s">
        <v>130</v>
      </c>
      <c r="E19" s="34" t="s">
        <v>54</v>
      </c>
      <c r="F19" s="52">
        <v>200</v>
      </c>
      <c r="G19" s="52">
        <v>254</v>
      </c>
      <c r="H19" s="52">
        <v>153390</v>
      </c>
      <c r="I19" s="34" t="s">
        <v>55</v>
      </c>
      <c r="J19" s="52">
        <v>157300</v>
      </c>
      <c r="K19" s="34" t="s">
        <v>205</v>
      </c>
      <c r="L19" s="101" t="str">
        <f>VLOOKUP(C19,'Trips&amp;Operators'!$C$1:$E$9999,3,0)</f>
        <v>COOLAHAN</v>
      </c>
      <c r="M19" s="150" t="s">
        <v>94</v>
      </c>
      <c r="N19" s="10" t="s">
        <v>629</v>
      </c>
      <c r="O19" s="34"/>
      <c r="P19" s="119" t="str">
        <f>VLOOKUP(C19,'Train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Q19" s="123" t="str">
        <f>VLOOKUP(C19,'Train Runs'!$A$13:$AE$462,22,0)</f>
        <v>https://search-rtdc-monitor-bjffxe2xuh6vdkpspy63sjmuny.us-east-1.es.amazonaws.com/_plugin/kibana/#/discover/Steve-Slow-Train-Analysis-(2080s-and-2083s)?_g=(refreshInterval:(display:Off,section:0,value:0),time:(from:'2016-08-10 19:06:40-0600',mode:absolute,to:'2016-08-10 21:45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19" s="126" t="str">
        <f t="shared" si="0"/>
        <v>"C:\Program Files (x86)\AstroGrep\AstroGrep.exe" /spath="%USERPROFILE%\AppData\Local\Temp\OnboardLogs" /stypes="*4010*201608110*" /stext=" 02:.+((SYSTEM_STATE.+slice.+state.+changed )|(ment ac)|(system.+state.+changed )|(\|lc)|(penalty)|(\[timeout)|(PRM\|1\|D)|(kpr)|(kdp))" /e /r /s</v>
      </c>
      <c r="S19" s="9" t="str">
        <f t="shared" si="1"/>
        <v>4010</v>
      </c>
      <c r="T19" s="41">
        <f t="shared" si="2"/>
        <v>42593.089895833335</v>
      </c>
      <c r="U19" s="55" t="str">
        <f t="shared" si="3"/>
        <v>EC</v>
      </c>
      <c r="V19" s="55" t="str">
        <f t="shared" si="4"/>
        <v>KEEP</v>
      </c>
    </row>
    <row r="20" spans="1:24" s="1" customFormat="1" x14ac:dyDescent="0.25">
      <c r="A20" s="41">
        <v>42592.605185185188</v>
      </c>
      <c r="B20" s="34" t="s">
        <v>209</v>
      </c>
      <c r="C20" s="34" t="s">
        <v>423</v>
      </c>
      <c r="D20" s="34" t="s">
        <v>49</v>
      </c>
      <c r="E20" s="34" t="s">
        <v>54</v>
      </c>
      <c r="F20" s="52">
        <v>0</v>
      </c>
      <c r="G20" s="52">
        <v>735</v>
      </c>
      <c r="H20" s="52">
        <v>207284</v>
      </c>
      <c r="I20" s="34" t="s">
        <v>55</v>
      </c>
      <c r="J20" s="52">
        <v>204340</v>
      </c>
      <c r="K20" s="34" t="s">
        <v>53</v>
      </c>
      <c r="L20" s="101" t="str">
        <f>VLOOKUP(C20,'Trips&amp;Operators'!$C$1:$E$9999,3,0)</f>
        <v>DE LA ROSA</v>
      </c>
      <c r="M20" s="150" t="s">
        <v>94</v>
      </c>
      <c r="N20" s="10" t="s">
        <v>629</v>
      </c>
      <c r="O20" s="34"/>
      <c r="P20" s="119" t="str">
        <f>VLOOKUP(C20,'Train Runs'!$A$13:$AE$462,31,0)</f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Q20" s="123" t="str">
        <f>VLOOKUP(C20,'Train Runs'!$A$13:$AE$462,22,0)</f>
        <v>https://search-rtdc-monitor-bjffxe2xuh6vdkpspy63sjmuny.us-east-1.es.amazonaws.com/_plugin/kibana/#/discover/Steve-Slow-Train-Analysis-(2080s-and-2083s)?_g=(refreshInterval:(display:Off,section:0,value:0),time:(from:'2016-08-10 13:19:47-0600',mode:absolute,to:'2016-08-10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20" s="126" t="str">
        <f t="shared" si="0"/>
        <v>"C:\Program Files (x86)\AstroGrep\AstroGrep.exe" /spath="%USERPROFILE%\AppData\Local\Temp\OnboardLogs" /stypes="*4039*201608102*" /stext=" 20:.+((SYSTEM_STATE.+slice.+state.+changed )|(ment ac)|(system.+state.+changed )|(\|lc)|(penalty)|(\[timeout)|(PRM\|1\|D)|(kpr)|(kdp))" /e /r /s</v>
      </c>
      <c r="S20" s="9" t="str">
        <f t="shared" si="1"/>
        <v>4039</v>
      </c>
      <c r="T20" s="41">
        <f t="shared" si="2"/>
        <v>42592.855185185188</v>
      </c>
      <c r="U20" s="55" t="str">
        <f t="shared" si="3"/>
        <v>EC</v>
      </c>
      <c r="V20" s="55" t="str">
        <f t="shared" si="4"/>
        <v>KEEP</v>
      </c>
    </row>
    <row r="21" spans="1:24" s="1" customFormat="1" x14ac:dyDescent="0.25">
      <c r="A21" s="41">
        <v>42592.356666666667</v>
      </c>
      <c r="B21" s="34" t="s">
        <v>602</v>
      </c>
      <c r="C21" s="34" t="s">
        <v>348</v>
      </c>
      <c r="D21" s="34" t="s">
        <v>130</v>
      </c>
      <c r="E21" s="34" t="s">
        <v>237</v>
      </c>
      <c r="F21" s="52">
        <v>0</v>
      </c>
      <c r="G21" s="52">
        <v>162</v>
      </c>
      <c r="H21" s="52">
        <v>2353</v>
      </c>
      <c r="I21" s="34" t="s">
        <v>238</v>
      </c>
      <c r="J21" s="52">
        <v>2822</v>
      </c>
      <c r="K21" s="34" t="s">
        <v>53</v>
      </c>
      <c r="L21" s="101" t="str">
        <f>VLOOKUP(C21,'Trips&amp;Operators'!$C$1:$E$9999,3,0)</f>
        <v>MAELZER</v>
      </c>
      <c r="M21" s="150" t="s">
        <v>93</v>
      </c>
      <c r="N21" s="10" t="s">
        <v>303</v>
      </c>
      <c r="O21" s="34"/>
      <c r="P21" s="119" t="str">
        <f>VLOOKUP(C21,'Train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Q21" s="123" t="str">
        <f>VLOOKUP(C21,'Train Runs'!$A$13:$AE$462,22,0)</f>
        <v>https://search-rtdc-monitor-bjffxe2xuh6vdkpspy63sjmuny.us-east-1.es.amazonaws.com/_plugin/kibana/#/discover/Steve-Slow-Train-Analysis-(2080s-and-2083s)?_g=(refreshInterval:(display:Off,section:0,value:0),time:(from:'2016-08-10 06:44:41-0600',mode:absolute,to:'2016-08-10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1" s="126" t="str">
        <f t="shared" si="0"/>
        <v>"C:\Program Files (x86)\AstroGrep\AstroGrep.exe" /spath="%USERPROFILE%\AppData\Local\Temp\OnboardLogs" /stypes="*4010*201608101*" /stext=" 14:.+((SYSTEM_STATE.+slice.+state.+changed )|(ment ac)|(system.+state.+changed )|(\|lc)|(penalty)|(\[timeout)|(PRM\|1\|D)|(kpr)|(kdp))" /e /r /s</v>
      </c>
      <c r="S21" s="9" t="str">
        <f t="shared" si="1"/>
        <v>4010</v>
      </c>
      <c r="T21" s="41">
        <f t="shared" si="2"/>
        <v>42592.606666666667</v>
      </c>
      <c r="U21" s="55" t="str">
        <f t="shared" si="3"/>
        <v>EC</v>
      </c>
      <c r="V21" s="55" t="str">
        <f t="shared" si="4"/>
        <v>KEEP</v>
      </c>
    </row>
    <row r="22" spans="1:24" s="1" customFormat="1" x14ac:dyDescent="0.25">
      <c r="A22" s="41">
        <v>42592.605150462965</v>
      </c>
      <c r="B22" s="34" t="s">
        <v>605</v>
      </c>
      <c r="C22" s="34" t="s">
        <v>427</v>
      </c>
      <c r="D22" s="34" t="s">
        <v>49</v>
      </c>
      <c r="E22" s="34" t="s">
        <v>237</v>
      </c>
      <c r="F22" s="52">
        <v>0</v>
      </c>
      <c r="G22" s="52">
        <v>498</v>
      </c>
      <c r="H22" s="52">
        <v>188388</v>
      </c>
      <c r="I22" s="34" t="s">
        <v>238</v>
      </c>
      <c r="J22" s="52">
        <v>190834</v>
      </c>
      <c r="K22" s="34" t="s">
        <v>52</v>
      </c>
      <c r="L22" s="101" t="str">
        <f>VLOOKUP(C22,'Trips&amp;Operators'!$C$1:$E$9999,3,0)</f>
        <v>BRUDER</v>
      </c>
      <c r="M22" s="150" t="s">
        <v>94</v>
      </c>
      <c r="N22" s="10" t="s">
        <v>629</v>
      </c>
      <c r="O22" s="34"/>
      <c r="P22" s="119" t="str">
        <f>VLOOKUP(C22,'Train Runs'!$A$13:$AE$462,31,0)</f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Q22" s="123" t="str">
        <f>VLOOKUP(C22,'Train Runs'!$A$13:$AE$462,22,0)</f>
        <v>https://search-rtdc-monitor-bjffxe2xuh6vdkpspy63sjmuny.us-east-1.es.amazonaws.com/_plugin/kibana/#/discover/Steve-Slow-Train-Analysis-(2080s-and-2083s)?_g=(refreshInterval:(display:Off,section:0,value:0),time:(from:'2016-08-10 12:53:55-0600',mode:absolute,to:'2016-08-10 16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22" s="126" t="str">
        <f t="shared" si="0"/>
        <v>"C:\Program Files (x86)\AstroGrep\AstroGrep.exe" /spath="%USERPROFILE%\AppData\Local\Temp\OnboardLogs" /stypes="*4009*201608102*" /stext=" 20:.+((SYSTEM_STATE.+slice.+state.+changed )|(ment ac)|(system.+state.+changed )|(\|lc)|(penalty)|(\[timeout)|(PRM\|1\|D)|(kpr)|(kdp))" /e /r /s</v>
      </c>
      <c r="S22" s="9" t="str">
        <f t="shared" si="1"/>
        <v>4009</v>
      </c>
      <c r="T22" s="41">
        <f t="shared" si="2"/>
        <v>42592.855150462965</v>
      </c>
      <c r="U22" s="55" t="str">
        <f t="shared" si="3"/>
        <v>EC</v>
      </c>
      <c r="V22" s="55" t="str">
        <f t="shared" si="4"/>
        <v>KEEP</v>
      </c>
    </row>
    <row r="23" spans="1:24" x14ac:dyDescent="0.25">
      <c r="A23" s="41">
        <v>42592.224351851852</v>
      </c>
      <c r="B23" s="34" t="s">
        <v>102</v>
      </c>
      <c r="C23" s="34" t="s">
        <v>312</v>
      </c>
      <c r="D23" s="34" t="s">
        <v>49</v>
      </c>
      <c r="E23" s="34" t="s">
        <v>50</v>
      </c>
      <c r="F23" s="52">
        <v>0</v>
      </c>
      <c r="G23" s="52">
        <v>56</v>
      </c>
      <c r="H23" s="52">
        <v>196</v>
      </c>
      <c r="I23" s="34" t="s">
        <v>51</v>
      </c>
      <c r="J23" s="52">
        <v>1</v>
      </c>
      <c r="K23" s="34" t="s">
        <v>53</v>
      </c>
      <c r="L23" s="101" t="str">
        <f>VLOOKUP(C23,'Trips&amp;Operators'!$C$1:$E$9999,3,0)</f>
        <v>ACKERMAN</v>
      </c>
      <c r="M23" s="150" t="s">
        <v>94</v>
      </c>
      <c r="N23" s="10"/>
      <c r="O23" s="34"/>
      <c r="P23" s="119" t="str">
        <f>VLOOKUP(C23,'Train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23" s="123" t="str">
        <f>VLOOKUP(C23,'Train Runs'!$A$13:$AE$462,22,0)</f>
        <v>https://search-rtdc-monitor-bjffxe2xuh6vdkpspy63sjmuny.us-east-1.es.amazonaws.com/_plugin/kibana/#/discover/Steve-Slow-Train-Analysis-(2080s-and-2083s)?_g=(refreshInterval:(display:Off,section:0,value:0),time:(from:'2016-08-10 03:37:18-0600',mode:absolute,to:'2016-08-10 06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23" s="126" t="str">
        <f t="shared" si="0"/>
        <v>"C:\Program Files (x86)\AstroGrep\AstroGrep.exe" /spath="%USERPROFILE%\AppData\Local\Temp\OnboardLogs" /stypes="*4030*201608101*" /stext=" 11:.+((SYSTEM_STATE.+slice.+state.+changed )|(ment ac)|(system.+state.+changed )|(\|lc)|(penalty)|(\[timeout)|(PRM\|1\|D)|(kpr)|(kdp))" /e /r /s</v>
      </c>
      <c r="S23" s="9" t="str">
        <f t="shared" si="1"/>
        <v>4030</v>
      </c>
      <c r="T23" s="41">
        <f t="shared" si="2"/>
        <v>42592.474351851852</v>
      </c>
      <c r="U23" s="55" t="str">
        <f t="shared" si="3"/>
        <v>EC</v>
      </c>
      <c r="V23" s="55" t="str">
        <f t="shared" si="4"/>
        <v>KEEP</v>
      </c>
    </row>
    <row r="24" spans="1:24" s="1" customFormat="1" x14ac:dyDescent="0.25">
      <c r="A24" s="41">
        <v>42592.284444444442</v>
      </c>
      <c r="B24" s="34" t="s">
        <v>602</v>
      </c>
      <c r="C24" s="34" t="s">
        <v>328</v>
      </c>
      <c r="D24" s="34" t="s">
        <v>49</v>
      </c>
      <c r="E24" s="34" t="s">
        <v>50</v>
      </c>
      <c r="F24" s="52">
        <v>0</v>
      </c>
      <c r="G24" s="52">
        <v>38</v>
      </c>
      <c r="H24" s="52">
        <v>132</v>
      </c>
      <c r="I24" s="34" t="s">
        <v>51</v>
      </c>
      <c r="J24" s="52">
        <v>1</v>
      </c>
      <c r="K24" s="34" t="s">
        <v>53</v>
      </c>
      <c r="L24" s="101" t="str">
        <f>VLOOKUP(C24,'Trips&amp;Operators'!$C$1:$E$9999,3,0)</f>
        <v>MAELZER</v>
      </c>
      <c r="M24" s="150" t="s">
        <v>94</v>
      </c>
      <c r="N24" s="10"/>
      <c r="O24" s="34"/>
      <c r="P24" s="119" t="str">
        <f>VLOOKUP(C24,'Train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Q24" s="123" t="str">
        <f>VLOOKUP(C24,'Train Runs'!$A$13:$AE$462,22,0)</f>
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4" s="126" t="str">
        <f t="shared" si="0"/>
        <v>"C:\Program Files (x86)\AstroGrep\AstroGrep.exe" /spath="%USERPROFILE%\AppData\Local\Temp\OnboardLogs" /stypes="*4010*201608101*" /stext=" 12:.+((SYSTEM_STATE.+slice.+state.+changed )|(ment ac)|(system.+state.+changed )|(\|lc)|(penalty)|(\[timeout)|(PRM\|1\|D)|(kpr)|(kdp))" /e /r /s</v>
      </c>
      <c r="S24" s="9" t="str">
        <f t="shared" si="1"/>
        <v>4010</v>
      </c>
      <c r="T24" s="41">
        <f t="shared" si="2"/>
        <v>42592.534444444442</v>
      </c>
      <c r="U24" s="55" t="str">
        <f t="shared" si="3"/>
        <v>EC</v>
      </c>
      <c r="V24" s="55" t="str">
        <f t="shared" si="4"/>
        <v>KEEP</v>
      </c>
    </row>
    <row r="25" spans="1:24" x14ac:dyDescent="0.25">
      <c r="A25" s="41">
        <v>42592.378055555557</v>
      </c>
      <c r="B25" s="34" t="s">
        <v>102</v>
      </c>
      <c r="C25" s="34" t="s">
        <v>354</v>
      </c>
      <c r="D25" s="34" t="s">
        <v>49</v>
      </c>
      <c r="E25" s="34" t="s">
        <v>50</v>
      </c>
      <c r="F25" s="52">
        <v>0</v>
      </c>
      <c r="G25" s="52">
        <v>52</v>
      </c>
      <c r="H25" s="52">
        <v>167</v>
      </c>
      <c r="I25" s="34" t="s">
        <v>51</v>
      </c>
      <c r="J25" s="52">
        <v>1</v>
      </c>
      <c r="K25" s="34" t="s">
        <v>53</v>
      </c>
      <c r="L25" s="101" t="str">
        <f>VLOOKUP(C25,'Trips&amp;Operators'!$C$1:$E$9999,3,0)</f>
        <v>ACKERMAN</v>
      </c>
      <c r="M25" s="150" t="s">
        <v>94</v>
      </c>
      <c r="N25" s="10"/>
      <c r="O25" s="34"/>
      <c r="P25" s="119" t="str">
        <f>VLOOKUP(C25,'Train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25" s="123" t="str">
        <f>VLOOKUP(C25,'Train Runs'!$A$13:$AE$462,22,0)</f>
        <v>https://search-rtdc-monitor-bjffxe2xuh6vdkpspy63sjmuny.us-east-1.es.amazonaws.com/_plugin/kibana/#/discover/Steve-Slow-Train-Analysis-(2080s-and-2083s)?_g=(refreshInterval:(display:Off,section:0,value:0),time:(from:'2016-08-10 07:16:05-0600',mode:absolute,to:'2016-08-10 10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25" s="126" t="str">
        <f t="shared" si="0"/>
        <v>"C:\Program Files (x86)\AstroGrep\AstroGrep.exe" /spath="%USERPROFILE%\AppData\Local\Temp\OnboardLogs" /stypes="*4030*201608101*" /stext=" 15:.+((SYSTEM_STATE.+slice.+state.+changed )|(ment ac)|(system.+state.+changed )|(\|lc)|(penalty)|(\[timeout)|(PRM\|1\|D)|(kpr)|(kdp))" /e /r /s</v>
      </c>
      <c r="S25" s="9" t="str">
        <f t="shared" si="1"/>
        <v>4030</v>
      </c>
      <c r="T25" s="41">
        <f t="shared" si="2"/>
        <v>42592.628055555557</v>
      </c>
      <c r="U25" s="55" t="str">
        <f t="shared" si="3"/>
        <v>EC</v>
      </c>
      <c r="V25" s="55" t="str">
        <f t="shared" si="4"/>
        <v>KEEP</v>
      </c>
    </row>
    <row r="26" spans="1:24" x14ac:dyDescent="0.25">
      <c r="A26" s="41">
        <v>42592.388923611114</v>
      </c>
      <c r="B26" s="34" t="s">
        <v>68</v>
      </c>
      <c r="C26" s="34" t="s">
        <v>356</v>
      </c>
      <c r="D26" s="34" t="s">
        <v>49</v>
      </c>
      <c r="E26" s="34" t="s">
        <v>50</v>
      </c>
      <c r="F26" s="52">
        <v>0</v>
      </c>
      <c r="G26" s="52">
        <v>54</v>
      </c>
      <c r="H26" s="52">
        <v>191</v>
      </c>
      <c r="I26" s="34" t="s">
        <v>51</v>
      </c>
      <c r="J26" s="52">
        <v>1</v>
      </c>
      <c r="K26" s="34" t="s">
        <v>53</v>
      </c>
      <c r="L26" s="101" t="str">
        <f>VLOOKUP(C26,'Trips&amp;Operators'!$C$1:$E$9999,3,0)</f>
        <v>STAMBAUGH</v>
      </c>
      <c r="M26" s="150" t="s">
        <v>94</v>
      </c>
      <c r="N26" s="10"/>
      <c r="O26" s="34"/>
      <c r="P26" s="119" t="str">
        <f>VLOOKUP(C26,'Train Runs'!$A$13:$AE$462,31,0)</f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Q26" s="123" t="str">
        <f>VLOOKUP(C26,'Train Runs'!$A$13:$AE$462,22,0)</f>
        <v>https://search-rtdc-monitor-bjffxe2xuh6vdkpspy63sjmuny.us-east-1.es.amazonaws.com/_plugin/kibana/#/discover/Steve-Slow-Train-Analysis-(2080s-and-2083s)?_g=(refreshInterval:(display:Off,section:0,value:0),time:(from:'2016-08-10 07:35:20-0600',mode:absolute,to:'2016-08-10 10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6" s="126" t="str">
        <f t="shared" si="0"/>
        <v>"C:\Program Files (x86)\AstroGrep\AstroGrep.exe" /spath="%USERPROFILE%\AppData\Local\Temp\OnboardLogs" /stypes="*4017*201608101*" /stext=" 15:.+((SYSTEM_STATE.+slice.+state.+changed )|(ment ac)|(system.+state.+changed )|(\|lc)|(penalty)|(\[timeout)|(PRM\|1\|D)|(kpr)|(kdp))" /e /r /s</v>
      </c>
      <c r="S26" s="9" t="str">
        <f t="shared" si="1"/>
        <v>4017</v>
      </c>
      <c r="T26" s="41">
        <f t="shared" si="2"/>
        <v>42592.638923611114</v>
      </c>
      <c r="U26" s="55" t="str">
        <f t="shared" si="3"/>
        <v>EC</v>
      </c>
      <c r="V26" s="55" t="str">
        <f t="shared" si="4"/>
        <v>KEEP</v>
      </c>
    </row>
    <row r="27" spans="1:24" x14ac:dyDescent="0.25">
      <c r="A27" s="41">
        <v>42592.556944444441</v>
      </c>
      <c r="B27" s="34" t="s">
        <v>209</v>
      </c>
      <c r="C27" s="34" t="s">
        <v>406</v>
      </c>
      <c r="D27" s="34" t="s">
        <v>49</v>
      </c>
      <c r="E27" s="34" t="s">
        <v>50</v>
      </c>
      <c r="F27" s="52">
        <v>0</v>
      </c>
      <c r="G27" s="52">
        <v>44</v>
      </c>
      <c r="H27" s="52">
        <v>149</v>
      </c>
      <c r="I27" s="34" t="s">
        <v>51</v>
      </c>
      <c r="J27" s="52">
        <v>1</v>
      </c>
      <c r="K27" s="34" t="s">
        <v>53</v>
      </c>
      <c r="L27" s="101" t="str">
        <f>VLOOKUP(C27,'Trips&amp;Operators'!$C$1:$E$9999,3,0)</f>
        <v>DE LA ROSA</v>
      </c>
      <c r="M27" s="150" t="s">
        <v>94</v>
      </c>
      <c r="N27" s="10"/>
      <c r="O27" s="34"/>
      <c r="P27" s="119" t="str">
        <f>VLOOKUP(C27,'Train Runs'!$A$13:$AE$462,31,0)</f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Q27" s="123" t="str">
        <f>VLOOKUP(C27,'Train Runs'!$A$13:$AE$462,22,0)</f>
        <v>https://search-rtdc-monitor-bjffxe2xuh6vdkpspy63sjmuny.us-east-1.es.amazonaws.com/_plugin/kibana/#/discover/Steve-Slow-Train-Analysis-(2080s-and-2083s)?_g=(refreshInterval:(display:Off,section:0,value:0),time:(from:'2016-08-10 11:35:32-0600',mode:absolute,to:'2016-08-10 14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27" s="126" t="str">
        <f t="shared" si="0"/>
        <v>"C:\Program Files (x86)\AstroGrep\AstroGrep.exe" /spath="%USERPROFILE%\AppData\Local\Temp\OnboardLogs" /stypes="*4039*201608101*" /stext=" 19:.+((SYSTEM_STATE.+slice.+state.+changed )|(ment ac)|(system.+state.+changed )|(\|lc)|(penalty)|(\[timeout)|(PRM\|1\|D)|(kpr)|(kdp))" /e /r /s</v>
      </c>
      <c r="S27" s="9" t="str">
        <f t="shared" si="1"/>
        <v>4039</v>
      </c>
      <c r="T27" s="41">
        <f t="shared" si="2"/>
        <v>42592.806944444441</v>
      </c>
      <c r="U27" s="55" t="str">
        <f t="shared" si="3"/>
        <v>EC</v>
      </c>
      <c r="V27" s="55" t="str">
        <f t="shared" si="4"/>
        <v>KEEP</v>
      </c>
      <c r="W27" s="24"/>
    </row>
    <row r="28" spans="1:24" x14ac:dyDescent="0.25">
      <c r="A28" s="41">
        <v>42592.590185185189</v>
      </c>
      <c r="B28" s="34" t="s">
        <v>123</v>
      </c>
      <c r="C28" s="34" t="s">
        <v>414</v>
      </c>
      <c r="D28" s="34" t="s">
        <v>49</v>
      </c>
      <c r="E28" s="34" t="s">
        <v>50</v>
      </c>
      <c r="F28" s="52">
        <v>0</v>
      </c>
      <c r="G28" s="52">
        <v>45</v>
      </c>
      <c r="H28" s="52">
        <v>156</v>
      </c>
      <c r="I28" s="34" t="s">
        <v>51</v>
      </c>
      <c r="J28" s="52">
        <v>1</v>
      </c>
      <c r="K28" s="34" t="s">
        <v>53</v>
      </c>
      <c r="L28" s="101" t="str">
        <f>VLOOKUP(C28,'Trips&amp;Operators'!$C$1:$E$9999,3,0)</f>
        <v>HAITHCOX</v>
      </c>
      <c r="M28" s="150" t="s">
        <v>94</v>
      </c>
      <c r="N28" s="10"/>
      <c r="O28" s="34"/>
      <c r="P28" s="119" t="str">
        <f>VLOOKUP(C28,'Train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Q28" s="123" t="str">
        <f>VLOOKUP(C28,'Train Runs'!$A$13:$AE$462,22,0)</f>
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8" s="126" t="str">
        <f t="shared" si="0"/>
        <v>"C:\Program Files (x86)\AstroGrep\AstroGrep.exe" /spath="%USERPROFILE%\AppData\Local\Temp\OnboardLogs" /stypes="*4015*201608102*" /stext=" 20:.+((SYSTEM_STATE.+slice.+state.+changed )|(ment ac)|(system.+state.+changed )|(\|lc)|(penalty)|(\[timeout)|(PRM\|1\|D)|(kpr)|(kdp))" /e /r /s</v>
      </c>
      <c r="S28" s="9" t="str">
        <f t="shared" si="1"/>
        <v>4015</v>
      </c>
      <c r="T28" s="41">
        <f t="shared" si="2"/>
        <v>42592.840185185189</v>
      </c>
      <c r="U28" s="55" t="str">
        <f t="shared" si="3"/>
        <v>EC</v>
      </c>
      <c r="V28" s="55" t="str">
        <f t="shared" si="4"/>
        <v>KEEP</v>
      </c>
      <c r="W28" s="24"/>
    </row>
    <row r="29" spans="1:24" x14ac:dyDescent="0.25">
      <c r="A29" s="41">
        <v>42592.597500000003</v>
      </c>
      <c r="B29" s="34" t="s">
        <v>102</v>
      </c>
      <c r="C29" s="34" t="s">
        <v>416</v>
      </c>
      <c r="D29" s="34" t="s">
        <v>49</v>
      </c>
      <c r="E29" s="34" t="s">
        <v>50</v>
      </c>
      <c r="F29" s="52">
        <v>0</v>
      </c>
      <c r="G29" s="52">
        <v>63</v>
      </c>
      <c r="H29" s="52">
        <v>220</v>
      </c>
      <c r="I29" s="34" t="s">
        <v>51</v>
      </c>
      <c r="J29" s="52">
        <v>1</v>
      </c>
      <c r="K29" s="34" t="s">
        <v>53</v>
      </c>
      <c r="L29" s="101" t="str">
        <f>VLOOKUP(C29,'Trips&amp;Operators'!$C$1:$E$9999,3,0)</f>
        <v>SWANSON</v>
      </c>
      <c r="M29" s="150" t="s">
        <v>94</v>
      </c>
      <c r="N29" s="10"/>
      <c r="O29" s="34"/>
      <c r="P29" s="119" t="str">
        <f>VLOOKUP(C29,'Train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29" s="123" t="str">
        <f>VLOOKUP(C29,'Train Runs'!$A$13:$AE$462,22,0)</f>
        <v>https://search-rtdc-monitor-bjffxe2xuh6vdkpspy63sjmuny.us-east-1.es.amazonaws.com/_plugin/kibana/#/discover/Steve-Slow-Train-Analysis-(2080s-and-2083s)?_g=(refreshInterval:(display:Off,section:0,value:0),time:(from:'2016-08-10 12:34:52-0600',mode:absolute,to:'2016-08-10 15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29" s="126" t="str">
        <f t="shared" si="0"/>
        <v>"C:\Program Files (x86)\AstroGrep\AstroGrep.exe" /spath="%USERPROFILE%\AppData\Local\Temp\OnboardLogs" /stypes="*4030*201608102*" /stext=" 20:.+((SYSTEM_STATE.+slice.+state.+changed )|(ment ac)|(system.+state.+changed )|(\|lc)|(penalty)|(\[timeout)|(PRM\|1\|D)|(kpr)|(kdp))" /e /r /s</v>
      </c>
      <c r="S29" s="9" t="str">
        <f t="shared" si="1"/>
        <v>4030</v>
      </c>
      <c r="T29" s="41">
        <f t="shared" si="2"/>
        <v>42592.847500000003</v>
      </c>
      <c r="U29" s="55" t="str">
        <f t="shared" si="3"/>
        <v>EC</v>
      </c>
      <c r="V29" s="55" t="str">
        <f t="shared" si="4"/>
        <v>KEEP</v>
      </c>
      <c r="W29" s="24"/>
      <c r="X29" s="24"/>
    </row>
    <row r="30" spans="1:24" x14ac:dyDescent="0.25">
      <c r="A30" s="41">
        <v>42592.18277777778</v>
      </c>
      <c r="B30" s="34" t="s">
        <v>124</v>
      </c>
      <c r="C30" s="34" t="s">
        <v>310</v>
      </c>
      <c r="D30" s="34" t="s">
        <v>49</v>
      </c>
      <c r="E30" s="34" t="s">
        <v>50</v>
      </c>
      <c r="F30" s="52">
        <v>0</v>
      </c>
      <c r="G30" s="52">
        <v>44</v>
      </c>
      <c r="H30" s="52">
        <v>233368</v>
      </c>
      <c r="I30" s="34" t="s">
        <v>51</v>
      </c>
      <c r="J30" s="52">
        <v>233491</v>
      </c>
      <c r="K30" s="34" t="s">
        <v>52</v>
      </c>
      <c r="L30" s="101" t="str">
        <f>VLOOKUP(C30,'Trips&amp;Operators'!$C$1:$E$9999,3,0)</f>
        <v>ACKERMAN</v>
      </c>
      <c r="M30" s="150" t="s">
        <v>94</v>
      </c>
      <c r="N30" s="10"/>
      <c r="O30" s="34"/>
      <c r="P30" s="119" t="str">
        <f>VLOOKUP(C30,'Train Runs'!$A$13:$AE$462,31,0)</f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Q30" s="123" t="str">
        <f>VLOOKUP(C30,'Train Runs'!$A$13:$AE$462,22,0)</f>
        <v>https://search-rtdc-monitor-bjffxe2xuh6vdkpspy63sjmuny.us-east-1.es.amazonaws.com/_plugin/kibana/#/discover/Steve-Slow-Train-Analysis-(2080s-and-2083s)?_g=(refreshInterval:(display:Off,section:0,value:0),time:(from:'2016-08-10 02:39:20-0600',mode:absolute,to:'2016-08-10 05:23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30" s="126" t="str">
        <f t="shared" si="0"/>
        <v>"C:\Program Files (x86)\AstroGrep\AstroGrep.exe" /spath="%USERPROFILE%\AppData\Local\Temp\OnboardLogs" /stypes="*4016*201608101*" /stext=" 10:.+((SYSTEM_STATE.+slice.+state.+changed )|(ment ac)|(system.+state.+changed )|(\|lc)|(penalty)|(\[timeout)|(PRM\|1\|D)|(kpr)|(kdp))" /e /r /s</v>
      </c>
      <c r="S30" s="9" t="str">
        <f t="shared" si="1"/>
        <v>4016</v>
      </c>
      <c r="T30" s="41">
        <f t="shared" si="2"/>
        <v>42592.43277777778</v>
      </c>
      <c r="U30" s="55" t="str">
        <f t="shared" si="3"/>
        <v>EC</v>
      </c>
      <c r="V30" s="55" t="str">
        <f t="shared" si="4"/>
        <v>KEEP</v>
      </c>
      <c r="W30" s="24"/>
      <c r="X30" s="24"/>
    </row>
    <row r="31" spans="1:24" x14ac:dyDescent="0.25">
      <c r="A31" s="41">
        <v>42592.264432870368</v>
      </c>
      <c r="B31" s="34" t="s">
        <v>101</v>
      </c>
      <c r="C31" s="34" t="s">
        <v>333</v>
      </c>
      <c r="D31" s="34" t="s">
        <v>49</v>
      </c>
      <c r="E31" s="34" t="s">
        <v>50</v>
      </c>
      <c r="F31" s="52">
        <v>0</v>
      </c>
      <c r="G31" s="52">
        <v>68</v>
      </c>
      <c r="H31" s="52">
        <v>233247</v>
      </c>
      <c r="I31" s="34" t="s">
        <v>51</v>
      </c>
      <c r="J31" s="52">
        <v>233491</v>
      </c>
      <c r="K31" s="34" t="s">
        <v>52</v>
      </c>
      <c r="L31" s="101" t="str">
        <f>VLOOKUP(C31,'Trips&amp;Operators'!$C$1:$E$9999,3,0)</f>
        <v>ACKERMAN</v>
      </c>
      <c r="M31" s="150" t="s">
        <v>94</v>
      </c>
      <c r="N31" s="10"/>
      <c r="O31" s="34"/>
      <c r="P31" s="119" t="str">
        <f>VLOOKUP(C31,'Train Runs'!$A$13:$AE$462,31,0)</f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Q31" s="123" t="str">
        <f>VLOOKUP(C31,'Train Runs'!$A$13:$AE$462,22,0)</f>
        <v>https://search-rtdc-monitor-bjffxe2xuh6vdkpspy63sjmuny.us-east-1.es.amazonaws.com/_plugin/kibana/#/discover/Steve-Slow-Train-Analysis-(2080s-and-2083s)?_g=(refreshInterval:(display:Off,section:0,value:0),time:(from:'2016-08-10 04:36:48-0600',mode:absolute,to:'2016-08-10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1" s="126" t="str">
        <f t="shared" si="0"/>
        <v>"C:\Program Files (x86)\AstroGrep\AstroGrep.exe" /spath="%USERPROFILE%\AppData\Local\Temp\OnboardLogs" /stypes="*4029*201608101*" /stext=" 12:.+((SYSTEM_STATE.+slice.+state.+changed )|(ment ac)|(system.+state.+changed )|(\|lc)|(penalty)|(\[timeout)|(PRM\|1\|D)|(kpr)|(kdp))" /e /r /s</v>
      </c>
      <c r="S31" s="9" t="str">
        <f t="shared" si="1"/>
        <v>4029</v>
      </c>
      <c r="T31" s="41">
        <f t="shared" si="2"/>
        <v>42592.514432870368</v>
      </c>
      <c r="U31" s="55" t="str">
        <f t="shared" si="3"/>
        <v>EC</v>
      </c>
      <c r="V31" s="55" t="str">
        <f t="shared" si="4"/>
        <v>KEEP</v>
      </c>
    </row>
    <row r="32" spans="1:24" hidden="1" x14ac:dyDescent="0.25">
      <c r="A32" s="41">
        <v>42592.647719907407</v>
      </c>
      <c r="B32" s="34" t="s">
        <v>99</v>
      </c>
      <c r="C32" s="34" t="s">
        <v>596</v>
      </c>
      <c r="D32" s="34" t="s">
        <v>130</v>
      </c>
      <c r="E32" s="34" t="s">
        <v>54</v>
      </c>
      <c r="F32" s="52">
        <v>0</v>
      </c>
      <c r="G32" s="52">
        <v>80</v>
      </c>
      <c r="H32" s="52">
        <v>24063</v>
      </c>
      <c r="I32" s="34" t="s">
        <v>55</v>
      </c>
      <c r="J32" s="52">
        <v>24199</v>
      </c>
      <c r="K32" s="34" t="s">
        <v>53</v>
      </c>
      <c r="L32" s="101" t="str">
        <f>VLOOKUP(C32,'Trips&amp;Operators'!$C$1:$E$9999,3,0)</f>
        <v>ISHMAEL</v>
      </c>
      <c r="M32" s="150" t="s">
        <v>93</v>
      </c>
      <c r="N32" s="10" t="s">
        <v>636</v>
      </c>
      <c r="O32" s="34"/>
      <c r="P32" s="119" t="str">
        <f>VLOOKUP(C32,'Train Runs'!$A$13:$AE$462,31,0)</f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Q32" s="123" t="str">
        <f>VLOOKUP(C32,'Train Runs'!$A$13:$AE$462,22,0)</f>
        <v>https://search-rtdc-monitor-bjffxe2xuh6vdkpspy63sjmuny.us-east-1.es.amazonaws.com/_plugin/kibana/#/discover/Steve-Slow-Train-Analysis-(2080s-and-2083s)?_g=(refreshInterval:(display:Off,section:0,value:0),time:(from:'2016-08-10 14:26:04-0600',mode:absolute,to:'2016-08-10 16:32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32" s="126" t="str">
        <f t="shared" si="0"/>
        <v>"C:\Program Files (x86)\AstroGrep\AstroGrep.exe" /spath="%USERPROFILE%\AppData\Local\Temp\OnboardLogs" /stypes="*4013*201608102*" /stext=" 21:.+((SYSTEM_STATE.+slice.+state.+changed )|(ment ac)|(system.+state.+changed )|(\|lc)|(penalty)|(\[timeout)|(PRM\|1\|D)|(kpr)|(kdp))" /e /r /s</v>
      </c>
      <c r="S32" s="9" t="str">
        <f t="shared" si="1"/>
        <v>4013</v>
      </c>
      <c r="T32" s="41">
        <f t="shared" si="2"/>
        <v>42592.897719907407</v>
      </c>
      <c r="U32" s="55" t="str">
        <f t="shared" si="3"/>
        <v>GL</v>
      </c>
      <c r="V32" s="55" t="str">
        <f t="shared" si="4"/>
        <v>KEEP</v>
      </c>
    </row>
    <row r="33" spans="1:22" x14ac:dyDescent="0.25">
      <c r="A33" s="41">
        <v>42592.435740740744</v>
      </c>
      <c r="B33" s="34" t="s">
        <v>604</v>
      </c>
      <c r="C33" s="34" t="s">
        <v>523</v>
      </c>
      <c r="D33" s="34" t="s">
        <v>49</v>
      </c>
      <c r="E33" s="34" t="s">
        <v>56</v>
      </c>
      <c r="F33" s="52">
        <v>300</v>
      </c>
      <c r="G33" s="52">
        <v>394</v>
      </c>
      <c r="H33" s="52">
        <v>19977</v>
      </c>
      <c r="I33" s="34" t="s">
        <v>57</v>
      </c>
      <c r="J33" s="52">
        <v>21314</v>
      </c>
      <c r="K33" s="34" t="s">
        <v>52</v>
      </c>
      <c r="L33" s="101" t="str">
        <f>VLOOKUP(C33,'Trips&amp;Operators'!$C$1:$E$9999,3,0)</f>
        <v>OUN</v>
      </c>
      <c r="M33" s="150" t="s">
        <v>94</v>
      </c>
      <c r="N33" s="10"/>
      <c r="O33" s="34"/>
      <c r="P33" s="119" t="str">
        <f>VLOOKUP(C33,'Train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33" s="123" t="str">
        <f>VLOOKUP(C33,'Train Runs'!$A$13:$AE$462,22,0)</f>
        <v>https://search-rtdc-monitor-bjffxe2xuh6vdkpspy63sjmuny.us-east-1.es.amazonaws.com/_plugin/kibana/#/discover/Steve-Slow-Train-Analysis-(2080s-and-2083s)?_g=(refreshInterval:(display:Off,section:0,value:0),time:(from:'2016-08-10 09:16:52-0600',mode:absolute,to:'2016-08-10 11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33" s="126" t="str">
        <f t="shared" si="0"/>
        <v>"C:\Program Files (x86)\AstroGrep\AstroGrep.exe" /spath="%USERPROFILE%\AppData\Local\Temp\OnboardLogs" /stypes="*4044*201608101*" /stext=" 16:.+((SYSTEM_STATE.+slice.+state.+changed )|(ment ac)|(system.+state.+changed )|(\|lc)|(penalty)|(\[timeout)|(PRM\|1\|D)|(kpr)|(kdp))" /e /r /s</v>
      </c>
      <c r="S33" s="9" t="str">
        <f t="shared" si="1"/>
        <v>4044</v>
      </c>
      <c r="T33" s="41">
        <f t="shared" si="2"/>
        <v>42592.685740740744</v>
      </c>
      <c r="U33" s="55" t="str">
        <f t="shared" si="3"/>
        <v>NW</v>
      </c>
      <c r="V33" s="55" t="str">
        <f t="shared" si="4"/>
        <v>KEEP</v>
      </c>
    </row>
    <row r="34" spans="1:22" x14ac:dyDescent="0.25">
      <c r="A34" s="41">
        <v>42592.521516203706</v>
      </c>
      <c r="B34" s="34" t="s">
        <v>604</v>
      </c>
      <c r="C34" s="34" t="s">
        <v>532</v>
      </c>
      <c r="D34" s="34" t="s">
        <v>130</v>
      </c>
      <c r="E34" s="34" t="s">
        <v>56</v>
      </c>
      <c r="F34" s="52">
        <v>400</v>
      </c>
      <c r="G34" s="52">
        <v>453</v>
      </c>
      <c r="H34" s="52">
        <v>43776</v>
      </c>
      <c r="I34" s="34" t="s">
        <v>57</v>
      </c>
      <c r="J34" s="52">
        <v>41797</v>
      </c>
      <c r="K34" s="34" t="s">
        <v>52</v>
      </c>
      <c r="L34" s="101" t="str">
        <f>VLOOKUP(C34,'Trips&amp;Operators'!$C$1:$E$9999,3,0)</f>
        <v>OUN</v>
      </c>
      <c r="M34" s="150" t="s">
        <v>94</v>
      </c>
      <c r="N34" s="10"/>
      <c r="O34" s="34"/>
      <c r="P34" s="119" t="str">
        <f>VLOOKUP(C34,'Train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34" s="123" t="str">
        <f>VLOOKUP(C34,'Train Runs'!$A$13:$AE$462,22,0)</f>
        <v>https://search-rtdc-monitor-bjffxe2xuh6vdkpspy63sjmuny.us-east-1.es.amazonaws.com/_plugin/kibana/#/discover/Steve-Slow-Train-Analysis-(2080s-and-2083s)?_g=(refreshInterval:(display:Off,section:0,value:0),time:(from:'2016-08-10 11:14:51-0600',mode:absolute,to:'2016-08-10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34" s="126" t="str">
        <f t="shared" si="0"/>
        <v>"C:\Program Files (x86)\AstroGrep\AstroGrep.exe" /spath="%USERPROFILE%\AppData\Local\Temp\OnboardLogs" /stypes="*4044*201608101*" /stext=" 18:.+((SYSTEM_STATE.+slice.+state.+changed )|(ment ac)|(system.+state.+changed )|(\|lc)|(penalty)|(\[timeout)|(PRM\|1\|D)|(kpr)|(kdp))" /e /r /s</v>
      </c>
      <c r="S34" s="9" t="str">
        <f t="shared" si="1"/>
        <v>4044</v>
      </c>
      <c r="T34" s="41">
        <f t="shared" si="2"/>
        <v>42592.771516203706</v>
      </c>
      <c r="U34" s="55" t="str">
        <f t="shared" si="3"/>
        <v>NW</v>
      </c>
      <c r="V34" s="55" t="str">
        <f t="shared" si="4"/>
        <v>KEEP</v>
      </c>
    </row>
    <row r="35" spans="1:22" x14ac:dyDescent="0.25">
      <c r="A35" s="41">
        <v>42592.814606481479</v>
      </c>
      <c r="B35" s="34" t="s">
        <v>604</v>
      </c>
      <c r="C35" s="34" t="s">
        <v>586</v>
      </c>
      <c r="D35" s="34" t="s">
        <v>49</v>
      </c>
      <c r="E35" s="34" t="s">
        <v>56</v>
      </c>
      <c r="F35" s="52">
        <v>150</v>
      </c>
      <c r="G35" s="52">
        <v>323</v>
      </c>
      <c r="H35" s="52">
        <v>56175</v>
      </c>
      <c r="I35" s="34" t="s">
        <v>57</v>
      </c>
      <c r="J35" s="52">
        <v>57008</v>
      </c>
      <c r="K35" s="34" t="s">
        <v>52</v>
      </c>
      <c r="L35" s="101" t="str">
        <f>VLOOKUP(C35,'Trips&amp;Operators'!$C$1:$E$9999,3,0)</f>
        <v>MOSES</v>
      </c>
      <c r="M35" s="150" t="s">
        <v>94</v>
      </c>
      <c r="N35" s="10"/>
      <c r="O35" s="34"/>
      <c r="P35" s="119" t="str">
        <f>VLOOKUP(C35,'Train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35" s="123" t="str">
        <f>VLOOKUP(C35,'Train Runs'!$A$13:$AE$462,22,0)</f>
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35" s="126" t="str">
        <f t="shared" si="0"/>
        <v>"C:\Program Files (x86)\AstroGrep\AstroGrep.exe" /spath="%USERPROFILE%\AppData\Local\Temp\OnboardLogs" /stypes="*4044*201608110*" /stext=" 01:.+((SYSTEM_STATE.+slice.+state.+changed )|(ment ac)|(system.+state.+changed )|(\|lc)|(penalty)|(\[timeout)|(PRM\|1\|D)|(kpr)|(kdp))" /e /r /s</v>
      </c>
      <c r="S35" s="9" t="str">
        <f t="shared" si="1"/>
        <v>4044</v>
      </c>
      <c r="T35" s="41">
        <f t="shared" si="2"/>
        <v>42593.064606481479</v>
      </c>
      <c r="U35" s="55" t="str">
        <f t="shared" si="3"/>
        <v>NW</v>
      </c>
      <c r="V35" s="55" t="str">
        <f t="shared" si="4"/>
        <v>KEEP</v>
      </c>
    </row>
    <row r="36" spans="1:22" x14ac:dyDescent="0.25">
      <c r="A36" s="41">
        <v>42592.302986111114</v>
      </c>
      <c r="B36" s="34" t="s">
        <v>99</v>
      </c>
      <c r="C36" s="34" t="s">
        <v>507</v>
      </c>
      <c r="D36" s="34" t="s">
        <v>130</v>
      </c>
      <c r="E36" s="34" t="s">
        <v>237</v>
      </c>
      <c r="F36" s="52">
        <v>0</v>
      </c>
      <c r="G36" s="52">
        <v>307</v>
      </c>
      <c r="H36" s="52">
        <v>40539</v>
      </c>
      <c r="I36" s="34" t="s">
        <v>238</v>
      </c>
      <c r="J36" s="52">
        <v>41769</v>
      </c>
      <c r="K36" s="34" t="s">
        <v>53</v>
      </c>
      <c r="L36" s="101" t="str">
        <f>VLOOKUP(C36,'Trips&amp;Operators'!$C$1:$E$9999,3,0)</f>
        <v>GRASTON</v>
      </c>
      <c r="M36" s="150" t="s">
        <v>93</v>
      </c>
      <c r="N36" s="10" t="s">
        <v>303</v>
      </c>
      <c r="O36" s="34"/>
      <c r="P36" s="119" t="str">
        <f>VLOOKUP(C36,'Train Runs'!$A$13:$AE$462,31,0)</f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Q36" s="123" t="str">
        <f>VLOOKUP(C36,'Train Runs'!$A$13:$AE$462,22,0)</f>
        <v>https://search-rtdc-monitor-bjffxe2xuh6vdkpspy63sjmuny.us-east-1.es.amazonaws.com/_plugin/kibana/#/discover/Steve-Slow-Train-Analysis-(2080s-and-2083s)?_g=(refreshInterval:(display:Off,section:0,value:0),time:(from:'2016-08-10 06:06:08-0600',mode:absolute,to:'2016-08-10 08:25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36" s="126" t="str">
        <f t="shared" si="0"/>
        <v>"C:\Program Files (x86)\AstroGrep\AstroGrep.exe" /spath="%USERPROFILE%\AppData\Local\Temp\OnboardLogs" /stypes="*4013*201608101*" /stext=" 13:.+((SYSTEM_STATE.+slice.+state.+changed )|(ment ac)|(system.+state.+changed )|(\|lc)|(penalty)|(\[timeout)|(PRM\|1\|D)|(kpr)|(kdp))" /e /r /s</v>
      </c>
      <c r="S36" s="9" t="str">
        <f t="shared" si="1"/>
        <v>4013</v>
      </c>
      <c r="T36" s="41">
        <f t="shared" si="2"/>
        <v>42592.552986111114</v>
      </c>
      <c r="U36" s="55" t="str">
        <f t="shared" si="3"/>
        <v>NW</v>
      </c>
      <c r="V36" s="55" t="str">
        <f t="shared" si="4"/>
        <v>KEEP</v>
      </c>
    </row>
    <row r="37" spans="1:22" x14ac:dyDescent="0.25">
      <c r="A37" s="41">
        <v>42592.413564814815</v>
      </c>
      <c r="B37" s="34" t="s">
        <v>603</v>
      </c>
      <c r="C37" s="34" t="s">
        <v>522</v>
      </c>
      <c r="D37" s="34" t="s">
        <v>49</v>
      </c>
      <c r="E37" s="34" t="s">
        <v>50</v>
      </c>
      <c r="F37" s="52">
        <v>0</v>
      </c>
      <c r="G37" s="52">
        <v>44</v>
      </c>
      <c r="H37" s="52">
        <v>696</v>
      </c>
      <c r="I37" s="34" t="s">
        <v>51</v>
      </c>
      <c r="J37" s="52">
        <v>575</v>
      </c>
      <c r="K37" s="34" t="s">
        <v>53</v>
      </c>
      <c r="L37" s="101" t="str">
        <f>VLOOKUP(C37,'Trips&amp;Operators'!$C$1:$E$9999,3,0)</f>
        <v>OUN</v>
      </c>
      <c r="M37" s="150" t="s">
        <v>94</v>
      </c>
      <c r="N37" s="10"/>
      <c r="O37" s="34"/>
      <c r="P37" s="119" t="str">
        <f>VLOOKUP(C37,'Train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Q37" s="123" t="str">
        <f>VLOOKUP(C37,'Train Runs'!$A$13:$AE$462,22,0)</f>
        <v>https://search-rtdc-monitor-bjffxe2xuh6vdkpspy63sjmuny.us-east-1.es.amazonaws.com/_plugin/kibana/#/discover/Steve-Slow-Train-Analysis-(2080s-and-2083s)?_g=(refreshInterval:(display:Off,section:0,value:0),time:(from:'2016-08-10 08:37:10-0600',mode:absolute,to:'2016-08-10 10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37" s="126" t="str">
        <f t="shared" si="0"/>
        <v>"C:\Program Files (x86)\AstroGrep\AstroGrep.exe" /spath="%USERPROFILE%\AppData\Local\Temp\OnboardLogs" /stypes="*4043*201608101*" /stext=" 15:.+((SYSTEM_STATE.+slice.+state.+changed )|(ment ac)|(system.+state.+changed )|(\|lc)|(penalty)|(\[timeout)|(PRM\|1\|D)|(kpr)|(kdp))" /e /r /s</v>
      </c>
      <c r="S37" s="9" t="str">
        <f t="shared" si="1"/>
        <v>4043</v>
      </c>
      <c r="T37" s="41">
        <f t="shared" si="2"/>
        <v>42592.663564814815</v>
      </c>
      <c r="U37" s="55" t="str">
        <f t="shared" si="3"/>
        <v>NW</v>
      </c>
      <c r="V37" s="55" t="str">
        <f t="shared" si="4"/>
        <v>KEEP</v>
      </c>
    </row>
    <row r="38" spans="1:22" x14ac:dyDescent="0.25">
      <c r="A38" s="41">
        <v>42592.45815972222</v>
      </c>
      <c r="B38" s="34" t="s">
        <v>603</v>
      </c>
      <c r="C38" s="34" t="s">
        <v>525</v>
      </c>
      <c r="D38" s="34" t="s">
        <v>49</v>
      </c>
      <c r="E38" s="34" t="s">
        <v>50</v>
      </c>
      <c r="F38" s="52">
        <v>0</v>
      </c>
      <c r="G38" s="52">
        <v>40</v>
      </c>
      <c r="H38" s="52">
        <v>717</v>
      </c>
      <c r="I38" s="34" t="s">
        <v>51</v>
      </c>
      <c r="J38" s="52">
        <v>575</v>
      </c>
      <c r="K38" s="34" t="s">
        <v>53</v>
      </c>
      <c r="L38" s="101" t="str">
        <f>VLOOKUP(C38,'Trips&amp;Operators'!$C$1:$E$9999,3,0)</f>
        <v>OUN</v>
      </c>
      <c r="M38" s="150" t="s">
        <v>94</v>
      </c>
      <c r="N38" s="10"/>
      <c r="O38" s="34"/>
      <c r="P38" s="119" t="str">
        <f>VLOOKUP(C38,'Train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Q38" s="123" t="str">
        <f>VLOOKUP(C38,'Train Runs'!$A$13:$AE$462,22,0)</f>
        <v>https://search-rtdc-monitor-bjffxe2xuh6vdkpspy63sjmuny.us-east-1.es.amazonaws.com/_plugin/kibana/#/discover/Steve-Slow-Train-Analysis-(2080s-and-2083s)?_g=(refreshInterval:(display:Off,section:0,value:0),time:(from:'2016-08-10 09:39:00-0600',mode:absolute,to:'2016-08-10 12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38" s="126" t="str">
        <f t="shared" si="0"/>
        <v>"C:\Program Files (x86)\AstroGrep\AstroGrep.exe" /spath="%USERPROFILE%\AppData\Local\Temp\OnboardLogs" /stypes="*4043*201608101*" /stext=" 16:.+((SYSTEM_STATE.+slice.+state.+changed )|(ment ac)|(system.+state.+changed )|(\|lc)|(penalty)|(\[timeout)|(PRM\|1\|D)|(kpr)|(kdp))" /e /r /s</v>
      </c>
      <c r="S38" s="9" t="str">
        <f t="shared" si="1"/>
        <v>4043</v>
      </c>
      <c r="T38" s="41">
        <f t="shared" si="2"/>
        <v>42592.70815972222</v>
      </c>
      <c r="U38" s="55" t="str">
        <f t="shared" si="3"/>
        <v>NW</v>
      </c>
      <c r="V38" s="55" t="str">
        <f t="shared" si="4"/>
        <v>KEEP</v>
      </c>
    </row>
    <row r="39" spans="1:22" x14ac:dyDescent="0.25">
      <c r="A39" s="41">
        <v>42592.581574074073</v>
      </c>
      <c r="B39" s="34" t="s">
        <v>603</v>
      </c>
      <c r="C39" s="34" t="s">
        <v>539</v>
      </c>
      <c r="D39" s="34" t="s">
        <v>49</v>
      </c>
      <c r="E39" s="34" t="s">
        <v>50</v>
      </c>
      <c r="F39" s="52">
        <v>0</v>
      </c>
      <c r="G39" s="52">
        <v>61</v>
      </c>
      <c r="H39" s="52">
        <v>769</v>
      </c>
      <c r="I39" s="34" t="s">
        <v>51</v>
      </c>
      <c r="J39" s="52">
        <v>575</v>
      </c>
      <c r="K39" s="34" t="s">
        <v>53</v>
      </c>
      <c r="L39" s="101" t="str">
        <f>VLOOKUP(C39,'Trips&amp;Operators'!$C$1:$E$9999,3,0)</f>
        <v>MOSES</v>
      </c>
      <c r="M39" s="150" t="s">
        <v>94</v>
      </c>
      <c r="N39" s="10"/>
      <c r="O39" s="34"/>
      <c r="P39" s="119" t="str">
        <f>VLOOKUP(C39,'Train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Q39" s="123" t="str">
        <f>VLOOKUP(C39,'Train Runs'!$A$13:$AE$462,22,0)</f>
        <v>https://search-rtdc-monitor-bjffxe2xuh6vdkpspy63sjmuny.us-east-1.es.amazonaws.com/_plugin/kibana/#/discover/Steve-Slow-Train-Analysis-(2080s-and-2083s)?_g=(refreshInterval:(display:Off,section:0,value:0),time:(from:'2016-08-10 12:40:02-0600',mode:absolute,to:'2016-08-10 14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39" s="126" t="str">
        <f t="shared" si="0"/>
        <v>"C:\Program Files (x86)\AstroGrep\AstroGrep.exe" /spath="%USERPROFILE%\AppData\Local\Temp\OnboardLogs" /stypes="*4043*201608101*" /stext=" 19:.+((SYSTEM_STATE.+slice.+state.+changed )|(ment ac)|(system.+state.+changed )|(\|lc)|(penalty)|(\[timeout)|(PRM\|1\|D)|(kpr)|(kdp))" /e /r /s</v>
      </c>
      <c r="S39" s="9" t="str">
        <f t="shared" si="1"/>
        <v>4043</v>
      </c>
      <c r="T39" s="41">
        <f t="shared" si="2"/>
        <v>42592.831574074073</v>
      </c>
      <c r="U39" s="55" t="str">
        <f t="shared" si="3"/>
        <v>NW</v>
      </c>
      <c r="V39" s="55" t="str">
        <f t="shared" si="4"/>
        <v>KEEP</v>
      </c>
    </row>
    <row r="40" spans="1:22" x14ac:dyDescent="0.25">
      <c r="A40" s="41">
        <v>42592.769490740742</v>
      </c>
      <c r="B40" s="34" t="s">
        <v>99</v>
      </c>
      <c r="C40" s="34" t="s">
        <v>574</v>
      </c>
      <c r="D40" s="34" t="s">
        <v>49</v>
      </c>
      <c r="E40" s="34" t="s">
        <v>50</v>
      </c>
      <c r="F40" s="52">
        <v>0</v>
      </c>
      <c r="G40" s="52">
        <v>39</v>
      </c>
      <c r="H40" s="52">
        <v>699</v>
      </c>
      <c r="I40" s="34" t="s">
        <v>51</v>
      </c>
      <c r="J40" s="52">
        <v>575</v>
      </c>
      <c r="K40" s="34" t="s">
        <v>53</v>
      </c>
      <c r="L40" s="101" t="str">
        <f>VLOOKUP(C40,'Trips&amp;Operators'!$C$1:$E$9999,3,0)</f>
        <v>ISHMAEL</v>
      </c>
      <c r="M40" s="150" t="s">
        <v>94</v>
      </c>
      <c r="N40" s="10"/>
      <c r="O40" s="34"/>
      <c r="P40" s="119" t="str">
        <f>VLOOKUP(C40,'Train Runs'!$A$13:$AE$462,31,0)</f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Q40" s="123" t="str">
        <f>VLOOKUP(C40,'Train Runs'!$A$13:$AE$462,22,0)</f>
        <v>https://search-rtdc-monitor-bjffxe2xuh6vdkpspy63sjmuny.us-east-1.es.amazonaws.com/_plugin/kibana/#/discover/Steve-Slow-Train-Analysis-(2080s-and-2083s)?_g=(refreshInterval:(display:Off,section:0,value:0),time:(from:'2016-08-10 17:06:52-0600',mode:absolute,to:'2016-08-10 19:28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40" s="126" t="str">
        <f t="shared" si="0"/>
        <v>"C:\Program Files (x86)\AstroGrep\AstroGrep.exe" /spath="%USERPROFILE%\AppData\Local\Temp\OnboardLogs" /stypes="*4013*201608110*" /stext=" 00:.+((SYSTEM_STATE.+slice.+state.+changed )|(ment ac)|(system.+state.+changed )|(\|lc)|(penalty)|(\[timeout)|(PRM\|1\|D)|(kpr)|(kdp))" /e /r /s</v>
      </c>
      <c r="S40" s="9" t="str">
        <f t="shared" si="1"/>
        <v>4013</v>
      </c>
      <c r="T40" s="41">
        <f t="shared" si="2"/>
        <v>42593.019490740742</v>
      </c>
      <c r="U40" s="55" t="str">
        <f t="shared" si="3"/>
        <v>NW</v>
      </c>
      <c r="V40" s="55" t="str">
        <f t="shared" si="4"/>
        <v>KEEP</v>
      </c>
    </row>
    <row r="41" spans="1:22" x14ac:dyDescent="0.25">
      <c r="A41" s="41">
        <v>42592.832418981481</v>
      </c>
      <c r="B41" s="34" t="s">
        <v>603</v>
      </c>
      <c r="C41" s="34" t="s">
        <v>583</v>
      </c>
      <c r="D41" s="34" t="s">
        <v>49</v>
      </c>
      <c r="E41" s="34" t="s">
        <v>50</v>
      </c>
      <c r="F41" s="52">
        <v>0</v>
      </c>
      <c r="G41" s="52">
        <v>20</v>
      </c>
      <c r="H41" s="52">
        <v>647</v>
      </c>
      <c r="I41" s="34" t="s">
        <v>51</v>
      </c>
      <c r="J41" s="52">
        <v>575</v>
      </c>
      <c r="K41" s="34" t="s">
        <v>53</v>
      </c>
      <c r="L41" s="101" t="str">
        <f>VLOOKUP(C41,'Trips&amp;Operators'!$C$1:$E$9999,3,0)</f>
        <v>MOSES</v>
      </c>
      <c r="M41" s="150" t="s">
        <v>94</v>
      </c>
      <c r="N41" s="10"/>
      <c r="O41" s="34"/>
      <c r="P41" s="119" t="str">
        <f>VLOOKUP(C41,'Train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Q41" s="123" t="str">
        <f>VLOOKUP(C41,'Train Runs'!$A$13:$AE$462,22,0)</f>
        <v>https://search-rtdc-monitor-bjffxe2xuh6vdkpspy63sjmuny.us-east-1.es.amazonaws.com/_plugin/kibana/#/discover/Steve-Slow-Train-Analysis-(2080s-and-2083s)?_g=(refreshInterval:(display:Off,section:0,value:0),time:(from:'2016-08-10 18:42:51-0600',mode:absolute,to:'2016-08-10 20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41" s="126" t="str">
        <f t="shared" si="0"/>
        <v>"C:\Program Files (x86)\AstroGrep\AstroGrep.exe" /spath="%USERPROFILE%\AppData\Local\Temp\OnboardLogs" /stypes="*4043*201608110*" /stext=" 01:.+((SYSTEM_STATE.+slice.+state.+changed )|(ment ac)|(system.+state.+changed )|(\|lc)|(penalty)|(\[timeout)|(PRM\|1\|D)|(kpr)|(kdp))" /e /r /s</v>
      </c>
      <c r="S41" s="9" t="str">
        <f t="shared" si="1"/>
        <v>4043</v>
      </c>
      <c r="T41" s="41">
        <f t="shared" si="2"/>
        <v>42593.082418981481</v>
      </c>
      <c r="U41" s="55" t="str">
        <f t="shared" si="3"/>
        <v>NW</v>
      </c>
      <c r="V41" s="55" t="str">
        <f t="shared" si="4"/>
        <v>KEEP</v>
      </c>
    </row>
    <row r="42" spans="1:22" x14ac:dyDescent="0.25">
      <c r="A42" s="41">
        <v>42592.650011574071</v>
      </c>
      <c r="B42" s="34" t="s">
        <v>604</v>
      </c>
      <c r="C42" s="34" t="s">
        <v>548</v>
      </c>
      <c r="D42" s="34" t="s">
        <v>49</v>
      </c>
      <c r="E42" s="34" t="s">
        <v>50</v>
      </c>
      <c r="F42" s="52">
        <v>0</v>
      </c>
      <c r="G42" s="52">
        <v>60</v>
      </c>
      <c r="H42" s="52">
        <v>58858</v>
      </c>
      <c r="I42" s="34" t="s">
        <v>51</v>
      </c>
      <c r="J42" s="52">
        <v>59048</v>
      </c>
      <c r="K42" s="34" t="s">
        <v>52</v>
      </c>
      <c r="L42" s="101" t="str">
        <f>VLOOKUP(C42,'Trips&amp;Operators'!$C$1:$E$9999,3,0)</f>
        <v>MOSES</v>
      </c>
      <c r="M42" s="150" t="s">
        <v>94</v>
      </c>
      <c r="N42" s="10"/>
      <c r="O42" s="34"/>
      <c r="P42" s="119" t="str">
        <f>VLOOKUP(C42,'Train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42" s="123" t="str">
        <f>VLOOKUP(C42,'Train Runs'!$A$13:$AE$462,22,0)</f>
        <v>https://search-rtdc-monitor-bjffxe2xuh6vdkpspy63sjmuny.us-east-1.es.amazonaws.com/_plugin/kibana/#/discover/Steve-Slow-Train-Analysis-(2080s-and-2083s)?_g=(refreshInterval:(display:Off,section:0,value:0),time:(from:'2016-08-10 14:17:57-0600',mode:absolute,to:'2016-08-10 16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42" s="126" t="str">
        <f t="shared" si="0"/>
        <v>"C:\Program Files (x86)\AstroGrep\AstroGrep.exe" /spath="%USERPROFILE%\AppData\Local\Temp\OnboardLogs" /stypes="*4044*201608102*" /stext=" 21:.+((SYSTEM_STATE.+slice.+state.+changed )|(ment ac)|(system.+state.+changed )|(\|lc)|(penalty)|(\[timeout)|(PRM\|1\|D)|(kpr)|(kdp))" /e /r /s</v>
      </c>
      <c r="S42" s="9" t="str">
        <f t="shared" si="1"/>
        <v>4044</v>
      </c>
      <c r="T42" s="41">
        <f t="shared" si="2"/>
        <v>42592.900011574071</v>
      </c>
      <c r="U42" s="55" t="str">
        <f t="shared" si="3"/>
        <v>NW</v>
      </c>
      <c r="V42" s="55" t="str">
        <f t="shared" si="4"/>
        <v>KEEP</v>
      </c>
    </row>
    <row r="43" spans="1:22" x14ac:dyDescent="0.25">
      <c r="A43" s="41">
        <v>42592.816620370373</v>
      </c>
      <c r="B43" s="34" t="s">
        <v>604</v>
      </c>
      <c r="C43" s="34" t="s">
        <v>586</v>
      </c>
      <c r="D43" s="34" t="s">
        <v>49</v>
      </c>
      <c r="E43" s="34" t="s">
        <v>50</v>
      </c>
      <c r="F43" s="52">
        <v>0</v>
      </c>
      <c r="G43" s="52">
        <v>68</v>
      </c>
      <c r="H43" s="52">
        <v>58848</v>
      </c>
      <c r="I43" s="34" t="s">
        <v>51</v>
      </c>
      <c r="J43" s="52">
        <v>59048</v>
      </c>
      <c r="K43" s="34" t="s">
        <v>52</v>
      </c>
      <c r="L43" s="101" t="str">
        <f>VLOOKUP(C43,'Trips&amp;Operators'!$C$1:$E$9999,3,0)</f>
        <v>MOSES</v>
      </c>
      <c r="M43" s="150" t="s">
        <v>94</v>
      </c>
      <c r="N43" s="10"/>
      <c r="O43" s="34"/>
      <c r="P43" s="119" t="str">
        <f>VLOOKUP(C43,'Train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43" s="123" t="str">
        <f>VLOOKUP(C43,'Train Runs'!$A$13:$AE$462,22,0)</f>
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43" s="126" t="str">
        <f t="shared" si="0"/>
        <v>"C:\Program Files (x86)\AstroGrep\AstroGrep.exe" /spath="%USERPROFILE%\AppData\Local\Temp\OnboardLogs" /stypes="*4044*201608110*" /stext=" 01:.+((SYSTEM_STATE.+slice.+state.+changed )|(ment ac)|(system.+state.+changed )|(\|lc)|(penalty)|(\[timeout)|(PRM\|1\|D)|(kpr)|(kdp))" /e /r /s</v>
      </c>
      <c r="S43" s="9" t="str">
        <f t="shared" si="1"/>
        <v>4044</v>
      </c>
      <c r="T43" s="41">
        <f t="shared" si="2"/>
        <v>42593.066620370373</v>
      </c>
      <c r="U43" s="55" t="str">
        <f t="shared" si="3"/>
        <v>NW</v>
      </c>
      <c r="V43" s="55" t="str">
        <f t="shared" si="4"/>
        <v>KEEP</v>
      </c>
    </row>
    <row r="44" spans="1:22" x14ac:dyDescent="0.25">
      <c r="A44" s="41"/>
      <c r="B44" s="34"/>
      <c r="C44" s="34"/>
      <c r="D44" s="34"/>
      <c r="E44" s="34"/>
      <c r="F44" s="52"/>
      <c r="G44" s="52"/>
      <c r="H44" s="52"/>
      <c r="I44" s="34"/>
      <c r="J44" s="52"/>
      <c r="K44" s="34"/>
      <c r="L44" s="101"/>
      <c r="M44" s="150"/>
      <c r="N44" s="10"/>
      <c r="O44" s="34"/>
      <c r="P44" s="119"/>
      <c r="Q44" s="123"/>
      <c r="R44" s="126"/>
      <c r="S44" s="9"/>
      <c r="T44" s="41"/>
      <c r="U44" s="55"/>
      <c r="V44" s="55"/>
    </row>
    <row r="45" spans="1:22" x14ac:dyDescent="0.25">
      <c r="A45" s="41"/>
      <c r="B45" s="34"/>
      <c r="C45" s="34"/>
      <c r="D45" s="34"/>
      <c r="E45" s="34"/>
      <c r="F45" s="52"/>
      <c r="G45" s="52"/>
      <c r="H45" s="52"/>
      <c r="I45" s="34"/>
      <c r="J45" s="52"/>
      <c r="K45" s="34"/>
      <c r="L45" s="101"/>
      <c r="M45" s="150"/>
      <c r="N45" s="10"/>
      <c r="O45" s="34"/>
      <c r="P45" s="119"/>
      <c r="Q45" s="123"/>
      <c r="R45" s="126"/>
      <c r="S45" s="9"/>
      <c r="T45" s="41"/>
      <c r="U45" s="55"/>
      <c r="V45" s="55"/>
    </row>
    <row r="46" spans="1:22" x14ac:dyDescent="0.25">
      <c r="A46" s="41"/>
      <c r="B46" s="34"/>
      <c r="C46" s="34"/>
      <c r="D46" s="34"/>
      <c r="E46" s="34"/>
      <c r="F46" s="52"/>
      <c r="G46" s="52"/>
      <c r="H46" s="52"/>
      <c r="I46" s="34"/>
      <c r="J46" s="52"/>
      <c r="K46" s="34"/>
      <c r="L46" s="101"/>
      <c r="M46" s="150"/>
      <c r="N46" s="10"/>
      <c r="O46" s="34"/>
      <c r="P46" s="119"/>
      <c r="Q46" s="123"/>
      <c r="R46" s="126"/>
      <c r="S46" s="9"/>
      <c r="T46" s="41"/>
      <c r="U46" s="55"/>
      <c r="V46" s="55"/>
    </row>
    <row r="47" spans="1:22" x14ac:dyDescent="0.25">
      <c r="A47" s="41"/>
      <c r="B47" s="34"/>
      <c r="C47" s="34"/>
      <c r="D47" s="34"/>
      <c r="E47" s="34"/>
      <c r="F47" s="52"/>
      <c r="G47" s="52"/>
      <c r="H47" s="52"/>
      <c r="I47" s="34"/>
      <c r="J47" s="52"/>
      <c r="K47" s="34"/>
      <c r="L47" s="101"/>
      <c r="M47" s="150"/>
      <c r="N47" s="10"/>
      <c r="O47" s="34"/>
      <c r="P47" s="119"/>
      <c r="Q47" s="123"/>
      <c r="R47" s="126"/>
      <c r="S47" s="9"/>
      <c r="T47" s="41"/>
      <c r="U47" s="55"/>
      <c r="V47" s="55"/>
    </row>
    <row r="48" spans="1:22" x14ac:dyDescent="0.25">
      <c r="A48" s="41"/>
      <c r="B48" s="34"/>
      <c r="C48" s="34"/>
      <c r="D48" s="34"/>
      <c r="E48" s="34"/>
      <c r="F48" s="52"/>
      <c r="G48" s="52"/>
      <c r="H48" s="52"/>
      <c r="I48" s="34"/>
      <c r="J48" s="52"/>
      <c r="K48" s="34"/>
      <c r="L48" s="101"/>
      <c r="M48" s="150"/>
      <c r="N48" s="10"/>
      <c r="O48" s="34"/>
      <c r="P48" s="119"/>
      <c r="Q48" s="123"/>
      <c r="R48" s="126"/>
      <c r="S48" s="9"/>
      <c r="T48" s="41"/>
      <c r="U48" s="55"/>
      <c r="V48" s="55"/>
    </row>
    <row r="49" spans="1:22" x14ac:dyDescent="0.25">
      <c r="A49" s="41"/>
      <c r="B49" s="34"/>
      <c r="C49" s="34"/>
      <c r="D49" s="34"/>
      <c r="E49" s="34"/>
      <c r="F49" s="52"/>
      <c r="G49" s="52"/>
      <c r="H49" s="52"/>
      <c r="I49" s="34"/>
      <c r="J49" s="52"/>
      <c r="K49" s="34"/>
      <c r="L49" s="101"/>
      <c r="M49" s="150"/>
      <c r="N49" s="10"/>
      <c r="O49" s="34"/>
      <c r="P49" s="119"/>
      <c r="Q49" s="123"/>
      <c r="R49" s="126"/>
      <c r="S49" s="9"/>
      <c r="T49" s="41"/>
      <c r="U49" s="55"/>
      <c r="V49" s="55"/>
    </row>
    <row r="50" spans="1:22" x14ac:dyDescent="0.25">
      <c r="A50" s="41"/>
      <c r="B50" s="34"/>
      <c r="C50" s="34"/>
      <c r="D50" s="34"/>
      <c r="E50" s="34"/>
      <c r="F50" s="52"/>
      <c r="G50" s="52"/>
      <c r="H50" s="52"/>
      <c r="I50" s="34"/>
      <c r="J50" s="52"/>
      <c r="K50" s="34"/>
      <c r="L50" s="101"/>
      <c r="M50" s="150"/>
      <c r="N50" s="10"/>
      <c r="O50" s="34"/>
      <c r="P50" s="119"/>
      <c r="Q50" s="123"/>
      <c r="R50" s="126"/>
      <c r="S50" s="9"/>
      <c r="T50" s="41"/>
      <c r="U50" s="55"/>
      <c r="V50" s="55"/>
    </row>
    <row r="51" spans="1:22" x14ac:dyDescent="0.25">
      <c r="A51" s="41"/>
      <c r="B51" s="34"/>
      <c r="C51" s="34"/>
      <c r="D51" s="34"/>
      <c r="E51" s="34"/>
      <c r="F51" s="52"/>
      <c r="G51" s="52"/>
      <c r="H51" s="52"/>
      <c r="I51" s="34"/>
      <c r="J51" s="52"/>
      <c r="K51" s="34"/>
      <c r="L51" s="101"/>
      <c r="M51" s="150"/>
      <c r="N51" s="10"/>
      <c r="O51" s="34"/>
      <c r="P51" s="119"/>
      <c r="Q51" s="123"/>
      <c r="R51" s="126"/>
      <c r="S51" s="9"/>
      <c r="T51" s="41"/>
      <c r="U51" s="55"/>
      <c r="V51" s="55"/>
    </row>
    <row r="52" spans="1:22" x14ac:dyDescent="0.25">
      <c r="A52" s="41"/>
      <c r="B52" s="34"/>
      <c r="C52" s="34"/>
      <c r="D52" s="34"/>
      <c r="E52" s="34"/>
      <c r="F52" s="52"/>
      <c r="G52" s="52"/>
      <c r="H52" s="52"/>
      <c r="I52" s="34"/>
      <c r="J52" s="52"/>
      <c r="K52" s="34"/>
      <c r="L52" s="101"/>
      <c r="M52" s="150"/>
      <c r="N52" s="10"/>
      <c r="O52" s="34"/>
      <c r="P52" s="119"/>
      <c r="Q52" s="123"/>
      <c r="R52" s="126"/>
      <c r="S52" s="9"/>
      <c r="T52" s="41"/>
      <c r="U52" s="55"/>
      <c r="V52" s="55"/>
    </row>
    <row r="53" spans="1:22" x14ac:dyDescent="0.25">
      <c r="A53" s="41"/>
      <c r="B53" s="34"/>
      <c r="C53" s="34"/>
      <c r="D53" s="34"/>
      <c r="E53" s="34"/>
      <c r="F53" s="52"/>
      <c r="G53" s="52"/>
      <c r="H53" s="52"/>
      <c r="I53" s="34"/>
      <c r="J53" s="52"/>
      <c r="K53" s="34"/>
      <c r="L53" s="101"/>
      <c r="M53" s="150"/>
      <c r="N53" s="10"/>
      <c r="O53" s="34"/>
      <c r="P53" s="119"/>
      <c r="Q53" s="123"/>
      <c r="R53" s="126"/>
      <c r="S53" s="9"/>
      <c r="T53" s="41"/>
      <c r="U53" s="55"/>
      <c r="V53" s="55"/>
    </row>
    <row r="54" spans="1:22" x14ac:dyDescent="0.25">
      <c r="A54" s="41"/>
      <c r="B54" s="34"/>
      <c r="C54" s="34"/>
      <c r="D54" s="34"/>
      <c r="E54" s="34"/>
      <c r="F54" s="52"/>
      <c r="G54" s="52"/>
      <c r="H54" s="52"/>
      <c r="I54" s="34"/>
      <c r="J54" s="52"/>
      <c r="K54" s="34"/>
      <c r="L54" s="101"/>
      <c r="M54" s="150"/>
      <c r="N54" s="10"/>
      <c r="O54" s="34"/>
      <c r="P54" s="119"/>
      <c r="Q54" s="123"/>
      <c r="R54" s="126"/>
      <c r="S54" s="9"/>
      <c r="T54" s="41"/>
      <c r="U54" s="55"/>
      <c r="V54" s="55"/>
    </row>
    <row r="55" spans="1:22" x14ac:dyDescent="0.25">
      <c r="A55" s="41"/>
      <c r="B55" s="34"/>
      <c r="C55" s="34"/>
      <c r="D55" s="34"/>
      <c r="E55" s="34"/>
      <c r="F55" s="52"/>
      <c r="G55" s="52"/>
      <c r="H55" s="52"/>
      <c r="I55" s="34"/>
      <c r="J55" s="52"/>
      <c r="K55" s="34"/>
      <c r="L55" s="101"/>
      <c r="M55" s="150"/>
      <c r="N55" s="10"/>
      <c r="O55" s="34"/>
      <c r="P55" s="119"/>
      <c r="Q55" s="123"/>
      <c r="R55" s="126"/>
      <c r="S55" s="9"/>
      <c r="T55" s="41"/>
      <c r="U55" s="55"/>
      <c r="V55" s="55"/>
    </row>
    <row r="56" spans="1:22" x14ac:dyDescent="0.25">
      <c r="A56" s="41"/>
      <c r="B56" s="34"/>
      <c r="C56" s="34"/>
      <c r="D56" s="34"/>
      <c r="E56" s="34"/>
      <c r="F56" s="52"/>
      <c r="G56" s="52"/>
      <c r="H56" s="52"/>
      <c r="I56" s="34"/>
      <c r="J56" s="52"/>
      <c r="K56" s="34"/>
      <c r="L56" s="101"/>
      <c r="M56" s="150"/>
      <c r="N56" s="10"/>
      <c r="O56" s="34"/>
      <c r="P56" s="119"/>
      <c r="Q56" s="123"/>
      <c r="R56" s="126"/>
      <c r="S56" s="9"/>
      <c r="T56" s="41"/>
      <c r="U56" s="55"/>
      <c r="V56" s="55"/>
    </row>
    <row r="57" spans="1:22" x14ac:dyDescent="0.25">
      <c r="A57" s="41"/>
      <c r="B57" s="34"/>
      <c r="C57" s="34"/>
      <c r="D57" s="34"/>
      <c r="E57" s="34"/>
      <c r="F57" s="52"/>
      <c r="G57" s="52"/>
      <c r="H57" s="52"/>
      <c r="I57" s="34"/>
      <c r="J57" s="52"/>
      <c r="K57" s="34"/>
      <c r="L57" s="101"/>
      <c r="M57" s="150"/>
      <c r="N57" s="10"/>
      <c r="O57" s="34"/>
      <c r="P57" s="119"/>
      <c r="Q57" s="123"/>
      <c r="R57" s="126"/>
      <c r="S57" s="9"/>
      <c r="T57" s="41"/>
      <c r="U57" s="55"/>
      <c r="V57" s="55"/>
    </row>
    <row r="58" spans="1:22" x14ac:dyDescent="0.25">
      <c r="A58" s="41"/>
      <c r="B58" s="34"/>
      <c r="C58" s="34"/>
      <c r="D58" s="34"/>
      <c r="E58" s="34"/>
      <c r="F58" s="52"/>
      <c r="G58" s="52"/>
      <c r="H58" s="52"/>
      <c r="I58" s="34"/>
      <c r="J58" s="52"/>
      <c r="K58" s="34"/>
      <c r="L58" s="101"/>
      <c r="M58" s="150"/>
      <c r="N58" s="10"/>
      <c r="O58" s="34"/>
      <c r="P58" s="119"/>
      <c r="Q58" s="123"/>
      <c r="R58" s="126"/>
      <c r="S58" s="9"/>
      <c r="T58" s="41"/>
      <c r="U58" s="55"/>
      <c r="V58" s="55"/>
    </row>
    <row r="59" spans="1:22" x14ac:dyDescent="0.25">
      <c r="A59" s="41"/>
      <c r="B59" s="34"/>
      <c r="C59" s="34"/>
      <c r="D59" s="34"/>
      <c r="E59" s="34"/>
      <c r="F59" s="52"/>
      <c r="G59" s="52"/>
      <c r="H59" s="52"/>
      <c r="I59" s="34"/>
      <c r="J59" s="52"/>
      <c r="K59" s="34"/>
      <c r="L59" s="101"/>
      <c r="M59" s="150"/>
      <c r="N59" s="10"/>
      <c r="O59" s="34"/>
      <c r="P59" s="119"/>
      <c r="Q59" s="123"/>
      <c r="R59" s="126"/>
      <c r="S59" s="9"/>
      <c r="T59" s="41"/>
      <c r="U59" s="55"/>
      <c r="V59" s="55"/>
    </row>
    <row r="60" spans="1:22" x14ac:dyDescent="0.25">
      <c r="A60" s="41"/>
      <c r="B60" s="34"/>
      <c r="C60" s="34"/>
      <c r="D60" s="34"/>
      <c r="E60" s="34"/>
      <c r="F60" s="52"/>
      <c r="G60" s="52"/>
      <c r="H60" s="52"/>
      <c r="I60" s="34"/>
      <c r="J60" s="52"/>
      <c r="K60" s="34"/>
      <c r="L60" s="101"/>
      <c r="M60" s="150"/>
      <c r="N60" s="10"/>
      <c r="O60" s="34"/>
      <c r="P60" s="119"/>
      <c r="Q60" s="123"/>
      <c r="R60" s="126"/>
      <c r="S60" s="9"/>
      <c r="T60" s="41"/>
      <c r="U60" s="55"/>
      <c r="V60" s="55"/>
    </row>
    <row r="61" spans="1:22" x14ac:dyDescent="0.25">
      <c r="A61" s="41"/>
      <c r="B61" s="34"/>
      <c r="C61" s="34"/>
      <c r="D61" s="34"/>
      <c r="E61" s="34"/>
      <c r="F61" s="52"/>
      <c r="G61" s="52"/>
      <c r="H61" s="52"/>
      <c r="I61" s="34"/>
      <c r="J61" s="52"/>
      <c r="K61" s="34"/>
      <c r="L61" s="101"/>
      <c r="M61" s="150"/>
      <c r="N61" s="10"/>
      <c r="O61" s="34"/>
      <c r="P61" s="119"/>
      <c r="Q61" s="123"/>
      <c r="R61" s="126"/>
      <c r="S61" s="9"/>
      <c r="T61" s="41"/>
      <c r="U61" s="55"/>
      <c r="V61" s="55"/>
    </row>
    <row r="62" spans="1:22" x14ac:dyDescent="0.25">
      <c r="A62" s="41"/>
      <c r="B62" s="34"/>
      <c r="C62" s="34"/>
      <c r="D62" s="34"/>
      <c r="E62" s="34"/>
      <c r="F62" s="52"/>
      <c r="G62" s="52"/>
      <c r="H62" s="52"/>
      <c r="I62" s="34"/>
      <c r="J62" s="52"/>
      <c r="K62" s="34"/>
      <c r="L62" s="101"/>
      <c r="M62" s="150"/>
      <c r="N62" s="10"/>
      <c r="O62" s="34"/>
      <c r="P62" s="119"/>
      <c r="Q62" s="123"/>
      <c r="R62" s="126"/>
      <c r="S62" s="9"/>
      <c r="T62" s="41"/>
      <c r="U62" s="55"/>
      <c r="V62" s="55"/>
    </row>
    <row r="63" spans="1:22" x14ac:dyDescent="0.25">
      <c r="A63" s="41"/>
      <c r="B63" s="34"/>
      <c r="C63" s="34"/>
      <c r="D63" s="34"/>
      <c r="E63" s="34"/>
      <c r="F63" s="52"/>
      <c r="G63" s="52"/>
      <c r="H63" s="52"/>
      <c r="I63" s="34"/>
      <c r="J63" s="52"/>
      <c r="K63" s="34"/>
      <c r="L63" s="101"/>
      <c r="M63" s="150"/>
      <c r="N63" s="10"/>
      <c r="O63" s="34"/>
      <c r="P63" s="119"/>
      <c r="Q63" s="123"/>
      <c r="R63" s="126"/>
      <c r="S63" s="9"/>
      <c r="T63" s="41"/>
      <c r="U63" s="55"/>
      <c r="V63" s="55"/>
    </row>
    <row r="64" spans="1:22" x14ac:dyDescent="0.25">
      <c r="A64" s="41"/>
      <c r="B64" s="34"/>
      <c r="C64" s="34"/>
      <c r="D64" s="34"/>
      <c r="E64" s="34"/>
      <c r="F64" s="52"/>
      <c r="G64" s="52"/>
      <c r="H64" s="52"/>
      <c r="I64" s="34"/>
      <c r="J64" s="52"/>
      <c r="K64" s="34"/>
      <c r="L64" s="101"/>
      <c r="M64" s="150"/>
      <c r="N64" s="10"/>
      <c r="O64" s="34"/>
      <c r="P64" s="119"/>
      <c r="Q64" s="123"/>
      <c r="R64" s="126"/>
      <c r="S64" s="9"/>
      <c r="T64" s="41"/>
      <c r="U64" s="55"/>
      <c r="V64" s="55"/>
    </row>
    <row r="65" spans="1:22" x14ac:dyDescent="0.25">
      <c r="A65" s="41"/>
      <c r="B65" s="34"/>
      <c r="C65" s="34"/>
      <c r="D65" s="34"/>
      <c r="E65" s="34"/>
      <c r="F65" s="52"/>
      <c r="G65" s="52"/>
      <c r="H65" s="52"/>
      <c r="I65" s="34"/>
      <c r="J65" s="52"/>
      <c r="K65" s="34"/>
      <c r="L65" s="101"/>
      <c r="M65" s="150"/>
      <c r="N65" s="10"/>
      <c r="O65" s="34"/>
      <c r="P65" s="119"/>
      <c r="Q65" s="123"/>
      <c r="R65" s="126"/>
      <c r="S65" s="9"/>
      <c r="T65" s="41"/>
      <c r="U65" s="55"/>
      <c r="V65" s="55"/>
    </row>
    <row r="66" spans="1:22" x14ac:dyDescent="0.25">
      <c r="A66" s="41"/>
      <c r="B66" s="34"/>
      <c r="C66" s="34"/>
      <c r="D66" s="34"/>
      <c r="E66" s="34"/>
      <c r="F66" s="52"/>
      <c r="G66" s="52"/>
      <c r="H66" s="52"/>
      <c r="I66" s="34"/>
      <c r="J66" s="52"/>
      <c r="K66" s="34"/>
      <c r="L66" s="101"/>
      <c r="M66" s="150"/>
      <c r="N66" s="10"/>
      <c r="O66" s="34"/>
      <c r="P66" s="119"/>
      <c r="Q66" s="123"/>
      <c r="R66" s="126"/>
      <c r="S66" s="9"/>
      <c r="T66" s="41"/>
      <c r="U66" s="55"/>
      <c r="V66" s="55"/>
    </row>
    <row r="67" spans="1:22" x14ac:dyDescent="0.25">
      <c r="A67" s="41"/>
      <c r="B67" s="34"/>
      <c r="C67" s="34"/>
      <c r="D67" s="34"/>
      <c r="E67" s="34"/>
      <c r="F67" s="52"/>
      <c r="G67" s="52"/>
      <c r="H67" s="52"/>
      <c r="I67" s="34"/>
      <c r="J67" s="52"/>
      <c r="K67" s="34"/>
      <c r="L67" s="101"/>
      <c r="M67" s="150"/>
      <c r="N67" s="10"/>
      <c r="O67" s="34"/>
      <c r="P67" s="119"/>
      <c r="Q67" s="123"/>
      <c r="R67" s="126"/>
      <c r="S67" s="9"/>
      <c r="T67" s="41"/>
      <c r="U67" s="55"/>
      <c r="V67" s="55"/>
    </row>
  </sheetData>
  <autoFilter ref="A6:V67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7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A3" sqref="A3:A5"/>
    </sheetView>
  </sheetViews>
  <sheetFormatPr defaultRowHeight="15" x14ac:dyDescent="0.25"/>
  <cols>
    <col min="1" max="1" width="9.140625" style="73" customWidth="1"/>
    <col min="2" max="2" width="8" style="146" bestFit="1" customWidth="1"/>
    <col min="3" max="3" width="9.85546875" style="137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3" t="str">
        <f>"Trips that did not appear in PTC Data "&amp;TEXT(Variables!$A$2,"YYYY-mm-dd")</f>
        <v>Trips that did not appear in PTC Data 2016-08-10</v>
      </c>
      <c r="B1" s="153"/>
      <c r="C1" s="153"/>
      <c r="D1" s="153"/>
      <c r="E1" s="153"/>
    </row>
    <row r="2" spans="1:10" s="27" customFormat="1" ht="45" x14ac:dyDescent="0.25">
      <c r="A2" s="116" t="s">
        <v>71</v>
      </c>
      <c r="B2" s="143" t="s">
        <v>72</v>
      </c>
      <c r="C2" s="144" t="s">
        <v>73</v>
      </c>
      <c r="D2" s="27" t="s">
        <v>69</v>
      </c>
      <c r="E2" s="27" t="s">
        <v>70</v>
      </c>
      <c r="F2" s="27" t="s">
        <v>74</v>
      </c>
      <c r="G2" s="32" t="s">
        <v>75</v>
      </c>
      <c r="H2" s="32" t="s">
        <v>149</v>
      </c>
    </row>
    <row r="3" spans="1:10" x14ac:dyDescent="0.25">
      <c r="A3" s="81"/>
      <c r="B3" s="145"/>
      <c r="C3" s="145"/>
      <c r="D3" s="55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81"/>
      <c r="B4" s="145"/>
      <c r="C4" s="145"/>
      <c r="D4" s="55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81"/>
      <c r="B5" s="145"/>
      <c r="C5" s="145"/>
      <c r="D5" s="55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1"/>
      <c r="B6" s="145"/>
      <c r="C6" s="145"/>
      <c r="D6" s="55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81"/>
      <c r="B7" s="145"/>
      <c r="C7" s="145"/>
      <c r="D7" s="55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81"/>
      <c r="B8" s="145"/>
      <c r="C8" s="145"/>
      <c r="D8" s="55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30"/>
      <c r="C9" s="130"/>
      <c r="H9" s="24"/>
      <c r="I9" s="24"/>
      <c r="J9" s="24"/>
    </row>
    <row r="10" spans="1:10" x14ac:dyDescent="0.25">
      <c r="B10" s="130"/>
      <c r="C10" s="130"/>
      <c r="H10" s="24"/>
      <c r="I10" s="24"/>
      <c r="J10" s="24"/>
    </row>
    <row r="11" spans="1:10" x14ac:dyDescent="0.25">
      <c r="B11" s="130"/>
      <c r="C11" s="130"/>
      <c r="H11" s="24"/>
      <c r="I11" s="24"/>
      <c r="J11" s="24"/>
    </row>
    <row r="12" spans="1:10" x14ac:dyDescent="0.25">
      <c r="B12" s="130"/>
      <c r="C12" s="130"/>
      <c r="H12" s="24"/>
      <c r="I12" s="24"/>
      <c r="J12" s="24"/>
    </row>
    <row r="13" spans="1:10" x14ac:dyDescent="0.25">
      <c r="B13" s="130"/>
      <c r="C13" s="130"/>
      <c r="H13" s="24"/>
      <c r="I13" s="24"/>
      <c r="J13" s="24"/>
    </row>
    <row r="14" spans="1:10" x14ac:dyDescent="0.25">
      <c r="B14" s="130"/>
      <c r="C14" s="130"/>
      <c r="H14" s="24"/>
      <c r="I14" s="24"/>
      <c r="J14" s="24"/>
    </row>
    <row r="15" spans="1:10" x14ac:dyDescent="0.25">
      <c r="B15" s="130"/>
      <c r="C15" s="130"/>
      <c r="H15" s="24"/>
      <c r="I15" s="24"/>
      <c r="J15" s="24"/>
    </row>
    <row r="16" spans="1:10" x14ac:dyDescent="0.25">
      <c r="B16" s="130"/>
      <c r="C16" s="130"/>
      <c r="H16" s="24"/>
      <c r="I16" s="24"/>
      <c r="J16" s="24"/>
    </row>
    <row r="17" spans="2:10" x14ac:dyDescent="0.25">
      <c r="B17" s="130"/>
      <c r="C17" s="130"/>
      <c r="H17" s="24"/>
      <c r="I17" s="24"/>
      <c r="J17" s="24"/>
    </row>
    <row r="18" spans="2:10" x14ac:dyDescent="0.25">
      <c r="B18" s="130"/>
      <c r="C18" s="130"/>
      <c r="H18" s="24"/>
      <c r="I18" s="24"/>
      <c r="J18" s="24"/>
    </row>
    <row r="19" spans="2:10" x14ac:dyDescent="0.25">
      <c r="B19" s="130"/>
      <c r="C19" s="130"/>
      <c r="H19" s="24"/>
      <c r="I19" s="24"/>
      <c r="J19" s="24"/>
    </row>
    <row r="20" spans="2:10" x14ac:dyDescent="0.25">
      <c r="B20" s="130"/>
      <c r="C20" s="130"/>
      <c r="H20" s="24"/>
      <c r="I20" s="24"/>
      <c r="J20" s="24"/>
    </row>
    <row r="21" spans="2:10" x14ac:dyDescent="0.25">
      <c r="B21" s="130"/>
      <c r="C21" s="130"/>
      <c r="H21" s="24"/>
      <c r="I21" s="24"/>
      <c r="J21" s="24"/>
    </row>
    <row r="22" spans="2:10" x14ac:dyDescent="0.25">
      <c r="B22" s="130"/>
      <c r="C22" s="130"/>
      <c r="H22" s="24"/>
      <c r="I22" s="24"/>
      <c r="J22" s="24"/>
    </row>
    <row r="23" spans="2:10" x14ac:dyDescent="0.25">
      <c r="B23" s="130"/>
      <c r="C23" s="130"/>
      <c r="H23" s="24"/>
      <c r="I23" s="24"/>
      <c r="J23" s="24"/>
    </row>
    <row r="24" spans="2:10" x14ac:dyDescent="0.25">
      <c r="B24" s="130"/>
      <c r="C24" s="130"/>
      <c r="H24" s="24"/>
      <c r="I24" s="24"/>
      <c r="J24" s="24"/>
    </row>
    <row r="25" spans="2:10" x14ac:dyDescent="0.25">
      <c r="B25" s="130"/>
      <c r="C25" s="130"/>
      <c r="H25" s="24"/>
      <c r="I25" s="24"/>
      <c r="J25" s="24"/>
    </row>
    <row r="26" spans="2:10" x14ac:dyDescent="0.25">
      <c r="B26" s="130"/>
      <c r="C26" s="130"/>
      <c r="H26" s="24"/>
      <c r="I26" s="24"/>
      <c r="J26" s="24"/>
    </row>
    <row r="27" spans="2:10" x14ac:dyDescent="0.25">
      <c r="B27" s="130"/>
      <c r="C27" s="130"/>
      <c r="H27" s="24"/>
      <c r="I27" s="24"/>
      <c r="J27" s="24"/>
    </row>
    <row r="28" spans="2:10" x14ac:dyDescent="0.25">
      <c r="B28" s="130"/>
      <c r="C28" s="130"/>
      <c r="H28" s="24"/>
      <c r="I28" s="24"/>
      <c r="J28" s="24"/>
    </row>
    <row r="29" spans="2:10" x14ac:dyDescent="0.25">
      <c r="B29" s="130"/>
      <c r="C29" s="130"/>
      <c r="H29" s="24"/>
      <c r="I29" s="24"/>
      <c r="J29" s="24"/>
    </row>
    <row r="30" spans="2:10" x14ac:dyDescent="0.25">
      <c r="B30" s="130"/>
      <c r="C30" s="130"/>
      <c r="H30" s="24"/>
      <c r="I30" s="24"/>
      <c r="J30" s="24"/>
    </row>
    <row r="31" spans="2:10" x14ac:dyDescent="0.25">
      <c r="B31" s="130"/>
      <c r="C31" s="130"/>
      <c r="H31" s="24"/>
      <c r="I31" s="24"/>
      <c r="J31" s="24"/>
    </row>
    <row r="32" spans="2:10" x14ac:dyDescent="0.25">
      <c r="B32" s="130"/>
      <c r="C32" s="130"/>
      <c r="H32" s="24"/>
      <c r="I32" s="24"/>
      <c r="J32" s="24"/>
    </row>
    <row r="33" spans="2:10" x14ac:dyDescent="0.25">
      <c r="B33" s="130"/>
      <c r="C33" s="130"/>
      <c r="H33" s="24"/>
      <c r="I33" s="24"/>
      <c r="J33" s="24"/>
    </row>
    <row r="34" spans="2:10" x14ac:dyDescent="0.25">
      <c r="B34" s="130"/>
      <c r="C34" s="130"/>
      <c r="H34" s="24"/>
      <c r="I34" s="24"/>
      <c r="J34" s="24"/>
    </row>
    <row r="35" spans="2:10" x14ac:dyDescent="0.25">
      <c r="B35" s="130"/>
      <c r="C35" s="130"/>
      <c r="H35" s="24"/>
      <c r="I35" s="24"/>
      <c r="J35" s="24"/>
    </row>
    <row r="36" spans="2:10" x14ac:dyDescent="0.25">
      <c r="B36" s="130"/>
      <c r="C36" s="130"/>
      <c r="H36" s="24"/>
      <c r="I36" s="24"/>
      <c r="J36" s="24"/>
    </row>
    <row r="37" spans="2:10" x14ac:dyDescent="0.25">
      <c r="B37" s="130"/>
      <c r="C37" s="130"/>
      <c r="H37" s="24"/>
      <c r="I37" s="24"/>
      <c r="J37" s="24"/>
    </row>
    <row r="38" spans="2:10" x14ac:dyDescent="0.25">
      <c r="B38" s="130"/>
      <c r="C38" s="130"/>
      <c r="H38" s="24"/>
      <c r="I38" s="24"/>
      <c r="J38" s="24"/>
    </row>
    <row r="39" spans="2:10" x14ac:dyDescent="0.25">
      <c r="B39" s="130"/>
      <c r="C39" s="130"/>
      <c r="H39" s="24"/>
      <c r="I39" s="24"/>
      <c r="J39" s="24"/>
    </row>
    <row r="40" spans="2:10" x14ac:dyDescent="0.25">
      <c r="B40" s="130"/>
      <c r="C40" s="130"/>
      <c r="H40" s="24"/>
      <c r="I40" s="24"/>
      <c r="J40" s="24"/>
    </row>
    <row r="41" spans="2:10" x14ac:dyDescent="0.25">
      <c r="B41" s="130"/>
      <c r="C41" s="130"/>
      <c r="H41" s="24"/>
      <c r="I41" s="24"/>
      <c r="J41" s="24"/>
    </row>
    <row r="42" spans="2:10" x14ac:dyDescent="0.25">
      <c r="B42" s="130"/>
      <c r="C42" s="130"/>
      <c r="H42" s="24"/>
      <c r="I42" s="24"/>
      <c r="J42" s="24"/>
    </row>
    <row r="43" spans="2:10" x14ac:dyDescent="0.25">
      <c r="B43" s="130"/>
      <c r="C43" s="130"/>
      <c r="H43" s="24"/>
      <c r="I43" s="24"/>
      <c r="J43" s="24"/>
    </row>
    <row r="44" spans="2:10" x14ac:dyDescent="0.25">
      <c r="B44" s="130"/>
      <c r="C44" s="130"/>
      <c r="H44" s="24"/>
      <c r="I44" s="24"/>
      <c r="J44" s="24"/>
    </row>
    <row r="45" spans="2:10" x14ac:dyDescent="0.25">
      <c r="B45" s="130"/>
      <c r="C45" s="130"/>
      <c r="H45" s="24"/>
      <c r="I45" s="24"/>
      <c r="J45" s="24"/>
    </row>
    <row r="46" spans="2:10" x14ac:dyDescent="0.25">
      <c r="B46" s="130"/>
      <c r="C46" s="130"/>
      <c r="H46" s="24"/>
      <c r="I46" s="24"/>
      <c r="J46" s="24"/>
    </row>
    <row r="47" spans="2:10" x14ac:dyDescent="0.25">
      <c r="B47" s="130"/>
      <c r="C47" s="130"/>
      <c r="H47" s="24"/>
      <c r="I47" s="24"/>
      <c r="J47" s="24"/>
    </row>
    <row r="48" spans="2:10" x14ac:dyDescent="0.25">
      <c r="B48" s="130"/>
      <c r="C48" s="130"/>
      <c r="H48" s="24"/>
      <c r="I48" s="24"/>
      <c r="J48" s="24"/>
    </row>
    <row r="49" spans="2:10" x14ac:dyDescent="0.25">
      <c r="B49" s="130"/>
      <c r="C49" s="130"/>
      <c r="H49" s="24"/>
      <c r="I49" s="24"/>
      <c r="J49" s="24"/>
    </row>
    <row r="50" spans="2:10" x14ac:dyDescent="0.25">
      <c r="B50" s="130"/>
      <c r="C50" s="130"/>
      <c r="H50" s="24"/>
      <c r="I50" s="24"/>
      <c r="J50" s="24"/>
    </row>
    <row r="51" spans="2:10" x14ac:dyDescent="0.25">
      <c r="B51" s="130"/>
      <c r="C51" s="130"/>
      <c r="H51" s="24"/>
      <c r="I51" s="24"/>
      <c r="J51" s="24"/>
    </row>
    <row r="52" spans="2:10" x14ac:dyDescent="0.25">
      <c r="B52" s="130"/>
      <c r="C52" s="130"/>
      <c r="H52" s="24"/>
      <c r="I52" s="24"/>
      <c r="J52" s="24"/>
    </row>
    <row r="53" spans="2:10" x14ac:dyDescent="0.25">
      <c r="B53" s="130"/>
      <c r="C53" s="130"/>
      <c r="H53" s="24"/>
      <c r="I53" s="24"/>
      <c r="J53" s="24"/>
    </row>
    <row r="54" spans="2:10" x14ac:dyDescent="0.25">
      <c r="B54" s="130"/>
      <c r="C54" s="130"/>
      <c r="H54" s="24"/>
      <c r="I54" s="24"/>
      <c r="J54" s="24"/>
    </row>
    <row r="55" spans="2:10" x14ac:dyDescent="0.25">
      <c r="B55" s="130"/>
      <c r="C55" s="130"/>
      <c r="H55" s="24"/>
      <c r="I55" s="24"/>
      <c r="J55" s="24"/>
    </row>
    <row r="56" spans="2:10" x14ac:dyDescent="0.25">
      <c r="B56" s="130"/>
      <c r="C56" s="130"/>
      <c r="H56" s="24"/>
      <c r="I56" s="24"/>
      <c r="J56" s="24"/>
    </row>
    <row r="57" spans="2:10" x14ac:dyDescent="0.25">
      <c r="B57" s="130"/>
      <c r="C57" s="130"/>
      <c r="H57" s="24"/>
      <c r="I57" s="24"/>
      <c r="J57" s="24"/>
    </row>
    <row r="58" spans="2:10" x14ac:dyDescent="0.25">
      <c r="B58" s="130"/>
      <c r="C58" s="130"/>
      <c r="H58" s="24"/>
      <c r="I58" s="24"/>
      <c r="J58" s="24"/>
    </row>
    <row r="59" spans="2:10" x14ac:dyDescent="0.25">
      <c r="B59" s="130"/>
      <c r="C59" s="130"/>
      <c r="H59" s="24"/>
      <c r="I59" s="24"/>
      <c r="J59" s="24"/>
    </row>
    <row r="60" spans="2:10" x14ac:dyDescent="0.25">
      <c r="B60" s="130"/>
      <c r="C60" s="130"/>
      <c r="H60" s="24"/>
      <c r="I60" s="24"/>
      <c r="J60" s="24"/>
    </row>
    <row r="61" spans="2:10" x14ac:dyDescent="0.25">
      <c r="B61" s="130"/>
      <c r="C61" s="130"/>
      <c r="H61" s="24"/>
      <c r="I61" s="24"/>
      <c r="J61" s="24"/>
    </row>
    <row r="62" spans="2:10" x14ac:dyDescent="0.25">
      <c r="B62" s="130"/>
      <c r="C62" s="130"/>
      <c r="H62" s="24"/>
      <c r="I62" s="24"/>
      <c r="J62" s="24"/>
    </row>
    <row r="63" spans="2:10" x14ac:dyDescent="0.25">
      <c r="B63" s="130"/>
      <c r="C63" s="130"/>
      <c r="H63" s="24"/>
      <c r="I63" s="24"/>
      <c r="J63" s="24"/>
    </row>
    <row r="64" spans="2:10" x14ac:dyDescent="0.25">
      <c r="B64" s="130"/>
      <c r="C64" s="130"/>
      <c r="H64" s="24"/>
      <c r="I64" s="24"/>
      <c r="J64" s="24"/>
    </row>
    <row r="65" spans="2:10" x14ac:dyDescent="0.25">
      <c r="B65" s="130"/>
      <c r="C65" s="130"/>
      <c r="H65" s="24"/>
      <c r="I65" s="24"/>
      <c r="J65" s="24"/>
    </row>
    <row r="66" spans="2:10" x14ac:dyDescent="0.25">
      <c r="B66" s="130"/>
      <c r="C66" s="130"/>
      <c r="H66" s="24"/>
      <c r="I66" s="24"/>
      <c r="J66" s="24"/>
    </row>
    <row r="67" spans="2:10" x14ac:dyDescent="0.25">
      <c r="B67" s="130"/>
      <c r="C67" s="130"/>
      <c r="H67" s="24"/>
      <c r="I67" s="24"/>
      <c r="J67" s="24"/>
    </row>
    <row r="68" spans="2:10" x14ac:dyDescent="0.25">
      <c r="B68" s="130"/>
      <c r="C68" s="130"/>
      <c r="H68" s="24"/>
      <c r="I68" s="24"/>
      <c r="J68" s="24"/>
    </row>
    <row r="69" spans="2:10" x14ac:dyDescent="0.25">
      <c r="B69" s="130"/>
      <c r="C69" s="130"/>
      <c r="H69" s="24"/>
      <c r="I69" s="24"/>
      <c r="J69" s="24"/>
    </row>
    <row r="70" spans="2:10" x14ac:dyDescent="0.25">
      <c r="B70" s="130"/>
      <c r="C70" s="130"/>
      <c r="H70" s="24"/>
      <c r="I70" s="24"/>
      <c r="J70" s="24"/>
    </row>
    <row r="71" spans="2:10" x14ac:dyDescent="0.25">
      <c r="B71" s="130"/>
      <c r="C71" s="130"/>
      <c r="H71" s="24"/>
      <c r="I71" s="24"/>
      <c r="J71" s="24"/>
    </row>
    <row r="72" spans="2:10" x14ac:dyDescent="0.25">
      <c r="B72" s="130"/>
      <c r="C72" s="130"/>
      <c r="H72" s="24"/>
      <c r="I72" s="24"/>
      <c r="J72" s="24"/>
    </row>
    <row r="73" spans="2:10" x14ac:dyDescent="0.25">
      <c r="B73" s="130"/>
      <c r="C73" s="130"/>
      <c r="H73" s="24"/>
      <c r="I73" s="24"/>
      <c r="J73" s="24"/>
    </row>
    <row r="74" spans="2:10" x14ac:dyDescent="0.25">
      <c r="B74" s="130"/>
      <c r="C74" s="130"/>
      <c r="H74" s="24"/>
      <c r="I74" s="24"/>
      <c r="J74" s="24"/>
    </row>
    <row r="75" spans="2:10" x14ac:dyDescent="0.25">
      <c r="B75" s="130"/>
      <c r="C75" s="130"/>
      <c r="H75" s="24"/>
      <c r="I75" s="24"/>
      <c r="J75" s="24"/>
    </row>
    <row r="76" spans="2:10" x14ac:dyDescent="0.25">
      <c r="B76" s="130"/>
      <c r="C76" s="130"/>
      <c r="H76" s="24"/>
      <c r="I76" s="24"/>
      <c r="J76" s="24"/>
    </row>
    <row r="77" spans="2:10" x14ac:dyDescent="0.25">
      <c r="B77" s="130"/>
      <c r="C77" s="130"/>
      <c r="H77" s="24"/>
      <c r="I77" s="24"/>
      <c r="J77" s="24"/>
    </row>
    <row r="78" spans="2:10" x14ac:dyDescent="0.25">
      <c r="B78" s="130"/>
      <c r="C78" s="130"/>
      <c r="H78" s="24"/>
      <c r="I78" s="24"/>
      <c r="J78" s="24"/>
    </row>
    <row r="79" spans="2:10" x14ac:dyDescent="0.25">
      <c r="B79" s="130"/>
      <c r="C79" s="130"/>
      <c r="H79" s="24"/>
      <c r="I79" s="24"/>
      <c r="J79" s="24"/>
    </row>
    <row r="80" spans="2:10" x14ac:dyDescent="0.25">
      <c r="B80" s="130"/>
      <c r="C80" s="130"/>
      <c r="H80" s="24"/>
      <c r="I80" s="24"/>
      <c r="J80" s="24"/>
    </row>
    <row r="81" spans="2:10" x14ac:dyDescent="0.25">
      <c r="B81" s="130"/>
      <c r="C81" s="130"/>
      <c r="H81" s="24"/>
      <c r="I81" s="24"/>
      <c r="J81" s="24"/>
    </row>
    <row r="82" spans="2:10" x14ac:dyDescent="0.25">
      <c r="B82" s="130"/>
      <c r="C82" s="130"/>
      <c r="H82" s="24"/>
      <c r="I82" s="24"/>
      <c r="J82" s="24"/>
    </row>
    <row r="83" spans="2:10" x14ac:dyDescent="0.25">
      <c r="B83" s="130"/>
      <c r="C83" s="130"/>
      <c r="H83" s="24"/>
      <c r="I83" s="24"/>
      <c r="J83" s="24"/>
    </row>
    <row r="84" spans="2:10" x14ac:dyDescent="0.25">
      <c r="B84" s="130"/>
      <c r="C84" s="130"/>
      <c r="H84" s="24"/>
      <c r="I84" s="24"/>
      <c r="J84" s="24"/>
    </row>
    <row r="85" spans="2:10" x14ac:dyDescent="0.25">
      <c r="B85" s="130"/>
      <c r="C85" s="130"/>
      <c r="H85" s="24"/>
      <c r="I85" s="24"/>
      <c r="J85" s="24"/>
    </row>
    <row r="86" spans="2:10" x14ac:dyDescent="0.25">
      <c r="B86" s="130"/>
      <c r="C86" s="130"/>
      <c r="H86" s="24"/>
      <c r="I86" s="24"/>
      <c r="J86" s="24"/>
    </row>
    <row r="87" spans="2:10" x14ac:dyDescent="0.25">
      <c r="B87" s="130"/>
      <c r="C87" s="130"/>
      <c r="H87" s="24"/>
      <c r="I87" s="24"/>
      <c r="J87" s="24"/>
    </row>
    <row r="88" spans="2:10" x14ac:dyDescent="0.25">
      <c r="B88" s="130"/>
      <c r="C88" s="130"/>
      <c r="H88" s="24"/>
      <c r="I88" s="24"/>
      <c r="J88" s="24"/>
    </row>
    <row r="89" spans="2:10" x14ac:dyDescent="0.25">
      <c r="B89" s="130"/>
      <c r="C89" s="130"/>
      <c r="H89" s="24"/>
      <c r="I89" s="24"/>
      <c r="J89" s="24"/>
    </row>
    <row r="90" spans="2:10" x14ac:dyDescent="0.25">
      <c r="B90" s="130"/>
      <c r="C90" s="130"/>
      <c r="H90" s="24"/>
      <c r="I90" s="24"/>
      <c r="J90" s="24"/>
    </row>
    <row r="91" spans="2:10" x14ac:dyDescent="0.25">
      <c r="B91" s="130"/>
      <c r="C91" s="130"/>
      <c r="H91" s="24"/>
      <c r="I91" s="24"/>
      <c r="J91" s="24"/>
    </row>
    <row r="92" spans="2:10" x14ac:dyDescent="0.25">
      <c r="B92" s="130"/>
      <c r="C92" s="130"/>
      <c r="H92" s="24"/>
      <c r="I92" s="24"/>
      <c r="J92" s="24"/>
    </row>
    <row r="93" spans="2:10" x14ac:dyDescent="0.25">
      <c r="B93" s="130"/>
      <c r="C93" s="130"/>
      <c r="H93" s="24"/>
      <c r="I93" s="24"/>
      <c r="J93" s="24"/>
    </row>
    <row r="94" spans="2:10" x14ac:dyDescent="0.25">
      <c r="B94" s="130"/>
      <c r="C94" s="130"/>
      <c r="H94" s="24"/>
      <c r="I94" s="24"/>
      <c r="J94" s="24"/>
    </row>
    <row r="95" spans="2:10" x14ac:dyDescent="0.25">
      <c r="B95" s="130"/>
      <c r="C95" s="130"/>
      <c r="H95" s="24"/>
      <c r="I95" s="24"/>
      <c r="J95" s="24"/>
    </row>
    <row r="96" spans="2:10" x14ac:dyDescent="0.25">
      <c r="B96" s="130"/>
      <c r="C96" s="130"/>
      <c r="H96" s="24"/>
      <c r="I96" s="24"/>
      <c r="J96" s="24"/>
    </row>
    <row r="97" spans="2:10" x14ac:dyDescent="0.25">
      <c r="B97" s="130"/>
      <c r="C97" s="130"/>
      <c r="H97" s="24"/>
      <c r="I97" s="24"/>
      <c r="J97" s="24"/>
    </row>
    <row r="98" spans="2:10" x14ac:dyDescent="0.25">
      <c r="B98" s="130"/>
      <c r="C98" s="130"/>
      <c r="H98" s="24"/>
      <c r="I98" s="24"/>
      <c r="J98" s="24"/>
    </row>
    <row r="99" spans="2:10" x14ac:dyDescent="0.25">
      <c r="B99" s="130"/>
      <c r="C99" s="130"/>
      <c r="H99" s="24"/>
      <c r="I99" s="24"/>
      <c r="J99" s="24"/>
    </row>
    <row r="100" spans="2:10" x14ac:dyDescent="0.25">
      <c r="B100" s="130"/>
      <c r="C100" s="130"/>
      <c r="H100" s="24"/>
      <c r="I100" s="24"/>
      <c r="J100" s="24"/>
    </row>
    <row r="101" spans="2:10" x14ac:dyDescent="0.25">
      <c r="B101" s="130"/>
      <c r="C101" s="130"/>
      <c r="H101" s="24"/>
      <c r="I101" s="24"/>
      <c r="J101" s="24"/>
    </row>
    <row r="102" spans="2:10" x14ac:dyDescent="0.25">
      <c r="B102" s="130"/>
      <c r="C102" s="130"/>
      <c r="H102" s="24"/>
      <c r="I102" s="24"/>
      <c r="J102" s="24"/>
    </row>
    <row r="103" spans="2:10" x14ac:dyDescent="0.25">
      <c r="B103" s="130"/>
      <c r="C103" s="130"/>
      <c r="H103" s="24"/>
      <c r="I103" s="24"/>
      <c r="J103" s="24"/>
    </row>
    <row r="104" spans="2:10" x14ac:dyDescent="0.25">
      <c r="B104" s="130"/>
      <c r="C104" s="130"/>
      <c r="H104" s="24"/>
      <c r="I104" s="24"/>
      <c r="J104" s="24"/>
    </row>
    <row r="105" spans="2:10" x14ac:dyDescent="0.25">
      <c r="B105" s="130"/>
      <c r="C105" s="130"/>
      <c r="H105" s="24"/>
      <c r="I105" s="24"/>
      <c r="J105" s="24"/>
    </row>
    <row r="106" spans="2:10" x14ac:dyDescent="0.25">
      <c r="B106" s="130"/>
      <c r="C106" s="130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18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42592.031319444446</v>
      </c>
      <c r="B1" s="24" t="s">
        <v>210</v>
      </c>
      <c r="C1" s="24" t="s">
        <v>277</v>
      </c>
      <c r="D1" s="24">
        <v>2100000</v>
      </c>
      <c r="E1" s="24" t="s">
        <v>214</v>
      </c>
      <c r="F1" s="24" t="str">
        <f>B1</f>
        <v>rtdc.l.rtdc.4040:itc</v>
      </c>
      <c r="G1" s="8">
        <f>A1</f>
        <v>42592.031319444446</v>
      </c>
    </row>
    <row r="2" spans="1:7" x14ac:dyDescent="0.25">
      <c r="A2" s="8">
        <v>42592.032870370371</v>
      </c>
      <c r="B2" s="24" t="s">
        <v>210</v>
      </c>
      <c r="C2" s="24" t="s">
        <v>277</v>
      </c>
      <c r="D2" s="24">
        <v>2100000</v>
      </c>
      <c r="E2" s="24" t="s">
        <v>214</v>
      </c>
      <c r="F2" s="24" t="str">
        <f t="shared" ref="F2:F65" si="0">B2</f>
        <v>rtdc.l.rtdc.4040:itc</v>
      </c>
      <c r="G2" s="8">
        <f t="shared" ref="G2:G65" si="1">A2</f>
        <v>42592.032870370371</v>
      </c>
    </row>
    <row r="3" spans="1:7" x14ac:dyDescent="0.25">
      <c r="A3" s="8">
        <v>42592.047685185185</v>
      </c>
      <c r="B3" s="24" t="s">
        <v>133</v>
      </c>
      <c r="C3" s="24" t="s">
        <v>278</v>
      </c>
      <c r="D3" s="24">
        <v>1290000</v>
      </c>
      <c r="E3" s="24" t="s">
        <v>132</v>
      </c>
      <c r="F3" s="24" t="str">
        <f t="shared" si="0"/>
        <v>rtdc.l.rtdc.4011:itc</v>
      </c>
      <c r="G3" s="8">
        <f t="shared" si="1"/>
        <v>42592.047685185185</v>
      </c>
    </row>
    <row r="4" spans="1:7" x14ac:dyDescent="0.25">
      <c r="A4" s="8">
        <v>42592.049062500002</v>
      </c>
      <c r="B4" s="24" t="s">
        <v>133</v>
      </c>
      <c r="C4" s="24" t="s">
        <v>278</v>
      </c>
      <c r="D4" s="24">
        <v>1290000</v>
      </c>
      <c r="E4" s="24" t="s">
        <v>132</v>
      </c>
      <c r="F4" s="24" t="str">
        <f t="shared" si="0"/>
        <v>rtdc.l.rtdc.4011:itc</v>
      </c>
      <c r="G4" s="8">
        <f t="shared" si="1"/>
        <v>42592.049062500002</v>
      </c>
    </row>
    <row r="5" spans="1:7" x14ac:dyDescent="0.25">
      <c r="A5" s="8">
        <v>42592.058333333334</v>
      </c>
      <c r="B5" s="24" t="s">
        <v>139</v>
      </c>
      <c r="C5" s="24" t="s">
        <v>276</v>
      </c>
      <c r="D5" s="24">
        <v>1800000</v>
      </c>
      <c r="E5" s="24" t="s">
        <v>141</v>
      </c>
      <c r="F5" s="24" t="str">
        <f t="shared" si="0"/>
        <v>rtdc.l.rtdc.4032:itc</v>
      </c>
      <c r="G5" s="8">
        <f t="shared" si="1"/>
        <v>42592.058333333334</v>
      </c>
    </row>
    <row r="6" spans="1:7" x14ac:dyDescent="0.25">
      <c r="A6" s="8">
        <v>42592.068819444445</v>
      </c>
      <c r="B6" s="24" t="s">
        <v>100</v>
      </c>
      <c r="C6" s="24" t="s">
        <v>279</v>
      </c>
      <c r="D6" s="24">
        <v>1740000</v>
      </c>
      <c r="E6" s="24" t="s">
        <v>189</v>
      </c>
      <c r="F6" s="24" t="str">
        <f t="shared" si="0"/>
        <v>rtdc.l.rtdc.4025:itc</v>
      </c>
      <c r="G6" s="8">
        <f t="shared" si="1"/>
        <v>42592.068819444445</v>
      </c>
    </row>
    <row r="7" spans="1:7" x14ac:dyDescent="0.25">
      <c r="A7" s="8">
        <v>42592.089930555558</v>
      </c>
      <c r="B7" s="24" t="s">
        <v>138</v>
      </c>
      <c r="C7" s="24" t="s">
        <v>280</v>
      </c>
      <c r="D7" s="24">
        <v>1800000</v>
      </c>
      <c r="E7" s="24" t="s">
        <v>141</v>
      </c>
      <c r="F7" s="24" t="str">
        <f t="shared" si="0"/>
        <v>rtdc.l.rtdc.4031:itc</v>
      </c>
      <c r="G7" s="8">
        <f t="shared" si="1"/>
        <v>42592.089930555558</v>
      </c>
    </row>
    <row r="8" spans="1:7" x14ac:dyDescent="0.25">
      <c r="A8" s="8">
        <v>42592.091122685182</v>
      </c>
      <c r="B8" s="24" t="s">
        <v>138</v>
      </c>
      <c r="C8" s="24" t="s">
        <v>280</v>
      </c>
      <c r="D8" s="24">
        <v>1800000</v>
      </c>
      <c r="E8" s="24" t="s">
        <v>141</v>
      </c>
      <c r="F8" s="24" t="str">
        <f t="shared" si="0"/>
        <v>rtdc.l.rtdc.4031:itc</v>
      </c>
      <c r="G8" s="8">
        <f t="shared" si="1"/>
        <v>42592.091122685182</v>
      </c>
    </row>
    <row r="9" spans="1:7" ht="15.75" thickBot="1" x14ac:dyDescent="0.3">
      <c r="A9" s="28">
        <v>42592.129861111112</v>
      </c>
      <c r="B9" s="24" t="s">
        <v>66</v>
      </c>
      <c r="C9" s="24" t="s">
        <v>305</v>
      </c>
      <c r="D9" s="24">
        <v>2010000</v>
      </c>
      <c r="E9" s="24" t="s">
        <v>606</v>
      </c>
      <c r="F9" s="24" t="str">
        <f t="shared" si="0"/>
        <v>rtdc.l.rtdc.4020:itc</v>
      </c>
      <c r="G9" s="8">
        <f t="shared" si="1"/>
        <v>42592.129861111112</v>
      </c>
    </row>
    <row r="10" spans="1:7" x14ac:dyDescent="0.25">
      <c r="A10" s="8">
        <v>42592.15315972222</v>
      </c>
      <c r="B10" s="24" t="s">
        <v>124</v>
      </c>
      <c r="C10" s="24" t="s">
        <v>310</v>
      </c>
      <c r="D10" s="24">
        <v>1260000</v>
      </c>
      <c r="E10" s="24" t="s">
        <v>295</v>
      </c>
      <c r="F10" s="24" t="str">
        <f t="shared" si="0"/>
        <v>rtdc.l.rtdc.4016:itc</v>
      </c>
      <c r="G10" s="8">
        <f t="shared" si="1"/>
        <v>42592.15315972222</v>
      </c>
    </row>
    <row r="11" spans="1:7" x14ac:dyDescent="0.25">
      <c r="A11" s="8">
        <v>42592.171215277776</v>
      </c>
      <c r="B11" s="24" t="s">
        <v>602</v>
      </c>
      <c r="C11" s="24" t="s">
        <v>307</v>
      </c>
      <c r="D11" s="24">
        <v>2010000</v>
      </c>
      <c r="E11" s="24" t="s">
        <v>606</v>
      </c>
      <c r="F11" s="24" t="str">
        <f t="shared" si="0"/>
        <v>rtdc.l.rtdc.4010:itc</v>
      </c>
      <c r="G11" s="8">
        <f t="shared" si="1"/>
        <v>42592.171215277776</v>
      </c>
    </row>
    <row r="12" spans="1:7" x14ac:dyDescent="0.25">
      <c r="A12" s="8">
        <v>42592.177789351852</v>
      </c>
      <c r="B12" s="24" t="s">
        <v>67</v>
      </c>
      <c r="C12" s="24" t="s">
        <v>315</v>
      </c>
      <c r="D12" s="24">
        <v>2000000</v>
      </c>
      <c r="E12" s="24" t="s">
        <v>607</v>
      </c>
      <c r="F12" s="24" t="str">
        <f t="shared" si="0"/>
        <v>rtdc.l.rtdc.4018:itc</v>
      </c>
      <c r="G12" s="8">
        <f t="shared" si="1"/>
        <v>42592.177789351852</v>
      </c>
    </row>
    <row r="13" spans="1:7" x14ac:dyDescent="0.25">
      <c r="A13" s="8">
        <v>42592.185185185182</v>
      </c>
      <c r="B13" s="24" t="s">
        <v>106</v>
      </c>
      <c r="C13" s="24" t="s">
        <v>318</v>
      </c>
      <c r="D13" s="24">
        <v>1090000</v>
      </c>
      <c r="E13" s="24" t="s">
        <v>208</v>
      </c>
      <c r="F13" s="24" t="str">
        <f t="shared" si="0"/>
        <v>rtdc.l.rtdc.4007:itc</v>
      </c>
      <c r="G13" s="8">
        <f t="shared" si="1"/>
        <v>42592.185185185182</v>
      </c>
    </row>
    <row r="14" spans="1:7" x14ac:dyDescent="0.25">
      <c r="A14" s="8">
        <v>42592.190972222219</v>
      </c>
      <c r="B14" s="24" t="s">
        <v>102</v>
      </c>
      <c r="C14" s="24" t="s">
        <v>310</v>
      </c>
      <c r="D14" s="24">
        <v>1260000</v>
      </c>
      <c r="E14" s="24" t="s">
        <v>295</v>
      </c>
      <c r="F14" s="24" t="str">
        <f t="shared" si="0"/>
        <v>rtdc.l.rtdc.4030:itc</v>
      </c>
      <c r="G14" s="8">
        <f t="shared" si="1"/>
        <v>42592.190972222219</v>
      </c>
    </row>
    <row r="15" spans="1:7" x14ac:dyDescent="0.25">
      <c r="A15" s="8">
        <v>42592.191805555558</v>
      </c>
      <c r="B15" s="24" t="s">
        <v>102</v>
      </c>
      <c r="C15" s="24" t="s">
        <v>312</v>
      </c>
      <c r="D15" s="24">
        <v>1260000</v>
      </c>
      <c r="E15" s="24" t="s">
        <v>295</v>
      </c>
      <c r="F15" s="24" t="str">
        <f t="shared" si="0"/>
        <v>rtdc.l.rtdc.4030:itc</v>
      </c>
      <c r="G15" s="8">
        <f t="shared" si="1"/>
        <v>42592.191805555558</v>
      </c>
    </row>
    <row r="16" spans="1:7" x14ac:dyDescent="0.25">
      <c r="A16" s="8">
        <v>42592.192106481481</v>
      </c>
      <c r="B16" s="24" t="s">
        <v>210</v>
      </c>
      <c r="C16" s="24" t="s">
        <v>320</v>
      </c>
      <c r="D16" s="24">
        <v>2030000</v>
      </c>
      <c r="E16" s="24" t="s">
        <v>294</v>
      </c>
      <c r="F16" s="24" t="str">
        <f t="shared" si="0"/>
        <v>rtdc.l.rtdc.4040:itc</v>
      </c>
      <c r="G16" s="8">
        <f t="shared" si="1"/>
        <v>42592.192106481481</v>
      </c>
    </row>
    <row r="17" spans="1:7" x14ac:dyDescent="0.25">
      <c r="A17" s="8">
        <v>42592.19290509259</v>
      </c>
      <c r="B17" s="24" t="s">
        <v>102</v>
      </c>
      <c r="C17" s="24" t="s">
        <v>312</v>
      </c>
      <c r="D17" s="24">
        <v>1260000</v>
      </c>
      <c r="E17" s="24" t="s">
        <v>295</v>
      </c>
      <c r="F17" s="24" t="str">
        <f t="shared" si="0"/>
        <v>rtdc.l.rtdc.4030:itc</v>
      </c>
      <c r="G17" s="8">
        <f t="shared" si="1"/>
        <v>42592.19290509259</v>
      </c>
    </row>
    <row r="18" spans="1:7" x14ac:dyDescent="0.25">
      <c r="A18" s="8">
        <v>42592.208749999998</v>
      </c>
      <c r="B18" s="24" t="s">
        <v>66</v>
      </c>
      <c r="C18" s="24" t="s">
        <v>323</v>
      </c>
      <c r="D18" s="24">
        <v>900000</v>
      </c>
      <c r="E18" s="24" t="s">
        <v>296</v>
      </c>
      <c r="F18" s="24" t="str">
        <f t="shared" si="0"/>
        <v>rtdc.l.rtdc.4020:itc</v>
      </c>
      <c r="G18" s="8">
        <f t="shared" si="1"/>
        <v>42592.208749999998</v>
      </c>
    </row>
    <row r="19" spans="1:7" x14ac:dyDescent="0.25">
      <c r="A19" s="8">
        <v>42592.208923611113</v>
      </c>
      <c r="B19" s="24" t="s">
        <v>99</v>
      </c>
      <c r="C19" s="24" t="s">
        <v>494</v>
      </c>
      <c r="D19" s="24">
        <v>1240000</v>
      </c>
      <c r="E19" s="24" t="s">
        <v>608</v>
      </c>
      <c r="F19" s="24" t="str">
        <f t="shared" si="0"/>
        <v>rtdc.l.rtdc.4013:itc</v>
      </c>
      <c r="G19" s="8">
        <f t="shared" si="1"/>
        <v>42592.208923611113</v>
      </c>
    </row>
    <row r="20" spans="1:7" x14ac:dyDescent="0.25">
      <c r="A20" s="8">
        <v>42592.211111111108</v>
      </c>
      <c r="B20" s="24" t="s">
        <v>605</v>
      </c>
      <c r="C20" s="24" t="s">
        <v>326</v>
      </c>
      <c r="D20" s="24">
        <v>2010000</v>
      </c>
      <c r="E20" s="24" t="s">
        <v>606</v>
      </c>
      <c r="F20" s="24" t="str">
        <f t="shared" si="0"/>
        <v>rtdc.l.rtdc.4009:itc</v>
      </c>
      <c r="G20" s="8">
        <f t="shared" si="1"/>
        <v>42592.211111111108</v>
      </c>
    </row>
    <row r="21" spans="1:7" x14ac:dyDescent="0.25">
      <c r="A21" s="8">
        <v>42592.213865740741</v>
      </c>
      <c r="B21" s="24" t="s">
        <v>609</v>
      </c>
      <c r="C21" s="24" t="s">
        <v>317</v>
      </c>
      <c r="D21" s="24">
        <v>2000000</v>
      </c>
      <c r="E21" s="24" t="s">
        <v>607</v>
      </c>
      <c r="F21" s="24" t="str">
        <f t="shared" si="0"/>
        <v>rtdc.l.rtdc.4037:itc</v>
      </c>
      <c r="G21" s="8">
        <f t="shared" si="1"/>
        <v>42592.213865740741</v>
      </c>
    </row>
    <row r="22" spans="1:7" x14ac:dyDescent="0.25">
      <c r="A22" s="30">
        <v>42592.219733796293</v>
      </c>
      <c r="B22" s="24" t="s">
        <v>105</v>
      </c>
      <c r="C22" s="24" t="s">
        <v>319</v>
      </c>
      <c r="D22" s="24">
        <v>1090000</v>
      </c>
      <c r="E22" s="24" t="s">
        <v>208</v>
      </c>
      <c r="F22" s="24" t="str">
        <f t="shared" si="0"/>
        <v>rtdc.l.rtdc.4008:itc</v>
      </c>
      <c r="G22" s="8">
        <f t="shared" si="1"/>
        <v>42592.219733796293</v>
      </c>
    </row>
    <row r="23" spans="1:7" x14ac:dyDescent="0.25">
      <c r="A23" s="8">
        <v>42592.23027777778</v>
      </c>
      <c r="B23" s="24" t="s">
        <v>124</v>
      </c>
      <c r="C23" s="24" t="s">
        <v>330</v>
      </c>
      <c r="D23" s="24">
        <v>1190000</v>
      </c>
      <c r="E23" s="24" t="s">
        <v>297</v>
      </c>
      <c r="F23" s="24" t="str">
        <f t="shared" si="0"/>
        <v>rtdc.l.rtdc.4016:itc</v>
      </c>
      <c r="G23" s="8">
        <f t="shared" si="1"/>
        <v>42592.23027777778</v>
      </c>
    </row>
    <row r="24" spans="1:7" x14ac:dyDescent="0.25">
      <c r="A24" s="8">
        <v>42592.230763888889</v>
      </c>
      <c r="B24" s="24" t="s">
        <v>209</v>
      </c>
      <c r="C24" s="24" t="s">
        <v>322</v>
      </c>
      <c r="D24" s="24">
        <v>2030000</v>
      </c>
      <c r="E24" s="24" t="s">
        <v>294</v>
      </c>
      <c r="F24" s="24" t="str">
        <f t="shared" si="0"/>
        <v>rtdc.l.rtdc.4039:itc</v>
      </c>
      <c r="G24" s="8">
        <f t="shared" si="1"/>
        <v>42592.230763888889</v>
      </c>
    </row>
    <row r="25" spans="1:7" x14ac:dyDescent="0.25">
      <c r="A25" s="8">
        <v>42592.234594907408</v>
      </c>
      <c r="B25" s="24" t="s">
        <v>101</v>
      </c>
      <c r="C25" s="24" t="s">
        <v>333</v>
      </c>
      <c r="D25" s="24">
        <v>1260000</v>
      </c>
      <c r="E25" s="24" t="s">
        <v>295</v>
      </c>
      <c r="F25" s="24" t="str">
        <f t="shared" si="0"/>
        <v>rtdc.l.rtdc.4029:itc</v>
      </c>
      <c r="G25" s="8">
        <f t="shared" si="1"/>
        <v>42592.234594907408</v>
      </c>
    </row>
    <row r="26" spans="1:7" x14ac:dyDescent="0.25">
      <c r="A26" s="8">
        <v>42592.240972222222</v>
      </c>
      <c r="B26" s="24" t="s">
        <v>136</v>
      </c>
      <c r="C26" s="24" t="s">
        <v>496</v>
      </c>
      <c r="D26" s="24">
        <v>1240000</v>
      </c>
      <c r="E26" s="24" t="s">
        <v>608</v>
      </c>
      <c r="F26" s="24" t="str">
        <f t="shared" si="0"/>
        <v>rtdc.l.rtdc.4014:itc</v>
      </c>
      <c r="G26" s="8">
        <f t="shared" si="1"/>
        <v>42592.240972222222</v>
      </c>
    </row>
    <row r="27" spans="1:7" x14ac:dyDescent="0.25">
      <c r="A27" s="8">
        <v>42592.245185185187</v>
      </c>
      <c r="B27" s="24" t="s">
        <v>65</v>
      </c>
      <c r="C27" s="24" t="s">
        <v>325</v>
      </c>
      <c r="D27" s="24">
        <v>900000</v>
      </c>
      <c r="E27" s="24" t="s">
        <v>296</v>
      </c>
      <c r="F27" s="24" t="str">
        <f t="shared" si="0"/>
        <v>rtdc.l.rtdc.4019:itc</v>
      </c>
      <c r="G27" s="8">
        <f t="shared" si="1"/>
        <v>42592.245185185187</v>
      </c>
    </row>
    <row r="28" spans="1:7" x14ac:dyDescent="0.25">
      <c r="A28" s="8">
        <v>42592.247395833336</v>
      </c>
      <c r="B28" s="24" t="s">
        <v>67</v>
      </c>
      <c r="C28" s="24" t="s">
        <v>336</v>
      </c>
      <c r="D28" s="24">
        <v>2000000</v>
      </c>
      <c r="E28" s="24" t="s">
        <v>607</v>
      </c>
      <c r="F28" s="24" t="str">
        <f t="shared" si="0"/>
        <v>rtdc.l.rtdc.4018:itc</v>
      </c>
      <c r="G28" s="8">
        <f t="shared" si="1"/>
        <v>42592.247395833336</v>
      </c>
    </row>
    <row r="29" spans="1:7" x14ac:dyDescent="0.25">
      <c r="A29" s="8">
        <v>42592.250601851854</v>
      </c>
      <c r="B29" s="24" t="s">
        <v>602</v>
      </c>
      <c r="C29" s="24" t="s">
        <v>328</v>
      </c>
      <c r="D29" s="24">
        <v>2010000</v>
      </c>
      <c r="E29" s="24" t="s">
        <v>606</v>
      </c>
      <c r="F29" s="24" t="str">
        <f t="shared" si="0"/>
        <v>rtdc.l.rtdc.4010:itc</v>
      </c>
      <c r="G29" s="8">
        <f t="shared" si="1"/>
        <v>42592.250601851854</v>
      </c>
    </row>
    <row r="30" spans="1:7" x14ac:dyDescent="0.25">
      <c r="A30" s="8">
        <v>42592.25409722222</v>
      </c>
      <c r="B30" s="24" t="s">
        <v>604</v>
      </c>
      <c r="C30" s="24" t="s">
        <v>499</v>
      </c>
      <c r="D30" s="24">
        <v>2110000</v>
      </c>
      <c r="E30" s="24" t="s">
        <v>206</v>
      </c>
      <c r="F30" s="24" t="str">
        <f t="shared" si="0"/>
        <v>rtdc.l.rtdc.4044:itc</v>
      </c>
      <c r="G30" s="8">
        <f t="shared" si="1"/>
        <v>42592.25409722222</v>
      </c>
    </row>
    <row r="31" spans="1:7" x14ac:dyDescent="0.25">
      <c r="A31" s="8">
        <v>42592.255266203705</v>
      </c>
      <c r="B31" s="24" t="s">
        <v>99</v>
      </c>
      <c r="C31" s="24" t="s">
        <v>497</v>
      </c>
      <c r="D31" s="24">
        <v>1240000</v>
      </c>
      <c r="E31" s="24" t="s">
        <v>608</v>
      </c>
      <c r="F31" s="24" t="str">
        <f t="shared" si="0"/>
        <v>rtdc.l.rtdc.4013:itc</v>
      </c>
      <c r="G31" s="8">
        <f t="shared" si="1"/>
        <v>42592.255266203705</v>
      </c>
    </row>
    <row r="32" spans="1:7" x14ac:dyDescent="0.25">
      <c r="A32" s="8">
        <v>42592.255937499998</v>
      </c>
      <c r="B32" s="24" t="s">
        <v>106</v>
      </c>
      <c r="C32" s="24" t="s">
        <v>339</v>
      </c>
      <c r="D32" s="24">
        <v>1090000</v>
      </c>
      <c r="E32" s="24" t="s">
        <v>208</v>
      </c>
      <c r="F32" s="24" t="str">
        <f t="shared" si="0"/>
        <v>rtdc.l.rtdc.4007:itc</v>
      </c>
      <c r="G32" s="8">
        <f t="shared" si="1"/>
        <v>42592.255937499998</v>
      </c>
    </row>
    <row r="33" spans="1:7" x14ac:dyDescent="0.25">
      <c r="A33" s="8">
        <v>42592.265393518515</v>
      </c>
      <c r="B33" s="24" t="s">
        <v>123</v>
      </c>
      <c r="C33" s="24" t="s">
        <v>332</v>
      </c>
      <c r="D33" s="24">
        <v>1190000</v>
      </c>
      <c r="E33" s="24" t="s">
        <v>297</v>
      </c>
      <c r="F33" s="24" t="str">
        <f t="shared" si="0"/>
        <v>rtdc.l.rtdc.4015:itc</v>
      </c>
      <c r="G33" s="8">
        <f t="shared" si="1"/>
        <v>42592.265393518515</v>
      </c>
    </row>
    <row r="34" spans="1:7" x14ac:dyDescent="0.25">
      <c r="A34" s="8">
        <v>42592.266898148147</v>
      </c>
      <c r="B34" s="24" t="s">
        <v>210</v>
      </c>
      <c r="C34" s="24" t="s">
        <v>341</v>
      </c>
      <c r="D34" s="24">
        <v>2030000</v>
      </c>
      <c r="E34" s="24" t="s">
        <v>294</v>
      </c>
      <c r="F34" s="24" t="str">
        <f t="shared" si="0"/>
        <v>rtdc.l.rtdc.4040:itc</v>
      </c>
      <c r="G34" s="8">
        <f t="shared" si="1"/>
        <v>42592.266898148147</v>
      </c>
    </row>
    <row r="35" spans="1:7" x14ac:dyDescent="0.25">
      <c r="A35" s="8">
        <v>42592.272997685184</v>
      </c>
      <c r="B35" s="24" t="s">
        <v>102</v>
      </c>
      <c r="C35" s="24" t="s">
        <v>335</v>
      </c>
      <c r="D35" s="24">
        <v>1260000</v>
      </c>
      <c r="E35" s="24" t="s">
        <v>295</v>
      </c>
      <c r="F35" s="24" t="str">
        <f t="shared" si="0"/>
        <v>rtdc.l.rtdc.4030:itc</v>
      </c>
      <c r="G35" s="8">
        <f t="shared" si="1"/>
        <v>42592.272997685184</v>
      </c>
    </row>
    <row r="36" spans="1:7" x14ac:dyDescent="0.25">
      <c r="A36" s="8">
        <v>42592.27615740741</v>
      </c>
      <c r="B36" s="24" t="s">
        <v>603</v>
      </c>
      <c r="C36" s="24" t="s">
        <v>502</v>
      </c>
      <c r="D36" s="24">
        <v>2110000</v>
      </c>
      <c r="E36" s="24" t="s">
        <v>206</v>
      </c>
      <c r="F36" s="24" t="str">
        <f t="shared" si="0"/>
        <v>rtdc.l.rtdc.4043:itc</v>
      </c>
      <c r="G36" s="8">
        <f t="shared" si="1"/>
        <v>42592.27615740741</v>
      </c>
    </row>
    <row r="37" spans="1:7" x14ac:dyDescent="0.25">
      <c r="A37" s="8">
        <v>42592.280092592591</v>
      </c>
      <c r="B37" s="24" t="s">
        <v>66</v>
      </c>
      <c r="C37" s="24" t="s">
        <v>343</v>
      </c>
      <c r="D37" s="24">
        <v>900000</v>
      </c>
      <c r="E37" s="24" t="s">
        <v>296</v>
      </c>
      <c r="F37" s="24" t="str">
        <f t="shared" si="0"/>
        <v>rtdc.l.rtdc.4020:itc</v>
      </c>
      <c r="G37" s="8">
        <f t="shared" si="1"/>
        <v>42592.280092592591</v>
      </c>
    </row>
    <row r="38" spans="1:7" x14ac:dyDescent="0.25">
      <c r="A38" s="8">
        <v>42592.282777777778</v>
      </c>
      <c r="B38" s="24" t="s">
        <v>136</v>
      </c>
      <c r="C38" s="24" t="s">
        <v>505</v>
      </c>
      <c r="D38" s="24">
        <v>1240000</v>
      </c>
      <c r="E38" s="24" t="s">
        <v>608</v>
      </c>
      <c r="F38" s="24" t="str">
        <f t="shared" si="0"/>
        <v>rtdc.l.rtdc.4014:itc</v>
      </c>
      <c r="G38" s="8">
        <f t="shared" si="1"/>
        <v>42592.282777777778</v>
      </c>
    </row>
    <row r="39" spans="1:7" x14ac:dyDescent="0.25">
      <c r="A39" s="8">
        <v>42592.285150462965</v>
      </c>
      <c r="B39" s="24" t="s">
        <v>68</v>
      </c>
      <c r="C39" s="24" t="s">
        <v>338</v>
      </c>
      <c r="D39" s="24">
        <v>2000000</v>
      </c>
      <c r="E39" s="24" t="s">
        <v>607</v>
      </c>
      <c r="F39" s="24" t="str">
        <f t="shared" si="0"/>
        <v>rtdc.l.rtdc.4017:itc</v>
      </c>
      <c r="G39" s="8">
        <f t="shared" si="1"/>
        <v>42592.285150462965</v>
      </c>
    </row>
    <row r="40" spans="1:7" x14ac:dyDescent="0.25">
      <c r="A40" s="8">
        <v>42592.286550925928</v>
      </c>
      <c r="B40" s="29" t="s">
        <v>605</v>
      </c>
      <c r="C40" s="24" t="s">
        <v>345</v>
      </c>
      <c r="D40" s="24">
        <v>2010000</v>
      </c>
      <c r="E40" s="24" t="s">
        <v>606</v>
      </c>
      <c r="F40" s="24" t="str">
        <f t="shared" si="0"/>
        <v>rtdc.l.rtdc.4009:itc</v>
      </c>
      <c r="G40" s="8">
        <f t="shared" si="1"/>
        <v>42592.286550925928</v>
      </c>
    </row>
    <row r="41" spans="1:7" x14ac:dyDescent="0.25">
      <c r="A41" s="8">
        <v>42592.293715277781</v>
      </c>
      <c r="B41" s="24" t="s">
        <v>105</v>
      </c>
      <c r="C41" s="24" t="s">
        <v>340</v>
      </c>
      <c r="D41" s="24">
        <v>1090000</v>
      </c>
      <c r="E41" s="24" t="s">
        <v>208</v>
      </c>
      <c r="F41" s="24" t="str">
        <f t="shared" si="0"/>
        <v>rtdc.l.rtdc.4008:itc</v>
      </c>
      <c r="G41" s="8">
        <f t="shared" si="1"/>
        <v>42592.293715277781</v>
      </c>
    </row>
    <row r="42" spans="1:7" x14ac:dyDescent="0.25">
      <c r="A42" s="8">
        <v>42592.296388888892</v>
      </c>
      <c r="B42" s="24" t="s">
        <v>99</v>
      </c>
      <c r="C42" s="24" t="s">
        <v>507</v>
      </c>
      <c r="D42" s="24">
        <v>1240000</v>
      </c>
      <c r="E42" s="24" t="s">
        <v>608</v>
      </c>
      <c r="F42" s="24" t="str">
        <f t="shared" si="0"/>
        <v>rtdc.l.rtdc.4013:itc</v>
      </c>
      <c r="G42" s="8">
        <f t="shared" si="1"/>
        <v>42592.296388888892</v>
      </c>
    </row>
    <row r="43" spans="1:7" x14ac:dyDescent="0.25">
      <c r="A43" s="8">
        <v>42592.298067129632</v>
      </c>
      <c r="B43" s="24" t="s">
        <v>124</v>
      </c>
      <c r="C43" s="24" t="s">
        <v>349</v>
      </c>
      <c r="D43" s="24">
        <v>1190000</v>
      </c>
      <c r="E43" s="24" t="s">
        <v>297</v>
      </c>
      <c r="F43" s="24" t="str">
        <f t="shared" si="0"/>
        <v>rtdc.l.rtdc.4016:itc</v>
      </c>
      <c r="G43" s="8">
        <f t="shared" si="1"/>
        <v>42592.298067129632</v>
      </c>
    </row>
    <row r="44" spans="1:7" x14ac:dyDescent="0.25">
      <c r="A44" s="8">
        <v>42592.299525462964</v>
      </c>
      <c r="B44" s="24" t="s">
        <v>604</v>
      </c>
      <c r="C44" s="24" t="s">
        <v>510</v>
      </c>
      <c r="D44" s="24">
        <v>2110000</v>
      </c>
      <c r="E44" s="24" t="s">
        <v>206</v>
      </c>
      <c r="F44" s="24" t="str">
        <f t="shared" si="0"/>
        <v>rtdc.l.rtdc.4044:itc</v>
      </c>
      <c r="G44" s="8">
        <f t="shared" si="1"/>
        <v>42592.299525462964</v>
      </c>
    </row>
    <row r="45" spans="1:7" x14ac:dyDescent="0.25">
      <c r="A45" s="8">
        <v>42592.305613425924</v>
      </c>
      <c r="B45" s="24" t="s">
        <v>209</v>
      </c>
      <c r="C45" s="24" t="s">
        <v>342</v>
      </c>
      <c r="D45" s="24">
        <v>2030000</v>
      </c>
      <c r="E45" s="24" t="s">
        <v>294</v>
      </c>
      <c r="F45" s="24" t="str">
        <f t="shared" si="0"/>
        <v>rtdc.l.rtdc.4039:itc</v>
      </c>
      <c r="G45" s="8">
        <f t="shared" si="1"/>
        <v>42592.305613425924</v>
      </c>
    </row>
    <row r="46" spans="1:7" x14ac:dyDescent="0.25">
      <c r="A46" s="8">
        <v>42592.309282407405</v>
      </c>
      <c r="B46" s="24" t="s">
        <v>101</v>
      </c>
      <c r="C46" s="24" t="s">
        <v>352</v>
      </c>
      <c r="D46" s="24">
        <v>1260000</v>
      </c>
      <c r="E46" s="24" t="s">
        <v>295</v>
      </c>
      <c r="F46" s="24" t="str">
        <f t="shared" si="0"/>
        <v>rtdc.l.rtdc.4029:itc</v>
      </c>
      <c r="G46" s="8">
        <f t="shared" si="1"/>
        <v>42592.309282407405</v>
      </c>
    </row>
    <row r="47" spans="1:7" x14ac:dyDescent="0.25">
      <c r="A47" s="8">
        <v>42592.318124999998</v>
      </c>
      <c r="B47" s="24" t="s">
        <v>603</v>
      </c>
      <c r="C47" s="24" t="s">
        <v>512</v>
      </c>
      <c r="D47" s="24">
        <v>2110000</v>
      </c>
      <c r="E47" s="24" t="s">
        <v>206</v>
      </c>
      <c r="F47" s="24" t="str">
        <f t="shared" si="0"/>
        <v>rtdc.l.rtdc.4043:itc</v>
      </c>
      <c r="G47" s="8">
        <f t="shared" si="1"/>
        <v>42592.318124999998</v>
      </c>
    </row>
    <row r="48" spans="1:7" x14ac:dyDescent="0.25">
      <c r="A48" s="8">
        <v>42592.318645833337</v>
      </c>
      <c r="B48" s="24" t="s">
        <v>67</v>
      </c>
      <c r="C48" s="24" t="s">
        <v>355</v>
      </c>
      <c r="D48" s="24">
        <v>2000000</v>
      </c>
      <c r="E48" s="24" t="s">
        <v>607</v>
      </c>
      <c r="F48" s="24" t="str">
        <f t="shared" si="0"/>
        <v>rtdc.l.rtdc.4018:itc</v>
      </c>
      <c r="G48" s="8">
        <f t="shared" si="1"/>
        <v>42592.318645833337</v>
      </c>
    </row>
    <row r="49" spans="1:7" x14ac:dyDescent="0.25">
      <c r="A49" s="8">
        <v>42592.318981481483</v>
      </c>
      <c r="B49" s="24" t="s">
        <v>65</v>
      </c>
      <c r="C49" s="24" t="s">
        <v>344</v>
      </c>
      <c r="D49" s="24">
        <v>900000</v>
      </c>
      <c r="E49" s="24" t="s">
        <v>296</v>
      </c>
      <c r="F49" s="24" t="str">
        <f t="shared" si="0"/>
        <v>rtdc.l.rtdc.4019:itc</v>
      </c>
      <c r="G49" s="8">
        <f t="shared" si="1"/>
        <v>42592.318981481483</v>
      </c>
    </row>
    <row r="50" spans="1:7" x14ac:dyDescent="0.25">
      <c r="A50" s="8">
        <v>42592.323055555556</v>
      </c>
      <c r="B50" s="24" t="s">
        <v>602</v>
      </c>
      <c r="C50" s="24" t="s">
        <v>348</v>
      </c>
      <c r="D50" s="24">
        <v>2010000</v>
      </c>
      <c r="E50" s="24" t="s">
        <v>606</v>
      </c>
      <c r="F50" s="24" t="str">
        <f t="shared" si="0"/>
        <v>rtdc.l.rtdc.4010:itc</v>
      </c>
      <c r="G50" s="8">
        <f t="shared" si="1"/>
        <v>42592.323055555556</v>
      </c>
    </row>
    <row r="51" spans="1:7" x14ac:dyDescent="0.25">
      <c r="A51" s="8">
        <v>42592.324652777781</v>
      </c>
      <c r="B51" s="24" t="s">
        <v>136</v>
      </c>
      <c r="C51" s="24" t="s">
        <v>514</v>
      </c>
      <c r="D51" s="24">
        <v>1240000</v>
      </c>
      <c r="E51" s="24" t="s">
        <v>608</v>
      </c>
      <c r="F51" s="24" t="str">
        <f t="shared" si="0"/>
        <v>rtdc.l.rtdc.4014:itc</v>
      </c>
      <c r="G51" s="8">
        <f t="shared" si="1"/>
        <v>42592.324652777781</v>
      </c>
    </row>
    <row r="52" spans="1:7" x14ac:dyDescent="0.25">
      <c r="A52" s="8">
        <v>42592.328402777777</v>
      </c>
      <c r="B52" s="24" t="s">
        <v>106</v>
      </c>
      <c r="C52" s="24" t="s">
        <v>357</v>
      </c>
      <c r="D52" s="24">
        <v>1090000</v>
      </c>
      <c r="E52" s="24" t="s">
        <v>208</v>
      </c>
      <c r="F52" s="24" t="str">
        <f t="shared" si="0"/>
        <v>rtdc.l.rtdc.4007:itc</v>
      </c>
      <c r="G52" s="8">
        <f t="shared" si="1"/>
        <v>42592.328402777777</v>
      </c>
    </row>
    <row r="53" spans="1:7" x14ac:dyDescent="0.25">
      <c r="A53" s="8">
        <v>42592.338113425925</v>
      </c>
      <c r="B53" s="24" t="s">
        <v>99</v>
      </c>
      <c r="C53" s="24" t="s">
        <v>516</v>
      </c>
      <c r="D53" s="24">
        <v>1240000</v>
      </c>
      <c r="E53" s="24" t="s">
        <v>608</v>
      </c>
      <c r="F53" s="24" t="str">
        <f t="shared" si="0"/>
        <v>rtdc.l.rtdc.4013:itc</v>
      </c>
      <c r="G53" s="8">
        <f t="shared" si="1"/>
        <v>42592.338113425925</v>
      </c>
    </row>
    <row r="54" spans="1:7" x14ac:dyDescent="0.25">
      <c r="A54" s="8">
        <v>42592.338831018518</v>
      </c>
      <c r="B54" s="24" t="s">
        <v>123</v>
      </c>
      <c r="C54" s="24" t="s">
        <v>351</v>
      </c>
      <c r="D54" s="24">
        <v>1190000</v>
      </c>
      <c r="E54" s="24" t="s">
        <v>297</v>
      </c>
      <c r="F54" s="24" t="str">
        <f t="shared" si="0"/>
        <v>rtdc.l.rtdc.4015:itc</v>
      </c>
      <c r="G54" s="8">
        <f t="shared" si="1"/>
        <v>42592.338831018518</v>
      </c>
    </row>
    <row r="55" spans="1:7" x14ac:dyDescent="0.25">
      <c r="A55" s="8">
        <v>42592.341793981483</v>
      </c>
      <c r="B55" s="24" t="s">
        <v>210</v>
      </c>
      <c r="C55" s="24" t="s">
        <v>361</v>
      </c>
      <c r="D55" s="24">
        <v>2030000</v>
      </c>
      <c r="E55" s="24" t="s">
        <v>294</v>
      </c>
      <c r="F55" s="24" t="str">
        <f t="shared" si="0"/>
        <v>rtdc.l.rtdc.4040:itc</v>
      </c>
      <c r="G55" s="8">
        <f t="shared" si="1"/>
        <v>42592.341793981483</v>
      </c>
    </row>
    <row r="56" spans="1:7" x14ac:dyDescent="0.25">
      <c r="A56" s="8">
        <v>42592.343912037039</v>
      </c>
      <c r="B56" s="24" t="s">
        <v>604</v>
      </c>
      <c r="C56" s="24" t="s">
        <v>517</v>
      </c>
      <c r="D56" s="24">
        <v>2110000</v>
      </c>
      <c r="E56" s="24" t="s">
        <v>206</v>
      </c>
      <c r="F56" s="24" t="str">
        <f t="shared" si="0"/>
        <v>rtdc.l.rtdc.4044:itc</v>
      </c>
      <c r="G56" s="8">
        <f t="shared" si="1"/>
        <v>42592.343912037039</v>
      </c>
    </row>
    <row r="57" spans="1:7" x14ac:dyDescent="0.25">
      <c r="A57" s="8">
        <v>42592.344942129632</v>
      </c>
      <c r="B57" s="24" t="s">
        <v>102</v>
      </c>
      <c r="C57" s="24" t="s">
        <v>354</v>
      </c>
      <c r="D57" s="24">
        <v>1260000</v>
      </c>
      <c r="E57" s="24" t="s">
        <v>295</v>
      </c>
      <c r="F57" s="24" t="str">
        <f t="shared" si="0"/>
        <v>rtdc.l.rtdc.4030:itc</v>
      </c>
      <c r="G57" s="8">
        <f t="shared" si="1"/>
        <v>42592.344942129632</v>
      </c>
    </row>
    <row r="58" spans="1:7" x14ac:dyDescent="0.25">
      <c r="A58" s="8">
        <v>42592.353356481479</v>
      </c>
      <c r="B58" s="24" t="s">
        <v>136</v>
      </c>
      <c r="C58" s="24" t="s">
        <v>593</v>
      </c>
      <c r="D58" s="24">
        <v>1240000</v>
      </c>
      <c r="E58" s="24" t="s">
        <v>608</v>
      </c>
      <c r="F58" s="24" t="str">
        <f t="shared" si="0"/>
        <v>rtdc.l.rtdc.4014:itc</v>
      </c>
      <c r="G58" s="8">
        <f t="shared" si="1"/>
        <v>42592.353356481479</v>
      </c>
    </row>
    <row r="59" spans="1:7" x14ac:dyDescent="0.25">
      <c r="A59" s="8">
        <v>42592.353518518517</v>
      </c>
      <c r="B59" s="24" t="s">
        <v>66</v>
      </c>
      <c r="C59" s="24" t="s">
        <v>363</v>
      </c>
      <c r="D59" s="24">
        <v>900000</v>
      </c>
      <c r="E59" s="24" t="s">
        <v>296</v>
      </c>
      <c r="F59" s="24" t="str">
        <f t="shared" si="0"/>
        <v>rtdc.l.rtdc.4020:itc</v>
      </c>
      <c r="G59" s="8">
        <f t="shared" si="1"/>
        <v>42592.353518518517</v>
      </c>
    </row>
    <row r="60" spans="1:7" x14ac:dyDescent="0.25">
      <c r="A60" s="8">
        <v>42592.358229166668</v>
      </c>
      <c r="B60" s="24" t="s">
        <v>68</v>
      </c>
      <c r="C60" s="24" t="s">
        <v>356</v>
      </c>
      <c r="D60" s="24">
        <v>2000000</v>
      </c>
      <c r="E60" s="24" t="s">
        <v>607</v>
      </c>
      <c r="F60" s="24" t="str">
        <f t="shared" si="0"/>
        <v>rtdc.l.rtdc.4017:itc</v>
      </c>
      <c r="G60" s="8">
        <f t="shared" si="1"/>
        <v>42592.358229166668</v>
      </c>
    </row>
    <row r="61" spans="1:7" x14ac:dyDescent="0.25">
      <c r="A61" s="8">
        <v>42592.359479166669</v>
      </c>
      <c r="B61" s="24" t="s">
        <v>603</v>
      </c>
      <c r="C61" s="24" t="s">
        <v>519</v>
      </c>
      <c r="D61" s="24">
        <v>2110000</v>
      </c>
      <c r="E61" s="24" t="s">
        <v>206</v>
      </c>
      <c r="F61" s="24" t="str">
        <f t="shared" si="0"/>
        <v>rtdc.l.rtdc.4043:itc</v>
      </c>
      <c r="G61" s="8">
        <f t="shared" si="1"/>
        <v>42592.359479166669</v>
      </c>
    </row>
    <row r="62" spans="1:7" x14ac:dyDescent="0.25">
      <c r="A62" s="8">
        <v>42592.362291666665</v>
      </c>
      <c r="B62" s="24" t="s">
        <v>605</v>
      </c>
      <c r="C62" s="24" t="s">
        <v>365</v>
      </c>
      <c r="D62" s="24">
        <v>2010000</v>
      </c>
      <c r="E62" s="24" t="s">
        <v>606</v>
      </c>
      <c r="F62" s="24" t="str">
        <f t="shared" si="0"/>
        <v>rtdc.l.rtdc.4009:itc</v>
      </c>
      <c r="G62" s="8">
        <f t="shared" si="1"/>
        <v>42592.362291666665</v>
      </c>
    </row>
    <row r="63" spans="1:7" x14ac:dyDescent="0.25">
      <c r="A63" s="8">
        <v>42592.365567129629</v>
      </c>
      <c r="B63" s="24" t="s">
        <v>105</v>
      </c>
      <c r="C63" s="24" t="s">
        <v>359</v>
      </c>
      <c r="D63" s="24">
        <v>1090000</v>
      </c>
      <c r="E63" s="24" t="s">
        <v>208</v>
      </c>
      <c r="F63" s="24" t="str">
        <f t="shared" si="0"/>
        <v>rtdc.l.rtdc.4008:itc</v>
      </c>
      <c r="G63" s="8">
        <f t="shared" si="1"/>
        <v>42592.365567129629</v>
      </c>
    </row>
    <row r="64" spans="1:7" x14ac:dyDescent="0.25">
      <c r="A64" s="30">
        <v>42592.37128472222</v>
      </c>
      <c r="B64" s="24" t="s">
        <v>124</v>
      </c>
      <c r="C64" s="24" t="s">
        <v>368</v>
      </c>
      <c r="D64" s="24">
        <v>1190000</v>
      </c>
      <c r="E64" s="24" t="s">
        <v>297</v>
      </c>
      <c r="F64" s="24" t="str">
        <f t="shared" si="0"/>
        <v>rtdc.l.rtdc.4016:itc</v>
      </c>
      <c r="G64" s="8">
        <f t="shared" si="1"/>
        <v>42592.37128472222</v>
      </c>
    </row>
    <row r="65" spans="1:7" x14ac:dyDescent="0.25">
      <c r="A65" s="8">
        <v>42592.37703703704</v>
      </c>
      <c r="B65" s="24" t="s">
        <v>209</v>
      </c>
      <c r="C65" s="24" t="s">
        <v>362</v>
      </c>
      <c r="D65" s="24">
        <v>2030000</v>
      </c>
      <c r="E65" s="24" t="s">
        <v>294</v>
      </c>
      <c r="F65" s="24" t="str">
        <f t="shared" si="0"/>
        <v>rtdc.l.rtdc.4039:itc</v>
      </c>
      <c r="G65" s="8">
        <f t="shared" si="1"/>
        <v>42592.37703703704</v>
      </c>
    </row>
    <row r="66" spans="1:7" x14ac:dyDescent="0.25">
      <c r="A66" s="8">
        <v>42592.380983796298</v>
      </c>
      <c r="B66" s="24" t="s">
        <v>101</v>
      </c>
      <c r="C66" s="24" t="s">
        <v>370</v>
      </c>
      <c r="D66" s="24">
        <v>1260000</v>
      </c>
      <c r="E66" s="24" t="s">
        <v>295</v>
      </c>
      <c r="F66" s="24" t="str">
        <f t="shared" ref="F66:F129" si="2">B66</f>
        <v>rtdc.l.rtdc.4029:itc</v>
      </c>
      <c r="G66" s="8">
        <f t="shared" ref="G66:G129" si="3">A66</f>
        <v>42592.380983796298</v>
      </c>
    </row>
    <row r="67" spans="1:7" x14ac:dyDescent="0.25">
      <c r="A67" s="8">
        <v>42592.387592592589</v>
      </c>
      <c r="B67" s="24" t="s">
        <v>65</v>
      </c>
      <c r="C67" s="24" t="s">
        <v>364</v>
      </c>
      <c r="D67" s="24">
        <v>900000</v>
      </c>
      <c r="E67" s="24" t="s">
        <v>296</v>
      </c>
      <c r="F67" s="24" t="str">
        <f t="shared" si="2"/>
        <v>rtdc.l.rtdc.4019:itc</v>
      </c>
      <c r="G67" s="8">
        <f t="shared" si="3"/>
        <v>42592.387592592589</v>
      </c>
    </row>
    <row r="68" spans="1:7" x14ac:dyDescent="0.25">
      <c r="A68" s="8">
        <v>42592.387615740743</v>
      </c>
      <c r="B68" s="24" t="s">
        <v>604</v>
      </c>
      <c r="C68" s="24" t="s">
        <v>521</v>
      </c>
      <c r="D68" s="24">
        <v>2110000</v>
      </c>
      <c r="E68" s="24" t="s">
        <v>206</v>
      </c>
      <c r="F68" s="24" t="str">
        <f t="shared" si="2"/>
        <v>rtdc.l.rtdc.4044:itc</v>
      </c>
      <c r="G68" s="8">
        <f t="shared" si="3"/>
        <v>42592.387615740743</v>
      </c>
    </row>
    <row r="69" spans="1:7" x14ac:dyDescent="0.25">
      <c r="A69" s="8">
        <v>42592.391365740739</v>
      </c>
      <c r="B69" s="24" t="s">
        <v>67</v>
      </c>
      <c r="C69" s="24" t="s">
        <v>373</v>
      </c>
      <c r="D69" s="24">
        <v>2000000</v>
      </c>
      <c r="E69" s="24" t="s">
        <v>607</v>
      </c>
      <c r="F69" s="24" t="str">
        <f t="shared" si="2"/>
        <v>rtdc.l.rtdc.4018:itc</v>
      </c>
      <c r="G69" s="8">
        <f t="shared" si="3"/>
        <v>42592.391365740739</v>
      </c>
    </row>
    <row r="70" spans="1:7" x14ac:dyDescent="0.25">
      <c r="A70" s="8">
        <v>42592.394849537035</v>
      </c>
      <c r="B70" s="24" t="s">
        <v>602</v>
      </c>
      <c r="C70" s="24" t="s">
        <v>367</v>
      </c>
      <c r="D70" s="24">
        <v>2010000</v>
      </c>
      <c r="E70" s="24" t="s">
        <v>606</v>
      </c>
      <c r="F70" s="24" t="str">
        <f t="shared" si="2"/>
        <v>rtdc.l.rtdc.4010:itc</v>
      </c>
      <c r="G70" s="8">
        <f t="shared" si="3"/>
        <v>42592.394849537035</v>
      </c>
    </row>
    <row r="71" spans="1:7" x14ac:dyDescent="0.25">
      <c r="A71" s="8">
        <v>42592.401284722226</v>
      </c>
      <c r="B71" s="24" t="s">
        <v>603</v>
      </c>
      <c r="C71" s="24" t="s">
        <v>522</v>
      </c>
      <c r="D71" s="24">
        <v>2110000</v>
      </c>
      <c r="E71" s="24" t="s">
        <v>206</v>
      </c>
      <c r="F71" s="24" t="str">
        <f t="shared" si="2"/>
        <v>rtdc.l.rtdc.4043:itc</v>
      </c>
      <c r="G71" s="8">
        <f t="shared" si="3"/>
        <v>42592.401284722226</v>
      </c>
    </row>
    <row r="72" spans="1:7" x14ac:dyDescent="0.25">
      <c r="A72" s="8">
        <v>42592.401469907411</v>
      </c>
      <c r="B72" s="24" t="s">
        <v>106</v>
      </c>
      <c r="C72" s="24" t="s">
        <v>376</v>
      </c>
      <c r="D72" s="24">
        <v>1090000</v>
      </c>
      <c r="E72" s="24" t="s">
        <v>208</v>
      </c>
      <c r="F72" s="24" t="str">
        <f t="shared" si="2"/>
        <v>rtdc.l.rtdc.4007:itc</v>
      </c>
      <c r="G72" s="8">
        <f t="shared" si="3"/>
        <v>42592.401469907411</v>
      </c>
    </row>
    <row r="73" spans="1:7" x14ac:dyDescent="0.25">
      <c r="A73" s="8">
        <v>42592.409942129627</v>
      </c>
      <c r="B73" s="24" t="s">
        <v>123</v>
      </c>
      <c r="C73" s="24" t="s">
        <v>369</v>
      </c>
      <c r="D73" s="24">
        <v>1190000</v>
      </c>
      <c r="E73" s="24" t="s">
        <v>297</v>
      </c>
      <c r="F73" s="24" t="str">
        <f t="shared" si="2"/>
        <v>rtdc.l.rtdc.4015:itc</v>
      </c>
      <c r="G73" s="8">
        <f t="shared" si="3"/>
        <v>42592.409942129627</v>
      </c>
    </row>
    <row r="74" spans="1:7" x14ac:dyDescent="0.25">
      <c r="A74" s="8">
        <v>42592.411678240744</v>
      </c>
      <c r="B74" s="24" t="s">
        <v>210</v>
      </c>
      <c r="C74" s="24" t="s">
        <v>380</v>
      </c>
      <c r="D74" s="24">
        <v>2030000</v>
      </c>
      <c r="E74" s="24" t="s">
        <v>294</v>
      </c>
      <c r="F74" s="24" t="str">
        <f t="shared" si="2"/>
        <v>rtdc.l.rtdc.4040:itc</v>
      </c>
      <c r="G74" s="8">
        <f t="shared" si="3"/>
        <v>42592.411678240744</v>
      </c>
    </row>
    <row r="75" spans="1:7" x14ac:dyDescent="0.25">
      <c r="A75" s="8">
        <v>42592.418078703704</v>
      </c>
      <c r="B75" s="24" t="s">
        <v>102</v>
      </c>
      <c r="C75" s="24" t="s">
        <v>371</v>
      </c>
      <c r="D75" s="24">
        <v>1260000</v>
      </c>
      <c r="E75" s="24" t="s">
        <v>295</v>
      </c>
      <c r="F75" s="24" t="str">
        <f t="shared" si="2"/>
        <v>rtdc.l.rtdc.4030:itc</v>
      </c>
      <c r="G75" s="8">
        <f t="shared" si="3"/>
        <v>42592.418078703704</v>
      </c>
    </row>
    <row r="76" spans="1:7" x14ac:dyDescent="0.25">
      <c r="A76" s="8">
        <v>42592.421620370369</v>
      </c>
      <c r="B76" s="24" t="s">
        <v>66</v>
      </c>
      <c r="C76" s="24" t="s">
        <v>382</v>
      </c>
      <c r="D76" s="24">
        <v>900000</v>
      </c>
      <c r="E76" s="24" t="s">
        <v>296</v>
      </c>
      <c r="F76" s="24" t="str">
        <f t="shared" si="2"/>
        <v>rtdc.l.rtdc.4020:itc</v>
      </c>
      <c r="G76" s="8">
        <f t="shared" si="3"/>
        <v>42592.421620370369</v>
      </c>
    </row>
    <row r="77" spans="1:7" x14ac:dyDescent="0.25">
      <c r="A77" s="8">
        <v>42592.429027777776</v>
      </c>
      <c r="B77" s="24" t="s">
        <v>604</v>
      </c>
      <c r="C77" s="24" t="s">
        <v>523</v>
      </c>
      <c r="D77" s="24">
        <v>2110000</v>
      </c>
      <c r="E77" s="24" t="s">
        <v>206</v>
      </c>
      <c r="F77" s="24" t="str">
        <f t="shared" si="2"/>
        <v>rtdc.l.rtdc.4044:itc</v>
      </c>
      <c r="G77" s="8">
        <f t="shared" si="3"/>
        <v>42592.429027777776</v>
      </c>
    </row>
    <row r="78" spans="1:7" x14ac:dyDescent="0.25">
      <c r="A78" s="8">
        <v>42592.429490740738</v>
      </c>
      <c r="B78" s="24" t="s">
        <v>68</v>
      </c>
      <c r="C78" s="24" t="s">
        <v>374</v>
      </c>
      <c r="D78" s="24">
        <v>2000000</v>
      </c>
      <c r="E78" s="24" t="s">
        <v>607</v>
      </c>
      <c r="F78" s="24" t="str">
        <f t="shared" si="2"/>
        <v>rtdc.l.rtdc.4017:itc</v>
      </c>
      <c r="G78" s="8">
        <f t="shared" si="3"/>
        <v>42592.429490740738</v>
      </c>
    </row>
    <row r="79" spans="1:7" x14ac:dyDescent="0.25">
      <c r="A79" s="8">
        <v>42592.437511574077</v>
      </c>
      <c r="B79" s="24" t="s">
        <v>105</v>
      </c>
      <c r="C79" s="24" t="s">
        <v>378</v>
      </c>
      <c r="D79" s="24">
        <v>1090000</v>
      </c>
      <c r="E79" s="24" t="s">
        <v>208</v>
      </c>
      <c r="F79" s="24" t="str">
        <f t="shared" si="2"/>
        <v>rtdc.l.rtdc.4008:itc</v>
      </c>
      <c r="G79" s="8">
        <f t="shared" si="3"/>
        <v>42592.437511574077</v>
      </c>
    </row>
    <row r="80" spans="1:7" x14ac:dyDescent="0.25">
      <c r="A80" s="8">
        <v>42592.442685185182</v>
      </c>
      <c r="B80" s="24" t="s">
        <v>605</v>
      </c>
      <c r="C80" s="24" t="s">
        <v>385</v>
      </c>
      <c r="D80" s="24">
        <v>1240000</v>
      </c>
      <c r="E80" s="24" t="s">
        <v>608</v>
      </c>
      <c r="F80" s="24" t="str">
        <f t="shared" si="2"/>
        <v>rtdc.l.rtdc.4009:itc</v>
      </c>
      <c r="G80" s="8">
        <f t="shared" si="3"/>
        <v>42592.442685185182</v>
      </c>
    </row>
    <row r="81" spans="1:7" x14ac:dyDescent="0.25">
      <c r="A81" s="8">
        <v>42592.444849537038</v>
      </c>
      <c r="B81" s="24" t="s">
        <v>603</v>
      </c>
      <c r="C81" s="24" t="s">
        <v>525</v>
      </c>
      <c r="D81" s="24">
        <v>2110000</v>
      </c>
      <c r="E81" s="24" t="s">
        <v>206</v>
      </c>
      <c r="F81" s="24" t="str">
        <f t="shared" si="2"/>
        <v>rtdc.l.rtdc.4043:itc</v>
      </c>
      <c r="G81" s="8">
        <f t="shared" si="3"/>
        <v>42592.444849537038</v>
      </c>
    </row>
    <row r="82" spans="1:7" x14ac:dyDescent="0.25">
      <c r="A82" s="8">
        <v>42592.445613425924</v>
      </c>
      <c r="B82" s="24" t="s">
        <v>124</v>
      </c>
      <c r="C82" s="24" t="s">
        <v>389</v>
      </c>
      <c r="D82" s="24">
        <v>1190000</v>
      </c>
      <c r="E82" s="24" t="s">
        <v>297</v>
      </c>
      <c r="F82" s="24" t="str">
        <f t="shared" si="2"/>
        <v>rtdc.l.rtdc.4016:itc</v>
      </c>
      <c r="G82" s="8">
        <f t="shared" si="3"/>
        <v>42592.445613425924</v>
      </c>
    </row>
    <row r="83" spans="1:7" x14ac:dyDescent="0.25">
      <c r="A83" s="8">
        <v>42592.449965277781</v>
      </c>
      <c r="B83" s="24" t="s">
        <v>209</v>
      </c>
      <c r="C83" s="24" t="s">
        <v>381</v>
      </c>
      <c r="D83" s="24">
        <v>2030000</v>
      </c>
      <c r="E83" s="24" t="s">
        <v>294</v>
      </c>
      <c r="F83" s="24" t="str">
        <f t="shared" si="2"/>
        <v>rtdc.l.rtdc.4039:itc</v>
      </c>
      <c r="G83" s="8">
        <f t="shared" si="3"/>
        <v>42592.449965277781</v>
      </c>
    </row>
    <row r="84" spans="1:7" x14ac:dyDescent="0.25">
      <c r="A84" s="8">
        <v>42592.454664351855</v>
      </c>
      <c r="B84" s="24" t="s">
        <v>101</v>
      </c>
      <c r="C84" s="24" t="s">
        <v>394</v>
      </c>
      <c r="D84" s="24">
        <v>2150000</v>
      </c>
      <c r="E84" s="24" t="s">
        <v>211</v>
      </c>
      <c r="F84" s="24" t="str">
        <f t="shared" si="2"/>
        <v>rtdc.l.rtdc.4029:itc</v>
      </c>
      <c r="G84" s="8">
        <f t="shared" si="3"/>
        <v>42592.454664351855</v>
      </c>
    </row>
    <row r="85" spans="1:7" x14ac:dyDescent="0.25">
      <c r="A85" s="8">
        <v>42592.46366898148</v>
      </c>
      <c r="B85" s="24" t="s">
        <v>67</v>
      </c>
      <c r="C85" s="24" t="s">
        <v>398</v>
      </c>
      <c r="D85" s="24">
        <v>1280000</v>
      </c>
      <c r="E85" s="24" t="s">
        <v>142</v>
      </c>
      <c r="F85" s="24" t="str">
        <f t="shared" si="2"/>
        <v>rtdc.l.rtdc.4018:itc</v>
      </c>
      <c r="G85" s="8">
        <f t="shared" si="3"/>
        <v>42592.46366898148</v>
      </c>
    </row>
    <row r="86" spans="1:7" x14ac:dyDescent="0.25">
      <c r="A86" s="8">
        <v>42592.465937499997</v>
      </c>
      <c r="B86" s="24" t="s">
        <v>65</v>
      </c>
      <c r="C86" s="24" t="s">
        <v>383</v>
      </c>
      <c r="D86" s="24">
        <v>900000</v>
      </c>
      <c r="E86" s="24" t="s">
        <v>296</v>
      </c>
      <c r="F86" s="24" t="str">
        <f t="shared" si="2"/>
        <v>rtdc.l.rtdc.4019:itc</v>
      </c>
      <c r="G86" s="8">
        <f t="shared" si="3"/>
        <v>42592.465937499997</v>
      </c>
    </row>
    <row r="87" spans="1:7" x14ac:dyDescent="0.25">
      <c r="A87" s="8">
        <v>42592.46912037037</v>
      </c>
      <c r="B87" s="24" t="s">
        <v>604</v>
      </c>
      <c r="C87" s="24" t="s">
        <v>528</v>
      </c>
      <c r="D87" s="24">
        <v>2110000</v>
      </c>
      <c r="E87" s="24" t="s">
        <v>206</v>
      </c>
      <c r="F87" s="24" t="str">
        <f t="shared" si="2"/>
        <v>rtdc.l.rtdc.4044:itc</v>
      </c>
      <c r="G87" s="8">
        <f t="shared" si="3"/>
        <v>42592.46912037037</v>
      </c>
    </row>
    <row r="88" spans="1:7" x14ac:dyDescent="0.25">
      <c r="A88" s="8">
        <v>42592.473055555558</v>
      </c>
      <c r="B88" s="24" t="s">
        <v>602</v>
      </c>
      <c r="C88" s="24" t="s">
        <v>387</v>
      </c>
      <c r="D88" s="24">
        <v>1240000</v>
      </c>
      <c r="E88" s="24" t="s">
        <v>608</v>
      </c>
      <c r="F88" s="24" t="str">
        <f t="shared" si="2"/>
        <v>rtdc.l.rtdc.4010:itc</v>
      </c>
      <c r="G88" s="8">
        <f t="shared" si="3"/>
        <v>42592.473055555558</v>
      </c>
    </row>
    <row r="89" spans="1:7" x14ac:dyDescent="0.25">
      <c r="A89" s="8">
        <v>42592.477488425924</v>
      </c>
      <c r="B89" s="24" t="s">
        <v>106</v>
      </c>
      <c r="C89" s="24" t="s">
        <v>401</v>
      </c>
      <c r="D89" s="24">
        <v>1540000</v>
      </c>
      <c r="E89" s="24" t="s">
        <v>212</v>
      </c>
      <c r="F89" s="24" t="str">
        <f t="shared" si="2"/>
        <v>rtdc.l.rtdc.4007:itc</v>
      </c>
      <c r="G89" s="8">
        <f t="shared" si="3"/>
        <v>42592.477488425924</v>
      </c>
    </row>
    <row r="90" spans="1:7" x14ac:dyDescent="0.25">
      <c r="A90" s="8">
        <v>42592.483078703706</v>
      </c>
      <c r="B90" s="24" t="s">
        <v>123</v>
      </c>
      <c r="C90" s="24" t="s">
        <v>390</v>
      </c>
      <c r="D90" s="24">
        <v>1190000</v>
      </c>
      <c r="E90" s="24" t="s">
        <v>297</v>
      </c>
      <c r="F90" s="24" t="str">
        <f t="shared" si="2"/>
        <v>rtdc.l.rtdc.4015:itc</v>
      </c>
      <c r="G90" s="8">
        <f t="shared" si="3"/>
        <v>42592.483078703706</v>
      </c>
    </row>
    <row r="91" spans="1:7" x14ac:dyDescent="0.25">
      <c r="A91" s="8">
        <v>42592.486006944448</v>
      </c>
      <c r="B91" s="24" t="s">
        <v>603</v>
      </c>
      <c r="C91" s="24" t="s">
        <v>530</v>
      </c>
      <c r="D91" s="24">
        <v>2110000</v>
      </c>
      <c r="E91" s="24" t="s">
        <v>206</v>
      </c>
      <c r="F91" s="24" t="str">
        <f t="shared" si="2"/>
        <v>rtdc.l.rtdc.4043:itc</v>
      </c>
      <c r="G91" s="8">
        <f t="shared" si="3"/>
        <v>42592.486006944448</v>
      </c>
    </row>
    <row r="92" spans="1:7" x14ac:dyDescent="0.25">
      <c r="A92" s="8">
        <v>42592.487303240741</v>
      </c>
      <c r="B92" s="24" t="s">
        <v>210</v>
      </c>
      <c r="C92" s="24" t="s">
        <v>404</v>
      </c>
      <c r="D92" s="24">
        <v>1780000</v>
      </c>
      <c r="E92" s="24" t="s">
        <v>299</v>
      </c>
      <c r="F92" s="24" t="str">
        <f t="shared" si="2"/>
        <v>rtdc.l.rtdc.4040:itc</v>
      </c>
      <c r="G92" s="8">
        <f t="shared" si="3"/>
        <v>42592.487303240741</v>
      </c>
    </row>
    <row r="93" spans="1:7" x14ac:dyDescent="0.25">
      <c r="A93" s="8">
        <v>42592.49622685185</v>
      </c>
      <c r="B93" s="24" t="s">
        <v>102</v>
      </c>
      <c r="C93" s="24" t="s">
        <v>396</v>
      </c>
      <c r="D93" s="24">
        <v>2150000</v>
      </c>
      <c r="E93" s="24" t="s">
        <v>211</v>
      </c>
      <c r="F93" s="24" t="str">
        <f t="shared" si="2"/>
        <v>rtdc.l.rtdc.4030:itc</v>
      </c>
      <c r="G93" s="8">
        <f t="shared" si="3"/>
        <v>42592.49622685185</v>
      </c>
    </row>
    <row r="94" spans="1:7" x14ac:dyDescent="0.25">
      <c r="A94" s="8">
        <v>42592.497060185182</v>
      </c>
      <c r="B94" s="24" t="s">
        <v>66</v>
      </c>
      <c r="C94" s="24" t="s">
        <v>407</v>
      </c>
      <c r="D94" s="24">
        <v>1140000</v>
      </c>
      <c r="E94" s="24" t="s">
        <v>140</v>
      </c>
      <c r="F94" s="24" t="str">
        <f t="shared" si="2"/>
        <v>rtdc.l.rtdc.4020:itc</v>
      </c>
      <c r="G94" s="8">
        <f t="shared" si="3"/>
        <v>42592.497060185182</v>
      </c>
    </row>
    <row r="95" spans="1:7" x14ac:dyDescent="0.25">
      <c r="A95" s="8">
        <v>42592.497384259259</v>
      </c>
      <c r="B95" s="24" t="s">
        <v>68</v>
      </c>
      <c r="C95" s="24" t="s">
        <v>400</v>
      </c>
      <c r="D95" s="24">
        <v>1280000</v>
      </c>
      <c r="E95" s="24" t="s">
        <v>142</v>
      </c>
      <c r="F95" s="24" t="str">
        <f t="shared" si="2"/>
        <v>rtdc.l.rtdc.4017:itc</v>
      </c>
      <c r="G95" s="8">
        <f t="shared" si="3"/>
        <v>42592.497384259259</v>
      </c>
    </row>
    <row r="96" spans="1:7" x14ac:dyDescent="0.25">
      <c r="A96" s="8">
        <v>42592.506365740737</v>
      </c>
      <c r="B96" s="24" t="s">
        <v>123</v>
      </c>
      <c r="C96" s="24" t="s">
        <v>390</v>
      </c>
      <c r="D96" s="24">
        <v>1190000</v>
      </c>
      <c r="E96" s="24" t="s">
        <v>297</v>
      </c>
      <c r="F96" s="24" t="str">
        <f t="shared" si="2"/>
        <v>rtdc.l.rtdc.4015:itc</v>
      </c>
      <c r="G96" s="8">
        <f t="shared" si="3"/>
        <v>42592.506365740737</v>
      </c>
    </row>
    <row r="97" spans="1:7" x14ac:dyDescent="0.25">
      <c r="A97" s="8">
        <v>42592.508344907408</v>
      </c>
      <c r="B97" s="24" t="s">
        <v>605</v>
      </c>
      <c r="C97" s="24" t="s">
        <v>411</v>
      </c>
      <c r="D97" s="24">
        <v>1770000</v>
      </c>
      <c r="E97" s="24" t="s">
        <v>300</v>
      </c>
      <c r="F97" s="24" t="str">
        <f t="shared" si="2"/>
        <v>rtdc.l.rtdc.4009:itc</v>
      </c>
      <c r="G97" s="8">
        <f t="shared" si="3"/>
        <v>42592.508344907408</v>
      </c>
    </row>
    <row r="98" spans="1:7" x14ac:dyDescent="0.25">
      <c r="A98" s="8">
        <v>42592.511030092595</v>
      </c>
      <c r="B98" s="24" t="s">
        <v>604</v>
      </c>
      <c r="C98" s="24" t="s">
        <v>532</v>
      </c>
      <c r="D98" s="24">
        <v>2110000</v>
      </c>
      <c r="E98" s="24" t="s">
        <v>206</v>
      </c>
      <c r="F98" s="24" t="str">
        <f t="shared" si="2"/>
        <v>rtdc.l.rtdc.4044:itc</v>
      </c>
      <c r="G98" s="8">
        <f t="shared" si="3"/>
        <v>42592.511030092595</v>
      </c>
    </row>
    <row r="99" spans="1:7" x14ac:dyDescent="0.25">
      <c r="A99" s="8">
        <v>42592.515393518515</v>
      </c>
      <c r="B99" s="24" t="s">
        <v>105</v>
      </c>
      <c r="C99" s="24" t="s">
        <v>402</v>
      </c>
      <c r="D99" s="24">
        <v>1540000</v>
      </c>
      <c r="E99" s="24" t="s">
        <v>212</v>
      </c>
      <c r="F99" s="24" t="str">
        <f t="shared" si="2"/>
        <v>rtdc.l.rtdc.4008:itc</v>
      </c>
      <c r="G99" s="8">
        <f t="shared" si="3"/>
        <v>42592.515393518515</v>
      </c>
    </row>
    <row r="100" spans="1:7" x14ac:dyDescent="0.25">
      <c r="A100" s="8">
        <v>42592.521516203706</v>
      </c>
      <c r="B100" s="24" t="s">
        <v>124</v>
      </c>
      <c r="C100" s="24" t="s">
        <v>413</v>
      </c>
      <c r="D100" s="24">
        <v>2090000</v>
      </c>
      <c r="E100" s="24" t="s">
        <v>213</v>
      </c>
      <c r="F100" s="24" t="str">
        <f t="shared" si="2"/>
        <v>rtdc.l.rtdc.4016:itc</v>
      </c>
      <c r="G100" s="8">
        <f t="shared" si="3"/>
        <v>42592.521516203706</v>
      </c>
    </row>
    <row r="101" spans="1:7" x14ac:dyDescent="0.25">
      <c r="A101" s="8">
        <v>42592.525393518517</v>
      </c>
      <c r="B101" s="24" t="s">
        <v>209</v>
      </c>
      <c r="C101" s="24" t="s">
        <v>406</v>
      </c>
      <c r="D101" s="24">
        <v>1780000</v>
      </c>
      <c r="E101" s="24" t="s">
        <v>299</v>
      </c>
      <c r="F101" s="24" t="str">
        <f t="shared" si="2"/>
        <v>rtdc.l.rtdc.4039:itc</v>
      </c>
      <c r="G101" s="8">
        <f t="shared" si="3"/>
        <v>42592.525393518517</v>
      </c>
    </row>
    <row r="102" spans="1:7" x14ac:dyDescent="0.25">
      <c r="A102" s="8">
        <v>42592.527592592596</v>
      </c>
      <c r="B102" s="24" t="s">
        <v>603</v>
      </c>
      <c r="C102" s="24" t="s">
        <v>535</v>
      </c>
      <c r="D102" s="24">
        <v>2110000</v>
      </c>
      <c r="E102" s="24" t="s">
        <v>206</v>
      </c>
      <c r="F102" s="24" t="str">
        <f t="shared" si="2"/>
        <v>rtdc.l.rtdc.4043:itc</v>
      </c>
      <c r="G102" s="8">
        <f t="shared" si="3"/>
        <v>42592.527592592596</v>
      </c>
    </row>
    <row r="103" spans="1:7" x14ac:dyDescent="0.25">
      <c r="A103" s="8">
        <v>42592.528645833336</v>
      </c>
      <c r="B103" s="24" t="s">
        <v>101</v>
      </c>
      <c r="C103" s="24" t="s">
        <v>415</v>
      </c>
      <c r="D103" s="24">
        <v>2150000</v>
      </c>
      <c r="E103" s="24" t="s">
        <v>211</v>
      </c>
      <c r="F103" s="24" t="str">
        <f t="shared" si="2"/>
        <v>rtdc.l.rtdc.4029:itc</v>
      </c>
      <c r="G103" s="8">
        <f t="shared" si="3"/>
        <v>42592.528645833336</v>
      </c>
    </row>
    <row r="104" spans="1:7" x14ac:dyDescent="0.25">
      <c r="A104" s="8">
        <v>42592.531087962961</v>
      </c>
      <c r="B104" s="24" t="s">
        <v>65</v>
      </c>
      <c r="C104" s="24" t="s">
        <v>408</v>
      </c>
      <c r="D104" s="24">
        <v>1140000</v>
      </c>
      <c r="E104" s="24" t="s">
        <v>140</v>
      </c>
      <c r="F104" s="24" t="str">
        <f t="shared" si="2"/>
        <v>rtdc.l.rtdc.4019:itc</v>
      </c>
      <c r="G104" s="8">
        <f t="shared" si="3"/>
        <v>42592.531087962961</v>
      </c>
    </row>
    <row r="105" spans="1:7" x14ac:dyDescent="0.25">
      <c r="A105" s="8">
        <v>42592.537291666667</v>
      </c>
      <c r="B105" s="24" t="s">
        <v>67</v>
      </c>
      <c r="C105" s="24" t="s">
        <v>418</v>
      </c>
      <c r="D105" s="24">
        <v>1280000</v>
      </c>
      <c r="E105" s="24" t="s">
        <v>142</v>
      </c>
      <c r="F105" s="24" t="str">
        <f t="shared" si="2"/>
        <v>rtdc.l.rtdc.4018:itc</v>
      </c>
      <c r="G105" s="8">
        <f t="shared" si="3"/>
        <v>42592.537291666667</v>
      </c>
    </row>
    <row r="106" spans="1:7" x14ac:dyDescent="0.25">
      <c r="A106" s="8">
        <v>42592.544953703706</v>
      </c>
      <c r="B106" s="24" t="s">
        <v>602</v>
      </c>
      <c r="C106" s="24" t="s">
        <v>412</v>
      </c>
      <c r="D106" s="24">
        <v>1770000</v>
      </c>
      <c r="E106" s="24" t="s">
        <v>300</v>
      </c>
      <c r="F106" s="24" t="str">
        <f t="shared" si="2"/>
        <v>rtdc.l.rtdc.4010:itc</v>
      </c>
      <c r="G106" s="8">
        <f t="shared" si="3"/>
        <v>42592.544953703706</v>
      </c>
    </row>
    <row r="107" spans="1:7" x14ac:dyDescent="0.25">
      <c r="A107" s="8">
        <v>42592.549849537034</v>
      </c>
      <c r="B107" s="24" t="s">
        <v>604</v>
      </c>
      <c r="C107" s="24" t="s">
        <v>537</v>
      </c>
      <c r="D107" s="24">
        <v>2040000</v>
      </c>
      <c r="E107" s="24" t="s">
        <v>610</v>
      </c>
      <c r="F107" s="24" t="str">
        <f t="shared" si="2"/>
        <v>rtdc.l.rtdc.4044:itc</v>
      </c>
      <c r="G107" s="8">
        <f t="shared" si="3"/>
        <v>42592.549849537034</v>
      </c>
    </row>
    <row r="108" spans="1:7" x14ac:dyDescent="0.25">
      <c r="A108" s="8">
        <v>42592.550856481481</v>
      </c>
      <c r="B108" s="24" t="s">
        <v>106</v>
      </c>
      <c r="C108" s="24" t="s">
        <v>420</v>
      </c>
      <c r="D108" s="24">
        <v>1540000</v>
      </c>
      <c r="E108" s="24" t="s">
        <v>212</v>
      </c>
      <c r="F108" s="24" t="str">
        <f t="shared" si="2"/>
        <v>rtdc.l.rtdc.4007:itc</v>
      </c>
      <c r="G108" s="8">
        <f t="shared" si="3"/>
        <v>42592.550856481481</v>
      </c>
    </row>
    <row r="109" spans="1:7" x14ac:dyDescent="0.25">
      <c r="A109" s="8">
        <v>42592.558946759258</v>
      </c>
      <c r="B109" s="24" t="s">
        <v>123</v>
      </c>
      <c r="C109" s="24" t="s">
        <v>414</v>
      </c>
      <c r="D109" s="24">
        <v>2090000</v>
      </c>
      <c r="E109" s="24" t="s">
        <v>213</v>
      </c>
      <c r="F109" s="24" t="str">
        <f t="shared" si="2"/>
        <v>rtdc.l.rtdc.4015:itc</v>
      </c>
      <c r="G109" s="8">
        <f t="shared" si="3"/>
        <v>42592.558946759258</v>
      </c>
    </row>
    <row r="110" spans="1:7" x14ac:dyDescent="0.25">
      <c r="A110" s="8">
        <v>42592.560208333336</v>
      </c>
      <c r="B110" s="24" t="s">
        <v>210</v>
      </c>
      <c r="C110" s="24" t="s">
        <v>422</v>
      </c>
      <c r="D110" s="24">
        <v>1780000</v>
      </c>
      <c r="E110" s="24" t="s">
        <v>299</v>
      </c>
      <c r="F110" s="24" t="str">
        <f t="shared" si="2"/>
        <v>rtdc.l.rtdc.4040:itc</v>
      </c>
      <c r="G110" s="8">
        <f t="shared" si="3"/>
        <v>42592.560208333336</v>
      </c>
    </row>
    <row r="111" spans="1:7" x14ac:dyDescent="0.25">
      <c r="A111" s="8">
        <v>42592.566331018519</v>
      </c>
      <c r="B111" s="24" t="s">
        <v>102</v>
      </c>
      <c r="C111" s="24" t="s">
        <v>416</v>
      </c>
      <c r="D111" s="24">
        <v>2150000</v>
      </c>
      <c r="E111" s="24" t="s">
        <v>211</v>
      </c>
      <c r="F111" s="24" t="str">
        <f t="shared" si="2"/>
        <v>rtdc.l.rtdc.4030:itc</v>
      </c>
      <c r="G111" s="8">
        <f t="shared" si="3"/>
        <v>42592.566331018519</v>
      </c>
    </row>
    <row r="112" spans="1:7" x14ac:dyDescent="0.25">
      <c r="A112" s="8">
        <v>42592.570277777777</v>
      </c>
      <c r="B112" s="24" t="s">
        <v>603</v>
      </c>
      <c r="C112" s="24" t="s">
        <v>539</v>
      </c>
      <c r="D112" s="24">
        <v>2040000</v>
      </c>
      <c r="E112" s="24" t="s">
        <v>610</v>
      </c>
      <c r="F112" s="24" t="str">
        <f t="shared" si="2"/>
        <v>rtdc.l.rtdc.4043:itc</v>
      </c>
      <c r="G112" s="8">
        <f t="shared" si="3"/>
        <v>42592.570277777777</v>
      </c>
    </row>
    <row r="113" spans="1:7" x14ac:dyDescent="0.25">
      <c r="A113" s="8">
        <v>42592.571701388886</v>
      </c>
      <c r="B113" s="24" t="s">
        <v>66</v>
      </c>
      <c r="C113" s="24" t="s">
        <v>425</v>
      </c>
      <c r="D113" s="24">
        <v>1140000</v>
      </c>
      <c r="E113" s="24" t="s">
        <v>140</v>
      </c>
      <c r="F113" s="24" t="str">
        <f t="shared" si="2"/>
        <v>rtdc.l.rtdc.4020:itc</v>
      </c>
      <c r="G113" s="8">
        <f t="shared" si="3"/>
        <v>42592.571701388886</v>
      </c>
    </row>
    <row r="114" spans="1:7" x14ac:dyDescent="0.25">
      <c r="A114" s="8">
        <v>42592.577974537038</v>
      </c>
      <c r="B114" s="24" t="s">
        <v>68</v>
      </c>
      <c r="C114" s="24" t="s">
        <v>419</v>
      </c>
      <c r="D114" s="24">
        <v>1280000</v>
      </c>
      <c r="E114" s="24" t="s">
        <v>142</v>
      </c>
      <c r="F114" s="24" t="str">
        <f t="shared" si="2"/>
        <v>rtdc.l.rtdc.4017:itc</v>
      </c>
      <c r="G114" s="8">
        <f t="shared" si="3"/>
        <v>42592.577974537038</v>
      </c>
    </row>
    <row r="115" spans="1:7" x14ac:dyDescent="0.25">
      <c r="A115" s="8">
        <v>42592.579606481479</v>
      </c>
      <c r="B115" s="24" t="s">
        <v>605</v>
      </c>
      <c r="C115" s="24" t="s">
        <v>427</v>
      </c>
      <c r="D115" s="24">
        <v>1770000</v>
      </c>
      <c r="E115" s="24" t="s">
        <v>300</v>
      </c>
      <c r="F115" s="24" t="str">
        <f t="shared" si="2"/>
        <v>rtdc.l.rtdc.4009:itc</v>
      </c>
      <c r="G115" s="8">
        <f t="shared" si="3"/>
        <v>42592.579606481479</v>
      </c>
    </row>
    <row r="116" spans="1:7" x14ac:dyDescent="0.25">
      <c r="A116" s="8">
        <v>42592.588217592594</v>
      </c>
      <c r="B116" s="24" t="s">
        <v>105</v>
      </c>
      <c r="C116" s="24" t="s">
        <v>421</v>
      </c>
      <c r="D116" s="24">
        <v>1540000</v>
      </c>
      <c r="E116" s="24" t="s">
        <v>212</v>
      </c>
      <c r="F116" s="24" t="str">
        <f t="shared" si="2"/>
        <v>rtdc.l.rtdc.4008:itc</v>
      </c>
      <c r="G116" s="8">
        <f t="shared" si="3"/>
        <v>42592.588217592594</v>
      </c>
    </row>
    <row r="117" spans="1:7" x14ac:dyDescent="0.25">
      <c r="A117" s="8">
        <v>42592.592094907406</v>
      </c>
      <c r="B117" s="24" t="s">
        <v>124</v>
      </c>
      <c r="C117" s="24" t="s">
        <v>428</v>
      </c>
      <c r="D117" s="24">
        <v>2090000</v>
      </c>
      <c r="E117" s="24" t="s">
        <v>213</v>
      </c>
      <c r="F117" s="24" t="str">
        <f t="shared" si="2"/>
        <v>rtdc.l.rtdc.4016:itc</v>
      </c>
      <c r="G117" s="8">
        <f t="shared" si="3"/>
        <v>42592.592094907406</v>
      </c>
    </row>
    <row r="118" spans="1:7" x14ac:dyDescent="0.25">
      <c r="A118" s="8">
        <v>42592.595370370371</v>
      </c>
      <c r="B118" s="24" t="s">
        <v>604</v>
      </c>
      <c r="C118" s="24" t="s">
        <v>542</v>
      </c>
      <c r="D118" s="24">
        <v>2040000</v>
      </c>
      <c r="E118" s="24" t="s">
        <v>610</v>
      </c>
      <c r="F118" s="24" t="str">
        <f t="shared" si="2"/>
        <v>rtdc.l.rtdc.4044:itc</v>
      </c>
      <c r="G118" s="8">
        <f t="shared" si="3"/>
        <v>42592.595370370371</v>
      </c>
    </row>
    <row r="119" spans="1:7" x14ac:dyDescent="0.25">
      <c r="A119" s="8">
        <v>42592.597546296296</v>
      </c>
      <c r="B119" s="24" t="s">
        <v>209</v>
      </c>
      <c r="C119" s="24" t="s">
        <v>423</v>
      </c>
      <c r="D119" s="24">
        <v>1780000</v>
      </c>
      <c r="E119" s="24" t="s">
        <v>299</v>
      </c>
      <c r="F119" s="24" t="str">
        <f t="shared" si="2"/>
        <v>rtdc.l.rtdc.4039:itc</v>
      </c>
      <c r="G119" s="8">
        <f t="shared" si="3"/>
        <v>42592.597546296296</v>
      </c>
    </row>
    <row r="120" spans="1:7" x14ac:dyDescent="0.25">
      <c r="A120" s="8">
        <v>42592.6</v>
      </c>
      <c r="B120" s="24" t="s">
        <v>101</v>
      </c>
      <c r="C120" s="24" t="s">
        <v>432</v>
      </c>
      <c r="D120" s="24">
        <v>2150000</v>
      </c>
      <c r="E120" s="24" t="s">
        <v>211</v>
      </c>
      <c r="F120" s="24" t="str">
        <f t="shared" si="2"/>
        <v>rtdc.l.rtdc.4029:itc</v>
      </c>
      <c r="G120" s="8">
        <f t="shared" si="3"/>
        <v>42592.6</v>
      </c>
    </row>
    <row r="121" spans="1:7" x14ac:dyDescent="0.25">
      <c r="A121" s="8">
        <v>42592.608113425929</v>
      </c>
      <c r="B121" s="24" t="s">
        <v>65</v>
      </c>
      <c r="C121" s="24" t="s">
        <v>441</v>
      </c>
      <c r="D121" s="24">
        <v>1140000</v>
      </c>
      <c r="E121" s="24" t="s">
        <v>140</v>
      </c>
      <c r="F121" s="24" t="str">
        <f t="shared" si="2"/>
        <v>rtdc.l.rtdc.4019:itc</v>
      </c>
      <c r="G121" s="8">
        <f t="shared" si="3"/>
        <v>42592.608113425929</v>
      </c>
    </row>
    <row r="122" spans="1:7" x14ac:dyDescent="0.25">
      <c r="A122" s="8">
        <v>42592.609432870369</v>
      </c>
      <c r="B122" s="29" t="s">
        <v>65</v>
      </c>
      <c r="C122" s="24" t="s">
        <v>426</v>
      </c>
      <c r="D122" s="24">
        <v>1140000</v>
      </c>
      <c r="E122" s="24" t="s">
        <v>140</v>
      </c>
      <c r="F122" s="24" t="str">
        <f t="shared" si="2"/>
        <v>rtdc.l.rtdc.4019:itc</v>
      </c>
      <c r="G122" s="8">
        <f t="shared" si="3"/>
        <v>42592.609432870369</v>
      </c>
    </row>
    <row r="123" spans="1:7" x14ac:dyDescent="0.25">
      <c r="A123" s="8">
        <v>42592.609652777777</v>
      </c>
      <c r="B123" s="24" t="s">
        <v>603</v>
      </c>
      <c r="C123" s="24" t="s">
        <v>545</v>
      </c>
      <c r="D123" s="24">
        <v>2040000</v>
      </c>
      <c r="E123" s="24" t="s">
        <v>610</v>
      </c>
      <c r="F123" s="24" t="str">
        <f t="shared" si="2"/>
        <v>rtdc.l.rtdc.4043:itc</v>
      </c>
      <c r="G123" s="8">
        <f t="shared" si="3"/>
        <v>42592.609652777777</v>
      </c>
    </row>
    <row r="124" spans="1:7" x14ac:dyDescent="0.25">
      <c r="A124" s="8">
        <v>42592.610798611109</v>
      </c>
      <c r="B124" s="24" t="s">
        <v>67</v>
      </c>
      <c r="C124" s="24" t="s">
        <v>434</v>
      </c>
      <c r="D124" s="24">
        <v>1280000</v>
      </c>
      <c r="E124" s="24" t="s">
        <v>142</v>
      </c>
      <c r="F124" s="24" t="str">
        <f t="shared" si="2"/>
        <v>rtdc.l.rtdc.4018:itc</v>
      </c>
      <c r="G124" s="8">
        <f t="shared" si="3"/>
        <v>42592.610798611109</v>
      </c>
    </row>
    <row r="125" spans="1:7" x14ac:dyDescent="0.25">
      <c r="A125" s="8">
        <v>42592.629108796296</v>
      </c>
      <c r="B125" s="24" t="s">
        <v>123</v>
      </c>
      <c r="C125" s="24" t="s">
        <v>430</v>
      </c>
      <c r="D125" s="24">
        <v>2090000</v>
      </c>
      <c r="E125" s="24" t="s">
        <v>213</v>
      </c>
      <c r="F125" s="24" t="str">
        <f t="shared" si="2"/>
        <v>rtdc.l.rtdc.4015:itc</v>
      </c>
      <c r="G125" s="8">
        <f t="shared" si="3"/>
        <v>42592.629108796296</v>
      </c>
    </row>
    <row r="126" spans="1:7" x14ac:dyDescent="0.25">
      <c r="A126" s="8">
        <v>42592.631932870368</v>
      </c>
      <c r="B126" s="24" t="s">
        <v>101</v>
      </c>
      <c r="C126" s="24" t="s">
        <v>435</v>
      </c>
      <c r="D126" s="24">
        <v>1280000</v>
      </c>
      <c r="E126" s="24" t="s">
        <v>142</v>
      </c>
      <c r="F126" s="24" t="str">
        <f t="shared" si="2"/>
        <v>rtdc.l.rtdc.4029:itc</v>
      </c>
      <c r="G126" s="8">
        <f t="shared" si="3"/>
        <v>42592.631932870368</v>
      </c>
    </row>
    <row r="127" spans="1:7" x14ac:dyDescent="0.25">
      <c r="A127" s="8">
        <v>42592.637858796297</v>
      </c>
      <c r="B127" s="24" t="s">
        <v>604</v>
      </c>
      <c r="C127" s="24" t="s">
        <v>548</v>
      </c>
      <c r="D127" s="24">
        <v>2040000</v>
      </c>
      <c r="E127" s="24" t="s">
        <v>610</v>
      </c>
      <c r="F127" s="24" t="str">
        <f t="shared" si="2"/>
        <v>rtdc.l.rtdc.4044:itc</v>
      </c>
      <c r="G127" s="8">
        <f t="shared" si="3"/>
        <v>42592.637858796297</v>
      </c>
    </row>
    <row r="128" spans="1:7" x14ac:dyDescent="0.25">
      <c r="A128" s="8">
        <v>42592.643645833334</v>
      </c>
      <c r="B128" s="24" t="s">
        <v>99</v>
      </c>
      <c r="C128" s="24" t="s">
        <v>596</v>
      </c>
      <c r="D128" s="24">
        <v>2100000</v>
      </c>
      <c r="E128" s="24" t="s">
        <v>214</v>
      </c>
      <c r="F128" s="24" t="str">
        <f t="shared" si="2"/>
        <v>rtdc.l.rtdc.4013:itc</v>
      </c>
      <c r="G128" s="8">
        <f t="shared" si="3"/>
        <v>42592.643645833334</v>
      </c>
    </row>
    <row r="129" spans="1:7" x14ac:dyDescent="0.25">
      <c r="A129" s="8">
        <v>42592.65315972222</v>
      </c>
      <c r="B129" s="24" t="s">
        <v>603</v>
      </c>
      <c r="C129" s="24" t="s">
        <v>550</v>
      </c>
      <c r="D129" s="24">
        <v>2040000</v>
      </c>
      <c r="E129" s="24" t="s">
        <v>610</v>
      </c>
      <c r="F129" s="24" t="str">
        <f t="shared" si="2"/>
        <v>rtdc.l.rtdc.4043:itc</v>
      </c>
      <c r="G129" s="8">
        <f t="shared" si="3"/>
        <v>42592.65315972222</v>
      </c>
    </row>
    <row r="130" spans="1:7" x14ac:dyDescent="0.25">
      <c r="A130" s="8">
        <v>42592.653773148151</v>
      </c>
      <c r="B130" s="24" t="s">
        <v>106</v>
      </c>
      <c r="C130" s="24" t="s">
        <v>441</v>
      </c>
      <c r="D130" s="24">
        <v>1540000</v>
      </c>
      <c r="E130" s="24" t="s">
        <v>212</v>
      </c>
      <c r="F130" s="24" t="str">
        <f t="shared" ref="F130:F193" si="4">B130</f>
        <v>rtdc.l.rtdc.4007:itc</v>
      </c>
      <c r="G130" s="8">
        <f t="shared" ref="G130:G193" si="5">A130</f>
        <v>42592.653773148151</v>
      </c>
    </row>
    <row r="131" spans="1:7" x14ac:dyDescent="0.25">
      <c r="A131" s="8">
        <v>42592.658425925925</v>
      </c>
      <c r="B131" s="24" t="s">
        <v>136</v>
      </c>
      <c r="C131" s="24" t="s">
        <v>553</v>
      </c>
      <c r="D131" s="24">
        <v>2100000</v>
      </c>
      <c r="E131" s="24" t="s">
        <v>214</v>
      </c>
      <c r="F131" s="24" t="str">
        <f t="shared" si="4"/>
        <v>rtdc.l.rtdc.4014:itc</v>
      </c>
      <c r="G131" s="8">
        <f t="shared" si="5"/>
        <v>42592.658425925925</v>
      </c>
    </row>
    <row r="132" spans="1:7" x14ac:dyDescent="0.25">
      <c r="A132" s="8">
        <v>42592.659560185188</v>
      </c>
      <c r="B132" s="24" t="s">
        <v>602</v>
      </c>
      <c r="C132" s="24" t="s">
        <v>427</v>
      </c>
      <c r="D132" s="24">
        <v>1770000</v>
      </c>
      <c r="E132" s="24" t="s">
        <v>300</v>
      </c>
      <c r="F132" s="24" t="str">
        <f t="shared" si="4"/>
        <v>rtdc.l.rtdc.4010:itc</v>
      </c>
      <c r="G132" s="8">
        <f t="shared" si="5"/>
        <v>42592.659560185188</v>
      </c>
    </row>
    <row r="133" spans="1:7" x14ac:dyDescent="0.25">
      <c r="A133" s="8">
        <v>42592.659849537034</v>
      </c>
      <c r="B133" s="24" t="s">
        <v>68</v>
      </c>
      <c r="C133" s="24" t="s">
        <v>438</v>
      </c>
      <c r="D133" s="24">
        <v>1280000</v>
      </c>
      <c r="E133" s="24" t="s">
        <v>142</v>
      </c>
      <c r="F133" s="24" t="str">
        <f t="shared" si="4"/>
        <v>rtdc.l.rtdc.4017:itc</v>
      </c>
      <c r="G133" s="8">
        <f t="shared" si="5"/>
        <v>42592.659849537034</v>
      </c>
    </row>
    <row r="134" spans="1:7" x14ac:dyDescent="0.25">
      <c r="A134" s="8">
        <v>42592.661377314813</v>
      </c>
      <c r="B134" s="24" t="s">
        <v>124</v>
      </c>
      <c r="C134" s="24" t="s">
        <v>446</v>
      </c>
      <c r="D134" s="24">
        <v>2090000</v>
      </c>
      <c r="E134" s="24" t="s">
        <v>213</v>
      </c>
      <c r="F134" s="24" t="str">
        <f t="shared" si="4"/>
        <v>rtdc.l.rtdc.4016:itc</v>
      </c>
      <c r="G134" s="8">
        <f t="shared" si="5"/>
        <v>42592.661377314813</v>
      </c>
    </row>
    <row r="135" spans="1:7" x14ac:dyDescent="0.25">
      <c r="A135" s="8">
        <v>42592.672430555554</v>
      </c>
      <c r="B135" s="24" t="s">
        <v>99</v>
      </c>
      <c r="C135" s="24" t="s">
        <v>554</v>
      </c>
      <c r="D135" s="24">
        <v>2100000</v>
      </c>
      <c r="E135" s="24" t="s">
        <v>214</v>
      </c>
      <c r="F135" s="24" t="str">
        <f t="shared" si="4"/>
        <v>rtdc.l.rtdc.4013:itc</v>
      </c>
      <c r="G135" s="8">
        <f t="shared" si="5"/>
        <v>42592.672430555554</v>
      </c>
    </row>
    <row r="136" spans="1:7" x14ac:dyDescent="0.25">
      <c r="A136" s="8">
        <v>42592.678078703706</v>
      </c>
      <c r="B136" s="24" t="s">
        <v>604</v>
      </c>
      <c r="C136" s="24" t="s">
        <v>556</v>
      </c>
      <c r="D136" s="24">
        <v>2040000</v>
      </c>
      <c r="E136" s="24" t="s">
        <v>610</v>
      </c>
      <c r="F136" s="24" t="str">
        <f t="shared" si="4"/>
        <v>rtdc.l.rtdc.4044:itc</v>
      </c>
      <c r="G136" s="8">
        <f t="shared" si="5"/>
        <v>42592.678078703706</v>
      </c>
    </row>
    <row r="137" spans="1:7" x14ac:dyDescent="0.25">
      <c r="A137" s="8">
        <v>42592.686435185184</v>
      </c>
      <c r="B137" s="24" t="s">
        <v>105</v>
      </c>
      <c r="C137" s="24" t="s">
        <v>444</v>
      </c>
      <c r="D137" s="24">
        <v>1540000</v>
      </c>
      <c r="E137" s="24" t="s">
        <v>212</v>
      </c>
      <c r="F137" s="24" t="str">
        <f t="shared" si="4"/>
        <v>rtdc.l.rtdc.4008:itc</v>
      </c>
      <c r="G137" s="8">
        <f t="shared" si="5"/>
        <v>42592.686435185184</v>
      </c>
    </row>
    <row r="138" spans="1:7" x14ac:dyDescent="0.25">
      <c r="A138" s="8">
        <v>42592.693090277775</v>
      </c>
      <c r="B138" s="24" t="s">
        <v>123</v>
      </c>
      <c r="C138" s="24" t="s">
        <v>448</v>
      </c>
      <c r="D138" s="24">
        <v>2090000</v>
      </c>
      <c r="E138" s="24" t="s">
        <v>213</v>
      </c>
      <c r="F138" s="24" t="str">
        <f t="shared" si="4"/>
        <v>rtdc.l.rtdc.4015:itc</v>
      </c>
      <c r="G138" s="8">
        <f t="shared" si="5"/>
        <v>42592.693090277775</v>
      </c>
    </row>
    <row r="139" spans="1:7" x14ac:dyDescent="0.25">
      <c r="A139" s="8">
        <v>42592.693124999998</v>
      </c>
      <c r="B139" s="24" t="s">
        <v>603</v>
      </c>
      <c r="C139" s="24" t="s">
        <v>559</v>
      </c>
      <c r="D139" s="24">
        <v>2040000</v>
      </c>
      <c r="E139" s="24" t="s">
        <v>610</v>
      </c>
      <c r="F139" s="24" t="str">
        <f t="shared" si="4"/>
        <v>rtdc.l.rtdc.4043:itc</v>
      </c>
      <c r="G139" s="8">
        <f t="shared" si="5"/>
        <v>42592.693124999998</v>
      </c>
    </row>
    <row r="140" spans="1:7" x14ac:dyDescent="0.25">
      <c r="A140" s="8">
        <v>42592.697928240741</v>
      </c>
      <c r="B140" s="24" t="s">
        <v>136</v>
      </c>
      <c r="C140" s="24" t="s">
        <v>562</v>
      </c>
      <c r="D140" s="24">
        <v>2100000</v>
      </c>
      <c r="E140" s="24" t="s">
        <v>214</v>
      </c>
      <c r="F140" s="24" t="str">
        <f t="shared" si="4"/>
        <v>rtdc.l.rtdc.4014:itc</v>
      </c>
      <c r="G140" s="8">
        <f t="shared" si="5"/>
        <v>42592.697928240741</v>
      </c>
    </row>
    <row r="141" spans="1:7" x14ac:dyDescent="0.25">
      <c r="A141" s="8">
        <v>42592.698333333334</v>
      </c>
      <c r="B141" s="24" t="s">
        <v>67</v>
      </c>
      <c r="C141" s="24" t="s">
        <v>457</v>
      </c>
      <c r="D141" s="24">
        <v>1280000</v>
      </c>
      <c r="E141" s="24" t="s">
        <v>142</v>
      </c>
      <c r="F141" s="24" t="str">
        <f t="shared" si="4"/>
        <v>rtdc.l.rtdc.4018:itc</v>
      </c>
      <c r="G141" s="8">
        <f t="shared" si="5"/>
        <v>42592.698333333334</v>
      </c>
    </row>
    <row r="142" spans="1:7" x14ac:dyDescent="0.25">
      <c r="A142" s="8">
        <v>42592.699143518519</v>
      </c>
      <c r="B142" s="24" t="s">
        <v>67</v>
      </c>
      <c r="C142" s="24" t="s">
        <v>457</v>
      </c>
      <c r="D142" s="24">
        <v>1280000</v>
      </c>
      <c r="E142" s="24" t="s">
        <v>142</v>
      </c>
      <c r="F142" s="24" t="str">
        <f t="shared" si="4"/>
        <v>rtdc.l.rtdc.4018:itc</v>
      </c>
      <c r="G142" s="8">
        <f t="shared" si="5"/>
        <v>42592.699143518519</v>
      </c>
    </row>
    <row r="143" spans="1:7" x14ac:dyDescent="0.25">
      <c r="A143" s="8">
        <v>42592.710416666669</v>
      </c>
      <c r="B143" s="24" t="s">
        <v>602</v>
      </c>
      <c r="C143" s="24" t="s">
        <v>427</v>
      </c>
      <c r="D143" s="24">
        <v>1770000</v>
      </c>
      <c r="E143" s="24" t="s">
        <v>300</v>
      </c>
      <c r="F143" s="24" t="str">
        <f t="shared" si="4"/>
        <v>rtdc.l.rtdc.4010:itc</v>
      </c>
      <c r="G143" s="8">
        <f t="shared" si="5"/>
        <v>42592.710416666669</v>
      </c>
    </row>
    <row r="144" spans="1:7" x14ac:dyDescent="0.25">
      <c r="A144" s="8">
        <v>42592.711168981485</v>
      </c>
      <c r="B144" s="24" t="s">
        <v>602</v>
      </c>
      <c r="C144" s="24" t="s">
        <v>450</v>
      </c>
      <c r="D144" s="24">
        <v>1770000</v>
      </c>
      <c r="E144" s="24" t="s">
        <v>300</v>
      </c>
      <c r="F144" s="24" t="str">
        <f t="shared" si="4"/>
        <v>rtdc.l.rtdc.4010:itc</v>
      </c>
      <c r="G144" s="8">
        <f t="shared" si="5"/>
        <v>42592.711168981485</v>
      </c>
    </row>
    <row r="145" spans="1:7" x14ac:dyDescent="0.25">
      <c r="A145" s="8">
        <v>42592.712685185186</v>
      </c>
      <c r="B145" s="24" t="s">
        <v>106</v>
      </c>
      <c r="C145" s="24" t="s">
        <v>462</v>
      </c>
      <c r="D145" s="24">
        <v>1540000</v>
      </c>
      <c r="E145" s="24" t="s">
        <v>212</v>
      </c>
      <c r="F145" s="24" t="str">
        <f t="shared" si="4"/>
        <v>rtdc.l.rtdc.4007:itc</v>
      </c>
      <c r="G145" s="8">
        <f t="shared" si="5"/>
        <v>42592.712685185186</v>
      </c>
    </row>
    <row r="146" spans="1:7" x14ac:dyDescent="0.25">
      <c r="A146" s="8">
        <v>42592.713796296295</v>
      </c>
      <c r="B146" s="24" t="s">
        <v>99</v>
      </c>
      <c r="C146" s="24" t="s">
        <v>563</v>
      </c>
      <c r="D146" s="24">
        <v>2100000</v>
      </c>
      <c r="E146" s="24" t="s">
        <v>214</v>
      </c>
      <c r="F146" s="24" t="str">
        <f t="shared" si="4"/>
        <v>rtdc.l.rtdc.4013:itc</v>
      </c>
      <c r="G146" s="8">
        <f t="shared" si="5"/>
        <v>42592.713796296295</v>
      </c>
    </row>
    <row r="147" spans="1:7" x14ac:dyDescent="0.25">
      <c r="A147" s="8">
        <v>42592.719629629632</v>
      </c>
      <c r="B147" s="24" t="s">
        <v>604</v>
      </c>
      <c r="C147" s="24" t="s">
        <v>566</v>
      </c>
      <c r="D147" s="24">
        <v>2040000</v>
      </c>
      <c r="E147" s="24" t="s">
        <v>610</v>
      </c>
      <c r="F147" s="24" t="str">
        <f t="shared" si="4"/>
        <v>rtdc.l.rtdc.4044:itc</v>
      </c>
      <c r="G147" s="8">
        <f t="shared" si="5"/>
        <v>42592.719629629632</v>
      </c>
    </row>
    <row r="148" spans="1:7" x14ac:dyDescent="0.25">
      <c r="A148" s="8">
        <v>42592.723263888889</v>
      </c>
      <c r="B148" s="24" t="s">
        <v>102</v>
      </c>
      <c r="C148" s="24" t="s">
        <v>611</v>
      </c>
      <c r="D148" s="24">
        <v>1740000</v>
      </c>
      <c r="E148" s="24" t="s">
        <v>189</v>
      </c>
      <c r="F148" s="24" t="str">
        <f t="shared" si="4"/>
        <v>rtdc.l.rtdc.4030:itc</v>
      </c>
      <c r="G148" s="8">
        <f t="shared" si="5"/>
        <v>42592.723263888889</v>
      </c>
    </row>
    <row r="149" spans="1:7" x14ac:dyDescent="0.25">
      <c r="A149" s="8">
        <v>42592.72420138889</v>
      </c>
      <c r="B149" s="24" t="s">
        <v>102</v>
      </c>
      <c r="C149" s="24" t="s">
        <v>452</v>
      </c>
      <c r="D149" s="24">
        <v>1740000</v>
      </c>
      <c r="E149" s="24" t="s">
        <v>189</v>
      </c>
      <c r="F149" s="24" t="str">
        <f t="shared" si="4"/>
        <v>rtdc.l.rtdc.4030:itc</v>
      </c>
      <c r="G149" s="8">
        <f t="shared" si="5"/>
        <v>42592.72420138889</v>
      </c>
    </row>
    <row r="150" spans="1:7" x14ac:dyDescent="0.25">
      <c r="A150" s="8">
        <v>42592.726076388892</v>
      </c>
      <c r="B150" s="24" t="s">
        <v>124</v>
      </c>
      <c r="C150" s="24" t="s">
        <v>466</v>
      </c>
      <c r="D150" s="24">
        <v>1480000</v>
      </c>
      <c r="E150" s="24" t="s">
        <v>207</v>
      </c>
      <c r="F150" s="24" t="str">
        <f t="shared" si="4"/>
        <v>rtdc.l.rtdc.4016:itc</v>
      </c>
      <c r="G150" s="8">
        <f t="shared" si="5"/>
        <v>42592.726076388892</v>
      </c>
    </row>
    <row r="151" spans="1:7" x14ac:dyDescent="0.25">
      <c r="A151" s="8">
        <v>42592.733067129629</v>
      </c>
      <c r="B151" s="24" t="s">
        <v>68</v>
      </c>
      <c r="C151" s="24" t="s">
        <v>454</v>
      </c>
      <c r="D151" s="24">
        <v>1280000</v>
      </c>
      <c r="E151" s="24" t="s">
        <v>142</v>
      </c>
      <c r="F151" s="24" t="str">
        <f t="shared" si="4"/>
        <v>rtdc.l.rtdc.4017:itc</v>
      </c>
      <c r="G151" s="8">
        <f t="shared" si="5"/>
        <v>42592.733067129629</v>
      </c>
    </row>
    <row r="152" spans="1:7" x14ac:dyDescent="0.25">
      <c r="A152" s="8">
        <v>42592.735925925925</v>
      </c>
      <c r="B152" s="24" t="s">
        <v>603</v>
      </c>
      <c r="C152" s="24" t="s">
        <v>569</v>
      </c>
      <c r="D152" s="24">
        <v>2040000</v>
      </c>
      <c r="E152" s="24" t="s">
        <v>610</v>
      </c>
      <c r="F152" s="24" t="str">
        <f t="shared" si="4"/>
        <v>rtdc.l.rtdc.4043:itc</v>
      </c>
      <c r="G152" s="8">
        <f t="shared" si="5"/>
        <v>42592.735925925925</v>
      </c>
    </row>
    <row r="153" spans="1:7" x14ac:dyDescent="0.25">
      <c r="A153" s="8">
        <v>42592.736145833333</v>
      </c>
      <c r="B153" s="24" t="s">
        <v>136</v>
      </c>
      <c r="C153" s="24" t="s">
        <v>574</v>
      </c>
      <c r="D153" s="24">
        <v>2100000</v>
      </c>
      <c r="E153" s="24" t="s">
        <v>214</v>
      </c>
      <c r="F153" s="24" t="str">
        <f t="shared" si="4"/>
        <v>rtdc.l.rtdc.4014:itc</v>
      </c>
      <c r="G153" s="8">
        <f t="shared" si="5"/>
        <v>42592.736145833333</v>
      </c>
    </row>
    <row r="154" spans="1:7" x14ac:dyDescent="0.25">
      <c r="A154" s="8">
        <v>42592.736921296295</v>
      </c>
      <c r="B154" s="24" t="s">
        <v>136</v>
      </c>
      <c r="C154" s="24" t="s">
        <v>572</v>
      </c>
      <c r="D154" s="24">
        <v>2100000</v>
      </c>
      <c r="E154" s="24" t="s">
        <v>214</v>
      </c>
      <c r="F154" s="24" t="str">
        <f t="shared" si="4"/>
        <v>rtdc.l.rtdc.4014:itc</v>
      </c>
      <c r="G154" s="8">
        <f t="shared" si="5"/>
        <v>42592.736921296295</v>
      </c>
    </row>
    <row r="155" spans="1:7" x14ac:dyDescent="0.25">
      <c r="A155" s="8">
        <v>42592.737824074073</v>
      </c>
      <c r="B155" s="24" t="s">
        <v>605</v>
      </c>
      <c r="C155" s="24" t="s">
        <v>471</v>
      </c>
      <c r="D155" s="24">
        <v>2090000</v>
      </c>
      <c r="E155" s="24" t="s">
        <v>213</v>
      </c>
      <c r="F155" s="24" t="str">
        <f t="shared" si="4"/>
        <v>rtdc.l.rtdc.4009:itc</v>
      </c>
      <c r="G155" s="8">
        <f t="shared" si="5"/>
        <v>42592.737824074073</v>
      </c>
    </row>
    <row r="156" spans="1:7" x14ac:dyDescent="0.25">
      <c r="A156" s="8">
        <v>42592.744143518517</v>
      </c>
      <c r="B156" s="24" t="s">
        <v>105</v>
      </c>
      <c r="C156" s="24" t="s">
        <v>460</v>
      </c>
      <c r="D156" s="24">
        <v>1540000</v>
      </c>
      <c r="E156" s="24" t="s">
        <v>212</v>
      </c>
      <c r="F156" s="24" t="str">
        <f t="shared" si="4"/>
        <v>rtdc.l.rtdc.4008:itc</v>
      </c>
      <c r="G156" s="8">
        <f t="shared" si="5"/>
        <v>42592.744143518517</v>
      </c>
    </row>
    <row r="157" spans="1:7" x14ac:dyDescent="0.25">
      <c r="A157" s="8">
        <v>42592.7497337963</v>
      </c>
      <c r="B157" s="24" t="s">
        <v>101</v>
      </c>
      <c r="C157" s="24" t="s">
        <v>475</v>
      </c>
      <c r="D157" s="24">
        <v>1740000</v>
      </c>
      <c r="E157" s="24" t="s">
        <v>189</v>
      </c>
      <c r="F157" s="24" t="str">
        <f t="shared" si="4"/>
        <v>rtdc.l.rtdc.4029:itc</v>
      </c>
      <c r="G157" s="8">
        <f t="shared" si="5"/>
        <v>42592.7497337963</v>
      </c>
    </row>
    <row r="158" spans="1:7" x14ac:dyDescent="0.25">
      <c r="A158" s="8">
        <v>42592.75445601852</v>
      </c>
      <c r="B158" s="24" t="s">
        <v>123</v>
      </c>
      <c r="C158" s="24" t="s">
        <v>468</v>
      </c>
      <c r="D158" s="24">
        <v>1480000</v>
      </c>
      <c r="E158" s="24" t="s">
        <v>207</v>
      </c>
      <c r="F158" s="24" t="str">
        <f t="shared" si="4"/>
        <v>rtdc.l.rtdc.4015:itc</v>
      </c>
      <c r="G158" s="8">
        <f t="shared" si="5"/>
        <v>42592.75445601852</v>
      </c>
    </row>
    <row r="159" spans="1:7" x14ac:dyDescent="0.25">
      <c r="A159" s="8">
        <v>42592.755127314813</v>
      </c>
      <c r="B159" s="24" t="s">
        <v>99</v>
      </c>
      <c r="C159" s="24" t="s">
        <v>574</v>
      </c>
      <c r="D159" s="24">
        <v>2100000</v>
      </c>
      <c r="E159" s="24" t="s">
        <v>214</v>
      </c>
      <c r="F159" s="24" t="str">
        <f t="shared" si="4"/>
        <v>rtdc.l.rtdc.4013:itc</v>
      </c>
      <c r="G159" s="8">
        <f t="shared" si="5"/>
        <v>42592.755127314813</v>
      </c>
    </row>
    <row r="160" spans="1:7" x14ac:dyDescent="0.25">
      <c r="A160" s="8">
        <v>42592.7575</v>
      </c>
      <c r="B160" s="24" t="s">
        <v>67</v>
      </c>
      <c r="C160" s="24" t="s">
        <v>478</v>
      </c>
      <c r="D160" s="24">
        <v>1230000</v>
      </c>
      <c r="E160" s="24" t="s">
        <v>612</v>
      </c>
      <c r="F160" s="24" t="str">
        <f t="shared" si="4"/>
        <v>rtdc.l.rtdc.4018:itc</v>
      </c>
      <c r="G160" s="8">
        <f t="shared" si="5"/>
        <v>42592.7575</v>
      </c>
    </row>
    <row r="161" spans="1:7" x14ac:dyDescent="0.25">
      <c r="A161" s="8">
        <v>42592.76053240741</v>
      </c>
      <c r="B161" s="24" t="s">
        <v>604</v>
      </c>
      <c r="C161" s="24" t="s">
        <v>577</v>
      </c>
      <c r="D161" s="24">
        <v>2040000</v>
      </c>
      <c r="E161" s="24" t="s">
        <v>610</v>
      </c>
      <c r="F161" s="24" t="str">
        <f t="shared" si="4"/>
        <v>rtdc.l.rtdc.4044:itc</v>
      </c>
      <c r="G161" s="8">
        <f t="shared" si="5"/>
        <v>42592.76053240741</v>
      </c>
    </row>
    <row r="162" spans="1:7" x14ac:dyDescent="0.25">
      <c r="A162" s="8">
        <v>42592.762638888889</v>
      </c>
      <c r="B162" s="24" t="s">
        <v>123</v>
      </c>
      <c r="C162" s="24" t="s">
        <v>464</v>
      </c>
      <c r="D162" s="24">
        <v>1480000</v>
      </c>
      <c r="E162" s="24" t="s">
        <v>207</v>
      </c>
      <c r="F162" s="24" t="str">
        <f t="shared" si="4"/>
        <v>rtdc.l.rtdc.4015:itc</v>
      </c>
      <c r="G162" s="8">
        <f t="shared" si="5"/>
        <v>42592.762638888889</v>
      </c>
    </row>
    <row r="163" spans="1:7" x14ac:dyDescent="0.25">
      <c r="A163" s="8">
        <v>42592.763437499998</v>
      </c>
      <c r="B163" s="24" t="s">
        <v>123</v>
      </c>
      <c r="C163" s="24" t="s">
        <v>464</v>
      </c>
      <c r="D163" s="24">
        <v>1480000</v>
      </c>
      <c r="E163" s="24" t="s">
        <v>207</v>
      </c>
      <c r="F163" s="24" t="str">
        <f t="shared" si="4"/>
        <v>rtdc.l.rtdc.4015:itc</v>
      </c>
      <c r="G163" s="8">
        <f t="shared" si="5"/>
        <v>42592.763437499998</v>
      </c>
    </row>
    <row r="164" spans="1:7" x14ac:dyDescent="0.25">
      <c r="A164" s="8">
        <v>42592.772164351853</v>
      </c>
      <c r="B164" s="24" t="s">
        <v>106</v>
      </c>
      <c r="C164" s="24" t="s">
        <v>480</v>
      </c>
      <c r="D164" s="24">
        <v>1300000</v>
      </c>
      <c r="E164" s="24" t="s">
        <v>298</v>
      </c>
      <c r="F164" s="24" t="str">
        <f t="shared" si="4"/>
        <v>rtdc.l.rtdc.4007:itc</v>
      </c>
      <c r="G164" s="8">
        <f t="shared" si="5"/>
        <v>42592.772164351853</v>
      </c>
    </row>
    <row r="165" spans="1:7" x14ac:dyDescent="0.25">
      <c r="A165" s="8">
        <v>42592.778090277781</v>
      </c>
      <c r="B165" s="24" t="s">
        <v>102</v>
      </c>
      <c r="C165" s="24" t="s">
        <v>472</v>
      </c>
      <c r="D165" s="24">
        <v>1740000</v>
      </c>
      <c r="E165" s="24" t="s">
        <v>189</v>
      </c>
      <c r="F165" s="24" t="str">
        <f t="shared" si="4"/>
        <v>rtdc.l.rtdc.4030:itc</v>
      </c>
      <c r="G165" s="8">
        <f t="shared" si="5"/>
        <v>42592.778090277781</v>
      </c>
    </row>
    <row r="166" spans="1:7" x14ac:dyDescent="0.25">
      <c r="A166" s="8">
        <v>42592.778634259259</v>
      </c>
      <c r="B166" s="24" t="s">
        <v>136</v>
      </c>
      <c r="C166" s="24" t="s">
        <v>582</v>
      </c>
      <c r="D166" s="24">
        <v>2100000</v>
      </c>
      <c r="E166" s="24" t="s">
        <v>214</v>
      </c>
      <c r="F166" s="24" t="str">
        <f t="shared" si="4"/>
        <v>rtdc.l.rtdc.4014:itc</v>
      </c>
      <c r="G166" s="8">
        <f t="shared" si="5"/>
        <v>42592.778634259259</v>
      </c>
    </row>
    <row r="167" spans="1:7" x14ac:dyDescent="0.25">
      <c r="A167" s="8">
        <v>42592.779826388891</v>
      </c>
      <c r="B167" s="24" t="s">
        <v>603</v>
      </c>
      <c r="C167" s="24" t="s">
        <v>580</v>
      </c>
      <c r="D167" s="24">
        <v>2040000</v>
      </c>
      <c r="E167" s="24" t="s">
        <v>610</v>
      </c>
      <c r="F167" s="24" t="str">
        <f t="shared" si="4"/>
        <v>rtdc.l.rtdc.4043:itc</v>
      </c>
      <c r="G167" s="8">
        <f t="shared" si="5"/>
        <v>42592.779826388891</v>
      </c>
    </row>
    <row r="168" spans="1:7" x14ac:dyDescent="0.25">
      <c r="A168" s="8">
        <v>42592.78533564815</v>
      </c>
      <c r="B168" s="24" t="s">
        <v>68</v>
      </c>
      <c r="C168" s="24" t="s">
        <v>473</v>
      </c>
      <c r="D168" s="24">
        <v>1230000</v>
      </c>
      <c r="E168" s="24" t="s">
        <v>612</v>
      </c>
      <c r="F168" s="24" t="str">
        <f t="shared" si="4"/>
        <v>rtdc.l.rtdc.4017:itc</v>
      </c>
      <c r="G168" s="8">
        <f t="shared" si="5"/>
        <v>42592.78533564815</v>
      </c>
    </row>
    <row r="169" spans="1:7" x14ac:dyDescent="0.25">
      <c r="A169" s="8">
        <v>42592.786215277774</v>
      </c>
      <c r="B169" s="24" t="s">
        <v>68</v>
      </c>
      <c r="C169" s="24" t="s">
        <v>473</v>
      </c>
      <c r="D169" s="24">
        <v>1230000</v>
      </c>
      <c r="E169" s="24" t="s">
        <v>612</v>
      </c>
      <c r="F169" s="24" t="str">
        <f t="shared" si="4"/>
        <v>rtdc.l.rtdc.4017:itc</v>
      </c>
      <c r="G169" s="8">
        <f t="shared" si="5"/>
        <v>42592.786215277774</v>
      </c>
    </row>
    <row r="170" spans="1:7" x14ac:dyDescent="0.25">
      <c r="A170" s="8">
        <v>42592.786782407406</v>
      </c>
      <c r="B170" s="24" t="s">
        <v>124</v>
      </c>
      <c r="C170" s="24" t="s">
        <v>483</v>
      </c>
      <c r="D170" s="24">
        <v>1480000</v>
      </c>
      <c r="E170" s="24" t="s">
        <v>207</v>
      </c>
      <c r="F170" s="24" t="str">
        <f t="shared" si="4"/>
        <v>rtdc.l.rtdc.4016:itc</v>
      </c>
      <c r="G170" s="8">
        <f t="shared" si="5"/>
        <v>42592.786782407406</v>
      </c>
    </row>
    <row r="171" spans="1:7" x14ac:dyDescent="0.25">
      <c r="A171" s="8">
        <v>42592.797326388885</v>
      </c>
      <c r="B171" s="24" t="s">
        <v>99</v>
      </c>
      <c r="C171" s="24" t="s">
        <v>599</v>
      </c>
      <c r="D171" s="24">
        <v>2100000</v>
      </c>
      <c r="E171" s="24" t="s">
        <v>214</v>
      </c>
      <c r="F171" s="24" t="str">
        <f t="shared" si="4"/>
        <v>rtdc.l.rtdc.4013:itc</v>
      </c>
      <c r="G171" s="8">
        <f t="shared" si="5"/>
        <v>42592.797326388885</v>
      </c>
    </row>
    <row r="172" spans="1:7" x14ac:dyDescent="0.25">
      <c r="A172" s="8">
        <v>42592.797662037039</v>
      </c>
      <c r="B172" s="24" t="s">
        <v>105</v>
      </c>
      <c r="C172" s="24" t="s">
        <v>477</v>
      </c>
      <c r="D172" s="24">
        <v>1300000</v>
      </c>
      <c r="E172" s="24" t="s">
        <v>298</v>
      </c>
      <c r="F172" s="24" t="str">
        <f t="shared" si="4"/>
        <v>rtdc.l.rtdc.4008:itc</v>
      </c>
      <c r="G172" s="8">
        <f t="shared" si="5"/>
        <v>42592.797662037039</v>
      </c>
    </row>
    <row r="173" spans="1:7" x14ac:dyDescent="0.25">
      <c r="A173" s="8">
        <v>42592.797939814816</v>
      </c>
      <c r="B173" s="24" t="s">
        <v>605</v>
      </c>
      <c r="C173" s="24" t="s">
        <v>488</v>
      </c>
      <c r="D173" s="24">
        <v>1290000</v>
      </c>
      <c r="E173" s="24" t="s">
        <v>132</v>
      </c>
      <c r="F173" s="24" t="str">
        <f t="shared" si="4"/>
        <v>rtdc.l.rtdc.4009:itc</v>
      </c>
      <c r="G173" s="8">
        <f t="shared" si="5"/>
        <v>42592.797939814816</v>
      </c>
    </row>
    <row r="174" spans="1:7" x14ac:dyDescent="0.25">
      <c r="A174" s="8">
        <v>42592.803032407406</v>
      </c>
      <c r="B174" s="24" t="s">
        <v>101</v>
      </c>
      <c r="C174" s="24" t="s">
        <v>492</v>
      </c>
      <c r="D174" s="24">
        <v>1740000</v>
      </c>
      <c r="E174" s="24" t="s">
        <v>189</v>
      </c>
      <c r="F174" s="24" t="str">
        <f t="shared" si="4"/>
        <v>rtdc.l.rtdc.4029:itc</v>
      </c>
      <c r="G174" s="8">
        <f t="shared" si="5"/>
        <v>42592.803032407406</v>
      </c>
    </row>
    <row r="175" spans="1:7" x14ac:dyDescent="0.25">
      <c r="A175" s="8">
        <v>42592.803749999999</v>
      </c>
      <c r="B175" s="24" t="s">
        <v>604</v>
      </c>
      <c r="C175" s="24" t="s">
        <v>586</v>
      </c>
      <c r="D175" s="24">
        <v>2040000</v>
      </c>
      <c r="E175" s="24" t="s">
        <v>610</v>
      </c>
      <c r="F175" s="24" t="str">
        <f t="shared" si="4"/>
        <v>rtdc.l.rtdc.4044:itc</v>
      </c>
      <c r="G175" s="8">
        <f t="shared" si="5"/>
        <v>42592.803749999999</v>
      </c>
    </row>
    <row r="176" spans="1:7" x14ac:dyDescent="0.25">
      <c r="A176" s="8">
        <v>42592.817060185182</v>
      </c>
      <c r="B176" s="24" t="s">
        <v>123</v>
      </c>
      <c r="C176" s="24" t="s">
        <v>482</v>
      </c>
      <c r="D176" s="24">
        <v>1480000</v>
      </c>
      <c r="E176" s="24" t="s">
        <v>207</v>
      </c>
      <c r="F176" s="24" t="str">
        <f t="shared" si="4"/>
        <v>rtdc.l.rtdc.4015:itc</v>
      </c>
      <c r="G176" s="8">
        <f t="shared" si="5"/>
        <v>42592.817060185182</v>
      </c>
    </row>
    <row r="177" spans="1:7" x14ac:dyDescent="0.25">
      <c r="A177" s="8">
        <v>42592.821840277778</v>
      </c>
      <c r="B177" s="24" t="s">
        <v>603</v>
      </c>
      <c r="C177" s="24" t="s">
        <v>583</v>
      </c>
      <c r="D177" s="24">
        <v>2040000</v>
      </c>
      <c r="E177" s="24" t="s">
        <v>610</v>
      </c>
      <c r="F177" s="24" t="str">
        <f t="shared" si="4"/>
        <v>rtdc.l.rtdc.4043:itc</v>
      </c>
      <c r="G177" s="8">
        <f t="shared" si="5"/>
        <v>42592.821840277778</v>
      </c>
    </row>
    <row r="178" spans="1:7" x14ac:dyDescent="0.25">
      <c r="A178" s="8">
        <v>42592.829768518517</v>
      </c>
      <c r="B178" s="24" t="s">
        <v>67</v>
      </c>
      <c r="C178" s="24" t="s">
        <v>490</v>
      </c>
      <c r="D178" s="24">
        <v>1230000</v>
      </c>
      <c r="E178" s="24" t="s">
        <v>612</v>
      </c>
      <c r="F178" s="24" t="str">
        <f t="shared" si="4"/>
        <v>rtdc.l.rtdc.4018:itc</v>
      </c>
      <c r="G178" s="8">
        <f t="shared" si="5"/>
        <v>42592.829768518517</v>
      </c>
    </row>
    <row r="179" spans="1:7" x14ac:dyDescent="0.25">
      <c r="A179" s="8">
        <v>42592.838472222225</v>
      </c>
      <c r="B179" s="24" t="s">
        <v>602</v>
      </c>
      <c r="C179" s="24" t="s">
        <v>486</v>
      </c>
      <c r="D179" s="24">
        <v>1290000</v>
      </c>
      <c r="E179" s="24" t="s">
        <v>132</v>
      </c>
      <c r="F179" s="24" t="str">
        <f t="shared" si="4"/>
        <v>rtdc.l.rtdc.4010:itc</v>
      </c>
      <c r="G179" s="8">
        <f t="shared" si="5"/>
        <v>42592.838472222225</v>
      </c>
    </row>
    <row r="180" spans="1:7" x14ac:dyDescent="0.25">
      <c r="A180" s="8">
        <v>42592.846458333333</v>
      </c>
      <c r="B180" s="24" t="s">
        <v>604</v>
      </c>
      <c r="C180" s="24" t="s">
        <v>590</v>
      </c>
      <c r="D180" s="24">
        <v>2040000</v>
      </c>
      <c r="E180" s="24" t="s">
        <v>610</v>
      </c>
      <c r="F180" s="24" t="str">
        <f t="shared" si="4"/>
        <v>rtdc.l.rtdc.4044:itc</v>
      </c>
      <c r="G180" s="8">
        <f t="shared" si="5"/>
        <v>42592.846458333333</v>
      </c>
    </row>
    <row r="181" spans="1:7" x14ac:dyDescent="0.25">
      <c r="A181" s="8">
        <v>42592.847777777781</v>
      </c>
      <c r="B181" s="24" t="s">
        <v>604</v>
      </c>
      <c r="C181" s="24" t="s">
        <v>590</v>
      </c>
      <c r="D181" s="24">
        <v>2040000</v>
      </c>
      <c r="E181" s="24" t="s">
        <v>610</v>
      </c>
      <c r="F181" s="24" t="str">
        <f t="shared" si="4"/>
        <v>rtdc.l.rtdc.4044:itc</v>
      </c>
      <c r="G181" s="8">
        <f t="shared" si="5"/>
        <v>42592.847777777781</v>
      </c>
    </row>
    <row r="182" spans="1:7" x14ac:dyDescent="0.25">
      <c r="A182" s="8">
        <v>42592.848877314813</v>
      </c>
      <c r="B182" s="24" t="s">
        <v>106</v>
      </c>
      <c r="C182" s="24" t="s">
        <v>613</v>
      </c>
      <c r="D182" s="24">
        <v>1300000</v>
      </c>
      <c r="E182" s="24" t="s">
        <v>298</v>
      </c>
      <c r="F182" s="24" t="str">
        <f t="shared" si="4"/>
        <v>rtdc.l.rtdc.4007:itc</v>
      </c>
      <c r="G182" s="8">
        <f t="shared" si="5"/>
        <v>42592.848877314813</v>
      </c>
    </row>
    <row r="183" spans="1:7" x14ac:dyDescent="0.25">
      <c r="A183" s="8">
        <v>42592.85193287037</v>
      </c>
      <c r="B183" s="24" t="s">
        <v>65</v>
      </c>
      <c r="C183" s="24" t="s">
        <v>601</v>
      </c>
      <c r="D183" s="24">
        <v>1750000</v>
      </c>
      <c r="E183" s="24" t="s">
        <v>614</v>
      </c>
      <c r="F183" s="24" t="str">
        <f t="shared" si="4"/>
        <v>rtdc.l.rtdc.4019:itc</v>
      </c>
      <c r="G183" s="8">
        <f t="shared" si="5"/>
        <v>42592.85193287037</v>
      </c>
    </row>
    <row r="184" spans="1:7" x14ac:dyDescent="0.25">
      <c r="A184" s="8">
        <v>42592.861319444448</v>
      </c>
      <c r="B184" s="24" t="s">
        <v>603</v>
      </c>
      <c r="C184" s="24" t="s">
        <v>589</v>
      </c>
      <c r="D184" s="24">
        <v>2040000</v>
      </c>
      <c r="E184" s="24" t="s">
        <v>610</v>
      </c>
      <c r="F184" s="24" t="str">
        <f t="shared" si="4"/>
        <v>rtdc.l.rtdc.4043:itc</v>
      </c>
      <c r="G184" s="8">
        <f t="shared" si="5"/>
        <v>42592.861319444448</v>
      </c>
    </row>
    <row r="185" spans="1:7" x14ac:dyDescent="0.25">
      <c r="A185" s="8">
        <v>42592.863912037035</v>
      </c>
      <c r="B185" s="24" t="s">
        <v>124</v>
      </c>
      <c r="C185" s="24" t="s">
        <v>615</v>
      </c>
      <c r="D185" s="24">
        <v>1480000</v>
      </c>
      <c r="E185" s="24" t="s">
        <v>207</v>
      </c>
      <c r="F185" s="24" t="str">
        <f t="shared" si="4"/>
        <v>rtdc.l.rtdc.4016:itc</v>
      </c>
      <c r="G185" s="8">
        <f t="shared" si="5"/>
        <v>42592.863912037035</v>
      </c>
    </row>
    <row r="186" spans="1:7" x14ac:dyDescent="0.25">
      <c r="A186" s="8">
        <v>42592.867199074077</v>
      </c>
      <c r="B186" s="24" t="s">
        <v>68</v>
      </c>
      <c r="C186" s="24" t="s">
        <v>616</v>
      </c>
      <c r="D186" s="24">
        <v>1230000</v>
      </c>
      <c r="E186" s="24" t="s">
        <v>612</v>
      </c>
      <c r="F186" s="24" t="str">
        <f t="shared" si="4"/>
        <v>rtdc.l.rtdc.4017:itc</v>
      </c>
      <c r="G186" s="8">
        <f t="shared" si="5"/>
        <v>42592.867199074077</v>
      </c>
    </row>
    <row r="187" spans="1:7" x14ac:dyDescent="0.25">
      <c r="A187" s="8">
        <v>42592.881273148145</v>
      </c>
      <c r="B187" s="24" t="s">
        <v>604</v>
      </c>
      <c r="C187" s="24" t="s">
        <v>617</v>
      </c>
      <c r="D187" s="24">
        <v>2100000</v>
      </c>
      <c r="E187" s="24" t="s">
        <v>618</v>
      </c>
      <c r="F187" s="24" t="str">
        <f t="shared" si="4"/>
        <v>rtdc.l.rtdc.4044:itc</v>
      </c>
      <c r="G187" s="8">
        <f t="shared" si="5"/>
        <v>42592.881273148145</v>
      </c>
    </row>
    <row r="188" spans="1:7" x14ac:dyDescent="0.25">
      <c r="A188" s="8">
        <v>42591.829016203701</v>
      </c>
      <c r="B188" s="24" t="s">
        <v>100</v>
      </c>
      <c r="C188" s="24" t="s">
        <v>258</v>
      </c>
      <c r="D188" s="24">
        <v>2140000</v>
      </c>
      <c r="E188" s="24" t="s">
        <v>301</v>
      </c>
      <c r="F188" s="24" t="str">
        <f t="shared" si="4"/>
        <v>rtdc.l.rtdc.4025:itc</v>
      </c>
      <c r="G188" s="8">
        <f t="shared" si="5"/>
        <v>42591.829016203701</v>
      </c>
    </row>
    <row r="189" spans="1:7" x14ac:dyDescent="0.25">
      <c r="A189" s="8">
        <v>42591.843842592592</v>
      </c>
      <c r="B189" s="24" t="s">
        <v>106</v>
      </c>
      <c r="C189" s="24" t="s">
        <v>290</v>
      </c>
      <c r="D189" s="24">
        <v>1770000</v>
      </c>
      <c r="E189" s="24" t="s">
        <v>300</v>
      </c>
      <c r="F189" s="24" t="str">
        <f t="shared" si="4"/>
        <v>rtdc.l.rtdc.4007:itc</v>
      </c>
      <c r="G189" s="8">
        <f t="shared" si="5"/>
        <v>42591.843842592592</v>
      </c>
    </row>
    <row r="190" spans="1:7" x14ac:dyDescent="0.25">
      <c r="A190" s="8">
        <v>42591.848194444443</v>
      </c>
      <c r="B190" s="24" t="s">
        <v>134</v>
      </c>
      <c r="C190" s="24" t="s">
        <v>239</v>
      </c>
      <c r="D190" s="24">
        <v>1290000</v>
      </c>
      <c r="E190" s="24" t="s">
        <v>132</v>
      </c>
      <c r="F190" s="24" t="str">
        <f t="shared" si="4"/>
        <v>rtdc.l.rtdc.4012:itc</v>
      </c>
      <c r="G190" s="8">
        <f t="shared" si="5"/>
        <v>42591.848194444443</v>
      </c>
    </row>
    <row r="191" spans="1:7" x14ac:dyDescent="0.25">
      <c r="A191" s="8">
        <v>42591.852210648147</v>
      </c>
      <c r="B191" s="24" t="s">
        <v>138</v>
      </c>
      <c r="C191" s="24" t="s">
        <v>260</v>
      </c>
      <c r="D191" s="24">
        <v>1800000</v>
      </c>
      <c r="E191" s="24" t="s">
        <v>141</v>
      </c>
      <c r="F191" s="24" t="str">
        <f t="shared" si="4"/>
        <v>rtdc.l.rtdc.4031:itc</v>
      </c>
      <c r="G191" s="8">
        <f t="shared" si="5"/>
        <v>42591.852210648147</v>
      </c>
    </row>
    <row r="192" spans="1:7" x14ac:dyDescent="0.25">
      <c r="A192" s="8">
        <v>42591.85869212963</v>
      </c>
      <c r="B192" s="24" t="s">
        <v>105</v>
      </c>
      <c r="C192" s="24" t="s">
        <v>288</v>
      </c>
      <c r="D192" s="24">
        <v>1770000</v>
      </c>
      <c r="E192" s="24" t="s">
        <v>300</v>
      </c>
      <c r="F192" s="24" t="str">
        <f t="shared" si="4"/>
        <v>rtdc.l.rtdc.4008:itc</v>
      </c>
      <c r="G192" s="8">
        <f t="shared" si="5"/>
        <v>42591.85869212963</v>
      </c>
    </row>
    <row r="193" spans="1:7" x14ac:dyDescent="0.25">
      <c r="A193" s="8">
        <v>42591.865370370368</v>
      </c>
      <c r="B193" s="24" t="s">
        <v>98</v>
      </c>
      <c r="C193" s="24" t="s">
        <v>259</v>
      </c>
      <c r="D193" s="24">
        <v>2140000</v>
      </c>
      <c r="E193" s="24" t="s">
        <v>301</v>
      </c>
      <c r="F193" s="24" t="str">
        <f t="shared" si="4"/>
        <v>rtdc.l.rtdc.4026:itc</v>
      </c>
      <c r="G193" s="8">
        <f t="shared" si="5"/>
        <v>42591.865370370368</v>
      </c>
    </row>
    <row r="194" spans="1:7" x14ac:dyDescent="0.25">
      <c r="A194" s="8">
        <v>42591.868668981479</v>
      </c>
      <c r="B194" s="24" t="s">
        <v>210</v>
      </c>
      <c r="C194" s="24" t="s">
        <v>261</v>
      </c>
      <c r="D194" s="24">
        <v>2100000</v>
      </c>
      <c r="E194" s="24" t="s">
        <v>214</v>
      </c>
      <c r="F194" s="24" t="str">
        <f t="shared" ref="F194:F235" si="6">B194</f>
        <v>rtdc.l.rtdc.4040:itc</v>
      </c>
      <c r="G194" s="8">
        <f t="shared" ref="G194:G235" si="7">A194</f>
        <v>42591.868668981479</v>
      </c>
    </row>
    <row r="195" spans="1:7" x14ac:dyDescent="0.25">
      <c r="A195" s="8">
        <v>42591.868993055556</v>
      </c>
      <c r="B195" s="24" t="s">
        <v>98</v>
      </c>
      <c r="C195" s="24" t="s">
        <v>259</v>
      </c>
      <c r="D195" s="24">
        <v>2140000</v>
      </c>
      <c r="E195" s="24" t="s">
        <v>301</v>
      </c>
      <c r="F195" s="24" t="str">
        <f t="shared" si="6"/>
        <v>rtdc.l.rtdc.4026:itc</v>
      </c>
      <c r="G195" s="8">
        <f t="shared" si="7"/>
        <v>42591.868993055556</v>
      </c>
    </row>
    <row r="196" spans="1:7" x14ac:dyDescent="0.25">
      <c r="A196" s="8">
        <v>42591.878854166665</v>
      </c>
      <c r="B196" s="24" t="s">
        <v>106</v>
      </c>
      <c r="C196" s="24" t="s">
        <v>292</v>
      </c>
      <c r="D196" s="24">
        <v>1480000</v>
      </c>
      <c r="E196" s="24" t="s">
        <v>207</v>
      </c>
      <c r="F196" s="24" t="str">
        <f t="shared" si="6"/>
        <v>rtdc.l.rtdc.4007:itc</v>
      </c>
      <c r="G196" s="8">
        <f t="shared" si="7"/>
        <v>42591.878854166665</v>
      </c>
    </row>
    <row r="197" spans="1:7" x14ac:dyDescent="0.25">
      <c r="A197" s="8">
        <v>42591.893171296295</v>
      </c>
      <c r="B197" s="24" t="s">
        <v>139</v>
      </c>
      <c r="C197" s="24" t="s">
        <v>240</v>
      </c>
      <c r="D197" s="24">
        <v>1800000</v>
      </c>
      <c r="E197" s="24" t="s">
        <v>141</v>
      </c>
      <c r="F197" s="24" t="str">
        <f t="shared" si="6"/>
        <v>rtdc.l.rtdc.4032:itc</v>
      </c>
      <c r="G197" s="8">
        <f t="shared" si="7"/>
        <v>42591.893171296295</v>
      </c>
    </row>
    <row r="198" spans="1:7" x14ac:dyDescent="0.25">
      <c r="A198" s="8">
        <v>42591.893321759257</v>
      </c>
      <c r="B198" s="24" t="s">
        <v>133</v>
      </c>
      <c r="C198" s="24" t="s">
        <v>263</v>
      </c>
      <c r="D198" s="24">
        <v>1290000</v>
      </c>
      <c r="E198" s="24" t="s">
        <v>132</v>
      </c>
      <c r="F198" s="24" t="str">
        <f t="shared" si="6"/>
        <v>rtdc.l.rtdc.4011:itc</v>
      </c>
      <c r="G198" s="8">
        <f t="shared" si="7"/>
        <v>42591.893321759257</v>
      </c>
    </row>
    <row r="199" spans="1:7" x14ac:dyDescent="0.25">
      <c r="A199" s="8">
        <v>42591.904918981483</v>
      </c>
      <c r="B199" s="24" t="s">
        <v>105</v>
      </c>
      <c r="C199" s="24" t="s">
        <v>291</v>
      </c>
      <c r="D199" s="24">
        <v>1480000</v>
      </c>
      <c r="E199" s="24" t="s">
        <v>207</v>
      </c>
      <c r="F199" s="24" t="str">
        <f t="shared" si="6"/>
        <v>rtdc.l.rtdc.4008:itc</v>
      </c>
      <c r="G199" s="8">
        <f t="shared" si="7"/>
        <v>42591.904918981483</v>
      </c>
    </row>
    <row r="200" spans="1:7" x14ac:dyDescent="0.25">
      <c r="A200" s="8">
        <v>42591.907824074071</v>
      </c>
      <c r="B200" s="24" t="s">
        <v>209</v>
      </c>
      <c r="C200" s="24" t="s">
        <v>262</v>
      </c>
      <c r="D200" s="24">
        <v>2100000</v>
      </c>
      <c r="E200" s="24" t="s">
        <v>214</v>
      </c>
      <c r="F200" s="24" t="str">
        <f t="shared" si="6"/>
        <v>rtdc.l.rtdc.4039:itc</v>
      </c>
      <c r="G200" s="8">
        <f t="shared" si="7"/>
        <v>42591.907824074071</v>
      </c>
    </row>
    <row r="201" spans="1:7" x14ac:dyDescent="0.25">
      <c r="A201" s="8">
        <v>42591.911296296297</v>
      </c>
      <c r="B201" s="24" t="s">
        <v>100</v>
      </c>
      <c r="C201" s="24" t="s">
        <v>266</v>
      </c>
      <c r="D201" s="24">
        <v>2140000</v>
      </c>
      <c r="E201" s="24" t="s">
        <v>301</v>
      </c>
      <c r="F201" s="24" t="str">
        <f t="shared" si="6"/>
        <v>rtdc.l.rtdc.4025:itc</v>
      </c>
      <c r="G201" s="8">
        <f t="shared" si="7"/>
        <v>42591.911296296297</v>
      </c>
    </row>
    <row r="202" spans="1:7" x14ac:dyDescent="0.25">
      <c r="A202" s="30">
        <v>42591.932210648149</v>
      </c>
      <c r="B202" s="24" t="s">
        <v>134</v>
      </c>
      <c r="C202" s="24" t="s">
        <v>265</v>
      </c>
      <c r="D202" s="24">
        <v>1290000</v>
      </c>
      <c r="E202" s="24" t="s">
        <v>132</v>
      </c>
      <c r="F202" s="24" t="str">
        <f t="shared" si="6"/>
        <v>rtdc.l.rtdc.4012:itc</v>
      </c>
      <c r="G202" s="8">
        <f t="shared" si="7"/>
        <v>42591.932210648149</v>
      </c>
    </row>
    <row r="203" spans="1:7" x14ac:dyDescent="0.25">
      <c r="A203" s="8">
        <v>42591.935671296298</v>
      </c>
      <c r="B203" s="24" t="s">
        <v>138</v>
      </c>
      <c r="C203" s="24" t="s">
        <v>267</v>
      </c>
      <c r="D203" s="24">
        <v>1800000</v>
      </c>
      <c r="E203" s="24" t="s">
        <v>141</v>
      </c>
      <c r="F203" s="24" t="str">
        <f t="shared" si="6"/>
        <v>rtdc.l.rtdc.4031:itc</v>
      </c>
      <c r="G203" s="8">
        <f t="shared" si="7"/>
        <v>42591.935671296298</v>
      </c>
    </row>
    <row r="204" spans="1:7" x14ac:dyDescent="0.25">
      <c r="A204" s="8">
        <v>42591.944444444445</v>
      </c>
      <c r="B204" s="24" t="s">
        <v>105</v>
      </c>
      <c r="C204" s="24" t="s">
        <v>293</v>
      </c>
      <c r="D204" s="24">
        <v>1480000</v>
      </c>
      <c r="E204" s="24" t="s">
        <v>207</v>
      </c>
      <c r="F204" s="24" t="str">
        <f t="shared" si="6"/>
        <v>rtdc.l.rtdc.4008:itc</v>
      </c>
      <c r="G204" s="8">
        <f t="shared" si="7"/>
        <v>42591.944444444445</v>
      </c>
    </row>
    <row r="205" spans="1:7" x14ac:dyDescent="0.25">
      <c r="A205" s="8">
        <v>42591.94976851852</v>
      </c>
      <c r="B205" s="24" t="s">
        <v>98</v>
      </c>
      <c r="C205" s="24" t="s">
        <v>241</v>
      </c>
      <c r="D205" s="24">
        <v>2140000</v>
      </c>
      <c r="E205" s="24" t="s">
        <v>301</v>
      </c>
      <c r="F205" s="24" t="str">
        <f t="shared" si="6"/>
        <v>rtdc.l.rtdc.4026:itc</v>
      </c>
      <c r="G205" s="8">
        <f t="shared" si="7"/>
        <v>42591.94976851852</v>
      </c>
    </row>
    <row r="206" spans="1:7" x14ac:dyDescent="0.25">
      <c r="A206" s="8">
        <v>42591.95590277778</v>
      </c>
      <c r="B206" s="24" t="s">
        <v>210</v>
      </c>
      <c r="C206" s="24" t="s">
        <v>269</v>
      </c>
      <c r="D206" s="24">
        <v>2100000</v>
      </c>
      <c r="E206" s="24" t="s">
        <v>214</v>
      </c>
      <c r="F206" s="24" t="str">
        <f t="shared" si="6"/>
        <v>rtdc.l.rtdc.4040:itc</v>
      </c>
      <c r="G206" s="8">
        <f t="shared" si="7"/>
        <v>42591.95590277778</v>
      </c>
    </row>
    <row r="207" spans="1:7" x14ac:dyDescent="0.25">
      <c r="A207" s="8">
        <v>42591.974780092591</v>
      </c>
      <c r="B207" s="24" t="s">
        <v>139</v>
      </c>
      <c r="C207" s="24" t="s">
        <v>268</v>
      </c>
      <c r="D207" s="24">
        <v>1800000</v>
      </c>
      <c r="E207" s="24" t="s">
        <v>141</v>
      </c>
      <c r="F207" s="24" t="str">
        <f t="shared" si="6"/>
        <v>rtdc.l.rtdc.4032:itc</v>
      </c>
      <c r="G207" s="8">
        <f t="shared" si="7"/>
        <v>42591.974780092591</v>
      </c>
    </row>
    <row r="208" spans="1:7" x14ac:dyDescent="0.25">
      <c r="A208" s="8">
        <v>42591.977986111109</v>
      </c>
      <c r="B208" s="24" t="s">
        <v>133</v>
      </c>
      <c r="C208" s="24" t="s">
        <v>242</v>
      </c>
      <c r="D208" s="24">
        <v>1290000</v>
      </c>
      <c r="E208" s="24" t="s">
        <v>132</v>
      </c>
      <c r="F208" s="24" t="str">
        <f t="shared" si="6"/>
        <v>rtdc.l.rtdc.4011:itc</v>
      </c>
      <c r="G208" s="8">
        <f t="shared" si="7"/>
        <v>42591.977986111109</v>
      </c>
    </row>
    <row r="209" spans="1:7" x14ac:dyDescent="0.25">
      <c r="A209" s="8">
        <v>42591.991689814815</v>
      </c>
      <c r="B209" s="24" t="s">
        <v>209</v>
      </c>
      <c r="C209" s="24" t="s">
        <v>270</v>
      </c>
      <c r="D209" s="24">
        <v>2100000</v>
      </c>
      <c r="E209" s="24" t="s">
        <v>214</v>
      </c>
      <c r="F209" s="24" t="str">
        <f t="shared" si="6"/>
        <v>rtdc.l.rtdc.4039:itc</v>
      </c>
      <c r="G209" s="8">
        <f t="shared" si="7"/>
        <v>42591.991689814815</v>
      </c>
    </row>
    <row r="210" spans="1:7" x14ac:dyDescent="0.25">
      <c r="A210" s="8">
        <v>42591.997708333336</v>
      </c>
      <c r="B210" s="24" t="s">
        <v>100</v>
      </c>
      <c r="C210" s="24" t="s">
        <v>273</v>
      </c>
      <c r="D210" s="24">
        <v>1740000</v>
      </c>
      <c r="E210" s="24" t="s">
        <v>189</v>
      </c>
      <c r="F210" s="24" t="str">
        <f t="shared" si="6"/>
        <v>rtdc.l.rtdc.4025:itc</v>
      </c>
      <c r="G210" s="8">
        <f t="shared" si="7"/>
        <v>42591.997708333336</v>
      </c>
    </row>
    <row r="211" spans="1:7" x14ac:dyDescent="0.25">
      <c r="A211" s="8">
        <v>42592.007303240738</v>
      </c>
      <c r="B211" s="24" t="s">
        <v>209</v>
      </c>
      <c r="C211" s="24" t="s">
        <v>270</v>
      </c>
      <c r="D211" s="24">
        <v>2100000</v>
      </c>
      <c r="E211" s="24" t="s">
        <v>214</v>
      </c>
      <c r="F211" s="24" t="str">
        <f t="shared" si="6"/>
        <v>rtdc.l.rtdc.4039:itc</v>
      </c>
      <c r="G211" s="8">
        <f t="shared" si="7"/>
        <v>42592.007303240738</v>
      </c>
    </row>
    <row r="212" spans="1:7" x14ac:dyDescent="0.25">
      <c r="A212" s="8">
        <v>42592.014756944445</v>
      </c>
      <c r="B212" s="24" t="s">
        <v>134</v>
      </c>
      <c r="C212" s="24" t="s">
        <v>272</v>
      </c>
      <c r="D212" s="24">
        <v>1290000</v>
      </c>
      <c r="E212" s="24" t="s">
        <v>132</v>
      </c>
      <c r="F212" s="24" t="str">
        <f t="shared" si="6"/>
        <v>rtdc.l.rtdc.4012:itc</v>
      </c>
      <c r="G212" s="8">
        <f t="shared" si="7"/>
        <v>42592.014756944445</v>
      </c>
    </row>
    <row r="213" spans="1:7" x14ac:dyDescent="0.25">
      <c r="A213" s="8">
        <v>42592.016018518516</v>
      </c>
      <c r="B213" s="24" t="s">
        <v>138</v>
      </c>
      <c r="C213" s="24" t="s">
        <v>274</v>
      </c>
      <c r="D213" s="24">
        <v>1800000</v>
      </c>
      <c r="E213" s="24" t="s">
        <v>141</v>
      </c>
      <c r="F213" s="24" t="str">
        <f t="shared" si="6"/>
        <v>rtdc.l.rtdc.4031:itc</v>
      </c>
      <c r="G213" s="8">
        <f t="shared" si="7"/>
        <v>42592.016018518516</v>
      </c>
    </row>
    <row r="214" spans="1:7" x14ac:dyDescent="0.25">
      <c r="A214" s="8">
        <v>42592.027962962966</v>
      </c>
      <c r="B214" s="24" t="s">
        <v>98</v>
      </c>
      <c r="C214" s="24" t="s">
        <v>243</v>
      </c>
      <c r="D214" s="24">
        <v>1740000</v>
      </c>
      <c r="E214" s="24" t="s">
        <v>189</v>
      </c>
      <c r="F214" s="24" t="str">
        <f t="shared" si="6"/>
        <v>rtdc.l.rtdc.4026:itc</v>
      </c>
      <c r="G214" s="8">
        <f t="shared" si="7"/>
        <v>42592.027962962966</v>
      </c>
    </row>
    <row r="215" spans="1:7" x14ac:dyDescent="0.25">
      <c r="A215" s="8">
        <v>42592.031319444446</v>
      </c>
      <c r="B215" s="24" t="s">
        <v>210</v>
      </c>
      <c r="C215" s="24" t="s">
        <v>277</v>
      </c>
      <c r="D215" s="24">
        <v>2100000</v>
      </c>
      <c r="E215" s="24" t="s">
        <v>214</v>
      </c>
      <c r="F215" s="24" t="str">
        <f t="shared" si="6"/>
        <v>rtdc.l.rtdc.4040:itc</v>
      </c>
      <c r="G215" s="8">
        <f t="shared" si="7"/>
        <v>42592.031319444446</v>
      </c>
    </row>
    <row r="216" spans="1:7" x14ac:dyDescent="0.25">
      <c r="A216" s="8">
        <v>42592.032870370371</v>
      </c>
      <c r="B216" s="24" t="s">
        <v>210</v>
      </c>
      <c r="C216" s="24" t="s">
        <v>277</v>
      </c>
      <c r="D216" s="24">
        <v>2100000</v>
      </c>
      <c r="E216" s="24" t="s">
        <v>214</v>
      </c>
      <c r="F216" s="24" t="str">
        <f t="shared" si="6"/>
        <v>rtdc.l.rtdc.4040:itc</v>
      </c>
      <c r="G216" s="8">
        <f t="shared" si="7"/>
        <v>42592.032870370371</v>
      </c>
    </row>
    <row r="217" spans="1:7" x14ac:dyDescent="0.25">
      <c r="A217" s="8">
        <v>42592.047685185185</v>
      </c>
      <c r="B217" s="24" t="s">
        <v>133</v>
      </c>
      <c r="C217" s="24" t="s">
        <v>278</v>
      </c>
      <c r="D217" s="24">
        <v>1290000</v>
      </c>
      <c r="E217" s="24" t="s">
        <v>132</v>
      </c>
      <c r="F217" s="24" t="str">
        <f t="shared" si="6"/>
        <v>rtdc.l.rtdc.4011:itc</v>
      </c>
      <c r="G217" s="8">
        <f t="shared" si="7"/>
        <v>42592.047685185185</v>
      </c>
    </row>
    <row r="218" spans="1:7" x14ac:dyDescent="0.25">
      <c r="A218" s="8">
        <v>42592.049062500002</v>
      </c>
      <c r="B218" s="24" t="s">
        <v>133</v>
      </c>
      <c r="C218" s="24" t="s">
        <v>278</v>
      </c>
      <c r="D218" s="24">
        <v>1290000</v>
      </c>
      <c r="E218" s="24" t="s">
        <v>132</v>
      </c>
      <c r="F218" s="24" t="str">
        <f t="shared" si="6"/>
        <v>rtdc.l.rtdc.4011:itc</v>
      </c>
      <c r="G218" s="8">
        <f t="shared" si="7"/>
        <v>42592.049062500002</v>
      </c>
    </row>
    <row r="219" spans="1:7" x14ac:dyDescent="0.25">
      <c r="A219" s="8">
        <v>42592.058333333334</v>
      </c>
      <c r="B219" s="24" t="s">
        <v>139</v>
      </c>
      <c r="C219" s="24" t="s">
        <v>276</v>
      </c>
      <c r="D219" s="24">
        <v>1800000</v>
      </c>
      <c r="E219" s="24" t="s">
        <v>141</v>
      </c>
      <c r="F219" s="24" t="str">
        <f t="shared" si="6"/>
        <v>rtdc.l.rtdc.4032:itc</v>
      </c>
      <c r="G219" s="8">
        <f t="shared" si="7"/>
        <v>42592.058333333334</v>
      </c>
    </row>
    <row r="220" spans="1:7" x14ac:dyDescent="0.25">
      <c r="A220" s="8">
        <v>42592.068819444445</v>
      </c>
      <c r="B220" s="24" t="s">
        <v>100</v>
      </c>
      <c r="C220" s="24" t="s">
        <v>279</v>
      </c>
      <c r="D220" s="24">
        <v>1740000</v>
      </c>
      <c r="E220" s="24" t="s">
        <v>189</v>
      </c>
      <c r="F220" s="24" t="str">
        <f t="shared" si="6"/>
        <v>rtdc.l.rtdc.4025:itc</v>
      </c>
      <c r="G220" s="8">
        <f t="shared" si="7"/>
        <v>42592.068819444445</v>
      </c>
    </row>
    <row r="221" spans="1:7" x14ac:dyDescent="0.25">
      <c r="A221" s="8">
        <v>42592.089930555558</v>
      </c>
      <c r="B221" s="24" t="s">
        <v>138</v>
      </c>
      <c r="C221" s="24" t="s">
        <v>280</v>
      </c>
      <c r="D221" s="24">
        <v>1800000</v>
      </c>
      <c r="E221" s="24" t="s">
        <v>141</v>
      </c>
      <c r="F221" s="24" t="str">
        <f t="shared" si="6"/>
        <v>rtdc.l.rtdc.4031:itc</v>
      </c>
      <c r="G221" s="8">
        <f t="shared" si="7"/>
        <v>42592.089930555558</v>
      </c>
    </row>
    <row r="222" spans="1:7" x14ac:dyDescent="0.25">
      <c r="A222" s="8">
        <v>42592.091122685182</v>
      </c>
      <c r="B222" s="24" t="s">
        <v>138</v>
      </c>
      <c r="C222" s="24" t="s">
        <v>280</v>
      </c>
      <c r="D222" s="24">
        <v>1800000</v>
      </c>
      <c r="E222" s="24" t="s">
        <v>302</v>
      </c>
      <c r="F222" s="24" t="str">
        <f t="shared" si="6"/>
        <v>rtdc.l.rtdc.4031:itc</v>
      </c>
      <c r="G222" s="8">
        <f t="shared" si="7"/>
        <v>42592.091122685182</v>
      </c>
    </row>
    <row r="223" spans="1:7" x14ac:dyDescent="0.25">
      <c r="A223" s="8">
        <v>42591.08902777778</v>
      </c>
      <c r="B223" s="24" t="s">
        <v>103</v>
      </c>
      <c r="C223" s="24" t="s">
        <v>215</v>
      </c>
      <c r="D223" s="24">
        <v>1740000</v>
      </c>
      <c r="E223" s="24" t="s">
        <v>189</v>
      </c>
      <c r="F223" s="24" t="str">
        <f t="shared" si="6"/>
        <v>rtdc.l.rtdc.4027:itc</v>
      </c>
      <c r="G223" s="8">
        <f t="shared" si="7"/>
        <v>42591.08902777778</v>
      </c>
    </row>
    <row r="224" spans="1:7" x14ac:dyDescent="0.25">
      <c r="A224" s="8">
        <v>42591.089687500003</v>
      </c>
      <c r="B224" t="s">
        <v>103</v>
      </c>
      <c r="C224" t="s">
        <v>215</v>
      </c>
      <c r="D224">
        <v>1740000</v>
      </c>
      <c r="E224" t="s">
        <v>189</v>
      </c>
      <c r="F224" s="24" t="str">
        <f t="shared" si="6"/>
        <v>rtdc.l.rtdc.4027:itc</v>
      </c>
      <c r="G224" s="8">
        <f t="shared" si="7"/>
        <v>42591.089687500003</v>
      </c>
    </row>
    <row r="225" spans="1:7" x14ac:dyDescent="0.25">
      <c r="A225" s="8">
        <v>42591.11451388889</v>
      </c>
      <c r="B225" t="s">
        <v>68</v>
      </c>
      <c r="C225" t="s">
        <v>216</v>
      </c>
      <c r="D225">
        <v>2030000</v>
      </c>
      <c r="E225" t="s">
        <v>217</v>
      </c>
      <c r="F225" s="24" t="str">
        <f t="shared" si="6"/>
        <v>rtdc.l.rtdc.4017:itc</v>
      </c>
      <c r="G225" s="8">
        <f t="shared" si="7"/>
        <v>42591.11451388889</v>
      </c>
    </row>
    <row r="226" spans="1:7" x14ac:dyDescent="0.25">
      <c r="F226" s="24">
        <f t="shared" si="6"/>
        <v>0</v>
      </c>
      <c r="G226" s="8">
        <f t="shared" si="7"/>
        <v>0</v>
      </c>
    </row>
    <row r="227" spans="1:7" x14ac:dyDescent="0.25">
      <c r="F227" s="24">
        <f t="shared" si="6"/>
        <v>0</v>
      </c>
      <c r="G227" s="8">
        <f t="shared" si="7"/>
        <v>0</v>
      </c>
    </row>
    <row r="228" spans="1:7" x14ac:dyDescent="0.25">
      <c r="F228" s="24">
        <f t="shared" si="6"/>
        <v>0</v>
      </c>
      <c r="G228" s="8">
        <f t="shared" si="7"/>
        <v>0</v>
      </c>
    </row>
    <row r="229" spans="1:7" x14ac:dyDescent="0.25">
      <c r="F229" s="24">
        <f t="shared" si="6"/>
        <v>0</v>
      </c>
      <c r="G229" s="8">
        <f t="shared" si="7"/>
        <v>0</v>
      </c>
    </row>
    <row r="230" spans="1:7" x14ac:dyDescent="0.25">
      <c r="F230" s="24">
        <f t="shared" si="6"/>
        <v>0</v>
      </c>
      <c r="G230" s="8">
        <f t="shared" si="7"/>
        <v>0</v>
      </c>
    </row>
    <row r="231" spans="1:7" x14ac:dyDescent="0.25">
      <c r="F231" s="24">
        <f t="shared" si="6"/>
        <v>0</v>
      </c>
      <c r="G231" s="8">
        <f t="shared" si="7"/>
        <v>0</v>
      </c>
    </row>
    <row r="232" spans="1:7" x14ac:dyDescent="0.25">
      <c r="F232" s="24">
        <f t="shared" si="6"/>
        <v>0</v>
      </c>
      <c r="G232" s="8">
        <f t="shared" si="7"/>
        <v>0</v>
      </c>
    </row>
    <row r="233" spans="1:7" x14ac:dyDescent="0.25">
      <c r="F233" s="24">
        <f t="shared" si="6"/>
        <v>0</v>
      </c>
      <c r="G233" s="8">
        <f t="shared" si="7"/>
        <v>0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F235" s="24">
        <f t="shared" si="6"/>
        <v>0</v>
      </c>
      <c r="G235" s="8">
        <f t="shared" si="7"/>
        <v>0</v>
      </c>
    </row>
    <row r="236" spans="1:7" x14ac:dyDescent="0.25">
      <c r="F236" s="24">
        <f t="shared" ref="F236:F265" si="8">B236</f>
        <v>0</v>
      </c>
      <c r="G236" s="8">
        <f t="shared" ref="G236:G265" si="9">A236</f>
        <v>0</v>
      </c>
    </row>
    <row r="237" spans="1:7" x14ac:dyDescent="0.25">
      <c r="F237" s="24">
        <f t="shared" si="8"/>
        <v>0</v>
      </c>
      <c r="G237" s="8">
        <f t="shared" si="9"/>
        <v>0</v>
      </c>
    </row>
    <row r="238" spans="1:7" x14ac:dyDescent="0.25">
      <c r="F238" s="24">
        <f t="shared" si="8"/>
        <v>0</v>
      </c>
      <c r="G238" s="8">
        <f t="shared" si="9"/>
        <v>0</v>
      </c>
    </row>
    <row r="239" spans="1:7" x14ac:dyDescent="0.25">
      <c r="F239" s="24">
        <f t="shared" si="8"/>
        <v>0</v>
      </c>
      <c r="G239" s="8">
        <f t="shared" si="9"/>
        <v>0</v>
      </c>
    </row>
    <row r="240" spans="1:7" x14ac:dyDescent="0.25">
      <c r="F240" s="24">
        <f t="shared" si="8"/>
        <v>0</v>
      </c>
      <c r="G240" s="8">
        <f t="shared" si="9"/>
        <v>0</v>
      </c>
    </row>
    <row r="241" spans="6:7" x14ac:dyDescent="0.25">
      <c r="F241" s="24">
        <f t="shared" si="8"/>
        <v>0</v>
      </c>
      <c r="G241" s="8">
        <f t="shared" si="9"/>
        <v>0</v>
      </c>
    </row>
    <row r="242" spans="6:7" x14ac:dyDescent="0.25">
      <c r="F242" s="24">
        <f t="shared" si="8"/>
        <v>0</v>
      </c>
      <c r="G242" s="8">
        <f t="shared" si="9"/>
        <v>0</v>
      </c>
    </row>
    <row r="243" spans="6:7" x14ac:dyDescent="0.25">
      <c r="F243" s="24">
        <f t="shared" si="8"/>
        <v>0</v>
      </c>
      <c r="G243" s="8">
        <f t="shared" si="9"/>
        <v>0</v>
      </c>
    </row>
    <row r="244" spans="6:7" x14ac:dyDescent="0.25">
      <c r="F244" s="24">
        <f t="shared" si="8"/>
        <v>0</v>
      </c>
      <c r="G244" s="8">
        <f t="shared" si="9"/>
        <v>0</v>
      </c>
    </row>
    <row r="245" spans="6:7" x14ac:dyDescent="0.25">
      <c r="F245" s="24">
        <f t="shared" si="8"/>
        <v>0</v>
      </c>
      <c r="G245" s="8">
        <f t="shared" si="9"/>
        <v>0</v>
      </c>
    </row>
    <row r="246" spans="6:7" x14ac:dyDescent="0.25">
      <c r="F246" s="24">
        <f t="shared" si="8"/>
        <v>0</v>
      </c>
      <c r="G246" s="8">
        <f t="shared" si="9"/>
        <v>0</v>
      </c>
    </row>
    <row r="247" spans="6:7" x14ac:dyDescent="0.25">
      <c r="F247" s="24">
        <f t="shared" si="8"/>
        <v>0</v>
      </c>
      <c r="G247" s="8">
        <f t="shared" si="9"/>
        <v>0</v>
      </c>
    </row>
    <row r="248" spans="6:7" x14ac:dyDescent="0.25">
      <c r="F248" s="24">
        <f t="shared" si="8"/>
        <v>0</v>
      </c>
      <c r="G248" s="8">
        <f t="shared" si="9"/>
        <v>0</v>
      </c>
    </row>
    <row r="249" spans="6:7" x14ac:dyDescent="0.25">
      <c r="F249" s="24">
        <f t="shared" si="8"/>
        <v>0</v>
      </c>
      <c r="G249" s="8">
        <f t="shared" si="9"/>
        <v>0</v>
      </c>
    </row>
    <row r="250" spans="6:7" x14ac:dyDescent="0.25">
      <c r="F250" s="24">
        <f t="shared" si="8"/>
        <v>0</v>
      </c>
      <c r="G250" s="8">
        <f t="shared" si="9"/>
        <v>0</v>
      </c>
    </row>
    <row r="251" spans="6:7" x14ac:dyDescent="0.25">
      <c r="F251" s="24">
        <f t="shared" si="8"/>
        <v>0</v>
      </c>
      <c r="G251" s="8">
        <f t="shared" si="9"/>
        <v>0</v>
      </c>
    </row>
    <row r="252" spans="6:7" x14ac:dyDescent="0.25">
      <c r="F252" s="24">
        <f t="shared" si="8"/>
        <v>0</v>
      </c>
      <c r="G252" s="8">
        <f t="shared" si="9"/>
        <v>0</v>
      </c>
    </row>
    <row r="253" spans="6:7" x14ac:dyDescent="0.25">
      <c r="F253" s="24">
        <f t="shared" si="8"/>
        <v>0</v>
      </c>
      <c r="G253" s="8">
        <f t="shared" si="9"/>
        <v>0</v>
      </c>
    </row>
    <row r="254" spans="6:7" x14ac:dyDescent="0.25">
      <c r="F254" s="24">
        <f t="shared" si="8"/>
        <v>0</v>
      </c>
      <c r="G254" s="8">
        <f t="shared" si="9"/>
        <v>0</v>
      </c>
    </row>
    <row r="255" spans="6:7" x14ac:dyDescent="0.25">
      <c r="F255" s="24">
        <f t="shared" si="8"/>
        <v>0</v>
      </c>
      <c r="G255" s="8">
        <f t="shared" si="9"/>
        <v>0</v>
      </c>
    </row>
    <row r="256" spans="6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2" t="s">
        <v>144</v>
      </c>
      <c r="D1" s="83" t="s">
        <v>145</v>
      </c>
      <c r="J1" s="35" t="s">
        <v>146</v>
      </c>
      <c r="K1" s="35" t="s">
        <v>79</v>
      </c>
      <c r="L1" s="35" t="s">
        <v>80</v>
      </c>
      <c r="O1" s="86" t="s">
        <v>147</v>
      </c>
    </row>
    <row r="2" spans="1:16" ht="15.75" thickBot="1" x14ac:dyDescent="0.3">
      <c r="A2" s="15">
        <v>42592</v>
      </c>
      <c r="B2" s="4"/>
      <c r="C2" s="84">
        <v>50</v>
      </c>
      <c r="D2" s="85">
        <v>25</v>
      </c>
      <c r="F2" t="s">
        <v>630</v>
      </c>
      <c r="J2" s="35"/>
      <c r="K2" s="35" t="s">
        <v>79</v>
      </c>
      <c r="L2" s="35" t="s">
        <v>80</v>
      </c>
    </row>
    <row r="3" spans="1:16" x14ac:dyDescent="0.25">
      <c r="F3" t="s">
        <v>59</v>
      </c>
      <c r="J3" s="36" t="s">
        <v>81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148</v>
      </c>
      <c r="P3" s="73">
        <f>AVERAGE(1.0714,1.1016)</f>
        <v>1.0865</v>
      </c>
    </row>
    <row r="4" spans="1:16" x14ac:dyDescent="0.25">
      <c r="F4" t="s">
        <v>60</v>
      </c>
      <c r="J4" s="36" t="s">
        <v>82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83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F6" t="s">
        <v>631</v>
      </c>
      <c r="J6" s="36" t="s">
        <v>84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F7" t="s">
        <v>632</v>
      </c>
      <c r="J7" s="36" t="s">
        <v>85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F8" t="s">
        <v>633</v>
      </c>
      <c r="J8" s="36" t="s">
        <v>86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87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88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89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90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91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92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110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111</v>
      </c>
      <c r="K19" s="37"/>
      <c r="L19" s="37"/>
      <c r="M19" s="73" t="s">
        <v>163</v>
      </c>
    </row>
    <row r="20" spans="10:13" x14ac:dyDescent="0.25">
      <c r="J20" t="s">
        <v>112</v>
      </c>
      <c r="M20" s="73" t="s">
        <v>158</v>
      </c>
    </row>
    <row r="21" spans="10:13" x14ac:dyDescent="0.25">
      <c r="J21" s="24" t="s">
        <v>115</v>
      </c>
      <c r="K21" s="24" t="s">
        <v>116</v>
      </c>
      <c r="M21" s="73" t="s">
        <v>116</v>
      </c>
    </row>
    <row r="22" spans="10:13" x14ac:dyDescent="0.25">
      <c r="J22" s="24" t="s">
        <v>117</v>
      </c>
      <c r="K22" s="24" t="s">
        <v>118</v>
      </c>
      <c r="M22" s="73" t="s">
        <v>162</v>
      </c>
    </row>
    <row r="23" spans="10:13" x14ac:dyDescent="0.25">
      <c r="J23" s="32" t="s">
        <v>120</v>
      </c>
      <c r="K23" s="24"/>
      <c r="M23" s="73">
        <v>-6</v>
      </c>
    </row>
    <row r="24" spans="10:13" x14ac:dyDescent="0.25">
      <c r="J24" s="24" t="s">
        <v>159</v>
      </c>
      <c r="K24" s="24"/>
      <c r="M24" s="73" t="s">
        <v>161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2016-08-11T15:50:31Z</dcterms:modified>
</cp:coreProperties>
</file>