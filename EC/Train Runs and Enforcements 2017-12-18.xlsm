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7" i="1" l="1"/>
  <c r="X208" i="1"/>
  <c r="X209" i="1"/>
  <c r="X210" i="1"/>
  <c r="X211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08" i="1"/>
  <c r="AM208" i="1"/>
  <c r="AN208" i="1"/>
  <c r="AO208" i="1"/>
  <c r="X198" i="1"/>
  <c r="K197" i="1"/>
  <c r="L197" i="1"/>
  <c r="M197" i="1"/>
  <c r="N197" i="1" s="1"/>
  <c r="V197" i="1"/>
  <c r="X197" i="1"/>
  <c r="AA197" i="1"/>
  <c r="AB197" i="1"/>
  <c r="AC197" i="1"/>
  <c r="AD197" i="1"/>
  <c r="T197" i="1" s="1"/>
  <c r="AE197" i="1"/>
  <c r="AF197" i="1"/>
  <c r="AH197" i="1"/>
  <c r="AM197" i="1"/>
  <c r="AN197" i="1"/>
  <c r="AO197" i="1"/>
  <c r="P160" i="1"/>
  <c r="X157" i="1"/>
  <c r="X158" i="1"/>
  <c r="X159" i="1"/>
  <c r="X160" i="1"/>
  <c r="X161" i="1"/>
  <c r="X162" i="1"/>
  <c r="X163" i="1"/>
  <c r="X164" i="1"/>
  <c r="X165" i="1"/>
  <c r="X166" i="1"/>
  <c r="K160" i="1"/>
  <c r="L160" i="1"/>
  <c r="T160" i="1"/>
  <c r="V160" i="1"/>
  <c r="AA160" i="1"/>
  <c r="AB160" i="1"/>
  <c r="AC160" i="1"/>
  <c r="AD160" i="1"/>
  <c r="AE160" i="1"/>
  <c r="AF160" i="1"/>
  <c r="AH160" i="1"/>
  <c r="AM160" i="1"/>
  <c r="AN160" i="1"/>
  <c r="AO160" i="1"/>
  <c r="P127" i="1"/>
  <c r="X50" i="1"/>
  <c r="P48" i="1"/>
  <c r="K49" i="1"/>
  <c r="L49" i="1"/>
  <c r="M49" i="1"/>
  <c r="V49" i="1"/>
  <c r="Z49" i="1"/>
  <c r="AA49" i="1" s="1"/>
  <c r="AB49" i="1"/>
  <c r="AC49" i="1"/>
  <c r="AD49" i="1"/>
  <c r="T49" i="1" s="1"/>
  <c r="AE49" i="1"/>
  <c r="AF49" i="1"/>
  <c r="AH49" i="1"/>
  <c r="AM49" i="1"/>
  <c r="AN49" i="1"/>
  <c r="AO49" i="1"/>
  <c r="P17" i="1"/>
  <c r="K14" i="1"/>
  <c r="L14" i="1"/>
  <c r="M14" i="1"/>
  <c r="N14" i="1" s="1"/>
  <c r="V14" i="1"/>
  <c r="S21" i="3" s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17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S15" i="3" s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AA35" i="1" s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S14" i="3" s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S7" i="3" s="1"/>
  <c r="Y41" i="1"/>
  <c r="Z41" i="1"/>
  <c r="AA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AA43" i="1" s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R13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V48" i="1"/>
  <c r="S19" i="3" s="1"/>
  <c r="Y48" i="1"/>
  <c r="AA48" i="1" s="1"/>
  <c r="AB48" i="1"/>
  <c r="AC48" i="1"/>
  <c r="AD48" i="1"/>
  <c r="AE48" i="1"/>
  <c r="AF48" i="1"/>
  <c r="AH48" i="1"/>
  <c r="AM48" i="1"/>
  <c r="AN48" i="1"/>
  <c r="AO48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R9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X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T71" i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/>
  <c r="V74" i="1"/>
  <c r="Y74" i="1"/>
  <c r="AA74" i="1" s="1"/>
  <c r="Z74" i="1"/>
  <c r="AB74" i="1"/>
  <c r="AC74" i="1"/>
  <c r="AD74" i="1"/>
  <c r="X74" i="1" s="1"/>
  <c r="AE74" i="1"/>
  <c r="AF74" i="1"/>
  <c r="AH74" i="1"/>
  <c r="AM74" i="1"/>
  <c r="AN74" i="1"/>
  <c r="AO74" i="1"/>
  <c r="K75" i="1"/>
  <c r="L75" i="1"/>
  <c r="M75" i="1"/>
  <c r="N75" i="1" s="1"/>
  <c r="T75" i="1"/>
  <c r="V75" i="1"/>
  <c r="Y75" i="1"/>
  <c r="AA75" i="1" s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X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A77" i="1" s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/>
  <c r="V78" i="1"/>
  <c r="Y78" i="1"/>
  <c r="Z78" i="1"/>
  <c r="AA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T79" i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V81" i="1"/>
  <c r="X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 s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AA103" i="1" s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T104" i="1"/>
  <c r="V104" i="1"/>
  <c r="Y104" i="1"/>
  <c r="Z104" i="1"/>
  <c r="AB104" i="1"/>
  <c r="AC104" i="1"/>
  <c r="AD104" i="1"/>
  <c r="X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AO105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/>
  <c r="V107" i="1"/>
  <c r="Y107" i="1"/>
  <c r="AA107" i="1" s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T108" i="1"/>
  <c r="V108" i="1"/>
  <c r="Y108" i="1"/>
  <c r="AA108" i="1" s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X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/>
  <c r="V110" i="1"/>
  <c r="Y110" i="1"/>
  <c r="Z110" i="1"/>
  <c r="AA110" i="1" s="1"/>
  <c r="AB110" i="1"/>
  <c r="AC110" i="1"/>
  <c r="AD110" i="1"/>
  <c r="X110" i="1" s="1"/>
  <c r="AE110" i="1"/>
  <c r="AF110" i="1"/>
  <c r="AH110" i="1"/>
  <c r="AM110" i="1"/>
  <c r="AN110" i="1"/>
  <c r="AO110" i="1"/>
  <c r="K111" i="1"/>
  <c r="L111" i="1"/>
  <c r="M111" i="1"/>
  <c r="N111" i="1"/>
  <c r="V111" i="1"/>
  <c r="Y111" i="1"/>
  <c r="Z111" i="1"/>
  <c r="AA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T112" i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T116" i="1"/>
  <c r="V116" i="1"/>
  <c r="Y116" i="1"/>
  <c r="Z116" i="1"/>
  <c r="AA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X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T124" i="1"/>
  <c r="V124" i="1"/>
  <c r="Y124" i="1"/>
  <c r="Z124" i="1"/>
  <c r="AA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T128" i="1"/>
  <c r="V128" i="1"/>
  <c r="X128" i="1"/>
  <c r="Y128" i="1"/>
  <c r="Z128" i="1"/>
  <c r="AA128" i="1" s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/>
  <c r="V130" i="1"/>
  <c r="X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T131" i="1"/>
  <c r="V131" i="1"/>
  <c r="S10" i="3" s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T133" i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/>
  <c r="V141" i="1"/>
  <c r="Y141" i="1"/>
  <c r="Z141" i="1"/>
  <c r="AA141" i="1" s="1"/>
  <c r="AB141" i="1"/>
  <c r="AC141" i="1"/>
  <c r="AD141" i="1"/>
  <c r="X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S11" i="3" s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V157" i="1"/>
  <c r="Y157" i="1"/>
  <c r="Z157" i="1"/>
  <c r="AA157" i="1" s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T159" i="1"/>
  <c r="V159" i="1"/>
  <c r="Y159" i="1"/>
  <c r="Z159" i="1"/>
  <c r="AA159" i="1" s="1"/>
  <c r="AB159" i="1"/>
  <c r="AC159" i="1"/>
  <c r="AD159" i="1"/>
  <c r="AE159" i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AO161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62" i="1"/>
  <c r="AM162" i="1"/>
  <c r="AN162" i="1"/>
  <c r="AO162" i="1"/>
  <c r="K211" i="1"/>
  <c r="L211" i="1"/>
  <c r="M211" i="1"/>
  <c r="N211" i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AO163" i="1"/>
  <c r="K212" i="1"/>
  <c r="L212" i="1"/>
  <c r="M212" i="1"/>
  <c r="N212" i="1"/>
  <c r="V212" i="1"/>
  <c r="Y212" i="1"/>
  <c r="Z212" i="1"/>
  <c r="AB212" i="1"/>
  <c r="AC212" i="1"/>
  <c r="AD212" i="1"/>
  <c r="X212" i="1" s="1"/>
  <c r="AE212" i="1"/>
  <c r="AF212" i="1"/>
  <c r="AH164" i="1"/>
  <c r="AM164" i="1"/>
  <c r="AN164" i="1"/>
  <c r="AO164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AO165" i="1"/>
  <c r="K214" i="1"/>
  <c r="L214" i="1"/>
  <c r="M214" i="1"/>
  <c r="N214" i="1"/>
  <c r="V214" i="1"/>
  <c r="Y214" i="1"/>
  <c r="AA214" i="1" s="1"/>
  <c r="Z214" i="1"/>
  <c r="AB214" i="1"/>
  <c r="AC214" i="1"/>
  <c r="AD214" i="1"/>
  <c r="X214" i="1" s="1"/>
  <c r="AE214" i="1"/>
  <c r="AF214" i="1"/>
  <c r="AH166" i="1"/>
  <c r="AM166" i="1"/>
  <c r="AN166" i="1"/>
  <c r="AO166" i="1"/>
  <c r="K215" i="1"/>
  <c r="L215" i="1"/>
  <c r="M215" i="1"/>
  <c r="N215" i="1" s="1"/>
  <c r="T215" i="1"/>
  <c r="V215" i="1"/>
  <c r="Y215" i="1"/>
  <c r="AA215" i="1" s="1"/>
  <c r="Z215" i="1"/>
  <c r="AB215" i="1"/>
  <c r="AC215" i="1"/>
  <c r="AD215" i="1"/>
  <c r="AE215" i="1"/>
  <c r="AF215" i="1"/>
  <c r="AH167" i="1"/>
  <c r="AM167" i="1"/>
  <c r="AN167" i="1"/>
  <c r="AO167" i="1"/>
  <c r="K216" i="1"/>
  <c r="L216" i="1"/>
  <c r="M216" i="1"/>
  <c r="N216" i="1" s="1"/>
  <c r="V216" i="1"/>
  <c r="X216" i="1"/>
  <c r="Y216" i="1"/>
  <c r="Z216" i="1"/>
  <c r="AA216" i="1" s="1"/>
  <c r="AB216" i="1"/>
  <c r="AC216" i="1"/>
  <c r="AD216" i="1"/>
  <c r="T216" i="1" s="1"/>
  <c r="AE216" i="1"/>
  <c r="AF216" i="1"/>
  <c r="AH168" i="1"/>
  <c r="AM168" i="1"/>
  <c r="AN168" i="1"/>
  <c r="AO168" i="1"/>
  <c r="K217" i="1"/>
  <c r="L217" i="1"/>
  <c r="M217" i="1"/>
  <c r="N217" i="1"/>
  <c r="V217" i="1"/>
  <c r="Y217" i="1"/>
  <c r="Z217" i="1"/>
  <c r="AA217" i="1" s="1"/>
  <c r="AB217" i="1"/>
  <c r="AC217" i="1"/>
  <c r="AD217" i="1"/>
  <c r="X217" i="1" s="1"/>
  <c r="AE217" i="1"/>
  <c r="AF217" i="1"/>
  <c r="AH169" i="1"/>
  <c r="AM169" i="1"/>
  <c r="AN169" i="1"/>
  <c r="AO169" i="1"/>
  <c r="K218" i="1"/>
  <c r="L218" i="1"/>
  <c r="M218" i="1"/>
  <c r="N218" i="1"/>
  <c r="V218" i="1"/>
  <c r="Y218" i="1"/>
  <c r="Z218" i="1"/>
  <c r="AA218" i="1"/>
  <c r="AB218" i="1"/>
  <c r="AC218" i="1"/>
  <c r="AD218" i="1"/>
  <c r="T218" i="1" s="1"/>
  <c r="AE218" i="1"/>
  <c r="AF218" i="1"/>
  <c r="AH170" i="1"/>
  <c r="AM170" i="1"/>
  <c r="AN170" i="1"/>
  <c r="AO170" i="1"/>
  <c r="K219" i="1"/>
  <c r="L219" i="1"/>
  <c r="M219" i="1"/>
  <c r="N219" i="1" s="1"/>
  <c r="T219" i="1"/>
  <c r="V219" i="1"/>
  <c r="Y219" i="1"/>
  <c r="Z219" i="1"/>
  <c r="AB219" i="1"/>
  <c r="AC219" i="1"/>
  <c r="AD219" i="1"/>
  <c r="X219" i="1" s="1"/>
  <c r="AE219" i="1"/>
  <c r="AF219" i="1"/>
  <c r="AH171" i="1"/>
  <c r="AM171" i="1"/>
  <c r="AN171" i="1"/>
  <c r="AO171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2" i="1"/>
  <c r="AM172" i="1"/>
  <c r="AN172" i="1"/>
  <c r="AO172" i="1"/>
  <c r="K226" i="1"/>
  <c r="L226" i="1"/>
  <c r="M226" i="1"/>
  <c r="N226" i="1"/>
  <c r="V226" i="1"/>
  <c r="Y226" i="1"/>
  <c r="Z226" i="1"/>
  <c r="AA226" i="1" s="1"/>
  <c r="AB226" i="1"/>
  <c r="AC226" i="1"/>
  <c r="AD226" i="1"/>
  <c r="T226" i="1" s="1"/>
  <c r="AE226" i="1"/>
  <c r="AF226" i="1"/>
  <c r="AH173" i="1"/>
  <c r="AM173" i="1"/>
  <c r="AN173" i="1"/>
  <c r="AO173" i="1"/>
  <c r="K227" i="1"/>
  <c r="L227" i="1"/>
  <c r="M227" i="1"/>
  <c r="N227" i="1"/>
  <c r="V227" i="1"/>
  <c r="Y227" i="1"/>
  <c r="Z227" i="1"/>
  <c r="AB227" i="1"/>
  <c r="AC227" i="1"/>
  <c r="AD227" i="1"/>
  <c r="X227" i="1" s="1"/>
  <c r="AE227" i="1"/>
  <c r="AF227" i="1"/>
  <c r="AH174" i="1"/>
  <c r="AM174" i="1"/>
  <c r="AN174" i="1"/>
  <c r="AO174" i="1"/>
  <c r="K228" i="1"/>
  <c r="L228" i="1"/>
  <c r="M228" i="1"/>
  <c r="N228" i="1" s="1"/>
  <c r="T228" i="1"/>
  <c r="V228" i="1"/>
  <c r="Y228" i="1"/>
  <c r="Z228" i="1"/>
  <c r="AA228" i="1"/>
  <c r="AB228" i="1"/>
  <c r="AC228" i="1"/>
  <c r="AD228" i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AO176" i="1"/>
  <c r="K230" i="1"/>
  <c r="L230" i="1"/>
  <c r="M230" i="1"/>
  <c r="N230" i="1"/>
  <c r="V230" i="1"/>
  <c r="Y230" i="1"/>
  <c r="Z230" i="1"/>
  <c r="AB230" i="1"/>
  <c r="AC230" i="1"/>
  <c r="AD230" i="1"/>
  <c r="X230" i="1" s="1"/>
  <c r="AE230" i="1"/>
  <c r="AF230" i="1"/>
  <c r="AH177" i="1"/>
  <c r="AM177" i="1"/>
  <c r="AN177" i="1"/>
  <c r="AO177" i="1"/>
  <c r="K161" i="1"/>
  <c r="L161" i="1"/>
  <c r="M161" i="1"/>
  <c r="N161" i="1"/>
  <c r="V161" i="1"/>
  <c r="Y161" i="1"/>
  <c r="Z161" i="1"/>
  <c r="AA161" i="1" s="1"/>
  <c r="AB161" i="1"/>
  <c r="AC161" i="1"/>
  <c r="AD161" i="1"/>
  <c r="T161" i="1" s="1"/>
  <c r="AE161" i="1"/>
  <c r="AF161" i="1"/>
  <c r="AH178" i="1"/>
  <c r="AM178" i="1"/>
  <c r="AN178" i="1"/>
  <c r="AO178" i="1"/>
  <c r="K162" i="1"/>
  <c r="L162" i="1"/>
  <c r="M162" i="1"/>
  <c r="N162" i="1" s="1"/>
  <c r="T162" i="1"/>
  <c r="V162" i="1"/>
  <c r="Y162" i="1"/>
  <c r="AA162" i="1" s="1"/>
  <c r="Z162" i="1"/>
  <c r="AB162" i="1"/>
  <c r="AC162" i="1"/>
  <c r="AD162" i="1"/>
  <c r="AE162" i="1"/>
  <c r="AF162" i="1"/>
  <c r="AH179" i="1"/>
  <c r="AM179" i="1"/>
  <c r="AN179" i="1"/>
  <c r="AO17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0" i="1"/>
  <c r="AM180" i="1"/>
  <c r="AN180" i="1"/>
  <c r="AO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AM181" i="1"/>
  <c r="AN181" i="1"/>
  <c r="AO18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2" i="1"/>
  <c r="AM182" i="1"/>
  <c r="AN182" i="1"/>
  <c r="AO182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83" i="1"/>
  <c r="AM183" i="1"/>
  <c r="AN183" i="1"/>
  <c r="AO183" i="1"/>
  <c r="K167" i="1"/>
  <c r="L167" i="1"/>
  <c r="M167" i="1"/>
  <c r="N167" i="1" s="1"/>
  <c r="V167" i="1"/>
  <c r="X167" i="1"/>
  <c r="Y167" i="1"/>
  <c r="Z167" i="1"/>
  <c r="AB167" i="1"/>
  <c r="AC167" i="1"/>
  <c r="AD167" i="1"/>
  <c r="T167" i="1" s="1"/>
  <c r="AE167" i="1"/>
  <c r="AF167" i="1"/>
  <c r="AH184" i="1"/>
  <c r="AM184" i="1"/>
  <c r="AN184" i="1"/>
  <c r="AO184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5" i="1"/>
  <c r="AM185" i="1"/>
  <c r="AN185" i="1"/>
  <c r="AO185" i="1"/>
  <c r="K169" i="1"/>
  <c r="L169" i="1"/>
  <c r="M169" i="1"/>
  <c r="N169" i="1"/>
  <c r="V169" i="1"/>
  <c r="Y169" i="1"/>
  <c r="Z169" i="1"/>
  <c r="AA169" i="1"/>
  <c r="AB169" i="1"/>
  <c r="AC169" i="1"/>
  <c r="AD169" i="1"/>
  <c r="T169" i="1" s="1"/>
  <c r="AE169" i="1"/>
  <c r="AF169" i="1"/>
  <c r="AH186" i="1"/>
  <c r="AM186" i="1"/>
  <c r="AN186" i="1"/>
  <c r="AO186" i="1"/>
  <c r="K231" i="1"/>
  <c r="L231" i="1"/>
  <c r="M231" i="1"/>
  <c r="N231" i="1" s="1"/>
  <c r="T231" i="1"/>
  <c r="V231" i="1"/>
  <c r="Y231" i="1"/>
  <c r="Z231" i="1"/>
  <c r="AB231" i="1"/>
  <c r="AC231" i="1"/>
  <c r="AD231" i="1"/>
  <c r="AE231" i="1"/>
  <c r="AF231" i="1"/>
  <c r="AH187" i="1"/>
  <c r="AM187" i="1"/>
  <c r="AN187" i="1"/>
  <c r="AO187" i="1"/>
  <c r="K232" i="1"/>
  <c r="L232" i="1"/>
  <c r="M232" i="1"/>
  <c r="N232" i="1" s="1"/>
  <c r="T232" i="1"/>
  <c r="V232" i="1"/>
  <c r="Y232" i="1"/>
  <c r="Z232" i="1"/>
  <c r="AA232" i="1" s="1"/>
  <c r="AB232" i="1"/>
  <c r="AC232" i="1"/>
  <c r="AD232" i="1"/>
  <c r="X232" i="1" s="1"/>
  <c r="AE232" i="1"/>
  <c r="AF232" i="1"/>
  <c r="AH188" i="1"/>
  <c r="AM188" i="1"/>
  <c r="AN188" i="1"/>
  <c r="AO188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89" i="1"/>
  <c r="AM189" i="1"/>
  <c r="AN189" i="1"/>
  <c r="AO18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0" i="1"/>
  <c r="AM190" i="1"/>
  <c r="AN190" i="1"/>
  <c r="AO190" i="1"/>
  <c r="K172" i="1"/>
  <c r="L172" i="1"/>
  <c r="M172" i="1"/>
  <c r="N172" i="1" s="1"/>
  <c r="T172" i="1"/>
  <c r="V172" i="1"/>
  <c r="X172" i="1"/>
  <c r="Y172" i="1"/>
  <c r="Z172" i="1"/>
  <c r="AA172" i="1" s="1"/>
  <c r="AB172" i="1"/>
  <c r="AC172" i="1"/>
  <c r="AD172" i="1"/>
  <c r="AE172" i="1"/>
  <c r="R22" i="3" s="1"/>
  <c r="AF172" i="1"/>
  <c r="AH191" i="1"/>
  <c r="AM191" i="1"/>
  <c r="AN191" i="1"/>
  <c r="AO191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2" i="1"/>
  <c r="AM192" i="1"/>
  <c r="AN192" i="1"/>
  <c r="AO192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193" i="1"/>
  <c r="AM193" i="1"/>
  <c r="AN193" i="1"/>
  <c r="AO193" i="1"/>
  <c r="K175" i="1"/>
  <c r="L175" i="1"/>
  <c r="M175" i="1"/>
  <c r="N175" i="1" s="1"/>
  <c r="V175" i="1"/>
  <c r="X175" i="1"/>
  <c r="Y175" i="1"/>
  <c r="Z175" i="1"/>
  <c r="AB175" i="1"/>
  <c r="AC175" i="1"/>
  <c r="AD175" i="1"/>
  <c r="T175" i="1" s="1"/>
  <c r="AE175" i="1"/>
  <c r="AF175" i="1"/>
  <c r="AH194" i="1"/>
  <c r="AM194" i="1"/>
  <c r="AN194" i="1"/>
  <c r="AO194" i="1"/>
  <c r="K176" i="1"/>
  <c r="L176" i="1"/>
  <c r="M176" i="1"/>
  <c r="N176" i="1" s="1"/>
  <c r="T176" i="1"/>
  <c r="V176" i="1"/>
  <c r="X176" i="1"/>
  <c r="Y176" i="1"/>
  <c r="Z176" i="1"/>
  <c r="AA176" i="1" s="1"/>
  <c r="AB176" i="1"/>
  <c r="AC176" i="1"/>
  <c r="AD176" i="1"/>
  <c r="AE176" i="1"/>
  <c r="AF176" i="1"/>
  <c r="AH195" i="1"/>
  <c r="AM195" i="1"/>
  <c r="AN195" i="1"/>
  <c r="AO195" i="1"/>
  <c r="K177" i="1"/>
  <c r="L177" i="1"/>
  <c r="M177" i="1"/>
  <c r="N177" i="1" s="1"/>
  <c r="T177" i="1"/>
  <c r="V177" i="1"/>
  <c r="Y177" i="1"/>
  <c r="Z177" i="1"/>
  <c r="AA177" i="1" s="1"/>
  <c r="AB177" i="1"/>
  <c r="AC177" i="1"/>
  <c r="AD177" i="1"/>
  <c r="X177" i="1" s="1"/>
  <c r="AE177" i="1"/>
  <c r="AF177" i="1"/>
  <c r="AH196" i="1"/>
  <c r="AM196" i="1"/>
  <c r="AN196" i="1"/>
  <c r="AO196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198" i="1"/>
  <c r="AM198" i="1"/>
  <c r="AN198" i="1"/>
  <c r="AO19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9" i="1"/>
  <c r="AM199" i="1"/>
  <c r="AN199" i="1"/>
  <c r="AO199" i="1"/>
  <c r="K233" i="1"/>
  <c r="L233" i="1"/>
  <c r="M233" i="1"/>
  <c r="N233" i="1" s="1"/>
  <c r="V233" i="1"/>
  <c r="Y233" i="1"/>
  <c r="Z233" i="1"/>
  <c r="AA233" i="1" s="1"/>
  <c r="AB233" i="1"/>
  <c r="AC233" i="1"/>
  <c r="AD233" i="1"/>
  <c r="X233" i="1" s="1"/>
  <c r="AE233" i="1"/>
  <c r="AF233" i="1"/>
  <c r="AH200" i="1"/>
  <c r="AM200" i="1"/>
  <c r="AN200" i="1"/>
  <c r="AO200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1" i="1"/>
  <c r="AM201" i="1"/>
  <c r="AN201" i="1"/>
  <c r="AO201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202" i="1"/>
  <c r="AM202" i="1"/>
  <c r="AN202" i="1"/>
  <c r="AO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AN203" i="1"/>
  <c r="AO203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204" i="1"/>
  <c r="AM204" i="1"/>
  <c r="AN204" i="1"/>
  <c r="AO204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5" i="1"/>
  <c r="AM205" i="1"/>
  <c r="AN205" i="1"/>
  <c r="AO205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06" i="1"/>
  <c r="AM206" i="1"/>
  <c r="AN206" i="1"/>
  <c r="AO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AM207" i="1"/>
  <c r="AN207" i="1"/>
  <c r="AO207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09" i="1"/>
  <c r="AM209" i="1"/>
  <c r="AN209" i="1"/>
  <c r="AO209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0" i="1"/>
  <c r="AM210" i="1"/>
  <c r="AN210" i="1"/>
  <c r="AO210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1" i="1"/>
  <c r="AM211" i="1"/>
  <c r="AN211" i="1"/>
  <c r="AO21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12" i="1"/>
  <c r="AM212" i="1"/>
  <c r="AN212" i="1"/>
  <c r="AO212" i="1"/>
  <c r="K190" i="1"/>
  <c r="L190" i="1"/>
  <c r="M190" i="1"/>
  <c r="N190" i="1" s="1"/>
  <c r="V190" i="1"/>
  <c r="Y190" i="1"/>
  <c r="Z190" i="1"/>
  <c r="AA190" i="1" s="1"/>
  <c r="AB190" i="1"/>
  <c r="AC190" i="1"/>
  <c r="AD190" i="1"/>
  <c r="X190" i="1" s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15" i="1"/>
  <c r="AM215" i="1"/>
  <c r="AN215" i="1"/>
  <c r="AO21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6" i="1"/>
  <c r="AM216" i="1"/>
  <c r="AN216" i="1"/>
  <c r="AO216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17" i="1"/>
  <c r="AM217" i="1"/>
  <c r="AN217" i="1"/>
  <c r="AO217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18" i="1"/>
  <c r="AM218" i="1"/>
  <c r="AN218" i="1"/>
  <c r="AO218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19" i="1"/>
  <c r="AM219" i="1"/>
  <c r="AN219" i="1"/>
  <c r="AO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AM220" i="1"/>
  <c r="AN220" i="1"/>
  <c r="AO220" i="1"/>
  <c r="K199" i="1"/>
  <c r="L199" i="1"/>
  <c r="M199" i="1"/>
  <c r="N199" i="1"/>
  <c r="V199" i="1"/>
  <c r="Y199" i="1"/>
  <c r="AA199" i="1" s="1"/>
  <c r="Z199" i="1"/>
  <c r="AB199" i="1"/>
  <c r="AC199" i="1"/>
  <c r="AD199" i="1"/>
  <c r="T199" i="1" s="1"/>
  <c r="AE199" i="1"/>
  <c r="AF199" i="1"/>
  <c r="AH221" i="1"/>
  <c r="AM221" i="1"/>
  <c r="AN221" i="1"/>
  <c r="AO221" i="1"/>
  <c r="K200" i="1"/>
  <c r="L200" i="1"/>
  <c r="M200" i="1"/>
  <c r="N200" i="1" s="1"/>
  <c r="T200" i="1"/>
  <c r="V200" i="1"/>
  <c r="Y200" i="1"/>
  <c r="AA200" i="1" s="1"/>
  <c r="Z200" i="1"/>
  <c r="AB200" i="1"/>
  <c r="AC200" i="1"/>
  <c r="AD200" i="1"/>
  <c r="AE200" i="1"/>
  <c r="AF200" i="1"/>
  <c r="AH222" i="1"/>
  <c r="AM222" i="1"/>
  <c r="AN222" i="1"/>
  <c r="AO222" i="1"/>
  <c r="K201" i="1"/>
  <c r="L201" i="1"/>
  <c r="M201" i="1"/>
  <c r="N201" i="1" s="1"/>
  <c r="V201" i="1"/>
  <c r="X201" i="1"/>
  <c r="Y201" i="1"/>
  <c r="Z201" i="1"/>
  <c r="AA201" i="1" s="1"/>
  <c r="AB201" i="1"/>
  <c r="AC201" i="1"/>
  <c r="AD201" i="1"/>
  <c r="T201" i="1" s="1"/>
  <c r="AE201" i="1"/>
  <c r="AF201" i="1"/>
  <c r="AH223" i="1"/>
  <c r="AM223" i="1"/>
  <c r="AN223" i="1"/>
  <c r="AO22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24" i="1"/>
  <c r="AM224" i="1"/>
  <c r="AN224" i="1"/>
  <c r="AO224" i="1"/>
  <c r="K203" i="1"/>
  <c r="L203" i="1"/>
  <c r="M203" i="1"/>
  <c r="N203" i="1"/>
  <c r="V203" i="1"/>
  <c r="Y203" i="1"/>
  <c r="Z203" i="1"/>
  <c r="AA203" i="1"/>
  <c r="AB203" i="1"/>
  <c r="AC203" i="1"/>
  <c r="AD203" i="1"/>
  <c r="X203" i="1" s="1"/>
  <c r="AE203" i="1"/>
  <c r="AF203" i="1"/>
  <c r="AH225" i="1"/>
  <c r="AM225" i="1"/>
  <c r="AN225" i="1"/>
  <c r="AO225" i="1"/>
  <c r="K204" i="1"/>
  <c r="L204" i="1"/>
  <c r="M204" i="1"/>
  <c r="N204" i="1" s="1"/>
  <c r="T204" i="1"/>
  <c r="V204" i="1"/>
  <c r="Y204" i="1"/>
  <c r="Z204" i="1"/>
  <c r="AB204" i="1"/>
  <c r="AC204" i="1"/>
  <c r="AD204" i="1"/>
  <c r="AE204" i="1"/>
  <c r="AF204" i="1"/>
  <c r="AH226" i="1"/>
  <c r="AM226" i="1"/>
  <c r="AN226" i="1"/>
  <c r="AO22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7" i="1"/>
  <c r="AM227" i="1"/>
  <c r="AN227" i="1"/>
  <c r="AO227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28" i="1"/>
  <c r="AM228" i="1"/>
  <c r="AN228" i="1"/>
  <c r="AO228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29" i="1"/>
  <c r="AM229" i="1"/>
  <c r="AN229" i="1"/>
  <c r="AO229" i="1"/>
  <c r="K221" i="1"/>
  <c r="L221" i="1"/>
  <c r="M221" i="1"/>
  <c r="N221" i="1" s="1"/>
  <c r="V221" i="1"/>
  <c r="Y221" i="1"/>
  <c r="Z221" i="1"/>
  <c r="AA221" i="1" s="1"/>
  <c r="AB221" i="1"/>
  <c r="AC221" i="1"/>
  <c r="AD221" i="1"/>
  <c r="X221" i="1" s="1"/>
  <c r="AE221" i="1"/>
  <c r="AF221" i="1"/>
  <c r="AH230" i="1"/>
  <c r="AM230" i="1"/>
  <c r="AN230" i="1"/>
  <c r="AO230" i="1"/>
  <c r="K222" i="1"/>
  <c r="L222" i="1"/>
  <c r="M222" i="1"/>
  <c r="N222" i="1" s="1"/>
  <c r="V222" i="1"/>
  <c r="Y222" i="1"/>
  <c r="Z222" i="1"/>
  <c r="AA222" i="1"/>
  <c r="AB222" i="1"/>
  <c r="AC222" i="1"/>
  <c r="AD222" i="1"/>
  <c r="T222" i="1" s="1"/>
  <c r="AE222" i="1"/>
  <c r="AF222" i="1"/>
  <c r="AH231" i="1"/>
  <c r="AM231" i="1"/>
  <c r="AN231" i="1"/>
  <c r="AO231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232" i="1"/>
  <c r="AM232" i="1"/>
  <c r="AN232" i="1"/>
  <c r="AO232" i="1"/>
  <c r="K224" i="1"/>
  <c r="L224" i="1"/>
  <c r="M224" i="1"/>
  <c r="N224" i="1"/>
  <c r="V224" i="1"/>
  <c r="Y224" i="1"/>
  <c r="Z224" i="1"/>
  <c r="AB224" i="1"/>
  <c r="AC224" i="1"/>
  <c r="AD224" i="1"/>
  <c r="X224" i="1" s="1"/>
  <c r="AE224" i="1"/>
  <c r="AF224" i="1"/>
  <c r="AH233" i="1"/>
  <c r="AM233" i="1"/>
  <c r="AN233" i="1"/>
  <c r="AO23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4" i="1"/>
  <c r="AM234" i="1"/>
  <c r="AN234" i="1"/>
  <c r="AO234" i="1"/>
  <c r="M16" i="3"/>
  <c r="R16" i="3"/>
  <c r="S16" i="3"/>
  <c r="U16" i="3"/>
  <c r="T16" i="3" s="1"/>
  <c r="V16" i="3"/>
  <c r="X16" i="3"/>
  <c r="M21" i="3"/>
  <c r="R21" i="3"/>
  <c r="U21" i="3"/>
  <c r="AC21" i="3" s="1"/>
  <c r="V21" i="3"/>
  <c r="X21" i="3"/>
  <c r="M12" i="3"/>
  <c r="R12" i="3"/>
  <c r="S12" i="3"/>
  <c r="U12" i="3"/>
  <c r="AC12" i="3" s="1"/>
  <c r="V12" i="3"/>
  <c r="X12" i="3"/>
  <c r="M17" i="3"/>
  <c r="S17" i="3"/>
  <c r="U17" i="3"/>
  <c r="T17" i="3" s="1"/>
  <c r="V17" i="3"/>
  <c r="X17" i="3"/>
  <c r="M15" i="3"/>
  <c r="R15" i="3"/>
  <c r="U15" i="3"/>
  <c r="AC15" i="3" s="1"/>
  <c r="V15" i="3"/>
  <c r="X15" i="3"/>
  <c r="M7" i="3"/>
  <c r="R7" i="3"/>
  <c r="U7" i="3"/>
  <c r="AC7" i="3" s="1"/>
  <c r="V7" i="3"/>
  <c r="X7" i="3"/>
  <c r="M14" i="3"/>
  <c r="R14" i="3"/>
  <c r="U14" i="3"/>
  <c r="V14" i="3"/>
  <c r="X14" i="3"/>
  <c r="M18" i="3"/>
  <c r="R18" i="3"/>
  <c r="U18" i="3"/>
  <c r="AC18" i="3" s="1"/>
  <c r="V18" i="3"/>
  <c r="X18" i="3"/>
  <c r="M22" i="3"/>
  <c r="S22" i="3"/>
  <c r="U22" i="3"/>
  <c r="AC22" i="3" s="1"/>
  <c r="V22" i="3"/>
  <c r="X22" i="3"/>
  <c r="M13" i="3"/>
  <c r="S13" i="3"/>
  <c r="U13" i="3"/>
  <c r="T13" i="3" s="1"/>
  <c r="V13" i="3"/>
  <c r="X13" i="3"/>
  <c r="M9" i="3"/>
  <c r="S9" i="3"/>
  <c r="U9" i="3"/>
  <c r="AC9" i="3" s="1"/>
  <c r="V9" i="3"/>
  <c r="X9" i="3"/>
  <c r="M19" i="3"/>
  <c r="R19" i="3"/>
  <c r="U19" i="3"/>
  <c r="AC19" i="3" s="1"/>
  <c r="V19" i="3"/>
  <c r="X19" i="3"/>
  <c r="M8" i="3"/>
  <c r="R8" i="3"/>
  <c r="S8" i="3"/>
  <c r="U8" i="3"/>
  <c r="AD8" i="3" s="1"/>
  <c r="V8" i="3"/>
  <c r="X8" i="3"/>
  <c r="M10" i="3"/>
  <c r="R10" i="3"/>
  <c r="U10" i="3"/>
  <c r="AC10" i="3" s="1"/>
  <c r="V10" i="3"/>
  <c r="X10" i="3"/>
  <c r="M11" i="3"/>
  <c r="R11" i="3"/>
  <c r="U11" i="3"/>
  <c r="AC11" i="3" s="1"/>
  <c r="V11" i="3"/>
  <c r="X11" i="3"/>
  <c r="M23" i="3"/>
  <c r="R23" i="3"/>
  <c r="S23" i="3"/>
  <c r="U23" i="3"/>
  <c r="AD23" i="3" s="1"/>
  <c r="V23" i="3"/>
  <c r="X23" i="3"/>
  <c r="AG208" i="1"/>
  <c r="AG197" i="1"/>
  <c r="AG160" i="1"/>
  <c r="AG49" i="1"/>
  <c r="AG14" i="1"/>
  <c r="AG58" i="1"/>
  <c r="AG62" i="1"/>
  <c r="AG66" i="1"/>
  <c r="AG70" i="1"/>
  <c r="AG74" i="1"/>
  <c r="AG78" i="1"/>
  <c r="AG23" i="1"/>
  <c r="AG31" i="1"/>
  <c r="AG39" i="1"/>
  <c r="AG47" i="1"/>
  <c r="AG56" i="1"/>
  <c r="AG21" i="1"/>
  <c r="AG30" i="1"/>
  <c r="AG38" i="1"/>
  <c r="AG46" i="1"/>
  <c r="AG55" i="1"/>
  <c r="AG83" i="1"/>
  <c r="AG87" i="1"/>
  <c r="AG91" i="1"/>
  <c r="AG95" i="1"/>
  <c r="AG99" i="1"/>
  <c r="AG103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212" i="1"/>
  <c r="AG216" i="1"/>
  <c r="AG220" i="1"/>
  <c r="AG229" i="1"/>
  <c r="AG163" i="1"/>
  <c r="AG167" i="1"/>
  <c r="AG232" i="1"/>
  <c r="AG173" i="1"/>
  <c r="AG177" i="1"/>
  <c r="AG180" i="1"/>
  <c r="AG184" i="1"/>
  <c r="AG188" i="1"/>
  <c r="AG191" i="1"/>
  <c r="AG195" i="1"/>
  <c r="AG200" i="1"/>
  <c r="AG204" i="1"/>
  <c r="AG221" i="1"/>
  <c r="AG225" i="1"/>
  <c r="AG18" i="1"/>
  <c r="AG60" i="1"/>
  <c r="AG65" i="1"/>
  <c r="AG71" i="1"/>
  <c r="AG76" i="1"/>
  <c r="AG19" i="1"/>
  <c r="AG33" i="1"/>
  <c r="AG43" i="1"/>
  <c r="AG54" i="1"/>
  <c r="AG24" i="1"/>
  <c r="AG34" i="1"/>
  <c r="AG44" i="1"/>
  <c r="AG80" i="1"/>
  <c r="AG85" i="1"/>
  <c r="AG90" i="1"/>
  <c r="AG96" i="1"/>
  <c r="AG101" i="1"/>
  <c r="AG106" i="1"/>
  <c r="AG112" i="1"/>
  <c r="AG117" i="1"/>
  <c r="AG122" i="1"/>
  <c r="AG128" i="1"/>
  <c r="AG133" i="1"/>
  <c r="AG138" i="1"/>
  <c r="AG144" i="1"/>
  <c r="AG149" i="1"/>
  <c r="AG154" i="1"/>
  <c r="AG209" i="1"/>
  <c r="AG214" i="1"/>
  <c r="AG219" i="1"/>
  <c r="AG230" i="1"/>
  <c r="AG165" i="1"/>
  <c r="AG231" i="1"/>
  <c r="AG174" i="1"/>
  <c r="AG179" i="1"/>
  <c r="AG183" i="1"/>
  <c r="AG189" i="1"/>
  <c r="AG193" i="1"/>
  <c r="AG199" i="1"/>
  <c r="AG205" i="1"/>
  <c r="AG223" i="1"/>
  <c r="AG102" i="1"/>
  <c r="AG134" i="1"/>
  <c r="AG150" i="1"/>
  <c r="AG210" i="1"/>
  <c r="AG215" i="1"/>
  <c r="AG161" i="1"/>
  <c r="AG170" i="1"/>
  <c r="AG175" i="1"/>
  <c r="AG185" i="1"/>
  <c r="AG234" i="1"/>
  <c r="AG201" i="1"/>
  <c r="AG224" i="1"/>
  <c r="AG22" i="1"/>
  <c r="AG61" i="1"/>
  <c r="AG67" i="1"/>
  <c r="AG72" i="1"/>
  <c r="AG77" i="1"/>
  <c r="AG25" i="1"/>
  <c r="AG35" i="1"/>
  <c r="AG45" i="1"/>
  <c r="AG16" i="1"/>
  <c r="AG26" i="1"/>
  <c r="AG36" i="1"/>
  <c r="AG48" i="1"/>
  <c r="AG81" i="1"/>
  <c r="AG86" i="1"/>
  <c r="AG92" i="1"/>
  <c r="AG97" i="1"/>
  <c r="AG108" i="1"/>
  <c r="AG113" i="1"/>
  <c r="AG118" i="1"/>
  <c r="AG124" i="1"/>
  <c r="AG129" i="1"/>
  <c r="AG140" i="1"/>
  <c r="AG145" i="1"/>
  <c r="AG156" i="1"/>
  <c r="AG226" i="1"/>
  <c r="AG166" i="1"/>
  <c r="AG233" i="1"/>
  <c r="AG194" i="1"/>
  <c r="AG206" i="1"/>
  <c r="AG57" i="1"/>
  <c r="AG63" i="1"/>
  <c r="AG68" i="1"/>
  <c r="AG73" i="1"/>
  <c r="AG79" i="1"/>
  <c r="AG27" i="1"/>
  <c r="AG37" i="1"/>
  <c r="AG50" i="1"/>
  <c r="AG20" i="1"/>
  <c r="AG28" i="1"/>
  <c r="AG40" i="1"/>
  <c r="AG51" i="1"/>
  <c r="AG82" i="1"/>
  <c r="AG88" i="1"/>
  <c r="AG93" i="1"/>
  <c r="AG104" i="1"/>
  <c r="AG109" i="1"/>
  <c r="AG114" i="1"/>
  <c r="AG120" i="1"/>
  <c r="AG130" i="1"/>
  <c r="AG141" i="1"/>
  <c r="AG152" i="1"/>
  <c r="AG211" i="1"/>
  <c r="AG227" i="1"/>
  <c r="AG168" i="1"/>
  <c r="AG181" i="1"/>
  <c r="AG190" i="1"/>
  <c r="AG202" i="1"/>
  <c r="AG59" i="1"/>
  <c r="AG64" i="1"/>
  <c r="AG69" i="1"/>
  <c r="AG75" i="1"/>
  <c r="AG15" i="1"/>
  <c r="AG29" i="1"/>
  <c r="AG41" i="1"/>
  <c r="AG52" i="1"/>
  <c r="AG17" i="1"/>
  <c r="AG32" i="1"/>
  <c r="AG42" i="1"/>
  <c r="AG53" i="1"/>
  <c r="AG84" i="1"/>
  <c r="AG89" i="1"/>
  <c r="AG94" i="1"/>
  <c r="AG100" i="1"/>
  <c r="AG105" i="1"/>
  <c r="AG110" i="1"/>
  <c r="AG116" i="1"/>
  <c r="AG121" i="1"/>
  <c r="AG126" i="1"/>
  <c r="AG132" i="1"/>
  <c r="AG137" i="1"/>
  <c r="AG142" i="1"/>
  <c r="AG148" i="1"/>
  <c r="AG153" i="1"/>
  <c r="AG158" i="1"/>
  <c r="AG213" i="1"/>
  <c r="AG218" i="1"/>
  <c r="AG228" i="1"/>
  <c r="AG164" i="1"/>
  <c r="AG169" i="1"/>
  <c r="AG172" i="1"/>
  <c r="AG178" i="1"/>
  <c r="AG182" i="1"/>
  <c r="AG187" i="1"/>
  <c r="AG192" i="1"/>
  <c r="AG198" i="1"/>
  <c r="AG203" i="1"/>
  <c r="AG222" i="1"/>
  <c r="AG98" i="1"/>
  <c r="AG125" i="1"/>
  <c r="AG136" i="1"/>
  <c r="AG146" i="1"/>
  <c r="AG157" i="1"/>
  <c r="AG217" i="1"/>
  <c r="AG162" i="1"/>
  <c r="AG171" i="1"/>
  <c r="AG176" i="1"/>
  <c r="AG186" i="1"/>
  <c r="AG196" i="1"/>
  <c r="AG207" i="1"/>
  <c r="W11" i="3"/>
  <c r="W19" i="3"/>
  <c r="W21" i="3"/>
  <c r="W8" i="3"/>
  <c r="W15" i="3"/>
  <c r="W14" i="3"/>
  <c r="W12" i="3"/>
  <c r="W9" i="3"/>
  <c r="W10" i="3"/>
  <c r="W23" i="3"/>
  <c r="W16" i="3"/>
  <c r="W7" i="3"/>
  <c r="W18" i="3"/>
  <c r="W13" i="3"/>
  <c r="W17" i="3"/>
  <c r="W22" i="3"/>
  <c r="AI208" i="1" l="1"/>
  <c r="U208" i="1"/>
  <c r="S208" i="1" s="1"/>
  <c r="W208" i="1"/>
  <c r="AI197" i="1"/>
  <c r="U197" i="1"/>
  <c r="S197" i="1" s="1"/>
  <c r="W197" i="1"/>
  <c r="S18" i="3"/>
  <c r="AI160" i="1"/>
  <c r="U160" i="1"/>
  <c r="S160" i="1" s="1"/>
  <c r="W160" i="1"/>
  <c r="AI49" i="1"/>
  <c r="U49" i="1"/>
  <c r="W49" i="1"/>
  <c r="X49" i="1"/>
  <c r="AC16" i="3"/>
  <c r="AD16" i="3"/>
  <c r="X194" i="1"/>
  <c r="AA204" i="1"/>
  <c r="T224" i="1"/>
  <c r="X205" i="1"/>
  <c r="X200" i="1"/>
  <c r="AA198" i="1"/>
  <c r="X196" i="1"/>
  <c r="AA193" i="1"/>
  <c r="X192" i="1"/>
  <c r="AA234" i="1"/>
  <c r="AA173" i="1"/>
  <c r="W173" i="1" s="1"/>
  <c r="AA163" i="1"/>
  <c r="AA230" i="1"/>
  <c r="AA229" i="1"/>
  <c r="AA219" i="1"/>
  <c r="AA125" i="1"/>
  <c r="X120" i="1"/>
  <c r="T120" i="1"/>
  <c r="AA120" i="1"/>
  <c r="X101" i="1"/>
  <c r="X97" i="1"/>
  <c r="AA170" i="1"/>
  <c r="T170" i="1"/>
  <c r="U170" i="1" s="1"/>
  <c r="S170" i="1" s="1"/>
  <c r="AA164" i="1"/>
  <c r="T229" i="1"/>
  <c r="U229" i="1" s="1"/>
  <c r="S229" i="1" s="1"/>
  <c r="X229" i="1"/>
  <c r="T125" i="1"/>
  <c r="X125" i="1"/>
  <c r="AA225" i="1"/>
  <c r="W225" i="1" s="1"/>
  <c r="AA224" i="1"/>
  <c r="X187" i="1"/>
  <c r="X183" i="1"/>
  <c r="X155" i="1"/>
  <c r="X151" i="1"/>
  <c r="X147" i="1"/>
  <c r="X143" i="1"/>
  <c r="T134" i="1"/>
  <c r="U134" i="1" s="1"/>
  <c r="S134" i="1" s="1"/>
  <c r="X134" i="1"/>
  <c r="AA127" i="1"/>
  <c r="AA100" i="1"/>
  <c r="AA99" i="1"/>
  <c r="W99" i="1" s="1"/>
  <c r="AA174" i="1"/>
  <c r="T173" i="1"/>
  <c r="U173" i="1" s="1"/>
  <c r="S173" i="1" s="1"/>
  <c r="X171" i="1"/>
  <c r="AA165" i="1"/>
  <c r="X96" i="1"/>
  <c r="T96" i="1"/>
  <c r="AA92" i="1"/>
  <c r="W92" i="1" s="1"/>
  <c r="AA88" i="1"/>
  <c r="AA84" i="1"/>
  <c r="W84" i="1" s="1"/>
  <c r="AA80" i="1"/>
  <c r="T80" i="1"/>
  <c r="AA61" i="1"/>
  <c r="AA57" i="1"/>
  <c r="AA37" i="1"/>
  <c r="X139" i="1"/>
  <c r="X135" i="1"/>
  <c r="AA123" i="1"/>
  <c r="W123" i="1" s="1"/>
  <c r="X121" i="1"/>
  <c r="AA112" i="1"/>
  <c r="AA79" i="1"/>
  <c r="X57" i="1"/>
  <c r="AA52" i="1"/>
  <c r="X189" i="1"/>
  <c r="AA186" i="1"/>
  <c r="X185" i="1"/>
  <c r="AA182" i="1"/>
  <c r="X181" i="1"/>
  <c r="AA179" i="1"/>
  <c r="X178" i="1"/>
  <c r="AA175" i="1"/>
  <c r="AA171" i="1"/>
  <c r="X231" i="1"/>
  <c r="AA231" i="1"/>
  <c r="AA168" i="1"/>
  <c r="AA167" i="1"/>
  <c r="W167" i="1" s="1"/>
  <c r="AA227" i="1"/>
  <c r="X220" i="1"/>
  <c r="AA213" i="1"/>
  <c r="AA212" i="1"/>
  <c r="W212" i="1" s="1"/>
  <c r="AA211" i="1"/>
  <c r="AA209" i="1"/>
  <c r="AA154" i="1"/>
  <c r="AA150" i="1"/>
  <c r="W150" i="1" s="1"/>
  <c r="X149" i="1"/>
  <c r="AA146" i="1"/>
  <c r="W146" i="1" s="1"/>
  <c r="X145" i="1"/>
  <c r="AA142" i="1"/>
  <c r="W142" i="1" s="1"/>
  <c r="AA137" i="1"/>
  <c r="X132" i="1"/>
  <c r="X117" i="1"/>
  <c r="AA115" i="1"/>
  <c r="W115" i="1" s="1"/>
  <c r="X113" i="1"/>
  <c r="AA106" i="1"/>
  <c r="AA105" i="1"/>
  <c r="AA104" i="1"/>
  <c r="AA102" i="1"/>
  <c r="AA101" i="1"/>
  <c r="W101" i="1" s="1"/>
  <c r="AA95" i="1"/>
  <c r="X94" i="1"/>
  <c r="AA91" i="1"/>
  <c r="X90" i="1"/>
  <c r="AA87" i="1"/>
  <c r="X86" i="1"/>
  <c r="AA83" i="1"/>
  <c r="AA81" i="1"/>
  <c r="W81" i="1" s="1"/>
  <c r="AA73" i="1"/>
  <c r="AA72" i="1"/>
  <c r="AA71" i="1"/>
  <c r="AA69" i="1"/>
  <c r="W69" i="1" s="1"/>
  <c r="AA68" i="1"/>
  <c r="AA64" i="1"/>
  <c r="W64" i="1" s="1"/>
  <c r="AA60" i="1"/>
  <c r="AA54" i="1"/>
  <c r="AA53" i="1"/>
  <c r="AA46" i="1"/>
  <c r="AA40" i="1"/>
  <c r="AA36" i="1"/>
  <c r="W36" i="1" s="1"/>
  <c r="AA34" i="1"/>
  <c r="AA25" i="1"/>
  <c r="W25" i="1" s="1"/>
  <c r="X222" i="1"/>
  <c r="X206" i="1"/>
  <c r="T206" i="1"/>
  <c r="X223" i="1"/>
  <c r="T223" i="1"/>
  <c r="T221" i="1"/>
  <c r="U221" i="1" s="1"/>
  <c r="S221" i="1" s="1"/>
  <c r="X202" i="1"/>
  <c r="T202" i="1"/>
  <c r="T203" i="1"/>
  <c r="X199" i="1"/>
  <c r="X169" i="1"/>
  <c r="T168" i="1"/>
  <c r="T165" i="1"/>
  <c r="T230" i="1"/>
  <c r="U230" i="1" s="1"/>
  <c r="S230" i="1" s="1"/>
  <c r="T227" i="1"/>
  <c r="X218" i="1"/>
  <c r="T217" i="1"/>
  <c r="T214" i="1"/>
  <c r="T212" i="1"/>
  <c r="AA210" i="1"/>
  <c r="T163" i="1"/>
  <c r="T220" i="1"/>
  <c r="U220" i="1" s="1"/>
  <c r="S220" i="1" s="1"/>
  <c r="T210" i="1"/>
  <c r="T129" i="1"/>
  <c r="X126" i="1"/>
  <c r="T126" i="1"/>
  <c r="X127" i="1"/>
  <c r="X225" i="1"/>
  <c r="X204" i="1"/>
  <c r="X228" i="1"/>
  <c r="X215" i="1"/>
  <c r="AA158" i="1"/>
  <c r="W158" i="1" s="1"/>
  <c r="T157" i="1"/>
  <c r="U157" i="1" s="1"/>
  <c r="T153" i="1"/>
  <c r="X153" i="1"/>
  <c r="X226" i="1"/>
  <c r="X213" i="1"/>
  <c r="AA131" i="1"/>
  <c r="T123" i="1"/>
  <c r="U123" i="1" s="1"/>
  <c r="S123" i="1" s="1"/>
  <c r="X119" i="1"/>
  <c r="T118" i="1"/>
  <c r="T115" i="1"/>
  <c r="X111" i="1"/>
  <c r="T110" i="1"/>
  <c r="T107" i="1"/>
  <c r="U107" i="1" s="1"/>
  <c r="S107" i="1" s="1"/>
  <c r="X103" i="1"/>
  <c r="T102" i="1"/>
  <c r="T99" i="1"/>
  <c r="X82" i="1"/>
  <c r="X78" i="1"/>
  <c r="T77" i="1"/>
  <c r="T74" i="1"/>
  <c r="X70" i="1"/>
  <c r="T69" i="1"/>
  <c r="X66" i="1"/>
  <c r="AA65" i="1"/>
  <c r="AA51" i="1"/>
  <c r="W51" i="1" s="1"/>
  <c r="AA42" i="1"/>
  <c r="AA38" i="1"/>
  <c r="W38" i="1" s="1"/>
  <c r="AA27" i="1"/>
  <c r="AA20" i="1"/>
  <c r="W20" i="1" s="1"/>
  <c r="AA16" i="1"/>
  <c r="T121" i="1"/>
  <c r="U121" i="1" s="1"/>
  <c r="S121" i="1" s="1"/>
  <c r="T113" i="1"/>
  <c r="T105" i="1"/>
  <c r="U105" i="1" s="1"/>
  <c r="S105" i="1" s="1"/>
  <c r="T97" i="1"/>
  <c r="T72" i="1"/>
  <c r="U72" i="1" s="1"/>
  <c r="S72" i="1" s="1"/>
  <c r="AA21" i="1"/>
  <c r="AA17" i="1"/>
  <c r="AA133" i="1"/>
  <c r="AA129" i="1"/>
  <c r="X124" i="1"/>
  <c r="X116" i="1"/>
  <c r="X108" i="1"/>
  <c r="X100" i="1"/>
  <c r="X83" i="1"/>
  <c r="AA82" i="1"/>
  <c r="X75" i="1"/>
  <c r="X67" i="1"/>
  <c r="AA66" i="1"/>
  <c r="W66" i="1" s="1"/>
  <c r="AA31" i="1"/>
  <c r="X122" i="1"/>
  <c r="X114" i="1"/>
  <c r="X106" i="1"/>
  <c r="X98" i="1"/>
  <c r="X73" i="1"/>
  <c r="T65" i="1"/>
  <c r="AA24" i="1"/>
  <c r="AA23" i="1"/>
  <c r="AA19" i="1"/>
  <c r="W19" i="1" s="1"/>
  <c r="AA15" i="1"/>
  <c r="U225" i="1"/>
  <c r="S225" i="1" s="1"/>
  <c r="AI234" i="1"/>
  <c r="U224" i="1"/>
  <c r="S224" i="1" s="1"/>
  <c r="AI233" i="1"/>
  <c r="U223" i="1"/>
  <c r="S223" i="1" s="1"/>
  <c r="AI232" i="1"/>
  <c r="U222" i="1"/>
  <c r="S222" i="1" s="1"/>
  <c r="AI231" i="1"/>
  <c r="AI230" i="1"/>
  <c r="U207" i="1"/>
  <c r="S207" i="1" s="1"/>
  <c r="AI229" i="1"/>
  <c r="U206" i="1"/>
  <c r="S206" i="1" s="1"/>
  <c r="AI228" i="1"/>
  <c r="U205" i="1"/>
  <c r="S205" i="1" s="1"/>
  <c r="AI227" i="1"/>
  <c r="U204" i="1"/>
  <c r="S204" i="1" s="1"/>
  <c r="AI226" i="1"/>
  <c r="U203" i="1"/>
  <c r="S203" i="1" s="1"/>
  <c r="AI225" i="1"/>
  <c r="U202" i="1"/>
  <c r="S202" i="1" s="1"/>
  <c r="AI224" i="1"/>
  <c r="U201" i="1"/>
  <c r="S201" i="1" s="1"/>
  <c r="AI223" i="1"/>
  <c r="U200" i="1"/>
  <c r="S200" i="1" s="1"/>
  <c r="AI222" i="1"/>
  <c r="U199" i="1"/>
  <c r="S199" i="1" s="1"/>
  <c r="AI221" i="1"/>
  <c r="U198" i="1"/>
  <c r="S198" i="1" s="1"/>
  <c r="AI220" i="1"/>
  <c r="AI219" i="1"/>
  <c r="AI218" i="1"/>
  <c r="U195" i="1"/>
  <c r="S195" i="1" s="1"/>
  <c r="AI217" i="1"/>
  <c r="AI216" i="1"/>
  <c r="U193" i="1"/>
  <c r="S193" i="1" s="1"/>
  <c r="AI215" i="1"/>
  <c r="AI214" i="1"/>
  <c r="U191" i="1"/>
  <c r="S191" i="1" s="1"/>
  <c r="AI213" i="1"/>
  <c r="AI212" i="1"/>
  <c r="U234" i="1"/>
  <c r="S234" i="1" s="1"/>
  <c r="AI211" i="1"/>
  <c r="AI210" i="1"/>
  <c r="U188" i="1"/>
  <c r="S188" i="1" s="1"/>
  <c r="AI209" i="1"/>
  <c r="AI207" i="1"/>
  <c r="U186" i="1"/>
  <c r="S186" i="1" s="1"/>
  <c r="AI206" i="1"/>
  <c r="AI205" i="1"/>
  <c r="U184" i="1"/>
  <c r="S184" i="1" s="1"/>
  <c r="AI204" i="1"/>
  <c r="AI203" i="1"/>
  <c r="U182" i="1"/>
  <c r="S182" i="1" s="1"/>
  <c r="AI202" i="1"/>
  <c r="AI201" i="1"/>
  <c r="U180" i="1"/>
  <c r="S180" i="1" s="1"/>
  <c r="AI200" i="1"/>
  <c r="AI199" i="1"/>
  <c r="U179" i="1"/>
  <c r="S179" i="1" s="1"/>
  <c r="AI198" i="1"/>
  <c r="AI196" i="1"/>
  <c r="U177" i="1"/>
  <c r="S177" i="1" s="1"/>
  <c r="AI195" i="1"/>
  <c r="U176" i="1"/>
  <c r="S176" i="1" s="1"/>
  <c r="AI194" i="1"/>
  <c r="U175" i="1"/>
  <c r="S175" i="1" s="1"/>
  <c r="AI193" i="1"/>
  <c r="U174" i="1"/>
  <c r="S174" i="1" s="1"/>
  <c r="AI192" i="1"/>
  <c r="AI191" i="1"/>
  <c r="U172" i="1"/>
  <c r="S172" i="1" s="1"/>
  <c r="AI190" i="1"/>
  <c r="U171" i="1"/>
  <c r="S171" i="1" s="1"/>
  <c r="AI189" i="1"/>
  <c r="AI188" i="1"/>
  <c r="U232" i="1"/>
  <c r="S232" i="1" s="1"/>
  <c r="U231" i="1"/>
  <c r="S231" i="1" s="1"/>
  <c r="AI187" i="1"/>
  <c r="U169" i="1"/>
  <c r="S169" i="1" s="1"/>
  <c r="AI186" i="1"/>
  <c r="U168" i="1"/>
  <c r="S168" i="1" s="1"/>
  <c r="AI185" i="1"/>
  <c r="U167" i="1"/>
  <c r="S167" i="1" s="1"/>
  <c r="AI184" i="1"/>
  <c r="U166" i="1"/>
  <c r="S166" i="1" s="1"/>
  <c r="AI183" i="1"/>
  <c r="U165" i="1"/>
  <c r="S165" i="1" s="1"/>
  <c r="AI182" i="1"/>
  <c r="U164" i="1"/>
  <c r="S164" i="1" s="1"/>
  <c r="AI181" i="1"/>
  <c r="U163" i="1"/>
  <c r="S163" i="1" s="1"/>
  <c r="AI180" i="1"/>
  <c r="U162" i="1"/>
  <c r="S162" i="1" s="1"/>
  <c r="AI179" i="1"/>
  <c r="U161" i="1"/>
  <c r="S161" i="1" s="1"/>
  <c r="AI178" i="1"/>
  <c r="AI177" i="1"/>
  <c r="AI176" i="1"/>
  <c r="U228" i="1"/>
  <c r="S228" i="1" s="1"/>
  <c r="AI175" i="1"/>
  <c r="U227" i="1"/>
  <c r="S227" i="1" s="1"/>
  <c r="AI174" i="1"/>
  <c r="U226" i="1"/>
  <c r="S226" i="1" s="1"/>
  <c r="AI173" i="1"/>
  <c r="AI172" i="1"/>
  <c r="U219" i="1"/>
  <c r="S219" i="1" s="1"/>
  <c r="AI171" i="1"/>
  <c r="U218" i="1"/>
  <c r="S218" i="1" s="1"/>
  <c r="AI170" i="1"/>
  <c r="U217" i="1"/>
  <c r="S217" i="1" s="1"/>
  <c r="AI169" i="1"/>
  <c r="U216" i="1"/>
  <c r="S216" i="1" s="1"/>
  <c r="AI168" i="1"/>
  <c r="U215" i="1"/>
  <c r="S215" i="1" s="1"/>
  <c r="AI167" i="1"/>
  <c r="U214" i="1"/>
  <c r="S214" i="1" s="1"/>
  <c r="AI166" i="1"/>
  <c r="U213" i="1"/>
  <c r="S213" i="1" s="1"/>
  <c r="AI165" i="1"/>
  <c r="U212" i="1"/>
  <c r="S212" i="1" s="1"/>
  <c r="AI164" i="1"/>
  <c r="U211" i="1"/>
  <c r="S211" i="1" s="1"/>
  <c r="AI163" i="1"/>
  <c r="U210" i="1"/>
  <c r="S210" i="1" s="1"/>
  <c r="AI162" i="1"/>
  <c r="U209" i="1"/>
  <c r="S209" i="1" s="1"/>
  <c r="AI161" i="1"/>
  <c r="U159" i="1"/>
  <c r="S159" i="1" s="1"/>
  <c r="AI159" i="1"/>
  <c r="U158" i="1"/>
  <c r="S158" i="1" s="1"/>
  <c r="AI158" i="1"/>
  <c r="AI157" i="1"/>
  <c r="U156" i="1"/>
  <c r="S156" i="1" s="1"/>
  <c r="AI156" i="1"/>
  <c r="AI155" i="1"/>
  <c r="U154" i="1"/>
  <c r="S154" i="1" s="1"/>
  <c r="AI154" i="1"/>
  <c r="U153" i="1"/>
  <c r="S153" i="1" s="1"/>
  <c r="AI153" i="1"/>
  <c r="U152" i="1"/>
  <c r="S152" i="1" s="1"/>
  <c r="AI152" i="1"/>
  <c r="AI151" i="1"/>
  <c r="U150" i="1"/>
  <c r="S150" i="1" s="1"/>
  <c r="AI150" i="1"/>
  <c r="AI149" i="1"/>
  <c r="U148" i="1"/>
  <c r="S148" i="1" s="1"/>
  <c r="AI148" i="1"/>
  <c r="AI147" i="1"/>
  <c r="U146" i="1"/>
  <c r="S146" i="1" s="1"/>
  <c r="AI146" i="1"/>
  <c r="AI145" i="1"/>
  <c r="U144" i="1"/>
  <c r="S144" i="1" s="1"/>
  <c r="AI144" i="1"/>
  <c r="AI143" i="1"/>
  <c r="U142" i="1"/>
  <c r="S142" i="1" s="1"/>
  <c r="AI142" i="1"/>
  <c r="AI141" i="1"/>
  <c r="U140" i="1"/>
  <c r="S140" i="1" s="1"/>
  <c r="AI140" i="1"/>
  <c r="AI139" i="1"/>
  <c r="U138" i="1"/>
  <c r="S138" i="1" s="1"/>
  <c r="AI138" i="1"/>
  <c r="AI137" i="1"/>
  <c r="U136" i="1"/>
  <c r="S136" i="1" s="1"/>
  <c r="AI136" i="1"/>
  <c r="AI135" i="1"/>
  <c r="AI134" i="1"/>
  <c r="U133" i="1"/>
  <c r="S133" i="1" s="1"/>
  <c r="AI133" i="1"/>
  <c r="U132" i="1"/>
  <c r="S132" i="1" s="1"/>
  <c r="AI132" i="1"/>
  <c r="U131" i="1"/>
  <c r="S131" i="1" s="1"/>
  <c r="AI131" i="1"/>
  <c r="U130" i="1"/>
  <c r="S130" i="1" s="1"/>
  <c r="AI130" i="1"/>
  <c r="U129" i="1"/>
  <c r="S129" i="1" s="1"/>
  <c r="AI129" i="1"/>
  <c r="U128" i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W124" i="1"/>
  <c r="AI123" i="1"/>
  <c r="U122" i="1"/>
  <c r="S122" i="1" s="1"/>
  <c r="AI122" i="1"/>
  <c r="W122" i="1"/>
  <c r="AI121" i="1"/>
  <c r="U120" i="1"/>
  <c r="S120" i="1" s="1"/>
  <c r="AI120" i="1"/>
  <c r="W120" i="1"/>
  <c r="U119" i="1"/>
  <c r="S119" i="1" s="1"/>
  <c r="AI119" i="1"/>
  <c r="U118" i="1"/>
  <c r="S118" i="1" s="1"/>
  <c r="AI118" i="1"/>
  <c r="U117" i="1"/>
  <c r="S117" i="1" s="1"/>
  <c r="AI117" i="1"/>
  <c r="U116" i="1"/>
  <c r="S116" i="1" s="1"/>
  <c r="AI116" i="1"/>
  <c r="U115" i="1"/>
  <c r="S115" i="1" s="1"/>
  <c r="AI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U110" i="1"/>
  <c r="S110" i="1" s="1"/>
  <c r="AI110" i="1"/>
  <c r="U109" i="1"/>
  <c r="S109" i="1" s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U96" i="1"/>
  <c r="S96" i="1" s="1"/>
  <c r="AI96" i="1"/>
  <c r="U95" i="1"/>
  <c r="S95" i="1" s="1"/>
  <c r="AI95" i="1"/>
  <c r="AI94" i="1"/>
  <c r="U93" i="1"/>
  <c r="S93" i="1" s="1"/>
  <c r="AI93" i="1"/>
  <c r="AI92" i="1"/>
  <c r="U91" i="1"/>
  <c r="S91" i="1" s="1"/>
  <c r="AI91" i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AI55" i="1"/>
  <c r="AI53" i="1"/>
  <c r="AI51" i="1"/>
  <c r="AI48" i="1"/>
  <c r="AI46" i="1"/>
  <c r="AI44" i="1"/>
  <c r="AI42" i="1"/>
  <c r="AI40" i="1"/>
  <c r="AI38" i="1"/>
  <c r="AI36" i="1"/>
  <c r="AI34" i="1"/>
  <c r="AI32" i="1"/>
  <c r="AI30" i="1"/>
  <c r="AI28" i="1"/>
  <c r="AI26" i="1"/>
  <c r="AI24" i="1"/>
  <c r="AI21" i="1"/>
  <c r="U21" i="1"/>
  <c r="S21" i="1" s="1"/>
  <c r="AI17" i="1"/>
  <c r="U17" i="1"/>
  <c r="S17" i="1" s="1"/>
  <c r="AI20" i="1"/>
  <c r="U20" i="1"/>
  <c r="S20" i="1" s="1"/>
  <c r="AI16" i="1"/>
  <c r="U16" i="1"/>
  <c r="S16" i="1" s="1"/>
  <c r="AI56" i="1"/>
  <c r="AI54" i="1"/>
  <c r="AI52" i="1"/>
  <c r="AI50" i="1"/>
  <c r="AI47" i="1"/>
  <c r="AI45" i="1"/>
  <c r="AI43" i="1"/>
  <c r="AI41" i="1"/>
  <c r="AI39" i="1"/>
  <c r="W37" i="1"/>
  <c r="AI37" i="1"/>
  <c r="W35" i="1"/>
  <c r="AI35" i="1"/>
  <c r="W33" i="1"/>
  <c r="AI33" i="1"/>
  <c r="AI31" i="1"/>
  <c r="AI29" i="1"/>
  <c r="AI27" i="1"/>
  <c r="AI25" i="1"/>
  <c r="AI23" i="1"/>
  <c r="U23" i="1"/>
  <c r="S23" i="1" s="1"/>
  <c r="AI19" i="1"/>
  <c r="U19" i="1"/>
  <c r="S19" i="1" s="1"/>
  <c r="AI15" i="1"/>
  <c r="U15" i="1"/>
  <c r="S15" i="1" s="1"/>
  <c r="U79" i="1"/>
  <c r="S79" i="1" s="1"/>
  <c r="AI79" i="1"/>
  <c r="W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AI67" i="1"/>
  <c r="U66" i="1"/>
  <c r="S66" i="1" s="1"/>
  <c r="AI66" i="1"/>
  <c r="U65" i="1"/>
  <c r="S65" i="1" s="1"/>
  <c r="AI65" i="1"/>
  <c r="AI64" i="1"/>
  <c r="AI63" i="1"/>
  <c r="AI62" i="1"/>
  <c r="AI61" i="1"/>
  <c r="AI60" i="1"/>
  <c r="U59" i="1"/>
  <c r="S59" i="1" s="1"/>
  <c r="AI59" i="1"/>
  <c r="U58" i="1"/>
  <c r="S58" i="1" s="1"/>
  <c r="AI58" i="1"/>
  <c r="U57" i="1"/>
  <c r="S57" i="1" s="1"/>
  <c r="AI57" i="1"/>
  <c r="AI22" i="1"/>
  <c r="U22" i="1"/>
  <c r="S22" i="1" s="1"/>
  <c r="AI18" i="1"/>
  <c r="U18" i="1"/>
  <c r="S18" i="1" s="1"/>
  <c r="AI14" i="1"/>
  <c r="U14" i="1"/>
  <c r="S14" i="1" s="1"/>
  <c r="W223" i="1"/>
  <c r="W205" i="1"/>
  <c r="W202" i="1"/>
  <c r="W221" i="1"/>
  <c r="W203" i="1"/>
  <c r="W200" i="1"/>
  <c r="W224" i="1"/>
  <c r="W222" i="1"/>
  <c r="W206" i="1"/>
  <c r="W201" i="1"/>
  <c r="W207" i="1"/>
  <c r="W204" i="1"/>
  <c r="W199" i="1"/>
  <c r="W164" i="1"/>
  <c r="W229" i="1"/>
  <c r="W226" i="1"/>
  <c r="W216" i="1"/>
  <c r="W213" i="1"/>
  <c r="W211" i="1"/>
  <c r="W209" i="1"/>
  <c r="W156" i="1"/>
  <c r="W155" i="1"/>
  <c r="W154" i="1"/>
  <c r="W153" i="1"/>
  <c r="W126" i="1"/>
  <c r="W121" i="1"/>
  <c r="W196" i="1"/>
  <c r="T196" i="1"/>
  <c r="U196" i="1" s="1"/>
  <c r="S196" i="1" s="1"/>
  <c r="X195" i="1"/>
  <c r="W194" i="1"/>
  <c r="T194" i="1"/>
  <c r="U194" i="1" s="1"/>
  <c r="S194" i="1" s="1"/>
  <c r="X193" i="1"/>
  <c r="W192" i="1"/>
  <c r="T192" i="1"/>
  <c r="U192" i="1" s="1"/>
  <c r="S192" i="1" s="1"/>
  <c r="X191" i="1"/>
  <c r="W190" i="1"/>
  <c r="T190" i="1"/>
  <c r="U190" i="1" s="1"/>
  <c r="S190" i="1" s="1"/>
  <c r="X234" i="1"/>
  <c r="W189" i="1"/>
  <c r="T189" i="1"/>
  <c r="U189" i="1" s="1"/>
  <c r="S189" i="1" s="1"/>
  <c r="X188" i="1"/>
  <c r="W187" i="1"/>
  <c r="T187" i="1"/>
  <c r="U187" i="1" s="1"/>
  <c r="S187" i="1" s="1"/>
  <c r="X186" i="1"/>
  <c r="W185" i="1"/>
  <c r="T185" i="1"/>
  <c r="U185" i="1" s="1"/>
  <c r="S185" i="1" s="1"/>
  <c r="X184" i="1"/>
  <c r="W183" i="1"/>
  <c r="T183" i="1"/>
  <c r="U183" i="1" s="1"/>
  <c r="S183" i="1" s="1"/>
  <c r="X182" i="1"/>
  <c r="W181" i="1"/>
  <c r="T181" i="1"/>
  <c r="U181" i="1" s="1"/>
  <c r="S181" i="1" s="1"/>
  <c r="X180" i="1"/>
  <c r="W233" i="1"/>
  <c r="T233" i="1"/>
  <c r="U233" i="1" s="1"/>
  <c r="S233" i="1" s="1"/>
  <c r="X179" i="1"/>
  <c r="W178" i="1"/>
  <c r="T178" i="1"/>
  <c r="U178" i="1" s="1"/>
  <c r="S178" i="1" s="1"/>
  <c r="W176" i="1"/>
  <c r="W174" i="1"/>
  <c r="W172" i="1"/>
  <c r="W170" i="1"/>
  <c r="W231" i="1"/>
  <c r="W165" i="1"/>
  <c r="W162" i="1"/>
  <c r="W227" i="1"/>
  <c r="W219" i="1"/>
  <c r="W214" i="1"/>
  <c r="W159" i="1"/>
  <c r="W152" i="1"/>
  <c r="W127" i="1"/>
  <c r="W198" i="1"/>
  <c r="W168" i="1"/>
  <c r="W163" i="1"/>
  <c r="W230" i="1"/>
  <c r="W220" i="1"/>
  <c r="W217" i="1"/>
  <c r="W210" i="1"/>
  <c r="W125" i="1"/>
  <c r="W195" i="1"/>
  <c r="W193" i="1"/>
  <c r="W191" i="1"/>
  <c r="W234" i="1"/>
  <c r="W188" i="1"/>
  <c r="W186" i="1"/>
  <c r="W184" i="1"/>
  <c r="W182" i="1"/>
  <c r="W180" i="1"/>
  <c r="W179" i="1"/>
  <c r="W177" i="1"/>
  <c r="W175" i="1"/>
  <c r="W171" i="1"/>
  <c r="W232" i="1"/>
  <c r="W169" i="1"/>
  <c r="W166" i="1"/>
  <c r="W161" i="1"/>
  <c r="W228" i="1"/>
  <c r="W218" i="1"/>
  <c r="W215" i="1"/>
  <c r="W157" i="1"/>
  <c r="X156" i="1"/>
  <c r="X154" i="1"/>
  <c r="X152" i="1"/>
  <c r="W118" i="1"/>
  <c r="W113" i="1"/>
  <c r="W110" i="1"/>
  <c r="W105" i="1"/>
  <c r="W102" i="1"/>
  <c r="W97" i="1"/>
  <c r="T155" i="1"/>
  <c r="U155" i="1" s="1"/>
  <c r="S155" i="1" s="1"/>
  <c r="W151" i="1"/>
  <c r="T151" i="1"/>
  <c r="U151" i="1" s="1"/>
  <c r="S151" i="1" s="1"/>
  <c r="X150" i="1"/>
  <c r="W149" i="1"/>
  <c r="T149" i="1"/>
  <c r="U149" i="1" s="1"/>
  <c r="S149" i="1" s="1"/>
  <c r="X148" i="1"/>
  <c r="W147" i="1"/>
  <c r="T147" i="1"/>
  <c r="U147" i="1" s="1"/>
  <c r="S147" i="1" s="1"/>
  <c r="X146" i="1"/>
  <c r="W145" i="1"/>
  <c r="T145" i="1"/>
  <c r="U145" i="1" s="1"/>
  <c r="S145" i="1" s="1"/>
  <c r="X144" i="1"/>
  <c r="W143" i="1"/>
  <c r="T143" i="1"/>
  <c r="U143" i="1" s="1"/>
  <c r="S143" i="1" s="1"/>
  <c r="X142" i="1"/>
  <c r="W141" i="1"/>
  <c r="T141" i="1"/>
  <c r="U141" i="1" s="1"/>
  <c r="S141" i="1" s="1"/>
  <c r="X140" i="1"/>
  <c r="W139" i="1"/>
  <c r="T139" i="1"/>
  <c r="U139" i="1" s="1"/>
  <c r="S139" i="1" s="1"/>
  <c r="X138" i="1"/>
  <c r="W137" i="1"/>
  <c r="T137" i="1"/>
  <c r="U137" i="1" s="1"/>
  <c r="S137" i="1" s="1"/>
  <c r="X136" i="1"/>
  <c r="W135" i="1"/>
  <c r="T135" i="1"/>
  <c r="U135" i="1" s="1"/>
  <c r="S135" i="1" s="1"/>
  <c r="W133" i="1"/>
  <c r="W131" i="1"/>
  <c r="W129" i="1"/>
  <c r="W119" i="1"/>
  <c r="W116" i="1"/>
  <c r="W111" i="1"/>
  <c r="W108" i="1"/>
  <c r="W103" i="1"/>
  <c r="W100" i="1"/>
  <c r="W117" i="1"/>
  <c r="W114" i="1"/>
  <c r="W109" i="1"/>
  <c r="W106" i="1"/>
  <c r="W98" i="1"/>
  <c r="W148" i="1"/>
  <c r="W144" i="1"/>
  <c r="W140" i="1"/>
  <c r="W138" i="1"/>
  <c r="W136" i="1"/>
  <c r="W134" i="1"/>
  <c r="W132" i="1"/>
  <c r="W130" i="1"/>
  <c r="W128" i="1"/>
  <c r="W112" i="1"/>
  <c r="W107" i="1"/>
  <c r="W104" i="1"/>
  <c r="W96" i="1"/>
  <c r="X95" i="1"/>
  <c r="W94" i="1"/>
  <c r="T94" i="1"/>
  <c r="U94" i="1" s="1"/>
  <c r="S94" i="1" s="1"/>
  <c r="X93" i="1"/>
  <c r="T92" i="1"/>
  <c r="U92" i="1" s="1"/>
  <c r="S92" i="1" s="1"/>
  <c r="X91" i="1"/>
  <c r="W90" i="1"/>
  <c r="T90" i="1"/>
  <c r="U90" i="1" s="1"/>
  <c r="S90" i="1" s="1"/>
  <c r="X89" i="1"/>
  <c r="W88" i="1"/>
  <c r="T88" i="1"/>
  <c r="U88" i="1" s="1"/>
  <c r="S88" i="1" s="1"/>
  <c r="X87" i="1"/>
  <c r="W86" i="1"/>
  <c r="T86" i="1"/>
  <c r="U86" i="1" s="1"/>
  <c r="S86" i="1" s="1"/>
  <c r="X85" i="1"/>
  <c r="T84" i="1"/>
  <c r="U84" i="1" s="1"/>
  <c r="S84" i="1" s="1"/>
  <c r="W82" i="1"/>
  <c r="W80" i="1"/>
  <c r="W77" i="1"/>
  <c r="W72" i="1"/>
  <c r="W78" i="1"/>
  <c r="W75" i="1"/>
  <c r="W70" i="1"/>
  <c r="W67" i="1"/>
  <c r="W95" i="1"/>
  <c r="W93" i="1"/>
  <c r="W91" i="1"/>
  <c r="W89" i="1"/>
  <c r="W87" i="1"/>
  <c r="W85" i="1"/>
  <c r="W83" i="1"/>
  <c r="W76" i="1"/>
  <c r="W73" i="1"/>
  <c r="W68" i="1"/>
  <c r="W74" i="1"/>
  <c r="W71" i="1"/>
  <c r="W54" i="1"/>
  <c r="W45" i="1"/>
  <c r="W42" i="1"/>
  <c r="W40" i="1"/>
  <c r="T67" i="1"/>
  <c r="U67" i="1" s="1"/>
  <c r="S67" i="1" s="1"/>
  <c r="W63" i="1"/>
  <c r="W62" i="1"/>
  <c r="W61" i="1"/>
  <c r="W60" i="1"/>
  <c r="W59" i="1"/>
  <c r="W58" i="1"/>
  <c r="W57" i="1"/>
  <c r="W56" i="1"/>
  <c r="W53" i="1"/>
  <c r="W47" i="1"/>
  <c r="W44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W55" i="1"/>
  <c r="W50" i="1"/>
  <c r="W46" i="1"/>
  <c r="W41" i="1"/>
  <c r="W34" i="1"/>
  <c r="W65" i="1"/>
  <c r="W52" i="1"/>
  <c r="W48" i="1"/>
  <c r="W43" i="1"/>
  <c r="W39" i="1"/>
  <c r="X59" i="1"/>
  <c r="X58" i="1"/>
  <c r="W31" i="1"/>
  <c r="W29" i="1"/>
  <c r="W27" i="1"/>
  <c r="W23" i="1"/>
  <c r="W15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AA22" i="1"/>
  <c r="W22" i="1" s="1"/>
  <c r="AA18" i="1"/>
  <c r="W18" i="1" s="1"/>
  <c r="AA14" i="1"/>
  <c r="W14" i="1" s="1"/>
  <c r="AA32" i="1"/>
  <c r="W32" i="1" s="1"/>
  <c r="AA30" i="1"/>
  <c r="W30" i="1" s="1"/>
  <c r="AA28" i="1"/>
  <c r="W28" i="1" s="1"/>
  <c r="AA26" i="1"/>
  <c r="W26" i="1" s="1"/>
  <c r="W24" i="1"/>
  <c r="W21" i="1"/>
  <c r="W1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W16" i="1"/>
  <c r="X23" i="1"/>
  <c r="X22" i="1"/>
  <c r="X21" i="1"/>
  <c r="X20" i="1"/>
  <c r="X19" i="1"/>
  <c r="X18" i="1"/>
  <c r="X17" i="1"/>
  <c r="X16" i="1"/>
  <c r="X15" i="1"/>
  <c r="AD15" i="3"/>
  <c r="AE18" i="3"/>
  <c r="AD18" i="3"/>
  <c r="T18" i="3"/>
  <c r="AC14" i="3"/>
  <c r="AC17" i="3"/>
  <c r="AC23" i="3"/>
  <c r="AD12" i="3"/>
  <c r="T12" i="3"/>
  <c r="AC13" i="3"/>
  <c r="AD13" i="3"/>
  <c r="AD19" i="3"/>
  <c r="AE11" i="3"/>
  <c r="AD9" i="3"/>
  <c r="AC8" i="3"/>
  <c r="T8" i="3"/>
  <c r="AD11" i="3"/>
  <c r="T11" i="3"/>
  <c r="T22" i="3"/>
  <c r="T19" i="3"/>
  <c r="T7" i="3"/>
  <c r="AE19" i="3"/>
  <c r="Y11" i="3"/>
  <c r="Y8" i="3"/>
  <c r="Y13" i="3"/>
  <c r="Y17" i="3"/>
  <c r="Y16" i="3"/>
  <c r="Y19" i="3"/>
  <c r="Y22" i="3"/>
  <c r="Y7" i="3"/>
  <c r="Y12" i="3"/>
  <c r="Y18" i="3"/>
  <c r="Y10" i="3"/>
  <c r="Y9" i="3"/>
  <c r="Y15" i="3"/>
  <c r="Y23" i="3"/>
  <c r="Y14" i="3"/>
  <c r="Y21" i="3"/>
  <c r="AE17" i="3"/>
  <c r="AE14" i="3"/>
  <c r="T15" i="3"/>
  <c r="AE10" i="3"/>
  <c r="AE22" i="3"/>
  <c r="T10" i="3"/>
  <c r="T9" i="3"/>
  <c r="AE21" i="3"/>
  <c r="AE23" i="3"/>
  <c r="T23" i="3"/>
  <c r="AD22" i="3"/>
  <c r="AD21" i="3"/>
  <c r="AD17" i="3"/>
  <c r="AE16" i="3"/>
  <c r="T14" i="3"/>
  <c r="AD14" i="3"/>
  <c r="AE13" i="3"/>
  <c r="AD10" i="3"/>
  <c r="AE9" i="3"/>
  <c r="T21" i="3"/>
  <c r="AE15" i="3"/>
  <c r="AE12" i="3"/>
  <c r="AE8" i="3"/>
  <c r="S20" i="3" l="1"/>
  <c r="R20" i="3"/>
  <c r="M20" i="3"/>
  <c r="U20" i="3"/>
  <c r="V20" i="3"/>
  <c r="X20" i="3"/>
  <c r="W20" i="3"/>
  <c r="AC20" i="3" l="1"/>
  <c r="AD20" i="3"/>
  <c r="AE20" i="3"/>
  <c r="T20" i="3"/>
  <c r="Y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N11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N23" i="3" s="1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16" i="3" s="1"/>
  <c r="G15" i="4"/>
  <c r="G16" i="4"/>
  <c r="N21" i="3" s="1"/>
  <c r="G17" i="4"/>
  <c r="G18" i="4"/>
  <c r="N17" i="3" s="1"/>
  <c r="G19" i="4"/>
  <c r="G20" i="4"/>
  <c r="G21" i="4"/>
  <c r="G22" i="4"/>
  <c r="G23" i="4"/>
  <c r="G24" i="4"/>
  <c r="G25" i="4"/>
  <c r="N12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15" i="3" s="1"/>
  <c r="G51" i="4"/>
  <c r="G52" i="4"/>
  <c r="G53" i="4"/>
  <c r="G54" i="4"/>
  <c r="G55" i="4"/>
  <c r="G56" i="4"/>
  <c r="G57" i="4"/>
  <c r="G58" i="4"/>
  <c r="G59" i="4"/>
  <c r="G60" i="4"/>
  <c r="N7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13" i="3" s="1"/>
  <c r="G74" i="4"/>
  <c r="N22" i="3" s="1"/>
  <c r="G75" i="4"/>
  <c r="G76" i="4"/>
  <c r="G77" i="4"/>
  <c r="G78" i="4"/>
  <c r="G79" i="4"/>
  <c r="N19" i="3" s="1"/>
  <c r="G80" i="4"/>
  <c r="N9" i="3" s="1"/>
  <c r="G81" i="4"/>
  <c r="G82" i="4"/>
  <c r="G83" i="4"/>
  <c r="G84" i="4"/>
  <c r="G85" i="4"/>
  <c r="G86" i="4"/>
  <c r="G87" i="4"/>
  <c r="N8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0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10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<sst xmlns="http://schemas.openxmlformats.org/spreadsheetml/2006/main" count="2722" uniqueCount="1080">
  <si>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</si>
  <si>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</si>
  <si>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</si>
  <si>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</si>
  <si>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</si>
  <si>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</si>
  <si>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</si>
  <si>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</si>
  <si>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</si>
  <si>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</si>
  <si>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</si>
  <si>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</si>
  <si>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</si>
  <si>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</si>
  <si>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</si>
  <si>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</si>
  <si>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</si>
  <si>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</si>
  <si>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</si>
  <si>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</si>
  <si>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</si>
  <si>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</si>
  <si>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</si>
  <si>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</si>
  <si>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</si>
  <si>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</si>
  <si>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</si>
  <si>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</si>
  <si>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</si>
  <si>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</si>
  <si>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</si>
  <si>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</si>
  <si>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</si>
  <si>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</si>
  <si>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</si>
  <si>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</si>
  <si>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</si>
  <si>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</si>
  <si>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</si>
  <si>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</si>
  <si>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</si>
  <si>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</si>
  <si>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</si>
  <si>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</si>
  <si>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</si>
  <si>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</si>
  <si>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</si>
  <si>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</si>
  <si>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</si>
  <si>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</si>
  <si>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</si>
  <si>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</si>
  <si>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</si>
  <si>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</si>
  <si>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</si>
  <si>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</si>
  <si>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</si>
  <si>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</si>
  <si>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</si>
  <si>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</si>
  <si>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</si>
  <si>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</si>
  <si>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</si>
  <si>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</si>
  <si>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</si>
  <si>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</si>
  <si>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</si>
  <si>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</si>
  <si>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</si>
  <si>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</si>
  <si>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</si>
  <si>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</si>
  <si>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</si>
  <si>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</si>
  <si>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</si>
  <si>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</si>
  <si>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</si>
  <si>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</si>
  <si>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</si>
  <si>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</si>
  <si>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</si>
  <si>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</si>
  <si>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</si>
  <si>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</si>
  <si>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</si>
  <si>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</si>
  <si>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</si>
  <si>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</si>
  <si>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</si>
  <si>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</si>
  <si>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</si>
  <si>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</si>
  <si>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</si>
  <si>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</si>
  <si>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</si>
  <si>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</si>
  <si>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</si>
  <si>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</si>
  <si>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</si>
  <si>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</si>
  <si>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</si>
  <si>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</si>
  <si>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</si>
  <si>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</si>
  <si>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</si>
  <si>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</si>
  <si>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</si>
  <si>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</si>
  <si>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</si>
  <si>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</si>
  <si>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</si>
  <si>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</si>
  <si>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</si>
  <si>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</si>
  <si>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</si>
  <si>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</si>
  <si>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</si>
  <si>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</si>
  <si>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</si>
  <si>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</si>
  <si>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</si>
  <si>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</si>
  <si>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</si>
  <si>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</si>
  <si>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</si>
  <si>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</si>
  <si>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</si>
  <si>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</si>
  <si>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</si>
  <si>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</si>
  <si>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</si>
  <si>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</si>
  <si>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</si>
  <si>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</si>
  <si>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</si>
  <si>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</si>
  <si>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</si>
  <si>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</si>
  <si>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</si>
  <si>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</si>
  <si>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</si>
  <si>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</si>
  <si>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</si>
  <si>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</si>
  <si>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</si>
  <si>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</si>
  <si>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</si>
  <si>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</si>
  <si>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</si>
  <si>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</si>
  <si>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</si>
  <si>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</si>
  <si>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</si>
  <si>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</si>
  <si>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</si>
  <si>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</si>
  <si>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</si>
  <si>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</si>
  <si>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</si>
  <si>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</si>
  <si>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</si>
  <si>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</si>
  <si>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</si>
  <si>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</si>
  <si>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</si>
  <si>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</si>
  <si>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</si>
  <si>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</si>
  <si>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</si>
  <si>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</si>
  <si>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</si>
  <si>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</si>
  <si>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</si>
  <si>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</si>
  <si>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</si>
  <si>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</si>
  <si>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</si>
  <si>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</si>
  <si>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</si>
  <si>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</si>
  <si>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</si>
  <si>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</si>
  <si>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</si>
  <si>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</si>
  <si>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</si>
  <si>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</si>
  <si>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</si>
  <si>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</si>
  <si>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</si>
  <si>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</si>
  <si>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</si>
  <si>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</si>
  <si>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</si>
  <si>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</si>
  <si>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</si>
  <si>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</si>
  <si>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</si>
  <si>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</si>
  <si>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</si>
  <si>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</si>
  <si>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</si>
  <si>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</si>
  <si>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</si>
  <si>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</si>
  <si>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</si>
  <si>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</si>
  <si>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</si>
  <si>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</si>
  <si>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</si>
  <si>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</si>
  <si>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</si>
  <si>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</si>
  <si>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</si>
  <si>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</si>
  <si>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</si>
  <si>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</si>
  <si>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</si>
  <si>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</si>
  <si>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</si>
  <si>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</si>
  <si>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</si>
  <si>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</si>
  <si>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</si>
  <si>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</si>
  <si>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</si>
  <si>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</si>
  <si>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</si>
  <si>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</si>
  <si>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</si>
  <si>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</si>
  <si>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</si>
  <si>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</si>
  <si>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</si>
  <si>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</si>
  <si>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</si>
  <si>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</si>
  <si>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</si>
  <si>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</si>
  <si>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</si>
  <si>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</si>
  <si>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</si>
  <si>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</si>
  <si>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</si>
  <si>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</si>
  <si>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</si>
  <si>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</si>
  <si>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</si>
  <si>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</si>
  <si>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</si>
  <si>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</si>
  <si>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</si>
  <si>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</si>
  <si>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</si>
  <si>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</si>
  <si>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</si>
  <si>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</si>
  <si>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</si>
  <si>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</si>
  <si>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</si>
  <si>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</si>
  <si>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</si>
  <si>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</si>
  <si>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</si>
  <si>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</si>
  <si>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</si>
  <si>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</si>
  <si>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</si>
  <si>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</si>
  <si>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</si>
  <si>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</si>
  <si>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</si>
  <si>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</si>
  <si>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</si>
  <si>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</si>
  <si>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</si>
  <si>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</si>
  <si>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</si>
  <si>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</si>
  <si>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</si>
  <si>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</si>
  <si>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</si>
  <si>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</si>
  <si>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</si>
  <si>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</si>
  <si>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</si>
  <si>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</si>
  <si>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</si>
  <si>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</si>
  <si>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</si>
  <si>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</si>
  <si>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</si>
  <si>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</si>
  <si>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</si>
  <si>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</si>
  <si>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</si>
  <si>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</si>
  <si>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</si>
  <si>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</si>
  <si>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</si>
  <si>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</si>
  <si>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</si>
  <si>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</si>
  <si>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</si>
  <si>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</si>
  <si>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</si>
  <si>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</si>
  <si>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</si>
  <si>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</si>
  <si>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</si>
  <si>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</si>
  <si>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</si>
  <si>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</si>
  <si>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</si>
  <si>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</si>
  <si>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</si>
  <si>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</si>
  <si>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</si>
  <si>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</si>
  <si>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</si>
  <si>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</si>
  <si>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</si>
  <si>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</si>
  <si>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</si>
  <si>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</si>
  <si>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</si>
  <si>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</si>
  <si>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</si>
  <si>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</si>
  <si>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</si>
  <si>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</si>
  <si>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</si>
  <si>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</si>
  <si>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</si>
  <si>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</si>
  <si>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</si>
  <si>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</si>
  <si>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</si>
  <si>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</si>
  <si>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</si>
  <si>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</si>
  <si>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</si>
  <si>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</si>
  <si>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</si>
  <si>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</si>
  <si>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</si>
  <si>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</si>
  <si>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</si>
  <si>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</si>
  <si>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</si>
  <si>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</si>
  <si>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</si>
  <si>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</si>
  <si>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</si>
  <si>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</si>
  <si>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</si>
  <si>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</si>
  <si>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</si>
  <si>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</si>
  <si>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</si>
  <si>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</si>
  <si>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</si>
  <si>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</si>
  <si>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</si>
  <si>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</si>
  <si>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</si>
  <si>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</si>
  <si>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</si>
  <si>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</si>
  <si>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</si>
  <si>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</si>
  <si>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</si>
  <si>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</si>
  <si>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</si>
  <si>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</si>
  <si>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</si>
  <si>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</si>
  <si>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</si>
  <si>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</si>
  <si>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</si>
  <si>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</si>
  <si>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</si>
  <si>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</si>
  <si>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</si>
  <si>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</si>
  <si>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</si>
  <si>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</si>
  <si>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</si>
  <si>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</si>
  <si>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</si>
  <si>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</si>
  <si>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</si>
  <si>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</si>
  <si>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</si>
  <si>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</si>
  <si>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</si>
  <si>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</si>
  <si>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</si>
  <si>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</si>
  <si>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</si>
  <si>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</si>
  <si>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</si>
  <si>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</si>
  <si>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</si>
  <si>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</si>
  <si>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</si>
  <si>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</si>
  <si>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</si>
  <si>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</si>
  <si>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</si>
  <si>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</si>
  <si>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</si>
  <si>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</si>
  <si>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</si>
  <si>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</si>
  <si>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</si>
  <si>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</si>
  <si>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</si>
  <si>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</si>
  <si>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</si>
  <si>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</si>
  <si>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</si>
  <si>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</si>
  <si>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</si>
  <si>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</si>
  <si>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</si>
  <si>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</si>
  <si>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</si>
  <si>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</si>
  <si>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</si>
  <si>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</si>
  <si>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</si>
  <si>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</si>
  <si>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</si>
  <si>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</si>
  <si>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</si>
  <si>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</si>
  <si>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</si>
  <si>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</si>
  <si>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</si>
  <si>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</si>
  <si>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</si>
  <si>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</si>
  <si>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</si>
  <si>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</si>
  <si>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</si>
  <si>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</si>
  <si>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</si>
  <si>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</si>
  <si>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</si>
  <si>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</si>
  <si>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</si>
  <si>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</si>
  <si>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</si>
  <si>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</si>
  <si>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</si>
  <si>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</si>
  <si>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</si>
  <si>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</si>
  <si>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</si>
  <si>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</si>
  <si>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</si>
  <si>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</si>
  <si>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</si>
  <si>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</si>
  <si>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</si>
  <si>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</si>
  <si>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</si>
  <si>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</si>
  <si>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204:502</t>
  </si>
  <si>
    <t>204:196</t>
  </si>
  <si>
    <t>Wi-MAX data drop</t>
  </si>
  <si>
    <t>HAMMOND</t>
  </si>
  <si>
    <t>JUSTYNN</t>
  </si>
  <si>
    <t>309-17</t>
  </si>
  <si>
    <t>311-17</t>
  </si>
  <si>
    <t>313-17</t>
  </si>
  <si>
    <t>204:203</t>
  </si>
  <si>
    <t>204:515</t>
  </si>
  <si>
    <t>rtdc.l.rtdc.4056:itc</t>
  </si>
  <si>
    <t>rtdc.l.rtdc.4054:itc</t>
  </si>
  <si>
    <t>rtdc.l.rtdc.4053:itc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</si>
  <si>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</si>
  <si>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</si>
  <si>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</si>
  <si>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</si>
  <si>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</si>
  <si>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</si>
  <si>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</si>
  <si>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</si>
  <si>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</si>
  <si>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</si>
  <si>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</si>
  <si>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204:225</t>
  </si>
  <si>
    <t>rtdc.l.rtdc.4015:itc</t>
  </si>
  <si>
    <t>rtdc.l.rtdc.4006:itc</t>
  </si>
  <si>
    <t>rtdc.l.rtdc.4016:itc</t>
  </si>
  <si>
    <t>rtdc.l.rtdc.4005:itc</t>
  </si>
  <si>
    <t>244-22</t>
  </si>
  <si>
    <t>309-22</t>
  </si>
  <si>
    <t>311-22</t>
  </si>
  <si>
    <t>clear-day</t>
  </si>
  <si>
    <t>204:513</t>
  </si>
  <si>
    <t>204:265</t>
  </si>
  <si>
    <t>MAELZER</t>
  </si>
  <si>
    <t>KURT</t>
  </si>
  <si>
    <t>BADERTSCHER</t>
  </si>
  <si>
    <t>DIANE</t>
  </si>
  <si>
    <t>204:442</t>
  </si>
  <si>
    <t>204:233270</t>
  </si>
  <si>
    <t>204:191</t>
  </si>
  <si>
    <t>204:520</t>
  </si>
  <si>
    <t>204:189</t>
  </si>
  <si>
    <t>rtdc.l.rtdc.4009:itc</t>
  </si>
  <si>
    <t>LESTER</t>
  </si>
  <si>
    <t>LAMAR</t>
  </si>
  <si>
    <t>NEKESHA</t>
  </si>
  <si>
    <t>DELGADO</t>
  </si>
  <si>
    <t>DIANAH</t>
  </si>
  <si>
    <t>204:506</t>
  </si>
  <si>
    <t>204:233297</t>
  </si>
  <si>
    <t>204:201</t>
  </si>
  <si>
    <t>204:480</t>
  </si>
  <si>
    <t>204:218</t>
  </si>
  <si>
    <t>204:500</t>
  </si>
  <si>
    <t>204:458</t>
  </si>
  <si>
    <t>204:511</t>
  </si>
  <si>
    <t>204:508</t>
  </si>
  <si>
    <t>rtdc.l.rtdc.4033:itc</t>
  </si>
  <si>
    <t>rtdc.l.rtdc.4034:itc</t>
  </si>
  <si>
    <t>rtdc.l.rtdc.4044:itc</t>
  </si>
  <si>
    <t>rtdc.l.rtdc.4043:itc</t>
  </si>
  <si>
    <t>GONZALEZ</t>
  </si>
  <si>
    <t>ARMANDO</t>
  </si>
  <si>
    <t>204:205</t>
  </si>
  <si>
    <t>204:233257</t>
  </si>
  <si>
    <t>204:220</t>
  </si>
  <si>
    <t>204:466</t>
  </si>
  <si>
    <t>204:194</t>
  </si>
  <si>
    <t>DAVIS</t>
  </si>
  <si>
    <t>204:486</t>
  </si>
  <si>
    <t>204:198</t>
  </si>
  <si>
    <t>204:517</t>
  </si>
  <si>
    <t>204:232970</t>
  </si>
  <si>
    <t>204:187</t>
  </si>
  <si>
    <t>204:457</t>
  </si>
  <si>
    <t>204:462</t>
  </si>
  <si>
    <t>204:221</t>
  </si>
  <si>
    <t>204:178</t>
  </si>
  <si>
    <t>204:233263</t>
  </si>
  <si>
    <t>204:233286</t>
  </si>
  <si>
    <t>204:233314</t>
  </si>
  <si>
    <t>204:232975</t>
  </si>
  <si>
    <t>204:183</t>
  </si>
  <si>
    <t>204:232984</t>
  </si>
  <si>
    <t>204:232951</t>
  </si>
  <si>
    <t>204:232991</t>
  </si>
  <si>
    <t>204:233261</t>
  </si>
  <si>
    <t>204:232987</t>
  </si>
  <si>
    <t>204:150</t>
  </si>
  <si>
    <t>rtdc.l.rtdc.4021:itc</t>
  </si>
  <si>
    <t>rtdc.l.rtdc.4004:itc</t>
  </si>
  <si>
    <t>rtdc.l.rtdc.4003:itc</t>
  </si>
  <si>
    <t>204:158</t>
  </si>
  <si>
    <t>204:233315</t>
  </si>
  <si>
    <t>204:504</t>
  </si>
  <si>
    <t>204:233295</t>
  </si>
  <si>
    <t>204:232953</t>
  </si>
  <si>
    <t>204:233308</t>
  </si>
  <si>
    <t>204:192</t>
  </si>
  <si>
    <t>204:482</t>
  </si>
  <si>
    <t>204:478</t>
  </si>
  <si>
    <t>204:233221</t>
  </si>
  <si>
    <t>204:232938</t>
  </si>
  <si>
    <t>300:58956</t>
  </si>
  <si>
    <t>204:232892</t>
  </si>
  <si>
    <t>204:155</t>
  </si>
  <si>
    <t>204:564</t>
  </si>
  <si>
    <t>204:233293</t>
  </si>
  <si>
    <t>204:160</t>
  </si>
  <si>
    <t>204:535</t>
  </si>
  <si>
    <t>204:232952</t>
  </si>
  <si>
    <t>204:223</t>
  </si>
  <si>
    <t>204:232959</t>
  </si>
  <si>
    <t>204:551</t>
  </si>
  <si>
    <t>TRACK WARRANT AUTHORITY</t>
  </si>
  <si>
    <t>Form based authority (4)</t>
  </si>
  <si>
    <t>rtdc.l.rtdc.4058:itc</t>
  </si>
  <si>
    <t>242-17</t>
  </si>
  <si>
    <t>STRICKLAND</t>
  </si>
  <si>
    <t>EVAN</t>
  </si>
  <si>
    <t>STEWART</t>
  </si>
  <si>
    <t>KILLION</t>
  </si>
  <si>
    <t>DAVID</t>
  </si>
  <si>
    <t>307-17</t>
  </si>
  <si>
    <t>244-17</t>
  </si>
  <si>
    <t>300-18</t>
  </si>
  <si>
    <t>precipType</t>
  </si>
  <si>
    <t>204:493</t>
  </si>
  <si>
    <t>204:232986</t>
  </si>
  <si>
    <t>204:233000</t>
  </si>
  <si>
    <t>204:232996</t>
  </si>
  <si>
    <t>204:145</t>
  </si>
  <si>
    <t>204:233289</t>
  </si>
  <si>
    <t>204:451</t>
  </si>
  <si>
    <t>204:233266</t>
  </si>
  <si>
    <t>204:232961</t>
  </si>
  <si>
    <t>204:522</t>
  </si>
  <si>
    <t>204:497</t>
  </si>
  <si>
    <t>204:232973</t>
  </si>
  <si>
    <t>204:181</t>
  </si>
  <si>
    <t>204:449</t>
  </si>
  <si>
    <t>204:232950</t>
  </si>
  <si>
    <t>204:200</t>
  </si>
  <si>
    <t>204:233307</t>
  </si>
  <si>
    <t>204:232936</t>
  </si>
  <si>
    <t>204:232921</t>
  </si>
  <si>
    <t>204:258</t>
  </si>
  <si>
    <t>204:233274</t>
  </si>
  <si>
    <t>204:232964</t>
  </si>
  <si>
    <t>204:233207</t>
  </si>
  <si>
    <t>204:242</t>
  </si>
  <si>
    <t>204:448</t>
  </si>
  <si>
    <t>204:433</t>
  </si>
  <si>
    <t>300:58954</t>
  </si>
  <si>
    <t>204:441</t>
  </si>
  <si>
    <t>300:58937</t>
  </si>
  <si>
    <t>204:138</t>
  </si>
  <si>
    <t>204:233301</t>
  </si>
  <si>
    <t>204:435</t>
  </si>
  <si>
    <t>204:432</t>
  </si>
  <si>
    <t>204:144</t>
  </si>
  <si>
    <t>300:59001</t>
  </si>
  <si>
    <t>204:404</t>
  </si>
  <si>
    <t>204:540</t>
  </si>
  <si>
    <t>204:484</t>
  </si>
  <si>
    <t>204:233278</t>
  </si>
  <si>
    <t>204:232960</t>
  </si>
  <si>
    <t>204:180</t>
  </si>
  <si>
    <t>204:232948</t>
  </si>
  <si>
    <t>204:233264</t>
  </si>
  <si>
    <t>204:232947</t>
  </si>
  <si>
    <t>204:233215</t>
  </si>
  <si>
    <t>204:232884</t>
  </si>
  <si>
    <t>204:233300</t>
  </si>
  <si>
    <t>204:537</t>
  </si>
  <si>
    <t>204:557</t>
  </si>
  <si>
    <t>204:233013</t>
  </si>
  <si>
    <t>204:232966</t>
  </si>
  <si>
    <t>204:233249</t>
  </si>
  <si>
    <t>204:232943</t>
  </si>
  <si>
    <t>204:233236</t>
  </si>
  <si>
    <t>204:232909</t>
  </si>
  <si>
    <t>204:568</t>
  </si>
  <si>
    <t>300:23299</t>
  </si>
  <si>
    <t>300:23314</t>
  </si>
  <si>
    <t>204:154</t>
  </si>
  <si>
    <t>300:23302</t>
  </si>
  <si>
    <t>204:169</t>
  </si>
  <si>
    <t>204:542</t>
  </si>
  <si>
    <t>204:126</t>
  </si>
  <si>
    <t>103-18</t>
  </si>
  <si>
    <t>105-18</t>
  </si>
  <si>
    <t>102-18</t>
  </si>
  <si>
    <t>106-18</t>
  </si>
  <si>
    <t>108-18</t>
  </si>
  <si>
    <t>116-18</t>
  </si>
  <si>
    <t>129-18</t>
  </si>
  <si>
    <t>125-18</t>
  </si>
  <si>
    <t>128-18</t>
  </si>
  <si>
    <t>126-18</t>
  </si>
  <si>
    <t>811-18</t>
  </si>
  <si>
    <t>137-18</t>
  </si>
  <si>
    <t>812-18</t>
  </si>
  <si>
    <t>rtdc.l.rtdc.4025:itc</t>
  </si>
  <si>
    <t>132-18</t>
  </si>
  <si>
    <t>139-18</t>
  </si>
  <si>
    <t>143-18</t>
  </si>
  <si>
    <t>136-18</t>
  </si>
  <si>
    <t>140-18</t>
  </si>
  <si>
    <t>158-18</t>
  </si>
  <si>
    <t>217-18</t>
  </si>
  <si>
    <t>837-18</t>
  </si>
  <si>
    <t>236-18</t>
  </si>
  <si>
    <t>311-18</t>
  </si>
  <si>
    <t>81-18</t>
  </si>
  <si>
    <t>SPECTOR</t>
  </si>
  <si>
    <t>101-18</t>
  </si>
  <si>
    <t>302-18</t>
  </si>
  <si>
    <t>STARKS</t>
  </si>
  <si>
    <t>ANGELINA</t>
  </si>
  <si>
    <t>80-18</t>
  </si>
  <si>
    <t>304-18</t>
  </si>
  <si>
    <t>306-18</t>
  </si>
  <si>
    <t>308-18</t>
  </si>
  <si>
    <t>107-18</t>
  </si>
  <si>
    <t>109-18</t>
  </si>
  <si>
    <t>104-18</t>
  </si>
  <si>
    <t>310-18</t>
  </si>
  <si>
    <t>DAVIDSON</t>
  </si>
  <si>
    <t>901-18</t>
  </si>
  <si>
    <t>MACDONALD</t>
  </si>
  <si>
    <t>THOMAS</t>
  </si>
  <si>
    <t>111-18</t>
  </si>
  <si>
    <t>113-18</t>
  </si>
  <si>
    <t>800-18</t>
  </si>
  <si>
    <t>312-18</t>
  </si>
  <si>
    <t>115-18</t>
  </si>
  <si>
    <t>110-18</t>
  </si>
  <si>
    <t>801-18</t>
  </si>
  <si>
    <t>902-18</t>
  </si>
  <si>
    <t>YANAI</t>
  </si>
  <si>
    <t>IAN</t>
  </si>
  <si>
    <t>rtdc.l.rtdc.4026:itc</t>
  </si>
  <si>
    <t>117-18</t>
  </si>
  <si>
    <t>BIRENBAUM</t>
  </si>
  <si>
    <t>114-18</t>
  </si>
  <si>
    <t>119-18</t>
  </si>
  <si>
    <t>802-18</t>
  </si>
  <si>
    <t>112-18</t>
  </si>
  <si>
    <t>803-18</t>
  </si>
  <si>
    <t>121-18</t>
  </si>
  <si>
    <t>123-18</t>
  </si>
  <si>
    <t>804-18</t>
  </si>
  <si>
    <t>805-18</t>
  </si>
  <si>
    <t>118-18</t>
  </si>
  <si>
    <t>120-18</t>
  </si>
  <si>
    <t>122-18</t>
  </si>
  <si>
    <t>127-18</t>
  </si>
  <si>
    <t>806-18</t>
  </si>
  <si>
    <t>807-18</t>
  </si>
  <si>
    <t>124-18</t>
  </si>
  <si>
    <t>131-18</t>
  </si>
  <si>
    <t>808-18</t>
  </si>
  <si>
    <t>809-18</t>
  </si>
  <si>
    <t>133-18</t>
  </si>
  <si>
    <t>135-18</t>
  </si>
  <si>
    <t>810-18</t>
  </si>
  <si>
    <t>130-18</t>
  </si>
  <si>
    <t>903-18</t>
  </si>
  <si>
    <t>134-18</t>
  </si>
  <si>
    <t>141-18</t>
  </si>
  <si>
    <t>138-18</t>
  </si>
  <si>
    <t>813-18</t>
  </si>
  <si>
    <t>145-18</t>
  </si>
  <si>
    <t>142-18</t>
  </si>
  <si>
    <t>814-18</t>
  </si>
  <si>
    <t>147-18</t>
  </si>
  <si>
    <t>149-18</t>
  </si>
  <si>
    <t>151-18</t>
  </si>
  <si>
    <t>144-18</t>
  </si>
  <si>
    <t>815-18</t>
  </si>
  <si>
    <t>146-18</t>
  </si>
  <si>
    <t>153-18</t>
  </si>
  <si>
    <t>148-18</t>
  </si>
  <si>
    <t>155-18</t>
  </si>
  <si>
    <t>150-18</t>
  </si>
  <si>
    <t>816-18</t>
  </si>
  <si>
    <t>157-18</t>
  </si>
  <si>
    <t>152-18</t>
  </si>
  <si>
    <t>159-18</t>
  </si>
  <si>
    <t>817-18</t>
  </si>
  <si>
    <t>156-18</t>
  </si>
  <si>
    <t>161-18</t>
  </si>
  <si>
    <t>154-18</t>
  </si>
  <si>
    <t>163-18</t>
  </si>
  <si>
    <t>818-18</t>
  </si>
  <si>
    <t>165-18</t>
  </si>
  <si>
    <t>LEVERE</t>
  </si>
  <si>
    <t>CRAIG</t>
  </si>
  <si>
    <t>167-18</t>
  </si>
  <si>
    <t>160-18</t>
  </si>
  <si>
    <t>819-18</t>
  </si>
  <si>
    <t>162-18</t>
  </si>
  <si>
    <t>169-18</t>
  </si>
  <si>
    <t>164-18</t>
  </si>
  <si>
    <t>820-18</t>
  </si>
  <si>
    <t>171-18</t>
  </si>
  <si>
    <t>166-18</t>
  </si>
  <si>
    <t>173-18</t>
  </si>
  <si>
    <t>168-18</t>
  </si>
  <si>
    <t>175-18</t>
  </si>
  <si>
    <t>170-18</t>
  </si>
  <si>
    <t>821-18</t>
  </si>
  <si>
    <t>177-18</t>
  </si>
  <si>
    <t>172-18</t>
  </si>
  <si>
    <t>179-18</t>
  </si>
  <si>
    <t>822-18</t>
  </si>
  <si>
    <t>174-18</t>
  </si>
  <si>
    <t>181-18</t>
  </si>
  <si>
    <t>176-18</t>
  </si>
  <si>
    <t>183-18</t>
  </si>
  <si>
    <t>823-18</t>
  </si>
  <si>
    <t>178-18</t>
  </si>
  <si>
    <t>185-18</t>
  </si>
  <si>
    <t>180-18</t>
  </si>
  <si>
    <t>187-18</t>
  </si>
  <si>
    <t>182-18</t>
  </si>
  <si>
    <t>824-18</t>
  </si>
  <si>
    <t>184-18</t>
  </si>
  <si>
    <t>189-18</t>
  </si>
  <si>
    <t>191-18</t>
  </si>
  <si>
    <t>186-18</t>
  </si>
  <si>
    <t>825-18</t>
  </si>
  <si>
    <t>193-18</t>
  </si>
  <si>
    <t>904-18</t>
  </si>
  <si>
    <t>188-18</t>
  </si>
  <si>
    <t>826-18</t>
  </si>
  <si>
    <t>195-18</t>
  </si>
  <si>
    <t>827-18</t>
  </si>
  <si>
    <t>190-18</t>
  </si>
  <si>
    <t>197-18</t>
  </si>
  <si>
    <t>192-18</t>
  </si>
  <si>
    <t>199-18</t>
  </si>
  <si>
    <t>828-18</t>
  </si>
  <si>
    <t>829-18</t>
  </si>
  <si>
    <t>194-18</t>
  </si>
  <si>
    <t>196-18</t>
  </si>
  <si>
    <t>201-18</t>
  </si>
  <si>
    <t>198-18</t>
  </si>
  <si>
    <t>203-18</t>
  </si>
  <si>
    <t>67-18</t>
  </si>
  <si>
    <t>830-18</t>
  </si>
  <si>
    <t>831-18</t>
  </si>
  <si>
    <t>205-18</t>
  </si>
  <si>
    <t>200-18</t>
  </si>
  <si>
    <t>832-18</t>
  </si>
  <si>
    <t>833-18</t>
  </si>
  <si>
    <t>207-18</t>
  </si>
  <si>
    <t>202-18</t>
  </si>
  <si>
    <t>209-18</t>
  </si>
  <si>
    <t>75-18</t>
  </si>
  <si>
    <t>ROBINSON</t>
  </si>
  <si>
    <t>KADDIBA</t>
  </si>
  <si>
    <t>204-18</t>
  </si>
  <si>
    <t>834-18</t>
  </si>
  <si>
    <t>211-18</t>
  </si>
  <si>
    <t>835-18</t>
  </si>
  <si>
    <t>206-18</t>
  </si>
  <si>
    <t>213-18</t>
  </si>
  <si>
    <t>68-18</t>
  </si>
  <si>
    <t>208-18</t>
  </si>
  <si>
    <t>215-18</t>
  </si>
  <si>
    <t>836-18</t>
  </si>
  <si>
    <t>210-18</t>
  </si>
  <si>
    <t>212-18</t>
  </si>
  <si>
    <t>219-18</t>
  </si>
  <si>
    <t>838-18</t>
  </si>
  <si>
    <t>839-18</t>
  </si>
  <si>
    <t>214-18</t>
  </si>
  <si>
    <t>301-18</t>
  </si>
  <si>
    <t>216-18</t>
  </si>
  <si>
    <t>221-18</t>
  </si>
  <si>
    <t>906-18</t>
  </si>
  <si>
    <t>841-18</t>
  </si>
  <si>
    <t>218-18</t>
  </si>
  <si>
    <t>303-18</t>
  </si>
  <si>
    <t>220-18</t>
  </si>
  <si>
    <t>840-18</t>
  </si>
  <si>
    <t>223-18</t>
  </si>
  <si>
    <t>305-18</t>
  </si>
  <si>
    <t>222-18</t>
  </si>
  <si>
    <t>225-18</t>
  </si>
  <si>
    <t>843-18</t>
  </si>
  <si>
    <t>224-18</t>
  </si>
  <si>
    <t>227-18</t>
  </si>
  <si>
    <t>842-18</t>
  </si>
  <si>
    <t>229-18</t>
  </si>
  <si>
    <t>226-18</t>
  </si>
  <si>
    <t>845-18</t>
  </si>
  <si>
    <t>231-18</t>
  </si>
  <si>
    <t>228-18</t>
  </si>
  <si>
    <t>844-18</t>
  </si>
  <si>
    <t>230-18</t>
  </si>
  <si>
    <t>233-18</t>
  </si>
  <si>
    <t>847-18</t>
  </si>
  <si>
    <t>232-18</t>
  </si>
  <si>
    <t>235-18</t>
  </si>
  <si>
    <t>846-18</t>
  </si>
  <si>
    <t>82-18</t>
  </si>
  <si>
    <t>237-18</t>
  </si>
  <si>
    <t>83-18</t>
  </si>
  <si>
    <t>234-18</t>
  </si>
  <si>
    <t>908-18</t>
  </si>
  <si>
    <t>849-18</t>
  </si>
  <si>
    <t>239-18</t>
  </si>
  <si>
    <t>238-18</t>
  </si>
  <si>
    <t>241-18</t>
  </si>
  <si>
    <t>243-18</t>
  </si>
  <si>
    <t>240-18</t>
  </si>
  <si>
    <t>313-18</t>
  </si>
  <si>
    <t>242-18</t>
  </si>
  <si>
    <t>307-18</t>
  </si>
  <si>
    <t>244-18</t>
  </si>
  <si>
    <t>309-18</t>
  </si>
  <si>
    <t>rain</t>
  </si>
  <si>
    <t>204:752</t>
  </si>
  <si>
    <t>204:233245</t>
  </si>
  <si>
    <t>204:136</t>
  </si>
  <si>
    <t>204:96327</t>
  </si>
  <si>
    <t>204:947</t>
  </si>
  <si>
    <t>204:233312</t>
  </si>
  <si>
    <t>204:232998</t>
  </si>
  <si>
    <t>204:524</t>
  </si>
  <si>
    <t>204:214</t>
  </si>
  <si>
    <t>204:429</t>
  </si>
  <si>
    <t>204:233280</t>
  </si>
  <si>
    <t>204:232983</t>
  </si>
  <si>
    <t>204:152</t>
  </si>
  <si>
    <t>204:489</t>
  </si>
  <si>
    <t>204:233255</t>
  </si>
  <si>
    <t>204:231</t>
  </si>
  <si>
    <t>204:3118</t>
  </si>
  <si>
    <t>204:232977</t>
  </si>
  <si>
    <t>204:163</t>
  </si>
  <si>
    <t>204:233282</t>
  </si>
  <si>
    <t>204:233306</t>
  </si>
  <si>
    <t>204:233240</t>
  </si>
  <si>
    <t>204:528</t>
  </si>
  <si>
    <t>204:233285</t>
  </si>
  <si>
    <t>204:539</t>
  </si>
  <si>
    <t>204:233302</t>
  </si>
  <si>
    <t>204:437</t>
  </si>
  <si>
    <t>204:256</t>
  </si>
  <si>
    <t>204:495</t>
  </si>
  <si>
    <t>204:546</t>
  </si>
  <si>
    <t>204:233241</t>
  </si>
  <si>
    <t>204:233310</t>
  </si>
  <si>
    <t>204:172</t>
  </si>
  <si>
    <t>204:460</t>
  </si>
  <si>
    <t>204:233326</t>
  </si>
  <si>
    <t>204:519</t>
  </si>
  <si>
    <t>204:233287</t>
  </si>
  <si>
    <t>204:232962</t>
  </si>
  <si>
    <t>204:232934</t>
  </si>
  <si>
    <t>204:471</t>
  </si>
  <si>
    <t>204:232932</t>
  </si>
  <si>
    <t>204:243</t>
  </si>
  <si>
    <t>204:227</t>
  </si>
  <si>
    <t>204:232940</t>
  </si>
  <si>
    <t>204:249</t>
  </si>
  <si>
    <t>204:233201</t>
  </si>
  <si>
    <t>204:232886</t>
  </si>
  <si>
    <t>204:252</t>
  </si>
  <si>
    <t>204:232969</t>
  </si>
  <si>
    <t>204:233251</t>
  </si>
  <si>
    <t>204:247</t>
  </si>
  <si>
    <t>204:233283</t>
  </si>
  <si>
    <t>204:232942</t>
  </si>
  <si>
    <t>204:562</t>
  </si>
  <si>
    <t>204:233309</t>
  </si>
  <si>
    <t>204:233281</t>
  </si>
  <si>
    <t>204:232974</t>
  </si>
  <si>
    <t>204:232944</t>
  </si>
  <si>
    <t>204:229</t>
  </si>
  <si>
    <t>204:571</t>
  </si>
  <si>
    <t>204:233213</t>
  </si>
  <si>
    <t>204:251</t>
  </si>
  <si>
    <t>204:232965</t>
  </si>
  <si>
    <t>204:559</t>
  </si>
  <si>
    <t>204:233242</t>
  </si>
  <si>
    <t>204:233238</t>
  </si>
  <si>
    <t>204:232929</t>
  </si>
  <si>
    <t>204:64176</t>
  </si>
  <si>
    <t>204:121811</t>
  </si>
  <si>
    <t>204:233204</t>
  </si>
  <si>
    <t>204:232883</t>
  </si>
  <si>
    <t>204:233268</t>
  </si>
  <si>
    <t>204:260</t>
  </si>
  <si>
    <t>204:232957</t>
  </si>
  <si>
    <t>204:232928</t>
  </si>
  <si>
    <t>204:212</t>
  </si>
  <si>
    <t>204:577</t>
  </si>
  <si>
    <t>204:233246</t>
  </si>
  <si>
    <t>204:531</t>
  </si>
  <si>
    <t>204:232976</t>
  </si>
  <si>
    <t>204:232949</t>
  </si>
  <si>
    <t>204:273</t>
  </si>
  <si>
    <t>204:274</t>
  </si>
  <si>
    <t>204:232926</t>
  </si>
  <si>
    <t>204:560</t>
  </si>
  <si>
    <t>300:23304</t>
  </si>
  <si>
    <t>300:20441</t>
  </si>
  <si>
    <t>300:19763</t>
  </si>
  <si>
    <t>204:575</t>
  </si>
  <si>
    <t>300:23175</t>
  </si>
  <si>
    <t>300:23308</t>
  </si>
  <si>
    <t>300:19823</t>
  </si>
  <si>
    <t>204:588</t>
  </si>
  <si>
    <t>300:23040</t>
  </si>
  <si>
    <t>300:25781</t>
  </si>
  <si>
    <t>204:591</t>
  </si>
  <si>
    <t>204:1283</t>
  </si>
  <si>
    <t>300:23572</t>
  </si>
  <si>
    <t>204:1171</t>
  </si>
  <si>
    <t>204:1158</t>
  </si>
  <si>
    <t>300:23301</t>
  </si>
  <si>
    <t>204:3245</t>
  </si>
  <si>
    <t>204:1182</t>
  </si>
  <si>
    <t>204:3331</t>
  </si>
  <si>
    <t>300:58920</t>
  </si>
  <si>
    <t>300:58602</t>
  </si>
  <si>
    <t>204:171</t>
  </si>
  <si>
    <t>204:419</t>
  </si>
  <si>
    <t>300:58935</t>
  </si>
  <si>
    <t>300:58615</t>
  </si>
  <si>
    <t>204:131</t>
  </si>
  <si>
    <t>204:455</t>
  </si>
  <si>
    <t>300:58901</t>
  </si>
  <si>
    <t>300:58585</t>
  </si>
  <si>
    <t>300:58922</t>
  </si>
  <si>
    <t>300:58613</t>
  </si>
  <si>
    <t>204:135</t>
  </si>
  <si>
    <t>300:58905</t>
  </si>
  <si>
    <t>204:3556</t>
  </si>
  <si>
    <t>204:1496</t>
  </si>
  <si>
    <t>204:3644</t>
  </si>
  <si>
    <t>204:153</t>
  </si>
  <si>
    <t>204:423</t>
  </si>
  <si>
    <t>300:58926</t>
  </si>
  <si>
    <t>204:4469</t>
  </si>
  <si>
    <t>300:58929</t>
  </si>
  <si>
    <t>300:58621</t>
  </si>
  <si>
    <t>204:122</t>
  </si>
  <si>
    <t>300:58608</t>
  </si>
  <si>
    <t>204:117</t>
  </si>
  <si>
    <t>300:58611</t>
  </si>
  <si>
    <t>300:58916</t>
  </si>
  <si>
    <t>204:1009</t>
  </si>
  <si>
    <t>300:58606</t>
  </si>
  <si>
    <t>204:140</t>
  </si>
  <si>
    <t>300:58640</t>
  </si>
  <si>
    <t>300:58969</t>
  </si>
  <si>
    <t>300:58656</t>
  </si>
  <si>
    <t>204:426</t>
  </si>
  <si>
    <t>204:133</t>
  </si>
  <si>
    <t>300:58963</t>
  </si>
  <si>
    <t>204:1150</t>
  </si>
  <si>
    <t>300:5327</t>
  </si>
  <si>
    <t>204:439</t>
  </si>
  <si>
    <t>300:58623</t>
  </si>
  <si>
    <t>300:58653</t>
  </si>
  <si>
    <t>300:58933</t>
  </si>
  <si>
    <t>300:58617</t>
  </si>
  <si>
    <t>204:164</t>
  </si>
  <si>
    <t>300:58700</t>
  </si>
  <si>
    <t>204:113</t>
  </si>
  <si>
    <t>300:58928</t>
  </si>
  <si>
    <t>300:58694</t>
  </si>
  <si>
    <t>204:104</t>
  </si>
  <si>
    <t>204:417</t>
  </si>
  <si>
    <t>300:58692</t>
  </si>
  <si>
    <t>300:59010</t>
  </si>
  <si>
    <t>204:395</t>
  </si>
  <si>
    <t>300:58941</t>
  </si>
  <si>
    <t>204:910</t>
  </si>
  <si>
    <t>300:23741</t>
  </si>
  <si>
    <t>204:100</t>
  </si>
  <si>
    <t>300:24265</t>
  </si>
  <si>
    <t>300:23508</t>
  </si>
  <si>
    <t>300:58604</t>
  </si>
  <si>
    <t>300:28765</t>
  </si>
  <si>
    <t>204:1220</t>
  </si>
  <si>
    <t>300:23346</t>
  </si>
  <si>
    <t>start /low /b %USERPROFILE%\Documents\GitHub\eaglep3\Utilities\DownloadLogsFromS3.py --loco 4034 --day 2017-12-18</t>
  </si>
  <si>
    <t>start /low /b %USERPROFILE%\Documents\GitHub\eaglep3\Utilities\DownloadLogsFromS3.py --loco 4015 --day 2017-12-18</t>
  </si>
  <si>
    <t>start /low /b %USERPROFILE%\Documents\GitHub\eaglep3\Utilities\DownloadLogsFromS3.py --loco 4044 --day 2017-12-19</t>
  </si>
  <si>
    <t>start /low /b %USERPROFILE%\Documents\GitHub\eaglep3\Utilities\DownloadLogsFromS3.py --loco 4035 --day 2017-12-18</t>
  </si>
  <si>
    <t>start /low /b %USERPROFILE%\Documents\GitHub\eaglep3\Utilities\DownloadLogsFromS3.py --loco 4016 --day 2017-12-18</t>
  </si>
  <si>
    <t>start /low /b %USERPROFILE%\Documents\GitHub\eaglep3\Utilities\DownloadLogsFromS3.py --loco 4051 --day 2017-12-18</t>
  </si>
  <si>
    <t>start /low /b %USERPROFILE%\Documents\GitHub\eaglep3\Utilities\DownloadLogsFromS3.py --loco 4010 --day 2017-12-19</t>
  </si>
  <si>
    <t>start /low /b %USERPROFILE%\Documents\GitHub\eaglep3\Utilities\DownloadLogsFromS3.py --loco 4043 --day 2017-12-19</t>
  </si>
  <si>
    <t>start /low /b %USERPROFILE%\Documents\GitHub\eaglep3\Utilities\DownloadLogsFromS3.py --loco 4033 --day 2017-12-18</t>
  </si>
  <si>
    <t>start /low /b %USERPROFILE%\Documents\GitHub\eaglep3\Utilities\DownloadLogsFromS3.py --loco 4025 --day 2017-12-18</t>
  </si>
  <si>
    <t>start /low /b %USERPROFILE%\Documents\GitHub\eaglep3\Utilities\DownloadLogsFromS3.py --loco 4049 --day 2017-12-18</t>
  </si>
  <si>
    <t>start /low /b %USERPROFILE%\Documents\GitHub\eaglep3\Utilities\DownloadLogsFromS3.py --loco 4043 --day 2017-12-18</t>
  </si>
  <si>
    <t>CCROC/crew/equipment mismatch</t>
  </si>
  <si>
    <t>Early arrival</t>
  </si>
  <si>
    <t>Poor GPS @ Wewatta</t>
  </si>
  <si>
    <t>Observed Wi-MAX data drop, no enforcement/cutout</t>
  </si>
  <si>
    <t>Wi-MAX data drop followed by wheel slip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</si>
</sst>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20"/>
  <sheetViews>
    <sheetView zoomScaleNormal="100" workbookViewId="0">
      <selection activeCell="R13" sqref="R13:R1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43087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43087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COUNTIFS($N$13:$N$9563,"&gt;0",$AG$13:$AG$9563,I1)</f>
        <v>141</v>
      </c>
      <c r="K5" s="39"/>
      <c r="L5" s="171"/>
      <c r="M5" s="40">
        <f>AVERAGEIFS($N$13:$N$9563,$AG$13:$AG$9563,I1)</f>
        <v>37.088770686049372</v>
      </c>
      <c r="N5" s="38">
        <f t="array" ref="N5">MIN(IF($AG$13:$AG$9563=I1,IF(ISNUMBER($N$13:$N$9563),IF($N$13:$N$9563&gt;0,$N$13:$N$9563))))</f>
        <v>34.400000005261973</v>
      </c>
      <c r="O5" s="3">
        <f t="array" ref="O5">MAX(IF($AG$13:$AG$9563=I1,IF(ISNUMBER($N$13:$N$9563),IF($N$13:$N$9563&gt;0,$N$13:$N$9563))))</f>
        <v>44.16666666045785</v>
      </c>
      <c r="P5" s="2"/>
      <c r="R5" s="162" t="s">
        <v>17</v>
      </c>
      <c r="S5" s="206">
        <f>COUNTIFS($N$13:$N$9563,"&gt;0",$AG$13:$AG$9563,R1)</f>
        <v>48</v>
      </c>
      <c r="T5" s="171"/>
      <c r="U5" s="194"/>
      <c r="V5" s="210">
        <f>AVERAGEIFS($N$13:$N$9563,$AG$13:$AG$9563,R1)</f>
        <v>13.71458333429473</v>
      </c>
      <c r="W5" s="211">
        <f t="array" ref="W5">MIN(IF($AG$13:$AG$9563=R1,IF(ISNUMBER($N$13:$N$9563),IF($N$13:$N$9563&gt;0,$N$13:$N$9563))))</f>
        <v>10.866666660876945</v>
      </c>
      <c r="X5" s="199">
        <f t="array" ref="X5">MAX(IF($AG$13:$AG$9563=R1,IF(ISNUMBER($N$13:$N$9563),IF($N$13:$N$9563&gt;0,$N$13:$N$9563))))</f>
        <v>16.316666667116806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COUNT($O$13:$O$321)</f>
        <v>0</v>
      </c>
      <c r="K6" s="39"/>
      <c r="L6" s="171"/>
      <c r="M6" s="40">
        <f>IFERROR(AVERAGE($O$13:$O$321),0)</f>
        <v>0</v>
      </c>
      <c r="N6" s="38">
        <f>MIN($O$13:$O$321)</f>
        <v>0</v>
      </c>
      <c r="O6" s="3">
        <f>MAX($O$13:$O$321)</f>
        <v>0</v>
      </c>
      <c r="P6" s="2"/>
      <c r="R6" s="163" t="s">
        <v>43</v>
      </c>
      <c r="S6" s="206">
        <f>COUNT($O$13:$O$321)</f>
        <v>0</v>
      </c>
      <c r="T6" s="171"/>
      <c r="U6" s="194"/>
      <c r="V6" s="210">
        <f>IFERROR(AVERAGE($O$13:$O$321),0)</f>
        <v>0</v>
      </c>
      <c r="W6" s="211">
        <f>MIN($O$13:$O$321)</f>
        <v>0</v>
      </c>
      <c r="X6" s="199">
        <f>MAX($O$13:$O$321)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COUNTIFS($P$13:$P$9563,"&gt;0",$AG$13:$AG$9563,I1)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COUNTIFS($P$13:$P$9563,"&gt;0",$AG$13:$AG$9563,R1)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37.088770686049372</v>
      </c>
      <c r="N8" s="38">
        <f>N5</f>
        <v>34.400000005261973</v>
      </c>
      <c r="O8" s="3">
        <f>O5</f>
        <v>44.16666666045785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13.71458333429473</v>
      </c>
      <c r="W8" s="211">
        <f>W5</f>
        <v>10.866666660876945</v>
      </c>
      <c r="X8" s="199">
        <f>X5</f>
        <v>16.316666667116806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- 2017-12-18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AVERAGE(S13:S129)</f>
        <v>0.99637681159420288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686</v>
      </c>
      <c r="B13" s="7">
        <v>4052</v>
      </c>
      <c r="C13" s="21" t="s">
        <v>192</v>
      </c>
      <c r="D13" s="21" t="s">
        <v>895</v>
      </c>
      <c r="E13" s="13">
        <v>43087.128287037034</v>
      </c>
      <c r="F13" s="13">
        <v>43087.135682870372</v>
      </c>
      <c r="G13" s="7">
        <v>77</v>
      </c>
      <c r="H13" s="21" t="s">
        <v>896</v>
      </c>
      <c r="I13" s="13">
        <v>43087.160416666666</v>
      </c>
      <c r="J13" s="7">
        <v>0</v>
      </c>
      <c r="K13" s="89" t="str">
        <f t="shared" ref="K13:K76" si="0">IF(ISEVEN(B13),(B13-1)&amp;"/"&amp;B13,B13&amp;"/"&amp;(B13+1))</f>
        <v>4051/4052</v>
      </c>
      <c r="L13" s="184" t="str">
        <f>VLOOKUP(A13,'Trips&amp;Operators'!$C$1:$G$99911,5,FALSE)</f>
        <v>THOMPSON LESTER</v>
      </c>
      <c r="M13" s="6">
        <f t="shared" ref="M13:M44" si="1">I13-F13</f>
        <v>2.4733796293730848E-2</v>
      </c>
      <c r="N13" s="7">
        <f>24*60*SUM($M13:$M13)</f>
        <v>35.61666666297242</v>
      </c>
      <c r="O13" s="7"/>
      <c r="P13" s="7"/>
      <c r="Q13" s="22"/>
      <c r="R13" s="166"/>
      <c r="S13" s="249">
        <f t="shared" ref="S13:S47" si="2">1/IF(AG13="EC",12,1)*SUM(U13:U13)</f>
        <v>1</v>
      </c>
      <c r="T13" s="173" t="str">
        <f t="shared" ref="T13:T76" si="3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-18T02:04:44-0700',mode:absolute,to:'2017-12-18T04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203" t="str">
        <f>IF(AA13&lt;VLOOKUP(AG13,Variables!$AC$3:$AD$8,2,FALSE),"Y","N")</f>
        <v>N</v>
      </c>
      <c r="X13" s="203" t="e">
        <f t="shared" ref="X13:X44" si="5">VALUE(LEFT(AD13,4))-VALUE(LEFT(AD12,4))</f>
        <v>#VALUE!</v>
      </c>
      <c r="Y13" s="203">
        <f t="shared" ref="Y13:Y48" si="6">RIGHT(D13,LEN(D13)-4)/10000</f>
        <v>7.5200000000000003E-2</v>
      </c>
      <c r="Z13" s="203">
        <f t="shared" ref="Z13:Z47" si="7">RIGHT(H13,LEN(H13)-4)/10000</f>
        <v>23.3245</v>
      </c>
      <c r="AA13" s="203">
        <f t="shared" ref="AA13:AA76" si="8">ABS(Z13-Y13)</f>
        <v>23.249300000000002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/stypes="app*4052*20171218*"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4052 --swversion DE.1.0.9.0 --startMP 204:752 --initTime 2017-12-18T03:04:44 --startdatetime 2017-12-18T03:15:23 --delay 77 --endMP 204:233245 --enddatetime 2017-12-18T03:51:00 --enforcementcount 0 &gt;&gt;%USERPROFILE%\Documents\GitHub\eaglep3-reporting\EC\2017-12-18-refined-times.txt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{"issue":{"subject":"","project_id":79,"tracker_id":40,"status_id":1,"priority_id":2,"assigned_to_id":338,"start_date":"2017-12-18","description":"","custom_fields":[{"id":1,"name":"Subdivision","value":"EC"},{"id":4,"name":"Milepost","value":"23.3245"},{"id":17,"name":"Train ID","value":"101-18"},{"id":16,"name":"Locomotive ID","value":"4052"},{"id":130,"name":"Impact","value":""},{"id":150,"name":"Time of Event (Mountain Time)","value":"03:51:00"},{"id":151,"name":"Denver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5">"start /low /b "&amp;dls3logs&amp;" --loco "&amp;B13&amp;" --day "&amp;TEXT(F13,"YYYY-MM-DD")</f>
        <v>start /low /b %USERPROFILE%\Documents\GitHub\eaglep3\Utilities\DownloadLogsFromS3.py --loco 4052 --day 2017-12-18</v>
      </c>
      <c r="AN13" s="150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-18T02:04:44-0700',mode:absolute,to:'2017-12-18T04:51:00-0700'))&amp;_a=(columns:!('Message%20ID',Summary),filters:!(),index:'emp_*',interval:auto,query:(query_string:(analyze_wildcard:!t,query:'%22rtdc.l.rtdc.4052%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662</v>
      </c>
      <c r="B14" s="225">
        <v>4051</v>
      </c>
      <c r="C14" s="227" t="s">
        <v>192</v>
      </c>
      <c r="D14" s="227" t="s">
        <v>566</v>
      </c>
      <c r="E14" s="226">
        <v>43087.173460648148</v>
      </c>
      <c r="F14" s="226">
        <v>43087.175219907411</v>
      </c>
      <c r="G14" s="225">
        <v>69</v>
      </c>
      <c r="H14" s="227" t="s">
        <v>511</v>
      </c>
      <c r="I14" s="226">
        <v>43087.205891203703</v>
      </c>
      <c r="J14" s="225">
        <v>0</v>
      </c>
      <c r="K14" s="237" t="str">
        <f t="shared" si="0"/>
        <v>4051/4052</v>
      </c>
      <c r="L14" s="245" t="str">
        <f>VLOOKUP(A14,'Trips&amp;Operators'!$C$1:$G$99911,5,FALSE)</f>
        <v>THOMPSON LESTER</v>
      </c>
      <c r="M14" s="224">
        <f t="shared" si="1"/>
        <v>3.0671296291984618E-2</v>
      </c>
      <c r="N14" s="225">
        <f>24*60*SUM($M14:$M14)</f>
        <v>44.16666666045785</v>
      </c>
      <c r="O14" s="225"/>
      <c r="P14" s="225"/>
      <c r="Q14" s="228"/>
      <c r="R14" s="242" t="s">
        <v>1079</v>
      </c>
      <c r="S14" s="249">
        <f t="shared" si="2"/>
        <v>1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-18T03:09:47-0700',mode:absolute,to:'2017-12-18T05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" s="247" t="str">
        <f>IF(AA14&lt;VLOOKUP(AG14,Variables!$AC$3:$AD$8,2,FALSE),"Y","N")</f>
        <v>N</v>
      </c>
      <c r="X14" s="247">
        <f t="shared" si="5"/>
        <v>1</v>
      </c>
      <c r="Y14" s="247">
        <f t="shared" si="6"/>
        <v>23.295300000000001</v>
      </c>
      <c r="Z14" s="247">
        <f t="shared" si="7"/>
        <v>1.89E-2</v>
      </c>
      <c r="AA14" s="247">
        <f t="shared" si="8"/>
        <v>23.276400000000002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9"/>
        <v>102</v>
      </c>
      <c r="AE14" s="235" t="str">
        <f t="shared" si="10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4" s="234" t="str">
        <f t="shared" si="11"/>
        <v>"C:\Program Files (x86)\AstroGrep\AstroGrep.exe" /e /r /s /spath="%USERPROFILE%\AppData\Local\Temp\OnboardLogs" /stypes="app*4051*20171218*" /stext=" 11:.+((SYSTEM_STATE.+slice.+state.+changed )|(ment ac)|(multiple cpu faults)|(system.+state.+changed )|(\[timeout)|(PRM\|1\|D)|(kpr)|(kdp)|(train st.+moving)|(\|lc)|(penalty))"</v>
      </c>
      <c r="AG14" s="244" t="str">
        <f t="shared" si="12"/>
        <v>EC</v>
      </c>
      <c r="AH14" s="236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4051 --swversion DE.1.0.9.0 --startMP 204:232953 --initTime 2017-12-18T04:09:47 --startdatetime 2017-12-18T04:12:19 --delay 69 --endMP 204:189 --enddatetime 2017-12-18T04:56:29 --enforcementcount 0 &gt;&gt;%USERPROFILE%\Documents\GitHub\eaglep3-reporting\EC\2017-12-18-refined-times.txt</v>
      </c>
      <c r="AI14" s="238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{"issue":{"subject":"Wi-MAX data drop followed by wheel slip","project_id":79,"tracker_id":40,"status_id":1,"priority_id":2,"assigned_to_id":338,"start_date":"2017-12-18","description":"","custom_fields":[{"id":1,"name":"Subdivision","value":"EC"},{"id":4,"name":"Milepost","value":"0.0189"},{"id":17,"name":"Train ID","value":"102-18"},{"id":16,"name":"Locomotive ID","value":"4051"},{"id":130,"name":"Impact","value":""},{"id":150,"name":"Time of Event (Mountain Time)","value":"04:56:29"},{"id":151,"name":"Denver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20">"start /low /b "&amp;dls3logs&amp;" --loco "&amp;B14&amp;" --day "&amp;TEXT(F14,"YYYY-MM-DD")</f>
        <v>start /low /b %USERPROFILE%\Documents\GitHub\eaglep3\Utilities\DownloadLogsFromS3.py --loco 4051 --day 2017-12-18</v>
      </c>
      <c r="AN14" s="24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followed by wheel slip","project_id":30,"tracker_id":4,"status_id":1,"priority_id":1,"assigned_to_id":10,"start_date":"2017-12-18","description":"","custom_fields":[{"id":30,"name":"Category","value":"Issue"},{"id":3,"name":"Functional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-18T03:09:47-0700',mode:absolute,to:'2017-12-18T05:56:29-0700'))&amp;_a=(columns:!('Message%20ID',Summary),filters:!(),index:'emp_*',interval:auto,query:(query_string:(analyze_wildcard:!t,query:'%22rtdc.l.rtdc.4051%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660</v>
      </c>
      <c r="B15" s="225">
        <v>4016</v>
      </c>
      <c r="C15" s="227" t="s">
        <v>192</v>
      </c>
      <c r="D15" s="227" t="s">
        <v>544</v>
      </c>
      <c r="E15" s="226">
        <v>43087.151655092595</v>
      </c>
      <c r="F15" s="226">
        <v>43087.156423611108</v>
      </c>
      <c r="G15" s="225">
        <v>90</v>
      </c>
      <c r="H15" s="227" t="s">
        <v>602</v>
      </c>
      <c r="I15" s="226">
        <v>43087.183645833335</v>
      </c>
      <c r="J15" s="225">
        <v>0</v>
      </c>
      <c r="K15" s="237" t="str">
        <f t="shared" si="0"/>
        <v>4015/4016</v>
      </c>
      <c r="L15" s="245" t="str">
        <f>VLOOKUP(A15,'Trips&amp;Operators'!$C$1:$G$99911,5,FALSE)</f>
        <v>STARKS ANGELINA</v>
      </c>
      <c r="M15" s="224">
        <f t="shared" si="1"/>
        <v>2.7222222226555459E-2</v>
      </c>
      <c r="N15" s="225">
        <f>24*60*SUM($M15:$M15)</f>
        <v>39.200000006239861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-18T02:38:23-0700',mode:absolute,to:'2017-12-18T05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47" t="str">
        <f>IF(AA15&lt;VLOOKUP(AG15,Variables!$AC$3:$AD$8,2,FALSE),"Y","N")</f>
        <v>N</v>
      </c>
      <c r="X15" s="247">
        <f t="shared" si="5"/>
        <v>1</v>
      </c>
      <c r="Y15" s="247">
        <f t="shared" si="6"/>
        <v>4.5699999999999998E-2</v>
      </c>
      <c r="Z15" s="247">
        <f t="shared" si="7"/>
        <v>23.328900000000001</v>
      </c>
      <c r="AA15" s="247">
        <f t="shared" si="8"/>
        <v>23.283200000000001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9"/>
        <v>103</v>
      </c>
      <c r="AE15" s="235" t="str">
        <f t="shared" si="10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5" s="234" t="str">
        <f t="shared" si="11"/>
        <v>"C:\Program Files (x86)\AstroGrep\AstroGrep.exe" /e /r /s /spath="%USERPROFILE%\AppData\Local\Temp\OnboardLogs" /stypes="app*4016*20171218*" /stext=" 11:.+((SYSTEM_STATE.+slice.+state.+changed )|(ment ac)|(multiple cpu faults)|(system.+state.+changed )|(\[timeout)|(PRM\|1\|D)|(kpr)|(kdp)|(train st.+moving)|(\|lc)|(penalty))"</v>
      </c>
      <c r="AG15" s="244" t="str">
        <f t="shared" si="12"/>
        <v>EC</v>
      </c>
      <c r="AH15" s="236" t="str">
        <f t="shared" si="18"/>
        <v>"%USERPROFILE%\Documents\GitHub\eaglep3\Utilities\RefineRTDCRunTimes.py" --tripid 103-18 --locoid 4016 --swversion DE.1.0.9.0 --startMP 204:457 --initTime 2017-12-18T03:38:23 --startdatetime 2017-12-18T03:45:15 --delay 90 --endMP 204:233289 --enddatetime 2017-12-18T04:24:27 --enforcementcount 0 &gt;&gt;%USERPROFILE%\Documents\GitHub\eaglep3-reporting\EC\2017-12-18-refined-times.txt</v>
      </c>
      <c r="AI1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{"issue":{"subject":"","project_id":79,"tracker_id":40,"status_id":1,"priority_id":2,"assigned_to_id":338,"start_date":"2017-12-18","description":"","custom_fields":[{"id":1,"name":"Subdivision","value":"EC"},{"id":4,"name":"Milepost","value":"23.3289"},{"id":17,"name":"Train ID","value":"103-18"},{"id":16,"name":"Locomotive ID","value":"4016"},{"id":130,"name":"Impact","value":""},{"id":150,"name":"Time of Event (Mountain Time)","value":"04:24:27"},{"id":151,"name":"Denver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0"/>
        <v>start /low /b %USERPROFILE%\Documents\GitHub\eaglep3\Utilities\DownloadLogsFromS3.py --loco 4016 --day 2017-12-18</v>
      </c>
      <c r="AN1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2"/>
        <v>https://d0f6bd738d7f1b3e5a7ca70fe4ff75f0.us-east-1.aws.found.io/app/kibana#/discover/Steve-Slow-Train-Analysis-(2080s-and-2083s)?_g=(refreshInterval:(display:Off,pause:!f,section:0,value:0),time:(from:'2017-12-18T02:38:23-0700',mode:absolute,to:'2017-12-18T05:24:27-0700'))&amp;_a=(columns:!('Message%20ID',Summary),filters:!(),index:'emp_*',interval:auto,query:(query_string:(analyze_wildcard:!t,query:'%22rtdc.l.rtdc.4016%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696</v>
      </c>
      <c r="B16" s="225">
        <v>4015</v>
      </c>
      <c r="C16" s="227" t="s">
        <v>192</v>
      </c>
      <c r="D16" s="227" t="s">
        <v>600</v>
      </c>
      <c r="E16" s="226">
        <v>43087.19226851852</v>
      </c>
      <c r="F16" s="226">
        <v>43087.196087962962</v>
      </c>
      <c r="G16" s="225">
        <v>64</v>
      </c>
      <c r="H16" s="227" t="s">
        <v>897</v>
      </c>
      <c r="I16" s="226">
        <v>43087.223124999997</v>
      </c>
      <c r="J16" s="225">
        <v>0</v>
      </c>
      <c r="K16" s="237" t="str">
        <f t="shared" si="0"/>
        <v>4015/4016</v>
      </c>
      <c r="L16" s="245" t="str">
        <f>VLOOKUP(A16,'Trips&amp;Operators'!$C$1:$G$99911,5,FALSE)</f>
        <v>STARKS ANGELINA</v>
      </c>
      <c r="M16" s="224">
        <f t="shared" si="1"/>
        <v>2.7037037034460809E-2</v>
      </c>
      <c r="N16" s="225">
        <f>24*60*SUM($M16:$M16)</f>
        <v>38.933333329623565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-18T03:36:52-0700',mode:absolute,to:'2017-12-18T06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47" t="str">
        <f>IF(AA16&lt;VLOOKUP(AG16,Variables!$AC$3:$AD$8,2,FALSE),"Y","N")</f>
        <v>N</v>
      </c>
      <c r="X16" s="247">
        <f t="shared" si="5"/>
        <v>1</v>
      </c>
      <c r="Y16" s="247">
        <f t="shared" si="6"/>
        <v>23.299600000000002</v>
      </c>
      <c r="Z16" s="247">
        <f t="shared" si="7"/>
        <v>1.3599999999999999E-2</v>
      </c>
      <c r="AA16" s="247">
        <f t="shared" si="8"/>
        <v>23.286000000000001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9"/>
        <v>104</v>
      </c>
      <c r="AE16" s="235" t="str">
        <f t="shared" si="10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6" s="234" t="str">
        <f t="shared" si="11"/>
        <v>"C:\Program Files (x86)\AstroGrep\AstroGrep.exe" /e /r /s /spath="%USERPROFILE%\AppData\Local\Temp\OnboardLogs" /stypes="app*4015*20171218*" /stext=" 12:.+((SYSTEM_STATE.+slice.+state.+changed )|(ment ac)|(multiple cpu faults)|(system.+state.+changed )|(\[timeout)|(PRM\|1\|D)|(kpr)|(kdp)|(train st.+moving)|(\|lc)|(penalty))"</v>
      </c>
      <c r="AG16" s="244" t="str">
        <f t="shared" si="12"/>
        <v>EC</v>
      </c>
      <c r="AH16" s="236" t="str">
        <f t="shared" si="18"/>
        <v>"%USERPROFILE%\Documents\GitHub\eaglep3\Utilities\RefineRTDCRunTimes.py" --tripid 104-18 --locoid 4015 --swversion DE.1.0.9.0 --startMP 204:232996 --initTime 2017-12-18T04:36:52 --startdatetime 2017-12-18T04:42:22 --delay 64 --endMP 204:136 --enddatetime 2017-12-18T05:21:18 --enforcementcount 0 &gt;&gt;%USERPROFILE%\Documents\GitHub\eaglep3-reporting\EC\2017-12-18-refined-times.txt</v>
      </c>
      <c r="AI1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{"issue":{"subject":"","project_id":79,"tracker_id":40,"status_id":1,"priority_id":2,"assigned_to_id":338,"start_date":"2017-12-18","description":"","custom_fields":[{"id":1,"name":"Subdivision","value":"EC"},{"id":4,"name":"Milepost","value":"0.0136"},{"id":17,"name":"Train ID","value":"104-18"},{"id":16,"name":"Locomotive ID","value":"4015"},{"id":130,"name":"Impact","value":""},{"id":150,"name":"Time of Event (Mountain Time)","value":"05:21:18"},{"id":151,"name":"Denver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0"/>
        <v>start /low /b %USERPROFILE%\Documents\GitHub\eaglep3\Utilities\DownloadLogsFromS3.py --loco 4015 --day 2017-12-18</v>
      </c>
      <c r="AN1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2"/>
        <v>https://d0f6bd738d7f1b3e5a7ca70fe4ff75f0.us-east-1.aws.found.io/app/kibana#/discover/Steve-Slow-Train-Analysis-(2080s-and-2083s)?_g=(refreshInterval:(display:Off,pause:!f,section:0,value:0),time:(from:'2017-12-18T03:36:52-0700',mode:absolute,to:'2017-12-18T06:21:18-0700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661</v>
      </c>
      <c r="B17" s="225">
        <v>4034</v>
      </c>
      <c r="C17" s="227" t="s">
        <v>192</v>
      </c>
      <c r="D17" s="227" t="s">
        <v>507</v>
      </c>
      <c r="E17" s="226">
        <v>43087.161168981482</v>
      </c>
      <c r="F17" s="226">
        <v>43087.177268518521</v>
      </c>
      <c r="G17" s="225">
        <v>63</v>
      </c>
      <c r="H17" s="227" t="s">
        <v>898</v>
      </c>
      <c r="I17" s="226">
        <v>43087.189976851849</v>
      </c>
      <c r="J17" s="225">
        <v>0</v>
      </c>
      <c r="K17" s="237" t="str">
        <f t="shared" si="0"/>
        <v>4033/4034</v>
      </c>
      <c r="L17" s="245" t="str">
        <f>VLOOKUP(A17,'Trips&amp;Operators'!$C$1:$G$99911,5,FALSE)</f>
        <v>YORK EDGAR</v>
      </c>
      <c r="M17" s="224">
        <f t="shared" si="1"/>
        <v>1.2708333328191657E-2</v>
      </c>
      <c r="N17" s="225"/>
      <c r="O17" s="225"/>
      <c r="P17" s="225">
        <f>24*60*SUM($M17:$M17)</f>
        <v>18.299999992595986</v>
      </c>
      <c r="Q17" s="228"/>
      <c r="R17" s="242" t="s">
        <v>470</v>
      </c>
      <c r="S17" s="249">
        <f t="shared" si="2"/>
        <v>0.83333333333333326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10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-18T02:52:05-0700',mode:absolute,to:'2017-12-18T05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" s="247" t="str">
        <f>IF(AA17&lt;VLOOKUP(AG17,Variables!$AC$3:$AD$8,2,FALSE),"Y","N")</f>
        <v>Y</v>
      </c>
      <c r="X17" s="247">
        <f t="shared" si="5"/>
        <v>1</v>
      </c>
      <c r="Y17" s="247">
        <f t="shared" si="6"/>
        <v>4.4200000000000003E-2</v>
      </c>
      <c r="Z17" s="247">
        <f t="shared" si="7"/>
        <v>9.6326999999999998</v>
      </c>
      <c r="AA17" s="247">
        <f t="shared" si="8"/>
        <v>9.5884999999999998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9"/>
        <v>105</v>
      </c>
      <c r="AE17" s="235" t="str">
        <f t="shared" si="10"/>
        <v>aws s3 cp s3://rtdc.mdm.uploadarchive.raw/RTDC4034/ "%USERPROFILE%\AppData\Local\Temp\OnboardLogs"\RTDC4034\2017-12-18 --exclude "*" --recursive --include "*20171218*" &amp; "%USERPROFILE%\Documents\GitHub\mrs-test-scripts\Headless Mode &amp; Sideloading\WalkAndUnGZ.bat" "%USERPROFILE%\AppData\Local\Temp\OnboardLogs"\RTDC4034\2017-12-18 &amp; aws s3 cp s3://rtdc.mdm.uploadarchive.raw/RTDC4034/ "%USERPROFILE%\AppData\Local\Temp\OnboardLogs"\RTDC4034\2017-12-19 --exclude "*" --recursive --include "*20171219*" &amp; "%USERPROFILE%\Documents\GitHub\mrs-test-scripts\Headless Mode &amp; Sideloading\WalkAndUnGZ.bat" "%USERPROFILE%\AppData\Local\Temp\OnboardLogs"\RTDC4034\2017-12-19</v>
      </c>
      <c r="AF17" s="234" t="str">
        <f t="shared" si="11"/>
        <v>"C:\Program Files (x86)\AstroGrep\AstroGrep.exe" /e /r /s /spath="%USERPROFILE%\AppData\Local\Temp\OnboardLogs" /stypes="app*4034*20171218*" /stext=" 11:.+((SYSTEM_STATE.+slice.+state.+changed )|(ment ac)|(multiple cpu faults)|(system.+state.+changed )|(\[timeout)|(PRM\|1\|D)|(kpr)|(kdp)|(train st.+moving)|(\|lc)|(penalty))"</v>
      </c>
      <c r="AG17" s="244" t="str">
        <f t="shared" si="12"/>
        <v>EC</v>
      </c>
      <c r="AH17" s="236" t="str">
        <f t="shared" si="18"/>
        <v>"%USERPROFILE%\Documents\GitHub\eaglep3\Utilities\RefineRTDCRunTimes.py" --tripid 105-18 --locoid 4034 --swversion DE.1.0.9.0 --startMP 204:442 --initTime 2017-12-18T03:52:05 --startdatetime 2017-12-18T04:15:16 --delay 63 --endMP 204:96327 --enddatetime 2017-12-18T04:33:34 --enforcementcount 0 &gt;&gt;%USERPROFILE%\Documents\GitHub\eaglep3-reporting\EC\2017-12-18-refined-times.txt</v>
      </c>
      <c r="AI17" s="238" t="str">
        <f t="shared" si="19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drop","project_id":79,"tracker_id":40,"status_id":1,"priority_id":2,"assigned_to_id":338,"start_date":"2017-12-18","description":"","custom_fields":[{"id":1,"name":"Subdivision","value":"EC"},{"id":4,"name":"Milepost","value":"9.6327"},{"id":17,"name":"Train ID","value":"105-18"},{"id":16,"name":"Locomotive ID","value":"4034"},{"id":130,"name":"Impact","value":""},{"id":150,"name":"Time of Event (Mountain Time)","value":"04:33:34"},{"id":151,"name":"Denver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0"/>
        <v>start /low /b %USERPROFILE%\Documents\GitHub\eaglep3\Utilities\DownloadLogsFromS3.py --loco 4034 --day 2017-12-18</v>
      </c>
      <c r="AN17" s="241" t="str">
        <f t="shared" si="21"/>
        <v>echo {"issue":{"subject":"Wi-MAX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2"/>
        <v>https://d0f6bd738d7f1b3e5a7ca70fe4ff75f0.us-east-1.aws.found.io/app/kibana#/discover/Steve-Slow-Train-Analysis-(2080s-and-2083s)?_g=(refreshInterval:(display:Off,pause:!f,section:0,value:0),time:(from:'2017-12-18T02:52:05-0700',mode:absolute,to:'2017-12-18T05:33:34-0700'))&amp;_a=(columns:!('Message%20ID',Summary),filters:!(),index:'emp_*',interval:auto,query:(query_string:(analyze_wildcard:!t,query:'%22rtdc.l.rtdc.4034%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663</v>
      </c>
      <c r="B18" s="225">
        <v>4033</v>
      </c>
      <c r="C18" s="227" t="s">
        <v>192</v>
      </c>
      <c r="D18" s="227" t="s">
        <v>551</v>
      </c>
      <c r="E18" s="226">
        <v>43087.203738425924</v>
      </c>
      <c r="F18" s="226">
        <v>43087.217129629629</v>
      </c>
      <c r="G18" s="225">
        <v>44</v>
      </c>
      <c r="H18" s="227" t="s">
        <v>899</v>
      </c>
      <c r="I18" s="226">
        <v>43087.242824074077</v>
      </c>
      <c r="J18" s="225">
        <v>0</v>
      </c>
      <c r="K18" s="237" t="str">
        <f t="shared" si="0"/>
        <v>4033/4034</v>
      </c>
      <c r="L18" s="245" t="str">
        <f>VLOOKUP(A18,'Trips&amp;Operators'!$C$1:$G$99911,5,FALSE)</f>
        <v>YORK EDGAR</v>
      </c>
      <c r="M18" s="224">
        <f t="shared" si="1"/>
        <v>2.5694444448163267E-2</v>
      </c>
      <c r="N18" s="225">
        <f t="shared" ref="N18:N47" si="23">24*60*SUM($M18:$M18)</f>
        <v>37.000000005355105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-18T03:53:23-0700',mode:absolute,to:'2017-12-18T06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" s="247" t="str">
        <f>IF(AA18&lt;VLOOKUP(AG18,Variables!$AC$3:$AD$8,2,FALSE),"Y","N")</f>
        <v>N</v>
      </c>
      <c r="X18" s="247">
        <f t="shared" si="5"/>
        <v>1</v>
      </c>
      <c r="Y18" s="247">
        <f t="shared" si="6"/>
        <v>23.297499999999999</v>
      </c>
      <c r="Z18" s="247">
        <f t="shared" si="7"/>
        <v>9.4700000000000006E-2</v>
      </c>
      <c r="AA18" s="247">
        <f t="shared" si="8"/>
        <v>23.2028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9"/>
        <v>106</v>
      </c>
      <c r="AE18" s="235" t="str">
        <f t="shared" si="10"/>
        <v>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 &amp; aws s3 cp s3://rtdc.mdm.uploadarchive.raw/RTDC4033/ "%USERPROFILE%\AppData\Local\Temp\OnboardLogs"\RTDC4033\2017-12-19 --exclude "*" --recursive --include "*20171219*" &amp; "%USERPROFILE%\Documents\GitHub\mrs-test-scripts\Headless Mode &amp; Sideloading\WalkAndUnGZ.bat" "%USERPROFILE%\AppData\Local\Temp\OnboardLogs"\RTDC4033\2017-12-19</v>
      </c>
      <c r="AF18" s="234" t="str">
        <f t="shared" si="11"/>
        <v>"C:\Program Files (x86)\AstroGrep\AstroGrep.exe" /e /r /s /spath="%USERPROFILE%\AppData\Local\Temp\OnboardLogs" /stypes="app*4033*20171218*" /stext=" 12:.+((SYSTEM_STATE.+slice.+state.+changed )|(ment ac)|(multiple cpu faults)|(system.+state.+changed )|(\[timeout)|(PRM\|1\|D)|(kpr)|(kdp)|(train st.+moving)|(\|lc)|(penalty))"</v>
      </c>
      <c r="AG18" s="244" t="str">
        <f t="shared" si="12"/>
        <v>EC</v>
      </c>
      <c r="AH18" s="236" t="str">
        <f t="shared" si="18"/>
        <v>"%USERPROFILE%\Documents\GitHub\eaglep3\Utilities\RefineRTDCRunTimes.py" --tripid 106-18 --locoid 4033 --swversion DE.1.0.9.0 --startMP 204:232975 --initTime 2017-12-18T04:53:23 --startdatetime 2017-12-18T05:12:40 --delay 44 --endMP 204:947 --enddatetime 2017-12-18T05:49:40 --enforcementcount 0 &gt;&gt;%USERPROFILE%\Documents\GitHub\eaglep3-reporting\EC\2017-12-18-refined-times.txt</v>
      </c>
      <c r="AI1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{"issue":{"subject":"","project_id":79,"tracker_id":40,"status_id":1,"priority_id":2,"assigned_to_id":338,"start_date":"2017-12-18","description":"","custom_fields":[{"id":1,"name":"Subdivision","value":"EC"},{"id":4,"name":"Milepost","value":"0.0947"},{"id":17,"name":"Train ID","value":"106-18"},{"id":16,"name":"Locomotive ID","value":"4033"},{"id":130,"name":"Impact","value":""},{"id":150,"name":"Time of Event (Mountain Time)","value":"05:49:40"},{"id":151,"name":"Denver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0"/>
        <v>start /low /b %USERPROFILE%\Documents\GitHub\eaglep3\Utilities\DownloadLogsFromS3.py --loco 4033 --day 2017-12-18</v>
      </c>
      <c r="AN1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2"/>
        <v>https://d0f6bd738d7f1b3e5a7ca70fe4ff75f0.us-east-1.aws.found.io/app/kibana#/discover/Steve-Slow-Train-Analysis-(2080s-and-2083s)?_g=(refreshInterval:(display:Off,pause:!f,section:0,value:0),time:(from:'2017-12-18T03:53:23-0700',mode:absolute,to:'2017-12-18T06:49:40-0700'))&amp;_a=(columns:!('Message%20ID',Summary),filters:!(),index:'emp_*',interval:auto,query:(query_string:(analyze_wildcard:!t,query:'%22rtdc.l.rtdc.4033%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694</v>
      </c>
      <c r="B19" s="225">
        <v>4044</v>
      </c>
      <c r="C19" s="227" t="s">
        <v>192</v>
      </c>
      <c r="D19" s="227" t="s">
        <v>544</v>
      </c>
      <c r="E19" s="226">
        <v>43087.183807870373</v>
      </c>
      <c r="F19" s="226">
        <v>43087.187685185185</v>
      </c>
      <c r="G19" s="225">
        <v>73</v>
      </c>
      <c r="H19" s="227" t="s">
        <v>900</v>
      </c>
      <c r="I19" s="226">
        <v>43087.211863425924</v>
      </c>
      <c r="J19" s="225">
        <v>0</v>
      </c>
      <c r="K19" s="237" t="str">
        <f t="shared" si="0"/>
        <v>4043/4044</v>
      </c>
      <c r="L19" s="245" t="str">
        <f>VLOOKUP(A19,'Trips&amp;Operators'!$C$1:$G$99911,5,FALSE)</f>
        <v>DELGADO DIANAH</v>
      </c>
      <c r="M19" s="224">
        <f t="shared" si="1"/>
        <v>2.417824073927477E-2</v>
      </c>
      <c r="N19" s="225">
        <f t="shared" si="23"/>
        <v>34.816666664555669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-18T03:24:41-0700',mode:absolute,to:'2017-12-18T06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47" t="str">
        <f>IF(AA19&lt;VLOOKUP(AG19,Variables!$AC$3:$AD$8,2,FALSE),"Y","N")</f>
        <v>N</v>
      </c>
      <c r="X19" s="247">
        <f t="shared" si="5"/>
        <v>1</v>
      </c>
      <c r="Y19" s="247">
        <f t="shared" si="6"/>
        <v>4.5699999999999998E-2</v>
      </c>
      <c r="Z19" s="247">
        <f t="shared" si="7"/>
        <v>23.331199999999999</v>
      </c>
      <c r="AA19" s="247">
        <f t="shared" si="8"/>
        <v>23.285499999999999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9"/>
        <v>107</v>
      </c>
      <c r="AE19" s="235" t="str">
        <f t="shared" si="10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9" s="234" t="str">
        <f t="shared" si="11"/>
        <v>"C:\Program Files (x86)\AstroGrep\AstroGrep.exe" /e /r /s /spath="%USERPROFILE%\AppData\Local\Temp\OnboardLogs" /stypes="app*4044*20171218*" /stext=" 12:.+((SYSTEM_STATE.+slice.+state.+changed )|(ment ac)|(multiple cpu faults)|(system.+state.+changed )|(\[timeout)|(PRM\|1\|D)|(kpr)|(kdp)|(train st.+moving)|(\|lc)|(penalty))"</v>
      </c>
      <c r="AG19" s="244" t="str">
        <f t="shared" si="12"/>
        <v>EC</v>
      </c>
      <c r="AH19" s="236" t="str">
        <f t="shared" si="18"/>
        <v>"%USERPROFILE%\Documents\GitHub\eaglep3\Utilities\RefineRTDCRunTimes.py" --tripid 107-18 --locoid 4044 --swversion DE.1.0.9.0 --startMP 204:457 --initTime 2017-12-18T04:24:41 --startdatetime 2017-12-18T04:30:16 --delay 73 --endMP 204:233312 --enddatetime 2017-12-18T05:05:05 --enforcementcount 0 &gt;&gt;%USERPROFILE%\Documents\GitHub\eaglep3-reporting\EC\2017-12-18-refined-times.txt</v>
      </c>
      <c r="AI19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{"issue":{"subject":"","project_id":79,"tracker_id":40,"status_id":1,"priority_id":2,"assigned_to_id":338,"start_date":"2017-12-18","description":"","custom_fields":[{"id":1,"name":"Subdivision","value":"EC"},{"id":4,"name":"Milepost","value":"23.3312"},{"id":17,"name":"Train ID","value":"107-18"},{"id":16,"name":"Locomotive ID","value":"4044"},{"id":130,"name":"Impact","value":""},{"id":150,"name":"Time of Event (Mountain Time)","value":"05:05:05"},{"id":151,"name":"Denver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0"/>
        <v>start /low /b %USERPROFILE%\Documents\GitHub\eaglep3\Utilities\DownloadLogsFromS3.py --loco 4044 --day 2017-12-18</v>
      </c>
      <c r="AN19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2"/>
        <v>https://d0f6bd738d7f1b3e5a7ca70fe4ff75f0.us-east-1.aws.found.io/app/kibana#/discover/Steve-Slow-Train-Analysis-(2080s-and-2083s)?_g=(refreshInterval:(display:Off,pause:!f,section:0,value:0),time:(from:'2017-12-18T03:24:41-0700',mode:absolute,to:'2017-12-18T06:05:05-0700'))&amp;_a=(columns:!('Message%20ID',Summary),filters:!(),index:'emp_*',interval:auto,query:(query_string:(analyze_wildcard:!t,query:'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664</v>
      </c>
      <c r="B20" s="225">
        <v>4043</v>
      </c>
      <c r="C20" s="227" t="s">
        <v>192</v>
      </c>
      <c r="D20" s="227" t="s">
        <v>901</v>
      </c>
      <c r="E20" s="226">
        <v>43087.214178240742</v>
      </c>
      <c r="F20" s="226">
        <v>43087.227268518516</v>
      </c>
      <c r="G20" s="225">
        <v>1005</v>
      </c>
      <c r="H20" s="227" t="s">
        <v>612</v>
      </c>
      <c r="I20" s="226">
        <v>43087.254594907405</v>
      </c>
      <c r="J20" s="225">
        <v>0</v>
      </c>
      <c r="K20" s="237" t="str">
        <f t="shared" si="0"/>
        <v>4043/4044</v>
      </c>
      <c r="L20" s="245" t="str">
        <f>VLOOKUP(A20,'Trips&amp;Operators'!$C$1:$G$99911,5,FALSE)</f>
        <v>DELGADO DIANAH</v>
      </c>
      <c r="M20" s="224">
        <f t="shared" si="1"/>
        <v>2.73263888884685E-2</v>
      </c>
      <c r="N20" s="225">
        <f t="shared" si="23"/>
        <v>39.34999999939464</v>
      </c>
      <c r="O20" s="225"/>
      <c r="P20" s="225"/>
      <c r="Q20" s="228"/>
      <c r="R20" s="242"/>
      <c r="S20" s="249">
        <f t="shared" si="2"/>
        <v>1</v>
      </c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-18T04:08:25-0700',mode:absolute,to:'2017-12-18T07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47" t="str">
        <f>IF(AA20&lt;VLOOKUP(AG20,Variables!$AC$3:$AD$8,2,FALSE),"Y","N")</f>
        <v>N</v>
      </c>
      <c r="X20" s="247">
        <f t="shared" si="5"/>
        <v>1</v>
      </c>
      <c r="Y20" s="247">
        <f t="shared" si="6"/>
        <v>23.299800000000001</v>
      </c>
      <c r="Z20" s="247">
        <f t="shared" si="7"/>
        <v>0.02</v>
      </c>
      <c r="AA20" s="247">
        <f t="shared" si="8"/>
        <v>23.279800000000002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9"/>
        <v>108</v>
      </c>
      <c r="AE20" s="235" t="str">
        <f t="shared" si="10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20" s="234" t="str">
        <f t="shared" si="11"/>
        <v>"C:\Program Files (x86)\AstroGrep\AstroGrep.exe" /e /r /s /spath="%USERPROFILE%\AppData\Local\Temp\OnboardLogs" /stypes="app*4043*20171218*" /stext=" 13:.+((SYSTEM_STATE.+slice.+state.+changed )|(ment ac)|(multiple cpu faults)|(system.+state.+changed )|(\[timeout)|(PRM\|1\|D)|(kpr)|(kdp)|(train st.+moving)|(\|lc)|(penalty))"</v>
      </c>
      <c r="AG20" s="244" t="str">
        <f t="shared" si="12"/>
        <v>EC</v>
      </c>
      <c r="AH20" s="236" t="str">
        <f t="shared" si="18"/>
        <v>"%USERPROFILE%\Documents\GitHub\eaglep3\Utilities\RefineRTDCRunTimes.py" --tripid 108-18 --locoid 4043 --swversion DE.1.0.9.0 --startMP 204:232998 --initTime 2017-12-18T05:08:25 --startdatetime 2017-12-18T05:27:16 --delay 1005 --endMP 204:200 --enddatetime 2017-12-18T06:06:37 --enforcementcount 0 &gt;&gt;%USERPROFILE%\Documents\GitHub\eaglep3-reporting\EC\2017-12-18-refined-times.txt</v>
      </c>
      <c r="AI2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{"issue":{"subject":"","project_id":79,"tracker_id":40,"status_id":1,"priority_id":2,"assigned_to_id":338,"start_date":"2017-12-18","description":"","custom_fields":[{"id":1,"name":"Subdivision","value":"EC"},{"id":4,"name":"Milepost","value":"0.02"},{"id":17,"name":"Train ID","value":"108-18"},{"id":16,"name":"Locomotive ID","value":"4043"},{"id":130,"name":"Impact","value":""},{"id":150,"name":"Time of Event (Mountain Time)","value":"06:06:37"},{"id":151,"name":"Denver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0"/>
        <v>start /low /b %USERPROFILE%\Documents\GitHub\eaglep3\Utilities\DownloadLogsFromS3.py --loco 4043 --day 2017-12-18</v>
      </c>
      <c r="AN2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2"/>
        <v>https://d0f6bd738d7f1b3e5a7ca70fe4ff75f0.us-east-1.aws.found.io/app/kibana#/discover/Steve-Slow-Train-Analysis-(2080s-and-2083s)?_g=(refreshInterval:(display:Off,pause:!f,section:0,value:0),time:(from:'2017-12-18T04:08:25-0700',mode:absolute,to:'2017-12-18T07:06:37-0700'))&amp;_a=(columns:!('Message%20ID',Summary),filters:!(),index:'emp_*',interval:auto,query:(query_string:(analyze_wildcard:!t,query:'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695</v>
      </c>
      <c r="B21" s="225">
        <v>4022</v>
      </c>
      <c r="C21" s="227" t="s">
        <v>192</v>
      </c>
      <c r="D21" s="227" t="s">
        <v>501</v>
      </c>
      <c r="E21" s="226">
        <v>43087.192175925928</v>
      </c>
      <c r="F21" s="226">
        <v>43087.198171296295</v>
      </c>
      <c r="G21" s="225">
        <v>59</v>
      </c>
      <c r="H21" s="227" t="s">
        <v>627</v>
      </c>
      <c r="I21" s="226">
        <v>43087.222511574073</v>
      </c>
      <c r="J21" s="225">
        <v>0</v>
      </c>
      <c r="K21" s="237" t="str">
        <f t="shared" si="0"/>
        <v>4021/4022</v>
      </c>
      <c r="L21" s="245" t="str">
        <f>VLOOKUP(A21,'Trips&amp;Operators'!$C$1:$G$99911,5,FALSE)</f>
        <v>MAELZER KURT</v>
      </c>
      <c r="M21" s="224">
        <f t="shared" si="1"/>
        <v>2.4340277777810115E-2</v>
      </c>
      <c r="N21" s="225">
        <f t="shared" si="23"/>
        <v>35.050000000046566</v>
      </c>
      <c r="O21" s="225"/>
      <c r="P21" s="225"/>
      <c r="Q21" s="228"/>
      <c r="R21" s="242"/>
      <c r="S21" s="249">
        <f t="shared" si="2"/>
        <v>1</v>
      </c>
      <c r="T21" s="242" t="str">
        <f t="shared" si="3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-18T03:36:44-0700',mode:absolute,to:'2017-12-18T06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247" t="str">
        <f>IF(AA21&lt;VLOOKUP(AG21,Variables!$AC$3:$AD$8,2,FALSE),"Y","N")</f>
        <v>N</v>
      </c>
      <c r="X21" s="247">
        <f t="shared" si="5"/>
        <v>1</v>
      </c>
      <c r="Y21" s="247">
        <f t="shared" si="6"/>
        <v>5.1299999999999998E-2</v>
      </c>
      <c r="Z21" s="247">
        <f t="shared" si="7"/>
        <v>23.330100000000002</v>
      </c>
      <c r="AA21" s="247">
        <f t="shared" si="8"/>
        <v>23.2788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9"/>
        <v>109</v>
      </c>
      <c r="AE21" s="235" t="str">
        <f t="shared" si="10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21" s="234" t="str">
        <f t="shared" si="11"/>
        <v>"C:\Program Files (x86)\AstroGrep\AstroGrep.exe" /e /r /s /spath="%USERPROFILE%\AppData\Local\Temp\OnboardLogs" /stypes="app*4022*20171218*" /stext=" 12:.+((SYSTEM_STATE.+slice.+state.+changed )|(ment ac)|(multiple cpu faults)|(system.+state.+changed )|(\[timeout)|(PRM\|1\|D)|(kpr)|(kdp)|(train st.+moving)|(\|lc)|(penalty))"</v>
      </c>
      <c r="AG21" s="244" t="str">
        <f t="shared" si="12"/>
        <v>EC</v>
      </c>
      <c r="AH21" s="236" t="str">
        <f t="shared" si="18"/>
        <v>"%USERPROFILE%\Documents\GitHub\eaglep3\Utilities\RefineRTDCRunTimes.py" --tripid 109-18 --locoid 4022 --swversion DE.1.0.9.0 --startMP 204:513 --initTime 2017-12-18T04:36:44 --startdatetime 2017-12-18T04:45:22 --delay 59 --endMP 204:233301 --enddatetime 2017-12-18T05:20:25 --enforcementcount 0 &gt;&gt;%USERPROFILE%\Documents\GitHub\eaglep3-reporting\EC\2017-12-18-refined-times.txt</v>
      </c>
      <c r="AI2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{"issue":{"subject":"","project_id":79,"tracker_id":40,"status_id":1,"priority_id":2,"assigned_to_id":338,"start_date":"2017-12-18","description":"","custom_fields":[{"id":1,"name":"Subdivision","value":"EC"},{"id":4,"name":"Milepost","value":"23.3301"},{"id":17,"name":"Train ID","value":"109-18"},{"id":16,"name":"Locomotive ID","value":"4022"},{"id":130,"name":"Impact","value":""},{"id":150,"name":"Time of Event (Mountain Time)","value":"05:20:25"},{"id":151,"name":"Denver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0"/>
        <v>start /low /b %USERPROFILE%\Documents\GitHub\eaglep3\Utilities\DownloadLogsFromS3.py --loco 4022 --day 2017-12-18</v>
      </c>
      <c r="AN2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2"/>
        <v>https://d0f6bd738d7f1b3e5a7ca70fe4ff75f0.us-east-1.aws.found.io/app/kibana#/discover/Steve-Slow-Train-Analysis-(2080s-and-2083s)?_g=(refreshInterval:(display:Off,pause:!f,section:0,value:0),time:(from:'2017-12-18T03:36:44-0700',mode:absolute,to:'2017-12-18T06:20:25-0700'))&amp;_a=(columns:!('Message%20ID',Summary),filters:!(),index:'emp_*',interval:auto,query:(query_string:(analyze_wildcard:!t,query:'%22rtdc.l.rtdc.4022%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707</v>
      </c>
      <c r="B22" s="225">
        <v>4021</v>
      </c>
      <c r="C22" s="227" t="s">
        <v>192</v>
      </c>
      <c r="D22" s="227" t="s">
        <v>553</v>
      </c>
      <c r="E22" s="226">
        <v>43087.230636574073</v>
      </c>
      <c r="F22" s="226">
        <v>43087.237708333334</v>
      </c>
      <c r="G22" s="225">
        <v>48</v>
      </c>
      <c r="H22" s="227" t="s">
        <v>511</v>
      </c>
      <c r="I22" s="226">
        <v>43087.264039351852</v>
      </c>
      <c r="J22" s="225">
        <v>0</v>
      </c>
      <c r="K22" s="237" t="str">
        <f t="shared" si="0"/>
        <v>4021/4022</v>
      </c>
      <c r="L22" s="245" t="str">
        <f>VLOOKUP(A22,'Trips&amp;Operators'!$C$1:$G$99911,5,FALSE)</f>
        <v>MAELZER KURT</v>
      </c>
      <c r="M22" s="224">
        <f t="shared" si="1"/>
        <v>2.6331018518249039E-2</v>
      </c>
      <c r="N22" s="225">
        <f t="shared" si="23"/>
        <v>37.916666666278616</v>
      </c>
      <c r="O22" s="225"/>
      <c r="P22" s="225"/>
      <c r="Q22" s="228"/>
      <c r="R22" s="242"/>
      <c r="S22" s="249">
        <f t="shared" si="2"/>
        <v>1</v>
      </c>
      <c r="T22" s="242" t="str">
        <f t="shared" si="3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-18T04:32:07-0700',mode:absolute,to:'2017-12-18T07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247" t="str">
        <f>IF(AA22&lt;VLOOKUP(AG22,Variables!$AC$3:$AD$8,2,FALSE),"Y","N")</f>
        <v>N</v>
      </c>
      <c r="X22" s="247">
        <f t="shared" si="5"/>
        <v>1</v>
      </c>
      <c r="Y22" s="247">
        <f t="shared" si="6"/>
        <v>23.298400000000001</v>
      </c>
      <c r="Z22" s="247">
        <f t="shared" si="7"/>
        <v>1.89E-2</v>
      </c>
      <c r="AA22" s="247">
        <f t="shared" si="8"/>
        <v>23.279500000000002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9"/>
        <v>110</v>
      </c>
      <c r="AE22" s="235" t="str">
        <f t="shared" si="10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22" s="234" t="str">
        <f t="shared" si="11"/>
        <v>"C:\Program Files (x86)\AstroGrep\AstroGrep.exe" /e /r /s /spath="%USERPROFILE%\AppData\Local\Temp\OnboardLogs" /stypes="app*4021*20171218*" /stext=" 13:.+((SYSTEM_STATE.+slice.+state.+changed )|(ment ac)|(multiple cpu faults)|(system.+state.+changed )|(\[timeout)|(PRM\|1\|D)|(kpr)|(kdp)|(train st.+moving)|(\|lc)|(penalty))"</v>
      </c>
      <c r="AG22" s="244" t="str">
        <f t="shared" si="12"/>
        <v>EC</v>
      </c>
      <c r="AH22" s="236" t="str">
        <f t="shared" si="18"/>
        <v>"%USERPROFILE%\Documents\GitHub\eaglep3\Utilities\RefineRTDCRunTimes.py" --tripid 110-18 --locoid 4021 --swversion DE.1.0.9.0 --startMP 204:232984 --initTime 2017-12-18T05:32:07 --startdatetime 2017-12-18T05:42:18 --delay 48 --endMP 204:189 --enddatetime 2017-12-18T06:20:13 --enforcementcount 0 &gt;&gt;%USERPROFILE%\Documents\GitHub\eaglep3-reporting\EC\2017-12-18-refined-times.txt</v>
      </c>
      <c r="AI2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{"issue":{"subject":"","project_id":79,"tracker_id":40,"status_id":1,"priority_id":2,"assigned_to_id":338,"start_date":"2017-12-18","description":"","custom_fields":[{"id":1,"name":"Subdivision","value":"EC"},{"id":4,"name":"Milepost","value":"0.0189"},{"id":17,"name":"Train ID","value":"110-18"},{"id":16,"name":"Locomotive ID","value":"4021"},{"id":130,"name":"Impact","value":""},{"id":150,"name":"Time of Event (Mountain Time)","value":"06:20:13"},{"id":151,"name":"Denver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0"/>
        <v>start /low /b %USERPROFILE%\Documents\GitHub\eaglep3\Utilities\DownloadLogsFromS3.py --loco 4021 --day 2017-12-18</v>
      </c>
      <c r="AN2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2"/>
        <v>https://d0f6bd738d7f1b3e5a7ca70fe4ff75f0.us-east-1.aws.found.io/app/kibana#/discover/Steve-Slow-Train-Analysis-(2080s-and-2083s)?_g=(refreshInterval:(display:Off,pause:!f,section:0,value:0),time:(from:'2017-12-18T04:32:07-0700',mode:absolute,to:'2017-12-18T07:20:13-0700'))&amp;_a=(columns:!('Message%20ID',Summary),filters:!(),index:'emp_*',interval:auto,query:(query_string:(analyze_wildcard:!t,query:'%22rtdc.l.rtdc.4021%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702</v>
      </c>
      <c r="B23" s="225">
        <v>4052</v>
      </c>
      <c r="C23" s="227" t="s">
        <v>192</v>
      </c>
      <c r="D23" s="227" t="s">
        <v>518</v>
      </c>
      <c r="E23" s="226">
        <v>43087.207442129627</v>
      </c>
      <c r="F23" s="226">
        <v>43087.209398148145</v>
      </c>
      <c r="G23" s="225">
        <v>72</v>
      </c>
      <c r="H23" s="227" t="s">
        <v>617</v>
      </c>
      <c r="I23" s="226">
        <v>43087.235173611109</v>
      </c>
      <c r="J23" s="225">
        <v>0</v>
      </c>
      <c r="K23" s="237" t="str">
        <f t="shared" si="0"/>
        <v>4051/4052</v>
      </c>
      <c r="L23" s="245" t="str">
        <f>VLOOKUP(A23,'Trips&amp;Operators'!$C$1:$G$99911,5,FALSE)</f>
        <v>THOMPSON LESTER</v>
      </c>
      <c r="M23" s="224">
        <f t="shared" si="1"/>
        <v>2.5775462963792961E-2</v>
      </c>
      <c r="N23" s="225">
        <f t="shared" si="23"/>
        <v>37.116666667861864</v>
      </c>
      <c r="O23" s="225"/>
      <c r="P23" s="225"/>
      <c r="Q23" s="228"/>
      <c r="R23" s="242"/>
      <c r="S23" s="249">
        <f t="shared" si="2"/>
        <v>1</v>
      </c>
      <c r="T23" s="242" t="str">
        <f t="shared" si="3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-18T03:58:43-0700',mode:absolute,to:'2017-12-18T06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" s="247" t="str">
        <f>IF(AA23&lt;VLOOKUP(AG23,Variables!$AC$3:$AD$8,2,FALSE),"Y","N")</f>
        <v>N</v>
      </c>
      <c r="X23" s="247">
        <f t="shared" si="5"/>
        <v>1</v>
      </c>
      <c r="Y23" s="247">
        <f t="shared" si="6"/>
        <v>5.0599999999999999E-2</v>
      </c>
      <c r="Z23" s="247">
        <f t="shared" si="7"/>
        <v>23.327400000000001</v>
      </c>
      <c r="AA23" s="247">
        <f t="shared" si="8"/>
        <v>23.276800000000001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9"/>
        <v>111</v>
      </c>
      <c r="AE23" s="235" t="str">
        <f t="shared" si="10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23" s="234" t="str">
        <f t="shared" si="11"/>
        <v>"C:\Program Files (x86)\AstroGrep\AstroGrep.exe" /e /r /s /spath="%USERPROFILE%\AppData\Local\Temp\OnboardLogs" /stypes="app*4052*20171218*" /stext=" 12:.+((SYSTEM_STATE.+slice.+state.+changed )|(ment ac)|(multiple cpu faults)|(system.+state.+changed )|(\[timeout)|(PRM\|1\|D)|(kpr)|(kdp)|(train st.+moving)|(\|lc)|(penalty))"</v>
      </c>
      <c r="AG23" s="244" t="str">
        <f t="shared" si="12"/>
        <v>EC</v>
      </c>
      <c r="AH23" s="236" t="str">
        <f t="shared" si="18"/>
        <v>"%USERPROFILE%\Documents\GitHub\eaglep3\Utilities\RefineRTDCRunTimes.py" --tripid 111-18 --locoid 4052 --swversion DE.1.0.9.0 --startMP 204:506 --initTime 2017-12-18T04:58:43 --startdatetime 2017-12-18T05:01:32 --delay 72 --endMP 204:233274 --enddatetime 2017-12-18T05:38:39 --enforcementcount 0 &gt;&gt;%USERPROFILE%\Documents\GitHub\eaglep3-reporting\EC\2017-12-18-refined-times.txt</v>
      </c>
      <c r="AI2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{"issue":{"subject":"","project_id":79,"tracker_id":40,"status_id":1,"priority_id":2,"assigned_to_id":338,"start_date":"2017-12-18","description":"","custom_fields":[{"id":1,"name":"Subdivision","value":"EC"},{"id":4,"name":"Milepost","value":"23.3274"},{"id":17,"name":"Train ID","value":"111-18"},{"id":16,"name":"Locomotive ID","value":"4052"},{"id":130,"name":"Impact","value":""},{"id":150,"name":"Time of Event (Mountain Time)","value":"05:38:39"},{"id":151,"name":"Denver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0"/>
        <v>start /low /b %USERPROFILE%\Documents\GitHub\eaglep3\Utilities\DownloadLogsFromS3.py --loco 4052 --day 2017-12-18</v>
      </c>
      <c r="AN2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2"/>
        <v>https://d0f6bd738d7f1b3e5a7ca70fe4ff75f0.us-east-1.aws.found.io/app/kibana#/discover/Steve-Slow-Train-Analysis-(2080s-and-2083s)?_g=(refreshInterval:(display:Off,pause:!f,section:0,value:0),time:(from:'2017-12-18T03:58:43-0700',mode:absolute,to:'2017-12-18T06:38:39-0700'))&amp;_a=(columns:!('Message%20ID',Summary),filters:!(),index:'emp_*',interval:auto,query:(query_string:(analyze_wildcard:!t,query:'%22rtdc.l.rtdc.4052%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718</v>
      </c>
      <c r="B24" s="225">
        <v>4051</v>
      </c>
      <c r="C24" s="227" t="s">
        <v>192</v>
      </c>
      <c r="D24" s="227" t="s">
        <v>640</v>
      </c>
      <c r="E24" s="226">
        <v>43087.247013888889</v>
      </c>
      <c r="F24" s="226">
        <v>43087.248437499999</v>
      </c>
      <c r="G24" s="225">
        <v>59</v>
      </c>
      <c r="H24" s="227" t="s">
        <v>540</v>
      </c>
      <c r="I24" s="226">
        <v>43087.275092592594</v>
      </c>
      <c r="J24" s="225">
        <v>0</v>
      </c>
      <c r="K24" s="237" t="str">
        <f t="shared" si="0"/>
        <v>4051/4052</v>
      </c>
      <c r="L24" s="245" t="str">
        <f>VLOOKUP(A24,'Trips&amp;Operators'!$C$1:$G$99911,5,FALSE)</f>
        <v>THOMPSON LESTER</v>
      </c>
      <c r="M24" s="224">
        <f t="shared" si="1"/>
        <v>2.6655092595319729E-2</v>
      </c>
      <c r="N24" s="225">
        <f t="shared" si="23"/>
        <v>38.38333333726041</v>
      </c>
      <c r="O24" s="225"/>
      <c r="P24" s="225"/>
      <c r="Q24" s="228"/>
      <c r="R24" s="242"/>
      <c r="S24" s="249">
        <f t="shared" si="2"/>
        <v>1</v>
      </c>
      <c r="T24" s="242" t="str">
        <f t="shared" si="3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-18T04:55:42-0700',mode:absolute,to:'2017-12-18T07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" s="247" t="str">
        <f>IF(AA24&lt;VLOOKUP(AG24,Variables!$AC$3:$AD$8,2,FALSE),"Y","N")</f>
        <v>N</v>
      </c>
      <c r="X24" s="247">
        <f t="shared" si="5"/>
        <v>1</v>
      </c>
      <c r="Y24" s="247">
        <f t="shared" si="6"/>
        <v>23.294699999999999</v>
      </c>
      <c r="Z24" s="247">
        <f t="shared" si="7"/>
        <v>1.9800000000000002E-2</v>
      </c>
      <c r="AA24" s="247">
        <f t="shared" si="8"/>
        <v>23.274899999999999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9"/>
        <v>112</v>
      </c>
      <c r="AE24" s="235" t="str">
        <f t="shared" si="10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24" s="234" t="str">
        <f t="shared" si="11"/>
        <v>"C:\Program Files (x86)\AstroGrep\AstroGrep.exe" /e /r /s /spath="%USERPROFILE%\AppData\Local\Temp\OnboardLogs" /stypes="app*4051*20171218*" /stext=" 13:.+((SYSTEM_STATE.+slice.+state.+changed )|(ment ac)|(multiple cpu faults)|(system.+state.+changed )|(\[timeout)|(PRM\|1\|D)|(kpr)|(kdp)|(train st.+moving)|(\|lc)|(penalty))"</v>
      </c>
      <c r="AG24" s="244" t="str">
        <f t="shared" si="12"/>
        <v>EC</v>
      </c>
      <c r="AH24" s="236" t="str">
        <f t="shared" si="18"/>
        <v>"%USERPROFILE%\Documents\GitHub\eaglep3\Utilities\RefineRTDCRunTimes.py" --tripid 112-18 --locoid 4051 --swversion DE.1.0.9.0 --startMP 204:232947 --initTime 2017-12-18T05:55:42 --startdatetime 2017-12-18T05:57:45 --delay 59 --endMP 204:198 --enddatetime 2017-12-18T06:36:08 --enforcementcount 0 &gt;&gt;%USERPROFILE%\Documents\GitHub\eaglep3-reporting\EC\2017-12-18-refined-times.txt</v>
      </c>
      <c r="AI2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{"issue":{"subject":"","project_id":79,"tracker_id":40,"status_id":1,"priority_id":2,"assigned_to_id":338,"start_date":"2017-12-18","description":"","custom_fields":[{"id":1,"name":"Subdivision","value":"EC"},{"id":4,"name":"Milepost","value":"0.0198"},{"id":17,"name":"Train ID","value":"112-18"},{"id":16,"name":"Locomotive ID","value":"4051"},{"id":130,"name":"Impact","value":""},{"id":150,"name":"Time of Event (Mountain Time)","value":"06:36:08"},{"id":151,"name":"Denver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0"/>
        <v>start /low /b %USERPROFILE%\Documents\GitHub\eaglep3\Utilities\DownloadLogsFromS3.py --loco 4051 --day 2017-12-18</v>
      </c>
      <c r="AN2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2"/>
        <v>https://d0f6bd738d7f1b3e5a7ca70fe4ff75f0.us-east-1.aws.found.io/app/kibana#/discover/Steve-Slow-Train-Analysis-(2080s-and-2083s)?_g=(refreshInterval:(display:Off,pause:!f,section:0,value:0),time:(from:'2017-12-18T04:55:42-0700',mode:absolute,to:'2017-12-18T07:36:08-0700'))&amp;_a=(columns:!('Message%20ID',Summary),filters:!(),index:'emp_*',interval:auto,query:(query_string:(analyze_wildcard:!t,query:'%22rtdc.l.rtdc.4051%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703</v>
      </c>
      <c r="B25" s="225">
        <v>4050</v>
      </c>
      <c r="C25" s="227" t="s">
        <v>192</v>
      </c>
      <c r="D25" s="227" t="s">
        <v>902</v>
      </c>
      <c r="E25" s="226">
        <v>43087.209907407407</v>
      </c>
      <c r="F25" s="226">
        <v>43087.218981481485</v>
      </c>
      <c r="G25" s="225">
        <v>77</v>
      </c>
      <c r="H25" s="227" t="s">
        <v>639</v>
      </c>
      <c r="I25" s="226">
        <v>43087.245034722226</v>
      </c>
      <c r="J25" s="225">
        <v>0</v>
      </c>
      <c r="K25" s="237" t="str">
        <f t="shared" si="0"/>
        <v>4049/4050</v>
      </c>
      <c r="L25" s="245" t="str">
        <f>VLOOKUP(A25,'Trips&amp;Operators'!$C$1:$G$99911,5,FALSE)</f>
        <v>DAVIDSON DAVID</v>
      </c>
      <c r="M25" s="224">
        <f t="shared" si="1"/>
        <v>2.6053240741021E-2</v>
      </c>
      <c r="N25" s="225">
        <f t="shared" si="23"/>
        <v>37.51666666707024</v>
      </c>
      <c r="O25" s="225"/>
      <c r="P25" s="225"/>
      <c r="Q25" s="228"/>
      <c r="R25" s="242"/>
      <c r="S25" s="249">
        <f t="shared" si="2"/>
        <v>1</v>
      </c>
      <c r="T25" s="242" t="str">
        <f t="shared" si="3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-18T04:02:16-0700',mode:absolute,to:'2017-12-18T06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247" t="str">
        <f>IF(AA25&lt;VLOOKUP(AG25,Variables!$AC$3:$AD$8,2,FALSE),"Y","N")</f>
        <v>N</v>
      </c>
      <c r="X25" s="247">
        <f t="shared" si="5"/>
        <v>1</v>
      </c>
      <c r="Y25" s="247">
        <f t="shared" si="6"/>
        <v>5.2400000000000002E-2</v>
      </c>
      <c r="Z25" s="247">
        <f t="shared" si="7"/>
        <v>23.3264</v>
      </c>
      <c r="AA25" s="247">
        <f t="shared" si="8"/>
        <v>23.274000000000001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9"/>
        <v>113</v>
      </c>
      <c r="AE25" s="235" t="str">
        <f t="shared" si="10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25" s="234" t="str">
        <f t="shared" si="11"/>
        <v>"C:\Program Files (x86)\AstroGrep\AstroGrep.exe" /e /r /s /spath="%USERPROFILE%\AppData\Local\Temp\OnboardLogs" /stypes="app*4050*20171218*" /stext=" 12:.+((SYSTEM_STATE.+slice.+state.+changed )|(ment ac)|(multiple cpu faults)|(system.+state.+changed )|(\[timeout)|(PRM\|1\|D)|(kpr)|(kdp)|(train st.+moving)|(\|lc)|(penalty))"</v>
      </c>
      <c r="AG25" s="244" t="str">
        <f t="shared" si="12"/>
        <v>EC</v>
      </c>
      <c r="AH25" s="236" t="str">
        <f t="shared" si="18"/>
        <v>"%USERPROFILE%\Documents\GitHub\eaglep3\Utilities\RefineRTDCRunTimes.py" --tripid 113-18 --locoid 4050 --swversion DE.1.0.9.0 --startMP 204:524 --initTime 2017-12-18T05:02:16 --startdatetime 2017-12-18T05:15:20 --delay 77 --endMP 204:233264 --enddatetime 2017-12-18T05:52:51 --enforcementcount 0 &gt;&gt;%USERPROFILE%\Documents\GitHub\eaglep3-reporting\EC\2017-12-18-refined-times.txt</v>
      </c>
      <c r="AI2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{"issue":{"subject":"","project_id":79,"tracker_id":40,"status_id":1,"priority_id":2,"assigned_to_id":338,"start_date":"2017-12-18","description":"","custom_fields":[{"id":1,"name":"Subdivision","value":"EC"},{"id":4,"name":"Milepost","value":"23.3264"},{"id":17,"name":"Train ID","value":"113-18"},{"id":16,"name":"Locomotive ID","value":"4050"},{"id":130,"name":"Impact","value":""},{"id":150,"name":"Time of Event (Mountain Time)","value":"05:52:51"},{"id":151,"name":"Denver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0"/>
        <v>start /low /b %USERPROFILE%\Documents\GitHub\eaglep3\Utilities\DownloadLogsFromS3.py --loco 4050 --day 2017-12-18</v>
      </c>
      <c r="AN2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2"/>
        <v>https://d0f6bd738d7f1b3e5a7ca70fe4ff75f0.us-east-1.aws.found.io/app/kibana#/discover/Steve-Slow-Train-Analysis-(2080s-and-2083s)?_g=(refreshInterval:(display:Off,pause:!f,section:0,value:0),time:(from:'2017-12-18T04:02:16-0700',mode:absolute,to:'2017-12-18T06:52:51-0700'))&amp;_a=(columns:!('Message%20ID',Summary),filters:!(),index:'emp_*',interval:auto,query:(query_string:(analyze_wildcard:!t,query:'%22rtdc.l.rtdc.4050%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715</v>
      </c>
      <c r="B26" s="225">
        <v>4049</v>
      </c>
      <c r="C26" s="227" t="s">
        <v>192</v>
      </c>
      <c r="D26" s="227" t="s">
        <v>580</v>
      </c>
      <c r="E26" s="226">
        <v>43087.246562499997</v>
      </c>
      <c r="F26" s="226">
        <v>43087.258530092593</v>
      </c>
      <c r="G26" s="225">
        <v>61</v>
      </c>
      <c r="H26" s="227" t="s">
        <v>903</v>
      </c>
      <c r="I26" s="226">
        <v>43087.285949074074</v>
      </c>
      <c r="J26" s="225">
        <v>0</v>
      </c>
      <c r="K26" s="237" t="str">
        <f t="shared" si="0"/>
        <v>4049/4050</v>
      </c>
      <c r="L26" s="245" t="str">
        <f>VLOOKUP(A26,'Trips&amp;Operators'!$C$1:$G$99911,5,FALSE)</f>
        <v>DAVIDSON DAVID</v>
      </c>
      <c r="M26" s="224">
        <f t="shared" si="1"/>
        <v>2.7418981480877846E-2</v>
      </c>
      <c r="N26" s="225">
        <f t="shared" si="23"/>
        <v>39.483333332464099</v>
      </c>
      <c r="O26" s="225"/>
      <c r="P26" s="225"/>
      <c r="Q26" s="228"/>
      <c r="R26" s="242"/>
      <c r="S26" s="249">
        <f t="shared" si="2"/>
        <v>1</v>
      </c>
      <c r="T26" s="242" t="str">
        <f t="shared" si="3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-18T04:55:03-0700',mode:absolute,to:'2017-12-18T07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247" t="str">
        <f>IF(AA26&lt;VLOOKUP(AG26,Variables!$AC$3:$AD$8,2,FALSE),"Y","N")</f>
        <v>N</v>
      </c>
      <c r="X26" s="247">
        <f t="shared" si="5"/>
        <v>1</v>
      </c>
      <c r="Y26" s="247">
        <f t="shared" si="6"/>
        <v>23.295200000000001</v>
      </c>
      <c r="Z26" s="247">
        <f t="shared" si="7"/>
        <v>2.1399999999999999E-2</v>
      </c>
      <c r="AA26" s="247">
        <f t="shared" si="8"/>
        <v>23.273800000000001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9"/>
        <v>114</v>
      </c>
      <c r="AE26" s="235" t="str">
        <f t="shared" si="10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26" s="234" t="str">
        <f t="shared" si="11"/>
        <v>"C:\Program Files (x86)\AstroGrep\AstroGrep.exe" /e /r /s /spath="%USERPROFILE%\AppData\Local\Temp\OnboardLogs" /stypes="app*4049*20171218*" /stext=" 13:.+((SYSTEM_STATE.+slice.+state.+changed )|(ment ac)|(multiple cpu faults)|(system.+state.+changed )|(\[timeout)|(PRM\|1\|D)|(kpr)|(kdp)|(train st.+moving)|(\|lc)|(penalty))"</v>
      </c>
      <c r="AG26" s="244" t="str">
        <f t="shared" si="12"/>
        <v>EC</v>
      </c>
      <c r="AH26" s="236" t="str">
        <f t="shared" si="18"/>
        <v>"%USERPROFILE%\Documents\GitHub\eaglep3\Utilities\RefineRTDCRunTimes.py" --tripid 114-18 --locoid 4049 --swversion DE.1.0.9.0 --startMP 204:232952 --initTime 2017-12-18T05:55:03 --startdatetime 2017-12-18T06:12:17 --delay 61 --endMP 204:214 --enddatetime 2017-12-18T06:51:46 --enforcementcount 0 &gt;&gt;%USERPROFILE%\Documents\GitHub\eaglep3-reporting\EC\2017-12-18-refined-times.txt</v>
      </c>
      <c r="AI2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{"issue":{"subject":"","project_id":79,"tracker_id":40,"status_id":1,"priority_id":2,"assigned_to_id":338,"start_date":"2017-12-18","description":"","custom_fields":[{"id":1,"name":"Subdivision","value":"EC"},{"id":4,"name":"Milepost","value":"0.0214"},{"id":17,"name":"Train ID","value":"114-18"},{"id":16,"name":"Locomotive ID","value":"4049"},{"id":130,"name":"Impact","value":""},{"id":150,"name":"Time of Event (Mountain Time)","value":"06:51:46"},{"id":151,"name":"Denver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0"/>
        <v>start /low /b %USERPROFILE%\Documents\GitHub\eaglep3\Utilities\DownloadLogsFromS3.py --loco 4049 --day 2017-12-18</v>
      </c>
      <c r="AN2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2"/>
        <v>https://d0f6bd738d7f1b3e5a7ca70fe4ff75f0.us-east-1.aws.found.io/app/kibana#/discover/Steve-Slow-Train-Analysis-(2080s-and-2083s)?_g=(refreshInterval:(display:Off,pause:!f,section:0,value:0),time:(from:'2017-12-18T04:55:03-0700',mode:absolute,to:'2017-12-18T07:51:46-0700'))&amp;_a=(columns:!('Message%20ID',Summary),filters:!(),index:'emp_*',interval:auto,query:(query_string:(analyze_wildcard:!t,query:'%22rtdc.l.rtdc.4049%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706</v>
      </c>
      <c r="B27" s="225">
        <v>4016</v>
      </c>
      <c r="C27" s="227" t="s">
        <v>192</v>
      </c>
      <c r="D27" s="227" t="s">
        <v>904</v>
      </c>
      <c r="E27" s="226">
        <v>43087.225717592592</v>
      </c>
      <c r="F27" s="226">
        <v>43087.229328703703</v>
      </c>
      <c r="G27" s="225">
        <v>55</v>
      </c>
      <c r="H27" s="227" t="s">
        <v>905</v>
      </c>
      <c r="I27" s="226">
        <v>43087.255208333336</v>
      </c>
      <c r="J27" s="225">
        <v>0</v>
      </c>
      <c r="K27" s="237" t="str">
        <f t="shared" si="0"/>
        <v>4015/4016</v>
      </c>
      <c r="L27" s="245" t="str">
        <f>VLOOKUP(A27,'Trips&amp;Operators'!$C$1:$G$99911,5,FALSE)</f>
        <v>STARKS ANGELINA</v>
      </c>
      <c r="M27" s="224">
        <f t="shared" si="1"/>
        <v>2.587962963298196E-2</v>
      </c>
      <c r="N27" s="225">
        <f t="shared" si="23"/>
        <v>37.266666671494022</v>
      </c>
      <c r="O27" s="225"/>
      <c r="P27" s="225"/>
      <c r="Q27" s="228"/>
      <c r="R27" s="242"/>
      <c r="S27" s="249">
        <f t="shared" si="2"/>
        <v>1</v>
      </c>
      <c r="T27" s="242" t="str">
        <f t="shared" si="3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-18T04:25:02-0700',mode:absolute,to:'2017-12-18T07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47" t="str">
        <f>IF(AA27&lt;VLOOKUP(AG27,Variables!$AC$3:$AD$8,2,FALSE),"Y","N")</f>
        <v>N</v>
      </c>
      <c r="X27" s="247">
        <f t="shared" si="5"/>
        <v>1</v>
      </c>
      <c r="Y27" s="247">
        <f t="shared" si="6"/>
        <v>4.2900000000000001E-2</v>
      </c>
      <c r="Z27" s="247">
        <f t="shared" si="7"/>
        <v>23.327999999999999</v>
      </c>
      <c r="AA27" s="247">
        <f t="shared" si="8"/>
        <v>23.2851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9"/>
        <v>115</v>
      </c>
      <c r="AE27" s="235" t="str">
        <f t="shared" si="10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27" s="234" t="str">
        <f t="shared" si="11"/>
        <v>"C:\Program Files (x86)\AstroGrep\AstroGrep.exe" /e /r /s /spath="%USERPROFILE%\AppData\Local\Temp\OnboardLogs" /stypes="app*4016*20171218*" /stext=" 13:.+((SYSTEM_STATE.+slice.+state.+changed )|(ment ac)|(multiple cpu faults)|(system.+state.+changed )|(\[timeout)|(PRM\|1\|D)|(kpr)|(kdp)|(train st.+moving)|(\|lc)|(penalty))"</v>
      </c>
      <c r="AG27" s="244" t="str">
        <f t="shared" si="12"/>
        <v>EC</v>
      </c>
      <c r="AH27" s="236" t="str">
        <f t="shared" si="18"/>
        <v>"%USERPROFILE%\Documents\GitHub\eaglep3\Utilities\RefineRTDCRunTimes.py" --tripid 115-18 --locoid 4016 --swversion DE.1.0.9.0 --startMP 204:429 --initTime 2017-12-18T05:25:02 --startdatetime 2017-12-18T05:30:14 --delay 55 --endMP 204:233280 --enddatetime 2017-12-18T06:07:30 --enforcementcount 0 &gt;&gt;%USERPROFILE%\Documents\GitHub\eaglep3-reporting\EC\2017-12-18-refined-times.txt</v>
      </c>
      <c r="AI2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{"issue":{"subject":"","project_id":79,"tracker_id":40,"status_id":1,"priority_id":2,"assigned_to_id":338,"start_date":"2017-12-18","description":"","custom_fields":[{"id":1,"name":"Subdivision","value":"EC"},{"id":4,"name":"Milepost","value":"23.328"},{"id":17,"name":"Train ID","value":"115-18"},{"id":16,"name":"Locomotive ID","value":"4016"},{"id":130,"name":"Impact","value":""},{"id":150,"name":"Time of Event (Mountain Time)","value":"06:07:30"},{"id":151,"name":"Denver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0"/>
        <v>start /low /b %USERPROFILE%\Documents\GitHub\eaglep3\Utilities\DownloadLogsFromS3.py --loco 4016 --day 2017-12-18</v>
      </c>
      <c r="AN2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2"/>
        <v>https://d0f6bd738d7f1b3e5a7ca70fe4ff75f0.us-east-1.aws.found.io/app/kibana#/discover/Steve-Slow-Train-Analysis-(2080s-and-2083s)?_g=(refreshInterval:(display:Off,pause:!f,section:0,value:0),time:(from:'2017-12-18T04:25:02-0700',mode:absolute,to:'2017-12-18T07:07:30-0700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665</v>
      </c>
      <c r="B28" s="225">
        <v>4015</v>
      </c>
      <c r="C28" s="227" t="s">
        <v>192</v>
      </c>
      <c r="D28" s="227" t="s">
        <v>906</v>
      </c>
      <c r="E28" s="226">
        <v>43087.267488425925</v>
      </c>
      <c r="F28" s="226">
        <v>43087.268912037034</v>
      </c>
      <c r="G28" s="225">
        <v>60</v>
      </c>
      <c r="H28" s="227" t="s">
        <v>907</v>
      </c>
      <c r="I28" s="226">
        <v>43087.296655092592</v>
      </c>
      <c r="J28" s="225">
        <v>0</v>
      </c>
      <c r="K28" s="237" t="str">
        <f t="shared" si="0"/>
        <v>4015/4016</v>
      </c>
      <c r="L28" s="245" t="str">
        <f>VLOOKUP(A28,'Trips&amp;Operators'!$C$1:$G$99911,5,FALSE)</f>
        <v>STARKS ANGELINA</v>
      </c>
      <c r="M28" s="224">
        <f t="shared" si="1"/>
        <v>2.7743055557948537E-2</v>
      </c>
      <c r="N28" s="225">
        <f t="shared" si="23"/>
        <v>39.950000003445894</v>
      </c>
      <c r="O28" s="225"/>
      <c r="P28" s="225"/>
      <c r="Q28" s="228"/>
      <c r="R28" s="242"/>
      <c r="S28" s="249">
        <f t="shared" si="2"/>
        <v>1</v>
      </c>
      <c r="T28" s="242" t="str">
        <f t="shared" si="3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-18T05:25:11-0700',mode:absolute,to:'2017-12-18T08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47" t="str">
        <f>IF(AA28&lt;VLOOKUP(AG28,Variables!$AC$3:$AD$8,2,FALSE),"Y","N")</f>
        <v>N</v>
      </c>
      <c r="X28" s="247">
        <f t="shared" si="5"/>
        <v>1</v>
      </c>
      <c r="Y28" s="247">
        <f t="shared" si="6"/>
        <v>23.298300000000001</v>
      </c>
      <c r="Z28" s="247">
        <f t="shared" si="7"/>
        <v>1.52E-2</v>
      </c>
      <c r="AA28" s="247">
        <f t="shared" si="8"/>
        <v>23.283100000000001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9"/>
        <v>116</v>
      </c>
      <c r="AE28" s="235" t="str">
        <f t="shared" si="10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28" s="234" t="str">
        <f t="shared" si="11"/>
        <v>"C:\Program Files (x86)\AstroGrep\AstroGrep.exe" /e /r /s /spath="%USERPROFILE%\AppData\Local\Temp\OnboardLogs" /stypes="app*4015*20171218*" /stext=" 14:.+((SYSTEM_STATE.+slice.+state.+changed )|(ment ac)|(multiple cpu faults)|(system.+state.+changed )|(\[timeout)|(PRM\|1\|D)|(kpr)|(kdp)|(train st.+moving)|(\|lc)|(penalty))"</v>
      </c>
      <c r="AG28" s="244" t="str">
        <f t="shared" si="12"/>
        <v>EC</v>
      </c>
      <c r="AH28" s="236" t="str">
        <f t="shared" si="18"/>
        <v>"%USERPROFILE%\Documents\GitHub\eaglep3\Utilities\RefineRTDCRunTimes.py" --tripid 116-18 --locoid 4015 --swversion DE.1.0.9.0 --startMP 204:232983 --initTime 2017-12-18T06:25:11 --startdatetime 2017-12-18T06:27:14 --delay 60 --endMP 204:152 --enddatetime 2017-12-18T07:07:11 --enforcementcount 0 &gt;&gt;%USERPROFILE%\Documents\GitHub\eaglep3-reporting\EC\2017-12-18-refined-times.txt</v>
      </c>
      <c r="AI2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{"issue":{"subject":"","project_id":79,"tracker_id":40,"status_id":1,"priority_id":2,"assigned_to_id":338,"start_date":"2017-12-18","description":"","custom_fields":[{"id":1,"name":"Subdivision","value":"EC"},{"id":4,"name":"Milepost","value":"0.0152"},{"id":17,"name":"Train ID","value":"116-18"},{"id":16,"name":"Locomotive ID","value":"4015"},{"id":130,"name":"Impact","value":""},{"id":150,"name":"Time of Event (Mountain Time)","value":"07:07:11"},{"id":151,"name":"Denver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0"/>
        <v>start /low /b %USERPROFILE%\Documents\GitHub\eaglep3\Utilities\DownloadLogsFromS3.py --loco 4015 --day 2017-12-18</v>
      </c>
      <c r="AN2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2"/>
        <v>https://d0f6bd738d7f1b3e5a7ca70fe4ff75f0.us-east-1.aws.found.io/app/kibana#/discover/Steve-Slow-Train-Analysis-(2080s-and-2083s)?_g=(refreshInterval:(display:Off,pause:!f,section:0,value:0),time:(from:'2017-12-18T05:25:11-0700',mode:absolute,to:'2017-12-18T08:07:11-0700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713</v>
      </c>
      <c r="B29" s="225">
        <v>4026</v>
      </c>
      <c r="C29" s="227" t="s">
        <v>192</v>
      </c>
      <c r="D29" s="227" t="s">
        <v>908</v>
      </c>
      <c r="E29" s="226">
        <v>43087.23542824074</v>
      </c>
      <c r="F29" s="226">
        <v>43087.240520833337</v>
      </c>
      <c r="G29" s="225">
        <v>65</v>
      </c>
      <c r="H29" s="227" t="s">
        <v>909</v>
      </c>
      <c r="I29" s="226">
        <v>43087.265034722222</v>
      </c>
      <c r="J29" s="225">
        <v>0</v>
      </c>
      <c r="K29" s="237" t="str">
        <f t="shared" si="0"/>
        <v>4025/4026</v>
      </c>
      <c r="L29" s="245" t="str">
        <f>VLOOKUP(A29,'Trips&amp;Operators'!$C$1:$G$99911,5,FALSE)</f>
        <v>BIRENBAUM THOMAS</v>
      </c>
      <c r="M29" s="224">
        <f t="shared" si="1"/>
        <v>2.4513888885849155E-2</v>
      </c>
      <c r="N29" s="225">
        <f t="shared" si="23"/>
        <v>35.299999995622784</v>
      </c>
      <c r="O29" s="225"/>
      <c r="P29" s="225"/>
      <c r="Q29" s="228"/>
      <c r="R29" s="242"/>
      <c r="S29" s="249">
        <f t="shared" si="2"/>
        <v>1</v>
      </c>
      <c r="T29" s="242" t="str">
        <f t="shared" si="3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-18T04:39:01-0700',mode:absolute,to:'2017-12-18T07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7" t="str">
        <f>IF(AA29&lt;VLOOKUP(AG29,Variables!$AC$3:$AD$8,2,FALSE),"Y","N")</f>
        <v>N</v>
      </c>
      <c r="X29" s="247">
        <f t="shared" si="5"/>
        <v>1</v>
      </c>
      <c r="Y29" s="247">
        <f t="shared" si="6"/>
        <v>4.8899999999999999E-2</v>
      </c>
      <c r="Z29" s="247">
        <f t="shared" si="7"/>
        <v>23.325500000000002</v>
      </c>
      <c r="AA29" s="247">
        <f t="shared" si="8"/>
        <v>23.276600000000002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9"/>
        <v>117</v>
      </c>
      <c r="AE29" s="235" t="str">
        <f t="shared" si="10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29" s="234" t="str">
        <f t="shared" si="11"/>
        <v>"C:\Program Files (x86)\AstroGrep\AstroGrep.exe" /e /r /s /spath="%USERPROFILE%\AppData\Local\Temp\OnboardLogs" /stypes="app*4026*20171218*" /stext=" 13:.+((SYSTEM_STATE.+slice.+state.+changed )|(ment ac)|(multiple cpu faults)|(system.+state.+changed )|(\[timeout)|(PRM\|1\|D)|(kpr)|(kdp)|(train st.+moving)|(\|lc)|(penalty))"</v>
      </c>
      <c r="AG29" s="244" t="str">
        <f t="shared" si="12"/>
        <v>EC</v>
      </c>
      <c r="AH29" s="236" t="str">
        <f t="shared" si="18"/>
        <v>"%USERPROFILE%\Documents\GitHub\eaglep3\Utilities\RefineRTDCRunTimes.py" --tripid 117-18 --locoid 4026 --swversion DE.1.0.9.0 --startMP 204:489 --initTime 2017-12-18T05:39:01 --startdatetime 2017-12-18T05:46:21 --delay 65 --endMP 204:233255 --enddatetime 2017-12-18T06:21:39 --enforcementcount 0 &gt;&gt;%USERPROFILE%\Documents\GitHub\eaglep3-reporting\EC\2017-12-18-refined-times.txt</v>
      </c>
      <c r="AI29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{"issue":{"subject":"","project_id":79,"tracker_id":40,"status_id":1,"priority_id":2,"assigned_to_id":338,"start_date":"2017-12-18","description":"","custom_fields":[{"id":1,"name":"Subdivision","value":"EC"},{"id":4,"name":"Milepost","value":"23.3255"},{"id":17,"name":"Train ID","value":"117-18"},{"id":16,"name":"Locomotive ID","value":"4026"},{"id":130,"name":"Impact","value":""},{"id":150,"name":"Time of Event (Mountain Time)","value":"06:21:39"},{"id":151,"name":"Denver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0"/>
        <v>start /low /b %USERPROFILE%\Documents\GitHub\eaglep3\Utilities\DownloadLogsFromS3.py --loco 4026 --day 2017-12-18</v>
      </c>
      <c r="AN29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2"/>
        <v>https://d0f6bd738d7f1b3e5a7ca70fe4ff75f0.us-east-1.aws.found.io/app/kibana#/discover/Steve-Slow-Train-Analysis-(2080s-and-2083s)?_g=(refreshInterval:(display:Off,pause:!f,section:0,value:0),time:(from:'2017-12-18T04:39:01-0700',mode:absolute,to:'2017-12-18T07:21:39-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724</v>
      </c>
      <c r="B30" s="225">
        <v>4025</v>
      </c>
      <c r="C30" s="227" t="s">
        <v>192</v>
      </c>
      <c r="D30" s="227" t="s">
        <v>572</v>
      </c>
      <c r="E30" s="226">
        <v>43087.276377314818</v>
      </c>
      <c r="F30" s="226">
        <v>43087.279328703706</v>
      </c>
      <c r="G30" s="225">
        <v>76</v>
      </c>
      <c r="H30" s="227" t="s">
        <v>910</v>
      </c>
      <c r="I30" s="226">
        <v>43087.304201388892</v>
      </c>
      <c r="J30" s="225">
        <v>0</v>
      </c>
      <c r="K30" s="237" t="str">
        <f t="shared" si="0"/>
        <v>4025/4026</v>
      </c>
      <c r="L30" s="245" t="str">
        <f>VLOOKUP(A30,'Trips&amp;Operators'!$C$1:$G$99911,5,FALSE)</f>
        <v>BIRENBAUM THOMAS</v>
      </c>
      <c r="M30" s="224">
        <f t="shared" si="1"/>
        <v>2.4872685185982846E-2</v>
      </c>
      <c r="N30" s="225">
        <f t="shared" si="23"/>
        <v>35.816666667815298</v>
      </c>
      <c r="O30" s="225"/>
      <c r="P30" s="225"/>
      <c r="Q30" s="228"/>
      <c r="R30" s="242"/>
      <c r="S30" s="249">
        <f t="shared" si="2"/>
        <v>1</v>
      </c>
      <c r="T30" s="242" t="str">
        <f t="shared" si="3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-18T05:37:59-0700',mode:absolute,to:'2017-12-18T08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7" t="str">
        <f>IF(AA30&lt;VLOOKUP(AG30,Variables!$AC$3:$AD$8,2,FALSE),"Y","N")</f>
        <v>N</v>
      </c>
      <c r="X30" s="247">
        <f t="shared" si="5"/>
        <v>1</v>
      </c>
      <c r="Y30" s="247">
        <f t="shared" si="6"/>
        <v>23.293800000000001</v>
      </c>
      <c r="Z30" s="247">
        <f t="shared" si="7"/>
        <v>2.3099999999999999E-2</v>
      </c>
      <c r="AA30" s="247">
        <f t="shared" si="8"/>
        <v>23.270700000000001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9"/>
        <v>118</v>
      </c>
      <c r="AE30" s="235" t="str">
        <f t="shared" si="10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30" s="234" t="str">
        <f t="shared" si="11"/>
        <v>"C:\Program Files (x86)\AstroGrep\AstroGrep.exe" /e /r /s /spath="%USERPROFILE%\AppData\Local\Temp\OnboardLogs" /stypes="app*4025*20171218*" /stext=" 14:.+((SYSTEM_STATE.+slice.+state.+changed )|(ment ac)|(multiple cpu faults)|(system.+state.+changed )|(\[timeout)|(PRM\|1\|D)|(kpr)|(kdp)|(train st.+moving)|(\|lc)|(penalty))"</v>
      </c>
      <c r="AG30" s="244" t="str">
        <f t="shared" si="12"/>
        <v>EC</v>
      </c>
      <c r="AH30" s="236" t="str">
        <f t="shared" si="18"/>
        <v>"%USERPROFILE%\Documents\GitHub\eaglep3\Utilities\RefineRTDCRunTimes.py" --tripid 118-18 --locoid 4025 --swversion DE.1.0.9.0 --startMP 204:232938 --initTime 2017-12-18T06:37:59 --startdatetime 2017-12-18T06:42:14 --delay 76 --endMP 204:231 --enddatetime 2017-12-18T07:18:03 --enforcementcount 0 &gt;&gt;%USERPROFILE%\Documents\GitHub\eaglep3-reporting\EC\2017-12-18-refined-times.txt</v>
      </c>
      <c r="AI3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{"issue":{"subject":"","project_id":79,"tracker_id":40,"status_id":1,"priority_id":2,"assigned_to_id":338,"start_date":"2017-12-18","description":"","custom_fields":[{"id":1,"name":"Subdivision","value":"EC"},{"id":4,"name":"Milepost","value":"0.0231"},{"id":17,"name":"Train ID","value":"118-18"},{"id":16,"name":"Locomotive ID","value":"4025"},{"id":130,"name":"Impact","value":""},{"id":150,"name":"Time of Event (Mountain Time)","value":"07:18:03"},{"id":151,"name":"Denver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0"/>
        <v>start /low /b %USERPROFILE%\Documents\GitHub\eaglep3\Utilities\DownloadLogsFromS3.py --loco 4025 --day 2017-12-18</v>
      </c>
      <c r="AN3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2"/>
        <v>https://d0f6bd738d7f1b3e5a7ca70fe4ff75f0.us-east-1.aws.found.io/app/kibana#/discover/Steve-Slow-Train-Analysis-(2080s-and-2083s)?_g=(refreshInterval:(display:Off,pause:!f,section:0,value:0),time:(from:'2017-12-18T05:37:59-0700',mode:absolute,to:'2017-12-18T08:18:03-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716</v>
      </c>
      <c r="B31" s="225">
        <v>4010</v>
      </c>
      <c r="C31" s="227" t="s">
        <v>192</v>
      </c>
      <c r="D31" s="227" t="s">
        <v>911</v>
      </c>
      <c r="E31" s="226">
        <v>43087.247476851851</v>
      </c>
      <c r="F31" s="226">
        <v>43087.251574074071</v>
      </c>
      <c r="G31" s="225">
        <v>62</v>
      </c>
      <c r="H31" s="227" t="s">
        <v>643</v>
      </c>
      <c r="I31" s="226">
        <v>43087.275740740741</v>
      </c>
      <c r="J31" s="225">
        <v>0</v>
      </c>
      <c r="K31" s="237" t="str">
        <f t="shared" si="0"/>
        <v>4009/4010</v>
      </c>
      <c r="L31" s="245" t="str">
        <f>VLOOKUP(A31,'Trips&amp;Operators'!$C$1:$G$99911,5,FALSE)</f>
        <v>YORK EDGAR</v>
      </c>
      <c r="M31" s="224">
        <f t="shared" si="1"/>
        <v>2.4166666669771075E-2</v>
      </c>
      <c r="N31" s="225">
        <f t="shared" si="23"/>
        <v>34.800000004470348</v>
      </c>
      <c r="O31" s="225"/>
      <c r="P31" s="225"/>
      <c r="Q31" s="228"/>
      <c r="R31" s="242"/>
      <c r="S31" s="249">
        <f t="shared" si="2"/>
        <v>1</v>
      </c>
      <c r="T31" s="242" t="str">
        <f t="shared" si="3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-18T04:56:22-0700',mode:absolute,to:'2017-12-18T07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7" t="str">
        <f>IF(AA31&lt;VLOOKUP(AG31,Variables!$AC$3:$AD$8,2,FALSE),"Y","N")</f>
        <v>N</v>
      </c>
      <c r="X31" s="247">
        <f t="shared" si="5"/>
        <v>1</v>
      </c>
      <c r="Y31" s="247">
        <f t="shared" si="6"/>
        <v>0.31180000000000002</v>
      </c>
      <c r="Z31" s="247">
        <f t="shared" si="7"/>
        <v>23.33</v>
      </c>
      <c r="AA31" s="247">
        <f t="shared" si="8"/>
        <v>23.018199999999997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9"/>
        <v>119</v>
      </c>
      <c r="AE31" s="235" t="str">
        <f t="shared" si="10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31" s="234" t="str">
        <f t="shared" si="11"/>
        <v>"C:\Program Files (x86)\AstroGrep\AstroGrep.exe" /e /r /s /spath="%USERPROFILE%\AppData\Local\Temp\OnboardLogs" /stypes="app*4010*20171218*" /stext=" 13:.+((SYSTEM_STATE.+slice.+state.+changed )|(ment ac)|(multiple cpu faults)|(system.+state.+changed )|(\[timeout)|(PRM\|1\|D)|(kpr)|(kdp)|(train st.+moving)|(\|lc)|(penalty))"</v>
      </c>
      <c r="AG31" s="244" t="str">
        <f t="shared" si="12"/>
        <v>EC</v>
      </c>
      <c r="AH31" s="236" t="str">
        <f t="shared" si="18"/>
        <v>"%USERPROFILE%\Documents\GitHub\eaglep3\Utilities\RefineRTDCRunTimes.py" --tripid 119-18 --locoid 4010 --swversion DE.1.0.9.0 --startMP 204:3118 --initTime 2017-12-18T05:56:22 --startdatetime 2017-12-18T06:02:16 --delay 62 --endMP 204:233300 --enddatetime 2017-12-18T06:37:04 --enforcementcount 0 &gt;&gt;%USERPROFILE%\Documents\GitHub\eaglep3-reporting\EC\2017-12-18-refined-times.txt</v>
      </c>
      <c r="AI3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{"issue":{"subject":"","project_id":79,"tracker_id":40,"status_id":1,"priority_id":2,"assigned_to_id":338,"start_date":"2017-12-18","description":"","custom_fields":[{"id":1,"name":"Subdivision","value":"EC"},{"id":4,"name":"Milepost","value":"23.33"},{"id":17,"name":"Train ID","value":"119-18"},{"id":16,"name":"Locomotive ID","value":"4010"},{"id":130,"name":"Impact","value":""},{"id":150,"name":"Time of Event (Mountain Time)","value":"06:37:04"},{"id":151,"name":"Denver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0"/>
        <v>start /low /b %USERPROFILE%\Documents\GitHub\eaglep3\Utilities\DownloadLogsFromS3.py --loco 4010 --day 2017-12-18</v>
      </c>
      <c r="AN3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2"/>
        <v>https://d0f6bd738d7f1b3e5a7ca70fe4ff75f0.us-east-1.aws.found.io/app/kibana#/discover/Steve-Slow-Train-Analysis-(2080s-and-2083s)?_g=(refreshInterval:(display:Off,pause:!f,section:0,value:0),time:(from:'2017-12-18T04:56:22-0700',mode:absolute,to:'2017-12-18T07:37:04-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725</v>
      </c>
      <c r="B32" s="225">
        <v>4009</v>
      </c>
      <c r="C32" s="227" t="s">
        <v>192</v>
      </c>
      <c r="D32" s="227" t="s">
        <v>912</v>
      </c>
      <c r="E32" s="226">
        <v>43087.277453703704</v>
      </c>
      <c r="F32" s="226">
        <v>43087.29</v>
      </c>
      <c r="G32" s="225">
        <v>56</v>
      </c>
      <c r="H32" s="227" t="s">
        <v>913</v>
      </c>
      <c r="I32" s="226">
        <v>43087.315972222219</v>
      </c>
      <c r="J32" s="225">
        <v>0</v>
      </c>
      <c r="K32" s="237" t="str">
        <f t="shared" si="0"/>
        <v>4009/4010</v>
      </c>
      <c r="L32" s="245" t="str">
        <f>VLOOKUP(A32,'Trips&amp;Operators'!$C$1:$G$99911,5,FALSE)</f>
        <v>YORK EDGAR</v>
      </c>
      <c r="M32" s="224">
        <f t="shared" si="1"/>
        <v>2.5972222218115348E-2</v>
      </c>
      <c r="N32" s="225">
        <f t="shared" si="23"/>
        <v>37.399999994086102</v>
      </c>
      <c r="O32" s="225"/>
      <c r="P32" s="225"/>
      <c r="Q32" s="228"/>
      <c r="R32" s="242"/>
      <c r="S32" s="249">
        <f t="shared" si="2"/>
        <v>1</v>
      </c>
      <c r="T32" s="242" t="str">
        <f t="shared" si="3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-18T05:39:32-0700',mode:absolute,to:'2017-12-18T08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7" t="str">
        <f>IF(AA32&lt;VLOOKUP(AG32,Variables!$AC$3:$AD$8,2,FALSE),"Y","N")</f>
        <v>N</v>
      </c>
      <c r="X32" s="247">
        <f t="shared" si="5"/>
        <v>1</v>
      </c>
      <c r="Y32" s="247">
        <f t="shared" si="6"/>
        <v>23.297699999999999</v>
      </c>
      <c r="Z32" s="247">
        <f t="shared" si="7"/>
        <v>1.6299999999999999E-2</v>
      </c>
      <c r="AA32" s="247">
        <f t="shared" si="8"/>
        <v>23.281399999999998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9"/>
        <v>120</v>
      </c>
      <c r="AE32" s="235" t="str">
        <f t="shared" si="10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32" s="234" t="str">
        <f t="shared" si="11"/>
        <v>"C:\Program Files (x86)\AstroGrep\AstroGrep.exe" /e /r /s /spath="%USERPROFILE%\AppData\Local\Temp\OnboardLogs" /stypes="app*4009*20171218*" /stext=" 14:.+((SYSTEM_STATE.+slice.+state.+changed )|(ment ac)|(multiple cpu faults)|(system.+state.+changed )|(\[timeout)|(PRM\|1\|D)|(kpr)|(kdp)|(train st.+moving)|(\|lc)|(penalty))"</v>
      </c>
      <c r="AG32" s="244" t="str">
        <f t="shared" si="12"/>
        <v>EC</v>
      </c>
      <c r="AH32" s="236" t="str">
        <f t="shared" si="18"/>
        <v>"%USERPROFILE%\Documents\GitHub\eaglep3\Utilities\RefineRTDCRunTimes.py" --tripid 120-18 --locoid 4009 --swversion DE.1.0.9.0 --startMP 204:232977 --initTime 2017-12-18T06:39:32 --startdatetime 2017-12-18T06:57:36 --delay 56 --endMP 204:163 --enddatetime 2017-12-18T07:35:00 --enforcementcount 0 &gt;&gt;%USERPROFILE%\Documents\GitHub\eaglep3-reporting\EC\2017-12-18-refined-times.txt</v>
      </c>
      <c r="AI3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{"issue":{"subject":"","project_id":79,"tracker_id":40,"status_id":1,"priority_id":2,"assigned_to_id":338,"start_date":"2017-12-18","description":"","custom_fields":[{"id":1,"name":"Subdivision","value":"EC"},{"id":4,"name":"Milepost","value":"0.0163"},{"id":17,"name":"Train ID","value":"120-18"},{"id":16,"name":"Locomotive ID","value":"4009"},{"id":130,"name":"Impact","value":""},{"id":150,"name":"Time of Event (Mountain Time)","value":"07:35:00"},{"id":151,"name":"Denver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0"/>
        <v>start /low /b %USERPROFILE%\Documents\GitHub\eaglep3\Utilities\DownloadLogsFromS3.py --loco 4009 --day 2017-12-18</v>
      </c>
      <c r="AN3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2"/>
        <v>https://d0f6bd738d7f1b3e5a7ca70fe4ff75f0.us-east-1.aws.found.io/app/kibana#/discover/Steve-Slow-Train-Analysis-(2080s-and-2083s)?_g=(refreshInterval:(display:Off,pause:!f,section:0,value:0),time:(from:'2017-12-18T05:39:32-0700',mode:absolute,to:'2017-12-18T08:35:00-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720</v>
      </c>
      <c r="B33" s="225">
        <v>4044</v>
      </c>
      <c r="C33" s="227" t="s">
        <v>192</v>
      </c>
      <c r="D33" s="227" t="s">
        <v>468</v>
      </c>
      <c r="E33" s="226">
        <v>43087.256932870368</v>
      </c>
      <c r="F33" s="226">
        <v>43087.260601851849</v>
      </c>
      <c r="G33" s="225">
        <v>90</v>
      </c>
      <c r="H33" s="227" t="s">
        <v>914</v>
      </c>
      <c r="I33" s="226">
        <v>43087.285162037035</v>
      </c>
      <c r="J33" s="225">
        <v>0</v>
      </c>
      <c r="K33" s="237" t="str">
        <f t="shared" si="0"/>
        <v>4043/4044</v>
      </c>
      <c r="L33" s="245" t="str">
        <f>VLOOKUP(A33,'Trips&amp;Operators'!$C$1:$G$99911,5,FALSE)</f>
        <v>DELGADO DIANAH</v>
      </c>
      <c r="M33" s="224">
        <f t="shared" si="1"/>
        <v>2.4560185185691807E-2</v>
      </c>
      <c r="N33" s="225">
        <f t="shared" si="23"/>
        <v>35.366666667396203</v>
      </c>
      <c r="O33" s="225"/>
      <c r="P33" s="225"/>
      <c r="Q33" s="228"/>
      <c r="R33" s="242"/>
      <c r="S33" s="249">
        <f t="shared" si="2"/>
        <v>1</v>
      </c>
      <c r="T33" s="242" t="str">
        <f t="shared" si="3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-18T05:09:59-0700',mode:absolute,to:'2017-12-18T07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47" t="str">
        <f>IF(AA33&lt;VLOOKUP(AG33,Variables!$AC$3:$AD$8,2,FALSE),"Y","N")</f>
        <v>N</v>
      </c>
      <c r="X33" s="247">
        <f t="shared" si="5"/>
        <v>1</v>
      </c>
      <c r="Y33" s="247">
        <f t="shared" si="6"/>
        <v>5.0200000000000002E-2</v>
      </c>
      <c r="Z33" s="247">
        <f t="shared" si="7"/>
        <v>23.328199999999999</v>
      </c>
      <c r="AA33" s="247">
        <f t="shared" si="8"/>
        <v>23.277999999999999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9"/>
        <v>121</v>
      </c>
      <c r="AE33" s="235" t="str">
        <f t="shared" si="10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33" s="234" t="str">
        <f t="shared" si="11"/>
        <v>"C:\Program Files (x86)\AstroGrep\AstroGrep.exe" /e /r /s /spath="%USERPROFILE%\AppData\Local\Temp\OnboardLogs" /stypes="app*4044*20171218*" /stext=" 13:.+((SYSTEM_STATE.+slice.+state.+changed )|(ment ac)|(multiple cpu faults)|(system.+state.+changed )|(\[timeout)|(PRM\|1\|D)|(kpr)|(kdp)|(train st.+moving)|(\|lc)|(penalty))"</v>
      </c>
      <c r="AG33" s="244" t="str">
        <f t="shared" si="12"/>
        <v>EC</v>
      </c>
      <c r="AH33" s="236" t="str">
        <f t="shared" si="18"/>
        <v>"%USERPROFILE%\Documents\GitHub\eaglep3\Utilities\RefineRTDCRunTimes.py" --tripid 121-18 --locoid 4044 --swversion DE.1.0.9.0 --startMP 204:502 --initTime 2017-12-18T06:09:59 --startdatetime 2017-12-18T06:15:16 --delay 90 --endMP 204:233282 --enddatetime 2017-12-18T06:50:38 --enforcementcount 0 &gt;&gt;%USERPROFILE%\Documents\GitHub\eaglep3-reporting\EC\2017-12-18-refined-times.txt</v>
      </c>
      <c r="AI3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{"issue":{"subject":"","project_id":79,"tracker_id":40,"status_id":1,"priority_id":2,"assigned_to_id":338,"start_date":"2017-12-18","description":"","custom_fields":[{"id":1,"name":"Subdivision","value":"EC"},{"id":4,"name":"Milepost","value":"23.3282"},{"id":17,"name":"Train ID","value":"121-18"},{"id":16,"name":"Locomotive ID","value":"4044"},{"id":130,"name":"Impact","value":""},{"id":150,"name":"Time of Event (Mountain Time)","value":"06:50:38"},{"id":151,"name":"Denver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0"/>
        <v>start /low /b %USERPROFILE%\Documents\GitHub\eaglep3\Utilities\DownloadLogsFromS3.py --loco 4044 --day 2017-12-18</v>
      </c>
      <c r="AN3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2"/>
        <v>https://d0f6bd738d7f1b3e5a7ca70fe4ff75f0.us-east-1.aws.found.io/app/kibana#/discover/Steve-Slow-Train-Analysis-(2080s-and-2083s)?_g=(refreshInterval:(display:Off,pause:!f,section:0,value:0),time:(from:'2017-12-18T05:09:59-0700',mode:absolute,to:'2017-12-18T07:50:38-0700'))&amp;_a=(columns:!('Message%20ID',Summary),filters:!(),index:'emp_*',interval:auto,query:(query_string:(analyze_wildcard:!t,query:'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726</v>
      </c>
      <c r="B34" s="225">
        <v>4043</v>
      </c>
      <c r="C34" s="227" t="s">
        <v>192</v>
      </c>
      <c r="D34" s="227" t="s">
        <v>598</v>
      </c>
      <c r="E34" s="226">
        <v>43087.286643518521</v>
      </c>
      <c r="F34" s="226">
        <v>43087.300196759257</v>
      </c>
      <c r="G34" s="225">
        <v>50</v>
      </c>
      <c r="H34" s="227" t="s">
        <v>578</v>
      </c>
      <c r="I34" s="226">
        <v>43087.328657407408</v>
      </c>
      <c r="J34" s="225">
        <v>0</v>
      </c>
      <c r="K34" s="237" t="str">
        <f t="shared" si="0"/>
        <v>4043/4044</v>
      </c>
      <c r="L34" s="245" t="str">
        <f>VLOOKUP(A34,'Trips&amp;Operators'!$C$1:$G$99911,5,FALSE)</f>
        <v>DELGADO DIANAH</v>
      </c>
      <c r="M34" s="224">
        <f t="shared" si="1"/>
        <v>2.846064815093996E-2</v>
      </c>
      <c r="N34" s="225">
        <f t="shared" si="23"/>
        <v>40.983333337353542</v>
      </c>
      <c r="O34" s="225"/>
      <c r="P34" s="225"/>
      <c r="Q34" s="228"/>
      <c r="R34" s="242"/>
      <c r="S34" s="249">
        <f t="shared" si="2"/>
        <v>1</v>
      </c>
      <c r="T34" s="242" t="str">
        <f t="shared" si="3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-18T05:52:46-0700',mode:absolute,to:'2017-12-18T08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47" t="str">
        <f>IF(AA34&lt;VLOOKUP(AG34,Variables!$AC$3:$AD$8,2,FALSE),"Y","N")</f>
        <v>N</v>
      </c>
      <c r="X34" s="247">
        <f t="shared" si="5"/>
        <v>1</v>
      </c>
      <c r="Y34" s="247">
        <f t="shared" si="6"/>
        <v>23.2986</v>
      </c>
      <c r="Z34" s="247">
        <f t="shared" si="7"/>
        <v>1.6E-2</v>
      </c>
      <c r="AA34" s="247">
        <f t="shared" si="8"/>
        <v>23.282600000000002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9"/>
        <v>122</v>
      </c>
      <c r="AE34" s="235" t="str">
        <f t="shared" si="10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34" s="234" t="str">
        <f t="shared" si="11"/>
        <v>"C:\Program Files (x86)\AstroGrep\AstroGrep.exe" /e /r /s /spath="%USERPROFILE%\AppData\Local\Temp\OnboardLogs" /stypes="app*4043*20171218*" /stext=" 14:.+((SYSTEM_STATE.+slice.+state.+changed )|(ment ac)|(multiple cpu faults)|(system.+state.+changed )|(\[timeout)|(PRM\|1\|D)|(kpr)|(kdp)|(train st.+moving)|(\|lc)|(penalty))"</v>
      </c>
      <c r="AG34" s="244" t="str">
        <f t="shared" si="12"/>
        <v>EC</v>
      </c>
      <c r="AH34" s="236" t="str">
        <f t="shared" si="18"/>
        <v>"%USERPROFILE%\Documents\GitHub\eaglep3\Utilities\RefineRTDCRunTimes.py" --tripid 122-18 --locoid 4043 --swversion DE.1.0.9.0 --startMP 204:232986 --initTime 2017-12-18T06:52:46 --startdatetime 2017-12-18T07:12:17 --delay 50 --endMP 204:160 --enddatetime 2017-12-18T07:53:16 --enforcementcount 0 &gt;&gt;%USERPROFILE%\Documents\GitHub\eaglep3-reporting\EC\2017-12-18-refined-times.txt</v>
      </c>
      <c r="AI3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{"issue":{"subject":"","project_id":79,"tracker_id":40,"status_id":1,"priority_id":2,"assigned_to_id":338,"start_date":"2017-12-18","description":"","custom_fields":[{"id":1,"name":"Subdivision","value":"EC"},{"id":4,"name":"Milepost","value":"0.016"},{"id":17,"name":"Train ID","value":"122-18"},{"id":16,"name":"Locomotive ID","value":"4043"},{"id":130,"name":"Impact","value":""},{"id":150,"name":"Time of Event (Mountain Time)","value":"07:53:16"},{"id":151,"name":"Denver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0"/>
        <v>start /low /b %USERPROFILE%\Documents\GitHub\eaglep3\Utilities\DownloadLogsFromS3.py --loco 4043 --day 2017-12-18</v>
      </c>
      <c r="AN3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2"/>
        <v>https://d0f6bd738d7f1b3e5a7ca70fe4ff75f0.us-east-1.aws.found.io/app/kibana#/discover/Steve-Slow-Train-Analysis-(2080s-and-2083s)?_g=(refreshInterval:(display:Off,pause:!f,section:0,value:0),time:(from:'2017-12-18T05:52:46-0700',mode:absolute,to:'2017-12-18T08:53:16-0700'))&amp;_a=(columns:!('Message%20ID',Summary),filters:!(),index:'emp_*',interval:auto,query:(query_string:(analyze_wildcard:!t,query:'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721</v>
      </c>
      <c r="B35" s="225">
        <v>4022</v>
      </c>
      <c r="C35" s="227" t="s">
        <v>192</v>
      </c>
      <c r="D35" s="227" t="s">
        <v>564</v>
      </c>
      <c r="E35" s="226">
        <v>43087.265277777777</v>
      </c>
      <c r="F35" s="226">
        <v>43087.271168981482</v>
      </c>
      <c r="G35" s="225">
        <v>48</v>
      </c>
      <c r="H35" s="227" t="s">
        <v>915</v>
      </c>
      <c r="I35" s="226">
        <v>43087.295914351853</v>
      </c>
      <c r="J35" s="225">
        <v>0</v>
      </c>
      <c r="K35" s="237" t="str">
        <f t="shared" si="0"/>
        <v>4021/4022</v>
      </c>
      <c r="L35" s="245" t="str">
        <f>VLOOKUP(A35,'Trips&amp;Operators'!$C$1:$G$99911,5,FALSE)</f>
        <v>MAELZER KURT</v>
      </c>
      <c r="M35" s="224">
        <f t="shared" si="1"/>
        <v>2.47453703705105E-2</v>
      </c>
      <c r="N35" s="225">
        <f t="shared" si="23"/>
        <v>35.63333333353512</v>
      </c>
      <c r="O35" s="225"/>
      <c r="P35" s="225"/>
      <c r="Q35" s="228"/>
      <c r="R35" s="242"/>
      <c r="S35" s="249">
        <f t="shared" si="2"/>
        <v>1</v>
      </c>
      <c r="T35" s="242" t="str">
        <f t="shared" si="3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-18T05:22:00-0700',mode:absolute,to:'2017-12-18T08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247" t="str">
        <f>IF(AA35&lt;VLOOKUP(AG35,Variables!$AC$3:$AD$8,2,FALSE),"Y","N")</f>
        <v>N</v>
      </c>
      <c r="X35" s="247">
        <f t="shared" si="5"/>
        <v>1</v>
      </c>
      <c r="Y35" s="247">
        <f t="shared" si="6"/>
        <v>5.04E-2</v>
      </c>
      <c r="Z35" s="247">
        <f t="shared" si="7"/>
        <v>23.3306</v>
      </c>
      <c r="AA35" s="247">
        <f t="shared" si="8"/>
        <v>23.280200000000001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9"/>
        <v>123</v>
      </c>
      <c r="AE35" s="235" t="str">
        <f t="shared" si="10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35" s="234" t="str">
        <f t="shared" si="11"/>
        <v>"C:\Program Files (x86)\AstroGrep\AstroGrep.exe" /e /r /s /spath="%USERPROFILE%\AppData\Local\Temp\OnboardLogs" /stypes="app*4022*20171218*" /stext=" 14:.+((SYSTEM_STATE.+slice.+state.+changed )|(ment ac)|(multiple cpu faults)|(system.+state.+changed )|(\[timeout)|(PRM\|1\|D)|(kpr)|(kdp)|(train st.+moving)|(\|lc)|(penalty))"</v>
      </c>
      <c r="AG35" s="244" t="str">
        <f t="shared" si="12"/>
        <v>EC</v>
      </c>
      <c r="AH35" s="236" t="str">
        <f t="shared" si="18"/>
        <v>"%USERPROFILE%\Documents\GitHub\eaglep3\Utilities\RefineRTDCRunTimes.py" --tripid 123-18 --locoid 4022 --swversion DE.1.0.9.0 --startMP 204:504 --initTime 2017-12-18T06:22:00 --startdatetime 2017-12-18T06:30:29 --delay 48 --endMP 204:233306 --enddatetime 2017-12-18T07:06:07 --enforcementcount 0 &gt;&gt;%USERPROFILE%\Documents\GitHub\eaglep3-reporting\EC\2017-12-18-refined-times.txt</v>
      </c>
      <c r="AI3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{"issue":{"subject":"","project_id":79,"tracker_id":40,"status_id":1,"priority_id":2,"assigned_to_id":338,"start_date":"2017-12-18","description":"","custom_fields":[{"id":1,"name":"Subdivision","value":"EC"},{"id":4,"name":"Milepost","value":"23.3306"},{"id":17,"name":"Train ID","value":"123-18"},{"id":16,"name":"Locomotive ID","value":"4022"},{"id":130,"name":"Impact","value":""},{"id":150,"name":"Time of Event (Mountain Time)","value":"07:06:07"},{"id":151,"name":"Denver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0"/>
        <v>start /low /b %USERPROFILE%\Documents\GitHub\eaglep3\Utilities\DownloadLogsFromS3.py --loco 4022 --day 2017-12-18</v>
      </c>
      <c r="AN3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2"/>
        <v>https://d0f6bd738d7f1b3e5a7ca70fe4ff75f0.us-east-1.aws.found.io/app/kibana#/discover/Steve-Slow-Train-Analysis-(2080s-and-2083s)?_g=(refreshInterval:(display:Off,pause:!f,section:0,value:0),time:(from:'2017-12-18T05:22:00-0700',mode:absolute,to:'2017-12-18T08:06:07-0700'))&amp;_a=(columns:!('Message%20ID',Summary),filters:!(),index:'emp_*',interval:auto,query:(query_string:(analyze_wildcard:!t,query:'%22rtdc.l.rtdc.4022%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730</v>
      </c>
      <c r="B36" s="225">
        <v>4021</v>
      </c>
      <c r="C36" s="227" t="s">
        <v>192</v>
      </c>
      <c r="D36" s="227" t="s">
        <v>555</v>
      </c>
      <c r="E36" s="226">
        <v>43087.304490740738</v>
      </c>
      <c r="F36" s="226">
        <v>43087.310682870368</v>
      </c>
      <c r="G36" s="225">
        <v>58</v>
      </c>
      <c r="H36" s="227" t="s">
        <v>552</v>
      </c>
      <c r="I36" s="226">
        <v>43087.337152777778</v>
      </c>
      <c r="J36" s="225">
        <v>0</v>
      </c>
      <c r="K36" s="237" t="str">
        <f t="shared" si="0"/>
        <v>4021/4022</v>
      </c>
      <c r="L36" s="245" t="str">
        <f>VLOOKUP(A36,'Trips&amp;Operators'!$C$1:$G$99911,5,FALSE)</f>
        <v>MAELZER KURT</v>
      </c>
      <c r="M36" s="224">
        <f t="shared" si="1"/>
        <v>2.6469907410501037E-2</v>
      </c>
      <c r="N36" s="225">
        <f t="shared" si="23"/>
        <v>38.116666671121493</v>
      </c>
      <c r="O36" s="225"/>
      <c r="P36" s="225"/>
      <c r="Q36" s="228"/>
      <c r="R36" s="242"/>
      <c r="S36" s="249">
        <f t="shared" si="2"/>
        <v>1</v>
      </c>
      <c r="T36" s="242" t="str">
        <f t="shared" si="3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-18T06:18:28-0700',mode:absolute,to:'2017-12-18T09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247" t="str">
        <f>IF(AA36&lt;VLOOKUP(AG36,Variables!$AC$3:$AD$8,2,FALSE),"Y","N")</f>
        <v>N</v>
      </c>
      <c r="X36" s="247">
        <f t="shared" si="5"/>
        <v>1</v>
      </c>
      <c r="Y36" s="247">
        <f t="shared" si="6"/>
        <v>23.299099999999999</v>
      </c>
      <c r="Z36" s="247">
        <f t="shared" si="7"/>
        <v>1.83E-2</v>
      </c>
      <c r="AA36" s="247">
        <f t="shared" si="8"/>
        <v>23.280799999999999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9"/>
        <v>124</v>
      </c>
      <c r="AE36" s="235" t="str">
        <f t="shared" si="10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36" s="234" t="str">
        <f t="shared" si="11"/>
        <v>"C:\Program Files (x86)\AstroGrep\AstroGrep.exe" /e /r /s /spath="%USERPROFILE%\AppData\Local\Temp\OnboardLogs" /stypes="app*4021*20171218*" /stext=" 15:.+((SYSTEM_STATE.+slice.+state.+changed )|(ment ac)|(multiple cpu faults)|(system.+state.+changed )|(\[timeout)|(PRM\|1\|D)|(kpr)|(kdp)|(train st.+moving)|(\|lc)|(penalty))"</v>
      </c>
      <c r="AG36" s="244" t="str">
        <f t="shared" si="12"/>
        <v>EC</v>
      </c>
      <c r="AH36" s="236" t="str">
        <f t="shared" si="18"/>
        <v>"%USERPROFILE%\Documents\GitHub\eaglep3\Utilities\RefineRTDCRunTimes.py" --tripid 124-18 --locoid 4021 --swversion DE.1.0.9.0 --startMP 204:232991 --initTime 2017-12-18T07:18:28 --startdatetime 2017-12-18T07:27:23 --delay 58 --endMP 204:183 --enddatetime 2017-12-18T08:05:30 --enforcementcount 0 &gt;&gt;%USERPROFILE%\Documents\GitHub\eaglep3-reporting\EC\2017-12-18-refined-times.txt</v>
      </c>
      <c r="AI3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{"issue":{"subject":"","project_id":79,"tracker_id":40,"status_id":1,"priority_id":2,"assigned_to_id":338,"start_date":"2017-12-18","description":"","custom_fields":[{"id":1,"name":"Subdivision","value":"EC"},{"id":4,"name":"Milepost","value":"0.0183"},{"id":17,"name":"Train ID","value":"124-18"},{"id":16,"name":"Locomotive ID","value":"4021"},{"id":130,"name":"Impact","value":""},{"id":150,"name":"Time of Event (Mountain Time)","value":"08:05:30"},{"id":151,"name":"Denver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0"/>
        <v>start /low /b %USERPROFILE%\Documents\GitHub\eaglep3\Utilities\DownloadLogsFromS3.py --loco 4021 --day 2017-12-18</v>
      </c>
      <c r="AN3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2"/>
        <v>https://d0f6bd738d7f1b3e5a7ca70fe4ff75f0.us-east-1.aws.found.io/app/kibana#/discover/Steve-Slow-Train-Analysis-(2080s-and-2083s)?_g=(refreshInterval:(display:Off,pause:!f,section:0,value:0),time:(from:'2017-12-18T06:18:28-0700',mode:absolute,to:'2017-12-18T09:05:30-0700'))&amp;_a=(columns:!('Message%20ID',Summary),filters:!(),index:'emp_*',interval:auto,query:(query_string:(analyze_wildcard:!t,query:'%22rtdc.l.rtdc.4021%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667</v>
      </c>
      <c r="B37" s="225">
        <v>4052</v>
      </c>
      <c r="C37" s="227" t="s">
        <v>192</v>
      </c>
      <c r="D37" s="227" t="s">
        <v>597</v>
      </c>
      <c r="E37" s="226">
        <v>43087.279340277775</v>
      </c>
      <c r="F37" s="226">
        <v>43087.282511574071</v>
      </c>
      <c r="G37" s="225">
        <v>56</v>
      </c>
      <c r="H37" s="227" t="s">
        <v>916</v>
      </c>
      <c r="I37" s="226">
        <v>43087.310335648152</v>
      </c>
      <c r="J37" s="225">
        <v>0</v>
      </c>
      <c r="K37" s="237" t="str">
        <f t="shared" si="0"/>
        <v>4051/4052</v>
      </c>
      <c r="L37" s="245" t="str">
        <f>VLOOKUP(A37,'Trips&amp;Operators'!$C$1:$G$99911,5,FALSE)</f>
        <v>THOMPSON LESTER</v>
      </c>
      <c r="M37" s="224">
        <f t="shared" si="1"/>
        <v>2.7824074080854189E-2</v>
      </c>
      <c r="N37" s="225">
        <f t="shared" si="23"/>
        <v>40.066666676430032</v>
      </c>
      <c r="O37" s="225"/>
      <c r="P37" s="225"/>
      <c r="Q37" s="228"/>
      <c r="R37" s="242"/>
      <c r="S37" s="249">
        <f t="shared" si="2"/>
        <v>1</v>
      </c>
      <c r="T37" s="242" t="str">
        <f t="shared" si="3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-18T05:42:15-0700',mode:absolute,to:'2017-12-18T08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247" t="str">
        <f>IF(AA37&lt;VLOOKUP(AG37,Variables!$AC$3:$AD$8,2,FALSE),"Y","N")</f>
        <v>N</v>
      </c>
      <c r="X37" s="247">
        <f t="shared" si="5"/>
        <v>1</v>
      </c>
      <c r="Y37" s="247">
        <f t="shared" si="6"/>
        <v>4.9299999999999997E-2</v>
      </c>
      <c r="Z37" s="247">
        <f t="shared" si="7"/>
        <v>23.324000000000002</v>
      </c>
      <c r="AA37" s="247">
        <f t="shared" si="8"/>
        <v>23.274700000000003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9"/>
        <v>125</v>
      </c>
      <c r="AE37" s="235" t="str">
        <f t="shared" si="10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37" s="234" t="str">
        <f t="shared" si="11"/>
        <v>"C:\Program Files (x86)\AstroGrep\AstroGrep.exe" /e /r /s /spath="%USERPROFILE%\AppData\Local\Temp\OnboardLogs" /stypes="app*4052*20171218*" /stext=" 14:.+((SYSTEM_STATE.+slice.+state.+changed )|(ment ac)|(multiple cpu faults)|(system.+state.+changed )|(\[timeout)|(PRM\|1\|D)|(kpr)|(kdp)|(train st.+moving)|(\|lc)|(penalty))"</v>
      </c>
      <c r="AG37" s="244" t="str">
        <f t="shared" si="12"/>
        <v>EC</v>
      </c>
      <c r="AH37" s="236" t="str">
        <f t="shared" si="18"/>
        <v>"%USERPROFILE%\Documents\GitHub\eaglep3\Utilities\RefineRTDCRunTimes.py" --tripid 125-18 --locoid 4052 --swversion DE.1.0.9.0 --startMP 204:493 --initTime 2017-12-18T06:42:15 --startdatetime 2017-12-18T06:46:49 --delay 56 --endMP 204:233240 --enddatetime 2017-12-18T07:26:53 --enforcementcount 0 &gt;&gt;%USERPROFILE%\Documents\GitHub\eaglep3-reporting\EC\2017-12-18-refined-times.txt</v>
      </c>
      <c r="AI3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{"issue":{"subject":"","project_id":79,"tracker_id":40,"status_id":1,"priority_id":2,"assigned_to_id":338,"start_date":"2017-12-18","description":"","custom_fields":[{"id":1,"name":"Subdivision","value":"EC"},{"id":4,"name":"Milepost","value":"23.324"},{"id":17,"name":"Train ID","value":"125-18"},{"id":16,"name":"Locomotive ID","value":"4052"},{"id":130,"name":"Impact","value":""},{"id":150,"name":"Time of Event (Mountain Time)","value":"07:26:53"},{"id":151,"name":"Denver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0"/>
        <v>start /low /b %USERPROFILE%\Documents\GitHub\eaglep3\Utilities\DownloadLogsFromS3.py --loco 4052 --day 2017-12-18</v>
      </c>
      <c r="AN3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2"/>
        <v>https://d0f6bd738d7f1b3e5a7ca70fe4ff75f0.us-east-1.aws.found.io/app/kibana#/discover/Steve-Slow-Train-Analysis-(2080s-and-2083s)?_g=(refreshInterval:(display:Off,pause:!f,section:0,value:0),time:(from:'2017-12-18T05:42:15-0700',mode:absolute,to:'2017-12-18T08:26:53-0700'))&amp;_a=(columns:!('Message%20ID',Summary),filters:!(),index:'emp_*',interval:auto,query:(query_string:(analyze_wildcard:!t,query:'%22rtdc.l.rtdc.4052%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669</v>
      </c>
      <c r="B38" s="225">
        <v>4051</v>
      </c>
      <c r="C38" s="227" t="s">
        <v>192</v>
      </c>
      <c r="D38" s="227" t="s">
        <v>651</v>
      </c>
      <c r="E38" s="226">
        <v>43087.319467592592</v>
      </c>
      <c r="F38" s="226">
        <v>43087.32104166667</v>
      </c>
      <c r="G38" s="225">
        <v>56</v>
      </c>
      <c r="H38" s="227" t="s">
        <v>578</v>
      </c>
      <c r="I38" s="226">
        <v>43087.348599537036</v>
      </c>
      <c r="J38" s="225">
        <v>0</v>
      </c>
      <c r="K38" s="237" t="str">
        <f t="shared" si="0"/>
        <v>4051/4052</v>
      </c>
      <c r="L38" s="245" t="str">
        <f>VLOOKUP(A38,'Trips&amp;Operators'!$C$1:$G$99911,5,FALSE)</f>
        <v>THOMPSON LESTER</v>
      </c>
      <c r="M38" s="224">
        <f t="shared" si="1"/>
        <v>2.7557870365853887E-2</v>
      </c>
      <c r="N38" s="225">
        <f t="shared" si="23"/>
        <v>39.683333326829597</v>
      </c>
      <c r="O38" s="225"/>
      <c r="P38" s="225"/>
      <c r="Q38" s="228"/>
      <c r="R38" s="242"/>
      <c r="S38" s="249">
        <f t="shared" si="2"/>
        <v>1</v>
      </c>
      <c r="T38" s="242" t="str">
        <f t="shared" si="3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-18T06:40:02-0700',mode:absolute,to:'2017-12-18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247" t="str">
        <f>IF(AA38&lt;VLOOKUP(AG38,Variables!$AC$3:$AD$8,2,FALSE),"Y","N")</f>
        <v>N</v>
      </c>
      <c r="X38" s="247">
        <f t="shared" si="5"/>
        <v>1</v>
      </c>
      <c r="Y38" s="247">
        <f t="shared" si="6"/>
        <v>23.290900000000001</v>
      </c>
      <c r="Z38" s="247">
        <f t="shared" si="7"/>
        <v>1.6E-2</v>
      </c>
      <c r="AA38" s="247">
        <f t="shared" si="8"/>
        <v>23.274900000000002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9"/>
        <v>126</v>
      </c>
      <c r="AE38" s="235" t="str">
        <f t="shared" si="10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38" s="234" t="str">
        <f t="shared" si="11"/>
        <v>"C:\Program Files (x86)\AstroGrep\AstroGrep.exe" /e /r /s /spath="%USERPROFILE%\AppData\Local\Temp\OnboardLogs" /stypes="app*4051*20171218*" /stext=" 15:.+((SYSTEM_STATE.+slice.+state.+changed )|(ment ac)|(multiple cpu faults)|(system.+state.+changed )|(\[timeout)|(PRM\|1\|D)|(kpr)|(kdp)|(train st.+moving)|(\|lc)|(penalty))"</v>
      </c>
      <c r="AG38" s="244" t="str">
        <f t="shared" si="12"/>
        <v>EC</v>
      </c>
      <c r="AH38" s="236" t="str">
        <f t="shared" si="18"/>
        <v>"%USERPROFILE%\Documents\GitHub\eaglep3\Utilities\RefineRTDCRunTimes.py" --tripid 126-18 --locoid 4051 --swversion DE.1.0.9.0 --startMP 204:232909 --initTime 2017-12-18T07:40:02 --startdatetime 2017-12-18T07:42:18 --delay 56 --endMP 204:160 --enddatetime 2017-12-18T08:21:59 --enforcementcount 0 &gt;&gt;%USERPROFILE%\Documents\GitHub\eaglep3-reporting\EC\2017-12-18-refined-times.txt</v>
      </c>
      <c r="AI3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{"issue":{"subject":"","project_id":79,"tracker_id":40,"status_id":1,"priority_id":2,"assigned_to_id":338,"start_date":"2017-12-18","description":"","custom_fields":[{"id":1,"name":"Subdivision","value":"EC"},{"id":4,"name":"Milepost","value":"0.016"},{"id":17,"name":"Train ID","value":"126-18"},{"id":16,"name":"Locomotive ID","value":"4051"},{"id":130,"name":"Impact","value":""},{"id":150,"name":"Time of Event (Mountain Time)","value":"08:21:59"},{"id":151,"name":"Denver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0"/>
        <v>start /low /b %USERPROFILE%\Documents\GitHub\eaglep3\Utilities\DownloadLogsFromS3.py --loco 4051 --day 2017-12-18</v>
      </c>
      <c r="AN3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2"/>
        <v>https://d0f6bd738d7f1b3e5a7ca70fe4ff75f0.us-east-1.aws.found.io/app/kibana#/discover/Steve-Slow-Train-Analysis-(2080s-and-2083s)?_g=(refreshInterval:(display:Off,pause:!f,section:0,value:0),time:(from:'2017-12-18T06:40:02-0700',mode:absolute,to:'2017-12-18T09:21:59-0700'))&amp;_a=(columns:!('Message%20ID',Summary),filters:!(),index:'emp_*',interval:auto,query:(query_string:(analyze_wildcard:!t,query:'%22rtdc.l.rtdc.4051%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727</v>
      </c>
      <c r="B39" s="225">
        <v>4050</v>
      </c>
      <c r="C39" s="227" t="s">
        <v>192</v>
      </c>
      <c r="D39" s="227" t="s">
        <v>917</v>
      </c>
      <c r="E39" s="226">
        <v>43087.287824074076</v>
      </c>
      <c r="F39" s="226">
        <v>43087.291898148149</v>
      </c>
      <c r="G39" s="225">
        <v>65</v>
      </c>
      <c r="H39" s="227" t="s">
        <v>918</v>
      </c>
      <c r="I39" s="226">
        <v>43087.31759259259</v>
      </c>
      <c r="J39" s="225">
        <v>0</v>
      </c>
      <c r="K39" s="237" t="str">
        <f t="shared" si="0"/>
        <v>4049/4050</v>
      </c>
      <c r="L39" s="245" t="str">
        <f>VLOOKUP(A39,'Trips&amp;Operators'!$C$1:$G$99911,5,FALSE)</f>
        <v>DAVIDSON DAVID</v>
      </c>
      <c r="M39" s="224">
        <f t="shared" si="1"/>
        <v>2.569444444088731E-2</v>
      </c>
      <c r="N39" s="225">
        <f t="shared" si="23"/>
        <v>36.999999994877726</v>
      </c>
      <c r="O39" s="225"/>
      <c r="P39" s="225"/>
      <c r="Q39" s="228"/>
      <c r="R39" s="242"/>
      <c r="S39" s="249">
        <f t="shared" si="2"/>
        <v>1</v>
      </c>
      <c r="T39" s="242" t="str">
        <f t="shared" si="3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-18T05:54:28-0700',mode:absolute,to:'2017-12-18T08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47" t="str">
        <f>IF(AA39&lt;VLOOKUP(AG39,Variables!$AC$3:$AD$8,2,FALSE),"Y","N")</f>
        <v>N</v>
      </c>
      <c r="X39" s="247">
        <f t="shared" si="5"/>
        <v>1</v>
      </c>
      <c r="Y39" s="247">
        <f t="shared" si="6"/>
        <v>5.28E-2</v>
      </c>
      <c r="Z39" s="247">
        <f t="shared" si="7"/>
        <v>23.328499999999998</v>
      </c>
      <c r="AA39" s="247">
        <f t="shared" si="8"/>
        <v>23.275699999999997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9"/>
        <v>127</v>
      </c>
      <c r="AE39" s="235" t="str">
        <f t="shared" si="10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39" s="234" t="str">
        <f t="shared" si="11"/>
        <v>"C:\Program Files (x86)\AstroGrep\AstroGrep.exe" /e /r /s /spath="%USERPROFILE%\AppData\Local\Temp\OnboardLogs" /stypes="app*4050*20171218*" /stext=" 14:.+((SYSTEM_STATE.+slice.+state.+changed )|(ment ac)|(multiple cpu faults)|(system.+state.+changed )|(\[timeout)|(PRM\|1\|D)|(kpr)|(kdp)|(train st.+moving)|(\|lc)|(penalty))"</v>
      </c>
      <c r="AG39" s="244" t="str">
        <f t="shared" si="12"/>
        <v>EC</v>
      </c>
      <c r="AH39" s="236" t="str">
        <f t="shared" si="18"/>
        <v>"%USERPROFILE%\Documents\GitHub\eaglep3\Utilities\RefineRTDCRunTimes.py" --tripid 127-18 --locoid 4050 --swversion DE.1.0.9.0 --startMP 204:528 --initTime 2017-12-18T06:54:28 --startdatetime 2017-12-18T07:00:20 --delay 65 --endMP 204:233285 --enddatetime 2017-12-18T07:37:20 --enforcementcount 0 &gt;&gt;%USERPROFILE%\Documents\GitHub\eaglep3-reporting\EC\2017-12-18-refined-times.txt</v>
      </c>
      <c r="AI39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{"issue":{"subject":"","project_id":79,"tracker_id":40,"status_id":1,"priority_id":2,"assigned_to_id":338,"start_date":"2017-12-18","description":"","custom_fields":[{"id":1,"name":"Subdivision","value":"EC"},{"id":4,"name":"Milepost","value":"23.3285"},{"id":17,"name":"Train ID","value":"127-18"},{"id":16,"name":"Locomotive ID","value":"4050"},{"id":130,"name":"Impact","value":""},{"id":150,"name":"Time of Event (Mountain Time)","value":"07:37:20"},{"id":151,"name":"Denver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0"/>
        <v>start /low /b %USERPROFILE%\Documents\GitHub\eaglep3\Utilities\DownloadLogsFromS3.py --loco 4050 --day 2017-12-18</v>
      </c>
      <c r="AN39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2"/>
        <v>https://d0f6bd738d7f1b3e5a7ca70fe4ff75f0.us-east-1.aws.found.io/app/kibana#/discover/Steve-Slow-Train-Analysis-(2080s-and-2083s)?_g=(refreshInterval:(display:Off,pause:!f,section:0,value:0),time:(from:'2017-12-18T05:54:28-0700',mode:absolute,to:'2017-12-18T08:37:20-0700'))&amp;_a=(columns:!('Message%20ID',Summary),filters:!(),index:'emp_*',interval:auto,query:(query_string:(analyze_wildcard:!t,query:'%22rtdc.l.rtdc.4050%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668</v>
      </c>
      <c r="B40" s="225">
        <v>4049</v>
      </c>
      <c r="C40" s="227" t="s">
        <v>192</v>
      </c>
      <c r="D40" s="227" t="s">
        <v>566</v>
      </c>
      <c r="E40" s="226">
        <v>43087.319444444445</v>
      </c>
      <c r="F40" s="226">
        <v>43087.331469907411</v>
      </c>
      <c r="G40" s="225">
        <v>55</v>
      </c>
      <c r="H40" s="227" t="s">
        <v>620</v>
      </c>
      <c r="I40" s="226">
        <v>43087.359791666669</v>
      </c>
      <c r="J40" s="225">
        <v>0</v>
      </c>
      <c r="K40" s="237" t="str">
        <f t="shared" si="0"/>
        <v>4049/4050</v>
      </c>
      <c r="L40" s="245" t="str">
        <f>VLOOKUP(A40,'Trips&amp;Operators'!$C$1:$G$99911,5,FALSE)</f>
        <v>DAVIDSON DAVID</v>
      </c>
      <c r="M40" s="224">
        <f t="shared" si="1"/>
        <v>2.8321759258687962E-2</v>
      </c>
      <c r="N40" s="225">
        <f t="shared" si="23"/>
        <v>40.783333332510665</v>
      </c>
      <c r="O40" s="225"/>
      <c r="P40" s="225"/>
      <c r="Q40" s="228"/>
      <c r="R40" s="242"/>
      <c r="S40" s="249">
        <f t="shared" si="2"/>
        <v>1</v>
      </c>
      <c r="T40" s="242" t="str">
        <f t="shared" si="3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-18T06:40:00-0700',mode:absolute,to:'2017-12-18T09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47" t="str">
        <f>IF(AA40&lt;VLOOKUP(AG40,Variables!$AC$3:$AD$8,2,FALSE),"Y","N")</f>
        <v>N</v>
      </c>
      <c r="X40" s="247">
        <f t="shared" si="5"/>
        <v>1</v>
      </c>
      <c r="Y40" s="247">
        <f t="shared" si="6"/>
        <v>23.295300000000001</v>
      </c>
      <c r="Z40" s="247">
        <f t="shared" si="7"/>
        <v>2.4199999999999999E-2</v>
      </c>
      <c r="AA40" s="247">
        <f t="shared" si="8"/>
        <v>23.271100000000001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9"/>
        <v>128</v>
      </c>
      <c r="AE40" s="235" t="str">
        <f t="shared" si="10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40" s="234" t="str">
        <f t="shared" si="11"/>
        <v>"C:\Program Files (x86)\AstroGrep\AstroGrep.exe" /e /r /s /spath="%USERPROFILE%\AppData\Local\Temp\OnboardLogs" /stypes="app*4049*20171218*" /stext=" 15:.+((SYSTEM_STATE.+slice.+state.+changed )|(ment ac)|(multiple cpu faults)|(system.+state.+changed )|(\[timeout)|(PRM\|1\|D)|(kpr)|(kdp)|(train st.+moving)|(\|lc)|(penalty))"</v>
      </c>
      <c r="AG40" s="244" t="str">
        <f t="shared" si="12"/>
        <v>EC</v>
      </c>
      <c r="AH40" s="236" t="str">
        <f t="shared" si="18"/>
        <v>"%USERPROFILE%\Documents\GitHub\eaglep3\Utilities\RefineRTDCRunTimes.py" --tripid 128-18 --locoid 4049 --swversion DE.1.0.9.0 --startMP 204:232953 --initTime 2017-12-18T07:40:00 --startdatetime 2017-12-18T07:57:19 --delay 55 --endMP 204:242 --enddatetime 2017-12-18T08:38:06 --enforcementcount 0 &gt;&gt;%USERPROFILE%\Documents\GitHub\eaglep3-reporting\EC\2017-12-18-refined-times.txt</v>
      </c>
      <c r="AI4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{"issue":{"subject":"","project_id":79,"tracker_id":40,"status_id":1,"priority_id":2,"assigned_to_id":338,"start_date":"2017-12-18","description":"","custom_fields":[{"id":1,"name":"Subdivision","value":"EC"},{"id":4,"name":"Milepost","value":"0.0242"},{"id":17,"name":"Train ID","value":"128-18"},{"id":16,"name":"Locomotive ID","value":"4049"},{"id":130,"name":"Impact","value":""},{"id":150,"name":"Time of Event (Mountain Time)","value":"08:38:06"},{"id":151,"name":"Denver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0"/>
        <v>start /low /b %USERPROFILE%\Documents\GitHub\eaglep3\Utilities\DownloadLogsFromS3.py --loco 4049 --day 2017-12-18</v>
      </c>
      <c r="AN4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2"/>
        <v>https://d0f6bd738d7f1b3e5a7ca70fe4ff75f0.us-east-1.aws.found.io/app/kibana#/discover/Steve-Slow-Train-Analysis-(2080s-and-2083s)?_g=(refreshInterval:(display:Off,pause:!f,section:0,value:0),time:(from:'2017-12-18T06:40:00-0700',mode:absolute,to:'2017-12-18T09:38:06-0700'))&amp;_a=(columns:!('Message%20ID',Summary),filters:!(),index:'emp_*',interval:auto,query:(query_string:(analyze_wildcard:!t,query:'%22rtdc.l.rtdc.4049%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666</v>
      </c>
      <c r="B41" s="225">
        <v>4016</v>
      </c>
      <c r="C41" s="227" t="s">
        <v>192</v>
      </c>
      <c r="D41" s="227" t="s">
        <v>545</v>
      </c>
      <c r="E41" s="226">
        <v>43087.299791666665</v>
      </c>
      <c r="F41" s="226">
        <v>43087.302245370367</v>
      </c>
      <c r="G41" s="225">
        <v>65</v>
      </c>
      <c r="H41" s="227" t="s">
        <v>549</v>
      </c>
      <c r="I41" s="226">
        <v>43087.329050925924</v>
      </c>
      <c r="J41" s="225">
        <v>0</v>
      </c>
      <c r="K41" s="237" t="str">
        <f t="shared" si="0"/>
        <v>4015/4016</v>
      </c>
      <c r="L41" s="245" t="str">
        <f>VLOOKUP(A41,'Trips&amp;Operators'!$C$1:$G$99911,5,FALSE)</f>
        <v>STARKS ANGELINA</v>
      </c>
      <c r="M41" s="224">
        <f t="shared" si="1"/>
        <v>2.6805555557075422E-2</v>
      </c>
      <c r="N41" s="225">
        <f t="shared" si="23"/>
        <v>38.600000002188608</v>
      </c>
      <c r="O41" s="225"/>
      <c r="P41" s="225"/>
      <c r="Q41" s="228"/>
      <c r="R41" s="242"/>
      <c r="S41" s="249">
        <f t="shared" si="2"/>
        <v>1</v>
      </c>
      <c r="T41" s="242" t="str">
        <f t="shared" si="3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-18T06:11:42-0700',mode:absolute,to:'2017-12-18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47" t="str">
        <f>IF(AA41&lt;VLOOKUP(AG41,Variables!$AC$3:$AD$8,2,FALSE),"Y","N")</f>
        <v>N</v>
      </c>
      <c r="X41" s="247">
        <f t="shared" si="5"/>
        <v>1</v>
      </c>
      <c r="Y41" s="247">
        <f t="shared" si="6"/>
        <v>4.6199999999999998E-2</v>
      </c>
      <c r="Z41" s="247">
        <f t="shared" si="7"/>
        <v>23.328600000000002</v>
      </c>
      <c r="AA41" s="247">
        <f t="shared" si="8"/>
        <v>23.282400000000003</v>
      </c>
      <c r="AB41" s="233" t="str">
        <f>VLOOKUP(A41,Enforcements!$C$7:$K$9,8,0)</f>
        <v>Bulletin (2)</v>
      </c>
      <c r="AC41" s="232" t="str">
        <f>VLOOKUP(A41,Enforcements!$C$7:$E$9,3,0)</f>
        <v>GRADE CROSSING</v>
      </c>
      <c r="AD41" s="243">
        <f t="shared" si="9"/>
        <v>129</v>
      </c>
      <c r="AE41" s="235" t="str">
        <f t="shared" si="10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41" s="234" t="str">
        <f t="shared" si="11"/>
        <v>"C:\Program Files (x86)\AstroGrep\AstroGrep.exe" /e /r /s /spath="%USERPROFILE%\AppData\Local\Temp\OnboardLogs" /stypes="app*4016*20171218*" /stext=" 14:.+((SYSTEM_STATE.+slice.+state.+changed )|(ment ac)|(multiple cpu faults)|(system.+state.+changed )|(\[timeout)|(PRM\|1\|D)|(kpr)|(kdp)|(train st.+moving)|(\|lc)|(penalty))"</v>
      </c>
      <c r="AG41" s="244" t="str">
        <f t="shared" si="12"/>
        <v>EC</v>
      </c>
      <c r="AH41" s="236" t="str">
        <f t="shared" si="18"/>
        <v>"%USERPROFILE%\Documents\GitHub\eaglep3\Utilities\RefineRTDCRunTimes.py" --tripid 129-18 --locoid 4016 --swversion DE.1.0.9.0 --startMP 204:462 --initTime 2017-12-18T07:11:42 --startdatetime 2017-12-18T07:15:14 --delay 65 --endMP 204:233286 --enddatetime 2017-12-18T07:53:50 --enforcementcount 0 &gt;&gt;%USERPROFILE%\Documents\GitHub\eaglep3-reporting\EC\2017-12-18-refined-times.txt</v>
      </c>
      <c r="AI4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{"issue":{"subject":"","project_id":79,"tracker_id":40,"status_id":1,"priority_id":2,"assigned_to_id":338,"start_date":"2017-12-18","description":"","custom_fields":[{"id":1,"name":"Subdivision","value":"EC"},{"id":4,"name":"Milepost","value":"23.3286"},{"id":17,"name":"Train ID","value":"129-18"},{"id":16,"name":"Locomotive ID","value":"4016"},{"id":130,"name":"Impact","value":""},{"id":150,"name":"Time of Event (Mountain Time)","value":"07:53:50"},{"id":151,"name":"Denver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0"/>
        <v>start /low /b %USERPROFILE%\Documents\GitHub\eaglep3\Utilities\DownloadLogsFromS3.py --loco 4016 --day 2017-12-18</v>
      </c>
      <c r="AN4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2"/>
        <v>https://d0f6bd738d7f1b3e5a7ca70fe4ff75f0.us-east-1.aws.found.io/app/kibana#/discover/Steve-Slow-Train-Analysis-(2080s-and-2083s)?_g=(refreshInterval:(display:Off,pause:!f,section:0,value:0),time:(from:'2017-12-18T06:11:42-0700',mode:absolute,to:'2017-12-18T08:53:50-0700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737</v>
      </c>
      <c r="B42" s="225">
        <v>4015</v>
      </c>
      <c r="C42" s="227" t="s">
        <v>192</v>
      </c>
      <c r="D42" s="227" t="s">
        <v>608</v>
      </c>
      <c r="E42" s="226">
        <v>43087.340208333335</v>
      </c>
      <c r="F42" s="226">
        <v>43087.342083333337</v>
      </c>
      <c r="G42" s="225">
        <v>56</v>
      </c>
      <c r="H42" s="227" t="s">
        <v>601</v>
      </c>
      <c r="I42" s="226">
        <v>43087.369016203702</v>
      </c>
      <c r="J42" s="225">
        <v>0</v>
      </c>
      <c r="K42" s="237" t="str">
        <f t="shared" si="0"/>
        <v>4015/4016</v>
      </c>
      <c r="L42" s="245" t="str">
        <f>VLOOKUP(A42,'Trips&amp;Operators'!$C$1:$G$99911,5,FALSE)</f>
        <v>STARKS ANGELINA</v>
      </c>
      <c r="M42" s="224">
        <f t="shared" si="1"/>
        <v>2.693287036527181E-2</v>
      </c>
      <c r="N42" s="225">
        <f t="shared" si="23"/>
        <v>38.783333325991407</v>
      </c>
      <c r="O42" s="225"/>
      <c r="P42" s="225"/>
      <c r="Q42" s="228"/>
      <c r="R42" s="242"/>
      <c r="S42" s="249">
        <f t="shared" si="2"/>
        <v>1</v>
      </c>
      <c r="T42" s="242" t="str">
        <f t="shared" si="3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-18T07:09:54-0700',mode:absolute,to:'2017-12-18T09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47" t="str">
        <f>IF(AA42&lt;VLOOKUP(AG42,Variables!$AC$3:$AD$8,2,FALSE),"Y","N")</f>
        <v>N</v>
      </c>
      <c r="X42" s="247">
        <f t="shared" si="5"/>
        <v>1</v>
      </c>
      <c r="Y42" s="247">
        <f t="shared" si="6"/>
        <v>23.2973</v>
      </c>
      <c r="Z42" s="247">
        <f t="shared" si="7"/>
        <v>1.4500000000000001E-2</v>
      </c>
      <c r="AA42" s="247">
        <f t="shared" si="8"/>
        <v>23.282799999999998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9"/>
        <v>130</v>
      </c>
      <c r="AE42" s="235" t="str">
        <f t="shared" si="10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42" s="234" t="str">
        <f t="shared" si="11"/>
        <v>"C:\Program Files (x86)\AstroGrep\AstroGrep.exe" /e /r /s /spath="%USERPROFILE%\AppData\Local\Temp\OnboardLogs" /stypes="app*4015*20171218*" /stext=" 15:.+((SYSTEM_STATE.+slice.+state.+changed )|(ment ac)|(multiple cpu faults)|(system.+state.+changed )|(\[timeout)|(PRM\|1\|D)|(kpr)|(kdp)|(train st.+moving)|(\|lc)|(penalty))"</v>
      </c>
      <c r="AG42" s="244" t="str">
        <f t="shared" si="12"/>
        <v>EC</v>
      </c>
      <c r="AH42" s="236" t="str">
        <f t="shared" si="18"/>
        <v>"%USERPROFILE%\Documents\GitHub\eaglep3\Utilities\RefineRTDCRunTimes.py" --tripid 130-18 --locoid 4015 --swversion DE.1.0.9.0 --startMP 204:232973 --initTime 2017-12-18T08:09:54 --startdatetime 2017-12-18T08:12:36 --delay 56 --endMP 204:145 --enddatetime 2017-12-18T08:51:23 --enforcementcount 0 &gt;&gt;%USERPROFILE%\Documents\GitHub\eaglep3-reporting\EC\2017-12-18-refined-times.txt</v>
      </c>
      <c r="AI4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{"issue":{"subject":"","project_id":79,"tracker_id":40,"status_id":1,"priority_id":2,"assigned_to_id":338,"start_date":"2017-12-18","description":"","custom_fields":[{"id":1,"name":"Subdivision","value":"EC"},{"id":4,"name":"Milepost","value":"0.0145"},{"id":17,"name":"Train ID","value":"130-18"},{"id":16,"name":"Locomotive ID","value":"4015"},{"id":130,"name":"Impact","value":""},{"id":150,"name":"Time of Event (Mountain Time)","value":"08:51:23"},{"id":151,"name":"Denver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0"/>
        <v>start /low /b %USERPROFILE%\Documents\GitHub\eaglep3\Utilities\DownloadLogsFromS3.py --loco 4015 --day 2017-12-18</v>
      </c>
      <c r="AN4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2"/>
        <v>https://d0f6bd738d7f1b3e5a7ca70fe4ff75f0.us-east-1.aws.found.io/app/kibana#/discover/Steve-Slow-Train-Analysis-(2080s-and-2083s)?_g=(refreshInterval:(display:Off,pause:!f,section:0,value:0),time:(from:'2017-12-18T07:09:54-0700',mode:absolute,to:'2017-12-18T09:51:23-0700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731</v>
      </c>
      <c r="B43" s="225">
        <v>4026</v>
      </c>
      <c r="C43" s="227" t="s">
        <v>192</v>
      </c>
      <c r="D43" s="227" t="s">
        <v>919</v>
      </c>
      <c r="E43" s="226">
        <v>43087.305821759262</v>
      </c>
      <c r="F43" s="226">
        <v>43087.312708333331</v>
      </c>
      <c r="G43" s="225">
        <v>193</v>
      </c>
      <c r="H43" s="227" t="s">
        <v>920</v>
      </c>
      <c r="I43" s="226">
        <v>43087.337187500001</v>
      </c>
      <c r="J43" s="225">
        <v>0</v>
      </c>
      <c r="K43" s="237" t="str">
        <f t="shared" si="0"/>
        <v>4025/4026</v>
      </c>
      <c r="L43" s="245" t="str">
        <f>VLOOKUP(A43,'Trips&amp;Operators'!$C$1:$G$99911,5,FALSE)</f>
        <v>LAMAR NEKESHA</v>
      </c>
      <c r="M43" s="224">
        <f t="shared" si="1"/>
        <v>2.4479166670062114E-2</v>
      </c>
      <c r="N43" s="225">
        <f t="shared" si="23"/>
        <v>35.250000004889444</v>
      </c>
      <c r="O43" s="225"/>
      <c r="P43" s="225"/>
      <c r="Q43" s="228"/>
      <c r="R43" s="242"/>
      <c r="S43" s="249">
        <f t="shared" si="2"/>
        <v>1</v>
      </c>
      <c r="T43" s="242" t="str">
        <f t="shared" si="3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-18T06:20:23-0700',mode:absolute,to:'2017-12-18T09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7" t="str">
        <f>IF(AA43&lt;VLOOKUP(AG43,Variables!$AC$3:$AD$8,2,FALSE),"Y","N")</f>
        <v>N</v>
      </c>
      <c r="X43" s="247">
        <f t="shared" si="5"/>
        <v>1</v>
      </c>
      <c r="Y43" s="247">
        <f t="shared" si="6"/>
        <v>5.3900000000000003E-2</v>
      </c>
      <c r="Z43" s="247">
        <f t="shared" si="7"/>
        <v>23.330200000000001</v>
      </c>
      <c r="AA43" s="247">
        <f t="shared" si="8"/>
        <v>23.276300000000003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9"/>
        <v>131</v>
      </c>
      <c r="AE43" s="235" t="str">
        <f t="shared" si="10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43" s="234" t="str">
        <f t="shared" si="11"/>
        <v>"C:\Program Files (x86)\AstroGrep\AstroGrep.exe" /e /r /s /spath="%USERPROFILE%\AppData\Local\Temp\OnboardLogs" /stypes="app*4026*20171218*" /stext=" 15:.+((SYSTEM_STATE.+slice.+state.+changed )|(ment ac)|(multiple cpu faults)|(system.+state.+changed )|(\[timeout)|(PRM\|1\|D)|(kpr)|(kdp)|(train st.+moving)|(\|lc)|(penalty))"</v>
      </c>
      <c r="AG43" s="244" t="str">
        <f t="shared" si="12"/>
        <v>EC</v>
      </c>
      <c r="AH43" s="236" t="str">
        <f t="shared" si="18"/>
        <v>"%USERPROFILE%\Documents\GitHub\eaglep3\Utilities\RefineRTDCRunTimes.py" --tripid 131-18 --locoid 4026 --swversion DE.1.0.9.0 --startMP 204:539 --initTime 2017-12-18T07:20:23 --startdatetime 2017-12-18T07:30:18 --delay 193 --endMP 204:233302 --enddatetime 2017-12-18T08:05:33 --enforcementcount 0 &gt;&gt;%USERPROFILE%\Documents\GitHub\eaglep3-reporting\EC\2017-12-18-refined-times.txt</v>
      </c>
      <c r="AI4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{"issue":{"subject":"","project_id":79,"tracker_id":40,"status_id":1,"priority_id":2,"assigned_to_id":338,"start_date":"2017-12-18","description":"","custom_fields":[{"id":1,"name":"Subdivision","value":"EC"},{"id":4,"name":"Milepost","value":"23.3302"},{"id":17,"name":"Train ID","value":"131-18"},{"id":16,"name":"Locomotive ID","value":"4026"},{"id":130,"name":"Impact","value":""},{"id":150,"name":"Time of Event (Mountain Time)","value":"08:05:33"},{"id":151,"name":"Denver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0"/>
        <v>start /low /b %USERPROFILE%\Documents\GitHub\eaglep3\Utilities\DownloadLogsFromS3.py --loco 4026 --day 2017-12-18</v>
      </c>
      <c r="AN4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2"/>
        <v>https://d0f6bd738d7f1b3e5a7ca70fe4ff75f0.us-east-1.aws.found.io/app/kibana#/discover/Steve-Slow-Train-Analysis-(2080s-and-2083s)?_g=(refreshInterval:(display:Off,pause:!f,section:0,value:0),time:(from:'2017-12-18T06:20:23-0700',mode:absolute,to:'2017-12-18T09:05:33-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674</v>
      </c>
      <c r="B44" s="225">
        <v>4025</v>
      </c>
      <c r="C44" s="227" t="s">
        <v>192</v>
      </c>
      <c r="D44" s="227" t="s">
        <v>906</v>
      </c>
      <c r="E44" s="226">
        <v>43087.350717592592</v>
      </c>
      <c r="F44" s="226">
        <v>43087.35224537037</v>
      </c>
      <c r="G44" s="225">
        <v>57</v>
      </c>
      <c r="H44" s="227" t="s">
        <v>476</v>
      </c>
      <c r="I44" s="226">
        <v>43087.378287037034</v>
      </c>
      <c r="J44" s="225">
        <v>0</v>
      </c>
      <c r="K44" s="237" t="str">
        <f t="shared" si="0"/>
        <v>4025/4026</v>
      </c>
      <c r="L44" s="245" t="str">
        <f>VLOOKUP(A44,'Trips&amp;Operators'!$C$1:$G$99911,5,FALSE)</f>
        <v>LAMAR NEKESHA</v>
      </c>
      <c r="M44" s="224">
        <f t="shared" si="1"/>
        <v>2.6041666664241347E-2</v>
      </c>
      <c r="N44" s="225">
        <f t="shared" si="23"/>
        <v>37.49999999650754</v>
      </c>
      <c r="O44" s="225"/>
      <c r="P44" s="225"/>
      <c r="Q44" s="228"/>
      <c r="R44" s="242"/>
      <c r="S44" s="249">
        <f t="shared" si="2"/>
        <v>1</v>
      </c>
      <c r="T44" s="242" t="str">
        <f t="shared" si="3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-18T07:25:02-0700',mode:absolute,to:'2017-12-18T10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7" t="str">
        <f>IF(AA44&lt;VLOOKUP(AG44,Variables!$AC$3:$AD$8,2,FALSE),"Y","N")</f>
        <v>N</v>
      </c>
      <c r="X44" s="247">
        <f t="shared" si="5"/>
        <v>1</v>
      </c>
      <c r="Y44" s="247">
        <f t="shared" si="6"/>
        <v>23.298300000000001</v>
      </c>
      <c r="Z44" s="247">
        <f t="shared" si="7"/>
        <v>2.0299999999999999E-2</v>
      </c>
      <c r="AA44" s="247">
        <f t="shared" si="8"/>
        <v>23.278000000000002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9"/>
        <v>132</v>
      </c>
      <c r="AE44" s="235" t="str">
        <f t="shared" si="10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44" s="234" t="str">
        <f t="shared" si="11"/>
        <v>"C:\Program Files (x86)\AstroGrep\AstroGrep.exe" /e /r /s /spath="%USERPROFILE%\AppData\Local\Temp\OnboardLogs" /stypes="app*4025*20171218*" /stext=" 16:.+((SYSTEM_STATE.+slice.+state.+changed )|(ment ac)|(multiple cpu faults)|(system.+state.+changed )|(\[timeout)|(PRM\|1\|D)|(kpr)|(kdp)|(train st.+moving)|(\|lc)|(penalty))"</v>
      </c>
      <c r="AG44" s="244" t="str">
        <f t="shared" si="12"/>
        <v>EC</v>
      </c>
      <c r="AH44" s="236" t="str">
        <f t="shared" si="18"/>
        <v>"%USERPROFILE%\Documents\GitHub\eaglep3\Utilities\RefineRTDCRunTimes.py" --tripid 132-18 --locoid 4025 --swversion DE.1.0.9.0 --startMP 204:232983 --initTime 2017-12-18T08:25:02 --startdatetime 2017-12-18T08:27:14 --delay 57 --endMP 204:203 --enddatetime 2017-12-18T09:04:44 --enforcementcount 0 &gt;&gt;%USERPROFILE%\Documents\GitHub\eaglep3-reporting\EC\2017-12-18-refined-times.txt</v>
      </c>
      <c r="AI4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{"issue":{"subject":"","project_id":79,"tracker_id":40,"status_id":1,"priority_id":2,"assigned_to_id":338,"start_date":"2017-12-18","description":"","custom_fields":[{"id":1,"name":"Subdivision","value":"EC"},{"id":4,"name":"Milepost","value":"0.0203"},{"id":17,"name":"Train ID","value":"132-18"},{"id":16,"name":"Locomotive ID","value":"4025"},{"id":130,"name":"Impact","value":""},{"id":150,"name":"Time of Event (Mountain Time)","value":"09:04:44"},{"id":151,"name":"Denver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0"/>
        <v>start /low /b %USERPROFILE%\Documents\GitHub\eaglep3\Utilities\DownloadLogsFromS3.py --loco 4025 --day 2017-12-18</v>
      </c>
      <c r="AN4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2"/>
        <v>https://d0f6bd738d7f1b3e5a7ca70fe4ff75f0.us-east-1.aws.found.io/app/kibana#/discover/Steve-Slow-Train-Analysis-(2080s-and-2083s)?_g=(refreshInterval:(display:Off,pause:!f,section:0,value:0),time:(from:'2017-12-18T07:25:02-0700',mode:absolute,to:'2017-12-18T10:04:44-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734</v>
      </c>
      <c r="B45" s="225">
        <v>4010</v>
      </c>
      <c r="C45" s="227" t="s">
        <v>192</v>
      </c>
      <c r="D45" s="227" t="s">
        <v>921</v>
      </c>
      <c r="E45" s="226">
        <v>43087.317037037035</v>
      </c>
      <c r="F45" s="226">
        <v>43087.323182870372</v>
      </c>
      <c r="G45" s="225">
        <v>47</v>
      </c>
      <c r="H45" s="227" t="s">
        <v>602</v>
      </c>
      <c r="I45" s="226">
        <v>43087.34815972222</v>
      </c>
      <c r="J45" s="225">
        <v>0</v>
      </c>
      <c r="K45" s="237" t="str">
        <f t="shared" si="0"/>
        <v>4009/4010</v>
      </c>
      <c r="L45" s="245" t="str">
        <f>VLOOKUP(A45,'Trips&amp;Operators'!$C$1:$G$99911,5,FALSE)</f>
        <v>YORK EDGAR</v>
      </c>
      <c r="M45" s="224">
        <f t="shared" ref="M45:M76" si="24">I45-F45</f>
        <v>2.4976851847895887E-2</v>
      </c>
      <c r="N45" s="225">
        <f t="shared" si="23"/>
        <v>35.966666660970077</v>
      </c>
      <c r="O45" s="225"/>
      <c r="P45" s="225"/>
      <c r="Q45" s="228"/>
      <c r="R45" s="242"/>
      <c r="S45" s="249">
        <f t="shared" si="2"/>
        <v>1</v>
      </c>
      <c r="T45" s="242" t="str">
        <f t="shared" si="3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-18T06:36:32-0700',mode:absolute,to:'2017-12-18T09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7" t="str">
        <f>IF(AA45&lt;VLOOKUP(AG45,Variables!$AC$3:$AD$8,2,FALSE),"Y","N")</f>
        <v>N</v>
      </c>
      <c r="X45" s="247">
        <f t="shared" ref="X45:X76" si="25">VALUE(LEFT(AD45,4))-VALUE(LEFT(AD44,4))</f>
        <v>1</v>
      </c>
      <c r="Y45" s="247">
        <f t="shared" si="6"/>
        <v>4.3700000000000003E-2</v>
      </c>
      <c r="Z45" s="247">
        <f t="shared" si="7"/>
        <v>23.328900000000001</v>
      </c>
      <c r="AA45" s="247">
        <f t="shared" si="8"/>
        <v>23.2852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9"/>
        <v>133</v>
      </c>
      <c r="AE45" s="235" t="str">
        <f t="shared" si="10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45" s="234" t="str">
        <f t="shared" si="11"/>
        <v>"C:\Program Files (x86)\AstroGrep\AstroGrep.exe" /e /r /s /spath="%USERPROFILE%\AppData\Local\Temp\OnboardLogs" /stypes="app*4010*20171218*" /stext=" 15:.+((SYSTEM_STATE.+slice.+state.+changed )|(ment ac)|(multiple cpu faults)|(system.+state.+changed )|(\[timeout)|(PRM\|1\|D)|(kpr)|(kdp)|(train st.+moving)|(\|lc)|(penalty))"</v>
      </c>
      <c r="AG45" s="244" t="str">
        <f t="shared" si="12"/>
        <v>EC</v>
      </c>
      <c r="AH45" s="236" t="str">
        <f t="shared" si="18"/>
        <v>"%USERPROFILE%\Documents\GitHub\eaglep3\Utilities\RefineRTDCRunTimes.py" --tripid 133-18 --locoid 4010 --swversion DE.1.0.9.0 --startMP 204:437 --initTime 2017-12-18T07:36:32 --startdatetime 2017-12-18T07:45:23 --delay 47 --endMP 204:233289 --enddatetime 2017-12-18T08:21:21 --enforcementcount 0 &gt;&gt;%USERPROFILE%\Documents\GitHub\eaglep3-reporting\EC\2017-12-18-refined-times.txt</v>
      </c>
      <c r="AI4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{"issue":{"subject":"","project_id":79,"tracker_id":40,"status_id":1,"priority_id":2,"assigned_to_id":338,"start_date":"2017-12-18","description":"","custom_fields":[{"id":1,"name":"Subdivision","value":"EC"},{"id":4,"name":"Milepost","value":"23.3289"},{"id":17,"name":"Train ID","value":"133-18"},{"id":16,"name":"Locomotive ID","value":"4010"},{"id":130,"name":"Impact","value":""},{"id":150,"name":"Time of Event (Mountain Time)","value":"08:21:21"},{"id":151,"name":"Denver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0"/>
        <v>start /low /b %USERPROFILE%\Documents\GitHub\eaglep3\Utilities\DownloadLogsFromS3.py --loco 4010 --day 2017-12-18</v>
      </c>
      <c r="AN4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2"/>
        <v>https://d0f6bd738d7f1b3e5a7ca70fe4ff75f0.us-east-1.aws.found.io/app/kibana#/discover/Steve-Slow-Train-Analysis-(2080s-and-2083s)?_g=(refreshInterval:(display:Off,pause:!f,section:0,value:0),time:(from:'2017-12-18T06:36:32-0700',mode:absolute,to:'2017-12-18T09:21:21-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739</v>
      </c>
      <c r="B46" s="225">
        <v>4009</v>
      </c>
      <c r="C46" s="227" t="s">
        <v>192</v>
      </c>
      <c r="D46" s="227" t="s">
        <v>611</v>
      </c>
      <c r="E46" s="226">
        <v>43087.360300925924</v>
      </c>
      <c r="F46" s="226">
        <v>43087.362743055557</v>
      </c>
      <c r="G46" s="225">
        <v>55</v>
      </c>
      <c r="H46" s="227" t="s">
        <v>907</v>
      </c>
      <c r="I46" s="226">
        <v>43087.389247685183</v>
      </c>
      <c r="J46" s="225">
        <v>0</v>
      </c>
      <c r="K46" s="237" t="str">
        <f t="shared" si="0"/>
        <v>4009/4010</v>
      </c>
      <c r="L46" s="245" t="str">
        <f>VLOOKUP(A46,'Trips&amp;Operators'!$C$1:$G$99911,5,FALSE)</f>
        <v>YORK EDGAR</v>
      </c>
      <c r="M46" s="224">
        <f t="shared" si="24"/>
        <v>2.6504629626288079E-2</v>
      </c>
      <c r="N46" s="225">
        <f t="shared" si="23"/>
        <v>38.166666661854833</v>
      </c>
      <c r="O46" s="225"/>
      <c r="P46" s="225"/>
      <c r="Q46" s="228"/>
      <c r="R46" s="242"/>
      <c r="S46" s="249">
        <f t="shared" si="2"/>
        <v>1</v>
      </c>
      <c r="T46" s="242" t="str">
        <f t="shared" si="3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-18T07:38:50-0700',mode:absolute,to:'2017-12-18T10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7" t="str">
        <f>IF(AA46&lt;VLOOKUP(AG46,Variables!$AC$3:$AD$8,2,FALSE),"Y","N")</f>
        <v>N</v>
      </c>
      <c r="X46" s="247">
        <f t="shared" si="25"/>
        <v>1</v>
      </c>
      <c r="Y46" s="247">
        <f t="shared" si="6"/>
        <v>23.295000000000002</v>
      </c>
      <c r="Z46" s="247">
        <f t="shared" si="7"/>
        <v>1.52E-2</v>
      </c>
      <c r="AA46" s="247">
        <f t="shared" si="8"/>
        <v>23.279800000000002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9"/>
        <v>134</v>
      </c>
      <c r="AE46" s="235" t="str">
        <f t="shared" si="10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46" s="234" t="str">
        <f t="shared" si="11"/>
        <v>"C:\Program Files (x86)\AstroGrep\AstroGrep.exe" /e /r /s /spath="%USERPROFILE%\AppData\Local\Temp\OnboardLogs" /stypes="app*4009*20171218*" /stext=" 16:.+((SYSTEM_STATE.+slice.+state.+changed )|(ment ac)|(multiple cpu faults)|(system.+state.+changed )|(\[timeout)|(PRM\|1\|D)|(kpr)|(kdp)|(train st.+moving)|(\|lc)|(penalty))"</v>
      </c>
      <c r="AG46" s="244" t="str">
        <f t="shared" si="12"/>
        <v>EC</v>
      </c>
      <c r="AH46" s="236" t="str">
        <f t="shared" si="18"/>
        <v>"%USERPROFILE%\Documents\GitHub\eaglep3\Utilities\RefineRTDCRunTimes.py" --tripid 134-18 --locoid 4009 --swversion DE.1.0.9.0 --startMP 204:232950 --initTime 2017-12-18T08:38:50 --startdatetime 2017-12-18T08:42:21 --delay 55 --endMP 204:152 --enddatetime 2017-12-18T09:20:31 --enforcementcount 0 &gt;&gt;%USERPROFILE%\Documents\GitHub\eaglep3-reporting\EC\2017-12-18-refined-times.txt</v>
      </c>
      <c r="AI4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{"issue":{"subject":"","project_id":79,"tracker_id":40,"status_id":1,"priority_id":2,"assigned_to_id":338,"start_date":"2017-12-18","description":"","custom_fields":[{"id":1,"name":"Subdivision","value":"EC"},{"id":4,"name":"Milepost","value":"0.0152"},{"id":17,"name":"Train ID","value":"134-18"},{"id":16,"name":"Locomotive ID","value":"4009"},{"id":130,"name":"Impact","value":""},{"id":150,"name":"Time of Event (Mountain Time)","value":"09:20:31"},{"id":151,"name":"Denver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0"/>
        <v>start /low /b %USERPROFILE%\Documents\GitHub\eaglep3\Utilities\DownloadLogsFromS3.py --loco 4009 --day 2017-12-18</v>
      </c>
      <c r="AN4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2"/>
        <v>https://d0f6bd738d7f1b3e5a7ca70fe4ff75f0.us-east-1.aws.found.io/app/kibana#/discover/Steve-Slow-Train-Analysis-(2080s-and-2083s)?_g=(refreshInterval:(display:Off,pause:!f,section:0,value:0),time:(from:'2017-12-18T07:38:50-0700',mode:absolute,to:'2017-12-18T10:20:31-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735</v>
      </c>
      <c r="B47" s="225">
        <v>4044</v>
      </c>
      <c r="C47" s="227" t="s">
        <v>192</v>
      </c>
      <c r="D47" s="227" t="s">
        <v>524</v>
      </c>
      <c r="E47" s="226">
        <v>43087.330277777779</v>
      </c>
      <c r="F47" s="226">
        <v>43087.33353009259</v>
      </c>
      <c r="G47" s="225">
        <v>64</v>
      </c>
      <c r="H47" s="227" t="s">
        <v>563</v>
      </c>
      <c r="I47" s="226">
        <v>43087.357824074075</v>
      </c>
      <c r="J47" s="225">
        <v>0</v>
      </c>
      <c r="K47" s="237" t="str">
        <f t="shared" si="0"/>
        <v>4043/4044</v>
      </c>
      <c r="L47" s="245" t="str">
        <f>VLOOKUP(A47,'Trips&amp;Operators'!$C$1:$G$99911,5,FALSE)</f>
        <v>DELGADO DIANAH</v>
      </c>
      <c r="M47" s="224">
        <f t="shared" si="24"/>
        <v>2.4293981485243421E-2</v>
      </c>
      <c r="N47" s="225">
        <f t="shared" si="23"/>
        <v>34.983333338750526</v>
      </c>
      <c r="O47" s="225"/>
      <c r="P47" s="225"/>
      <c r="Q47" s="228"/>
      <c r="R47" s="242"/>
      <c r="S47" s="249">
        <f t="shared" si="2"/>
        <v>1</v>
      </c>
      <c r="T47" s="242" t="str">
        <f t="shared" si="3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-18T06:55:36-0700',mode:absolute,to:'2017-12-18T09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247" t="str">
        <f>IF(AA47&lt;VLOOKUP(AG47,Variables!$AC$3:$AD$8,2,FALSE),"Y","N")</f>
        <v>N</v>
      </c>
      <c r="X47" s="247">
        <f t="shared" si="25"/>
        <v>1</v>
      </c>
      <c r="Y47" s="247">
        <f t="shared" si="6"/>
        <v>4.58E-2</v>
      </c>
      <c r="Z47" s="247">
        <f t="shared" si="7"/>
        <v>23.331499999999998</v>
      </c>
      <c r="AA47" s="247">
        <f t="shared" si="8"/>
        <v>23.285699999999999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9"/>
        <v>135</v>
      </c>
      <c r="AE47" s="235" t="str">
        <f t="shared" si="10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47" s="234" t="str">
        <f t="shared" si="11"/>
        <v>"C:\Program Files (x86)\AstroGrep\AstroGrep.exe" /e /r /s /spath="%USERPROFILE%\AppData\Local\Temp\OnboardLogs" /stypes="app*4044*20171218*" /stext=" 15:.+((SYSTEM_STATE.+slice.+state.+changed )|(ment ac)|(multiple cpu faults)|(system.+state.+changed )|(\[timeout)|(PRM\|1\|D)|(kpr)|(kdp)|(train st.+moving)|(\|lc)|(penalty))"</v>
      </c>
      <c r="AG47" s="244" t="str">
        <f t="shared" si="12"/>
        <v>EC</v>
      </c>
      <c r="AH47" s="236" t="str">
        <f t="shared" si="18"/>
        <v>"%USERPROFILE%\Documents\GitHub\eaglep3\Utilities\RefineRTDCRunTimes.py" --tripid 135-18 --locoid 4044 --swversion DE.1.0.9.0 --startMP 204:458 --initTime 2017-12-18T07:55:36 --startdatetime 2017-12-18T08:00:17 --delay 64 --endMP 204:233315 --enddatetime 2017-12-18T08:35:16 --enforcementcount 0 &gt;&gt;%USERPROFILE%\Documents\GitHub\eaglep3-reporting\EC\2017-12-18-refined-times.txt</v>
      </c>
      <c r="AI4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{"issue":{"subject":"","project_id":79,"tracker_id":40,"status_id":1,"priority_id":2,"assigned_to_id":338,"start_date":"2017-12-18","description":"","custom_fields":[{"id":1,"name":"Subdivision","value":"EC"},{"id":4,"name":"Milepost","value":"23.3315"},{"id":17,"name":"Train ID","value":"135-18"},{"id":16,"name":"Locomotive ID","value":"4044"},{"id":130,"name":"Impact","value":""},{"id":150,"name":"Time of Event (Mountain Time)","value":"08:35:16"},{"id":151,"name":"Denver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0"/>
        <v>start /low /b %USERPROFILE%\Documents\GitHub\eaglep3\Utilities\DownloadLogsFromS3.py --loco 4044 --day 2017-12-18</v>
      </c>
      <c r="AN4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2"/>
        <v>https://d0f6bd738d7f1b3e5a7ca70fe4ff75f0.us-east-1.aws.found.io/app/kibana#/discover/Steve-Slow-Train-Analysis-(2080s-and-2083s)?_g=(refreshInterval:(display:Off,pause:!f,section:0,value:0),time:(from:'2017-12-18T06:55:36-0700',mode:absolute,to:'2017-12-18T09:35:16-0700'))&amp;_a=(columns:!('Message%20ID',Summary),filters:!(),index:'emp_*',interval:auto,query:(query_string:(analyze_wildcard:!t,query:'%22rtdc.l.rtdc.4044%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677</v>
      </c>
      <c r="B48" s="225">
        <v>4043</v>
      </c>
      <c r="C48" s="227" t="s">
        <v>192</v>
      </c>
      <c r="D48" s="227" t="s">
        <v>599</v>
      </c>
      <c r="E48" s="226">
        <v>43087.362997685188</v>
      </c>
      <c r="F48" s="226">
        <v>43087.373298611114</v>
      </c>
      <c r="G48" s="225">
        <v>390</v>
      </c>
      <c r="H48" s="227" t="s">
        <v>922</v>
      </c>
      <c r="I48" s="226">
        <v>43087.403263888889</v>
      </c>
      <c r="J48" s="225">
        <v>0</v>
      </c>
      <c r="K48" s="237" t="str">
        <f t="shared" si="0"/>
        <v>4043/4044</v>
      </c>
      <c r="L48" s="245" t="str">
        <f>VLOOKUP(A48,'Trips&amp;Operators'!$C$1:$G$99911,5,FALSE)</f>
        <v>DELGADO DIANAH</v>
      </c>
      <c r="M48" s="224">
        <f t="shared" si="24"/>
        <v>2.9965277775772847E-2</v>
      </c>
      <c r="N48" s="225"/>
      <c r="O48" s="225"/>
      <c r="P48" s="225">
        <f>24*60*SUM($M48:$M48)</f>
        <v>43.1499999971129</v>
      </c>
      <c r="Q48" s="228"/>
      <c r="R48" s="242" t="s">
        <v>470</v>
      </c>
      <c r="S48" s="249">
        <f>1/IF(AG48="EC",12,1)*SUM(U48:U49)</f>
        <v>1</v>
      </c>
      <c r="T48" s="242" t="str">
        <f t="shared" si="3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-18T07:42:43-0700',mode:absolute,to:'2017-12-18T10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47" t="str">
        <f>IF(AA48&lt;VLOOKUP(AG48,Variables!$AC$3:$AD$8,2,FALSE),"Y","N")</f>
        <v>Y</v>
      </c>
      <c r="X48" s="247">
        <f t="shared" si="25"/>
        <v>1</v>
      </c>
      <c r="Y48" s="247">
        <f t="shared" si="6"/>
        <v>23.3</v>
      </c>
      <c r="Z48" s="247">
        <v>11.29</v>
      </c>
      <c r="AA48" s="247">
        <f t="shared" si="8"/>
        <v>12.010000000000002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9"/>
        <v>136</v>
      </c>
      <c r="AE48" s="235" t="str">
        <f t="shared" si="10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48" s="234" t="str">
        <f t="shared" si="11"/>
        <v>"C:\Program Files (x86)\AstroGrep\AstroGrep.exe" /e /r /s /spath="%USERPROFILE%\AppData\Local\Temp\OnboardLogs" /stypes="app*4043*20171218*" /stext=" 16:.+((SYSTEM_STATE.+slice.+state.+changed )|(ment ac)|(multiple cpu faults)|(system.+state.+changed )|(\[timeout)|(PRM\|1\|D)|(kpr)|(kdp)|(train st.+moving)|(\|lc)|(penalty))"</v>
      </c>
      <c r="AG48" s="244" t="str">
        <f t="shared" si="12"/>
        <v>EC</v>
      </c>
      <c r="AH48" s="236" t="str">
        <f t="shared" si="18"/>
        <v>"%USERPROFILE%\Documents\GitHub\eaglep3\Utilities\RefineRTDCRunTimes.py" --tripid 136-18 --locoid 4043 --swversion DE.1.0.9.0 --startMP 204:233000 --initTime 2017-12-18T08:42:43 --startdatetime 2017-12-18T08:57:33 --delay 390 --endMP 204:256 --enddatetime 2017-12-18T09:40:42 --enforcementcount 0 &gt;&gt;%USERPROFILE%\Documents\GitHub\eaglep3-reporting\EC\2017-12-18-refined-times.txt</v>
      </c>
      <c r="AI48" s="238" t="str">
        <f t="shared" si="19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drop","project_id":79,"tracker_id":40,"status_id":1,"priority_id":2,"assigned_to_id":338,"start_date":"2017-12-18","description":"","custom_fields":[{"id":1,"name":"Subdivision","value":"EC"},{"id":4,"name":"Milepost","value":"11.29"},{"id":17,"name":"Train ID","value":"136-18"},{"id":16,"name":"Locomotive ID","value":"4043"},{"id":130,"name":"Impact","value":""},{"id":150,"name":"Time of Event (Mountain Time)","value":"09:40:42"},{"id":151,"name":"Denver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0"/>
        <v>start /low /b %USERPROFILE%\Documents\GitHub\eaglep3\Utilities\DownloadLogsFromS3.py --loco 4043 --day 2017-12-18</v>
      </c>
      <c r="AN48" s="241" t="str">
        <f t="shared" si="21"/>
        <v>echo {"issue":{"subject":"Wi-MAX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16:40:42"},{"id":29,"name":"Sharepoint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2"/>
        <v>https://d0f6bd738d7f1b3e5a7ca70fe4ff75f0.us-east-1.aws.found.io/app/kibana#/discover/Steve-Slow-Train-Analysis-(2080s-and-2083s)?_g=(refreshInterval:(display:Off,pause:!f,section:0,value:0),time:(from:'2017-12-18T07:42:43-0700',mode:absolute,to:'2017-12-18T10:40:42-0700'))&amp;_a=(columns:!('Message%20ID',Summary),filters:!(),index:'emp_*',interval:auto,query:(query_string:(analyze_wildcard:!t,query:'%22rtdc.l.rtdc.4043%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677</v>
      </c>
      <c r="B49" s="225">
        <v>4043</v>
      </c>
      <c r="C49" s="227" t="s">
        <v>192</v>
      </c>
      <c r="D49" s="227" t="s">
        <v>599</v>
      </c>
      <c r="E49" s="226">
        <v>43087.362997685188</v>
      </c>
      <c r="F49" s="226">
        <v>43087.373298611114</v>
      </c>
      <c r="G49" s="225">
        <v>390</v>
      </c>
      <c r="H49" s="227" t="s">
        <v>922</v>
      </c>
      <c r="I49" s="226">
        <v>43087.386087962965</v>
      </c>
      <c r="J49" s="225">
        <v>0</v>
      </c>
      <c r="K49" s="237" t="str">
        <f t="shared" si="0"/>
        <v>4043/4044</v>
      </c>
      <c r="L49" s="245" t="str">
        <f>VLOOKUP(A49,'Trips&amp;Operators'!$C$1:$G$99911,5,FALSE)</f>
        <v>DELGADO DIANAH</v>
      </c>
      <c r="M49" s="224">
        <f t="shared" si="24"/>
        <v>1.2789351851097308E-2</v>
      </c>
      <c r="N49" s="225"/>
      <c r="O49" s="225"/>
      <c r="P49" s="225"/>
      <c r="Q49" s="228"/>
      <c r="R49" s="242"/>
      <c r="S49" s="249"/>
      <c r="T49" s="242" t="str">
        <f t="shared" si="3"/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-18T07:42:43-0700',mode:absolute,to:'2017-12-18T10:15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247" t="str">
        <f>IF(AA49&lt;VLOOKUP(AG49,Variables!$AC$3:$AD$8,2,FALSE),"Y","N")</f>
        <v>Y</v>
      </c>
      <c r="X49" s="247">
        <f t="shared" si="25"/>
        <v>0</v>
      </c>
      <c r="Y49" s="247">
        <v>11.04</v>
      </c>
      <c r="Z49" s="247">
        <f t="shared" ref="Z49:Z80" si="26">RIGHT(H49,LEN(H49)-4)/10000</f>
        <v>2.5600000000000001E-2</v>
      </c>
      <c r="AA49" s="247">
        <f t="shared" si="8"/>
        <v>11.014399999999998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9"/>
        <v>136</v>
      </c>
      <c r="AE49" s="235" t="str">
        <f t="shared" si="10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49" s="234" t="str">
        <f t="shared" si="11"/>
        <v>"C:\Program Files (x86)\AstroGrep\AstroGrep.exe" /e /r /s /spath="%USERPROFILE%\AppData\Local\Temp\OnboardLogs" /stypes="app*4043*20171218*" /stext=" 16:.+((SYSTEM_STATE.+slice.+state.+changed )|(ment ac)|(multiple cpu faults)|(system.+state.+changed )|(\[timeout)|(PRM\|1\|D)|(kpr)|(kdp)|(train st.+moving)|(\|lc)|(penalty))"</v>
      </c>
      <c r="AG49" s="244" t="str">
        <f t="shared" si="12"/>
        <v>EC</v>
      </c>
      <c r="AH49" s="236" t="str">
        <f t="shared" ref="AH49" si="27"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"&amp;J49&amp;IF(outputrefinedruntimes," &gt;&gt;"&amp;RefinedRTDCRunTimesOutputFile,"")</f>
        <v>"%USERPROFILE%\Documents\GitHub\eaglep3\Utilities\RefineRTDCRunTimes.py" --tripid 136-18 --locoid 4043 --swversion DE.1.0.9.0 --startMP 204:233000 --initTime 2017-12-18T08:42:43 --startdatetime 2017-12-18T08:57:33 --delay 390 --endMP 204:256 --enddatetime 2017-12-18T09:15:58 --enforcementcount 0 &gt;&gt;%USERPROFILE%\Documents\GitHub\eaglep3-reporting\EC\2017-12-18-refined-times.txt</v>
      </c>
      <c r="AI49" s="238" t="str">
        <f t="shared" ref="AI49" si="28">"echo {""issue"":{""subject"":"""&amp;R49&amp;""",""project_id"":79,""tracker_id"":40,""status_id"":"&amp;redmine_status&amp;",""priority_id"":"&amp;redmine_priority&amp;",""assigned_to_id"":"&amp;redmine_assignee&amp;",""start_date"":"""&amp;TEXT(I49,"YYYY-mm-dd")&amp;""",""description"":"""&amp;AJ49&amp;""",""custom_fields"":[{""id"":1,""name"":""Subdivision"",""value"":"""&amp;AG49&amp;"""},{""id"":4,""name"":""Milepost"",""value"":"""&amp;Z49&amp;"""},{""id"":17,""name"":""Train ID"",""value"":"""&amp;A49&amp;"""},{""id"":16,""name"":""Locomotive ID"",""value"":"""&amp;B49&amp;"""},{""id"":130,""name"":""Impact"",""value"":"""&amp;AK49&amp;"""},{""id"":150,""name"":""Time of Event (Mountain Time)"",""value"":"""&amp;TEXT(I49,"hh:mm:ss")&amp;"""},{""id"":151,""name"":""Denver Issue ID"",""value"":"""&amp;"""},{""id"":178,""name"":""Operational Impact"",""value"":"""&amp;redmine_op_impact&amp;"""},{""id"":179,""name"":""Denver Segment Assigned"",""value"":"""&amp;AL49&amp;"""}]}}"&amp;"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{"issue":{"subject":"","project_id":79,"tracker_id":40,"status_id":1,"priority_id":2,"assigned_to_id":338,"start_date":"2017-12-18","description":"","custom_fields":[{"id":1,"name":"Subdivision","value":"EC"},{"id":4,"name":"Milepost","value":"0.0256"},{"id":17,"name":"Train ID","value":"136-18"},{"id":16,"name":"Locomotive ID","value":"4043"},{"id":130,"name":"Impact","value":""},{"id":150,"name":"Time of Event (Mountain Time)","value":"09:15:58"},{"id":151,"name":"Denver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ref="AM49" si="29">"start /low /b "&amp;dls3logs&amp;" --loco "&amp;B49&amp;" --day "&amp;TEXT(F49,"YYYY-MM-DD")</f>
        <v>start /low /b %USERPROFILE%\Documents\GitHub\eaglep3\Utilities\DownloadLogsFromS3.py --loco 4043 --day 2017-12-18</v>
      </c>
      <c r="AN49" s="241" t="str">
        <f t="shared" ref="AN49" si="30">"echo {""issue"":{""subject"":"""&amp;R49&amp;""",""project_id"":30,""tracker_id"":4,""status_id"":"&amp;redmine_status_wcr&amp;",""priority_id"":"&amp;redmine_priority_wcr&amp;",""assigned_to_id"":"&amp;redmine_assignee_wcr&amp;",""start_date"":"""&amp;TEXT(I49-utc_offset/24,"YYYY-mm-dd")&amp;""",""description"":"""&amp;AJ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ref="AO49" si="31"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Message%20ID',Summary),filters:!(),index:'emp_*',interval:auto,query:"&amp;"(query_string:(analyze_wildcard:!t,query:'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-18T07:42:43-0700',mode:absolute,to:'2017-12-18T10:15:58-0700'))&amp;_a=(columns:!('Message%20ID',Summary),filters:!(),index:'emp_*',interval:auto,query:(query_string:(analyze_wildcard:!t,query:'%22rtdc.l.rtdc.4043%22')),sort:!(Time.ISO8601,asc))</v>
      </c>
      <c r="AP49" s="223"/>
      <c r="AQ49" s="223"/>
      <c r="AR49" s="223"/>
      <c r="AS49" s="223"/>
      <c r="AT49" s="223"/>
      <c r="AU49" s="223"/>
      <c r="AV49" s="223"/>
      <c r="AW49" s="223"/>
      <c r="AX49" s="223"/>
      <c r="AY49" s="223"/>
      <c r="AZ49" s="223"/>
      <c r="BA49" s="223"/>
      <c r="BB49" s="223"/>
      <c r="BC49" s="223"/>
      <c r="BD49" s="223"/>
      <c r="BE49" s="223"/>
      <c r="BF49" s="223"/>
      <c r="BG49" s="223"/>
      <c r="BH49" s="223"/>
      <c r="BI49" s="223"/>
      <c r="BJ49" s="223"/>
      <c r="BK49" s="223"/>
      <c r="BL49" s="223"/>
      <c r="BM49" s="223"/>
      <c r="BN49" s="223"/>
      <c r="BO49" s="223"/>
      <c r="BP49" s="223"/>
      <c r="BQ49" s="223"/>
      <c r="BR49" s="223"/>
      <c r="BS49" s="223"/>
      <c r="BT49" s="223"/>
      <c r="BU49" s="223"/>
      <c r="BV49" s="223"/>
      <c r="BW49" s="223"/>
      <c r="BX49" s="223"/>
      <c r="BY49" s="223"/>
      <c r="BZ49" s="223"/>
      <c r="CA49" s="223"/>
      <c r="CB49" s="223"/>
      <c r="CC49" s="223"/>
      <c r="CD49" s="223"/>
      <c r="CE49" s="223"/>
      <c r="CF49" s="223"/>
      <c r="CG49" s="223"/>
      <c r="CH49" s="223"/>
      <c r="CI49" s="223"/>
      <c r="CJ49" s="223"/>
      <c r="CK49" s="223"/>
      <c r="CL49" s="223"/>
      <c r="CM49" s="223"/>
    </row>
    <row r="50" spans="1:91" s="1" customFormat="1" x14ac:dyDescent="0.25">
      <c r="A50" s="229" t="s">
        <v>671</v>
      </c>
      <c r="B50" s="225">
        <v>4022</v>
      </c>
      <c r="C50" s="227" t="s">
        <v>192</v>
      </c>
      <c r="D50" s="227" t="s">
        <v>923</v>
      </c>
      <c r="E50" s="226">
        <v>43087.339363425926</v>
      </c>
      <c r="F50" s="226">
        <v>43087.343935185185</v>
      </c>
      <c r="G50" s="225">
        <v>48</v>
      </c>
      <c r="H50" s="227" t="s">
        <v>613</v>
      </c>
      <c r="I50" s="226">
        <v>43087.369097222225</v>
      </c>
      <c r="J50" s="225">
        <v>0</v>
      </c>
      <c r="K50" s="237" t="str">
        <f t="shared" si="0"/>
        <v>4021/4022</v>
      </c>
      <c r="L50" s="245" t="str">
        <f>VLOOKUP(A50,'Trips&amp;Operators'!$C$1:$G$99911,5,FALSE)</f>
        <v>MAELZER KURT</v>
      </c>
      <c r="M50" s="224">
        <f t="shared" si="24"/>
        <v>2.5162037039990537E-2</v>
      </c>
      <c r="N50" s="225">
        <f t="shared" ref="N50:N81" si="32">24*60*SUM($M50:$M50)</f>
        <v>36.233333337586373</v>
      </c>
      <c r="O50" s="225"/>
      <c r="P50" s="225"/>
      <c r="Q50" s="228"/>
      <c r="R50" s="242"/>
      <c r="S50" s="249">
        <f t="shared" ref="S50:S81" si="33">1/IF(AG50="EC",12,1)*SUM(U50:U50)</f>
        <v>1</v>
      </c>
      <c r="T50" s="242" t="str">
        <f t="shared" si="3"/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-18T07:08:41-0700',mode:absolute,to:'2017-12-18T09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0" s="247" t="str">
        <f>IF(AA50&lt;VLOOKUP(AG50,Variables!$AC$3:$AD$8,2,FALSE),"Y","N")</f>
        <v>N</v>
      </c>
      <c r="X50" s="247">
        <f t="shared" si="25"/>
        <v>1</v>
      </c>
      <c r="Y50" s="247">
        <f t="shared" ref="Y50:Y81" si="34">RIGHT(D50,LEN(D50)-4)/10000</f>
        <v>4.9500000000000002E-2</v>
      </c>
      <c r="Z50" s="247">
        <f t="shared" si="26"/>
        <v>23.3307</v>
      </c>
      <c r="AA50" s="247">
        <f t="shared" si="8"/>
        <v>23.281200000000002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9"/>
        <v>137</v>
      </c>
      <c r="AE50" s="235" t="str">
        <f t="shared" si="10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50" s="234" t="str">
        <f t="shared" si="11"/>
        <v>"C:\Program Files (x86)\AstroGrep\AstroGrep.exe" /e /r /s /spath="%USERPROFILE%\AppData\Local\Temp\OnboardLogs" /stypes="app*4022*20171218*" /stext=" 15:.+((SYSTEM_STATE.+slice.+state.+changed )|(ment ac)|(multiple cpu faults)|(system.+state.+changed )|(\[timeout)|(PRM\|1\|D)|(kpr)|(kdp)|(train st.+moving)|(\|lc)|(penalty))"</v>
      </c>
      <c r="AG50" s="244" t="str">
        <f t="shared" si="12"/>
        <v>EC</v>
      </c>
      <c r="AH50" s="236" t="str">
        <f t="shared" si="18"/>
        <v>"%USERPROFILE%\Documents\GitHub\eaglep3\Utilities\RefineRTDCRunTimes.py" --tripid 137-18 --locoid 4022 --swversion DE.1.0.9.0 --startMP 204:495 --initTime 2017-12-18T08:08:41 --startdatetime 2017-12-18T08:15:16 --delay 48 --endMP 204:233307 --enddatetime 2017-12-18T08:51:30 --enforcementcount 0 &gt;&gt;%USERPROFILE%\Documents\GitHub\eaglep3-reporting\EC\2017-12-18-refined-times.txt</v>
      </c>
      <c r="AI5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{"issue":{"subject":"","project_id":79,"tracker_id":40,"status_id":1,"priority_id":2,"assigned_to_id":338,"start_date":"2017-12-18","description":"","custom_fields":[{"id":1,"name":"Subdivision","value":"EC"},{"id":4,"name":"Milepost","value":"23.3307"},{"id":17,"name":"Train ID","value":"137-18"},{"id":16,"name":"Locomotive ID","value":"4022"},{"id":130,"name":"Impact","value":""},{"id":150,"name":"Time of Event (Mountain Time)","value":"08:51:30"},{"id":151,"name":"Denver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0"/>
        <v>start /low /b %USERPROFILE%\Documents\GitHub\eaglep3\Utilities\DownloadLogsFromS3.py --loco 4022 --day 2017-12-18</v>
      </c>
      <c r="AN5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2"/>
        <v>https://d0f6bd738d7f1b3e5a7ca70fe4ff75f0.us-east-1.aws.found.io/app/kibana#/discover/Steve-Slow-Train-Analysis-(2080s-and-2083s)?_g=(refreshInterval:(display:Off,pause:!f,section:0,value:0),time:(from:'2017-12-18T07:08:41-0700',mode:absolute,to:'2017-12-18T09:51:30-0700'))&amp;_a=(columns:!('Message%20ID',Summary),filters:!(),index:'emp_*',interval:auto,query:(query_string:(analyze_wildcard:!t,query:'%22rtdc.l.rtdc.4022%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741</v>
      </c>
      <c r="B51" s="225">
        <v>4021</v>
      </c>
      <c r="C51" s="227" t="s">
        <v>192</v>
      </c>
      <c r="D51" s="227" t="s">
        <v>912</v>
      </c>
      <c r="E51" s="226">
        <v>43087.373599537037</v>
      </c>
      <c r="F51" s="226">
        <v>43087.383518518516</v>
      </c>
      <c r="G51" s="225">
        <v>56</v>
      </c>
      <c r="H51" s="227" t="s">
        <v>547</v>
      </c>
      <c r="I51" s="226">
        <v>43087.409305555557</v>
      </c>
      <c r="J51" s="225">
        <v>0</v>
      </c>
      <c r="K51" s="237" t="str">
        <f t="shared" si="0"/>
        <v>4021/4022</v>
      </c>
      <c r="L51" s="245" t="str">
        <f>VLOOKUP(A51,'Trips&amp;Operators'!$C$1:$G$99911,5,FALSE)</f>
        <v>MAELZER KURT</v>
      </c>
      <c r="M51" s="224">
        <f t="shared" si="24"/>
        <v>2.5787037040572613E-2</v>
      </c>
      <c r="N51" s="225">
        <f t="shared" si="32"/>
        <v>37.133333338424563</v>
      </c>
      <c r="O51" s="225"/>
      <c r="P51" s="225"/>
      <c r="Q51" s="228"/>
      <c r="R51" s="242"/>
      <c r="S51" s="249">
        <f t="shared" si="33"/>
        <v>1</v>
      </c>
      <c r="T51" s="242" t="str">
        <f t="shared" si="3"/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-18T07:57:59-0700',mode:absolute,to:'2017-12-18T10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1" s="247" t="str">
        <f>IF(AA51&lt;VLOOKUP(AG51,Variables!$AC$3:$AD$8,2,FALSE),"Y","N")</f>
        <v>N</v>
      </c>
      <c r="X51" s="247">
        <f t="shared" si="25"/>
        <v>1</v>
      </c>
      <c r="Y51" s="247">
        <f t="shared" si="34"/>
        <v>23.297699999999999</v>
      </c>
      <c r="Z51" s="247">
        <f t="shared" si="26"/>
        <v>1.78E-2</v>
      </c>
      <c r="AA51" s="247">
        <f t="shared" si="8"/>
        <v>23.279899999999998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9"/>
        <v>138</v>
      </c>
      <c r="AE51" s="235" t="str">
        <f t="shared" si="10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51" s="234" t="str">
        <f t="shared" si="11"/>
        <v>"C:\Program Files (x86)\AstroGrep\AstroGrep.exe" /e /r /s /spath="%USERPROFILE%\AppData\Local\Temp\OnboardLogs" /stypes="app*4021*20171218*" /stext=" 16:.+((SYSTEM_STATE.+slice.+state.+changed )|(ment ac)|(multiple cpu faults)|(system.+state.+changed )|(\[timeout)|(PRM\|1\|D)|(kpr)|(kdp)|(train st.+moving)|(\|lc)|(penalty))"</v>
      </c>
      <c r="AG51" s="244" t="str">
        <f t="shared" si="12"/>
        <v>EC</v>
      </c>
      <c r="AH51" s="236" t="str">
        <f t="shared" si="18"/>
        <v>"%USERPROFILE%\Documents\GitHub\eaglep3\Utilities\RefineRTDCRunTimes.py" --tripid 138-18 --locoid 4021 --swversion DE.1.0.9.0 --startMP 204:232977 --initTime 2017-12-18T08:57:59 --startdatetime 2017-12-18T09:12:16 --delay 56 --endMP 204:178 --enddatetime 2017-12-18T09:49:24 --enforcementcount 0 &gt;&gt;%USERPROFILE%\Documents\GitHub\eaglep3-reporting\EC\2017-12-18-refined-times.txt</v>
      </c>
      <c r="AI5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{"issue":{"subject":"","project_id":79,"tracker_id":40,"status_id":1,"priority_id":2,"assigned_to_id":338,"start_date":"2017-12-18","description":"","custom_fields":[{"id":1,"name":"Subdivision","value":"EC"},{"id":4,"name":"Milepost","value":"0.0178"},{"id":17,"name":"Train ID","value":"138-18"},{"id":16,"name":"Locomotive ID","value":"4021"},{"id":130,"name":"Impact","value":""},{"id":150,"name":"Time of Event (Mountain Time)","value":"09:49:24"},{"id":151,"name":"Denver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0"/>
        <v>start /low /b %USERPROFILE%\Documents\GitHub\eaglep3\Utilities\DownloadLogsFromS3.py --loco 4021 --day 2017-12-18</v>
      </c>
      <c r="AN5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2"/>
        <v>https://d0f6bd738d7f1b3e5a7ca70fe4ff75f0.us-east-1.aws.found.io/app/kibana#/discover/Steve-Slow-Train-Analysis-(2080s-and-2083s)?_g=(refreshInterval:(display:Off,pause:!f,section:0,value:0),time:(from:'2017-12-18T07:57:59-0700',mode:absolute,to:'2017-12-18T10:49:24-0700'))&amp;_a=(columns:!('Message%20ID',Summary),filters:!(),index:'emp_*',interval:auto,query:(query_string:(analyze_wildcard:!t,query:'%22rtdc.l.rtdc.4021%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675</v>
      </c>
      <c r="B52" s="225">
        <v>4052</v>
      </c>
      <c r="C52" s="227" t="s">
        <v>192</v>
      </c>
      <c r="D52" s="227" t="s">
        <v>570</v>
      </c>
      <c r="E52" s="226">
        <v>43087.35260416667</v>
      </c>
      <c r="F52" s="226">
        <v>43087.354421296295</v>
      </c>
      <c r="G52" s="225">
        <v>63</v>
      </c>
      <c r="H52" s="227" t="s">
        <v>571</v>
      </c>
      <c r="I52" s="226">
        <v>43087.381365740737</v>
      </c>
      <c r="J52" s="225">
        <v>0</v>
      </c>
      <c r="K52" s="237" t="str">
        <f t="shared" si="0"/>
        <v>4051/4052</v>
      </c>
      <c r="L52" s="245" t="str">
        <f>VLOOKUP(A52,'Trips&amp;Operators'!$C$1:$G$99911,5,FALSE)</f>
        <v>THOMPSON LESTER</v>
      </c>
      <c r="M52" s="224">
        <f t="shared" si="24"/>
        <v>2.6944444442051463E-2</v>
      </c>
      <c r="N52" s="225">
        <f t="shared" si="32"/>
        <v>38.799999996554106</v>
      </c>
      <c r="O52" s="225"/>
      <c r="P52" s="225"/>
      <c r="Q52" s="228"/>
      <c r="R52" s="242"/>
      <c r="S52" s="249">
        <f t="shared" si="33"/>
        <v>1</v>
      </c>
      <c r="T52" s="242" t="str">
        <f t="shared" si="3"/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-18T07:27:45-0700',mode:absolute,to:'2017-12-18T10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247" t="str">
        <f>IF(AA52&lt;VLOOKUP(AG52,Variables!$AC$3:$AD$8,2,FALSE),"Y","N")</f>
        <v>N</v>
      </c>
      <c r="X52" s="247">
        <f t="shared" si="25"/>
        <v>1</v>
      </c>
      <c r="Y52" s="247">
        <f t="shared" si="34"/>
        <v>4.7800000000000002E-2</v>
      </c>
      <c r="Z52" s="247">
        <f t="shared" si="26"/>
        <v>23.322099999999999</v>
      </c>
      <c r="AA52" s="247">
        <f t="shared" si="8"/>
        <v>23.2743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9"/>
        <v>139</v>
      </c>
      <c r="AE52" s="235" t="str">
        <f t="shared" si="10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52" s="234" t="str">
        <f t="shared" si="11"/>
        <v>"C:\Program Files (x86)\AstroGrep\AstroGrep.exe" /e /r /s /spath="%USERPROFILE%\AppData\Local\Temp\OnboardLogs" /stypes="app*4052*20171218*" /stext=" 16:.+((SYSTEM_STATE.+slice.+state.+changed )|(ment ac)|(multiple cpu faults)|(system.+state.+changed )|(\[timeout)|(PRM\|1\|D)|(kpr)|(kdp)|(train st.+moving)|(\|lc)|(penalty))"</v>
      </c>
      <c r="AG52" s="244" t="str">
        <f t="shared" si="12"/>
        <v>EC</v>
      </c>
      <c r="AH52" s="236" t="str">
        <f t="shared" si="18"/>
        <v>"%USERPROFILE%\Documents\GitHub\eaglep3\Utilities\RefineRTDCRunTimes.py" --tripid 139-18 --locoid 4052 --swversion DE.1.0.9.0 --startMP 204:478 --initTime 2017-12-18T08:27:45 --startdatetime 2017-12-18T08:30:22 --delay 63 --endMP 204:233221 --enddatetime 2017-12-18T09:09:10 --enforcementcount 0 &gt;&gt;%USERPROFILE%\Documents\GitHub\eaglep3-reporting\EC\2017-12-18-refined-times.txt</v>
      </c>
      <c r="AI5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{"issue":{"subject":"","project_id":79,"tracker_id":40,"status_id":1,"priority_id":2,"assigned_to_id":338,"start_date":"2017-12-18","description":"","custom_fields":[{"id":1,"name":"Subdivision","value":"EC"},{"id":4,"name":"Milepost","value":"23.3221"},{"id":17,"name":"Train ID","value":"139-18"},{"id":16,"name":"Locomotive ID","value":"4052"},{"id":130,"name":"Impact","value":""},{"id":150,"name":"Time of Event (Mountain Time)","value":"09:09:10"},{"id":151,"name":"Denver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0"/>
        <v>start /low /b %USERPROFILE%\Documents\GitHub\eaglep3\Utilities\DownloadLogsFromS3.py --loco 4052 --day 2017-12-18</v>
      </c>
      <c r="AN5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2"/>
        <v>https://d0f6bd738d7f1b3e5a7ca70fe4ff75f0.us-east-1.aws.found.io/app/kibana#/discover/Steve-Slow-Train-Analysis-(2080s-and-2083s)?_g=(refreshInterval:(display:Off,pause:!f,section:0,value:0),time:(from:'2017-12-18T07:27:45-0700',mode:absolute,to:'2017-12-18T10:09:10-0700'))&amp;_a=(columns:!('Message%20ID',Summary),filters:!(),index:'emp_*',interval:auto,query:(query_string:(analyze_wildcard:!t,query:'%22rtdc.l.rtdc.4052%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678</v>
      </c>
      <c r="B53" s="225">
        <v>4051</v>
      </c>
      <c r="C53" s="227" t="s">
        <v>192</v>
      </c>
      <c r="D53" s="227" t="s">
        <v>651</v>
      </c>
      <c r="E53" s="226">
        <v>43087.394861111112</v>
      </c>
      <c r="F53" s="226">
        <v>43087.396261574075</v>
      </c>
      <c r="G53" s="225">
        <v>60</v>
      </c>
      <c r="H53" s="227" t="s">
        <v>581</v>
      </c>
      <c r="I53" s="226">
        <v>43087.422662037039</v>
      </c>
      <c r="J53" s="225">
        <v>0</v>
      </c>
      <c r="K53" s="237" t="str">
        <f t="shared" si="0"/>
        <v>4051/4052</v>
      </c>
      <c r="L53" s="245" t="str">
        <f>VLOOKUP(A53,'Trips&amp;Operators'!$C$1:$G$99911,5,FALSE)</f>
        <v>THOMPSON LESTER</v>
      </c>
      <c r="M53" s="224">
        <f t="shared" si="24"/>
        <v>2.6400462964375038E-2</v>
      </c>
      <c r="N53" s="225">
        <f t="shared" si="32"/>
        <v>38.016666668700054</v>
      </c>
      <c r="O53" s="225"/>
      <c r="P53" s="225"/>
      <c r="Q53" s="228"/>
      <c r="R53" s="242"/>
      <c r="S53" s="249">
        <f t="shared" si="33"/>
        <v>1</v>
      </c>
      <c r="T53" s="242" t="str">
        <f t="shared" si="3"/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-18T08:28:36-0700',mode:absolute,to:'2017-12-18T11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3" s="247" t="str">
        <f>IF(AA53&lt;VLOOKUP(AG53,Variables!$AC$3:$AD$8,2,FALSE),"Y","N")</f>
        <v>N</v>
      </c>
      <c r="X53" s="247">
        <f t="shared" si="25"/>
        <v>1</v>
      </c>
      <c r="Y53" s="247">
        <f t="shared" si="34"/>
        <v>23.290900000000001</v>
      </c>
      <c r="Z53" s="247">
        <f t="shared" si="26"/>
        <v>2.23E-2</v>
      </c>
      <c r="AA53" s="247">
        <f t="shared" si="8"/>
        <v>23.268599999999999</v>
      </c>
      <c r="AB53" s="233" t="str">
        <f>VLOOKUP(A53,Enforcements!$C$7:$K$9,8,0)</f>
        <v>Bulletin (2)</v>
      </c>
      <c r="AC53" s="232" t="str">
        <f>VLOOKUP(A53,Enforcements!$C$7:$E$9,3,0)</f>
        <v>GRADE CROSSING</v>
      </c>
      <c r="AD53" s="243">
        <f t="shared" si="9"/>
        <v>140</v>
      </c>
      <c r="AE53" s="235" t="str">
        <f t="shared" si="10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53" s="234" t="str">
        <f t="shared" si="11"/>
        <v>"C:\Program Files (x86)\AstroGrep\AstroGrep.exe" /e /r /s /spath="%USERPROFILE%\AppData\Local\Temp\OnboardLogs" /stypes="app*4051*20171218*" /stext=" 17:.+((SYSTEM_STATE.+slice.+state.+changed )|(ment ac)|(multiple cpu faults)|(system.+state.+changed )|(\[timeout)|(PRM\|1\|D)|(kpr)|(kdp)|(train st.+moving)|(\|lc)|(penalty))"</v>
      </c>
      <c r="AG53" s="244" t="str">
        <f t="shared" si="12"/>
        <v>EC</v>
      </c>
      <c r="AH53" s="236" t="str">
        <f t="shared" si="18"/>
        <v>"%USERPROFILE%\Documents\GitHub\eaglep3\Utilities\RefineRTDCRunTimes.py" --tripid 140-18 --locoid 4051 --swversion DE.1.0.9.0 --startMP 204:232909 --initTime 2017-12-18T09:28:36 --startdatetime 2017-12-18T09:30:37 --delay 60 --endMP 204:223 --enddatetime 2017-12-18T10:08:38 --enforcementcount 0 &gt;&gt;%USERPROFILE%\Documents\GitHub\eaglep3-reporting\EC\2017-12-18-refined-times.txt</v>
      </c>
      <c r="AI5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{"issue":{"subject":"","project_id":79,"tracker_id":40,"status_id":1,"priority_id":2,"assigned_to_id":338,"start_date":"2017-12-18","description":"","custom_fields":[{"id":1,"name":"Subdivision","value":"EC"},{"id":4,"name":"Milepost","value":"0.0223"},{"id":17,"name":"Train ID","value":"140-18"},{"id":16,"name":"Locomotive ID","value":"4051"},{"id":130,"name":"Impact","value":""},{"id":150,"name":"Time of Event (Mountain Time)","value":"10:08:38"},{"id":151,"name":"Denver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0"/>
        <v>start /low /b %USERPROFILE%\Documents\GitHub\eaglep3\Utilities\DownloadLogsFromS3.py --loco 4051 --day 2017-12-18</v>
      </c>
      <c r="AN5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2"/>
        <v>https://d0f6bd738d7f1b3e5a7ca70fe4ff75f0.us-east-1.aws.found.io/app/kibana#/discover/Steve-Slow-Train-Analysis-(2080s-and-2083s)?_g=(refreshInterval:(display:Off,pause:!f,section:0,value:0),time:(from:'2017-12-18T08:28:36-0700',mode:absolute,to:'2017-12-18T11:08:38-0700'))&amp;_a=(columns:!('Message%20ID',Summary),filters:!(),index:'emp_*',interval:auto,query:(query_string:(analyze_wildcard:!t,query:'%22rtdc.l.rtdc.4051%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740</v>
      </c>
      <c r="B54" s="225">
        <v>4050</v>
      </c>
      <c r="C54" s="227" t="s">
        <v>192</v>
      </c>
      <c r="D54" s="227" t="s">
        <v>924</v>
      </c>
      <c r="E54" s="226">
        <v>43087.361157407409</v>
      </c>
      <c r="F54" s="226">
        <v>43087.364803240744</v>
      </c>
      <c r="G54" s="225">
        <v>62</v>
      </c>
      <c r="H54" s="227" t="s">
        <v>925</v>
      </c>
      <c r="I54" s="226">
        <v>43087.389976851853</v>
      </c>
      <c r="J54" s="225">
        <v>0</v>
      </c>
      <c r="K54" s="237" t="str">
        <f t="shared" si="0"/>
        <v>4049/4050</v>
      </c>
      <c r="L54" s="245" t="str">
        <f>VLOOKUP(A54,'Trips&amp;Operators'!$C$1:$G$99911,5,FALSE)</f>
        <v>DAVIDSON DAVID</v>
      </c>
      <c r="M54" s="224">
        <f t="shared" si="24"/>
        <v>2.5173611109494232E-2</v>
      </c>
      <c r="N54" s="225">
        <f t="shared" si="32"/>
        <v>36.249999997671694</v>
      </c>
      <c r="O54" s="225"/>
      <c r="P54" s="225"/>
      <c r="Q54" s="228"/>
      <c r="R54" s="242"/>
      <c r="S54" s="249">
        <f t="shared" si="33"/>
        <v>1</v>
      </c>
      <c r="T54" s="242" t="str">
        <f t="shared" si="3"/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-18T07:40:04-0700',mode:absolute,to:'2017-12-18T10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4" s="247" t="str">
        <f>IF(AA54&lt;VLOOKUP(AG54,Variables!$AC$3:$AD$8,2,FALSE),"Y","N")</f>
        <v>N</v>
      </c>
      <c r="X54" s="247">
        <f t="shared" si="25"/>
        <v>1</v>
      </c>
      <c r="Y54" s="247">
        <f t="shared" si="34"/>
        <v>5.4600000000000003E-2</v>
      </c>
      <c r="Z54" s="247">
        <f t="shared" si="26"/>
        <v>23.324100000000001</v>
      </c>
      <c r="AA54" s="247">
        <f t="shared" si="8"/>
        <v>23.269500000000001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9"/>
        <v>141</v>
      </c>
      <c r="AE54" s="235" t="str">
        <f t="shared" si="10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54" s="234" t="str">
        <f t="shared" si="11"/>
        <v>"C:\Program Files (x86)\AstroGrep\AstroGrep.exe" /e /r /s /spath="%USERPROFILE%\AppData\Local\Temp\OnboardLogs" /stypes="app*4050*20171218*" /stext=" 16:.+((SYSTEM_STATE.+slice.+state.+changed )|(ment ac)|(multiple cpu faults)|(system.+state.+changed )|(\[timeout)|(PRM\|1\|D)|(kpr)|(kdp)|(train st.+moving)|(\|lc)|(penalty))"</v>
      </c>
      <c r="AG54" s="244" t="str">
        <f t="shared" si="12"/>
        <v>EC</v>
      </c>
      <c r="AH54" s="236" t="str">
        <f t="shared" si="18"/>
        <v>"%USERPROFILE%\Documents\GitHub\eaglep3\Utilities\RefineRTDCRunTimes.py" --tripid 141-18 --locoid 4050 --swversion DE.1.0.9.0 --startMP 204:546 --initTime 2017-12-18T08:40:04 --startdatetime 2017-12-18T08:45:19 --delay 62 --endMP 204:233241 --enddatetime 2017-12-18T09:21:34 --enforcementcount 0 &gt;&gt;%USERPROFILE%\Documents\GitHub\eaglep3-reporting\EC\2017-12-18-refined-times.txt</v>
      </c>
      <c r="AI5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{"issue":{"subject":"","project_id":79,"tracker_id":40,"status_id":1,"priority_id":2,"assigned_to_id":338,"start_date":"2017-12-18","description":"","custom_fields":[{"id":1,"name":"Subdivision","value":"EC"},{"id":4,"name":"Milepost","value":"23.3241"},{"id":17,"name":"Train ID","value":"141-18"},{"id":16,"name":"Locomotive ID","value":"4050"},{"id":130,"name":"Impact","value":""},{"id":150,"name":"Time of Event (Mountain Time)","value":"09:21:34"},{"id":151,"name":"Denver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0"/>
        <v>start /low /b %USERPROFILE%\Documents\GitHub\eaglep3\Utilities\DownloadLogsFromS3.py --loco 4050 --day 2017-12-18</v>
      </c>
      <c r="AN5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2"/>
        <v>https://d0f6bd738d7f1b3e5a7ca70fe4ff75f0.us-east-1.aws.found.io/app/kibana#/discover/Steve-Slow-Train-Analysis-(2080s-and-2083s)?_g=(refreshInterval:(display:Off,pause:!f,section:0,value:0),time:(from:'2017-12-18T07:40:04-0700',mode:absolute,to:'2017-12-18T10:21:34-0700'))&amp;_a=(columns:!('Message%20ID',Summary),filters:!(),index:'emp_*',interval:auto,query:(query_string:(analyze_wildcard:!t,query:'%22rtdc.l.rtdc.4050%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744</v>
      </c>
      <c r="B55" s="225">
        <v>4049</v>
      </c>
      <c r="C55" s="227" t="s">
        <v>192</v>
      </c>
      <c r="D55" s="227" t="s">
        <v>615</v>
      </c>
      <c r="E55" s="226">
        <v>43087.391516203701</v>
      </c>
      <c r="F55" s="226">
        <v>43087.404363425929</v>
      </c>
      <c r="G55" s="225">
        <v>69</v>
      </c>
      <c r="H55" s="227" t="s">
        <v>522</v>
      </c>
      <c r="I55" s="226">
        <v>43087.430775462963</v>
      </c>
      <c r="J55" s="225">
        <v>0</v>
      </c>
      <c r="K55" s="237" t="str">
        <f t="shared" si="0"/>
        <v>4049/4050</v>
      </c>
      <c r="L55" s="245" t="str">
        <f>VLOOKUP(A55,'Trips&amp;Operators'!$C$1:$G$99911,5,FALSE)</f>
        <v>DAVIDSON DAVID</v>
      </c>
      <c r="M55" s="224">
        <f t="shared" si="24"/>
        <v>2.6412037033878732E-2</v>
      </c>
      <c r="N55" s="225">
        <f t="shared" si="32"/>
        <v>38.033333328785375</v>
      </c>
      <c r="O55" s="225"/>
      <c r="P55" s="225"/>
      <c r="Q55" s="228"/>
      <c r="R55" s="242"/>
      <c r="S55" s="249">
        <f t="shared" si="33"/>
        <v>1</v>
      </c>
      <c r="T55" s="242" t="str">
        <f t="shared" si="3"/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-18T08:23:47-0700',mode:absolute,to:'2017-12-18T11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5" s="247" t="str">
        <f>IF(AA55&lt;VLOOKUP(AG55,Variables!$AC$3:$AD$8,2,FALSE),"Y","N")</f>
        <v>N</v>
      </c>
      <c r="X55" s="247">
        <f t="shared" si="25"/>
        <v>1</v>
      </c>
      <c r="Y55" s="247">
        <f t="shared" si="34"/>
        <v>23.292100000000001</v>
      </c>
      <c r="Z55" s="247">
        <f t="shared" si="26"/>
        <v>2.18E-2</v>
      </c>
      <c r="AA55" s="247">
        <f t="shared" si="8"/>
        <v>23.270300000000002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9"/>
        <v>142</v>
      </c>
      <c r="AE55" s="235" t="str">
        <f t="shared" si="10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55" s="234" t="str">
        <f t="shared" si="11"/>
        <v>"C:\Program Files (x86)\AstroGrep\AstroGrep.exe" /e /r /s /spath="%USERPROFILE%\AppData\Local\Temp\OnboardLogs" /stypes="app*4049*20171218*" /stext=" 17:.+((SYSTEM_STATE.+slice.+state.+changed )|(ment ac)|(multiple cpu faults)|(system.+state.+changed )|(\[timeout)|(PRM\|1\|D)|(kpr)|(kdp)|(train st.+moving)|(\|lc)|(penalty))"</v>
      </c>
      <c r="AG55" s="244" t="str">
        <f t="shared" si="12"/>
        <v>EC</v>
      </c>
      <c r="AH55" s="236" t="str">
        <f t="shared" si="18"/>
        <v>"%USERPROFILE%\Documents\GitHub\eaglep3\Utilities\RefineRTDCRunTimes.py" --tripid 142-18 --locoid 4049 --swversion DE.1.0.9.0 --startMP 204:232921 --initTime 2017-12-18T09:23:47 --startdatetime 2017-12-18T09:42:17 --delay 69 --endMP 204:218 --enddatetime 2017-12-18T10:20:19 --enforcementcount 0 &gt;&gt;%USERPROFILE%\Documents\GitHub\eaglep3-reporting\EC\2017-12-18-refined-times.txt</v>
      </c>
      <c r="AI5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{"issue":{"subject":"","project_id":79,"tracker_id":40,"status_id":1,"priority_id":2,"assigned_to_id":338,"start_date":"2017-12-18","description":"","custom_fields":[{"id":1,"name":"Subdivision","value":"EC"},{"id":4,"name":"Milepost","value":"0.0218"},{"id":17,"name":"Train ID","value":"142-18"},{"id":16,"name":"Locomotive ID","value":"4049"},{"id":130,"name":"Impact","value":""},{"id":150,"name":"Time of Event (Mountain Time)","value":"10:20:19"},{"id":151,"name":"Denver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0"/>
        <v>start /low /b %USERPROFILE%\Documents\GitHub\eaglep3\Utilities\DownloadLogsFromS3.py --loco 4049 --day 2017-12-18</v>
      </c>
      <c r="AN5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2"/>
        <v>https://d0f6bd738d7f1b3e5a7ca70fe4ff75f0.us-east-1.aws.found.io/app/kibana#/discover/Steve-Slow-Train-Analysis-(2080s-and-2083s)?_g=(refreshInterval:(display:Off,pause:!f,section:0,value:0),time:(from:'2017-12-18T08:23:47-0700',mode:absolute,to:'2017-12-18T11:20:19-0700'))&amp;_a=(columns:!('Message%20ID',Summary),filters:!(),index:'emp_*',interval:auto,query:(query_string:(analyze_wildcard:!t,query:'%22rtdc.l.rtdc.4049%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676</v>
      </c>
      <c r="B56" s="225">
        <v>4016</v>
      </c>
      <c r="C56" s="227" t="s">
        <v>192</v>
      </c>
      <c r="D56" s="227" t="s">
        <v>908</v>
      </c>
      <c r="E56" s="226">
        <v>43087.370567129627</v>
      </c>
      <c r="F56" s="226">
        <v>43087.37537037037</v>
      </c>
      <c r="G56" s="225">
        <v>56</v>
      </c>
      <c r="H56" s="227" t="s">
        <v>926</v>
      </c>
      <c r="I56" s="226">
        <v>43087.401342592595</v>
      </c>
      <c r="J56" s="225">
        <v>0</v>
      </c>
      <c r="K56" s="237" t="str">
        <f t="shared" si="0"/>
        <v>4015/4016</v>
      </c>
      <c r="L56" s="245" t="str">
        <f>VLOOKUP(A56,'Trips&amp;Operators'!$C$1:$G$99911,5,FALSE)</f>
        <v>STARKS ANGELINA</v>
      </c>
      <c r="M56" s="224">
        <f t="shared" si="24"/>
        <v>2.5972222225391306E-2</v>
      </c>
      <c r="N56" s="225">
        <f t="shared" si="32"/>
        <v>37.400000004563481</v>
      </c>
      <c r="O56" s="225"/>
      <c r="P56" s="225"/>
      <c r="Q56" s="228"/>
      <c r="R56" s="242"/>
      <c r="S56" s="249">
        <f t="shared" si="33"/>
        <v>1</v>
      </c>
      <c r="T56" s="242" t="str">
        <f t="shared" si="3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-18T07:53:37-0700',mode:absolute,to:'2017-12-18T10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47" t="str">
        <f>IF(AA56&lt;VLOOKUP(AG56,Variables!$AC$3:$AD$8,2,FALSE),"Y","N")</f>
        <v>N</v>
      </c>
      <c r="X56" s="247">
        <f t="shared" si="25"/>
        <v>1</v>
      </c>
      <c r="Y56" s="247">
        <f t="shared" si="34"/>
        <v>4.8899999999999999E-2</v>
      </c>
      <c r="Z56" s="247">
        <f t="shared" si="26"/>
        <v>23.331</v>
      </c>
      <c r="AA56" s="247">
        <f t="shared" si="8"/>
        <v>23.2821</v>
      </c>
      <c r="AB56" s="233" t="str">
        <f>VLOOKUP(A56,Enforcements!$C$7:$K$9,8,0)</f>
        <v>Bulletin (2)</v>
      </c>
      <c r="AC56" s="232" t="str">
        <f>VLOOKUP(A56,Enforcements!$C$7:$E$9,3,0)</f>
        <v>GRADE CROSSING</v>
      </c>
      <c r="AD56" s="243">
        <f t="shared" si="9"/>
        <v>143</v>
      </c>
      <c r="AE56" s="235" t="str">
        <f t="shared" si="10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56" s="234" t="str">
        <f t="shared" si="11"/>
        <v>"C:\Program Files (x86)\AstroGrep\AstroGrep.exe" /e /r /s /spath="%USERPROFILE%\AppData\Local\Temp\OnboardLogs" /stypes="app*4016*20171218*" /stext=" 16:.+((SYSTEM_STATE.+slice.+state.+changed )|(ment ac)|(multiple cpu faults)|(system.+state.+changed )|(\[timeout)|(PRM\|1\|D)|(kpr)|(kdp)|(train st.+moving)|(\|lc)|(penalty))"</v>
      </c>
      <c r="AG56" s="244" t="str">
        <f t="shared" si="12"/>
        <v>EC</v>
      </c>
      <c r="AH56" s="236" t="str">
        <f t="shared" si="18"/>
        <v>"%USERPROFILE%\Documents\GitHub\eaglep3\Utilities\RefineRTDCRunTimes.py" --tripid 143-18 --locoid 4016 --swversion DE.1.0.9.0 --startMP 204:489 --initTime 2017-12-18T08:53:37 --startdatetime 2017-12-18T09:00:32 --delay 56 --endMP 204:233310 --enddatetime 2017-12-18T09:37:56 --enforcementcount 0 &gt;&gt;%USERPROFILE%\Documents\GitHub\eaglep3-reporting\EC\2017-12-18-refined-times.txt</v>
      </c>
      <c r="AI5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{"issue":{"subject":"","project_id":79,"tracker_id":40,"status_id":1,"priority_id":2,"assigned_to_id":338,"start_date":"2017-12-18","description":"","custom_fields":[{"id":1,"name":"Subdivision","value":"EC"},{"id":4,"name":"Milepost","value":"23.331"},{"id":17,"name":"Train ID","value":"143-18"},{"id":16,"name":"Locomotive ID","value":"4016"},{"id":130,"name":"Impact","value":""},{"id":150,"name":"Time of Event (Mountain Time)","value":"09:37:56"},{"id":151,"name":"Denver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0"/>
        <v>start /low /b %USERPROFILE%\Documents\GitHub\eaglep3\Utilities\DownloadLogsFromS3.py --loco 4016 --day 2017-12-18</v>
      </c>
      <c r="AN5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2"/>
        <v>https://d0f6bd738d7f1b3e5a7ca70fe4ff75f0.us-east-1.aws.found.io/app/kibana#/discover/Steve-Slow-Train-Analysis-(2080s-and-2083s)?_g=(refreshInterval:(display:Off,pause:!f,section:0,value:0),time:(from:'2017-12-18T07:53:37-0700',mode:absolute,to:'2017-12-18T10:37:56-0700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749</v>
      </c>
      <c r="B57" s="225">
        <v>4015</v>
      </c>
      <c r="C57" s="227" t="s">
        <v>192</v>
      </c>
      <c r="D57" s="227" t="s">
        <v>646</v>
      </c>
      <c r="E57" s="226">
        <v>43087.411631944444</v>
      </c>
      <c r="F57" s="226">
        <v>43087.414861111109</v>
      </c>
      <c r="G57" s="225">
        <v>98</v>
      </c>
      <c r="H57" s="227" t="s">
        <v>907</v>
      </c>
      <c r="I57" s="226">
        <v>43087.44153935185</v>
      </c>
      <c r="J57" s="225">
        <v>0</v>
      </c>
      <c r="K57" s="237" t="str">
        <f t="shared" si="0"/>
        <v>4015/4016</v>
      </c>
      <c r="L57" s="245" t="str">
        <f>VLOOKUP(A57,'Trips&amp;Operators'!$C$1:$G$99911,5,FALSE)</f>
        <v>STARKS ANGELINA</v>
      </c>
      <c r="M57" s="224">
        <f t="shared" si="24"/>
        <v>2.6678240741603076E-2</v>
      </c>
      <c r="N57" s="225">
        <f t="shared" si="32"/>
        <v>38.41666666790843</v>
      </c>
      <c r="O57" s="225"/>
      <c r="P57" s="225"/>
      <c r="Q57" s="228"/>
      <c r="R57" s="242"/>
      <c r="S57" s="249">
        <f t="shared" si="33"/>
        <v>1</v>
      </c>
      <c r="T57" s="242" t="str">
        <f t="shared" si="3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-18T08:52:45-0700',mode:absolute,to:'2017-12-18T11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47" t="str">
        <f>IF(AA57&lt;VLOOKUP(AG57,Variables!$AC$3:$AD$8,2,FALSE),"Y","N")</f>
        <v>N</v>
      </c>
      <c r="X57" s="247">
        <f t="shared" si="25"/>
        <v>1</v>
      </c>
      <c r="Y57" s="247">
        <f t="shared" si="34"/>
        <v>23.301300000000001</v>
      </c>
      <c r="Z57" s="247">
        <f t="shared" si="26"/>
        <v>1.52E-2</v>
      </c>
      <c r="AA57" s="247">
        <f t="shared" si="8"/>
        <v>23.286100000000001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9"/>
        <v>144</v>
      </c>
      <c r="AE57" s="235" t="str">
        <f t="shared" si="10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57" s="234" t="str">
        <f t="shared" si="11"/>
        <v>"C:\Program Files (x86)\AstroGrep\AstroGrep.exe" /e /r /s /spath="%USERPROFILE%\AppData\Local\Temp\OnboardLogs" /stypes="app*4015*20171218*" /stext=" 17:.+((SYSTEM_STATE.+slice.+state.+changed )|(ment ac)|(multiple cpu faults)|(system.+state.+changed )|(\[timeout)|(PRM\|1\|D)|(kpr)|(kdp)|(train st.+moving)|(\|lc)|(penalty))"</v>
      </c>
      <c r="AG57" s="244" t="str">
        <f t="shared" si="12"/>
        <v>EC</v>
      </c>
      <c r="AH57" s="236" t="str">
        <f t="shared" si="18"/>
        <v>"%USERPROFILE%\Documents\GitHub\eaglep3\Utilities\RefineRTDCRunTimes.py" --tripid 144-18 --locoid 4015 --swversion DE.1.0.9.0 --startMP 204:233013 --initTime 2017-12-18T09:52:45 --startdatetime 2017-12-18T09:57:24 --delay 98 --endMP 204:152 --enddatetime 2017-12-18T10:35:49 --enforcementcount 0 &gt;&gt;%USERPROFILE%\Documents\GitHub\eaglep3-reporting\EC\2017-12-18-refined-times.txt</v>
      </c>
      <c r="AI5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{"issue":{"subject":"","project_id":79,"tracker_id":40,"status_id":1,"priority_id":2,"assigned_to_id":338,"start_date":"2017-12-18","description":"","custom_fields":[{"id":1,"name":"Subdivision","value":"EC"},{"id":4,"name":"Milepost","value":"0.0152"},{"id":17,"name":"Train ID","value":"144-18"},{"id":16,"name":"Locomotive ID","value":"4015"},{"id":130,"name":"Impact","value":""},{"id":150,"name":"Time of Event (Mountain Time)","value":"10:35:49"},{"id":151,"name":"Denver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0"/>
        <v>start /low /b %USERPROFILE%\Documents\GitHub\eaglep3\Utilities\DownloadLogsFromS3.py --loco 4015 --day 2017-12-18</v>
      </c>
      <c r="AN5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2"/>
        <v>https://d0f6bd738d7f1b3e5a7ca70fe4ff75f0.us-east-1.aws.found.io/app/kibana#/discover/Steve-Slow-Train-Analysis-(2080s-and-2083s)?_g=(refreshInterval:(display:Off,pause:!f,section:0,value:0),time:(from:'2017-12-18T08:52:45-0700',mode:absolute,to:'2017-12-18T11:35:49-0700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743</v>
      </c>
      <c r="B58" s="225">
        <v>4026</v>
      </c>
      <c r="C58" s="227" t="s">
        <v>192</v>
      </c>
      <c r="D58" s="227" t="s">
        <v>521</v>
      </c>
      <c r="E58" s="226">
        <v>43087.382187499999</v>
      </c>
      <c r="F58" s="226">
        <v>43087.38559027778</v>
      </c>
      <c r="G58" s="225">
        <v>53</v>
      </c>
      <c r="H58" s="227" t="s">
        <v>550</v>
      </c>
      <c r="I58" s="226">
        <v>43087.410902777781</v>
      </c>
      <c r="J58" s="225">
        <v>0</v>
      </c>
      <c r="K58" s="237" t="str">
        <f t="shared" si="0"/>
        <v>4025/4026</v>
      </c>
      <c r="L58" s="245" t="str">
        <f>VLOOKUP(A58,'Trips&amp;Operators'!$C$1:$G$99911,5,FALSE)</f>
        <v>LAMAR NEKESHA</v>
      </c>
      <c r="M58" s="224">
        <f t="shared" si="24"/>
        <v>2.531250000174623E-2</v>
      </c>
      <c r="N58" s="225">
        <f t="shared" si="32"/>
        <v>36.450000002514571</v>
      </c>
      <c r="O58" s="225"/>
      <c r="P58" s="225"/>
      <c r="Q58" s="228"/>
      <c r="R58" s="242"/>
      <c r="S58" s="249">
        <f t="shared" si="33"/>
        <v>1</v>
      </c>
      <c r="T58" s="242" t="str">
        <f t="shared" si="3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-18T08:10:21-0700',mode:absolute,to:'2017-12-18T10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47" t="str">
        <f>IF(AA58&lt;VLOOKUP(AG58,Variables!$AC$3:$AD$8,2,FALSE),"Y","N")</f>
        <v>N</v>
      </c>
      <c r="X58" s="247">
        <f t="shared" si="25"/>
        <v>1</v>
      </c>
      <c r="Y58" s="247">
        <f t="shared" si="34"/>
        <v>4.8000000000000001E-2</v>
      </c>
      <c r="Z58" s="247">
        <f t="shared" si="26"/>
        <v>23.331399999999999</v>
      </c>
      <c r="AA58" s="247">
        <f t="shared" si="8"/>
        <v>23.2834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9"/>
        <v>145</v>
      </c>
      <c r="AE58" s="235" t="str">
        <f t="shared" si="10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58" s="234" t="str">
        <f t="shared" si="11"/>
        <v>"C:\Program Files (x86)\AstroGrep\AstroGrep.exe" /e /r /s /spath="%USERPROFILE%\AppData\Local\Temp\OnboardLogs" /stypes="app*4026*20171218*" /stext=" 16:.+((SYSTEM_STATE.+slice.+state.+changed )|(ment ac)|(multiple cpu faults)|(system.+state.+changed )|(\[timeout)|(PRM\|1\|D)|(kpr)|(kdp)|(train st.+moving)|(\|lc)|(penalty))"</v>
      </c>
      <c r="AG58" s="244" t="str">
        <f t="shared" si="12"/>
        <v>EC</v>
      </c>
      <c r="AH58" s="236" t="str">
        <f t="shared" si="18"/>
        <v>"%USERPROFILE%\Documents\GitHub\eaglep3\Utilities\RefineRTDCRunTimes.py" --tripid 145-18 --locoid 4026 --swversion DE.1.0.9.0 --startMP 204:480 --initTime 2017-12-18T09:10:21 --startdatetime 2017-12-18T09:15:15 --delay 53 --endMP 204:233314 --enddatetime 2017-12-18T09:51:42 --enforcementcount 0 &gt;&gt;%USERPROFILE%\Documents\GitHub\eaglep3-reporting\EC\2017-12-18-refined-times.txt</v>
      </c>
      <c r="AI5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{"issue":{"subject":"","project_id":79,"tracker_id":40,"status_id":1,"priority_id":2,"assigned_to_id":338,"start_date":"2017-12-18","description":"","custom_fields":[{"id":1,"name":"Subdivision","value":"EC"},{"id":4,"name":"Milepost","value":"23.3314"},{"id":17,"name":"Train ID","value":"145-18"},{"id":16,"name":"Locomotive ID","value":"4026"},{"id":130,"name":"Impact","value":""},{"id":150,"name":"Time of Event (Mountain Time)","value":"09:51:42"},{"id":151,"name":"Denver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0"/>
        <v>start /low /b %USERPROFILE%\Documents\GitHub\eaglep3\Utilities\DownloadLogsFromS3.py --loco 4026 --day 2017-12-18</v>
      </c>
      <c r="AN5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2"/>
        <v>https://d0f6bd738d7f1b3e5a7ca70fe4ff75f0.us-east-1.aws.found.io/app/kibana#/discover/Steve-Slow-Train-Analysis-(2080s-and-2083s)?_g=(refreshInterval:(display:Off,pause:!f,section:0,value:0),time:(from:'2017-12-18T08:10:21-0700',mode:absolute,to:'2017-12-18T10:51:42-0700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751</v>
      </c>
      <c r="B59" s="225">
        <v>4025</v>
      </c>
      <c r="C59" s="227" t="s">
        <v>192</v>
      </c>
      <c r="D59" s="227" t="s">
        <v>553</v>
      </c>
      <c r="E59" s="226">
        <v>43087.423425925925</v>
      </c>
      <c r="F59" s="226">
        <v>43087.425162037034</v>
      </c>
      <c r="G59" s="225">
        <v>53</v>
      </c>
      <c r="H59" s="227" t="s">
        <v>927</v>
      </c>
      <c r="I59" s="226">
        <v>43087.450590277775</v>
      </c>
      <c r="J59" s="225">
        <v>0</v>
      </c>
      <c r="K59" s="237" t="str">
        <f t="shared" si="0"/>
        <v>4025/4026</v>
      </c>
      <c r="L59" s="245" t="str">
        <f>VLOOKUP(A59,'Trips&amp;Operators'!$C$1:$G$99911,5,FALSE)</f>
        <v>LAMAR NEKESHA</v>
      </c>
      <c r="M59" s="224">
        <f t="shared" si="24"/>
        <v>2.5428240740438923E-2</v>
      </c>
      <c r="N59" s="225">
        <f t="shared" si="32"/>
        <v>36.616666666232049</v>
      </c>
      <c r="O59" s="225"/>
      <c r="P59" s="225"/>
      <c r="Q59" s="228"/>
      <c r="R59" s="242"/>
      <c r="S59" s="249">
        <f t="shared" si="33"/>
        <v>1</v>
      </c>
      <c r="T59" s="242" t="str">
        <f t="shared" si="3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-18T09:09:44-0700',mode:absolute,to:'2017-12-18T11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47" t="str">
        <f>IF(AA59&lt;VLOOKUP(AG59,Variables!$AC$3:$AD$8,2,FALSE),"Y","N")</f>
        <v>N</v>
      </c>
      <c r="X59" s="247">
        <f t="shared" si="25"/>
        <v>1</v>
      </c>
      <c r="Y59" s="247">
        <f t="shared" si="34"/>
        <v>23.298400000000001</v>
      </c>
      <c r="Z59" s="247">
        <f t="shared" si="26"/>
        <v>1.72E-2</v>
      </c>
      <c r="AA59" s="247">
        <f t="shared" si="8"/>
        <v>23.281200000000002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9"/>
        <v>146</v>
      </c>
      <c r="AE59" s="235" t="str">
        <f t="shared" si="10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59" s="234" t="str">
        <f t="shared" si="11"/>
        <v>"C:\Program Files (x86)\AstroGrep\AstroGrep.exe" /e /r /s /spath="%USERPROFILE%\AppData\Local\Temp\OnboardLogs" /stypes="app*4025*20171218*" /stext=" 17:.+((SYSTEM_STATE.+slice.+state.+changed )|(ment ac)|(multiple cpu faults)|(system.+state.+changed )|(\[timeout)|(PRM\|1\|D)|(kpr)|(kdp)|(train st.+moving)|(\|lc)|(penalty))"</v>
      </c>
      <c r="AG59" s="244" t="str">
        <f t="shared" si="12"/>
        <v>EC</v>
      </c>
      <c r="AH59" s="236" t="str">
        <f t="shared" si="18"/>
        <v>"%USERPROFILE%\Documents\GitHub\eaglep3\Utilities\RefineRTDCRunTimes.py" --tripid 146-18 --locoid 4025 --swversion DE.1.0.9.0 --startMP 204:232984 --initTime 2017-12-18T10:09:44 --startdatetime 2017-12-18T10:12:14 --delay 53 --endMP 204:172 --enddatetime 2017-12-18T10:48:51 --enforcementcount 0 &gt;&gt;%USERPROFILE%\Documents\GitHub\eaglep3-reporting\EC\2017-12-18-refined-times.txt</v>
      </c>
      <c r="AI59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{"issue":{"subject":"","project_id":79,"tracker_id":40,"status_id":1,"priority_id":2,"assigned_to_id":338,"start_date":"2017-12-18","description":"","custom_fields":[{"id":1,"name":"Subdivision","value":"EC"},{"id":4,"name":"Milepost","value":"0.0172"},{"id":17,"name":"Train ID","value":"146-18"},{"id":16,"name":"Locomotive ID","value":"4025"},{"id":130,"name":"Impact","value":""},{"id":150,"name":"Time of Event (Mountain Time)","value":"10:48:51"},{"id":151,"name":"Denver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0"/>
        <v>start /low /b %USERPROFILE%\Documents\GitHub\eaglep3\Utilities\DownloadLogsFromS3.py --loco 4025 --day 2017-12-18</v>
      </c>
      <c r="AN59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2"/>
        <v>https://d0f6bd738d7f1b3e5a7ca70fe4ff75f0.us-east-1.aws.found.io/app/kibana#/discover/Steve-Slow-Train-Analysis-(2080s-and-2083s)?_g=(refreshInterval:(display:Off,pause:!f,section:0,value:0),time:(from:'2017-12-18T09:09:44-0700',mode:absolute,to:'2017-12-18T11:48:51-0700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746</v>
      </c>
      <c r="B60" s="225">
        <v>4010</v>
      </c>
      <c r="C60" s="227" t="s">
        <v>192</v>
      </c>
      <c r="D60" s="227" t="s">
        <v>928</v>
      </c>
      <c r="E60" s="226">
        <v>43087.390185185184</v>
      </c>
      <c r="F60" s="226">
        <v>43087.396018518521</v>
      </c>
      <c r="G60" s="225">
        <v>386</v>
      </c>
      <c r="H60" s="227" t="s">
        <v>905</v>
      </c>
      <c r="I60" s="226">
        <v>43087.42</v>
      </c>
      <c r="J60" s="225">
        <v>0</v>
      </c>
      <c r="K60" s="237" t="str">
        <f t="shared" si="0"/>
        <v>4009/4010</v>
      </c>
      <c r="L60" s="245" t="str">
        <f>VLOOKUP(A60,'Trips&amp;Operators'!$C$1:$G$99911,5,FALSE)</f>
        <v>YORK EDGAR</v>
      </c>
      <c r="M60" s="224">
        <f t="shared" si="24"/>
        <v>2.3981481477676425E-2</v>
      </c>
      <c r="N60" s="225">
        <f t="shared" si="32"/>
        <v>34.533333327854052</v>
      </c>
      <c r="O60" s="225"/>
      <c r="P60" s="225"/>
      <c r="Q60" s="228"/>
      <c r="R60" s="242"/>
      <c r="S60" s="249">
        <f t="shared" si="33"/>
        <v>1</v>
      </c>
      <c r="T60" s="242" t="str">
        <f t="shared" si="3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-18T08:21:52-0700',mode:absolute,to:'2017-12-18T11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0" s="247" t="str">
        <f>IF(AA60&lt;VLOOKUP(AG60,Variables!$AC$3:$AD$8,2,FALSE),"Y","N")</f>
        <v>N</v>
      </c>
      <c r="X60" s="247">
        <f t="shared" si="25"/>
        <v>1</v>
      </c>
      <c r="Y60" s="247">
        <f t="shared" si="34"/>
        <v>4.5999999999999999E-2</v>
      </c>
      <c r="Z60" s="247">
        <f t="shared" si="26"/>
        <v>23.327999999999999</v>
      </c>
      <c r="AA60" s="247">
        <f t="shared" si="8"/>
        <v>23.282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9"/>
        <v>147</v>
      </c>
      <c r="AE60" s="235" t="str">
        <f t="shared" si="10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60" s="234" t="str">
        <f t="shared" si="11"/>
        <v>"C:\Program Files (x86)\AstroGrep\AstroGrep.exe" /e /r /s /spath="%USERPROFILE%\AppData\Local\Temp\OnboardLogs" /stypes="app*4010*20171218*" /stext=" 17:.+((SYSTEM_STATE.+slice.+state.+changed )|(ment ac)|(multiple cpu faults)|(system.+state.+changed )|(\[timeout)|(PRM\|1\|D)|(kpr)|(kdp)|(train st.+moving)|(\|lc)|(penalty))"</v>
      </c>
      <c r="AG60" s="244" t="str">
        <f t="shared" si="12"/>
        <v>EC</v>
      </c>
      <c r="AH60" s="236" t="str">
        <f t="shared" si="18"/>
        <v>"%USERPROFILE%\Documents\GitHub\eaglep3\Utilities\RefineRTDCRunTimes.py" --tripid 147-18 --locoid 4010 --swversion DE.1.0.9.0 --startMP 204:460 --initTime 2017-12-18T09:21:52 --startdatetime 2017-12-18T09:30:16 --delay 386 --endMP 204:233280 --enddatetime 2017-12-18T10:04:48 --enforcementcount 0 &gt;&gt;%USERPROFILE%\Documents\GitHub\eaglep3-reporting\EC\2017-12-18-refined-times.txt</v>
      </c>
      <c r="AI6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{"issue":{"subject":"","project_id":79,"tracker_id":40,"status_id":1,"priority_id":2,"assigned_to_id":338,"start_date":"2017-12-18","description":"","custom_fields":[{"id":1,"name":"Subdivision","value":"EC"},{"id":4,"name":"Milepost","value":"23.328"},{"id":17,"name":"Train ID","value":"147-18"},{"id":16,"name":"Locomotive ID","value":"4010"},{"id":130,"name":"Impact","value":""},{"id":150,"name":"Time of Event (Mountain Time)","value":"10:04:48"},{"id":151,"name":"Denver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0"/>
        <v>start /low /b %USERPROFILE%\Documents\GitHub\eaglep3\Utilities\DownloadLogsFromS3.py --loco 4010 --day 2017-12-18</v>
      </c>
      <c r="AN6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2"/>
        <v>https://d0f6bd738d7f1b3e5a7ca70fe4ff75f0.us-east-1.aws.found.io/app/kibana#/discover/Steve-Slow-Train-Analysis-(2080s-and-2083s)?_g=(refreshInterval:(display:Off,pause:!f,section:0,value:0),time:(from:'2017-12-18T08:21:52-0700',mode:absolute,to:'2017-12-18T11:04:48-0700'))&amp;_a=(columns:!('Message%20ID',Summary),filters:!(),index:'emp_*',interval:auto,query:(query_string:(analyze_wildcard:!t,query:'%22rtdc.l.rtdc.4010%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753</v>
      </c>
      <c r="B61" s="225">
        <v>4009</v>
      </c>
      <c r="C61" s="227" t="s">
        <v>192</v>
      </c>
      <c r="D61" s="227" t="s">
        <v>647</v>
      </c>
      <c r="E61" s="226">
        <v>43087.431423611109</v>
      </c>
      <c r="F61" s="226">
        <v>43087.435717592591</v>
      </c>
      <c r="G61" s="225">
        <v>84</v>
      </c>
      <c r="H61" s="227" t="s">
        <v>558</v>
      </c>
      <c r="I61" s="226">
        <v>43087.461168981485</v>
      </c>
      <c r="J61" s="225">
        <v>0</v>
      </c>
      <c r="K61" s="237" t="str">
        <f t="shared" si="0"/>
        <v>4009/4010</v>
      </c>
      <c r="L61" s="245" t="str">
        <f>VLOOKUP(A61,'Trips&amp;Operators'!$C$1:$G$99911,5,FALSE)</f>
        <v>YORK EDGAR</v>
      </c>
      <c r="M61" s="224">
        <f t="shared" si="24"/>
        <v>2.5451388893998228E-2</v>
      </c>
      <c r="N61" s="225">
        <f t="shared" si="32"/>
        <v>36.650000007357448</v>
      </c>
      <c r="O61" s="225"/>
      <c r="P61" s="225"/>
      <c r="Q61" s="228"/>
      <c r="R61" s="242"/>
      <c r="S61" s="249">
        <f t="shared" si="33"/>
        <v>1</v>
      </c>
      <c r="T61" s="242" t="str">
        <f t="shared" si="3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-18T09:21:15-0700',mode:absolute,to:'2017-12-18T12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247" t="str">
        <f>IF(AA61&lt;VLOOKUP(AG61,Variables!$AC$3:$AD$8,2,FALSE),"Y","N")</f>
        <v>N</v>
      </c>
      <c r="X61" s="247">
        <f t="shared" si="25"/>
        <v>1</v>
      </c>
      <c r="Y61" s="247">
        <f t="shared" si="34"/>
        <v>23.296600000000002</v>
      </c>
      <c r="Z61" s="247">
        <f t="shared" si="26"/>
        <v>1.4999999999999999E-2</v>
      </c>
      <c r="AA61" s="247">
        <f t="shared" si="8"/>
        <v>23.281600000000001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9"/>
        <v>148</v>
      </c>
      <c r="AE61" s="235" t="str">
        <f t="shared" si="10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61" s="234" t="str">
        <f t="shared" si="11"/>
        <v>"C:\Program Files (x86)\AstroGrep\AstroGrep.exe" /e /r /s /spath="%USERPROFILE%\AppData\Local\Temp\OnboardLogs" /stypes="app*4009*20171218*" /stext=" 18:.+((SYSTEM_STATE.+slice.+state.+changed )|(ment ac)|(multiple cpu faults)|(system.+state.+changed )|(\[timeout)|(PRM\|1\|D)|(kpr)|(kdp)|(train st.+moving)|(\|lc)|(penalty))"</v>
      </c>
      <c r="AG61" s="244" t="str">
        <f t="shared" si="12"/>
        <v>EC</v>
      </c>
      <c r="AH61" s="236" t="str">
        <f t="shared" si="18"/>
        <v>"%USERPROFILE%\Documents\GitHub\eaglep3\Utilities\RefineRTDCRunTimes.py" --tripid 148-18 --locoid 4009 --swversion DE.1.0.9.0 --startMP 204:232966 --initTime 2017-12-18T10:21:15 --startdatetime 2017-12-18T10:27:26 --delay 84 --endMP 204:150 --enddatetime 2017-12-18T11:04:05 --enforcementcount 0 &gt;&gt;%USERPROFILE%\Documents\GitHub\eaglep3-reporting\EC\2017-12-18-refined-times.txt</v>
      </c>
      <c r="AI6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{"issue":{"subject":"","project_id":79,"tracker_id":40,"status_id":1,"priority_id":2,"assigned_to_id":338,"start_date":"2017-12-18","description":"","custom_fields":[{"id":1,"name":"Subdivision","value":"EC"},{"id":4,"name":"Milepost","value":"0.015"},{"id":17,"name":"Train ID","value":"148-18"},{"id":16,"name":"Locomotive ID","value":"4009"},{"id":130,"name":"Impact","value":""},{"id":150,"name":"Time of Event (Mountain Time)","value":"11:04:05"},{"id":151,"name":"Denver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0"/>
        <v>start /low /b %USERPROFILE%\Documents\GitHub\eaglep3\Utilities\DownloadLogsFromS3.py --loco 4009 --day 2017-12-18</v>
      </c>
      <c r="AN6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2"/>
        <v>https://d0f6bd738d7f1b3e5a7ca70fe4ff75f0.us-east-1.aws.found.io/app/kibana#/discover/Steve-Slow-Train-Analysis-(2080s-and-2083s)?_g=(refreshInterval:(display:Off,pause:!f,section:0,value:0),time:(from:'2017-12-18T09:21:15-0700',mode:absolute,to:'2017-12-18T12:04:05-0700'))&amp;_a=(columns:!('Message%20ID',Summary),filters:!(),index:'emp_*',interval:auto,query:(query_string:(analyze_wildcard:!t,query:'%22rtdc.l.rtdc.4009%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747</v>
      </c>
      <c r="B62" s="225">
        <v>4044</v>
      </c>
      <c r="C62" s="227" t="s">
        <v>192</v>
      </c>
      <c r="D62" s="227" t="s">
        <v>645</v>
      </c>
      <c r="E62" s="226">
        <v>43087.40483796296</v>
      </c>
      <c r="F62" s="226">
        <v>43087.406446759262</v>
      </c>
      <c r="G62" s="225">
        <v>47</v>
      </c>
      <c r="H62" s="227" t="s">
        <v>929</v>
      </c>
      <c r="I62" s="226">
        <v>43087.431030092594</v>
      </c>
      <c r="J62" s="225">
        <v>0</v>
      </c>
      <c r="K62" s="237" t="str">
        <f t="shared" si="0"/>
        <v>4043/4044</v>
      </c>
      <c r="L62" s="245" t="str">
        <f>VLOOKUP(A62,'Trips&amp;Operators'!$C$1:$G$99911,5,FALSE)</f>
        <v>DELGADO DIANAH</v>
      </c>
      <c r="M62" s="224">
        <f t="shared" si="24"/>
        <v>2.4583333331975155E-2</v>
      </c>
      <c r="N62" s="225">
        <f t="shared" si="32"/>
        <v>35.399999998044223</v>
      </c>
      <c r="O62" s="225"/>
      <c r="P62" s="225"/>
      <c r="Q62" s="228"/>
      <c r="R62" s="242"/>
      <c r="S62" s="249">
        <f t="shared" si="33"/>
        <v>1</v>
      </c>
      <c r="T62" s="242" t="str">
        <f t="shared" si="3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-18T08:42:58-0700',mode:absolute,to:'2017-12-18T11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247" t="str">
        <f>IF(AA62&lt;VLOOKUP(AG62,Variables!$AC$3:$AD$8,2,FALSE),"Y","N")</f>
        <v>N</v>
      </c>
      <c r="X62" s="247">
        <f t="shared" si="25"/>
        <v>1</v>
      </c>
      <c r="Y62" s="247">
        <f t="shared" si="34"/>
        <v>5.57E-2</v>
      </c>
      <c r="Z62" s="247">
        <f t="shared" si="26"/>
        <v>23.332599999999999</v>
      </c>
      <c r="AA62" s="247">
        <f t="shared" si="8"/>
        <v>23.276899999999998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9"/>
        <v>149</v>
      </c>
      <c r="AE62" s="235" t="str">
        <f t="shared" si="10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62" s="234" t="str">
        <f t="shared" si="11"/>
        <v>"C:\Program Files (x86)\AstroGrep\AstroGrep.exe" /e /r /s /spath="%USERPROFILE%\AppData\Local\Temp\OnboardLogs" /stypes="app*4044*20171218*" /stext=" 17:.+((SYSTEM_STATE.+slice.+state.+changed )|(ment ac)|(multiple cpu faults)|(system.+state.+changed )|(\[timeout)|(PRM\|1\|D)|(kpr)|(kdp)|(train st.+moving)|(\|lc)|(penalty))"</v>
      </c>
      <c r="AG62" s="244" t="str">
        <f t="shared" si="12"/>
        <v>EC</v>
      </c>
      <c r="AH62" s="236" t="str">
        <f t="shared" si="18"/>
        <v>"%USERPROFILE%\Documents\GitHub\eaglep3\Utilities\RefineRTDCRunTimes.py" --tripid 149-18 --locoid 4044 --swversion DE.1.0.9.0 --startMP 204:557 --initTime 2017-12-18T09:42:58 --startdatetime 2017-12-18T09:45:17 --delay 47 --endMP 204:233326 --enddatetime 2017-12-18T10:20:41 --enforcementcount 0 &gt;&gt;%USERPROFILE%\Documents\GitHub\eaglep3-reporting\EC\2017-12-18-refined-times.txt</v>
      </c>
      <c r="AI6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{"issue":{"subject":"","project_id":79,"tracker_id":40,"status_id":1,"priority_id":2,"assigned_to_id":338,"start_date":"2017-12-18","description":"","custom_fields":[{"id":1,"name":"Subdivision","value":"EC"},{"id":4,"name":"Milepost","value":"23.3326"},{"id":17,"name":"Train ID","value":"149-18"},{"id":16,"name":"Locomotive ID","value":"4044"},{"id":130,"name":"Impact","value":""},{"id":150,"name":"Time of Event (Mountain Time)","value":"10:20:41"},{"id":151,"name":"Denver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0"/>
        <v>start /low /b %USERPROFILE%\Documents\GitHub\eaglep3\Utilities\DownloadLogsFromS3.py --loco 4044 --day 2017-12-18</v>
      </c>
      <c r="AN6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2"/>
        <v>https://d0f6bd738d7f1b3e5a7ca70fe4ff75f0.us-east-1.aws.found.io/app/kibana#/discover/Steve-Slow-Train-Analysis-(2080s-and-2083s)?_g=(refreshInterval:(display:Off,pause:!f,section:0,value:0),time:(from:'2017-12-18T08:42:58-0700',mode:absolute,to:'2017-12-18T11:20:41-0700'))&amp;_a=(columns:!('Message%20ID',Summary),filters:!(),index:'emp_*',interval:auto,query:(query_string:(analyze_wildcard:!t,query:'%22rtdc.l.rtdc.4044%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755</v>
      </c>
      <c r="B63" s="225">
        <v>4043</v>
      </c>
      <c r="C63" s="227" t="s">
        <v>192</v>
      </c>
      <c r="D63" s="227" t="s">
        <v>901</v>
      </c>
      <c r="E63" s="226">
        <v>43087.433148148149</v>
      </c>
      <c r="F63" s="226">
        <v>43087.446053240739</v>
      </c>
      <c r="G63" s="225">
        <v>57</v>
      </c>
      <c r="H63" s="227" t="s">
        <v>907</v>
      </c>
      <c r="I63" s="226">
        <v>43087.470995370371</v>
      </c>
      <c r="J63" s="225">
        <v>0</v>
      </c>
      <c r="K63" s="237" t="str">
        <f t="shared" si="0"/>
        <v>4043/4044</v>
      </c>
      <c r="L63" s="245" t="str">
        <f>VLOOKUP(A63,'Trips&amp;Operators'!$C$1:$G$99911,5,FALSE)</f>
        <v>DELGADO DIANAH</v>
      </c>
      <c r="M63" s="224">
        <f t="shared" si="24"/>
        <v>2.4942129632108845E-2</v>
      </c>
      <c r="N63" s="225">
        <f t="shared" si="32"/>
        <v>35.916666670236737</v>
      </c>
      <c r="O63" s="225"/>
      <c r="P63" s="225"/>
      <c r="Q63" s="228"/>
      <c r="R63" s="242"/>
      <c r="S63" s="249">
        <f t="shared" si="33"/>
        <v>1</v>
      </c>
      <c r="T63" s="242" t="str">
        <f t="shared" si="3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-18T09:23:44-0700',mode:absolute,to:'2017-12-18T12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247" t="str">
        <f>IF(AA63&lt;VLOOKUP(AG63,Variables!$AC$3:$AD$8,2,FALSE),"Y","N")</f>
        <v>N</v>
      </c>
      <c r="X63" s="247">
        <f t="shared" si="25"/>
        <v>1</v>
      </c>
      <c r="Y63" s="247">
        <f t="shared" si="34"/>
        <v>23.299800000000001</v>
      </c>
      <c r="Z63" s="247">
        <f t="shared" si="26"/>
        <v>1.52E-2</v>
      </c>
      <c r="AA63" s="247">
        <f t="shared" si="8"/>
        <v>23.284600000000001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9"/>
        <v>150</v>
      </c>
      <c r="AE63" s="235" t="str">
        <f t="shared" si="10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63" s="234" t="str">
        <f t="shared" si="11"/>
        <v>"C:\Program Files (x86)\AstroGrep\AstroGrep.exe" /e /r /s /spath="%USERPROFILE%\AppData\Local\Temp\OnboardLogs" /stypes="app*4043*20171218*" /stext=" 18:.+((SYSTEM_STATE.+slice.+state.+changed )|(ment ac)|(multiple cpu faults)|(system.+state.+changed )|(\[timeout)|(PRM\|1\|D)|(kpr)|(kdp)|(train st.+moving)|(\|lc)|(penalty))"</v>
      </c>
      <c r="AG63" s="244" t="str">
        <f t="shared" si="12"/>
        <v>EC</v>
      </c>
      <c r="AH63" s="236" t="str">
        <f t="shared" si="18"/>
        <v>"%USERPROFILE%\Documents\GitHub\eaglep3\Utilities\RefineRTDCRunTimes.py" --tripid 150-18 --locoid 4043 --swversion DE.1.0.9.0 --startMP 204:232998 --initTime 2017-12-18T10:23:44 --startdatetime 2017-12-18T10:42:19 --delay 57 --endMP 204:152 --enddatetime 2017-12-18T11:18:14 --enforcementcount 0 &gt;&gt;%USERPROFILE%\Documents\GitHub\eaglep3-reporting\EC\2017-12-18-refined-times.txt</v>
      </c>
      <c r="AI6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{"issue":{"subject":"","project_id":79,"tracker_id":40,"status_id":1,"priority_id":2,"assigned_to_id":338,"start_date":"2017-12-18","description":"","custom_fields":[{"id":1,"name":"Subdivision","value":"EC"},{"id":4,"name":"Milepost","value":"0.0152"},{"id":17,"name":"Train ID","value":"150-18"},{"id":16,"name":"Locomotive ID","value":"4043"},{"id":130,"name":"Impact","value":""},{"id":150,"name":"Time of Event (Mountain Time)","value":"11:18:14"},{"id":151,"name":"Denver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0"/>
        <v>start /low /b %USERPROFILE%\Documents\GitHub\eaglep3\Utilities\DownloadLogsFromS3.py --loco 4043 --day 2017-12-18</v>
      </c>
      <c r="AN6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2"/>
        <v>https://d0f6bd738d7f1b3e5a7ca70fe4ff75f0.us-east-1.aws.found.io/app/kibana#/discover/Steve-Slow-Train-Analysis-(2080s-and-2083s)?_g=(refreshInterval:(display:Off,pause:!f,section:0,value:0),time:(from:'2017-12-18T09:23:44-0700',mode:absolute,to:'2017-12-18T12:18:14-0700'))&amp;_a=(columns:!('Message%20ID',Summary),filters:!(),index:'emp_*',interval:auto,query:(query_string:(analyze_wildcard:!t,query:'%22rtdc.l.rtdc.4043%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748</v>
      </c>
      <c r="B64" s="225">
        <v>4022</v>
      </c>
      <c r="C64" s="227" t="s">
        <v>192</v>
      </c>
      <c r="D64" s="227" t="s">
        <v>526</v>
      </c>
      <c r="E64" s="226">
        <v>43087.411249999997</v>
      </c>
      <c r="F64" s="226">
        <v>43087.416863425926</v>
      </c>
      <c r="G64" s="225">
        <v>48</v>
      </c>
      <c r="H64" s="227" t="s">
        <v>550</v>
      </c>
      <c r="I64" s="226">
        <v>43087.441504629627</v>
      </c>
      <c r="J64" s="225">
        <v>0</v>
      </c>
      <c r="K64" s="237" t="str">
        <f t="shared" si="0"/>
        <v>4021/4022</v>
      </c>
      <c r="L64" s="245" t="str">
        <f>VLOOKUP(A64,'Trips&amp;Operators'!$C$1:$G$99911,5,FALSE)</f>
        <v>MAELZER KURT</v>
      </c>
      <c r="M64" s="224">
        <f t="shared" si="24"/>
        <v>2.4641203701321501E-2</v>
      </c>
      <c r="N64" s="225">
        <f t="shared" si="32"/>
        <v>35.483333329902962</v>
      </c>
      <c r="O64" s="225"/>
      <c r="P64" s="225"/>
      <c r="Q64" s="228"/>
      <c r="R64" s="242"/>
      <c r="S64" s="249">
        <f t="shared" si="33"/>
        <v>1</v>
      </c>
      <c r="T64" s="242" t="str">
        <f t="shared" si="3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-18T08:52:12-0700',mode:absolute,to:'2017-12-18T11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4" s="247" t="str">
        <f>IF(AA64&lt;VLOOKUP(AG64,Variables!$AC$3:$AD$8,2,FALSE),"Y","N")</f>
        <v>N</v>
      </c>
      <c r="X64" s="247">
        <f t="shared" si="25"/>
        <v>1</v>
      </c>
      <c r="Y64" s="247">
        <f t="shared" si="34"/>
        <v>5.0799999999999998E-2</v>
      </c>
      <c r="Z64" s="247">
        <f t="shared" si="26"/>
        <v>23.331399999999999</v>
      </c>
      <c r="AA64" s="247">
        <f t="shared" si="8"/>
        <v>23.2806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9"/>
        <v>151</v>
      </c>
      <c r="AE64" s="235" t="str">
        <f t="shared" si="10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64" s="234" t="str">
        <f t="shared" si="11"/>
        <v>"C:\Program Files (x86)\AstroGrep\AstroGrep.exe" /e /r /s /spath="%USERPROFILE%\AppData\Local\Temp\OnboardLogs" /stypes="app*4022*20171218*" /stext=" 17:.+((SYSTEM_STATE.+slice.+state.+changed )|(ment ac)|(multiple cpu faults)|(system.+state.+changed )|(\[timeout)|(PRM\|1\|D)|(kpr)|(kdp)|(train st.+moving)|(\|lc)|(penalty))"</v>
      </c>
      <c r="AG64" s="244" t="str">
        <f t="shared" si="12"/>
        <v>EC</v>
      </c>
      <c r="AH64" s="236" t="str">
        <f t="shared" si="18"/>
        <v>"%USERPROFILE%\Documents\GitHub\eaglep3\Utilities\RefineRTDCRunTimes.py" --tripid 151-18 --locoid 4022 --swversion DE.1.0.9.0 --startMP 204:508 --initTime 2017-12-18T09:52:12 --startdatetime 2017-12-18T10:00:17 --delay 48 --endMP 204:233314 --enddatetime 2017-12-18T10:35:46 --enforcementcount 0 &gt;&gt;%USERPROFILE%\Documents\GitHub\eaglep3-reporting\EC\2017-12-18-refined-times.txt</v>
      </c>
      <c r="AI6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{"issue":{"subject":"","project_id":79,"tracker_id":40,"status_id":1,"priority_id":2,"assigned_to_id":338,"start_date":"2017-12-18","description":"","custom_fields":[{"id":1,"name":"Subdivision","value":"EC"},{"id":4,"name":"Milepost","value":"23.3314"},{"id":17,"name":"Train ID","value":"151-18"},{"id":16,"name":"Locomotive ID","value":"4022"},{"id":130,"name":"Impact","value":""},{"id":150,"name":"Time of Event (Mountain Time)","value":"10:35:46"},{"id":151,"name":"Denver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0"/>
        <v>start /low /b %USERPROFILE%\Documents\GitHub\eaglep3\Utilities\DownloadLogsFromS3.py --loco 4022 --day 2017-12-18</v>
      </c>
      <c r="AN6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2"/>
        <v>https://d0f6bd738d7f1b3e5a7ca70fe4ff75f0.us-east-1.aws.found.io/app/kibana#/discover/Steve-Slow-Train-Analysis-(2080s-and-2083s)?_g=(refreshInterval:(display:Off,pause:!f,section:0,value:0),time:(from:'2017-12-18T08:52:12-0700',mode:absolute,to:'2017-12-18T11:35:46-0700'))&amp;_a=(columns:!('Message%20ID',Summary),filters:!(),index:'emp_*',interval:auto,query:(query_string:(analyze_wildcard:!t,query:'%22rtdc.l.rtdc.4022%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758</v>
      </c>
      <c r="B65" s="225">
        <v>4021</v>
      </c>
      <c r="C65" s="227" t="s">
        <v>192</v>
      </c>
      <c r="D65" s="227" t="s">
        <v>555</v>
      </c>
      <c r="E65" s="226">
        <v>43087.44804398148</v>
      </c>
      <c r="F65" s="226">
        <v>43087.456493055557</v>
      </c>
      <c r="G65" s="225">
        <v>50</v>
      </c>
      <c r="H65" s="227" t="s">
        <v>509</v>
      </c>
      <c r="I65" s="226">
        <v>43087.482407407406</v>
      </c>
      <c r="J65" s="225">
        <v>0</v>
      </c>
      <c r="K65" s="237" t="str">
        <f t="shared" si="0"/>
        <v>4021/4022</v>
      </c>
      <c r="L65" s="245" t="str">
        <f>VLOOKUP(A65,'Trips&amp;Operators'!$C$1:$G$99911,5,FALSE)</f>
        <v>MAELZER KURT</v>
      </c>
      <c r="M65" s="224">
        <f t="shared" si="24"/>
        <v>2.5914351848769002E-2</v>
      </c>
      <c r="N65" s="225">
        <f t="shared" si="32"/>
        <v>37.316666662227362</v>
      </c>
      <c r="O65" s="225"/>
      <c r="P65" s="225"/>
      <c r="Q65" s="228"/>
      <c r="R65" s="242"/>
      <c r="S65" s="249">
        <f t="shared" si="33"/>
        <v>1</v>
      </c>
      <c r="T65" s="242" t="str">
        <f t="shared" si="3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-18T09:45:11-0700',mode:absolute,to:'2017-12-18T12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5" s="247" t="str">
        <f>IF(AA65&lt;VLOOKUP(AG65,Variables!$AC$3:$AD$8,2,FALSE),"Y","N")</f>
        <v>N</v>
      </c>
      <c r="X65" s="247">
        <f t="shared" si="25"/>
        <v>1</v>
      </c>
      <c r="Y65" s="247">
        <f t="shared" si="34"/>
        <v>23.299099999999999</v>
      </c>
      <c r="Z65" s="247">
        <f t="shared" si="26"/>
        <v>1.9099999999999999E-2</v>
      </c>
      <c r="AA65" s="247">
        <f t="shared" si="8"/>
        <v>23.279999999999998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9"/>
        <v>152</v>
      </c>
      <c r="AE65" s="235" t="str">
        <f t="shared" si="10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65" s="234" t="str">
        <f t="shared" si="11"/>
        <v>"C:\Program Files (x86)\AstroGrep\AstroGrep.exe" /e /r /s /spath="%USERPROFILE%\AppData\Local\Temp\OnboardLogs" /stypes="app*4021*20171218*" /stext=" 18:.+((SYSTEM_STATE.+slice.+state.+changed )|(ment ac)|(multiple cpu faults)|(system.+state.+changed )|(\[timeout)|(PRM\|1\|D)|(kpr)|(kdp)|(train st.+moving)|(\|lc)|(penalty))"</v>
      </c>
      <c r="AG65" s="244" t="str">
        <f t="shared" si="12"/>
        <v>EC</v>
      </c>
      <c r="AH65" s="236" t="str">
        <f t="shared" si="18"/>
        <v>"%USERPROFILE%\Documents\GitHub\eaglep3\Utilities\RefineRTDCRunTimes.py" --tripid 152-18 --locoid 4021 --swversion DE.1.0.9.0 --startMP 204:232991 --initTime 2017-12-18T10:45:11 --startdatetime 2017-12-18T10:57:21 --delay 50 --endMP 204:191 --enddatetime 2017-12-18T11:34:40 --enforcementcount 0 &gt;&gt;%USERPROFILE%\Documents\GitHub\eaglep3-reporting\EC\2017-12-18-refined-times.txt</v>
      </c>
      <c r="AI6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{"issue":{"subject":"","project_id":79,"tracker_id":40,"status_id":1,"priority_id":2,"assigned_to_id":338,"start_date":"2017-12-18","description":"","custom_fields":[{"id":1,"name":"Subdivision","value":"EC"},{"id":4,"name":"Milepost","value":"0.0191"},{"id":17,"name":"Train ID","value":"152-18"},{"id":16,"name":"Locomotive ID","value":"4021"},{"id":130,"name":"Impact","value":""},{"id":150,"name":"Time of Event (Mountain Time)","value":"11:34:40"},{"id":151,"name":"Denver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0"/>
        <v>start /low /b %USERPROFILE%\Documents\GitHub\eaglep3\Utilities\DownloadLogsFromS3.py --loco 4021 --day 2017-12-18</v>
      </c>
      <c r="AN6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2"/>
        <v>https://d0f6bd738d7f1b3e5a7ca70fe4ff75f0.us-east-1.aws.found.io/app/kibana#/discover/Steve-Slow-Train-Analysis-(2080s-and-2083s)?_g=(refreshInterval:(display:Off,pause:!f,section:0,value:0),time:(from:'2017-12-18T09:45:11-0700',mode:absolute,to:'2017-12-18T12:34:40-0700'))&amp;_a=(columns:!('Message%20ID',Summary),filters:!(),index:'emp_*',interval:auto,query:(query_string:(analyze_wildcard:!t,query:'%22rtdc.l.rtdc.4021%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752</v>
      </c>
      <c r="B66" s="225">
        <v>4052</v>
      </c>
      <c r="C66" s="227" t="s">
        <v>192</v>
      </c>
      <c r="D66" s="227" t="s">
        <v>606</v>
      </c>
      <c r="E66" s="226">
        <v>43087.424224537041</v>
      </c>
      <c r="F66" s="226">
        <v>43087.427337962959</v>
      </c>
      <c r="G66" s="225">
        <v>93</v>
      </c>
      <c r="H66" s="227" t="s">
        <v>619</v>
      </c>
      <c r="I66" s="226">
        <v>43087.452222222222</v>
      </c>
      <c r="J66" s="225">
        <v>0</v>
      </c>
      <c r="K66" s="237" t="str">
        <f t="shared" si="0"/>
        <v>4051/4052</v>
      </c>
      <c r="L66" s="245" t="str">
        <f>VLOOKUP(A66,'Trips&amp;Operators'!$C$1:$G$99911,5,FALSE)</f>
        <v>MACDONALD THOMAS</v>
      </c>
      <c r="M66" s="224">
        <f t="shared" si="24"/>
        <v>2.4884259262762498E-2</v>
      </c>
      <c r="N66" s="225">
        <f t="shared" si="32"/>
        <v>35.833333338377997</v>
      </c>
      <c r="O66" s="225"/>
      <c r="P66" s="225"/>
      <c r="Q66" s="228"/>
      <c r="R66" s="242"/>
      <c r="S66" s="249">
        <f t="shared" si="33"/>
        <v>1</v>
      </c>
      <c r="T66" s="242" t="str">
        <f t="shared" si="3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-18T09:10:53-0700',mode:absolute,to:'2017-12-18T11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247" t="str">
        <f>IF(AA66&lt;VLOOKUP(AG66,Variables!$AC$3:$AD$8,2,FALSE),"Y","N")</f>
        <v>N</v>
      </c>
      <c r="X66" s="247">
        <f t="shared" si="25"/>
        <v>1</v>
      </c>
      <c r="Y66" s="247">
        <f t="shared" si="34"/>
        <v>5.2200000000000003E-2</v>
      </c>
      <c r="Z66" s="247">
        <f t="shared" si="26"/>
        <v>23.320699999999999</v>
      </c>
      <c r="AA66" s="247">
        <f t="shared" si="8"/>
        <v>23.2685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9"/>
        <v>153</v>
      </c>
      <c r="AE66" s="235" t="str">
        <f t="shared" si="10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66" s="234" t="str">
        <f t="shared" si="11"/>
        <v>"C:\Program Files (x86)\AstroGrep\AstroGrep.exe" /e /r /s /spath="%USERPROFILE%\AppData\Local\Temp\OnboardLogs" /stypes="app*4052*20171218*" /stext=" 17:.+((SYSTEM_STATE.+slice.+state.+changed )|(ment ac)|(multiple cpu faults)|(system.+state.+changed )|(\[timeout)|(PRM\|1\|D)|(kpr)|(kdp)|(train st.+moving)|(\|lc)|(penalty))"</v>
      </c>
      <c r="AG66" s="244" t="str">
        <f t="shared" si="12"/>
        <v>EC</v>
      </c>
      <c r="AH66" s="236" t="str">
        <f t="shared" si="18"/>
        <v>"%USERPROFILE%\Documents\GitHub\eaglep3\Utilities\RefineRTDCRunTimes.py" --tripid 153-18 --locoid 4052 --swversion DE.1.0.9.0 --startMP 204:522 --initTime 2017-12-18T10:10:53 --startdatetime 2017-12-18T10:15:22 --delay 93 --endMP 204:233207 --enddatetime 2017-12-18T10:51:12 --enforcementcount 0 &gt;&gt;%USERPROFILE%\Documents\GitHub\eaglep3-reporting\EC\2017-12-18-refined-times.txt</v>
      </c>
      <c r="AI6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{"issue":{"subject":"","project_id":79,"tracker_id":40,"status_id":1,"priority_id":2,"assigned_to_id":338,"start_date":"2017-12-18","description":"","custom_fields":[{"id":1,"name":"Subdivision","value":"EC"},{"id":4,"name":"Milepost","value":"23.3207"},{"id":17,"name":"Train ID","value":"153-18"},{"id":16,"name":"Locomotive ID","value":"4052"},{"id":130,"name":"Impact","value":""},{"id":150,"name":"Time of Event (Mountain Time)","value":"10:51:12"},{"id":151,"name":"Denver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0"/>
        <v>start /low /b %USERPROFILE%\Documents\GitHub\eaglep3\Utilities\DownloadLogsFromS3.py --loco 4052 --day 2017-12-18</v>
      </c>
      <c r="AN6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2"/>
        <v>https://d0f6bd738d7f1b3e5a7ca70fe4ff75f0.us-east-1.aws.found.io/app/kibana#/discover/Steve-Slow-Train-Analysis-(2080s-and-2083s)?_g=(refreshInterval:(display:Off,pause:!f,section:0,value:0),time:(from:'2017-12-18T09:10:53-0700',mode:absolute,to:'2017-12-18T11:51:12-0700'))&amp;_a=(columns:!('Message%20ID',Summary),filters:!(),index:'emp_*',interval:auto,query:(query_string:(analyze_wildcard:!t,query:'%22rtdc.l.rtdc.4052%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763</v>
      </c>
      <c r="B67" s="225">
        <v>4051</v>
      </c>
      <c r="C67" s="227" t="s">
        <v>192</v>
      </c>
      <c r="D67" s="227" t="s">
        <v>642</v>
      </c>
      <c r="E67" s="226">
        <v>43087.465497685182</v>
      </c>
      <c r="F67" s="226">
        <v>43087.466863425929</v>
      </c>
      <c r="G67" s="225">
        <v>65</v>
      </c>
      <c r="H67" s="227" t="s">
        <v>533</v>
      </c>
      <c r="I67" s="226">
        <v>43087.492199074077</v>
      </c>
      <c r="J67" s="225">
        <v>0</v>
      </c>
      <c r="K67" s="237" t="str">
        <f t="shared" si="0"/>
        <v>4051/4052</v>
      </c>
      <c r="L67" s="245" t="str">
        <f>VLOOKUP(A67,'Trips&amp;Operators'!$C$1:$G$99911,5,FALSE)</f>
        <v>MACDONALD THOMAS</v>
      </c>
      <c r="M67" s="224">
        <f t="shared" si="24"/>
        <v>2.5335648148029577E-2</v>
      </c>
      <c r="N67" s="225">
        <f t="shared" si="32"/>
        <v>36.483333333162591</v>
      </c>
      <c r="O67" s="225"/>
      <c r="P67" s="225"/>
      <c r="Q67" s="228"/>
      <c r="R67" s="242"/>
      <c r="S67" s="249">
        <f t="shared" si="33"/>
        <v>1</v>
      </c>
      <c r="T67" s="242" t="str">
        <f t="shared" si="3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-18T10:10:19-0700',mode:absolute,to:'2017-12-18T12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247" t="str">
        <f>IF(AA67&lt;VLOOKUP(AG67,Variables!$AC$3:$AD$8,2,FALSE),"Y","N")</f>
        <v>N</v>
      </c>
      <c r="X67" s="247">
        <f t="shared" si="25"/>
        <v>1</v>
      </c>
      <c r="Y67" s="247">
        <f t="shared" si="34"/>
        <v>23.288399999999999</v>
      </c>
      <c r="Z67" s="247">
        <f t="shared" si="26"/>
        <v>2.0500000000000001E-2</v>
      </c>
      <c r="AA67" s="247">
        <f t="shared" si="8"/>
        <v>23.267900000000001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9"/>
        <v>154</v>
      </c>
      <c r="AE67" s="235" t="str">
        <f t="shared" si="10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67" s="234" t="str">
        <f t="shared" si="11"/>
        <v>"C:\Program Files (x86)\AstroGrep\AstroGrep.exe" /e /r /s /spath="%USERPROFILE%\AppData\Local\Temp\OnboardLogs" /stypes="app*4051*20171218*" /stext=" 18:.+((SYSTEM_STATE.+slice.+state.+changed )|(ment ac)|(multiple cpu faults)|(system.+state.+changed )|(\[timeout)|(PRM\|1\|D)|(kpr)|(kdp)|(train st.+moving)|(\|lc)|(penalty))"</v>
      </c>
      <c r="AG67" s="244" t="str">
        <f t="shared" si="12"/>
        <v>EC</v>
      </c>
      <c r="AH67" s="236" t="str">
        <f t="shared" si="18"/>
        <v>"%USERPROFILE%\Documents\GitHub\eaglep3\Utilities\RefineRTDCRunTimes.py" --tripid 154-18 --locoid 4051 --swversion DE.1.0.9.0 --startMP 204:232884 --initTime 2017-12-18T11:10:19 --startdatetime 2017-12-18T11:12:17 --delay 65 --endMP 204:205 --enddatetime 2017-12-18T11:48:46 --enforcementcount 0 &gt;&gt;%USERPROFILE%\Documents\GitHub\eaglep3-reporting\EC\2017-12-18-refined-times.txt</v>
      </c>
      <c r="AI6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{"issue":{"subject":"","project_id":79,"tracker_id":40,"status_id":1,"priority_id":2,"assigned_to_id":338,"start_date":"2017-12-18","description":"","custom_fields":[{"id":1,"name":"Subdivision","value":"EC"},{"id":4,"name":"Milepost","value":"0.0205"},{"id":17,"name":"Train ID","value":"154-18"},{"id":16,"name":"Locomotive ID","value":"4051"},{"id":130,"name":"Impact","value":""},{"id":150,"name":"Time of Event (Mountain Time)","value":"11:48:46"},{"id":151,"name":"Denver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0"/>
        <v>start /low /b %USERPROFILE%\Documents\GitHub\eaglep3\Utilities\DownloadLogsFromS3.py --loco 4051 --day 2017-12-18</v>
      </c>
      <c r="AN6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2"/>
        <v>https://d0f6bd738d7f1b3e5a7ca70fe4ff75f0.us-east-1.aws.found.io/app/kibana#/discover/Steve-Slow-Train-Analysis-(2080s-and-2083s)?_g=(refreshInterval:(display:Off,pause:!f,section:0,value:0),time:(from:'2017-12-18T10:10:19-0700',mode:absolute,to:'2017-12-18T12:48:46-0700'))&amp;_a=(columns:!('Message%20ID',Summary),filters:!(),index:'emp_*',interval:auto,query:(query_string:(analyze_wildcard:!t,query:'%22rtdc.l.rtdc.4051%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754</v>
      </c>
      <c r="B68" s="225">
        <v>4050</v>
      </c>
      <c r="C68" s="227" t="s">
        <v>192</v>
      </c>
      <c r="D68" s="227" t="s">
        <v>930</v>
      </c>
      <c r="E68" s="226">
        <v>43087.432974537034</v>
      </c>
      <c r="F68" s="226">
        <v>43087.437719907408</v>
      </c>
      <c r="G68" s="225">
        <v>57</v>
      </c>
      <c r="H68" s="227" t="s">
        <v>931</v>
      </c>
      <c r="I68" s="226">
        <v>43087.46292824074</v>
      </c>
      <c r="J68" s="225">
        <v>0</v>
      </c>
      <c r="K68" s="237" t="str">
        <f t="shared" si="0"/>
        <v>4049/4050</v>
      </c>
      <c r="L68" s="245" t="str">
        <f>VLOOKUP(A68,'Trips&amp;Operators'!$C$1:$G$99911,5,FALSE)</f>
        <v>DAVIDSON DAVID</v>
      </c>
      <c r="M68" s="224">
        <f t="shared" si="24"/>
        <v>2.5208333332557231E-2</v>
      </c>
      <c r="N68" s="225">
        <f t="shared" si="32"/>
        <v>36.299999998882413</v>
      </c>
      <c r="O68" s="225"/>
      <c r="P68" s="225"/>
      <c r="Q68" s="228"/>
      <c r="R68" s="242"/>
      <c r="S68" s="249">
        <f t="shared" si="33"/>
        <v>1</v>
      </c>
      <c r="T68" s="242" t="str">
        <f t="shared" si="3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-18T09:23:29-0700',mode:absolute,to:'2017-12-18T12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8" s="247" t="str">
        <f>IF(AA68&lt;VLOOKUP(AG68,Variables!$AC$3:$AD$8,2,FALSE),"Y","N")</f>
        <v>N</v>
      </c>
      <c r="X68" s="247">
        <f t="shared" si="25"/>
        <v>1</v>
      </c>
      <c r="Y68" s="247">
        <f t="shared" si="34"/>
        <v>5.1900000000000002E-2</v>
      </c>
      <c r="Z68" s="247">
        <f t="shared" si="26"/>
        <v>23.328700000000001</v>
      </c>
      <c r="AA68" s="247">
        <f t="shared" si="8"/>
        <v>23.276800000000001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9"/>
        <v>155</v>
      </c>
      <c r="AE68" s="235" t="str">
        <f t="shared" si="10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68" s="234" t="str">
        <f t="shared" si="11"/>
        <v>"C:\Program Files (x86)\AstroGrep\AstroGrep.exe" /e /r /s /spath="%USERPROFILE%\AppData\Local\Temp\OnboardLogs" /stypes="app*4050*20171218*" /stext=" 18:.+((SYSTEM_STATE.+slice.+state.+changed )|(ment ac)|(multiple cpu faults)|(system.+state.+changed )|(\[timeout)|(PRM\|1\|D)|(kpr)|(kdp)|(train st.+moving)|(\|lc)|(penalty))"</v>
      </c>
      <c r="AG68" s="244" t="str">
        <f t="shared" si="12"/>
        <v>EC</v>
      </c>
      <c r="AH68" s="236" t="str">
        <f t="shared" si="18"/>
        <v>"%USERPROFILE%\Documents\GitHub\eaglep3\Utilities\RefineRTDCRunTimes.py" --tripid 155-18 --locoid 4050 --swversion DE.1.0.9.0 --startMP 204:519 --initTime 2017-12-18T10:23:29 --startdatetime 2017-12-18T10:30:19 --delay 57 --endMP 204:233287 --enddatetime 2017-12-18T11:06:37 --enforcementcount 0 &gt;&gt;%USERPROFILE%\Documents\GitHub\eaglep3-reporting\EC\2017-12-18-refined-times.txt</v>
      </c>
      <c r="AI6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{"issue":{"subject":"","project_id":79,"tracker_id":40,"status_id":1,"priority_id":2,"assigned_to_id":338,"start_date":"2017-12-18","description":"","custom_fields":[{"id":1,"name":"Subdivision","value":"EC"},{"id":4,"name":"Milepost","value":"23.3287"},{"id":17,"name":"Train ID","value":"155-18"},{"id":16,"name":"Locomotive ID","value":"4050"},{"id":130,"name":"Impact","value":""},{"id":150,"name":"Time of Event (Mountain Time)","value":"11:06:37"},{"id":151,"name":"Denver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0"/>
        <v>start /low /b %USERPROFILE%\Documents\GitHub\eaglep3\Utilities\DownloadLogsFromS3.py --loco 4050 --day 2017-12-18</v>
      </c>
      <c r="AN6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2"/>
        <v>https://d0f6bd738d7f1b3e5a7ca70fe4ff75f0.us-east-1.aws.found.io/app/kibana#/discover/Steve-Slow-Train-Analysis-(2080s-and-2083s)?_g=(refreshInterval:(display:Off,pause:!f,section:0,value:0),time:(from:'2017-12-18T09:23:29-0700',mode:absolute,to:'2017-12-18T12:06:37-0700'))&amp;_a=(columns:!('Message%20ID',Summary),filters:!(),index:'emp_*',interval:auto,query:(query_string:(analyze_wildcard:!t,query:'%22rtdc.l.rtdc.4050%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761</v>
      </c>
      <c r="B69" s="225">
        <v>4049</v>
      </c>
      <c r="C69" s="227" t="s">
        <v>192</v>
      </c>
      <c r="D69" s="227" t="s">
        <v>932</v>
      </c>
      <c r="E69" s="226">
        <v>43087.464467592596</v>
      </c>
      <c r="F69" s="226">
        <v>43087.477314814816</v>
      </c>
      <c r="G69" s="225">
        <v>51</v>
      </c>
      <c r="H69" s="227" t="s">
        <v>910</v>
      </c>
      <c r="I69" s="226">
        <v>43087.50513888889</v>
      </c>
      <c r="J69" s="225">
        <v>0</v>
      </c>
      <c r="K69" s="237" t="str">
        <f t="shared" si="0"/>
        <v>4049/4050</v>
      </c>
      <c r="L69" s="245" t="str">
        <f>VLOOKUP(A69,'Trips&amp;Operators'!$C$1:$G$99911,5,FALSE)</f>
        <v>DAVIDSON DAVID</v>
      </c>
      <c r="M69" s="224">
        <f t="shared" si="24"/>
        <v>2.7824074073578231E-2</v>
      </c>
      <c r="N69" s="225">
        <f t="shared" si="32"/>
        <v>40.066666665952653</v>
      </c>
      <c r="O69" s="225"/>
      <c r="P69" s="225"/>
      <c r="Q69" s="228"/>
      <c r="R69" s="242"/>
      <c r="S69" s="249">
        <f t="shared" si="33"/>
        <v>1</v>
      </c>
      <c r="T69" s="242" t="str">
        <f t="shared" si="3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-18T10:08:50-0700',mode:absolute,to:'2017-12-18T13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9" s="247" t="str">
        <f>IF(AA69&lt;VLOOKUP(AG69,Variables!$AC$3:$AD$8,2,FALSE),"Y","N")</f>
        <v>N</v>
      </c>
      <c r="X69" s="247">
        <f t="shared" si="25"/>
        <v>1</v>
      </c>
      <c r="Y69" s="247">
        <f t="shared" si="34"/>
        <v>23.296199999999999</v>
      </c>
      <c r="Z69" s="247">
        <f t="shared" si="26"/>
        <v>2.3099999999999999E-2</v>
      </c>
      <c r="AA69" s="247">
        <f t="shared" si="8"/>
        <v>23.273099999999999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9"/>
        <v>156</v>
      </c>
      <c r="AE69" s="235" t="str">
        <f t="shared" si="10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69" s="234" t="str">
        <f t="shared" si="11"/>
        <v>"C:\Program Files (x86)\AstroGrep\AstroGrep.exe" /e /r /s /spath="%USERPROFILE%\AppData\Local\Temp\OnboardLogs" /stypes="app*4049*20171218*" /stext=" 19:.+((SYSTEM_STATE.+slice.+state.+changed )|(ment ac)|(multiple cpu faults)|(system.+state.+changed )|(\[timeout)|(PRM\|1\|D)|(kpr)|(kdp)|(train st.+moving)|(\|lc)|(penalty))"</v>
      </c>
      <c r="AG69" s="244" t="str">
        <f t="shared" si="12"/>
        <v>EC</v>
      </c>
      <c r="AH69" s="236" t="str">
        <f t="shared" si="18"/>
        <v>"%USERPROFILE%\Documents\GitHub\eaglep3\Utilities\RefineRTDCRunTimes.py" --tripid 156-18 --locoid 4049 --swversion DE.1.0.9.0 --startMP 204:232962 --initTime 2017-12-18T11:08:50 --startdatetime 2017-12-18T11:27:20 --delay 51 --endMP 204:231 --enddatetime 2017-12-18T12:07:24 --enforcementcount 0 &gt;&gt;%USERPROFILE%\Documents\GitHub\eaglep3-reporting\EC\2017-12-18-refined-times.txt</v>
      </c>
      <c r="AI69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{"issue":{"subject":"","project_id":79,"tracker_id":40,"status_id":1,"priority_id":2,"assigned_to_id":338,"start_date":"2017-12-18","description":"","custom_fields":[{"id":1,"name":"Subdivision","value":"EC"},{"id":4,"name":"Milepost","value":"0.0231"},{"id":17,"name":"Train ID","value":"156-18"},{"id":16,"name":"Locomotive ID","value":"4049"},{"id":130,"name":"Impact","value":""},{"id":150,"name":"Time of Event (Mountain Time)","value":"12:07:24"},{"id":151,"name":"Denver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0"/>
        <v>start /low /b %USERPROFILE%\Documents\GitHub\eaglep3\Utilities\DownloadLogsFromS3.py --loco 4049 --day 2017-12-18</v>
      </c>
      <c r="AN69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2"/>
        <v>https://d0f6bd738d7f1b3e5a7ca70fe4ff75f0.us-east-1.aws.found.io/app/kibana#/discover/Steve-Slow-Train-Analysis-(2080s-and-2083s)?_g=(refreshInterval:(display:Off,pause:!f,section:0,value:0),time:(from:'2017-12-18T10:08:50-0700',mode:absolute,to:'2017-12-18T13:07:24-0700'))&amp;_a=(columns:!('Message%20ID',Summary),filters:!(),index:'emp_*',interval:auto,query:(query_string:(analyze_wildcard:!t,query:'%22rtdc.l.rtdc.4049%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757</v>
      </c>
      <c r="B70" s="225">
        <v>4016</v>
      </c>
      <c r="C70" s="227" t="s">
        <v>192</v>
      </c>
      <c r="D70" s="227" t="s">
        <v>610</v>
      </c>
      <c r="E70" s="226">
        <v>43087.444166666668</v>
      </c>
      <c r="F70" s="226">
        <v>43087.44809027778</v>
      </c>
      <c r="G70" s="225">
        <v>86</v>
      </c>
      <c r="H70" s="227" t="s">
        <v>556</v>
      </c>
      <c r="I70" s="226">
        <v>43087.473530092589</v>
      </c>
      <c r="J70" s="225">
        <v>0</v>
      </c>
      <c r="K70" s="237" t="str">
        <f t="shared" si="0"/>
        <v>4015/4016</v>
      </c>
      <c r="L70" s="245" t="str">
        <f>VLOOKUP(A70,'Trips&amp;Operators'!$C$1:$G$99911,5,FALSE)</f>
        <v>BADERTSCHER DIANE</v>
      </c>
      <c r="M70" s="224">
        <f t="shared" si="24"/>
        <v>2.5439814809942618E-2</v>
      </c>
      <c r="N70" s="225">
        <f t="shared" si="32"/>
        <v>36.63333332631737</v>
      </c>
      <c r="O70" s="225"/>
      <c r="P70" s="225"/>
      <c r="Q70" s="228"/>
      <c r="R70" s="242"/>
      <c r="S70" s="249">
        <f t="shared" si="33"/>
        <v>1</v>
      </c>
      <c r="T70" s="242" t="str">
        <f t="shared" si="3"/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-18T09:39:36-0700',mode:absolute,to:'2017-12-18T12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247" t="str">
        <f>IF(AA70&lt;VLOOKUP(AG70,Variables!$AC$3:$AD$8,2,FALSE),"Y","N")</f>
        <v>N</v>
      </c>
      <c r="X70" s="247">
        <f t="shared" si="25"/>
        <v>1</v>
      </c>
      <c r="Y70" s="247">
        <f t="shared" si="34"/>
        <v>4.4900000000000002E-2</v>
      </c>
      <c r="Z70" s="247">
        <f t="shared" si="26"/>
        <v>23.3261</v>
      </c>
      <c r="AA70" s="247">
        <f t="shared" si="8"/>
        <v>23.281200000000002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9"/>
        <v>157</v>
      </c>
      <c r="AE70" s="235" t="str">
        <f t="shared" si="10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70" s="234" t="str">
        <f t="shared" si="11"/>
        <v>"C:\Program Files (x86)\AstroGrep\AstroGrep.exe" /e /r /s /spath="%USERPROFILE%\AppData\Local\Temp\OnboardLogs" /stypes="app*4016*20171218*" /stext=" 18:.+((SYSTEM_STATE.+slice.+state.+changed )|(ment ac)|(multiple cpu faults)|(system.+state.+changed )|(\[timeout)|(PRM\|1\|D)|(kpr)|(kdp)|(train st.+moving)|(\|lc)|(penalty))"</v>
      </c>
      <c r="AG70" s="244" t="str">
        <f t="shared" si="12"/>
        <v>EC</v>
      </c>
      <c r="AH70" s="236" t="str">
        <f t="shared" si="18"/>
        <v>"%USERPROFILE%\Documents\GitHub\eaglep3\Utilities\RefineRTDCRunTimes.py" --tripid 157-18 --locoid 4016 --swversion DE.1.0.9.0 --startMP 204:449 --initTime 2017-12-18T10:39:36 --startdatetime 2017-12-18T10:45:15 --delay 86 --endMP 204:233261 --enddatetime 2017-12-18T11:21:53 --enforcementcount 0 &gt;&gt;%USERPROFILE%\Documents\GitHub\eaglep3-reporting\EC\2017-12-18-refined-times.txt</v>
      </c>
      <c r="AI70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{"issue":{"subject":"","project_id":79,"tracker_id":40,"status_id":1,"priority_id":2,"assigned_to_id":338,"start_date":"2017-12-18","description":"","custom_fields":[{"id":1,"name":"Subdivision","value":"EC"},{"id":4,"name":"Milepost","value":"23.3261"},{"id":17,"name":"Train ID","value":"157-18"},{"id":16,"name":"Locomotive ID","value":"4016"},{"id":130,"name":"Impact","value":""},{"id":150,"name":"Time of Event (Mountain Time)","value":"11:21:53"},{"id":151,"name":"Denver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0"/>
        <v>start /low /b %USERPROFILE%\Documents\GitHub\eaglep3\Utilities\DownloadLogsFromS3.py --loco 4016 --day 2017-12-18</v>
      </c>
      <c r="AN70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2"/>
        <v>https://d0f6bd738d7f1b3e5a7ca70fe4ff75f0.us-east-1.aws.found.io/app/kibana#/discover/Steve-Slow-Train-Analysis-(2080s-and-2083s)?_g=(refreshInterval:(display:Off,pause:!f,section:0,value:0),time:(from:'2017-12-18T09:39:36-0700',mode:absolute,to:'2017-12-18T12:21:53-0700'))&amp;_a=(columns:!('Message%20ID',Summary),filters:!(),index:'emp_*',interval:auto,query:(query_string:(analyze_wildcard:!t,query:'%22rtdc.l.rtdc.4016%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679</v>
      </c>
      <c r="B71" s="225">
        <v>4015</v>
      </c>
      <c r="C71" s="227" t="s">
        <v>192</v>
      </c>
      <c r="D71" s="227" t="s">
        <v>933</v>
      </c>
      <c r="E71" s="226">
        <v>43087.48232638889</v>
      </c>
      <c r="F71" s="226">
        <v>43087.487673611111</v>
      </c>
      <c r="G71" s="225">
        <v>114</v>
      </c>
      <c r="H71" s="227" t="s">
        <v>537</v>
      </c>
      <c r="I71" s="226">
        <v>43087.514965277776</v>
      </c>
      <c r="J71" s="225">
        <v>0</v>
      </c>
      <c r="K71" s="237" t="str">
        <f t="shared" si="0"/>
        <v>4015/4016</v>
      </c>
      <c r="L71" s="245" t="str">
        <f>VLOOKUP(A71,'Trips&amp;Operators'!$C$1:$G$99911,5,FALSE)</f>
        <v>BADERTSCHER DIANE</v>
      </c>
      <c r="M71" s="224">
        <f t="shared" si="24"/>
        <v>2.7291666665405501E-2</v>
      </c>
      <c r="N71" s="225">
        <f t="shared" si="32"/>
        <v>39.299999998183921</v>
      </c>
      <c r="O71" s="225"/>
      <c r="P71" s="225"/>
      <c r="Q71" s="228"/>
      <c r="R71" s="242"/>
      <c r="S71" s="249">
        <f t="shared" si="33"/>
        <v>1</v>
      </c>
      <c r="T71" s="242" t="str">
        <f t="shared" si="3"/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-18T10:34:33-0700',mode:absolute,to:'2017-12-18T13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247" t="str">
        <f>IF(AA71&lt;VLOOKUP(AG71,Variables!$AC$3:$AD$8,2,FALSE),"Y","N")</f>
        <v>N</v>
      </c>
      <c r="X71" s="247">
        <f t="shared" si="25"/>
        <v>1</v>
      </c>
      <c r="Y71" s="247">
        <f t="shared" si="34"/>
        <v>23.293399999999998</v>
      </c>
      <c r="Z71" s="247">
        <f t="shared" si="26"/>
        <v>1.9400000000000001E-2</v>
      </c>
      <c r="AA71" s="247">
        <f t="shared" si="8"/>
        <v>23.273999999999997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9"/>
        <v>158</v>
      </c>
      <c r="AE71" s="235" t="str">
        <f t="shared" si="10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71" s="234" t="str">
        <f t="shared" si="11"/>
        <v>"C:\Program Files (x86)\AstroGrep\AstroGrep.exe" /e /r /s /spath="%USERPROFILE%\AppData\Local\Temp\OnboardLogs" /stypes="app*4015*20171218*" /stext=" 19:.+((SYSTEM_STATE.+slice.+state.+changed )|(ment ac)|(multiple cpu faults)|(system.+state.+changed )|(\[timeout)|(PRM\|1\|D)|(kpr)|(kdp)|(train st.+moving)|(\|lc)|(penalty))"</v>
      </c>
      <c r="AG71" s="244" t="str">
        <f t="shared" si="12"/>
        <v>EC</v>
      </c>
      <c r="AH71" s="236" t="str">
        <f t="shared" si="18"/>
        <v>"%USERPROFILE%\Documents\GitHub\eaglep3\Utilities\RefineRTDCRunTimes.py" --tripid 158-18 --locoid 4015 --swversion DE.1.0.9.0 --startMP 204:232934 --initTime 2017-12-18T11:34:33 --startdatetime 2017-12-18T11:42:15 --delay 114 --endMP 204:194 --enddatetime 2017-12-18T12:21:33 --enforcementcount 0 &gt;&gt;%USERPROFILE%\Documents\GitHub\eaglep3-reporting\EC\2017-12-18-refined-times.txt</v>
      </c>
      <c r="AI71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{"issue":{"subject":"","project_id":79,"tracker_id":40,"status_id":1,"priority_id":2,"assigned_to_id":338,"start_date":"2017-12-18","description":"","custom_fields":[{"id":1,"name":"Subdivision","value":"EC"},{"id":4,"name":"Milepost","value":"0.0194"},{"id":17,"name":"Train ID","value":"158-18"},{"id":16,"name":"Locomotive ID","value":"4015"},{"id":130,"name":"Impact","value":""},{"id":150,"name":"Time of Event (Mountain Time)","value":"12:21:33"},{"id":151,"name":"Denver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0"/>
        <v>start /low /b %USERPROFILE%\Documents\GitHub\eaglep3\Utilities\DownloadLogsFromS3.py --loco 4015 --day 2017-12-18</v>
      </c>
      <c r="AN71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2"/>
        <v>https://d0f6bd738d7f1b3e5a7ca70fe4ff75f0.us-east-1.aws.found.io/app/kibana#/discover/Steve-Slow-Train-Analysis-(2080s-and-2083s)?_g=(refreshInterval:(display:Off,pause:!f,section:0,value:0),time:(from:'2017-12-18T10:34:33-0700',mode:absolute,to:'2017-12-18T13:21:33-0700'))&amp;_a=(columns:!('Message%20ID',Summary),filters:!(),index:'emp_*',interval:auto,query:(query_string:(analyze_wildcard:!t,query:'%22rtdc.l.rtdc.4015%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759</v>
      </c>
      <c r="B72" s="225">
        <v>4026</v>
      </c>
      <c r="C72" s="227" t="s">
        <v>192</v>
      </c>
      <c r="D72" s="227" t="s">
        <v>539</v>
      </c>
      <c r="E72" s="226">
        <v>43087.455775462964</v>
      </c>
      <c r="F72" s="226">
        <v>43087.458495370367</v>
      </c>
      <c r="G72" s="225">
        <v>57</v>
      </c>
      <c r="H72" s="227" t="s">
        <v>635</v>
      </c>
      <c r="I72" s="226">
        <v>43087.483182870368</v>
      </c>
      <c r="J72" s="225">
        <v>0</v>
      </c>
      <c r="K72" s="237" t="str">
        <f t="shared" si="0"/>
        <v>4025/4026</v>
      </c>
      <c r="L72" s="245" t="str">
        <f>VLOOKUP(A72,'Trips&amp;Operators'!$C$1:$G$99911,5,FALSE)</f>
        <v>LAMAR NEKESHA</v>
      </c>
      <c r="M72" s="224">
        <f t="shared" si="24"/>
        <v>2.4687500001164153E-2</v>
      </c>
      <c r="N72" s="225">
        <f t="shared" si="32"/>
        <v>35.550000001676381</v>
      </c>
      <c r="O72" s="225"/>
      <c r="P72" s="225"/>
      <c r="Q72" s="228"/>
      <c r="R72" s="242"/>
      <c r="S72" s="249">
        <f t="shared" si="33"/>
        <v>1</v>
      </c>
      <c r="T72" s="242" t="str">
        <f t="shared" si="3"/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-18T09:56:19-0700',mode:absolute,to:'2017-12-18T12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247" t="str">
        <f>IF(AA72&lt;VLOOKUP(AG72,Variables!$AC$3:$AD$8,2,FALSE),"Y","N")</f>
        <v>N</v>
      </c>
      <c r="X72" s="247">
        <f t="shared" si="25"/>
        <v>1</v>
      </c>
      <c r="Y72" s="247">
        <f t="shared" si="34"/>
        <v>4.8599999999999997E-2</v>
      </c>
      <c r="Z72" s="247">
        <f t="shared" si="26"/>
        <v>23.3278</v>
      </c>
      <c r="AA72" s="247">
        <f t="shared" si="8"/>
        <v>23.279199999999999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9"/>
        <v>159</v>
      </c>
      <c r="AE72" s="235" t="str">
        <f t="shared" si="10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72" s="234" t="str">
        <f t="shared" si="11"/>
        <v>"C:\Program Files (x86)\AstroGrep\AstroGrep.exe" /e /r /s /spath="%USERPROFILE%\AppData\Local\Temp\OnboardLogs" /stypes="app*4026*20171218*" /stext=" 18:.+((SYSTEM_STATE.+slice.+state.+changed )|(ment ac)|(multiple cpu faults)|(system.+state.+changed )|(\[timeout)|(PRM\|1\|D)|(kpr)|(kdp)|(train st.+moving)|(\|lc)|(penalty))"</v>
      </c>
      <c r="AG72" s="244" t="str">
        <f t="shared" si="12"/>
        <v>EC</v>
      </c>
      <c r="AH72" s="236" t="str">
        <f t="shared" si="18"/>
        <v>"%USERPROFILE%\Documents\GitHub\eaglep3\Utilities\RefineRTDCRunTimes.py" --tripid 159-18 --locoid 4026 --swversion DE.1.0.9.0 --startMP 204:486 --initTime 2017-12-18T10:56:19 --startdatetime 2017-12-18T11:00:14 --delay 57 --endMP 204:233278 --enddatetime 2017-12-18T11:35:47 --enforcementcount 0 &gt;&gt;%USERPROFILE%\Documents\GitHub\eaglep3-reporting\EC\2017-12-18-refined-times.txt</v>
      </c>
      <c r="AI72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{"issue":{"subject":"","project_id":79,"tracker_id":40,"status_id":1,"priority_id":2,"assigned_to_id":338,"start_date":"2017-12-18","description":"","custom_fields":[{"id":1,"name":"Subdivision","value":"EC"},{"id":4,"name":"Milepost","value":"23.3278"},{"id":17,"name":"Train ID","value":"159-18"},{"id":16,"name":"Locomotive ID","value":"4026"},{"id":130,"name":"Impact","value":""},{"id":150,"name":"Time of Event (Mountain Time)","value":"11:35:47"},{"id":151,"name":"Denver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0"/>
        <v>start /low /b %USERPROFILE%\Documents\GitHub\eaglep3\Utilities\DownloadLogsFromS3.py --loco 4026 --day 2017-12-18</v>
      </c>
      <c r="AN72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2"/>
        <v>https://d0f6bd738d7f1b3e5a7ca70fe4ff75f0.us-east-1.aws.found.io/app/kibana#/discover/Steve-Slow-Train-Analysis-(2080s-and-2083s)?_g=(refreshInterval:(display:Off,pause:!f,section:0,value:0),time:(from:'2017-12-18T09:56:19-0700',mode:absolute,to:'2017-12-18T12:35:47-0700'))&amp;_a=(columns:!('Message%20ID',Summary),filters:!(),index:'emp_*',interval:auto,query:(query_string:(analyze_wildcard:!t,query:'%22rtdc.l.rtdc.4026%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770</v>
      </c>
      <c r="B73" s="225">
        <v>4025</v>
      </c>
      <c r="C73" s="227" t="s">
        <v>192</v>
      </c>
      <c r="D73" s="227" t="s">
        <v>618</v>
      </c>
      <c r="E73" s="226">
        <v>43087.496006944442</v>
      </c>
      <c r="F73" s="226">
        <v>43087.498101851852</v>
      </c>
      <c r="G73" s="225">
        <v>62</v>
      </c>
      <c r="H73" s="227" t="s">
        <v>535</v>
      </c>
      <c r="I73" s="226">
        <v>43087.525231481479</v>
      </c>
      <c r="J73" s="225">
        <v>0</v>
      </c>
      <c r="K73" s="237" t="str">
        <f t="shared" si="0"/>
        <v>4025/4026</v>
      </c>
      <c r="L73" s="245" t="str">
        <f>VLOOKUP(A73,'Trips&amp;Operators'!$C$1:$G$99911,5,FALSE)</f>
        <v>LAMAR NEKESHA</v>
      </c>
      <c r="M73" s="224">
        <f t="shared" si="24"/>
        <v>2.7129629626870155E-2</v>
      </c>
      <c r="N73" s="225">
        <f t="shared" si="32"/>
        <v>39.066666662693024</v>
      </c>
      <c r="O73" s="225"/>
      <c r="P73" s="225"/>
      <c r="Q73" s="228"/>
      <c r="R73" s="242"/>
      <c r="S73" s="249">
        <f t="shared" si="33"/>
        <v>1</v>
      </c>
      <c r="T73" s="242" t="str">
        <f t="shared" si="3"/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-18T10:54:15-0700',mode:absolute,to:'2017-12-18T13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247" t="str">
        <f>IF(AA73&lt;VLOOKUP(AG73,Variables!$AC$3:$AD$8,2,FALSE),"Y","N")</f>
        <v>N</v>
      </c>
      <c r="X73" s="247">
        <f t="shared" si="25"/>
        <v>1</v>
      </c>
      <c r="Y73" s="247">
        <f t="shared" si="34"/>
        <v>23.296399999999998</v>
      </c>
      <c r="Z73" s="247">
        <f t="shared" si="26"/>
        <v>2.1999999999999999E-2</v>
      </c>
      <c r="AA73" s="247">
        <f t="shared" si="8"/>
        <v>23.2744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9"/>
        <v>160</v>
      </c>
      <c r="AE73" s="235" t="str">
        <f t="shared" si="10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73" s="234" t="str">
        <f t="shared" si="11"/>
        <v>"C:\Program Files (x86)\AstroGrep\AstroGrep.exe" /e /r /s /spath="%USERPROFILE%\AppData\Local\Temp\OnboardLogs" /stypes="app*4025*20171218*" /stext=" 19:.+((SYSTEM_STATE.+slice.+state.+changed )|(ment ac)|(multiple cpu faults)|(system.+state.+changed )|(\[timeout)|(PRM\|1\|D)|(kpr)|(kdp)|(train st.+moving)|(\|lc)|(penalty))"</v>
      </c>
      <c r="AG73" s="244" t="str">
        <f t="shared" si="12"/>
        <v>EC</v>
      </c>
      <c r="AH73" s="236" t="str">
        <f t="shared" si="18"/>
        <v>"%USERPROFILE%\Documents\GitHub\eaglep3\Utilities\RefineRTDCRunTimes.py" --tripid 160-18 --locoid 4025 --swversion DE.1.0.9.0 --startMP 204:232964 --initTime 2017-12-18T11:54:15 --startdatetime 2017-12-18T11:57:16 --delay 62 --endMP 204:220 --enddatetime 2017-12-18T12:36:20 --enforcementcount 0 &gt;&gt;%USERPROFILE%\Documents\GitHub\eaglep3-reporting\EC\2017-12-18-refined-times.txt</v>
      </c>
      <c r="AI73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{"issue":{"subject":"","project_id":79,"tracker_id":40,"status_id":1,"priority_id":2,"assigned_to_id":338,"start_date":"2017-12-18","description":"","custom_fields":[{"id":1,"name":"Subdivision","value":"EC"},{"id":4,"name":"Milepost","value":"0.022"},{"id":17,"name":"Train ID","value":"160-18"},{"id":16,"name":"Locomotive ID","value":"4025"},{"id":130,"name":"Impact","value":""},{"id":150,"name":"Time of Event (Mountain Time)","value":"12:36:20"},{"id":151,"name":"Denver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0"/>
        <v>start /low /b %USERPROFILE%\Documents\GitHub\eaglep3\Utilities\DownloadLogsFromS3.py --loco 4025 --day 2017-12-18</v>
      </c>
      <c r="AN73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2"/>
        <v>https://d0f6bd738d7f1b3e5a7ca70fe4ff75f0.us-east-1.aws.found.io/app/kibana#/discover/Steve-Slow-Train-Analysis-(2080s-and-2083s)?_g=(refreshInterval:(display:Off,pause:!f,section:0,value:0),time:(from:'2017-12-18T10:54:15-0700',mode:absolute,to:'2017-12-18T13:36:20-0700'))&amp;_a=(columns:!('Message%20ID',Summary),filters:!(),index:'emp_*',interval:auto,query:(query_string:(analyze_wildcard:!t,query:'%22rtdc.l.rtdc.4025%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762</v>
      </c>
      <c r="B74" s="225">
        <v>4010</v>
      </c>
      <c r="C74" s="227" t="s">
        <v>192</v>
      </c>
      <c r="D74" s="227" t="s">
        <v>934</v>
      </c>
      <c r="E74" s="226">
        <v>43087.464016203703</v>
      </c>
      <c r="F74" s="226">
        <v>43087.4690625</v>
      </c>
      <c r="G74" s="225">
        <v>110</v>
      </c>
      <c r="H74" s="227" t="s">
        <v>565</v>
      </c>
      <c r="I74" s="226">
        <v>43087.494710648149</v>
      </c>
      <c r="J74" s="225">
        <v>0</v>
      </c>
      <c r="K74" s="237" t="str">
        <f t="shared" si="0"/>
        <v>4009/4010</v>
      </c>
      <c r="L74" s="245" t="str">
        <f>VLOOKUP(A74,'Trips&amp;Operators'!$C$1:$G$99911,5,FALSE)</f>
        <v>DAVIS MICHAEL</v>
      </c>
      <c r="M74" s="224">
        <f t="shared" si="24"/>
        <v>2.5648148148320615E-2</v>
      </c>
      <c r="N74" s="225">
        <f t="shared" si="32"/>
        <v>36.933333333581686</v>
      </c>
      <c r="O74" s="225"/>
      <c r="P74" s="225"/>
      <c r="Q74" s="228"/>
      <c r="R74" s="242"/>
      <c r="S74" s="249">
        <f t="shared" si="33"/>
        <v>1</v>
      </c>
      <c r="T74" s="242" t="str">
        <f t="shared" si="3"/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-18T10:08:11-0700',mode:absolute,to:'2017-12-18T12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4" s="247" t="str">
        <f>IF(AA74&lt;VLOOKUP(AG74,Variables!$AC$3:$AD$8,2,FALSE),"Y","N")</f>
        <v>N</v>
      </c>
      <c r="X74" s="247">
        <f t="shared" si="25"/>
        <v>1</v>
      </c>
      <c r="Y74" s="247">
        <f t="shared" si="34"/>
        <v>4.7100000000000003E-2</v>
      </c>
      <c r="Z74" s="247">
        <f t="shared" si="26"/>
        <v>23.329499999999999</v>
      </c>
      <c r="AA74" s="247">
        <f t="shared" si="8"/>
        <v>23.282399999999999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9"/>
        <v>161</v>
      </c>
      <c r="AE74" s="235" t="str">
        <f t="shared" si="10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74" s="234" t="str">
        <f t="shared" si="11"/>
        <v>"C:\Program Files (x86)\AstroGrep\AstroGrep.exe" /e /r /s /spath="%USERPROFILE%\AppData\Local\Temp\OnboardLogs" /stypes="app*4010*20171218*" /stext=" 18:.+((SYSTEM_STATE.+slice.+state.+changed )|(ment ac)|(multiple cpu faults)|(system.+state.+changed )|(\[timeout)|(PRM\|1\|D)|(kpr)|(kdp)|(train st.+moving)|(\|lc)|(penalty))"</v>
      </c>
      <c r="AG74" s="244" t="str">
        <f t="shared" si="12"/>
        <v>EC</v>
      </c>
      <c r="AH74" s="236" t="str">
        <f t="shared" si="18"/>
        <v>"%USERPROFILE%\Documents\GitHub\eaglep3\Utilities\RefineRTDCRunTimes.py" --tripid 161-18 --locoid 4010 --swversion DE.1.0.9.0 --startMP 204:471 --initTime 2017-12-18T11:08:11 --startdatetime 2017-12-18T11:15:27 --delay 110 --endMP 204:233295 --enddatetime 2017-12-18T11:52:23 --enforcementcount 0 &gt;&gt;%USERPROFILE%\Documents\GitHub\eaglep3-reporting\EC\2017-12-18-refined-times.txt</v>
      </c>
      <c r="AI74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{"issue":{"subject":"","project_id":79,"tracker_id":40,"status_id":1,"priority_id":2,"assigned_to_id":338,"start_date":"2017-12-18","description":"","custom_fields":[{"id":1,"name":"Subdivision","value":"EC"},{"id":4,"name":"Milepost","value":"23.3295"},{"id":17,"name":"Train ID","value":"161-18"},{"id":16,"name":"Locomotive ID","value":"4010"},{"id":130,"name":"Impact","value":""},{"id":150,"name":"Time of Event (Mountain Time)","value":"11:52:23"},{"id":151,"name":"Denver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0"/>
        <v>start /low /b %USERPROFILE%\Documents\GitHub\eaglep3\Utilities\DownloadLogsFromS3.py --loco 4010 --day 2017-12-18</v>
      </c>
      <c r="AN74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2"/>
        <v>https://d0f6bd738d7f1b3e5a7ca70fe4ff75f0.us-east-1.aws.found.io/app/kibana#/discover/Steve-Slow-Train-Analysis-(2080s-and-2083s)?_g=(refreshInterval:(display:Off,pause:!f,section:0,value:0),time:(from:'2017-12-18T10:08:11-0700',mode:absolute,to:'2017-12-18T12:52:23-0700'))&amp;_a=(columns:!('Message%20ID',Summary),filters:!(),index:'emp_*',interval:auto,query:(query_string:(analyze_wildcard:!t,query:'%22rtdc.l.rtdc.4010%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772</v>
      </c>
      <c r="B75" s="225">
        <v>4009</v>
      </c>
      <c r="C75" s="227" t="s">
        <v>192</v>
      </c>
      <c r="D75" s="227" t="s">
        <v>912</v>
      </c>
      <c r="E75" s="226">
        <v>43087.505902777775</v>
      </c>
      <c r="F75" s="226">
        <v>43087.508657407408</v>
      </c>
      <c r="G75" s="225">
        <v>69</v>
      </c>
      <c r="H75" s="227" t="s">
        <v>546</v>
      </c>
      <c r="I75" s="226">
        <v>43087.535543981481</v>
      </c>
      <c r="J75" s="225">
        <v>0</v>
      </c>
      <c r="K75" s="237" t="str">
        <f t="shared" si="0"/>
        <v>4009/4010</v>
      </c>
      <c r="L75" s="245" t="str">
        <f>VLOOKUP(A75,'Trips&amp;Operators'!$C$1:$G$99911,5,FALSE)</f>
        <v>DAVIS MICHAEL</v>
      </c>
      <c r="M75" s="224">
        <f t="shared" si="24"/>
        <v>2.6886574072705116E-2</v>
      </c>
      <c r="N75" s="225">
        <f t="shared" si="32"/>
        <v>38.716666664695367</v>
      </c>
      <c r="O75" s="225"/>
      <c r="P75" s="225"/>
      <c r="Q75" s="228"/>
      <c r="R75" s="242"/>
      <c r="S75" s="249">
        <f t="shared" si="33"/>
        <v>1</v>
      </c>
      <c r="T75" s="242" t="str">
        <f t="shared" si="3"/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-18T11:08:30-0700',mode:absolute,to:'2017-12-18T13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247" t="str">
        <f>IF(AA75&lt;VLOOKUP(AG75,Variables!$AC$3:$AD$8,2,FALSE),"Y","N")</f>
        <v>N</v>
      </c>
      <c r="X75" s="247">
        <f t="shared" si="25"/>
        <v>1</v>
      </c>
      <c r="Y75" s="247">
        <f t="shared" si="34"/>
        <v>23.297699999999999</v>
      </c>
      <c r="Z75" s="247">
        <f t="shared" si="26"/>
        <v>2.2100000000000002E-2</v>
      </c>
      <c r="AA75" s="247">
        <f t="shared" si="8"/>
        <v>23.275600000000001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9"/>
        <v>162</v>
      </c>
      <c r="AE75" s="235" t="str">
        <f t="shared" si="10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75" s="234" t="str">
        <f t="shared" si="11"/>
        <v>"C:\Program Files (x86)\AstroGrep\AstroGrep.exe" /e /r /s /spath="%USERPROFILE%\AppData\Local\Temp\OnboardLogs" /stypes="app*4009*20171218*" /stext=" 19:.+((SYSTEM_STATE.+slice.+state.+changed )|(ment ac)|(multiple cpu faults)|(system.+state.+changed )|(\[timeout)|(PRM\|1\|D)|(kpr)|(kdp)|(train st.+moving)|(\|lc)|(penalty))"</v>
      </c>
      <c r="AG75" s="244" t="str">
        <f t="shared" si="12"/>
        <v>EC</v>
      </c>
      <c r="AH75" s="236" t="str">
        <f t="shared" si="18"/>
        <v>"%USERPROFILE%\Documents\GitHub\eaglep3\Utilities\RefineRTDCRunTimes.py" --tripid 162-18 --locoid 4009 --swversion DE.1.0.9.0 --startMP 204:232977 --initTime 2017-12-18T12:08:30 --startdatetime 2017-12-18T12:12:28 --delay 69 --endMP 204:221 --enddatetime 2017-12-18T12:51:11 --enforcementcount 0 &gt;&gt;%USERPROFILE%\Documents\GitHub\eaglep3-reporting\EC\2017-12-18-refined-times.txt</v>
      </c>
      <c r="AI75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{"issue":{"subject":"","project_id":79,"tracker_id":40,"status_id":1,"priority_id":2,"assigned_to_id":338,"start_date":"2017-12-18","description":"","custom_fields":[{"id":1,"name":"Subdivision","value":"EC"},{"id":4,"name":"Milepost","value":"0.0221"},{"id":17,"name":"Train ID","value":"162-18"},{"id":16,"name":"Locomotive ID","value":"4009"},{"id":130,"name":"Impact","value":""},{"id":150,"name":"Time of Event (Mountain Time)","value":"12:51:11"},{"id":151,"name":"Denver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0"/>
        <v>start /low /b %USERPROFILE%\Documents\GitHub\eaglep3\Utilities\DownloadLogsFromS3.py --loco 4009 --day 2017-12-18</v>
      </c>
      <c r="AN75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2"/>
        <v>https://d0f6bd738d7f1b3e5a7ca70fe4ff75f0.us-east-1.aws.found.io/app/kibana#/discover/Steve-Slow-Train-Analysis-(2080s-and-2083s)?_g=(refreshInterval:(display:Off,pause:!f,section:0,value:0),time:(from:'2017-12-18T11:08:30-0700',mode:absolute,to:'2017-12-18T13:51:11-0700'))&amp;_a=(columns:!('Message%20ID',Summary),filters:!(),index:'emp_*',interval:auto,query:(query_string:(analyze_wildcard:!t,query:'%22rtdc.l.rtdc.4009%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764</v>
      </c>
      <c r="B76" s="225">
        <v>4044</v>
      </c>
      <c r="C76" s="227" t="s">
        <v>192</v>
      </c>
      <c r="D76" s="227" t="s">
        <v>544</v>
      </c>
      <c r="E76" s="226">
        <v>43087.473807870374</v>
      </c>
      <c r="F76" s="226">
        <v>43087.479421296295</v>
      </c>
      <c r="G76" s="225">
        <v>99</v>
      </c>
      <c r="H76" s="227" t="s">
        <v>519</v>
      </c>
      <c r="I76" s="226">
        <v>43087.504155092596</v>
      </c>
      <c r="J76" s="225">
        <v>0</v>
      </c>
      <c r="K76" s="237" t="str">
        <f t="shared" si="0"/>
        <v>4043/4044</v>
      </c>
      <c r="L76" s="245" t="str">
        <f>VLOOKUP(A76,'Trips&amp;Operators'!$C$1:$G$99911,5,FALSE)</f>
        <v>STEWART MICHAEL</v>
      </c>
      <c r="M76" s="224">
        <f t="shared" si="24"/>
        <v>2.4733796301006805E-2</v>
      </c>
      <c r="N76" s="225">
        <f t="shared" si="32"/>
        <v>35.616666673449799</v>
      </c>
      <c r="O76" s="225"/>
      <c r="P76" s="225"/>
      <c r="Q76" s="228"/>
      <c r="R76" s="242"/>
      <c r="S76" s="249">
        <f t="shared" si="33"/>
        <v>1</v>
      </c>
      <c r="T76" s="242" t="str">
        <f t="shared" si="3"/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-18T10:22:17-0700',mode:absolute,to:'2017-12-18T13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247" t="str">
        <f>IF(AA76&lt;VLOOKUP(AG76,Variables!$AC$3:$AD$8,2,FALSE),"Y","N")</f>
        <v>N</v>
      </c>
      <c r="X76" s="247">
        <f t="shared" si="25"/>
        <v>1</v>
      </c>
      <c r="Y76" s="247">
        <f t="shared" si="34"/>
        <v>4.5699999999999998E-2</v>
      </c>
      <c r="Z76" s="247">
        <f t="shared" si="26"/>
        <v>23.329699999999999</v>
      </c>
      <c r="AA76" s="247">
        <f t="shared" si="8"/>
        <v>23.283999999999999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9"/>
        <v>163</v>
      </c>
      <c r="AE76" s="235" t="str">
        <f t="shared" si="10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76" s="234" t="str">
        <f t="shared" si="11"/>
        <v>"C:\Program Files (x86)\AstroGrep\AstroGrep.exe" /e /r /s /spath="%USERPROFILE%\AppData\Local\Temp\OnboardLogs" /stypes="app*4044*20171218*" /stext=" 19:.+((SYSTEM_STATE.+slice.+state.+changed )|(ment ac)|(multiple cpu faults)|(system.+state.+changed )|(\[timeout)|(PRM\|1\|D)|(kpr)|(kdp)|(train st.+moving)|(\|lc)|(penalty))"</v>
      </c>
      <c r="AG76" s="244" t="str">
        <f t="shared" si="12"/>
        <v>EC</v>
      </c>
      <c r="AH76" s="236" t="str">
        <f t="shared" si="18"/>
        <v>"%USERPROFILE%\Documents\GitHub\eaglep3\Utilities\RefineRTDCRunTimes.py" --tripid 163-18 --locoid 4044 --swversion DE.1.0.9.0 --startMP 204:457 --initTime 2017-12-18T11:22:17 --startdatetime 2017-12-18T11:30:22 --delay 99 --endMP 204:233297 --enddatetime 2017-12-18T12:05:59 --enforcementcount 0 &gt;&gt;%USERPROFILE%\Documents\GitHub\eaglep3-reporting\EC\2017-12-18-refined-times.txt</v>
      </c>
      <c r="AI76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{"issue":{"subject":"","project_id":79,"tracker_id":40,"status_id":1,"priority_id":2,"assigned_to_id":338,"start_date":"2017-12-18","description":"","custom_fields":[{"id":1,"name":"Subdivision","value":"EC"},{"id":4,"name":"Milepost","value":"23.3297"},{"id":17,"name":"Train ID","value":"163-18"},{"id":16,"name":"Locomotive ID","value":"4044"},{"id":130,"name":"Impact","value":""},{"id":150,"name":"Time of Event (Mountain Time)","value":"12:05:59"},{"id":151,"name":"Denver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0"/>
        <v>start /low /b %USERPROFILE%\Documents\GitHub\eaglep3\Utilities\DownloadLogsFromS3.py --loco 4044 --day 2017-12-18</v>
      </c>
      <c r="AN76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2"/>
        <v>https://d0f6bd738d7f1b3e5a7ca70fe4ff75f0.us-east-1.aws.found.io/app/kibana#/discover/Steve-Slow-Train-Analysis-(2080s-and-2083s)?_g=(refreshInterval:(display:Off,pause:!f,section:0,value:0),time:(from:'2017-12-18T10:22:17-0700',mode:absolute,to:'2017-12-18T13:05:59-0700'))&amp;_a=(columns:!('Message%20ID',Summary),filters:!(),index:'emp_*',interval:auto,query:(query_string:(analyze_wildcard:!t,query:'%22rtdc.l.rtdc.4044%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774</v>
      </c>
      <c r="B77" s="225">
        <v>4043</v>
      </c>
      <c r="C77" s="227" t="s">
        <v>192</v>
      </c>
      <c r="D77" s="227" t="s">
        <v>912</v>
      </c>
      <c r="E77" s="226">
        <v>43087.514814814815</v>
      </c>
      <c r="F77" s="226">
        <v>43087.519062500003</v>
      </c>
      <c r="G77" s="225">
        <v>80</v>
      </c>
      <c r="H77" s="227" t="s">
        <v>492</v>
      </c>
      <c r="I77" s="226">
        <v>43087.545682870368</v>
      </c>
      <c r="J77" s="225">
        <v>0</v>
      </c>
      <c r="K77" s="237" t="str">
        <f t="shared" ref="K77:K140" si="35">IF(ISEVEN(B77),(B77-1)&amp;"/"&amp;B77,B77&amp;"/"&amp;(B77+1))</f>
        <v>4043/4044</v>
      </c>
      <c r="L77" s="245" t="str">
        <f>VLOOKUP(A77,'Trips&amp;Operators'!$C$1:$G$99911,5,FALSE)</f>
        <v>STEWART MICHAEL</v>
      </c>
      <c r="M77" s="224">
        <f t="shared" ref="M77:M108" si="36">I77-F77</f>
        <v>2.6620370364980772E-2</v>
      </c>
      <c r="N77" s="225">
        <f t="shared" si="32"/>
        <v>38.333333325572312</v>
      </c>
      <c r="O77" s="225"/>
      <c r="P77" s="225"/>
      <c r="Q77" s="228"/>
      <c r="R77" s="242"/>
      <c r="S77" s="249">
        <f t="shared" si="33"/>
        <v>1</v>
      </c>
      <c r="T77" s="242" t="str">
        <f t="shared" ref="T77:T140" si="37"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-18T11:21:20-0700',mode:absolute,to:'2017-12-18T14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247" t="str">
        <f>IF(AA77&lt;VLOOKUP(AG77,Variables!$AC$3:$AD$8,2,FALSE),"Y","N")</f>
        <v>N</v>
      </c>
      <c r="X77" s="247">
        <f t="shared" ref="X77:X108" si="39">VALUE(LEFT(AD77,4))-VALUE(LEFT(AD76,4))</f>
        <v>1</v>
      </c>
      <c r="Y77" s="247">
        <f t="shared" si="34"/>
        <v>23.297699999999999</v>
      </c>
      <c r="Z77" s="247">
        <f t="shared" si="26"/>
        <v>2.2499999999999999E-2</v>
      </c>
      <c r="AA77" s="247">
        <f t="shared" ref="AA77:AA140" si="40">ABS(Z77-Y77)</f>
        <v>23.275199999999998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41">VALUE(LEFT(A77,LEN(A77)-3))</f>
        <v>164</v>
      </c>
      <c r="AE77" s="235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77" s="234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/stypes="app*4043*20171218*" /stext=" 20:.+((SYSTEM_STATE.+slice.+state.+changed )|(ment ac)|(multiple cpu faults)|(system.+state.+changed )|(\[timeout)|(PRM\|1\|D)|(kpr)|(kdp)|(train st.+moving)|(\|lc)|(penalty))"</v>
      </c>
      <c r="AG77" s="244" t="str">
        <f t="shared" ref="AG77:AG140" si="44">DetSubdiv(A77)</f>
        <v>EC</v>
      </c>
      <c r="AH77" s="236" t="str">
        <f t="shared" si="18"/>
        <v>"%USERPROFILE%\Documents\GitHub\eaglep3\Utilities\RefineRTDCRunTimes.py" --tripid 164-18 --locoid 4043 --swversion DE.1.0.9.0 --startMP 204:232977 --initTime 2017-12-18T12:21:20 --startdatetime 2017-12-18T12:27:27 --delay 80 --endMP 204:225 --enddatetime 2017-12-18T13:05:47 --enforcementcount 0 &gt;&gt;%USERPROFILE%\Documents\GitHub\eaglep3-reporting\EC\2017-12-18-refined-times.txt</v>
      </c>
      <c r="AI77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{"issue":{"subject":"","project_id":79,"tracker_id":40,"status_id":1,"priority_id":2,"assigned_to_id":338,"start_date":"2017-12-18","description":"","custom_fields":[{"id":1,"name":"Subdivision","value":"EC"},{"id":4,"name":"Milepost","value":"0.0225"},{"id":17,"name":"Train ID","value":"164-18"},{"id":16,"name":"Locomotive ID","value":"4043"},{"id":130,"name":"Impact","value":""},{"id":150,"name":"Time of Event (Mountain Time)","value":"13:05:47"},{"id":151,"name":"Denver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0"/>
        <v>start /low /b %USERPROFILE%\Documents\GitHub\eaglep3\Utilities\DownloadLogsFromS3.py --loco 4043 --day 2017-12-18</v>
      </c>
      <c r="AN77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2"/>
        <v>https://d0f6bd738d7f1b3e5a7ca70fe4ff75f0.us-east-1.aws.found.io/app/kibana#/discover/Steve-Slow-Train-Analysis-(2080s-and-2083s)?_g=(refreshInterval:(display:Off,pause:!f,section:0,value:0),time:(from:'2017-12-18T11:21:20-0700',mode:absolute,to:'2017-12-18T14:05:47-0700'))&amp;_a=(columns:!('Message%20ID',Summary),filters:!(),index:'emp_*',interval:auto,query:(query_string:(analyze_wildcard:!t,query:'%22rtdc.l.rtdc.4043%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766</v>
      </c>
      <c r="B78" s="225">
        <v>4022</v>
      </c>
      <c r="C78" s="227" t="s">
        <v>192</v>
      </c>
      <c r="D78" s="227" t="s">
        <v>564</v>
      </c>
      <c r="E78" s="226">
        <v>43087.484872685185</v>
      </c>
      <c r="F78" s="226">
        <v>43087.48978009259</v>
      </c>
      <c r="G78" s="225">
        <v>88</v>
      </c>
      <c r="H78" s="227" t="s">
        <v>909</v>
      </c>
      <c r="I78" s="226">
        <v>43087.515567129631</v>
      </c>
      <c r="J78" s="225">
        <v>0</v>
      </c>
      <c r="K78" s="237" t="str">
        <f t="shared" si="35"/>
        <v>4021/4022</v>
      </c>
      <c r="L78" s="245" t="str">
        <f>VLOOKUP(A78,'Trips&amp;Operators'!$C$1:$G$99911,5,FALSE)</f>
        <v>LEVERE CRAIG</v>
      </c>
      <c r="M78" s="224">
        <f t="shared" si="36"/>
        <v>2.5787037040572613E-2</v>
      </c>
      <c r="N78" s="225">
        <f t="shared" si="32"/>
        <v>37.133333338424563</v>
      </c>
      <c r="O78" s="225"/>
      <c r="P78" s="225"/>
      <c r="Q78" s="228"/>
      <c r="R78" s="242"/>
      <c r="S78" s="249">
        <f t="shared" si="33"/>
        <v>1</v>
      </c>
      <c r="T78" s="242" t="str">
        <f t="shared" si="37"/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8"/>
        <v>https://d0f6bd738d7f1b3e5a7ca70fe4ff75f0.us-east-1.aws.found.io/app/kibana#/discover/Steve-Slow-Train-Analysis-(2080s-and-2083s)?_g=(refreshInterval:(display:Off,pause:!f,section:0,value:0),time:(from:'2017-12-18T10:38:13-0700',mode:absolute,to:'2017-12-18T13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8" s="247" t="str">
        <f>IF(AA78&lt;VLOOKUP(AG78,Variables!$AC$3:$AD$8,2,FALSE),"Y","N")</f>
        <v>N</v>
      </c>
      <c r="X78" s="247">
        <f t="shared" si="39"/>
        <v>1</v>
      </c>
      <c r="Y78" s="247">
        <f t="shared" si="34"/>
        <v>5.04E-2</v>
      </c>
      <c r="Z78" s="247">
        <f t="shared" si="26"/>
        <v>23.325500000000002</v>
      </c>
      <c r="AA78" s="247">
        <f t="shared" si="40"/>
        <v>23.275100000000002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41"/>
        <v>165</v>
      </c>
      <c r="AE78" s="235" t="str">
        <f t="shared" si="42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78" s="234" t="str">
        <f t="shared" si="43"/>
        <v>"C:\Program Files (x86)\AstroGrep\AstroGrep.exe" /e /r /s /spath="%USERPROFILE%\AppData\Local\Temp\OnboardLogs" /stypes="app*4022*20171218*" /stext=" 19:.+((SYSTEM_STATE.+slice.+state.+changed )|(ment ac)|(multiple cpu faults)|(system.+state.+changed )|(\[timeout)|(PRM\|1\|D)|(kpr)|(kdp)|(train st.+moving)|(\|lc)|(penalty))"</v>
      </c>
      <c r="AG78" s="244" t="str">
        <f t="shared" si="44"/>
        <v>EC</v>
      </c>
      <c r="AH78" s="236" t="str">
        <f t="shared" si="18"/>
        <v>"%USERPROFILE%\Documents\GitHub\eaglep3\Utilities\RefineRTDCRunTimes.py" --tripid 165-18 --locoid 4022 --swversion DE.1.0.9.0 --startMP 204:504 --initTime 2017-12-18T11:38:13 --startdatetime 2017-12-18T11:45:17 --delay 88 --endMP 204:233255 --enddatetime 2017-12-18T12:22:25 --enforcementcount 0 &gt;&gt;%USERPROFILE%\Documents\GitHub\eaglep3-reporting\EC\2017-12-18-refined-times.txt</v>
      </c>
      <c r="AI78" s="238" t="str">
        <f t="shared" si="19"/>
        <v>echo {"issue":{"subject":"","project_id":79,"tracker_id":40,"status_id":1,"priority_id":2,"assigned_to_id":338,"start_date":"2017-12-18","description":"","custom_fields":[{"id":1,"name":"Subdivision","value":"EC"},{"id":4,"name":"Milepost","value":"23.3255"},{"id":17,"name":"Train ID","value":"165-18"},{"id":16,"name":"Locomotive ID","value":"4022"},{"id":130,"name":"Impact","value":""},{"id":150,"name":"Time of Event (Mountain Time)","value":"12:22:25"},{"id":151,"name":"Denver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20"/>
        <v>start /low /b %USERPROFILE%\Documents\GitHub\eaglep3\Utilities\DownloadLogsFromS3.py --loco 4022 --day 2017-12-18</v>
      </c>
      <c r="AN78" s="241" t="str">
        <f t="shared" si="2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22"/>
        <v>https://d0f6bd738d7f1b3e5a7ca70fe4ff75f0.us-east-1.aws.found.io/app/kibana#/discover/Steve-Slow-Train-Analysis-(2080s-and-2083s)?_g=(refreshInterval:(display:Off,pause:!f,section:0,value:0),time:(from:'2017-12-18T10:38:13-0700',mode:absolute,to:'2017-12-18T13:22:25-0700'))&amp;_a=(columns:!('Message%20ID',Summary),filters:!(),index:'emp_*',interval:auto,query:(query_string:(analyze_wildcard:!t,query:'%22rtdc.l.rtdc.4022%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777</v>
      </c>
      <c r="B79" s="225">
        <v>4021</v>
      </c>
      <c r="C79" s="227" t="s">
        <v>192</v>
      </c>
      <c r="D79" s="227" t="s">
        <v>935</v>
      </c>
      <c r="E79" s="226">
        <v>43087.523599537039</v>
      </c>
      <c r="F79" s="226">
        <v>43087.529340277775</v>
      </c>
      <c r="G79" s="225">
        <v>69</v>
      </c>
      <c r="H79" s="227" t="s">
        <v>936</v>
      </c>
      <c r="I79" s="226">
        <v>43087.556296296294</v>
      </c>
      <c r="J79" s="225">
        <v>0</v>
      </c>
      <c r="K79" s="237" t="str">
        <f t="shared" si="35"/>
        <v>4021/4022</v>
      </c>
      <c r="L79" s="245" t="str">
        <f>VLOOKUP(A79,'Trips&amp;Operators'!$C$1:$G$99911,5,FALSE)</f>
        <v>LEVERE CRAIG</v>
      </c>
      <c r="M79" s="224">
        <f t="shared" si="36"/>
        <v>2.6956018518831115E-2</v>
      </c>
      <c r="N79" s="225">
        <f t="shared" si="32"/>
        <v>38.816666667116806</v>
      </c>
      <c r="O79" s="225"/>
      <c r="P79" s="225"/>
      <c r="Q79" s="228"/>
      <c r="R79" s="242"/>
      <c r="S79" s="249">
        <f t="shared" si="33"/>
        <v>1</v>
      </c>
      <c r="T79" s="242" t="str">
        <f t="shared" si="37"/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8"/>
        <v>https://d0f6bd738d7f1b3e5a7ca70fe4ff75f0.us-east-1.aws.found.io/app/kibana#/discover/Steve-Slow-Train-Analysis-(2080s-and-2083s)?_g=(refreshInterval:(display:Off,pause:!f,section:0,value:0),time:(from:'2017-12-18T11:33:59-0700',mode:absolute,to:'2017-12-18T14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9" s="247" t="str">
        <f>IF(AA79&lt;VLOOKUP(AG79,Variables!$AC$3:$AD$8,2,FALSE),"Y","N")</f>
        <v>N</v>
      </c>
      <c r="X79" s="247">
        <f t="shared" si="39"/>
        <v>1</v>
      </c>
      <c r="Y79" s="247">
        <f t="shared" si="34"/>
        <v>23.293199999999999</v>
      </c>
      <c r="Z79" s="247">
        <f t="shared" si="26"/>
        <v>2.4299999999999999E-2</v>
      </c>
      <c r="AA79" s="247">
        <f t="shared" si="40"/>
        <v>23.268899999999999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41"/>
        <v>166</v>
      </c>
      <c r="AE79" s="235" t="str">
        <f t="shared" si="42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79" s="234" t="str">
        <f t="shared" si="43"/>
        <v>"C:\Program Files (x86)\AstroGrep\AstroGrep.exe" /e /r /s /spath="%USERPROFILE%\AppData\Local\Temp\OnboardLogs" /stypes="app*4021*20171218*" /stext=" 20:.+((SYSTEM_STATE.+slice.+state.+changed )|(ment ac)|(multiple cpu faults)|(system.+state.+changed )|(\[timeout)|(PRM\|1\|D)|(kpr)|(kdp)|(train st.+moving)|(\|lc)|(penalty))"</v>
      </c>
      <c r="AG79" s="244" t="str">
        <f t="shared" si="44"/>
        <v>EC</v>
      </c>
      <c r="AH79" s="236" t="str">
        <f t="shared" ref="AH79:AH142" si="45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166-18 --locoid 4021 --swversion DE.1.0.9.0 --startMP 204:232932 --initTime 2017-12-18T12:33:59 --startdatetime 2017-12-18T12:42:15 --delay 69 --endMP 204:243 --enddatetime 2017-12-18T13:21:04 --enforcementcount 0 &gt;&gt;%USERPROFILE%\Documents\GitHub\eaglep3-reporting\EC\2017-12-18-refined-times.txt</v>
      </c>
      <c r="AI79" s="238" t="str">
        <f t="shared" ref="AI79:AI142" si="46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{"issue":{"subject":"","project_id":79,"tracker_id":40,"status_id":1,"priority_id":2,"assigned_to_id":338,"start_date":"2017-12-18","description":"","custom_fields":[{"id":1,"name":"Subdivision","value":"EC"},{"id":4,"name":"Milepost","value":"0.0243"},{"id":17,"name":"Train ID","value":"166-18"},{"id":16,"name":"Locomotive ID","value":"4021"},{"id":130,"name":"Impact","value":""},{"id":150,"name":"Time of Event (Mountain Time)","value":"13:21:04"},{"id":151,"name":"Denver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2" si="47">"start /low /b "&amp;dls3logs&amp;" --loco "&amp;B79&amp;" --day "&amp;TEXT(F79,"YYYY-MM-DD")</f>
        <v>start /low /b %USERPROFILE%\Documents\GitHub\eaglep3\Utilities\DownloadLogsFromS3.py --loco 4021 --day 2017-12-18</v>
      </c>
      <c r="AN79" s="241" t="str">
        <f t="shared" ref="AN79:AN142" si="48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2" si="49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-18T11:33:59-0700',mode:absolute,to:'2017-12-18T14:21:04-0700'))&amp;_a=(columns:!('Message%20ID',Summary),filters:!(),index:'emp_*',interval:auto,query:(query_string:(analyze_wildcard:!t,query:'%22rtdc.l.rtdc.4021%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769</v>
      </c>
      <c r="B80" s="225">
        <v>4052</v>
      </c>
      <c r="C80" s="227" t="s">
        <v>192</v>
      </c>
      <c r="D80" s="227" t="s">
        <v>477</v>
      </c>
      <c r="E80" s="226">
        <v>43087.494120370371</v>
      </c>
      <c r="F80" s="226">
        <v>43087.5002662037</v>
      </c>
      <c r="G80" s="225">
        <v>62</v>
      </c>
      <c r="H80" s="227" t="s">
        <v>577</v>
      </c>
      <c r="I80" s="226">
        <v>43087.524687500001</v>
      </c>
      <c r="J80" s="225">
        <v>0</v>
      </c>
      <c r="K80" s="237" t="str">
        <f t="shared" si="35"/>
        <v>4051/4052</v>
      </c>
      <c r="L80" s="245" t="str">
        <f>VLOOKUP(A80,'Trips&amp;Operators'!$C$1:$G$99911,5,FALSE)</f>
        <v>GUZMAN DANNY</v>
      </c>
      <c r="M80" s="224">
        <f t="shared" si="36"/>
        <v>2.4421296300715767E-2</v>
      </c>
      <c r="N80" s="225">
        <f t="shared" si="32"/>
        <v>35.166666673030704</v>
      </c>
      <c r="O80" s="225"/>
      <c r="P80" s="225"/>
      <c r="Q80" s="228"/>
      <c r="R80" s="242"/>
      <c r="S80" s="249">
        <f t="shared" si="33"/>
        <v>1</v>
      </c>
      <c r="T80" s="242" t="str">
        <f t="shared" si="37"/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8"/>
        <v>https://d0f6bd738d7f1b3e5a7ca70fe4ff75f0.us-east-1.aws.found.io/app/kibana#/discover/Steve-Slow-Train-Analysis-(2080s-and-2083s)?_g=(refreshInterval:(display:Off,pause:!f,section:0,value:0),time:(from:'2017-12-18T10:51:32-0700',mode:absolute,to:'2017-12-18T13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0" s="247" t="str">
        <f>IF(AA80&lt;VLOOKUP(AG80,Variables!$AC$3:$AD$8,2,FALSE),"Y","N")</f>
        <v>N</v>
      </c>
      <c r="X80" s="247">
        <f t="shared" si="39"/>
        <v>1</v>
      </c>
      <c r="Y80" s="247">
        <f t="shared" si="34"/>
        <v>5.1499999999999997E-2</v>
      </c>
      <c r="Z80" s="247">
        <f t="shared" si="26"/>
        <v>23.3293</v>
      </c>
      <c r="AA80" s="247">
        <f t="shared" si="40"/>
        <v>23.277799999999999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41"/>
        <v>167</v>
      </c>
      <c r="AE80" s="235" t="str">
        <f t="shared" si="42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80" s="234" t="str">
        <f t="shared" si="43"/>
        <v>"C:\Program Files (x86)\AstroGrep\AstroGrep.exe" /e /r /s /spath="%USERPROFILE%\AppData\Local\Temp\OnboardLogs" /stypes="app*4052*20171218*" /stext=" 19:.+((SYSTEM_STATE.+slice.+state.+changed )|(ment ac)|(multiple cpu faults)|(system.+state.+changed )|(\[timeout)|(PRM\|1\|D)|(kpr)|(kdp)|(train st.+moving)|(\|lc)|(penalty))"</v>
      </c>
      <c r="AG80" s="244" t="str">
        <f t="shared" si="44"/>
        <v>EC</v>
      </c>
      <c r="AH80" s="236" t="str">
        <f t="shared" si="45"/>
        <v>"%USERPROFILE%\Documents\GitHub\eaglep3\Utilities\RefineRTDCRunTimes.py" --tripid 167-18 --locoid 4052 --swversion DE.1.0.9.0 --startMP 204:515 --initTime 2017-12-18T11:51:32 --startdatetime 2017-12-18T12:00:23 --delay 62 --endMP 204:233293 --enddatetime 2017-12-18T12:35:33 --enforcementcount 0 &gt;&gt;%USERPROFILE%\Documents\GitHub\eaglep3-reporting\EC\2017-12-18-refined-times.txt</v>
      </c>
      <c r="AI8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{"issue":{"subject":"","project_id":79,"tracker_id":40,"status_id":1,"priority_id":2,"assigned_to_id":338,"start_date":"2017-12-18","description":"","custom_fields":[{"id":1,"name":"Subdivision","value":"EC"},{"id":4,"name":"Milepost","value":"23.3293"},{"id":17,"name":"Train ID","value":"167-18"},{"id":16,"name":"Locomotive ID","value":"4052"},{"id":130,"name":"Impact","value":""},{"id":150,"name":"Time of Event (Mountain Time)","value":"12:35:33"},{"id":151,"name":"Denver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7"/>
        <v>start /low /b %USERPROFILE%\Documents\GitHub\eaglep3\Utilities\DownloadLogsFromS3.py --loco 4052 --day 2017-12-18</v>
      </c>
      <c r="AN80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9"/>
        <v>https://d0f6bd738d7f1b3e5a7ca70fe4ff75f0.us-east-1.aws.found.io/app/kibana#/discover/Steve-Slow-Train-Analysis-(2080s-and-2083s)?_g=(refreshInterval:(display:Off,pause:!f,section:0,value:0),time:(from:'2017-12-18T10:51:32-0700',mode:absolute,to:'2017-12-18T13:35:33-0700'))&amp;_a=(columns:!('Message%20ID',Summary),filters:!(),index:'emp_*',interval:auto,query:(query_string:(analyze_wildcard:!t,query:'%22rtdc.l.rtdc.4052%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779</v>
      </c>
      <c r="B81" s="225">
        <v>4051</v>
      </c>
      <c r="C81" s="227" t="s">
        <v>192</v>
      </c>
      <c r="D81" s="227" t="s">
        <v>618</v>
      </c>
      <c r="E81" s="226">
        <v>43087.529606481483</v>
      </c>
      <c r="F81" s="226">
        <v>43087.53974537037</v>
      </c>
      <c r="G81" s="225">
        <v>67</v>
      </c>
      <c r="H81" s="227" t="s">
        <v>937</v>
      </c>
      <c r="I81" s="226">
        <v>43087.565787037034</v>
      </c>
      <c r="J81" s="225">
        <v>0</v>
      </c>
      <c r="K81" s="237" t="str">
        <f t="shared" si="35"/>
        <v>4051/4052</v>
      </c>
      <c r="L81" s="245" t="str">
        <f>VLOOKUP(A81,'Trips&amp;Operators'!$C$1:$G$99911,5,FALSE)</f>
        <v>GUZMAN DANNY</v>
      </c>
      <c r="M81" s="224">
        <f t="shared" si="36"/>
        <v>2.6041666664241347E-2</v>
      </c>
      <c r="N81" s="225">
        <f t="shared" si="32"/>
        <v>37.49999999650754</v>
      </c>
      <c r="O81" s="225"/>
      <c r="P81" s="225"/>
      <c r="Q81" s="228"/>
      <c r="R81" s="242"/>
      <c r="S81" s="249">
        <f t="shared" si="33"/>
        <v>1</v>
      </c>
      <c r="T81" s="242" t="str">
        <f t="shared" si="37"/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8"/>
        <v>https://d0f6bd738d7f1b3e5a7ca70fe4ff75f0.us-east-1.aws.found.io/app/kibana#/discover/Steve-Slow-Train-Analysis-(2080s-and-2083s)?_g=(refreshInterval:(display:Off,pause:!f,section:0,value:0),time:(from:'2017-12-18T11:42:38-0700',mode:absolute,to:'2017-12-18T14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247" t="str">
        <f>IF(AA81&lt;VLOOKUP(AG81,Variables!$AC$3:$AD$8,2,FALSE),"Y","N")</f>
        <v>N</v>
      </c>
      <c r="X81" s="247">
        <f t="shared" si="39"/>
        <v>1</v>
      </c>
      <c r="Y81" s="247">
        <f t="shared" si="34"/>
        <v>23.296399999999998</v>
      </c>
      <c r="Z81" s="247">
        <f t="shared" ref="Z81:Z112" si="50">RIGHT(H81,LEN(H81)-4)/10000</f>
        <v>2.2700000000000001E-2</v>
      </c>
      <c r="AA81" s="247">
        <f t="shared" si="40"/>
        <v>23.273699999999998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41"/>
        <v>168</v>
      </c>
      <c r="AE81" s="235" t="str">
        <f t="shared" si="42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81" s="234" t="str">
        <f t="shared" si="43"/>
        <v>"C:\Program Files (x86)\AstroGrep\AstroGrep.exe" /e /r /s /spath="%USERPROFILE%\AppData\Local\Temp\OnboardLogs" /stypes="app*4051*20171218*" /stext=" 20:.+((SYSTEM_STATE.+slice.+state.+changed )|(ment ac)|(multiple cpu faults)|(system.+state.+changed )|(\[timeout)|(PRM\|1\|D)|(kpr)|(kdp)|(train st.+moving)|(\|lc)|(penalty))"</v>
      </c>
      <c r="AG81" s="244" t="str">
        <f t="shared" si="44"/>
        <v>EC</v>
      </c>
      <c r="AH81" s="236" t="str">
        <f t="shared" si="45"/>
        <v>"%USERPROFILE%\Documents\GitHub\eaglep3\Utilities\RefineRTDCRunTimes.py" --tripid 168-18 --locoid 4051 --swversion DE.1.0.9.0 --startMP 204:232964 --initTime 2017-12-18T12:42:38 --startdatetime 2017-12-18T12:57:14 --delay 67 --endMP 204:227 --enddatetime 2017-12-18T13:34:44 --enforcementcount 0 &gt;&gt;%USERPROFILE%\Documents\GitHub\eaglep3-reporting\EC\2017-12-18-refined-times.txt</v>
      </c>
      <c r="AI8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{"issue":{"subject":"","project_id":79,"tracker_id":40,"status_id":1,"priority_id":2,"assigned_to_id":338,"start_date":"2017-12-18","description":"","custom_fields":[{"id":1,"name":"Subdivision","value":"EC"},{"id":4,"name":"Milepost","value":"0.0227"},{"id":17,"name":"Train ID","value":"168-18"},{"id":16,"name":"Locomotive ID","value":"4051"},{"id":130,"name":"Impact","value":""},{"id":150,"name":"Time of Event (Mountain Time)","value":"13:34:44"},{"id":151,"name":"Denver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7"/>
        <v>start /low /b %USERPROFILE%\Documents\GitHub\eaglep3\Utilities\DownloadLogsFromS3.py --loco 4051 --day 2017-12-18</v>
      </c>
      <c r="AN81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9"/>
        <v>https://d0f6bd738d7f1b3e5a7ca70fe4ff75f0.us-east-1.aws.found.io/app/kibana#/discover/Steve-Slow-Train-Analysis-(2080s-and-2083s)?_g=(refreshInterval:(display:Off,pause:!f,section:0,value:0),time:(from:'2017-12-18T11:42:38-0700',mode:absolute,to:'2017-12-18T14:34:44-0700'))&amp;_a=(columns:!('Message%20ID',Summary),filters:!(),index:'emp_*',interval:auto,query:(query_string:(analyze_wildcard:!t,query:'%22rtdc.l.rtdc.4051%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773</v>
      </c>
      <c r="B82" s="225">
        <v>4050</v>
      </c>
      <c r="C82" s="227" t="s">
        <v>192</v>
      </c>
      <c r="D82" s="227" t="s">
        <v>923</v>
      </c>
      <c r="E82" s="226">
        <v>43087.507893518516</v>
      </c>
      <c r="F82" s="226">
        <v>43087.511006944442</v>
      </c>
      <c r="G82" s="225">
        <v>86</v>
      </c>
      <c r="H82" s="227" t="s">
        <v>508</v>
      </c>
      <c r="I82" s="226">
        <v>43087.537245370368</v>
      </c>
      <c r="J82" s="225">
        <v>0</v>
      </c>
      <c r="K82" s="237" t="str">
        <f t="shared" si="35"/>
        <v>4049/4050</v>
      </c>
      <c r="L82" s="245" t="str">
        <f>VLOOKUP(A82,'Trips&amp;Operators'!$C$1:$G$99911,5,FALSE)</f>
        <v>SAFIEF AEIMEN</v>
      </c>
      <c r="M82" s="224">
        <f t="shared" si="36"/>
        <v>2.6238425925839692E-2</v>
      </c>
      <c r="N82" s="225">
        <f t="shared" ref="N82:N113" si="51">24*60*SUM($M82:$M82)</f>
        <v>37.783333333209157</v>
      </c>
      <c r="O82" s="225"/>
      <c r="P82" s="225"/>
      <c r="Q82" s="228"/>
      <c r="R82" s="242"/>
      <c r="S82" s="249">
        <f t="shared" ref="S82:S113" si="52">1/IF(AG82="EC",12,1)*SUM(U82:U82)</f>
        <v>1</v>
      </c>
      <c r="T82" s="242" t="str">
        <f t="shared" si="37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8"/>
        <v>https://d0f6bd738d7f1b3e5a7ca70fe4ff75f0.us-east-1.aws.found.io/app/kibana#/discover/Steve-Slow-Train-Analysis-(2080s-and-2083s)?_g=(refreshInterval:(display:Off,pause:!f,section:0,value:0),time:(from:'2017-12-18T11:11:22-0700',mode:absolute,to:'2017-12-18T13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2" s="247" t="str">
        <f>IF(AA82&lt;VLOOKUP(AG82,Variables!$AC$3:$AD$8,2,FALSE),"Y","N")</f>
        <v>N</v>
      </c>
      <c r="X82" s="247">
        <f t="shared" si="39"/>
        <v>1</v>
      </c>
      <c r="Y82" s="247">
        <f t="shared" ref="Y82:Y113" si="53">RIGHT(D82,LEN(D82)-4)/10000</f>
        <v>4.9500000000000002E-2</v>
      </c>
      <c r="Z82" s="247">
        <f t="shared" si="50"/>
        <v>23.327000000000002</v>
      </c>
      <c r="AA82" s="247">
        <f t="shared" si="40"/>
        <v>23.277500000000003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41"/>
        <v>169</v>
      </c>
      <c r="AE82" s="235" t="str">
        <f t="shared" si="42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82" s="234" t="str">
        <f t="shared" si="43"/>
        <v>"C:\Program Files (x86)\AstroGrep\AstroGrep.exe" /e /r /s /spath="%USERPROFILE%\AppData\Local\Temp\OnboardLogs" /stypes="app*4050*20171218*" /stext=" 19:.+((SYSTEM_STATE.+slice.+state.+changed )|(ment ac)|(multiple cpu faults)|(system.+state.+changed )|(\[timeout)|(PRM\|1\|D)|(kpr)|(kdp)|(train st.+moving)|(\|lc)|(penalty))"</v>
      </c>
      <c r="AG82" s="244" t="str">
        <f t="shared" si="44"/>
        <v>EC</v>
      </c>
      <c r="AH82" s="236" t="str">
        <f t="shared" si="45"/>
        <v>"%USERPROFILE%\Documents\GitHub\eaglep3\Utilities\RefineRTDCRunTimes.py" --tripid 169-18 --locoid 4050 --swversion DE.1.0.9.0 --startMP 204:495 --initTime 2017-12-18T12:11:22 --startdatetime 2017-12-18T12:15:51 --delay 86 --endMP 204:233270 --enddatetime 2017-12-18T12:53:38 --enforcementcount 0 &gt;&gt;%USERPROFILE%\Documents\GitHub\eaglep3-reporting\EC\2017-12-18-refined-times.txt</v>
      </c>
      <c r="AI8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ID","value":"169-18"},{"id":16,"name":"Locomotive ID","value":"4050"},{"id":130,"name":"Impact","value":""},{"id":150,"name":"Time of Event (Mountain Time)","value":"12:53:38"},{"id":151,"name":"Denver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7"/>
        <v>start /low /b %USERPROFILE%\Documents\GitHub\eaglep3\Utilities\DownloadLogsFromS3.py --loco 4050 --day 2017-12-18</v>
      </c>
      <c r="AN82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9"/>
        <v>https://d0f6bd738d7f1b3e5a7ca70fe4ff75f0.us-east-1.aws.found.io/app/kibana#/discover/Steve-Slow-Train-Analysis-(2080s-and-2083s)?_g=(refreshInterval:(display:Off,pause:!f,section:0,value:0),time:(from:'2017-12-18T11:11:22-0700',mode:absolute,to:'2017-12-18T13:53:38-0700'))&amp;_a=(columns:!('Message%20ID',Summary),filters:!(),index:'emp_*',interval:auto,query:(query_string:(analyze_wildcard:!t,query:'%22rtdc.l.rtdc.4050%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781</v>
      </c>
      <c r="B83" s="225">
        <v>4049</v>
      </c>
      <c r="C83" s="227" t="s">
        <v>192</v>
      </c>
      <c r="D83" s="227" t="s">
        <v>938</v>
      </c>
      <c r="E83" s="226">
        <v>43087.540358796294</v>
      </c>
      <c r="F83" s="226">
        <v>43087.550196759257</v>
      </c>
      <c r="G83" s="225">
        <v>68</v>
      </c>
      <c r="H83" s="227" t="s">
        <v>543</v>
      </c>
      <c r="I83" s="226">
        <v>43087.575925925928</v>
      </c>
      <c r="J83" s="225">
        <v>0</v>
      </c>
      <c r="K83" s="237" t="str">
        <f t="shared" si="35"/>
        <v>4049/4050</v>
      </c>
      <c r="L83" s="245" t="str">
        <f>VLOOKUP(A83,'Trips&amp;Operators'!$C$1:$G$99911,5,FALSE)</f>
        <v>SAFIEF AEIMEN</v>
      </c>
      <c r="M83" s="224">
        <f t="shared" si="36"/>
        <v>2.5729166671226267E-2</v>
      </c>
      <c r="N83" s="225">
        <f t="shared" si="51"/>
        <v>37.050000006565824</v>
      </c>
      <c r="O83" s="225"/>
      <c r="P83" s="225"/>
      <c r="Q83" s="228"/>
      <c r="R83" s="242"/>
      <c r="S83" s="249">
        <f t="shared" si="52"/>
        <v>1</v>
      </c>
      <c r="T83" s="242" t="str">
        <f t="shared" si="37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8"/>
        <v>https://d0f6bd738d7f1b3e5a7ca70fe4ff75f0.us-east-1.aws.found.io/app/kibana#/discover/Steve-Slow-Train-Analysis-(2080s-and-2083s)?_g=(refreshInterval:(display:Off,pause:!f,section:0,value:0),time:(from:'2017-12-18T11:58:07-0700',mode:absolute,to:'2017-12-18T14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3" s="247" t="str">
        <f>IF(AA83&lt;VLOOKUP(AG83,Variables!$AC$3:$AD$8,2,FALSE),"Y","N")</f>
        <v>N</v>
      </c>
      <c r="X83" s="247">
        <f t="shared" si="39"/>
        <v>1</v>
      </c>
      <c r="Y83" s="247">
        <f t="shared" si="53"/>
        <v>23.294</v>
      </c>
      <c r="Z83" s="247">
        <f t="shared" si="50"/>
        <v>1.8700000000000001E-2</v>
      </c>
      <c r="AA83" s="247">
        <f t="shared" si="40"/>
        <v>23.275300000000001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41"/>
        <v>170</v>
      </c>
      <c r="AE83" s="235" t="str">
        <f t="shared" si="42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83" s="234" t="str">
        <f t="shared" si="43"/>
        <v>"C:\Program Files (x86)\AstroGrep\AstroGrep.exe" /e /r /s /spath="%USERPROFILE%\AppData\Local\Temp\OnboardLogs" /stypes="app*4049*20171218*" /stext=" 20:.+((SYSTEM_STATE.+slice.+state.+changed )|(ment ac)|(multiple cpu faults)|(system.+state.+changed )|(\[timeout)|(PRM\|1\|D)|(kpr)|(kdp)|(train st.+moving)|(\|lc)|(penalty))"</v>
      </c>
      <c r="AG83" s="244" t="str">
        <f t="shared" si="44"/>
        <v>EC</v>
      </c>
      <c r="AH83" s="236" t="str">
        <f t="shared" si="45"/>
        <v>"%USERPROFILE%\Documents\GitHub\eaglep3\Utilities\RefineRTDCRunTimes.py" --tripid 170-18 --locoid 4049 --swversion DE.1.0.9.0 --startMP 204:232940 --initTime 2017-12-18T12:58:07 --startdatetime 2017-12-18T13:12:17 --delay 68 --endMP 204:187 --enddatetime 2017-12-18T13:49:20 --enforcementcount 0 &gt;&gt;%USERPROFILE%\Documents\GitHub\eaglep3-reporting\EC\2017-12-18-refined-times.txt</v>
      </c>
      <c r="AI8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{"issue":{"subject":"","project_id":79,"tracker_id":40,"status_id":1,"priority_id":2,"assigned_to_id":338,"start_date":"2017-12-18","description":"","custom_fields":[{"id":1,"name":"Subdivision","value":"EC"},{"id":4,"name":"Milepost","value":"0.0187"},{"id":17,"name":"Train ID","value":"170-18"},{"id":16,"name":"Locomotive ID","value":"4049"},{"id":130,"name":"Impact","value":""},{"id":150,"name":"Time of Event (Mountain Time)","value":"13:49:20"},{"id":151,"name":"Denver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7"/>
        <v>start /low /b %USERPROFILE%\Documents\GitHub\eaglep3\Utilities\DownloadLogsFromS3.py --loco 4049 --day 2017-12-18</v>
      </c>
      <c r="AN83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9"/>
        <v>https://d0f6bd738d7f1b3e5a7ca70fe4ff75f0.us-east-1.aws.found.io/app/kibana#/discover/Steve-Slow-Train-Analysis-(2080s-and-2083s)?_g=(refreshInterval:(display:Off,pause:!f,section:0,value:0),time:(from:'2017-12-18T11:58:07-0700',mode:absolute,to:'2017-12-18T14:49:20-0700'))&amp;_a=(columns:!('Message%20ID',Summary),filters:!(),index:'emp_*',interval:auto,query:(query_string:(analyze_wildcard:!t,query:'%22rtdc.l.rtdc.4049%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776</v>
      </c>
      <c r="B84" s="225">
        <v>4016</v>
      </c>
      <c r="C84" s="227" t="s">
        <v>192</v>
      </c>
      <c r="D84" s="227" t="s">
        <v>525</v>
      </c>
      <c r="E84" s="226">
        <v>43087.516863425924</v>
      </c>
      <c r="F84" s="226">
        <v>43087.521284722221</v>
      </c>
      <c r="G84" s="225">
        <v>67</v>
      </c>
      <c r="H84" s="227" t="s">
        <v>617</v>
      </c>
      <c r="I84" s="226">
        <v>43087.546909722223</v>
      </c>
      <c r="J84" s="225">
        <v>0</v>
      </c>
      <c r="K84" s="237" t="str">
        <f t="shared" si="35"/>
        <v>4015/4016</v>
      </c>
      <c r="L84" s="245" t="str">
        <f>VLOOKUP(A84,'Trips&amp;Operators'!$C$1:$G$99911,5,FALSE)</f>
        <v>BADERTSCHER DIANE</v>
      </c>
      <c r="M84" s="224">
        <f t="shared" si="36"/>
        <v>2.5625000002037268E-2</v>
      </c>
      <c r="N84" s="225">
        <f t="shared" si="51"/>
        <v>36.900000002933666</v>
      </c>
      <c r="O84" s="225"/>
      <c r="P84" s="225"/>
      <c r="Q84" s="228"/>
      <c r="R84" s="242"/>
      <c r="S84" s="249">
        <f t="shared" si="52"/>
        <v>1</v>
      </c>
      <c r="T84" s="242" t="str">
        <f t="shared" si="37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8"/>
        <v>https://d0f6bd738d7f1b3e5a7ca70fe4ff75f0.us-east-1.aws.found.io/app/kibana#/discover/Steve-Slow-Train-Analysis-(2080s-and-2083s)?_g=(refreshInterval:(display:Off,pause:!f,section:0,value:0),time:(from:'2017-12-18T11:24:17-0700',mode:absolute,to:'2017-12-18T14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247" t="str">
        <f>IF(AA84&lt;VLOOKUP(AG84,Variables!$AC$3:$AD$8,2,FALSE),"Y","N")</f>
        <v>N</v>
      </c>
      <c r="X84" s="247">
        <f t="shared" si="39"/>
        <v>1</v>
      </c>
      <c r="Y84" s="247">
        <f t="shared" si="53"/>
        <v>5.11E-2</v>
      </c>
      <c r="Z84" s="247">
        <f t="shared" si="50"/>
        <v>23.327400000000001</v>
      </c>
      <c r="AA84" s="247">
        <f t="shared" si="40"/>
        <v>23.276299999999999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41"/>
        <v>171</v>
      </c>
      <c r="AE84" s="235" t="str">
        <f t="shared" si="42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84" s="234" t="str">
        <f t="shared" si="43"/>
        <v>"C:\Program Files (x86)\AstroGrep\AstroGrep.exe" /e /r /s /spath="%USERPROFILE%\AppData\Local\Temp\OnboardLogs" /stypes="app*4016*20171218*" /stext=" 20:.+((SYSTEM_STATE.+slice.+state.+changed )|(ment ac)|(multiple cpu faults)|(system.+state.+changed )|(\[timeout)|(PRM\|1\|D)|(kpr)|(kdp)|(train st.+moving)|(\|lc)|(penalty))"</v>
      </c>
      <c r="AG84" s="244" t="str">
        <f t="shared" si="44"/>
        <v>EC</v>
      </c>
      <c r="AH84" s="236" t="str">
        <f t="shared" si="45"/>
        <v>"%USERPROFILE%\Documents\GitHub\eaglep3\Utilities\RefineRTDCRunTimes.py" --tripid 171-18 --locoid 4016 --swversion DE.1.0.9.0 --startMP 204:511 --initTime 2017-12-18T12:24:17 --startdatetime 2017-12-18T12:30:39 --delay 67 --endMP 204:233274 --enddatetime 2017-12-18T13:07:33 --enforcementcount 0 &gt;&gt;%USERPROFILE%\Documents\GitHub\eaglep3-reporting\EC\2017-12-18-refined-times.txt</v>
      </c>
      <c r="AI8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{"issue":{"subject":"","project_id":79,"tracker_id":40,"status_id":1,"priority_id":2,"assigned_to_id":338,"start_date":"2017-12-18","description":"","custom_fields":[{"id":1,"name":"Subdivision","value":"EC"},{"id":4,"name":"Milepost","value":"23.3274"},{"id":17,"name":"Train ID","value":"171-18"},{"id":16,"name":"Locomotive ID","value":"4016"},{"id":130,"name":"Impact","value":""},{"id":150,"name":"Time of Event (Mountain Time)","value":"13:07:33"},{"id":151,"name":"Denver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7"/>
        <v>start /low /b %USERPROFILE%\Documents\GitHub\eaglep3\Utilities\DownloadLogsFromS3.py --loco 4016 --day 2017-12-18</v>
      </c>
      <c r="AN84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9"/>
        <v>https://d0f6bd738d7f1b3e5a7ca70fe4ff75f0.us-east-1.aws.found.io/app/kibana#/discover/Steve-Slow-Train-Analysis-(2080s-and-2083s)?_g=(refreshInterval:(display:Off,pause:!f,section:0,value:0),time:(from:'2017-12-18T11:24:17-0700',mode:absolute,to:'2017-12-18T14:07:33-0700'))&amp;_a=(columns:!('Message%20ID',Summary),filters:!(),index:'emp_*',interval:auto,query:(query_string:(analyze_wildcard:!t,query:'%22rtdc.l.rtdc.4016%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784</v>
      </c>
      <c r="B85" s="225">
        <v>4015</v>
      </c>
      <c r="C85" s="227" t="s">
        <v>192</v>
      </c>
      <c r="D85" s="227" t="s">
        <v>582</v>
      </c>
      <c r="E85" s="226">
        <v>43087.556550925925</v>
      </c>
      <c r="F85" s="226">
        <v>43087.560590277775</v>
      </c>
      <c r="G85" s="225">
        <v>56</v>
      </c>
      <c r="H85" s="227" t="s">
        <v>939</v>
      </c>
      <c r="I85" s="226">
        <v>43087.588217592594</v>
      </c>
      <c r="J85" s="225">
        <v>0</v>
      </c>
      <c r="K85" s="237" t="str">
        <f t="shared" si="35"/>
        <v>4015/4016</v>
      </c>
      <c r="L85" s="245" t="str">
        <f>VLOOKUP(A85,'Trips&amp;Operators'!$C$1:$G$99911,5,FALSE)</f>
        <v>BADERTSCHER DIANE</v>
      </c>
      <c r="M85" s="224">
        <f t="shared" si="36"/>
        <v>2.7627314819255844E-2</v>
      </c>
      <c r="N85" s="225">
        <f t="shared" si="51"/>
        <v>39.783333339728415</v>
      </c>
      <c r="O85" s="225"/>
      <c r="P85" s="225"/>
      <c r="Q85" s="228"/>
      <c r="R85" s="242"/>
      <c r="S85" s="249">
        <f t="shared" si="52"/>
        <v>1</v>
      </c>
      <c r="T85" s="242" t="str">
        <f t="shared" si="37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8"/>
        <v>https://d0f6bd738d7f1b3e5a7ca70fe4ff75f0.us-east-1.aws.found.io/app/kibana#/discover/Steve-Slow-Train-Analysis-(2080s-and-2083s)?_g=(refreshInterval:(display:Off,pause:!f,section:0,value:0),time:(from:'2017-12-18T12:21:26-0700',mode:absolute,to:'2017-12-18T15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247" t="str">
        <f>IF(AA85&lt;VLOOKUP(AG85,Variables!$AC$3:$AD$8,2,FALSE),"Y","N")</f>
        <v>N</v>
      </c>
      <c r="X85" s="247">
        <f t="shared" si="39"/>
        <v>1</v>
      </c>
      <c r="Y85" s="247">
        <f t="shared" si="53"/>
        <v>23.2959</v>
      </c>
      <c r="Z85" s="247">
        <f t="shared" si="50"/>
        <v>2.4899999999999999E-2</v>
      </c>
      <c r="AA85" s="247">
        <f t="shared" si="40"/>
        <v>23.271000000000001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41"/>
        <v>172</v>
      </c>
      <c r="AE85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85" s="234" t="str">
        <f t="shared" si="43"/>
        <v>"C:\Program Files (x86)\AstroGrep\AstroGrep.exe" /e /r /s /spath="%USERPROFILE%\AppData\Local\Temp\OnboardLogs" /stypes="app*4015*20171218*" /stext=" 21:.+((SYSTEM_STATE.+slice.+state.+changed )|(ment ac)|(multiple cpu faults)|(system.+state.+changed )|(\[timeout)|(PRM\|1\|D)|(kpr)|(kdp)|(train st.+moving)|(\|lc)|(penalty))"</v>
      </c>
      <c r="AG85" s="244" t="str">
        <f t="shared" si="44"/>
        <v>EC</v>
      </c>
      <c r="AH85" s="236" t="str">
        <f t="shared" si="45"/>
        <v>"%USERPROFILE%\Documents\GitHub\eaglep3\Utilities\RefineRTDCRunTimes.py" --tripid 172-18 --locoid 4015 --swversion DE.1.0.9.0 --startMP 204:232959 --initTime 2017-12-18T13:21:26 --startdatetime 2017-12-18T13:27:15 --delay 56 --endMP 204:249 --enddatetime 2017-12-18T14:07:02 --enforcementcount 0 &gt;&gt;%USERPROFILE%\Documents\GitHub\eaglep3-reporting\EC\2017-12-18-refined-times.txt</v>
      </c>
      <c r="AI8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{"issue":{"subject":"","project_id":79,"tracker_id":40,"status_id":1,"priority_id":2,"assigned_to_id":338,"start_date":"2017-12-18","description":"","custom_fields":[{"id":1,"name":"Subdivision","value":"EC"},{"id":4,"name":"Milepost","value":"0.0249"},{"id":17,"name":"Train ID","value":"172-18"},{"id":16,"name":"Locomotive ID","value":"4015"},{"id":130,"name":"Impact","value":""},{"id":150,"name":"Time of Event (Mountain Time)","value":"14:07:02"},{"id":151,"name":"Denver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7"/>
        <v>start /low /b %USERPROFILE%\Documents\GitHub\eaglep3\Utilities\DownloadLogsFromS3.py --loco 4015 --day 2017-12-18</v>
      </c>
      <c r="AN85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9"/>
        <v>https://d0f6bd738d7f1b3e5a7ca70fe4ff75f0.us-east-1.aws.found.io/app/kibana#/discover/Steve-Slow-Train-Analysis-(2080s-and-2083s)?_g=(refreshInterval:(display:Off,pause:!f,section:0,value:0),time:(from:'2017-12-18T12:21:26-0700',mode:absolute,to:'2017-12-18T15:07:02-0700'))&amp;_a=(columns:!('Message%20ID',Summary),filters:!(),index:'emp_*',interval:auto,query:(query_string:(analyze_wildcard:!t,query:'%22rtdc.l.rtdc.4015%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778</v>
      </c>
      <c r="B86" s="225">
        <v>4026</v>
      </c>
      <c r="C86" s="227" t="s">
        <v>192</v>
      </c>
      <c r="D86" s="227" t="s">
        <v>510</v>
      </c>
      <c r="E86" s="226">
        <v>43087.528090277781</v>
      </c>
      <c r="F86" s="226">
        <v>43087.531504629631</v>
      </c>
      <c r="G86" s="225">
        <v>102</v>
      </c>
      <c r="H86" s="227" t="s">
        <v>940</v>
      </c>
      <c r="I86" s="226">
        <v>43087.557002314818</v>
      </c>
      <c r="J86" s="225">
        <v>0</v>
      </c>
      <c r="K86" s="237" t="str">
        <f t="shared" si="35"/>
        <v>4025/4026</v>
      </c>
      <c r="L86" s="245" t="str">
        <f>VLOOKUP(A86,'Trips&amp;Operators'!$C$1:$G$99911,5,FALSE)</f>
        <v>SMITH MICHAEL</v>
      </c>
      <c r="M86" s="224">
        <f t="shared" si="36"/>
        <v>2.5497685186564922E-2</v>
      </c>
      <c r="N86" s="225">
        <f t="shared" si="51"/>
        <v>36.716666668653488</v>
      </c>
      <c r="O86" s="225"/>
      <c r="P86" s="225"/>
      <c r="Q86" s="228"/>
      <c r="R86" s="242"/>
      <c r="S86" s="249">
        <f t="shared" si="52"/>
        <v>1</v>
      </c>
      <c r="T86" s="242" t="str">
        <f t="shared" si="37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8"/>
        <v>https://d0f6bd738d7f1b3e5a7ca70fe4ff75f0.us-east-1.aws.found.io/app/kibana#/discover/Steve-Slow-Train-Analysis-(2080s-and-2083s)?_g=(refreshInterval:(display:Off,pause:!f,section:0,value:0),time:(from:'2017-12-18T11:40:27-0700',mode:absolute,to:'2017-12-18T14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247" t="str">
        <f>IF(AA86&lt;VLOOKUP(AG86,Variables!$AC$3:$AD$8,2,FALSE),"Y","N")</f>
        <v>N</v>
      </c>
      <c r="X86" s="247">
        <f t="shared" si="39"/>
        <v>1</v>
      </c>
      <c r="Y86" s="247">
        <f t="shared" si="53"/>
        <v>5.1999999999999998E-2</v>
      </c>
      <c r="Z86" s="247">
        <f t="shared" si="50"/>
        <v>23.3201</v>
      </c>
      <c r="AA86" s="247">
        <f t="shared" si="40"/>
        <v>23.2681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41"/>
        <v>173</v>
      </c>
      <c r="AE86" s="235" t="str">
        <f t="shared" si="42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86" s="234" t="str">
        <f t="shared" si="43"/>
        <v>"C:\Program Files (x86)\AstroGrep\AstroGrep.exe" /e /r /s /spath="%USERPROFILE%\AppData\Local\Temp\OnboardLogs" /stypes="app*4026*20171218*" /stext=" 20:.+((SYSTEM_STATE.+slice.+state.+changed )|(ment ac)|(multiple cpu faults)|(system.+state.+changed )|(\[timeout)|(PRM\|1\|D)|(kpr)|(kdp)|(train st.+moving)|(\|lc)|(penalty))"</v>
      </c>
      <c r="AG86" s="244" t="str">
        <f t="shared" si="44"/>
        <v>EC</v>
      </c>
      <c r="AH86" s="236" t="str">
        <f t="shared" si="45"/>
        <v>"%USERPROFILE%\Documents\GitHub\eaglep3\Utilities\RefineRTDCRunTimes.py" --tripid 173-18 --locoid 4026 --swversion DE.1.0.9.0 --startMP 204:520 --initTime 2017-12-18T12:40:27 --startdatetime 2017-12-18T12:45:22 --delay 102 --endMP 204:233201 --enddatetime 2017-12-18T13:22:05 --enforcementcount 0 &gt;&gt;%USERPROFILE%\Documents\GitHub\eaglep3-reporting\EC\2017-12-18-refined-times.txt</v>
      </c>
      <c r="AI8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{"issue":{"subject":"","project_id":79,"tracker_id":40,"status_id":1,"priority_id":2,"assigned_to_id":338,"start_date":"2017-12-18","description":"","custom_fields":[{"id":1,"name":"Subdivision","value":"EC"},{"id":4,"name":"Milepost","value":"23.3201"},{"id":17,"name":"Train ID","value":"173-18"},{"id":16,"name":"Locomotive ID","value":"4026"},{"id":130,"name":"Impact","value":""},{"id":150,"name":"Time of Event (Mountain Time)","value":"13:22:05"},{"id":151,"name":"Denver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7"/>
        <v>start /low /b %USERPROFILE%\Documents\GitHub\eaglep3\Utilities\DownloadLogsFromS3.py --loco 4026 --day 2017-12-18</v>
      </c>
      <c r="AN86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9"/>
        <v>https://d0f6bd738d7f1b3e5a7ca70fe4ff75f0.us-east-1.aws.found.io/app/kibana#/discover/Steve-Slow-Train-Analysis-(2080s-and-2083s)?_g=(refreshInterval:(display:Off,pause:!f,section:0,value:0),time:(from:'2017-12-18T11:40:27-0700',mode:absolute,to:'2017-12-18T14:22:05-0700'))&amp;_a=(columns:!('Message%20ID',Summary),filters:!(),index:'emp_*',interval:auto,query:(query_string:(analyze_wildcard:!t,query:'%22rtdc.l.rtdc.4026%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787</v>
      </c>
      <c r="B87" s="225">
        <v>4025</v>
      </c>
      <c r="C87" s="227" t="s">
        <v>192</v>
      </c>
      <c r="D87" s="227" t="s">
        <v>941</v>
      </c>
      <c r="E87" s="226">
        <v>43087.560243055559</v>
      </c>
      <c r="F87" s="226">
        <v>43087.571192129632</v>
      </c>
      <c r="G87" s="225">
        <v>109</v>
      </c>
      <c r="H87" s="227" t="s">
        <v>942</v>
      </c>
      <c r="I87" s="226">
        <v>43087.597187500003</v>
      </c>
      <c r="J87" s="225">
        <v>0</v>
      </c>
      <c r="K87" s="237" t="str">
        <f t="shared" si="35"/>
        <v>4025/4026</v>
      </c>
      <c r="L87" s="245" t="str">
        <f>VLOOKUP(A87,'Trips&amp;Operators'!$C$1:$G$99911,5,FALSE)</f>
        <v>SMITH MICHAEL</v>
      </c>
      <c r="M87" s="224">
        <f t="shared" si="36"/>
        <v>2.5995370371674653E-2</v>
      </c>
      <c r="N87" s="225">
        <f t="shared" si="51"/>
        <v>37.433333335211501</v>
      </c>
      <c r="O87" s="225"/>
      <c r="P87" s="225"/>
      <c r="Q87" s="228"/>
      <c r="R87" s="242"/>
      <c r="S87" s="249">
        <f t="shared" si="52"/>
        <v>1</v>
      </c>
      <c r="T87" s="242" t="str">
        <f t="shared" si="37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8"/>
        <v>https://d0f6bd738d7f1b3e5a7ca70fe4ff75f0.us-east-1.aws.found.io/app/kibana#/discover/Steve-Slow-Train-Analysis-(2080s-and-2083s)?_g=(refreshInterval:(display:Off,pause:!f,section:0,value:0),time:(from:'2017-12-18T12:26:45-0700',mode:absolute,to:'2017-12-18T15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247" t="str">
        <f>IF(AA87&lt;VLOOKUP(AG87,Variables!$AC$3:$AD$8,2,FALSE),"Y","N")</f>
        <v>N</v>
      </c>
      <c r="X87" s="247">
        <f t="shared" si="39"/>
        <v>1</v>
      </c>
      <c r="Y87" s="247">
        <f t="shared" si="53"/>
        <v>23.288599999999999</v>
      </c>
      <c r="Z87" s="247">
        <f t="shared" si="50"/>
        <v>2.52E-2</v>
      </c>
      <c r="AA87" s="247">
        <f t="shared" si="40"/>
        <v>23.263399999999997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41"/>
        <v>174</v>
      </c>
      <c r="AE87" s="235" t="str">
        <f t="shared" si="42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87" s="234" t="str">
        <f t="shared" si="43"/>
        <v>"C:\Program Files (x86)\AstroGrep\AstroGrep.exe" /e /r /s /spath="%USERPROFILE%\AppData\Local\Temp\OnboardLogs" /stypes="app*4025*20171218*" /stext=" 21:.+((SYSTEM_STATE.+slice.+state.+changed )|(ment ac)|(multiple cpu faults)|(system.+state.+changed )|(\[timeout)|(PRM\|1\|D)|(kpr)|(kdp)|(train st.+moving)|(\|lc)|(penalty))"</v>
      </c>
      <c r="AG87" s="244" t="str">
        <f t="shared" si="44"/>
        <v>EC</v>
      </c>
      <c r="AH87" s="236" t="str">
        <f t="shared" si="45"/>
        <v>"%USERPROFILE%\Documents\GitHub\eaglep3\Utilities\RefineRTDCRunTimes.py" --tripid 174-18 --locoid 4025 --swversion DE.1.0.9.0 --startMP 204:232886 --initTime 2017-12-18T13:26:45 --startdatetime 2017-12-18T13:42:31 --delay 109 --endMP 204:252 --enddatetime 2017-12-18T14:19:57 --enforcementcount 0 &gt;&gt;%USERPROFILE%\Documents\GitHub\eaglep3-reporting\EC\2017-12-18-refined-times.txt</v>
      </c>
      <c r="AI87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{"issue":{"subject":"","project_id":79,"tracker_id":40,"status_id":1,"priority_id":2,"assigned_to_id":338,"start_date":"2017-12-18","description":"","custom_fields":[{"id":1,"name":"Subdivision","value":"EC"},{"id":4,"name":"Milepost","value":"0.0252"},{"id":17,"name":"Train ID","value":"174-18"},{"id":16,"name":"Locomotive ID","value":"4025"},{"id":130,"name":"Impact","value":""},{"id":150,"name":"Time of Event (Mountain Time)","value":"14:19:57"},{"id":151,"name":"Denver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7"/>
        <v>start /low /b %USERPROFILE%\Documents\GitHub\eaglep3\Utilities\DownloadLogsFromS3.py --loco 4025 --day 2017-12-18</v>
      </c>
      <c r="AN87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9"/>
        <v>https://d0f6bd738d7f1b3e5a7ca70fe4ff75f0.us-east-1.aws.found.io/app/kibana#/discover/Steve-Slow-Train-Analysis-(2080s-and-2083s)?_g=(refreshInterval:(display:Off,pause:!f,section:0,value:0),time:(from:'2017-12-18T12:26:45-0700',mode:absolute,to:'2017-12-18T15:19:57-0700'))&amp;_a=(columns:!('Message%20ID',Summary),filters:!(),index:'emp_*',interval:auto,query:(query_string:(analyze_wildcard:!t,query:'%22rtdc.l.rtdc.4025%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780</v>
      </c>
      <c r="B88" s="225">
        <v>4010</v>
      </c>
      <c r="C88" s="227" t="s">
        <v>192</v>
      </c>
      <c r="D88" s="227" t="s">
        <v>447</v>
      </c>
      <c r="E88" s="226">
        <v>43087.538865740738</v>
      </c>
      <c r="F88" s="226">
        <v>43087.542129629626</v>
      </c>
      <c r="G88" s="225">
        <v>71</v>
      </c>
      <c r="H88" s="227" t="s">
        <v>926</v>
      </c>
      <c r="I88" s="226">
        <v>43087.568090277775</v>
      </c>
      <c r="J88" s="225">
        <v>0</v>
      </c>
      <c r="K88" s="237" t="str">
        <f t="shared" si="35"/>
        <v>4009/4010</v>
      </c>
      <c r="L88" s="245" t="str">
        <f>VLOOKUP(A88,'Trips&amp;Operators'!$C$1:$G$99911,5,FALSE)</f>
        <v>DAVIS MICHAEL</v>
      </c>
      <c r="M88" s="224">
        <f t="shared" si="36"/>
        <v>2.5960648148611654E-2</v>
      </c>
      <c r="N88" s="225">
        <f t="shared" si="51"/>
        <v>37.383333334000781</v>
      </c>
      <c r="O88" s="225"/>
      <c r="P88" s="225"/>
      <c r="Q88" s="228"/>
      <c r="R88" s="242"/>
      <c r="S88" s="249">
        <f t="shared" si="52"/>
        <v>1</v>
      </c>
      <c r="T88" s="242" t="str">
        <f t="shared" si="37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8"/>
        <v>https://d0f6bd738d7f1b3e5a7ca70fe4ff75f0.us-east-1.aws.found.io/app/kibana#/discover/Steve-Slow-Train-Analysis-(2080s-and-2083s)?_g=(refreshInterval:(display:Off,pause:!f,section:0,value:0),time:(from:'2017-12-18T11:55:58-0700',mode:absolute,to:'2017-12-18T14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8" s="247" t="str">
        <f>IF(AA88&lt;VLOOKUP(AG88,Variables!$AC$3:$AD$8,2,FALSE),"Y","N")</f>
        <v>N</v>
      </c>
      <c r="X88" s="247">
        <f t="shared" si="39"/>
        <v>1</v>
      </c>
      <c r="Y88" s="247">
        <f t="shared" si="53"/>
        <v>5.33E-2</v>
      </c>
      <c r="Z88" s="247">
        <f t="shared" si="50"/>
        <v>23.331</v>
      </c>
      <c r="AA88" s="247">
        <f t="shared" si="40"/>
        <v>23.277699999999999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41"/>
        <v>175</v>
      </c>
      <c r="AE88" s="235" t="str">
        <f t="shared" si="42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88" s="234" t="str">
        <f t="shared" si="43"/>
        <v>"C:\Program Files (x86)\AstroGrep\AstroGrep.exe" /e /r /s /spath="%USERPROFILE%\AppData\Local\Temp\OnboardLogs" /stypes="app*4010*20171218*" /stext=" 20:.+((SYSTEM_STATE.+slice.+state.+changed )|(ment ac)|(multiple cpu faults)|(system.+state.+changed )|(\[timeout)|(PRM\|1\|D)|(kpr)|(kdp)|(train st.+moving)|(\|lc)|(penalty))"</v>
      </c>
      <c r="AG88" s="244" t="str">
        <f t="shared" si="44"/>
        <v>EC</v>
      </c>
      <c r="AH88" s="236" t="str">
        <f t="shared" si="45"/>
        <v>"%USERPROFILE%\Documents\GitHub\eaglep3\Utilities\RefineRTDCRunTimes.py" --tripid 175-18 --locoid 4010 --swversion DE.1.0.9.0 --startMP 204:533 --initTime 2017-12-18T12:55:58 --startdatetime 2017-12-18T13:00:40 --delay 71 --endMP 204:233310 --enddatetime 2017-12-18T13:38:03 --enforcementcount 0 &gt;&gt;%USERPROFILE%\Documents\GitHub\eaglep3-reporting\EC\2017-12-18-refined-times.txt</v>
      </c>
      <c r="AI8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{"issue":{"subject":"","project_id":79,"tracker_id":40,"status_id":1,"priority_id":2,"assigned_to_id":338,"start_date":"2017-12-18","description":"","custom_fields":[{"id":1,"name":"Subdivision","value":"EC"},{"id":4,"name":"Milepost","value":"23.331"},{"id":17,"name":"Train ID","value":"175-18"},{"id":16,"name":"Locomotive ID","value":"4010"},{"id":130,"name":"Impact","value":""},{"id":150,"name":"Time of Event (Mountain Time)","value":"13:38:03"},{"id":151,"name":"Denver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7"/>
        <v>start /low /b %USERPROFILE%\Documents\GitHub\eaglep3\Utilities\DownloadLogsFromS3.py --loco 4010 --day 2017-12-18</v>
      </c>
      <c r="AN88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9"/>
        <v>https://d0f6bd738d7f1b3e5a7ca70fe4ff75f0.us-east-1.aws.found.io/app/kibana#/discover/Steve-Slow-Train-Analysis-(2080s-and-2083s)?_g=(refreshInterval:(display:Off,pause:!f,section:0,value:0),time:(from:'2017-12-18T11:55:58-0700',mode:absolute,to:'2017-12-18T14:38:03-0700'))&amp;_a=(columns:!('Message%20ID',Summary),filters:!(),index:'emp_*',interval:auto,query:(query_string:(analyze_wildcard:!t,query:'%22rtdc.l.rtdc.4010%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789</v>
      </c>
      <c r="B89" s="225">
        <v>4009</v>
      </c>
      <c r="C89" s="227" t="s">
        <v>192</v>
      </c>
      <c r="D89" s="227" t="s">
        <v>901</v>
      </c>
      <c r="E89" s="226">
        <v>43087.579444444447</v>
      </c>
      <c r="F89" s="226">
        <v>43087.581770833334</v>
      </c>
      <c r="G89" s="225">
        <v>66</v>
      </c>
      <c r="H89" s="227" t="s">
        <v>910</v>
      </c>
      <c r="I89" s="226">
        <v>43087.609178240738</v>
      </c>
      <c r="J89" s="225">
        <v>0</v>
      </c>
      <c r="K89" s="237" t="str">
        <f t="shared" si="35"/>
        <v>4009/4010</v>
      </c>
      <c r="L89" s="245" t="str">
        <f>VLOOKUP(A89,'Trips&amp;Operators'!$C$1:$G$99911,5,FALSE)</f>
        <v>DAVIS MICHAEL</v>
      </c>
      <c r="M89" s="224">
        <f t="shared" si="36"/>
        <v>2.7407407404098194E-2</v>
      </c>
      <c r="N89" s="225">
        <f t="shared" si="51"/>
        <v>39.466666661901399</v>
      </c>
      <c r="O89" s="225"/>
      <c r="P89" s="225"/>
      <c r="Q89" s="228"/>
      <c r="R89" s="242"/>
      <c r="S89" s="249">
        <f t="shared" si="52"/>
        <v>1</v>
      </c>
      <c r="T89" s="242" t="str">
        <f t="shared" si="37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8"/>
        <v>https://d0f6bd738d7f1b3e5a7ca70fe4ff75f0.us-east-1.aws.found.io/app/kibana#/discover/Steve-Slow-Train-Analysis-(2080s-and-2083s)?_g=(refreshInterval:(display:Off,pause:!f,section:0,value:0),time:(from:'2017-12-18T12:54:24-0700',mode:absolute,to:'2017-12-18T15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247" t="str">
        <f>IF(AA89&lt;VLOOKUP(AG89,Variables!$AC$3:$AD$8,2,FALSE),"Y","N")</f>
        <v>N</v>
      </c>
      <c r="X89" s="247">
        <f t="shared" si="39"/>
        <v>1</v>
      </c>
      <c r="Y89" s="247">
        <f t="shared" si="53"/>
        <v>23.299800000000001</v>
      </c>
      <c r="Z89" s="247">
        <f t="shared" si="50"/>
        <v>2.3099999999999999E-2</v>
      </c>
      <c r="AA89" s="247">
        <f t="shared" si="40"/>
        <v>23.276700000000002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41"/>
        <v>176</v>
      </c>
      <c r="AE89" s="235" t="str">
        <f t="shared" si="42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89" s="234" t="str">
        <f t="shared" si="43"/>
        <v>"C:\Program Files (x86)\AstroGrep\AstroGrep.exe" /e /r /s /spath="%USERPROFILE%\AppData\Local\Temp\OnboardLogs" /stypes="app*4009*20171218*" /stext=" 21:.+((SYSTEM_STATE.+slice.+state.+changed )|(ment ac)|(multiple cpu faults)|(system.+state.+changed )|(\[timeout)|(PRM\|1\|D)|(kpr)|(kdp)|(train st.+moving)|(\|lc)|(penalty))"</v>
      </c>
      <c r="AG89" s="244" t="str">
        <f t="shared" si="44"/>
        <v>EC</v>
      </c>
      <c r="AH89" s="236" t="str">
        <f t="shared" si="45"/>
        <v>"%USERPROFILE%\Documents\GitHub\eaglep3\Utilities\RefineRTDCRunTimes.py" --tripid 176-18 --locoid 4009 --swversion DE.1.0.9.0 --startMP 204:232998 --initTime 2017-12-18T13:54:24 --startdatetime 2017-12-18T13:57:45 --delay 66 --endMP 204:231 --enddatetime 2017-12-18T14:37:13 --enforcementcount 0 &gt;&gt;%USERPROFILE%\Documents\GitHub\eaglep3-reporting\EC\2017-12-18-refined-times.txt</v>
      </c>
      <c r="AI8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{"issue":{"subject":"","project_id":79,"tracker_id":40,"status_id":1,"priority_id":2,"assigned_to_id":338,"start_date":"2017-12-18","description":"","custom_fields":[{"id":1,"name":"Subdivision","value":"EC"},{"id":4,"name":"Milepost","value":"0.0231"},{"id":17,"name":"Train ID","value":"176-18"},{"id":16,"name":"Locomotive ID","value":"4009"},{"id":130,"name":"Impact","value":""},{"id":150,"name":"Time of Event (Mountain Time)","value":"14:37:13"},{"id":151,"name":"Denver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7"/>
        <v>start /low /b %USERPROFILE%\Documents\GitHub\eaglep3\Utilities\DownloadLogsFromS3.py --loco 4009 --day 2017-12-18</v>
      </c>
      <c r="AN89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9"/>
        <v>https://d0f6bd738d7f1b3e5a7ca70fe4ff75f0.us-east-1.aws.found.io/app/kibana#/discover/Steve-Slow-Train-Analysis-(2080s-and-2083s)?_g=(refreshInterval:(display:Off,pause:!f,section:0,value:0),time:(from:'2017-12-18T12:54:24-0700',mode:absolute,to:'2017-12-18T15:37:13-0700'))&amp;_a=(columns:!('Message%20ID',Summary),filters:!(),index:'emp_*',interval:auto,query:(query_string:(analyze_wildcard:!t,query:'%22rtdc.l.rtdc.4009%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783</v>
      </c>
      <c r="B90" s="225">
        <v>4044</v>
      </c>
      <c r="C90" s="227" t="s">
        <v>192</v>
      </c>
      <c r="D90" s="227" t="s">
        <v>518</v>
      </c>
      <c r="E90" s="226">
        <v>43087.548171296294</v>
      </c>
      <c r="F90" s="226">
        <v>43087.552303240744</v>
      </c>
      <c r="G90" s="225">
        <v>57</v>
      </c>
      <c r="H90" s="227" t="s">
        <v>577</v>
      </c>
      <c r="I90" s="226">
        <v>43087.577604166669</v>
      </c>
      <c r="J90" s="225">
        <v>0</v>
      </c>
      <c r="K90" s="237" t="str">
        <f t="shared" si="35"/>
        <v>4043/4044</v>
      </c>
      <c r="L90" s="245" t="str">
        <f>VLOOKUP(A90,'Trips&amp;Operators'!$C$1:$G$99911,5,FALSE)</f>
        <v>STEWART MICHAEL</v>
      </c>
      <c r="M90" s="224">
        <f t="shared" si="36"/>
        <v>2.5300925924966577E-2</v>
      </c>
      <c r="N90" s="225">
        <f t="shared" si="51"/>
        <v>36.433333331951872</v>
      </c>
      <c r="O90" s="225"/>
      <c r="P90" s="225"/>
      <c r="Q90" s="228"/>
      <c r="R90" s="242"/>
      <c r="S90" s="249">
        <f t="shared" si="52"/>
        <v>1</v>
      </c>
      <c r="T90" s="242" t="str">
        <f t="shared" si="37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8"/>
        <v>https://d0f6bd738d7f1b3e5a7ca70fe4ff75f0.us-east-1.aws.found.io/app/kibana#/discover/Steve-Slow-Train-Analysis-(2080s-and-2083s)?_g=(refreshInterval:(display:Off,pause:!f,section:0,value:0),time:(from:'2017-12-18T12:09:22-0700',mode:absolute,to:'2017-12-18T14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247" t="str">
        <f>IF(AA90&lt;VLOOKUP(AG90,Variables!$AC$3:$AD$8,2,FALSE),"Y","N")</f>
        <v>N</v>
      </c>
      <c r="X90" s="247">
        <f t="shared" si="39"/>
        <v>1</v>
      </c>
      <c r="Y90" s="247">
        <f t="shared" si="53"/>
        <v>5.0599999999999999E-2</v>
      </c>
      <c r="Z90" s="247">
        <f t="shared" si="50"/>
        <v>23.3293</v>
      </c>
      <c r="AA90" s="247">
        <f t="shared" si="40"/>
        <v>23.278700000000001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41"/>
        <v>177</v>
      </c>
      <c r="AE90" s="235" t="str">
        <f t="shared" si="42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90" s="234" t="str">
        <f t="shared" si="43"/>
        <v>"C:\Program Files (x86)\AstroGrep\AstroGrep.exe" /e /r /s /spath="%USERPROFILE%\AppData\Local\Temp\OnboardLogs" /stypes="app*4044*20171218*" /stext=" 20:.+((SYSTEM_STATE.+slice.+state.+changed )|(ment ac)|(multiple cpu faults)|(system.+state.+changed )|(\[timeout)|(PRM\|1\|D)|(kpr)|(kdp)|(train st.+moving)|(\|lc)|(penalty))"</v>
      </c>
      <c r="AG90" s="244" t="str">
        <f t="shared" si="44"/>
        <v>EC</v>
      </c>
      <c r="AH90" s="236" t="str">
        <f t="shared" si="45"/>
        <v>"%USERPROFILE%\Documents\GitHub\eaglep3\Utilities\RefineRTDCRunTimes.py" --tripid 177-18 --locoid 4044 --swversion DE.1.0.9.0 --startMP 204:506 --initTime 2017-12-18T13:09:22 --startdatetime 2017-12-18T13:15:19 --delay 57 --endMP 204:233293 --enddatetime 2017-12-18T13:51:45 --enforcementcount 0 &gt;&gt;%USERPROFILE%\Documents\GitHub\eaglep3-reporting\EC\2017-12-18-refined-times.txt</v>
      </c>
      <c r="AI9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{"issue":{"subject":"","project_id":79,"tracker_id":40,"status_id":1,"priority_id":2,"assigned_to_id":338,"start_date":"2017-12-18","description":"","custom_fields":[{"id":1,"name":"Subdivision","value":"EC"},{"id":4,"name":"Milepost","value":"23.3293"},{"id":17,"name":"Train ID","value":"177-18"},{"id":16,"name":"Locomotive ID","value":"4044"},{"id":130,"name":"Impact","value":""},{"id":150,"name":"Time of Event (Mountain Time)","value":"13:51:45"},{"id":151,"name":"Denver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7"/>
        <v>start /low /b %USERPROFILE%\Documents\GitHub\eaglep3\Utilities\DownloadLogsFromS3.py --loco 4044 --day 2017-12-18</v>
      </c>
      <c r="AN90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9"/>
        <v>https://d0f6bd738d7f1b3e5a7ca70fe4ff75f0.us-east-1.aws.found.io/app/kibana#/discover/Steve-Slow-Train-Analysis-(2080s-and-2083s)?_g=(refreshInterval:(display:Off,pause:!f,section:0,value:0),time:(from:'2017-12-18T12:09:22-0700',mode:absolute,to:'2017-12-18T14:51:45-0700'))&amp;_a=(columns:!('Message%20ID',Summary),filters:!(),index:'emp_*',interval:auto,query:(query_string:(analyze_wildcard:!t,query:'%22rtdc.l.rtdc.4044%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792</v>
      </c>
      <c r="B91" s="225">
        <v>4043</v>
      </c>
      <c r="C91" s="227" t="s">
        <v>192</v>
      </c>
      <c r="D91" s="227" t="s">
        <v>943</v>
      </c>
      <c r="E91" s="226">
        <v>43087.588125000002</v>
      </c>
      <c r="F91" s="226">
        <v>43087.591886574075</v>
      </c>
      <c r="G91" s="225">
        <v>77</v>
      </c>
      <c r="H91" s="227" t="s">
        <v>552</v>
      </c>
      <c r="I91" s="226">
        <v>43087.617696759262</v>
      </c>
      <c r="J91" s="225">
        <v>0</v>
      </c>
      <c r="K91" s="237" t="str">
        <f t="shared" si="35"/>
        <v>4043/4044</v>
      </c>
      <c r="L91" s="245" t="str">
        <f>VLOOKUP(A91,'Trips&amp;Operators'!$C$1:$G$99911,5,FALSE)</f>
        <v>STEWART MICHAEL</v>
      </c>
      <c r="M91" s="224">
        <f t="shared" si="36"/>
        <v>2.5810185186855961E-2</v>
      </c>
      <c r="N91" s="225">
        <f t="shared" si="51"/>
        <v>37.166666669072583</v>
      </c>
      <c r="O91" s="225"/>
      <c r="P91" s="225"/>
      <c r="Q91" s="228"/>
      <c r="R91" s="242"/>
      <c r="S91" s="249">
        <f t="shared" si="52"/>
        <v>1</v>
      </c>
      <c r="T91" s="242" t="str">
        <f t="shared" si="37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8"/>
        <v>https://d0f6bd738d7f1b3e5a7ca70fe4ff75f0.us-east-1.aws.found.io/app/kibana#/discover/Steve-Slow-Train-Analysis-(2080s-and-2083s)?_g=(refreshInterval:(display:Off,pause:!f,section:0,value:0),time:(from:'2017-12-18T13:06:54-0700',mode:absolute,to:'2017-12-18T15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247" t="str">
        <f>IF(AA91&lt;VLOOKUP(AG91,Variables!$AC$3:$AD$8,2,FALSE),"Y","N")</f>
        <v>N</v>
      </c>
      <c r="X91" s="247">
        <f t="shared" si="39"/>
        <v>1</v>
      </c>
      <c r="Y91" s="247">
        <f t="shared" si="53"/>
        <v>23.296900000000001</v>
      </c>
      <c r="Z91" s="247">
        <f t="shared" si="50"/>
        <v>1.83E-2</v>
      </c>
      <c r="AA91" s="247">
        <f t="shared" si="40"/>
        <v>23.278600000000001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41"/>
        <v>178</v>
      </c>
      <c r="AE91" s="235" t="str">
        <f t="shared" si="42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91" s="234" t="str">
        <f t="shared" si="43"/>
        <v>"C:\Program Files (x86)\AstroGrep\AstroGrep.exe" /e /r /s /spath="%USERPROFILE%\AppData\Local\Temp\OnboardLogs" /stypes="app*4043*20171218*" /stext=" 21:.+((SYSTEM_STATE.+slice.+state.+changed )|(ment ac)|(multiple cpu faults)|(system.+state.+changed )|(\[timeout)|(PRM\|1\|D)|(kpr)|(kdp)|(train st.+moving)|(\|lc)|(penalty))"</v>
      </c>
      <c r="AG91" s="244" t="str">
        <f t="shared" si="44"/>
        <v>EC</v>
      </c>
      <c r="AH91" s="236" t="str">
        <f t="shared" si="45"/>
        <v>"%USERPROFILE%\Documents\GitHub\eaglep3\Utilities\RefineRTDCRunTimes.py" --tripid 178-18 --locoid 4043 --swversion DE.1.0.9.0 --startMP 204:232969 --initTime 2017-12-18T14:06:54 --startdatetime 2017-12-18T14:12:19 --delay 77 --endMP 204:183 --enddatetime 2017-12-18T14:49:29 --enforcementcount 0 &gt;&gt;%USERPROFILE%\Documents\GitHub\eaglep3-reporting\EC\2017-12-18-refined-times.txt</v>
      </c>
      <c r="AI9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{"issue":{"subject":"","project_id":79,"tracker_id":40,"status_id":1,"priority_id":2,"assigned_to_id":338,"start_date":"2017-12-18","description":"","custom_fields":[{"id":1,"name":"Subdivision","value":"EC"},{"id":4,"name":"Milepost","value":"0.0183"},{"id":17,"name":"Train ID","value":"178-18"},{"id":16,"name":"Locomotive ID","value":"4043"},{"id":130,"name":"Impact","value":""},{"id":150,"name":"Time of Event (Mountain Time)","value":"14:49:29"},{"id":151,"name":"Denver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7"/>
        <v>start /low /b %USERPROFILE%\Documents\GitHub\eaglep3\Utilities\DownloadLogsFromS3.py --loco 4043 --day 2017-12-18</v>
      </c>
      <c r="AN91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9"/>
        <v>https://d0f6bd738d7f1b3e5a7ca70fe4ff75f0.us-east-1.aws.found.io/app/kibana#/discover/Steve-Slow-Train-Analysis-(2080s-and-2083s)?_g=(refreshInterval:(display:Off,pause:!f,section:0,value:0),time:(from:'2017-12-18T13:06:54-0700',mode:absolute,to:'2017-12-18T15:49:29-0700'))&amp;_a=(columns:!('Message%20ID',Summary),filters:!(),index:'emp_*',interval:auto,query:(query_string:(analyze_wildcard:!t,query:'%22rtdc.l.rtdc.4043%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785</v>
      </c>
      <c r="B92" s="225">
        <v>4022</v>
      </c>
      <c r="C92" s="227" t="s">
        <v>192</v>
      </c>
      <c r="D92" s="227" t="s">
        <v>633</v>
      </c>
      <c r="E92" s="226">
        <v>43087.558206018519</v>
      </c>
      <c r="F92" s="226">
        <v>43087.562824074077</v>
      </c>
      <c r="G92" s="225">
        <v>55</v>
      </c>
      <c r="H92" s="227" t="s">
        <v>944</v>
      </c>
      <c r="I92" s="226">
        <v>43087.589074074072</v>
      </c>
      <c r="J92" s="225">
        <v>0</v>
      </c>
      <c r="K92" s="237" t="str">
        <f t="shared" si="35"/>
        <v>4021/4022</v>
      </c>
      <c r="L92" s="245" t="str">
        <f>VLOOKUP(A92,'Trips&amp;Operators'!$C$1:$G$99911,5,FALSE)</f>
        <v>LEVERE CRAIG</v>
      </c>
      <c r="M92" s="224">
        <f t="shared" si="36"/>
        <v>2.6249999995343387E-2</v>
      </c>
      <c r="N92" s="225">
        <f t="shared" si="51"/>
        <v>37.799999993294477</v>
      </c>
      <c r="O92" s="225"/>
      <c r="P92" s="225"/>
      <c r="Q92" s="228"/>
      <c r="R92" s="242" t="s">
        <v>1078</v>
      </c>
      <c r="S92" s="249">
        <f t="shared" si="52"/>
        <v>1</v>
      </c>
      <c r="T92" s="242" t="str">
        <f t="shared" si="37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8"/>
        <v>https://d0f6bd738d7f1b3e5a7ca70fe4ff75f0.us-east-1.aws.found.io/app/kibana#/discover/Steve-Slow-Train-Analysis-(2080s-and-2083s)?_g=(refreshInterval:(display:Off,pause:!f,section:0,value:0),time:(from:'2017-12-18T12:23:49-0700',mode:absolute,to:'2017-12-18T15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2" s="247" t="str">
        <f>IF(AA92&lt;VLOOKUP(AG92,Variables!$AC$3:$AD$8,2,FALSE),"Y","N")</f>
        <v>N</v>
      </c>
      <c r="X92" s="247">
        <f t="shared" si="39"/>
        <v>1</v>
      </c>
      <c r="Y92" s="247">
        <f t="shared" si="53"/>
        <v>5.3999999999999999E-2</v>
      </c>
      <c r="Z92" s="247">
        <f t="shared" si="50"/>
        <v>23.325099999999999</v>
      </c>
      <c r="AA92" s="247">
        <f t="shared" si="40"/>
        <v>23.271100000000001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41"/>
        <v>179</v>
      </c>
      <c r="AE92" s="235" t="str">
        <f t="shared" si="42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92" s="234" t="str">
        <f t="shared" si="43"/>
        <v>"C:\Program Files (x86)\AstroGrep\AstroGrep.exe" /e /r /s /spath="%USERPROFILE%\AppData\Local\Temp\OnboardLogs" /stypes="app*4022*20171218*" /stext=" 21:.+((SYSTEM_STATE.+slice.+state.+changed )|(ment ac)|(multiple cpu faults)|(system.+state.+changed )|(\[timeout)|(PRM\|1\|D)|(kpr)|(kdp)|(train st.+moving)|(\|lc)|(penalty))"</v>
      </c>
      <c r="AG92" s="244" t="str">
        <f t="shared" si="44"/>
        <v>EC</v>
      </c>
      <c r="AH92" s="236" t="str">
        <f t="shared" si="45"/>
        <v>"%USERPROFILE%\Documents\GitHub\eaglep3\Utilities\RefineRTDCRunTimes.py" --tripid 179-18 --locoid 4022 --swversion DE.1.0.9.0 --startMP 204:540 --initTime 2017-12-18T13:23:49 --startdatetime 2017-12-18T13:30:28 --delay 55 --endMP 204:233251 --enddatetime 2017-12-18T14:08:16 --enforcementcount 0 &gt;&gt;%USERPROFILE%\Documents\GitHub\eaglep3-reporting\EC\2017-12-18-refined-times.txt</v>
      </c>
      <c r="AI92" s="238" t="str">
        <f t="shared" si="46"/>
        <v>echo {"issue":{"subject":"Observed Wi-MAX data drop, no enforcement/cutout","project_id":79,"tracker_id":40,"status_id":1,"priority_id":2,"assigned_to_id":338,"start_date":"2017-12-18","description":"","custom_fields":[{"id":1,"name":"Subdivision","value":"EC"},{"id":4,"name":"Milepost","value":"23.3251"},{"id":17,"name":"Train ID","value":"179-18"},{"id":16,"name":"Locomotive ID","value":"4022"},{"id":130,"name":"Impact","value":""},{"id":150,"name":"Time of Event (Mountain Time)","value":"14:08:16"},{"id":151,"name":"Denver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7"/>
        <v>start /low /b %USERPROFILE%\Documents\GitHub\eaglep3\Utilities\DownloadLogsFromS3.py --loco 4022 --day 2017-12-18</v>
      </c>
      <c r="AN92" s="241" t="str">
        <f t="shared" si="48"/>
        <v>echo {"issue":{"subject":"Observed Wi-MAX data drop, no enforcement/cutout","project_id":30,"tracker_id":4,"status_id":1,"priority_id":1,"assigned_to_id":10,"start_date":"2017-12-18","description":"","custom_fields":[{"id":30,"name":"Category","value":"Issue"},{"id":3,"name":"Functional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9"/>
        <v>https://d0f6bd738d7f1b3e5a7ca70fe4ff75f0.us-east-1.aws.found.io/app/kibana#/discover/Steve-Slow-Train-Analysis-(2080s-and-2083s)?_g=(refreshInterval:(display:Off,pause:!f,section:0,value:0),time:(from:'2017-12-18T12:23:49-0700',mode:absolute,to:'2017-12-18T15:08:16-0700'))&amp;_a=(columns:!('Message%20ID',Summary),filters:!(),index:'emp_*',interval:auto,query:(query_string:(analyze_wildcard:!t,query:'%22rtdc.l.rtdc.4022%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794</v>
      </c>
      <c r="B93" s="225">
        <v>4021</v>
      </c>
      <c r="C93" s="227" t="s">
        <v>192</v>
      </c>
      <c r="D93" s="227" t="s">
        <v>938</v>
      </c>
      <c r="E93" s="226">
        <v>43087.598414351851</v>
      </c>
      <c r="F93" s="226">
        <v>43087.602372685185</v>
      </c>
      <c r="G93" s="225">
        <v>74</v>
      </c>
      <c r="H93" s="227" t="s">
        <v>945</v>
      </c>
      <c r="I93" s="226">
        <v>43087.628437500003</v>
      </c>
      <c r="J93" s="225">
        <v>0</v>
      </c>
      <c r="K93" s="237" t="str">
        <f t="shared" si="35"/>
        <v>4021/4022</v>
      </c>
      <c r="L93" s="245" t="str">
        <f>VLOOKUP(A93,'Trips&amp;Operators'!$C$1:$G$99911,5,FALSE)</f>
        <v>LEVERE CRAIG</v>
      </c>
      <c r="M93" s="224">
        <f t="shared" si="36"/>
        <v>2.6064814817800652E-2</v>
      </c>
      <c r="N93" s="225">
        <f t="shared" si="51"/>
        <v>37.533333337632939</v>
      </c>
      <c r="O93" s="225"/>
      <c r="P93" s="225"/>
      <c r="Q93" s="228"/>
      <c r="R93" s="242"/>
      <c r="S93" s="249">
        <f t="shared" si="52"/>
        <v>1</v>
      </c>
      <c r="T93" s="242" t="str">
        <f t="shared" si="37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8"/>
        <v>https://d0f6bd738d7f1b3e5a7ca70fe4ff75f0.us-east-1.aws.found.io/app/kibana#/discover/Steve-Slow-Train-Analysis-(2080s-and-2083s)?_g=(refreshInterval:(display:Off,pause:!f,section:0,value:0),time:(from:'2017-12-18T13:21:43-0700',mode:absolute,to:'2017-12-18T16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3" s="247" t="str">
        <f>IF(AA93&lt;VLOOKUP(AG93,Variables!$AC$3:$AD$8,2,FALSE),"Y","N")</f>
        <v>N</v>
      </c>
      <c r="X93" s="247">
        <f t="shared" si="39"/>
        <v>1</v>
      </c>
      <c r="Y93" s="247">
        <f t="shared" si="53"/>
        <v>23.294</v>
      </c>
      <c r="Z93" s="247">
        <f t="shared" si="50"/>
        <v>2.47E-2</v>
      </c>
      <c r="AA93" s="247">
        <f t="shared" si="40"/>
        <v>23.269300000000001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41"/>
        <v>180</v>
      </c>
      <c r="AE93" s="235" t="str">
        <f t="shared" si="42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93" s="234" t="str">
        <f t="shared" si="43"/>
        <v>"C:\Program Files (x86)\AstroGrep\AstroGrep.exe" /e /r /s /spath="%USERPROFILE%\AppData\Local\Temp\OnboardLogs" /stypes="app*4021*20171218*" /stext=" 22:.+((SYSTEM_STATE.+slice.+state.+changed )|(ment ac)|(multiple cpu faults)|(system.+state.+changed )|(\[timeout)|(PRM\|1\|D)|(kpr)|(kdp)|(train st.+moving)|(\|lc)|(penalty))"</v>
      </c>
      <c r="AG93" s="244" t="str">
        <f t="shared" si="44"/>
        <v>EC</v>
      </c>
      <c r="AH93" s="236" t="str">
        <f t="shared" si="45"/>
        <v>"%USERPROFILE%\Documents\GitHub\eaglep3\Utilities\RefineRTDCRunTimes.py" --tripid 180-18 --locoid 4021 --swversion DE.1.0.9.0 --startMP 204:232940 --initTime 2017-12-18T14:21:43 --startdatetime 2017-12-18T14:27:25 --delay 74 --endMP 204:247 --enddatetime 2017-12-18T15:04:57 --enforcementcount 0 &gt;&gt;%USERPROFILE%\Documents\GitHub\eaglep3-reporting\EC\2017-12-18-refined-times.txt</v>
      </c>
      <c r="AI9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{"issue":{"subject":"","project_id":79,"tracker_id":40,"status_id":1,"priority_id":2,"assigned_to_id":338,"start_date":"2017-12-18","description":"","custom_fields":[{"id":1,"name":"Subdivision","value":"EC"},{"id":4,"name":"Milepost","value":"0.0247"},{"id":17,"name":"Train ID","value":"180-18"},{"id":16,"name":"Locomotive ID","value":"4021"},{"id":130,"name":"Impact","value":""},{"id":150,"name":"Time of Event (Mountain Time)","value":"15:04:57"},{"id":151,"name":"Denver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7"/>
        <v>start /low /b %USERPROFILE%\Documents\GitHub\eaglep3\Utilities\DownloadLogsFromS3.py --loco 4021 --day 2017-12-18</v>
      </c>
      <c r="AN93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9"/>
        <v>https://d0f6bd738d7f1b3e5a7ca70fe4ff75f0.us-east-1.aws.found.io/app/kibana#/discover/Steve-Slow-Train-Analysis-(2080s-and-2083s)?_g=(refreshInterval:(display:Off,pause:!f,section:0,value:0),time:(from:'2017-12-18T13:21:43-0700',mode:absolute,to:'2017-12-18T16:04:57-0700'))&amp;_a=(columns:!('Message%20ID',Summary),filters:!(),index:'emp_*',interval:auto,query:(query_string:(analyze_wildcard:!t,query:'%22rtdc.l.rtdc.4021%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788</v>
      </c>
      <c r="B94" s="225">
        <v>4052</v>
      </c>
      <c r="C94" s="227" t="s">
        <v>192</v>
      </c>
      <c r="D94" s="227" t="s">
        <v>902</v>
      </c>
      <c r="E94" s="226">
        <v>43087.569108796299</v>
      </c>
      <c r="F94" s="226">
        <v>43087.57309027778</v>
      </c>
      <c r="G94" s="225">
        <v>57</v>
      </c>
      <c r="H94" s="227" t="s">
        <v>914</v>
      </c>
      <c r="I94" s="226">
        <v>43087.598090277781</v>
      </c>
      <c r="J94" s="225">
        <v>0</v>
      </c>
      <c r="K94" s="237" t="str">
        <f t="shared" si="35"/>
        <v>4051/4052</v>
      </c>
      <c r="L94" s="245" t="str">
        <f>VLOOKUP(A94,'Trips&amp;Operators'!$C$1:$G$99911,5,FALSE)</f>
        <v>GUZMAN DANNY</v>
      </c>
      <c r="M94" s="224">
        <f t="shared" si="36"/>
        <v>2.5000000001455192E-2</v>
      </c>
      <c r="N94" s="225">
        <f t="shared" si="51"/>
        <v>36.000000002095476</v>
      </c>
      <c r="O94" s="225"/>
      <c r="P94" s="225"/>
      <c r="Q94" s="228"/>
      <c r="R94" s="242"/>
      <c r="S94" s="249">
        <f t="shared" si="52"/>
        <v>1</v>
      </c>
      <c r="T94" s="242" t="str">
        <f t="shared" si="37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8"/>
        <v>https://d0f6bd738d7f1b3e5a7ca70fe4ff75f0.us-east-1.aws.found.io/app/kibana#/discover/Steve-Slow-Train-Analysis-(2080s-and-2083s)?_g=(refreshInterval:(display:Off,pause:!f,section:0,value:0),time:(from:'2017-12-18T12:39:31-0700',mode:absolute,to:'2017-12-18T15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4" s="247" t="str">
        <f>IF(AA94&lt;VLOOKUP(AG94,Variables!$AC$3:$AD$8,2,FALSE),"Y","N")</f>
        <v>N</v>
      </c>
      <c r="X94" s="247">
        <f t="shared" si="39"/>
        <v>1</v>
      </c>
      <c r="Y94" s="247">
        <f t="shared" si="53"/>
        <v>5.2400000000000002E-2</v>
      </c>
      <c r="Z94" s="247">
        <f t="shared" si="50"/>
        <v>23.328199999999999</v>
      </c>
      <c r="AA94" s="247">
        <f t="shared" si="40"/>
        <v>23.2758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41"/>
        <v>181</v>
      </c>
      <c r="AE94" s="235" t="str">
        <f t="shared" si="42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94" s="234" t="str">
        <f t="shared" si="43"/>
        <v>"C:\Program Files (x86)\AstroGrep\AstroGrep.exe" /e /r /s /spath="%USERPROFILE%\AppData\Local\Temp\OnboardLogs" /stypes="app*4052*20171218*" /stext=" 21:.+((SYSTEM_STATE.+slice.+state.+changed )|(ment ac)|(multiple cpu faults)|(system.+state.+changed )|(\[timeout)|(PRM\|1\|D)|(kpr)|(kdp)|(train st.+moving)|(\|lc)|(penalty))"</v>
      </c>
      <c r="AG94" s="244" t="str">
        <f t="shared" si="44"/>
        <v>EC</v>
      </c>
      <c r="AH94" s="236" t="str">
        <f t="shared" si="45"/>
        <v>"%USERPROFILE%\Documents\GitHub\eaglep3\Utilities\RefineRTDCRunTimes.py" --tripid 181-18 --locoid 4052 --swversion DE.1.0.9.0 --startMP 204:524 --initTime 2017-12-18T13:39:31 --startdatetime 2017-12-18T13:45:15 --delay 57 --endMP 204:233282 --enddatetime 2017-12-18T14:21:15 --enforcementcount 0 &gt;&gt;%USERPROFILE%\Documents\GitHub\eaglep3-reporting\EC\2017-12-18-refined-times.txt</v>
      </c>
      <c r="AI9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{"issue":{"subject":"","project_id":79,"tracker_id":40,"status_id":1,"priority_id":2,"assigned_to_id":338,"start_date":"2017-12-18","description":"","custom_fields":[{"id":1,"name":"Subdivision","value":"EC"},{"id":4,"name":"Milepost","value":"23.3282"},{"id":17,"name":"Train ID","value":"181-18"},{"id":16,"name":"Locomotive ID","value":"4052"},{"id":130,"name":"Impact","value":""},{"id":150,"name":"Time of Event (Mountain Time)","value":"14:21:15"},{"id":151,"name":"Denver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7"/>
        <v>start /low /b %USERPROFILE%\Documents\GitHub\eaglep3\Utilities\DownloadLogsFromS3.py --loco 4052 --day 2017-12-18</v>
      </c>
      <c r="AN94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9"/>
        <v>https://d0f6bd738d7f1b3e5a7ca70fe4ff75f0.us-east-1.aws.found.io/app/kibana#/discover/Steve-Slow-Train-Analysis-(2080s-and-2083s)?_g=(refreshInterval:(display:Off,pause:!f,section:0,value:0),time:(from:'2017-12-18T12:39:31-0700',mode:absolute,to:'2017-12-18T15:21:15-0700'))&amp;_a=(columns:!('Message%20ID',Summary),filters:!(),index:'emp_*',interval:auto,query:(query_string:(analyze_wildcard:!t,query:'%22rtdc.l.rtdc.4052%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796</v>
      </c>
      <c r="B95" s="225">
        <v>4051</v>
      </c>
      <c r="C95" s="227" t="s">
        <v>192</v>
      </c>
      <c r="D95" s="227" t="s">
        <v>605</v>
      </c>
      <c r="E95" s="226">
        <v>43087.600300925929</v>
      </c>
      <c r="F95" s="226">
        <v>43087.612685185188</v>
      </c>
      <c r="G95" s="225">
        <v>60</v>
      </c>
      <c r="H95" s="227" t="s">
        <v>522</v>
      </c>
      <c r="I95" s="226">
        <v>43087.638518518521</v>
      </c>
      <c r="J95" s="225">
        <v>0</v>
      </c>
      <c r="K95" s="237" t="str">
        <f t="shared" si="35"/>
        <v>4051/4052</v>
      </c>
      <c r="L95" s="245" t="str">
        <f>VLOOKUP(A95,'Trips&amp;Operators'!$C$1:$G$99911,5,FALSE)</f>
        <v>GUZMAN DANNY</v>
      </c>
      <c r="M95" s="224">
        <f t="shared" si="36"/>
        <v>2.5833333333139308E-2</v>
      </c>
      <c r="N95" s="225">
        <f t="shared" si="51"/>
        <v>37.199999999720603</v>
      </c>
      <c r="O95" s="225"/>
      <c r="P95" s="225"/>
      <c r="Q95" s="228"/>
      <c r="R95" s="242"/>
      <c r="S95" s="249">
        <f t="shared" si="52"/>
        <v>1</v>
      </c>
      <c r="T95" s="242" t="str">
        <f t="shared" si="37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8"/>
        <v>https://d0f6bd738d7f1b3e5a7ca70fe4ff75f0.us-east-1.aws.found.io/app/kibana#/discover/Steve-Slow-Train-Analysis-(2080s-and-2083s)?_g=(refreshInterval:(display:Off,pause:!f,section:0,value:0),time:(from:'2017-12-18T13:24:26-0700',mode:absolute,to:'2017-12-18T16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247" t="str">
        <f>IF(AA95&lt;VLOOKUP(AG95,Variables!$AC$3:$AD$8,2,FALSE),"Y","N")</f>
        <v>N</v>
      </c>
      <c r="X95" s="247">
        <f t="shared" si="39"/>
        <v>1</v>
      </c>
      <c r="Y95" s="247">
        <f t="shared" si="53"/>
        <v>23.296099999999999</v>
      </c>
      <c r="Z95" s="247">
        <f t="shared" si="50"/>
        <v>2.18E-2</v>
      </c>
      <c r="AA95" s="247">
        <f t="shared" si="40"/>
        <v>23.2743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41"/>
        <v>182</v>
      </c>
      <c r="AE95" s="235" t="str">
        <f t="shared" si="42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95" s="234" t="str">
        <f t="shared" si="43"/>
        <v>"C:\Program Files (x86)\AstroGrep\AstroGrep.exe" /e /r /s /spath="%USERPROFILE%\AppData\Local\Temp\OnboardLogs" /stypes="app*4051*20171218*" /stext=" 22:.+((SYSTEM_STATE.+slice.+state.+changed )|(ment ac)|(multiple cpu faults)|(system.+state.+changed )|(\[timeout)|(PRM\|1\|D)|(kpr)|(kdp)|(train st.+moving)|(\|lc)|(penalty))"</v>
      </c>
      <c r="AG95" s="244" t="str">
        <f t="shared" si="44"/>
        <v>EC</v>
      </c>
      <c r="AH95" s="236" t="str">
        <f t="shared" si="45"/>
        <v>"%USERPROFILE%\Documents\GitHub\eaglep3\Utilities\RefineRTDCRunTimes.py" --tripid 182-18 --locoid 4051 --swversion DE.1.0.9.0 --startMP 204:232961 --initTime 2017-12-18T14:24:26 --startdatetime 2017-12-18T14:42:16 --delay 60 --endMP 204:218 --enddatetime 2017-12-18T15:19:28 --enforcementcount 0 &gt;&gt;%USERPROFILE%\Documents\GitHub\eaglep3-reporting\EC\2017-12-18-refined-times.txt</v>
      </c>
      <c r="AI9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{"issue":{"subject":"","project_id":79,"tracker_id":40,"status_id":1,"priority_id":2,"assigned_to_id":338,"start_date":"2017-12-18","description":"","custom_fields":[{"id":1,"name":"Subdivision","value":"EC"},{"id":4,"name":"Milepost","value":"0.0218"},{"id":17,"name":"Train ID","value":"182-18"},{"id":16,"name":"Locomotive ID","value":"4051"},{"id":130,"name":"Impact","value":""},{"id":150,"name":"Time of Event (Mountain Time)","value":"15:19:28"},{"id":151,"name":"Denver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7"/>
        <v>start /low /b %USERPROFILE%\Documents\GitHub\eaglep3\Utilities\DownloadLogsFromS3.py --loco 4051 --day 2017-12-18</v>
      </c>
      <c r="AN95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9"/>
        <v>https://d0f6bd738d7f1b3e5a7ca70fe4ff75f0.us-east-1.aws.found.io/app/kibana#/discover/Steve-Slow-Train-Analysis-(2080s-and-2083s)?_g=(refreshInterval:(display:Off,pause:!f,section:0,value:0),time:(from:'2017-12-18T13:24:26-0700',mode:absolute,to:'2017-12-18T16:19:28-0700'))&amp;_a=(columns:!('Message%20ID',Summary),filters:!(),index:'emp_*',interval:auto,query:(query_string:(analyze_wildcard:!t,query:'%22rtdc.l.rtdc.4051%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790</v>
      </c>
      <c r="B96" s="225">
        <v>4050</v>
      </c>
      <c r="C96" s="227" t="s">
        <v>192</v>
      </c>
      <c r="D96" s="227" t="s">
        <v>569</v>
      </c>
      <c r="E96" s="226">
        <v>43087.579745370371</v>
      </c>
      <c r="F96" s="226">
        <v>43087.58353009259</v>
      </c>
      <c r="G96" s="225">
        <v>105</v>
      </c>
      <c r="H96" s="227" t="s">
        <v>946</v>
      </c>
      <c r="I96" s="226">
        <v>43087.607939814814</v>
      </c>
      <c r="J96" s="225">
        <v>0</v>
      </c>
      <c r="K96" s="237" t="str">
        <f t="shared" si="35"/>
        <v>4049/4050</v>
      </c>
      <c r="L96" s="245" t="str">
        <f>VLOOKUP(A96,'Trips&amp;Operators'!$C$1:$G$99911,5,FALSE)</f>
        <v>SAFIEF AEIMEN</v>
      </c>
      <c r="M96" s="224">
        <f t="shared" si="36"/>
        <v>2.4409722223936114E-2</v>
      </c>
      <c r="N96" s="225">
        <f t="shared" si="51"/>
        <v>35.150000002468005</v>
      </c>
      <c r="O96" s="225"/>
      <c r="P96" s="225"/>
      <c r="Q96" s="228"/>
      <c r="R96" s="242"/>
      <c r="S96" s="249">
        <f t="shared" si="52"/>
        <v>1</v>
      </c>
      <c r="T96" s="242" t="str">
        <f t="shared" si="37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8"/>
        <v>https://d0f6bd738d7f1b3e5a7ca70fe4ff75f0.us-east-1.aws.found.io/app/kibana#/discover/Steve-Slow-Train-Analysis-(2080s-and-2083s)?_g=(refreshInterval:(display:Off,pause:!f,section:0,value:0),time:(from:'2017-12-18T12:54:50-0700',mode:absolute,to:'2017-12-18T15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6" s="247" t="str">
        <f>IF(AA96&lt;VLOOKUP(AG96,Variables!$AC$3:$AD$8,2,FALSE),"Y","N")</f>
        <v>N</v>
      </c>
      <c r="X96" s="247">
        <f t="shared" si="39"/>
        <v>1</v>
      </c>
      <c r="Y96" s="247">
        <f t="shared" si="53"/>
        <v>4.82E-2</v>
      </c>
      <c r="Z96" s="247">
        <f t="shared" si="50"/>
        <v>23.328299999999999</v>
      </c>
      <c r="AA96" s="247">
        <f t="shared" si="40"/>
        <v>23.280099999999997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41"/>
        <v>183</v>
      </c>
      <c r="AE96" s="235" t="str">
        <f t="shared" si="42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96" s="234" t="str">
        <f t="shared" si="43"/>
        <v>"C:\Program Files (x86)\AstroGrep\AstroGrep.exe" /e /r /s /spath="%USERPROFILE%\AppData\Local\Temp\OnboardLogs" /stypes="app*4050*20171218*" /stext=" 21:.+((SYSTEM_STATE.+slice.+state.+changed )|(ment ac)|(multiple cpu faults)|(system.+state.+changed )|(\[timeout)|(PRM\|1\|D)|(kpr)|(kdp)|(train st.+moving)|(\|lc)|(penalty))"</v>
      </c>
      <c r="AG96" s="244" t="str">
        <f t="shared" si="44"/>
        <v>EC</v>
      </c>
      <c r="AH96" s="236" t="str">
        <f t="shared" si="45"/>
        <v>"%USERPROFILE%\Documents\GitHub\eaglep3\Utilities\RefineRTDCRunTimes.py" --tripid 183-18 --locoid 4050 --swversion DE.1.0.9.0 --startMP 204:482 --initTime 2017-12-18T13:54:50 --startdatetime 2017-12-18T14:00:17 --delay 105 --endMP 204:233283 --enddatetime 2017-12-18T14:35:26 --enforcementcount 0 &gt;&gt;%USERPROFILE%\Documents\GitHub\eaglep3-reporting\EC\2017-12-18-refined-times.txt</v>
      </c>
      <c r="AI9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{"issue":{"subject":"","project_id":79,"tracker_id":40,"status_id":1,"priority_id":2,"assigned_to_id":338,"start_date":"2017-12-18","description":"","custom_fields":[{"id":1,"name":"Subdivision","value":"EC"},{"id":4,"name":"Milepost","value":"23.3283"},{"id":17,"name":"Train ID","value":"183-18"},{"id":16,"name":"Locomotive ID","value":"4050"},{"id":130,"name":"Impact","value":""},{"id":150,"name":"Time of Event (Mountain Time)","value":"14:35:26"},{"id":151,"name":"Denver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7"/>
        <v>start /low /b %USERPROFILE%\Documents\GitHub\eaglep3\Utilities\DownloadLogsFromS3.py --loco 4050 --day 2017-12-18</v>
      </c>
      <c r="AN96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9"/>
        <v>https://d0f6bd738d7f1b3e5a7ca70fe4ff75f0.us-east-1.aws.found.io/app/kibana#/discover/Steve-Slow-Train-Analysis-(2080s-and-2083s)?_g=(refreshInterval:(display:Off,pause:!f,section:0,value:0),time:(from:'2017-12-18T12:54:50-0700',mode:absolute,to:'2017-12-18T15:35:26-0700'))&amp;_a=(columns:!('Message%20ID',Summary),filters:!(),index:'emp_*',interval:auto,query:(query_string:(analyze_wildcard:!t,query:'%22rtdc.l.rtdc.4050%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798</v>
      </c>
      <c r="B97" s="225">
        <v>4049</v>
      </c>
      <c r="C97" s="227" t="s">
        <v>192</v>
      </c>
      <c r="D97" s="227" t="s">
        <v>947</v>
      </c>
      <c r="E97" s="226">
        <v>43087.609560185185</v>
      </c>
      <c r="F97" s="226">
        <v>43087.623090277775</v>
      </c>
      <c r="G97" s="225">
        <v>60</v>
      </c>
      <c r="H97" s="227" t="s">
        <v>637</v>
      </c>
      <c r="I97" s="226">
        <v>43087.649074074077</v>
      </c>
      <c r="J97" s="225">
        <v>0</v>
      </c>
      <c r="K97" s="237" t="str">
        <f t="shared" si="35"/>
        <v>4049/4050</v>
      </c>
      <c r="L97" s="245" t="str">
        <f>VLOOKUP(A97,'Trips&amp;Operators'!$C$1:$G$99911,5,FALSE)</f>
        <v>SAFIEF AEIMEN</v>
      </c>
      <c r="M97" s="224">
        <f t="shared" si="36"/>
        <v>2.5983796302170958E-2</v>
      </c>
      <c r="N97" s="225">
        <f t="shared" si="51"/>
        <v>37.41666667512618</v>
      </c>
      <c r="O97" s="225"/>
      <c r="P97" s="225"/>
      <c r="Q97" s="228"/>
      <c r="R97" s="242"/>
      <c r="S97" s="249">
        <f t="shared" si="52"/>
        <v>1</v>
      </c>
      <c r="T97" s="242" t="str">
        <f t="shared" si="37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8"/>
        <v>https://d0f6bd738d7f1b3e5a7ca70fe4ff75f0.us-east-1.aws.found.io/app/kibana#/discover/Steve-Slow-Train-Analysis-(2080s-and-2083s)?_g=(refreshInterval:(display:Off,pause:!f,section:0,value:0),time:(from:'2017-12-18T13:37:46-0700',mode:absolute,to:'2017-12-18T16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7" s="247" t="str">
        <f>IF(AA97&lt;VLOOKUP(AG97,Variables!$AC$3:$AD$8,2,FALSE),"Y","N")</f>
        <v>N</v>
      </c>
      <c r="X97" s="247">
        <f t="shared" si="39"/>
        <v>1</v>
      </c>
      <c r="Y97" s="247">
        <f t="shared" si="53"/>
        <v>23.2942</v>
      </c>
      <c r="Z97" s="247">
        <f t="shared" si="50"/>
        <v>1.7999999999999999E-2</v>
      </c>
      <c r="AA97" s="247">
        <f t="shared" si="40"/>
        <v>23.276199999999999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41"/>
        <v>184</v>
      </c>
      <c r="AE97" s="235" t="str">
        <f t="shared" si="42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97" s="234" t="str">
        <f t="shared" si="43"/>
        <v>"C:\Program Files (x86)\AstroGrep\AstroGrep.exe" /e /r /s /spath="%USERPROFILE%\AppData\Local\Temp\OnboardLogs" /stypes="app*4049*20171218*" /stext=" 22:.+((SYSTEM_STATE.+slice.+state.+changed )|(ment ac)|(multiple cpu faults)|(system.+state.+changed )|(\[timeout)|(PRM\|1\|D)|(kpr)|(kdp)|(train st.+moving)|(\|lc)|(penalty))"</v>
      </c>
      <c r="AG97" s="244" t="str">
        <f t="shared" si="44"/>
        <v>EC</v>
      </c>
      <c r="AH97" s="236" t="str">
        <f t="shared" si="45"/>
        <v>"%USERPROFILE%\Documents\GitHub\eaglep3\Utilities\RefineRTDCRunTimes.py" --tripid 184-18 --locoid 4049 --swversion DE.1.0.9.0 --startMP 204:232942 --initTime 2017-12-18T14:37:46 --startdatetime 2017-12-18T14:57:15 --delay 60 --endMP 204:180 --enddatetime 2017-12-18T15:34:40 --enforcementcount 0 &gt;&gt;%USERPROFILE%\Documents\GitHub\eaglep3-reporting\EC\2017-12-18-refined-times.txt</v>
      </c>
      <c r="AI97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{"issue":{"subject":"","project_id":79,"tracker_id":40,"status_id":1,"priority_id":2,"assigned_to_id":338,"start_date":"2017-12-18","description":"","custom_fields":[{"id":1,"name":"Subdivision","value":"EC"},{"id":4,"name":"Milepost","value":"0.018"},{"id":17,"name":"Train ID","value":"184-18"},{"id":16,"name":"Locomotive ID","value":"4049"},{"id":130,"name":"Impact","value":""},{"id":150,"name":"Time of Event (Mountain Time)","value":"15:34:40"},{"id":151,"name":"Denver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7"/>
        <v>start /low /b %USERPROFILE%\Documents\GitHub\eaglep3\Utilities\DownloadLogsFromS3.py --loco 4049 --day 2017-12-18</v>
      </c>
      <c r="AN97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9"/>
        <v>https://d0f6bd738d7f1b3e5a7ca70fe4ff75f0.us-east-1.aws.found.io/app/kibana#/discover/Steve-Slow-Train-Analysis-(2080s-and-2083s)?_g=(refreshInterval:(display:Off,pause:!f,section:0,value:0),time:(from:'2017-12-18T13:37:46-0700',mode:absolute,to:'2017-12-18T16:34:40-0700'))&amp;_a=(columns:!('Message%20ID',Summary),filters:!(),index:'emp_*',interval:auto,query:(query_string:(analyze_wildcard:!t,query:'%22rtdc.l.rtdc.4049%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793</v>
      </c>
      <c r="B98" s="225">
        <v>4016</v>
      </c>
      <c r="C98" s="227" t="s">
        <v>192</v>
      </c>
      <c r="D98" s="227" t="s">
        <v>583</v>
      </c>
      <c r="E98" s="226">
        <v>43087.59103009259</v>
      </c>
      <c r="F98" s="226">
        <v>43087.594398148147</v>
      </c>
      <c r="G98" s="225">
        <v>59</v>
      </c>
      <c r="H98" s="227" t="s">
        <v>617</v>
      </c>
      <c r="I98" s="226">
        <v>43087.619884259257</v>
      </c>
      <c r="J98" s="225">
        <v>0</v>
      </c>
      <c r="K98" s="237" t="str">
        <f t="shared" si="35"/>
        <v>4015/4016</v>
      </c>
      <c r="L98" s="245" t="str">
        <f>VLOOKUP(A98,'Trips&amp;Operators'!$C$1:$G$99911,5,FALSE)</f>
        <v>BADERTSCHER DIANE</v>
      </c>
      <c r="M98" s="224">
        <f t="shared" si="36"/>
        <v>2.548611110978527E-2</v>
      </c>
      <c r="N98" s="225">
        <f t="shared" si="51"/>
        <v>36.699999998090789</v>
      </c>
      <c r="O98" s="225"/>
      <c r="P98" s="225"/>
      <c r="Q98" s="228"/>
      <c r="R98" s="242"/>
      <c r="S98" s="249">
        <f t="shared" si="52"/>
        <v>1</v>
      </c>
      <c r="T98" s="242" t="str">
        <f t="shared" si="37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8"/>
        <v>https://d0f6bd738d7f1b3e5a7ca70fe4ff75f0.us-east-1.aws.found.io/app/kibana#/discover/Steve-Slow-Train-Analysis-(2080s-and-2083s)?_g=(refreshInterval:(display:Off,pause:!f,section:0,value:0),time:(from:'2017-12-18T13:11:05-0700',mode:absolute,to:'2017-12-18T15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247" t="str">
        <f>IF(AA98&lt;VLOOKUP(AG98,Variables!$AC$3:$AD$8,2,FALSE),"Y","N")</f>
        <v>N</v>
      </c>
      <c r="X98" s="247">
        <f t="shared" si="39"/>
        <v>1</v>
      </c>
      <c r="Y98" s="247">
        <f t="shared" si="53"/>
        <v>5.5100000000000003E-2</v>
      </c>
      <c r="Z98" s="247">
        <f t="shared" si="50"/>
        <v>23.327400000000001</v>
      </c>
      <c r="AA98" s="247">
        <f t="shared" si="40"/>
        <v>23.272300000000001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41"/>
        <v>185</v>
      </c>
      <c r="AE98" s="235" t="str">
        <f t="shared" si="42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98" s="234" t="str">
        <f t="shared" si="43"/>
        <v>"C:\Program Files (x86)\AstroGrep\AstroGrep.exe" /e /r /s /spath="%USERPROFILE%\AppData\Local\Temp\OnboardLogs" /stypes="app*4016*20171218*" /stext=" 21:.+((SYSTEM_STATE.+slice.+state.+changed )|(ment ac)|(multiple cpu faults)|(system.+state.+changed )|(\[timeout)|(PRM\|1\|D)|(kpr)|(kdp)|(train st.+moving)|(\|lc)|(penalty))"</v>
      </c>
      <c r="AG98" s="244" t="str">
        <f t="shared" si="44"/>
        <v>EC</v>
      </c>
      <c r="AH98" s="236" t="str">
        <f t="shared" si="45"/>
        <v>"%USERPROFILE%\Documents\GitHub\eaglep3\Utilities\RefineRTDCRunTimes.py" --tripid 185-18 --locoid 4016 --swversion DE.1.0.9.0 --startMP 204:551 --initTime 2017-12-18T14:11:05 --startdatetime 2017-12-18T14:15:56 --delay 59 --endMP 204:233274 --enddatetime 2017-12-18T14:52:38 --enforcementcount 0 &gt;&gt;%USERPROFILE%\Documents\GitHub\eaglep3-reporting\EC\2017-12-18-refined-times.txt</v>
      </c>
      <c r="AI9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{"issue":{"subject":"","project_id":79,"tracker_id":40,"status_id":1,"priority_id":2,"assigned_to_id":338,"start_date":"2017-12-18","description":"","custom_fields":[{"id":1,"name":"Subdivision","value":"EC"},{"id":4,"name":"Milepost","value":"23.3274"},{"id":17,"name":"Train ID","value":"185-18"},{"id":16,"name":"Locomotive ID","value":"4016"},{"id":130,"name":"Impact","value":""},{"id":150,"name":"Time of Event (Mountain Time)","value":"14:52:38"},{"id":151,"name":"Denver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7"/>
        <v>start /low /b %USERPROFILE%\Documents\GitHub\eaglep3\Utilities\DownloadLogsFromS3.py --loco 4016 --day 2017-12-18</v>
      </c>
      <c r="AN98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9"/>
        <v>https://d0f6bd738d7f1b3e5a7ca70fe4ff75f0.us-east-1.aws.found.io/app/kibana#/discover/Steve-Slow-Train-Analysis-(2080s-and-2083s)?_g=(refreshInterval:(display:Off,pause:!f,section:0,value:0),time:(from:'2017-12-18T13:11:05-0700',mode:absolute,to:'2017-12-18T15:52:38-0700'))&amp;_a=(columns:!('Message%20ID',Summary),filters:!(),index:'emp_*',interval:auto,query:(query_string:(analyze_wildcard:!t,query:'%22rtdc.l.rtdc.4016%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801</v>
      </c>
      <c r="B99" s="225">
        <v>4015</v>
      </c>
      <c r="C99" s="227" t="s">
        <v>192</v>
      </c>
      <c r="D99" s="227" t="s">
        <v>611</v>
      </c>
      <c r="E99" s="226">
        <v>43087.626481481479</v>
      </c>
      <c r="F99" s="226">
        <v>43087.63349537037</v>
      </c>
      <c r="G99" s="225">
        <v>59</v>
      </c>
      <c r="H99" s="227" t="s">
        <v>540</v>
      </c>
      <c r="I99" s="226">
        <v>43087.660856481481</v>
      </c>
      <c r="J99" s="225">
        <v>0</v>
      </c>
      <c r="K99" s="237" t="str">
        <f t="shared" si="35"/>
        <v>4015/4016</v>
      </c>
      <c r="L99" s="245" t="str">
        <f>VLOOKUP(A99,'Trips&amp;Operators'!$C$1:$G$99911,5,FALSE)</f>
        <v>BADERTSCHER DIANE</v>
      </c>
      <c r="M99" s="224">
        <f t="shared" si="36"/>
        <v>2.73611111115315E-2</v>
      </c>
      <c r="N99" s="225">
        <f t="shared" si="51"/>
        <v>39.40000000060536</v>
      </c>
      <c r="O99" s="225"/>
      <c r="P99" s="225"/>
      <c r="Q99" s="228"/>
      <c r="R99" s="242"/>
      <c r="S99" s="249">
        <f t="shared" si="52"/>
        <v>1</v>
      </c>
      <c r="T99" s="242" t="str">
        <f t="shared" si="37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8"/>
        <v>https://d0f6bd738d7f1b3e5a7ca70fe4ff75f0.us-east-1.aws.found.io/app/kibana#/discover/Steve-Slow-Train-Analysis-(2080s-and-2083s)?_g=(refreshInterval:(display:Off,pause:!f,section:0,value:0),time:(from:'2017-12-18T14:02:08-0700',mode:absolute,to:'2017-12-18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247" t="str">
        <f>IF(AA99&lt;VLOOKUP(AG99,Variables!$AC$3:$AD$8,2,FALSE),"Y","N")</f>
        <v>N</v>
      </c>
      <c r="X99" s="247">
        <f t="shared" si="39"/>
        <v>1</v>
      </c>
      <c r="Y99" s="247">
        <f t="shared" si="53"/>
        <v>23.295000000000002</v>
      </c>
      <c r="Z99" s="247">
        <f t="shared" si="50"/>
        <v>1.9800000000000002E-2</v>
      </c>
      <c r="AA99" s="247">
        <f t="shared" si="40"/>
        <v>23.275200000000002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41"/>
        <v>186</v>
      </c>
      <c r="AE99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99" s="234" t="str">
        <f t="shared" si="43"/>
        <v>"C:\Program Files (x86)\AstroGrep\AstroGrep.exe" /e /r /s /spath="%USERPROFILE%\AppData\Local\Temp\OnboardLogs" /stypes="app*4015*20171218*" /stext=" 22:.+((SYSTEM_STATE.+slice.+state.+changed )|(ment ac)|(multiple cpu faults)|(system.+state.+changed )|(\[timeout)|(PRM\|1\|D)|(kpr)|(kdp)|(train st.+moving)|(\|lc)|(penalty))"</v>
      </c>
      <c r="AG99" s="244" t="str">
        <f t="shared" si="44"/>
        <v>EC</v>
      </c>
      <c r="AH99" s="236" t="str">
        <f t="shared" si="45"/>
        <v>"%USERPROFILE%\Documents\GitHub\eaglep3\Utilities\RefineRTDCRunTimes.py" --tripid 186-18 --locoid 4015 --swversion DE.1.0.9.0 --startMP 204:232950 --initTime 2017-12-18T15:02:08 --startdatetime 2017-12-18T15:12:14 --delay 59 --endMP 204:198 --enddatetime 2017-12-18T15:51:38 --enforcementcount 0 &gt;&gt;%USERPROFILE%\Documents\GitHub\eaglep3-reporting\EC\2017-12-18-refined-times.txt</v>
      </c>
      <c r="AI9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{"issue":{"subject":"","project_id":79,"tracker_id":40,"status_id":1,"priority_id":2,"assigned_to_id":338,"start_date":"2017-12-18","description":"","custom_fields":[{"id":1,"name":"Subdivision","value":"EC"},{"id":4,"name":"Milepost","value":"0.0198"},{"id":17,"name":"Train ID","value":"186-18"},{"id":16,"name":"Locomotive ID","value":"4015"},{"id":130,"name":"Impact","value":""},{"id":150,"name":"Time of Event (Mountain Time)","value":"15:51:38"},{"id":151,"name":"Denver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7"/>
        <v>start /low /b %USERPROFILE%\Documents\GitHub\eaglep3\Utilities\DownloadLogsFromS3.py --loco 4015 --day 2017-12-18</v>
      </c>
      <c r="AN99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9"/>
        <v>https://d0f6bd738d7f1b3e5a7ca70fe4ff75f0.us-east-1.aws.found.io/app/kibana#/discover/Steve-Slow-Train-Analysis-(2080s-and-2083s)?_g=(refreshInterval:(display:Off,pause:!f,section:0,value:0),time:(from:'2017-12-18T14:02:08-0700',mode:absolute,to:'2017-12-18T16:51:38-0700'))&amp;_a=(columns:!('Message%20ID',Summary),filters:!(),index:'emp_*',interval:auto,query:(query_string:(analyze_wildcard:!t,query:'%22rtdc.l.rtdc.4015%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795</v>
      </c>
      <c r="B100" s="225">
        <v>4026</v>
      </c>
      <c r="C100" s="227" t="s">
        <v>192</v>
      </c>
      <c r="D100" s="227" t="s">
        <v>948</v>
      </c>
      <c r="E100" s="226">
        <v>43087.599074074074</v>
      </c>
      <c r="F100" s="226">
        <v>43087.604398148149</v>
      </c>
      <c r="G100" s="225">
        <v>66</v>
      </c>
      <c r="H100" s="227" t="s">
        <v>641</v>
      </c>
      <c r="I100" s="226">
        <v>43087.62945601852</v>
      </c>
      <c r="J100" s="225">
        <v>0</v>
      </c>
      <c r="K100" s="237" t="str">
        <f t="shared" si="35"/>
        <v>4025/4026</v>
      </c>
      <c r="L100" s="245" t="str">
        <f>VLOOKUP(A100,'Trips&amp;Operators'!$C$1:$G$99911,5,FALSE)</f>
        <v>SMITH MICHAEL</v>
      </c>
      <c r="M100" s="224">
        <f t="shared" si="36"/>
        <v>2.5057870370801538E-2</v>
      </c>
      <c r="N100" s="225">
        <f t="shared" si="51"/>
        <v>36.083333333954215</v>
      </c>
      <c r="O100" s="225"/>
      <c r="P100" s="225"/>
      <c r="Q100" s="228"/>
      <c r="R100" s="242"/>
      <c r="S100" s="249">
        <f t="shared" si="52"/>
        <v>1</v>
      </c>
      <c r="T100" s="242" t="str">
        <f t="shared" si="37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8"/>
        <v>https://d0f6bd738d7f1b3e5a7ca70fe4ff75f0.us-east-1.aws.found.io/app/kibana#/discover/Steve-Slow-Train-Analysis-(2080s-and-2083s)?_g=(refreshInterval:(display:Off,pause:!f,section:0,value:0),time:(from:'2017-12-18T13:22:40-0700',mode:absolute,to:'2017-12-18T16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247" t="str">
        <f>IF(AA100&lt;VLOOKUP(AG100,Variables!$AC$3:$AD$8,2,FALSE),"Y","N")</f>
        <v>N</v>
      </c>
      <c r="X100" s="247">
        <f t="shared" si="39"/>
        <v>1</v>
      </c>
      <c r="Y100" s="247">
        <f t="shared" si="53"/>
        <v>5.62E-2</v>
      </c>
      <c r="Z100" s="247">
        <f t="shared" si="50"/>
        <v>23.3215</v>
      </c>
      <c r="AA100" s="247">
        <f t="shared" si="40"/>
        <v>23.2653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41"/>
        <v>187</v>
      </c>
      <c r="AE100" s="235" t="str">
        <f t="shared" si="42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100" s="234" t="str">
        <f t="shared" si="43"/>
        <v>"C:\Program Files (x86)\AstroGrep\AstroGrep.exe" /e /r /s /spath="%USERPROFILE%\AppData\Local\Temp\OnboardLogs" /stypes="app*4026*20171218*" /stext=" 22:.+((SYSTEM_STATE.+slice.+state.+changed )|(ment ac)|(multiple cpu faults)|(system.+state.+changed )|(\[timeout)|(PRM\|1\|D)|(kpr)|(kdp)|(train st.+moving)|(\|lc)|(penalty))"</v>
      </c>
      <c r="AG100" s="244" t="str">
        <f t="shared" si="44"/>
        <v>EC</v>
      </c>
      <c r="AH100" s="236" t="str">
        <f t="shared" si="45"/>
        <v>"%USERPROFILE%\Documents\GitHub\eaglep3\Utilities\RefineRTDCRunTimes.py" --tripid 187-18 --locoid 4026 --swversion DE.1.0.9.0 --startMP 204:562 --initTime 2017-12-18T14:22:40 --startdatetime 2017-12-18T14:30:20 --delay 66 --endMP 204:233215 --enddatetime 2017-12-18T15:06:25 --enforcementcount 0 &gt;&gt;%USERPROFILE%\Documents\GitHub\eaglep3-reporting\EC\2017-12-18-refined-times.txt</v>
      </c>
      <c r="AI10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{"issue":{"subject":"","project_id":79,"tracker_id":40,"status_id":1,"priority_id":2,"assigned_to_id":338,"start_date":"2017-12-18","description":"","custom_fields":[{"id":1,"name":"Subdivision","value":"EC"},{"id":4,"name":"Milepost","value":"23.3215"},{"id":17,"name":"Train ID","value":"187-18"},{"id":16,"name":"Locomotive ID","value":"4026"},{"id":130,"name":"Impact","value":""},{"id":150,"name":"Time of Event (Mountain Time)","value":"15:06:25"},{"id":151,"name":"Denver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7"/>
        <v>start /low /b %USERPROFILE%\Documents\GitHub\eaglep3\Utilities\DownloadLogsFromS3.py --loco 4026 --day 2017-12-18</v>
      </c>
      <c r="AN100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9"/>
        <v>https://d0f6bd738d7f1b3e5a7ca70fe4ff75f0.us-east-1.aws.found.io/app/kibana#/discover/Steve-Slow-Train-Analysis-(2080s-and-2083s)?_g=(refreshInterval:(display:Off,pause:!f,section:0,value:0),time:(from:'2017-12-18T13:22:40-0700',mode:absolute,to:'2017-12-18T16:06:25-0700'))&amp;_a=(columns:!('Message%20ID',Summary),filters:!(),index:'emp_*',interval:auto,query:(query_string:(analyze_wildcard:!t,query:'%22rtdc.l.rtdc.4026%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805</v>
      </c>
      <c r="B101" s="225">
        <v>4025</v>
      </c>
      <c r="C101" s="227" t="s">
        <v>192</v>
      </c>
      <c r="D101" s="227" t="s">
        <v>574</v>
      </c>
      <c r="E101" s="226">
        <v>43087.637812499997</v>
      </c>
      <c r="F101" s="226">
        <v>43087.643958333334</v>
      </c>
      <c r="G101" s="225">
        <v>58</v>
      </c>
      <c r="H101" s="227" t="s">
        <v>942</v>
      </c>
      <c r="I101" s="226">
        <v>43087.670046296298</v>
      </c>
      <c r="J101" s="225">
        <v>0</v>
      </c>
      <c r="K101" s="237" t="str">
        <f t="shared" si="35"/>
        <v>4025/4026</v>
      </c>
      <c r="L101" s="245" t="str">
        <f>VLOOKUP(A101,'Trips&amp;Operators'!$C$1:$G$99911,5,FALSE)</f>
        <v>SMITH MICHAEL</v>
      </c>
      <c r="M101" s="224">
        <f t="shared" si="36"/>
        <v>2.6087962964083999E-2</v>
      </c>
      <c r="N101" s="225">
        <f t="shared" si="51"/>
        <v>37.566666668280959</v>
      </c>
      <c r="O101" s="225"/>
      <c r="P101" s="225"/>
      <c r="Q101" s="228"/>
      <c r="R101" s="242"/>
      <c r="S101" s="249">
        <f t="shared" si="52"/>
        <v>1</v>
      </c>
      <c r="T101" s="242" t="str">
        <f t="shared" si="37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8"/>
        <v>https://d0f6bd738d7f1b3e5a7ca70fe4ff75f0.us-east-1.aws.found.io/app/kibana#/discover/Steve-Slow-Train-Analysis-(2080s-and-2083s)?_g=(refreshInterval:(display:Off,pause:!f,section:0,value:0),time:(from:'2017-12-18T14:18:27-0700',mode:absolute,to:'2017-12-18T17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247" t="str">
        <f>IF(AA101&lt;VLOOKUP(AG101,Variables!$AC$3:$AD$8,2,FALSE),"Y","N")</f>
        <v>N</v>
      </c>
      <c r="X101" s="247">
        <f t="shared" si="39"/>
        <v>1</v>
      </c>
      <c r="Y101" s="247">
        <f t="shared" si="53"/>
        <v>23.289200000000001</v>
      </c>
      <c r="Z101" s="247">
        <f t="shared" si="50"/>
        <v>2.52E-2</v>
      </c>
      <c r="AA101" s="247">
        <f t="shared" si="40"/>
        <v>23.263999999999999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41"/>
        <v>188</v>
      </c>
      <c r="AE101" s="235" t="str">
        <f t="shared" si="42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101" s="234" t="str">
        <f t="shared" si="43"/>
        <v>"C:\Program Files (x86)\AstroGrep\AstroGrep.exe" /e /r /s /spath="%USERPROFILE%\AppData\Local\Temp\OnboardLogs" /stypes="app*4025*20171218*" /stext=" 23:.+((SYSTEM_STATE.+slice.+state.+changed )|(ment ac)|(multiple cpu faults)|(system.+state.+changed )|(\[timeout)|(PRM\|1\|D)|(kpr)|(kdp)|(train st.+moving)|(\|lc)|(penalty))"</v>
      </c>
      <c r="AG101" s="244" t="str">
        <f t="shared" si="44"/>
        <v>EC</v>
      </c>
      <c r="AH101" s="236" t="str">
        <f t="shared" si="45"/>
        <v>"%USERPROFILE%\Documents\GitHub\eaglep3\Utilities\RefineRTDCRunTimes.py" --tripid 188-18 --locoid 4025 --swversion DE.1.0.9.0 --startMP 204:232892 --initTime 2017-12-18T15:18:27 --startdatetime 2017-12-18T15:27:18 --delay 58 --endMP 204:252 --enddatetime 2017-12-18T16:04:52 --enforcementcount 0 &gt;&gt;%USERPROFILE%\Documents\GitHub\eaglep3-reporting\EC\2017-12-18-refined-times.txt</v>
      </c>
      <c r="AI10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{"issue":{"subject":"","project_id":79,"tracker_id":40,"status_id":1,"priority_id":2,"assigned_to_id":338,"start_date":"2017-12-18","description":"","custom_fields":[{"id":1,"name":"Subdivision","value":"EC"},{"id":4,"name":"Milepost","value":"0.0252"},{"id":17,"name":"Train ID","value":"188-18"},{"id":16,"name":"Locomotive ID","value":"4025"},{"id":130,"name":"Impact","value":""},{"id":150,"name":"Time of Event (Mountain Time)","value":"16:04:52"},{"id":151,"name":"Denver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7"/>
        <v>start /low /b %USERPROFILE%\Documents\GitHub\eaglep3\Utilities\DownloadLogsFromS3.py --loco 4025 --day 2017-12-18</v>
      </c>
      <c r="AN101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9"/>
        <v>https://d0f6bd738d7f1b3e5a7ca70fe4ff75f0.us-east-1.aws.found.io/app/kibana#/discover/Steve-Slow-Train-Analysis-(2080s-and-2083s)?_g=(refreshInterval:(display:Off,pause:!f,section:0,value:0),time:(from:'2017-12-18T14:18:27-0700',mode:absolute,to:'2017-12-18T17:04:52-0700'))&amp;_a=(columns:!('Message%20ID',Summary),filters:!(),index:'emp_*',interval:auto,query:(query_string:(analyze_wildcard:!t,query:'%22rtdc.l.rtdc.4025%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229" t="s">
        <v>799</v>
      </c>
      <c r="B102" s="225">
        <v>4010</v>
      </c>
      <c r="C102" s="227" t="s">
        <v>192</v>
      </c>
      <c r="D102" s="227" t="s">
        <v>633</v>
      </c>
      <c r="E102" s="226">
        <v>43087.612604166665</v>
      </c>
      <c r="F102" s="226">
        <v>43087.615081018521</v>
      </c>
      <c r="G102" s="225">
        <v>105</v>
      </c>
      <c r="H102" s="227" t="s">
        <v>949</v>
      </c>
      <c r="I102" s="226">
        <v>43087.641643518517</v>
      </c>
      <c r="J102" s="225">
        <v>0</v>
      </c>
      <c r="K102" s="237" t="str">
        <f t="shared" si="35"/>
        <v>4009/4010</v>
      </c>
      <c r="L102" s="245" t="str">
        <f>VLOOKUP(A102,'Trips&amp;Operators'!$C$1:$G$99911,5,FALSE)</f>
        <v>DAVIS MICHAEL</v>
      </c>
      <c r="M102" s="224">
        <f t="shared" si="36"/>
        <v>2.6562499995634425E-2</v>
      </c>
      <c r="N102" s="225">
        <f t="shared" si="51"/>
        <v>38.249999993713573</v>
      </c>
      <c r="O102" s="225"/>
      <c r="P102" s="225"/>
      <c r="Q102" s="228"/>
      <c r="R102" s="242"/>
      <c r="S102" s="249">
        <f t="shared" si="52"/>
        <v>1</v>
      </c>
      <c r="T102" s="242" t="str">
        <f t="shared" si="37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8"/>
        <v>https://d0f6bd738d7f1b3e5a7ca70fe4ff75f0.us-east-1.aws.found.io/app/kibana#/discover/Steve-Slow-Train-Analysis-(2080s-and-2083s)?_g=(refreshInterval:(display:Off,pause:!f,section:0,value:0),time:(from:'2017-12-18T13:42:09-0700',mode:absolute,to:'2017-12-18T16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247" t="str">
        <f>IF(AA102&lt;VLOOKUP(AG102,Variables!$AC$3:$AD$8,2,FALSE),"Y","N")</f>
        <v>N</v>
      </c>
      <c r="X102" s="247">
        <f t="shared" si="39"/>
        <v>1</v>
      </c>
      <c r="Y102" s="247">
        <f t="shared" si="53"/>
        <v>5.3999999999999999E-2</v>
      </c>
      <c r="Z102" s="247">
        <f t="shared" si="50"/>
        <v>23.3309</v>
      </c>
      <c r="AA102" s="247">
        <f t="shared" si="40"/>
        <v>23.276900000000001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41"/>
        <v>189</v>
      </c>
      <c r="AE102" s="235" t="str">
        <f t="shared" si="42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102" s="234" t="str">
        <f t="shared" si="43"/>
        <v>"C:\Program Files (x86)\AstroGrep\AstroGrep.exe" /e /r /s /spath="%USERPROFILE%\AppData\Local\Temp\OnboardLogs" /stypes="app*4010*20171218*" /stext=" 22:.+((SYSTEM_STATE.+slice.+state.+changed )|(ment ac)|(multiple cpu faults)|(system.+state.+changed )|(\[timeout)|(PRM\|1\|D)|(kpr)|(kdp)|(train st.+moving)|(\|lc)|(penalty))"</v>
      </c>
      <c r="AG102" s="244" t="str">
        <f t="shared" si="44"/>
        <v>EC</v>
      </c>
      <c r="AH102" s="236" t="str">
        <f t="shared" si="45"/>
        <v>"%USERPROFILE%\Documents\GitHub\eaglep3\Utilities\RefineRTDCRunTimes.py" --tripid 189-18 --locoid 4010 --swversion DE.1.0.9.0 --startMP 204:540 --initTime 2017-12-18T14:42:09 --startdatetime 2017-12-18T14:45:43 --delay 105 --endMP 204:233309 --enddatetime 2017-12-18T15:23:58 --enforcementcount 0 &gt;&gt;%USERPROFILE%\Documents\GitHub\eaglep3-reporting\EC\2017-12-18-refined-times.txt</v>
      </c>
      <c r="AI10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{"issue":{"subject":"","project_id":79,"tracker_id":40,"status_id":1,"priority_id":2,"assigned_to_id":338,"start_date":"2017-12-18","description":"","custom_fields":[{"id":1,"name":"Subdivision","value":"EC"},{"id":4,"name":"Milepost","value":"23.3309"},{"id":17,"name":"Train ID","value":"189-18"},{"id":16,"name":"Locomotive ID","value":"4010"},{"id":130,"name":"Impact","value":""},{"id":150,"name":"Time of Event (Mountain Time)","value":"15:23:58"},{"id":151,"name":"Denver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7"/>
        <v>start /low /b %USERPROFILE%\Documents\GitHub\eaglep3\Utilities\DownloadLogsFromS3.py --loco 4010 --day 2017-12-18</v>
      </c>
      <c r="AN102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9"/>
        <v>https://d0f6bd738d7f1b3e5a7ca70fe4ff75f0.us-east-1.aws.found.io/app/kibana#/discover/Steve-Slow-Train-Analysis-(2080s-and-2083s)?_g=(refreshInterval:(display:Off,pause:!f,section:0,value:0),time:(from:'2017-12-18T13:42:09-0700',mode:absolute,to:'2017-12-18T16:23:58-0700'))&amp;_a=(columns:!('Message%20ID',Summary),filters:!(),index:'emp_*',interval:auto,query:(query_string:(analyze_wildcard:!t,query:'%22rtdc.l.rtdc.4010%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809</v>
      </c>
      <c r="B103" s="225">
        <v>4009</v>
      </c>
      <c r="C103" s="227" t="s">
        <v>192</v>
      </c>
      <c r="D103" s="227" t="s">
        <v>912</v>
      </c>
      <c r="E103" s="226">
        <v>43087.650266203702</v>
      </c>
      <c r="F103" s="226">
        <v>43087.654502314814</v>
      </c>
      <c r="G103" s="225">
        <v>83</v>
      </c>
      <c r="H103" s="227" t="s">
        <v>903</v>
      </c>
      <c r="I103" s="226">
        <v>43087.682939814818</v>
      </c>
      <c r="J103" s="225">
        <v>0</v>
      </c>
      <c r="K103" s="237" t="str">
        <f t="shared" si="35"/>
        <v>4009/4010</v>
      </c>
      <c r="L103" s="245" t="str">
        <f>VLOOKUP(A103,'Trips&amp;Operators'!$C$1:$G$99911,5,FALSE)</f>
        <v>DAVIS MICHAEL</v>
      </c>
      <c r="M103" s="224">
        <f t="shared" si="36"/>
        <v>2.8437500004656613E-2</v>
      </c>
      <c r="N103" s="225">
        <f t="shared" si="51"/>
        <v>40.950000006705523</v>
      </c>
      <c r="O103" s="225"/>
      <c r="P103" s="225"/>
      <c r="Q103" s="228"/>
      <c r="R103" s="242"/>
      <c r="S103" s="249">
        <f t="shared" si="52"/>
        <v>1</v>
      </c>
      <c r="T103" s="242" t="str">
        <f t="shared" si="37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8"/>
        <v>https://d0f6bd738d7f1b3e5a7ca70fe4ff75f0.us-east-1.aws.found.io/app/kibana#/discover/Steve-Slow-Train-Analysis-(2080s-and-2083s)?_g=(refreshInterval:(display:Off,pause:!f,section:0,value:0),time:(from:'2017-12-18T14:36:23-0700',mode:absolute,to:'2017-12-18T17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247" t="str">
        <f>IF(AA103&lt;VLOOKUP(AG103,Variables!$AC$3:$AD$8,2,FALSE),"Y","N")</f>
        <v>N</v>
      </c>
      <c r="X103" s="247">
        <f t="shared" si="39"/>
        <v>1</v>
      </c>
      <c r="Y103" s="247">
        <f t="shared" si="53"/>
        <v>23.297699999999999</v>
      </c>
      <c r="Z103" s="247">
        <f t="shared" si="50"/>
        <v>2.1399999999999999E-2</v>
      </c>
      <c r="AA103" s="247">
        <f t="shared" si="40"/>
        <v>23.276299999999999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41"/>
        <v>190</v>
      </c>
      <c r="AE103" s="235" t="str">
        <f t="shared" si="42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103" s="234" t="str">
        <f t="shared" si="43"/>
        <v>"C:\Program Files (x86)\AstroGrep\AstroGrep.exe" /e /r /s /spath="%USERPROFILE%\AppData\Local\Temp\OnboardLogs" /stypes="app*4009*20171218*" /stext=" 23:.+((SYSTEM_STATE.+slice.+state.+changed )|(ment ac)|(multiple cpu faults)|(system.+state.+changed )|(\[timeout)|(PRM\|1\|D)|(kpr)|(kdp)|(train st.+moving)|(\|lc)|(penalty))"</v>
      </c>
      <c r="AG103" s="244" t="str">
        <f t="shared" si="44"/>
        <v>EC</v>
      </c>
      <c r="AH103" s="236" t="str">
        <f t="shared" si="45"/>
        <v>"%USERPROFILE%\Documents\GitHub\eaglep3\Utilities\RefineRTDCRunTimes.py" --tripid 190-18 --locoid 4009 --swversion DE.1.0.9.0 --startMP 204:232977 --initTime 2017-12-18T15:36:23 --startdatetime 2017-12-18T15:42:29 --delay 83 --endMP 204:214 --enddatetime 2017-12-18T16:23:26 --enforcementcount 0 &gt;&gt;%USERPROFILE%\Documents\GitHub\eaglep3-reporting\EC\2017-12-18-refined-times.txt</v>
      </c>
      <c r="AI10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{"issue":{"subject":"","project_id":79,"tracker_id":40,"status_id":1,"priority_id":2,"assigned_to_id":338,"start_date":"2017-12-18","description":"","custom_fields":[{"id":1,"name":"Subdivision","value":"EC"},{"id":4,"name":"Milepost","value":"0.0214"},{"id":17,"name":"Train ID","value":"190-18"},{"id":16,"name":"Locomotive ID","value":"4009"},{"id":130,"name":"Impact","value":""},{"id":150,"name":"Time of Event (Mountain Time)","value":"16:23:26"},{"id":151,"name":"Denver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7"/>
        <v>start /low /b %USERPROFILE%\Documents\GitHub\eaglep3\Utilities\DownloadLogsFromS3.py --loco 4009 --day 2017-12-18</v>
      </c>
      <c r="AN103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9"/>
        <v>https://d0f6bd738d7f1b3e5a7ca70fe4ff75f0.us-east-1.aws.found.io/app/kibana#/discover/Steve-Slow-Train-Analysis-(2080s-and-2083s)?_g=(refreshInterval:(display:Off,pause:!f,section:0,value:0),time:(from:'2017-12-18T14:36:23-0700',mode:absolute,to:'2017-12-18T17:23:26-0700'))&amp;_a=(columns:!('Message%20ID',Summary),filters:!(),index:'emp_*',interval:auto,query:(query_string:(analyze_wildcard:!t,query:'%22rtdc.l.rtdc.4009%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800</v>
      </c>
      <c r="B104" s="225">
        <v>4044</v>
      </c>
      <c r="C104" s="227" t="s">
        <v>192</v>
      </c>
      <c r="D104" s="227" t="s">
        <v>597</v>
      </c>
      <c r="E104" s="226">
        <v>43087.620023148149</v>
      </c>
      <c r="F104" s="226">
        <v>43087.6252662037</v>
      </c>
      <c r="G104" s="225">
        <v>62</v>
      </c>
      <c r="H104" s="227" t="s">
        <v>950</v>
      </c>
      <c r="I104" s="226">
        <v>43087.650011574071</v>
      </c>
      <c r="J104" s="225">
        <v>0</v>
      </c>
      <c r="K104" s="237" t="str">
        <f t="shared" si="35"/>
        <v>4043/4044</v>
      </c>
      <c r="L104" s="245" t="str">
        <f>VLOOKUP(A104,'Trips&amp;Operators'!$C$1:$G$99911,5,FALSE)</f>
        <v>STEWART MICHAEL</v>
      </c>
      <c r="M104" s="224">
        <f t="shared" si="36"/>
        <v>2.47453703705105E-2</v>
      </c>
      <c r="N104" s="225">
        <f t="shared" si="51"/>
        <v>35.63333333353512</v>
      </c>
      <c r="O104" s="225"/>
      <c r="P104" s="225"/>
      <c r="Q104" s="228"/>
      <c r="R104" s="242"/>
      <c r="S104" s="249">
        <f t="shared" si="52"/>
        <v>1</v>
      </c>
      <c r="T104" s="242" t="str">
        <f t="shared" si="37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8"/>
        <v>https://d0f6bd738d7f1b3e5a7ca70fe4ff75f0.us-east-1.aws.found.io/app/kibana#/discover/Steve-Slow-Train-Analysis-(2080s-and-2083s)?_g=(refreshInterval:(display:Off,pause:!f,section:0,value:0),time:(from:'2017-12-18T13:52:50-0700',mode:absolute,to:'2017-12-18T16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247" t="str">
        <f>IF(AA104&lt;VLOOKUP(AG104,Variables!$AC$3:$AD$8,2,FALSE),"Y","N")</f>
        <v>N</v>
      </c>
      <c r="X104" s="247">
        <f t="shared" si="39"/>
        <v>1</v>
      </c>
      <c r="Y104" s="247">
        <f t="shared" si="53"/>
        <v>4.9299999999999997E-2</v>
      </c>
      <c r="Z104" s="247">
        <f t="shared" si="50"/>
        <v>23.328099999999999</v>
      </c>
      <c r="AA104" s="247">
        <f t="shared" si="40"/>
        <v>23.2788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41"/>
        <v>191</v>
      </c>
      <c r="AE104" s="235" t="str">
        <f t="shared" si="42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04" s="234" t="str">
        <f t="shared" si="43"/>
        <v>"C:\Program Files (x86)\AstroGrep\AstroGrep.exe" /e /r /s /spath="%USERPROFILE%\AppData\Local\Temp\OnboardLogs" /stypes="app*4044*20171218*" /stext=" 22:.+((SYSTEM_STATE.+slice.+state.+changed )|(ment ac)|(multiple cpu faults)|(system.+state.+changed )|(\[timeout)|(PRM\|1\|D)|(kpr)|(kdp)|(train st.+moving)|(\|lc)|(penalty))"</v>
      </c>
      <c r="AG104" s="244" t="str">
        <f t="shared" si="44"/>
        <v>EC</v>
      </c>
      <c r="AH104" s="236" t="str">
        <f t="shared" si="45"/>
        <v>"%USERPROFILE%\Documents\GitHub\eaglep3\Utilities\RefineRTDCRunTimes.py" --tripid 191-18 --locoid 4044 --swversion DE.1.0.9.0 --startMP 204:493 --initTime 2017-12-18T14:52:50 --startdatetime 2017-12-18T15:00:23 --delay 62 --endMP 204:233281 --enddatetime 2017-12-18T15:36:01 --enforcementcount 0 &gt;&gt;%USERPROFILE%\Documents\GitHub\eaglep3-reporting\EC\2017-12-18-refined-times.txt</v>
      </c>
      <c r="AI10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{"issue":{"subject":"","project_id":79,"tracker_id":40,"status_id":1,"priority_id":2,"assigned_to_id":338,"start_date":"2017-12-18","description":"","custom_fields":[{"id":1,"name":"Subdivision","value":"EC"},{"id":4,"name":"Milepost","value":"23.3281"},{"id":17,"name":"Train ID","value":"191-18"},{"id":16,"name":"Locomotive ID","value":"4044"},{"id":130,"name":"Impact","value":""},{"id":150,"name":"Time of Event (Mountain Time)","value":"15:36:01"},{"id":151,"name":"Denver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7"/>
        <v>start /low /b %USERPROFILE%\Documents\GitHub\eaglep3\Utilities\DownloadLogsFromS3.py --loco 4044 --day 2017-12-18</v>
      </c>
      <c r="AN104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9"/>
        <v>https://d0f6bd738d7f1b3e5a7ca70fe4ff75f0.us-east-1.aws.found.io/app/kibana#/discover/Steve-Slow-Train-Analysis-(2080s-and-2083s)?_g=(refreshInterval:(display:Off,pause:!f,section:0,value:0),time:(from:'2017-12-18T13:52:50-0700',mode:absolute,to:'2017-12-18T16:36:01-0700'))&amp;_a=(columns:!('Message%20ID',Summary),filters:!(),index:'emp_*',interval:auto,query:(query_string:(analyze_wildcard:!t,query:'%22rtdc.l.rtdc.4044%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811</v>
      </c>
      <c r="B105" s="225">
        <v>4043</v>
      </c>
      <c r="C105" s="227" t="s">
        <v>192</v>
      </c>
      <c r="D105" s="227" t="s">
        <v>951</v>
      </c>
      <c r="E105" s="226">
        <v>43087.66165509259</v>
      </c>
      <c r="F105" s="226">
        <v>43087.664837962962</v>
      </c>
      <c r="G105" s="225">
        <v>60</v>
      </c>
      <c r="H105" s="227" t="s">
        <v>469</v>
      </c>
      <c r="I105" s="226">
        <v>43087.691655092596</v>
      </c>
      <c r="J105" s="225">
        <v>0</v>
      </c>
      <c r="K105" s="237" t="str">
        <f t="shared" si="35"/>
        <v>4043/4044</v>
      </c>
      <c r="L105" s="245" t="str">
        <f>VLOOKUP(A105,'Trips&amp;Operators'!$C$1:$G$99911,5,FALSE)</f>
        <v>STEWART MICHAEL</v>
      </c>
      <c r="M105" s="224">
        <f t="shared" si="36"/>
        <v>2.6817129633855075E-2</v>
      </c>
      <c r="N105" s="225">
        <f t="shared" si="51"/>
        <v>38.616666672751307</v>
      </c>
      <c r="O105" s="225"/>
      <c r="P105" s="225"/>
      <c r="Q105" s="228"/>
      <c r="R105" s="242"/>
      <c r="S105" s="249">
        <f t="shared" si="52"/>
        <v>1</v>
      </c>
      <c r="T105" s="242" t="str">
        <f t="shared" si="37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8"/>
        <v>https://d0f6bd738d7f1b3e5a7ca70fe4ff75f0.us-east-1.aws.found.io/app/kibana#/discover/Steve-Slow-Train-Analysis-(2080s-and-2083s)?_g=(refreshInterval:(display:Off,pause:!f,section:0,value:0),time:(from:'2017-12-18T14:52:47-0700',mode:absolute,to:'2017-12-18T17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247" t="str">
        <f>IF(AA105&lt;VLOOKUP(AG105,Variables!$AC$3:$AD$8,2,FALSE),"Y","N")</f>
        <v>N</v>
      </c>
      <c r="X105" s="247">
        <f t="shared" si="39"/>
        <v>1</v>
      </c>
      <c r="Y105" s="247">
        <f t="shared" si="53"/>
        <v>23.2974</v>
      </c>
      <c r="Z105" s="247">
        <f t="shared" si="50"/>
        <v>1.9599999999999999E-2</v>
      </c>
      <c r="AA105" s="247">
        <f t="shared" si="40"/>
        <v>23.277799999999999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41"/>
        <v>192</v>
      </c>
      <c r="AE105" s="235" t="str">
        <f t="shared" si="42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105" s="234" t="str">
        <f t="shared" si="43"/>
        <v>"C:\Program Files (x86)\AstroGrep\AstroGrep.exe" /e /r /s /spath="%USERPROFILE%\AppData\Local\Temp\OnboardLogs" /stypes="app*4043*20171218*" /stext=" 23:.+((SYSTEM_STATE.+slice.+state.+changed )|(ment ac)|(multiple cpu faults)|(system.+state.+changed )|(\[timeout)|(PRM\|1\|D)|(kpr)|(kdp)|(train st.+moving)|(\|lc)|(penalty))"</v>
      </c>
      <c r="AG105" s="244" t="str">
        <f t="shared" si="44"/>
        <v>EC</v>
      </c>
      <c r="AH105" s="236" t="str">
        <f t="shared" si="45"/>
        <v>"%USERPROFILE%\Documents\GitHub\eaglep3\Utilities\RefineRTDCRunTimes.py" --tripid 192-18 --locoid 4043 --swversion DE.1.0.9.0 --startMP 204:232974 --initTime 2017-12-18T15:52:47 --startdatetime 2017-12-18T15:57:22 --delay 60 --endMP 204:196 --enddatetime 2017-12-18T16:35:59 --enforcementcount 0 &gt;&gt;%USERPROFILE%\Documents\GitHub\eaglep3-reporting\EC\2017-12-18-refined-times.txt</v>
      </c>
      <c r="AI10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{"issue":{"subject":"","project_id":79,"tracker_id":40,"status_id":1,"priority_id":2,"assigned_to_id":338,"start_date":"2017-12-18","description":"","custom_fields":[{"id":1,"name":"Subdivision","value":"EC"},{"id":4,"name":"Milepost","value":"0.0196"},{"id":17,"name":"Train ID","value":"192-18"},{"id":16,"name":"Locomotive ID","value":"4043"},{"id":130,"name":"Impact","value":""},{"id":150,"name":"Time of Event (Mountain Time)","value":"16:35:59"},{"id":151,"name":"Denver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7"/>
        <v>start /low /b %USERPROFILE%\Documents\GitHub\eaglep3\Utilities\DownloadLogsFromS3.py --loco 4043 --day 2017-12-18</v>
      </c>
      <c r="AN105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9"/>
        <v>https://d0f6bd738d7f1b3e5a7ca70fe4ff75f0.us-east-1.aws.found.io/app/kibana#/discover/Steve-Slow-Train-Analysis-(2080s-and-2083s)?_g=(refreshInterval:(display:Off,pause:!f,section:0,value:0),time:(from:'2017-12-18T14:52:47-0700',mode:absolute,to:'2017-12-18T17:35:59-0700'))&amp;_a=(columns:!('Message%20ID',Summary),filters:!(),index:'emp_*',interval:auto,query:(query_string:(analyze_wildcard:!t,query:'%22rtdc.l.rtdc.4043%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803</v>
      </c>
      <c r="B106" s="225">
        <v>4022</v>
      </c>
      <c r="C106" s="227" t="s">
        <v>192</v>
      </c>
      <c r="D106" s="227" t="s">
        <v>583</v>
      </c>
      <c r="E106" s="226">
        <v>43087.629918981482</v>
      </c>
      <c r="F106" s="226">
        <v>43087.635821759257</v>
      </c>
      <c r="G106" s="225">
        <v>59</v>
      </c>
      <c r="H106" s="227" t="s">
        <v>534</v>
      </c>
      <c r="I106" s="226">
        <v>43087.661539351851</v>
      </c>
      <c r="J106" s="225">
        <v>0</v>
      </c>
      <c r="K106" s="237" t="str">
        <f t="shared" si="35"/>
        <v>4021/4022</v>
      </c>
      <c r="L106" s="245" t="str">
        <f>VLOOKUP(A106,'Trips&amp;Operators'!$C$1:$G$99911,5,FALSE)</f>
        <v>LEVERE CRAIG</v>
      </c>
      <c r="M106" s="224">
        <f t="shared" si="36"/>
        <v>2.5717592594446614E-2</v>
      </c>
      <c r="N106" s="225">
        <f t="shared" si="51"/>
        <v>37.033333336003125</v>
      </c>
      <c r="O106" s="225"/>
      <c r="P106" s="225"/>
      <c r="Q106" s="228"/>
      <c r="R106" s="242"/>
      <c r="S106" s="249">
        <f t="shared" si="52"/>
        <v>1</v>
      </c>
      <c r="T106" s="242" t="str">
        <f t="shared" si="37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8"/>
        <v>https://d0f6bd738d7f1b3e5a7ca70fe4ff75f0.us-east-1.aws.found.io/app/kibana#/discover/Steve-Slow-Train-Analysis-(2080s-and-2083s)?_g=(refreshInterval:(display:Off,pause:!f,section:0,value:0),time:(from:'2017-12-18T14:07:05-0700',mode:absolute,to:'2017-12-18T16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247" t="str">
        <f>IF(AA106&lt;VLOOKUP(AG106,Variables!$AC$3:$AD$8,2,FALSE),"Y","N")</f>
        <v>N</v>
      </c>
      <c r="X106" s="247">
        <f t="shared" si="39"/>
        <v>1</v>
      </c>
      <c r="Y106" s="247">
        <f t="shared" si="53"/>
        <v>5.5100000000000003E-2</v>
      </c>
      <c r="Z106" s="247">
        <f t="shared" si="50"/>
        <v>23.325700000000001</v>
      </c>
      <c r="AA106" s="247">
        <f t="shared" si="40"/>
        <v>23.270600000000002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41"/>
        <v>193</v>
      </c>
      <c r="AE106" s="235" t="str">
        <f t="shared" si="42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106" s="234" t="str">
        <f t="shared" si="43"/>
        <v>"C:\Program Files (x86)\AstroGrep\AstroGrep.exe" /e /r /s /spath="%USERPROFILE%\AppData\Local\Temp\OnboardLogs" /stypes="app*4022*20171218*" /stext=" 22:.+((SYSTEM_STATE.+slice.+state.+changed )|(ment ac)|(multiple cpu faults)|(system.+state.+changed )|(\[timeout)|(PRM\|1\|D)|(kpr)|(kdp)|(train st.+moving)|(\|lc)|(penalty))"</v>
      </c>
      <c r="AG106" s="244" t="str">
        <f t="shared" si="44"/>
        <v>EC</v>
      </c>
      <c r="AH106" s="236" t="str">
        <f t="shared" si="45"/>
        <v>"%USERPROFILE%\Documents\GitHub\eaglep3\Utilities\RefineRTDCRunTimes.py" --tripid 193-18 --locoid 4022 --swversion DE.1.0.9.0 --startMP 204:551 --initTime 2017-12-18T15:07:05 --startdatetime 2017-12-18T15:15:35 --delay 59 --endMP 204:233257 --enddatetime 2017-12-18T15:52:37 --enforcementcount 0 &gt;&gt;%USERPROFILE%\Documents\GitHub\eaglep3-reporting\EC\2017-12-18-refined-times.txt</v>
      </c>
      <c r="AI10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{"issue":{"subject":"","project_id":79,"tracker_id":40,"status_id":1,"priority_id":2,"assigned_to_id":338,"start_date":"2017-12-18","description":"","custom_fields":[{"id":1,"name":"Subdivision","value":"EC"},{"id":4,"name":"Milepost","value":"23.3257"},{"id":17,"name":"Train ID","value":"193-18"},{"id":16,"name":"Locomotive ID","value":"4022"},{"id":130,"name":"Impact","value":""},{"id":150,"name":"Time of Event (Mountain Time)","value":"15:52:37"},{"id":151,"name":"Denver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7"/>
        <v>start /low /b %USERPROFILE%\Documents\GitHub\eaglep3\Utilities\DownloadLogsFromS3.py --loco 4022 --day 2017-12-18</v>
      </c>
      <c r="AN106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9"/>
        <v>https://d0f6bd738d7f1b3e5a7ca70fe4ff75f0.us-east-1.aws.found.io/app/kibana#/discover/Steve-Slow-Train-Analysis-(2080s-and-2083s)?_g=(refreshInterval:(display:Off,pause:!f,section:0,value:0),time:(from:'2017-12-18T14:07:05-0700',mode:absolute,to:'2017-12-18T16:52:37-0700'))&amp;_a=(columns:!('Message%20ID',Summary),filters:!(),index:'emp_*',interval:auto,query:(query_string:(analyze_wildcard:!t,query:'%22rtdc.l.rtdc.4022%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815</v>
      </c>
      <c r="B107" s="225">
        <v>4021</v>
      </c>
      <c r="C107" s="227" t="s">
        <v>192</v>
      </c>
      <c r="D107" s="227" t="s">
        <v>952</v>
      </c>
      <c r="E107" s="226">
        <v>43087.671203703707</v>
      </c>
      <c r="F107" s="226">
        <v>43087.675185185188</v>
      </c>
      <c r="G107" s="225">
        <v>69</v>
      </c>
      <c r="H107" s="227" t="s">
        <v>492</v>
      </c>
      <c r="I107" s="226">
        <v>43087.701539351852</v>
      </c>
      <c r="J107" s="225">
        <v>0</v>
      </c>
      <c r="K107" s="237" t="str">
        <f t="shared" si="35"/>
        <v>4021/4022</v>
      </c>
      <c r="L107" s="245" t="str">
        <f>VLOOKUP(A107,'Trips&amp;Operators'!$C$1:$G$99911,5,FALSE)</f>
        <v>LEVERE CRAIG</v>
      </c>
      <c r="M107" s="224">
        <f t="shared" si="36"/>
        <v>2.6354166664532386E-2</v>
      </c>
      <c r="N107" s="225">
        <f t="shared" si="51"/>
        <v>37.949999996926636</v>
      </c>
      <c r="O107" s="225"/>
      <c r="P107" s="225"/>
      <c r="Q107" s="228"/>
      <c r="R107" s="242"/>
      <c r="S107" s="249">
        <f t="shared" si="52"/>
        <v>1</v>
      </c>
      <c r="T107" s="242" t="str">
        <f t="shared" si="37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8"/>
        <v>https://d0f6bd738d7f1b3e5a7ca70fe4ff75f0.us-east-1.aws.found.io/app/kibana#/discover/Steve-Slow-Train-Analysis-(2080s-and-2083s)?_g=(refreshInterval:(display:Off,pause:!f,section:0,value:0),time:(from:'2017-12-18T15:06:32-0700',mode:absolute,to:'2017-12-18T17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247" t="str">
        <f>IF(AA107&lt;VLOOKUP(AG107,Variables!$AC$3:$AD$8,2,FALSE),"Y","N")</f>
        <v>N</v>
      </c>
      <c r="X107" s="247">
        <f t="shared" si="39"/>
        <v>1</v>
      </c>
      <c r="Y107" s="247">
        <f t="shared" si="53"/>
        <v>23.2944</v>
      </c>
      <c r="Z107" s="247">
        <f t="shared" si="50"/>
        <v>2.2499999999999999E-2</v>
      </c>
      <c r="AA107" s="247">
        <f t="shared" si="40"/>
        <v>23.271899999999999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41"/>
        <v>194</v>
      </c>
      <c r="AE107" s="235" t="str">
        <f t="shared" si="42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107" s="234" t="str">
        <f t="shared" si="43"/>
        <v>"C:\Program Files (x86)\AstroGrep\AstroGrep.exe" /e /r /s /spath="%USERPROFILE%\AppData\Local\Temp\OnboardLogs" /stypes="app*4021*20171218*" /stext=" 23:.+((SYSTEM_STATE.+slice.+state.+changed )|(ment ac)|(multiple cpu faults)|(system.+state.+changed )|(\[timeout)|(PRM\|1\|D)|(kpr)|(kdp)|(train st.+moving)|(\|lc)|(penalty))"</v>
      </c>
      <c r="AG107" s="244" t="str">
        <f t="shared" si="44"/>
        <v>EC</v>
      </c>
      <c r="AH107" s="236" t="str">
        <f t="shared" si="45"/>
        <v>"%USERPROFILE%\Documents\GitHub\eaglep3\Utilities\RefineRTDCRunTimes.py" --tripid 194-18 --locoid 4021 --swversion DE.1.0.9.0 --startMP 204:232944 --initTime 2017-12-18T16:06:32 --startdatetime 2017-12-18T16:12:16 --delay 69 --endMP 204:225 --enddatetime 2017-12-18T16:50:13 --enforcementcount 0 &gt;&gt;%USERPROFILE%\Documents\GitHub\eaglep3-reporting\EC\2017-12-18-refined-times.txt</v>
      </c>
      <c r="AI107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{"issue":{"subject":"","project_id":79,"tracker_id":40,"status_id":1,"priority_id":2,"assigned_to_id":338,"start_date":"2017-12-18","description":"","custom_fields":[{"id":1,"name":"Subdivision","value":"EC"},{"id":4,"name":"Milepost","value":"0.0225"},{"id":17,"name":"Train ID","value":"194-18"},{"id":16,"name":"Locomotive ID","value":"4021"},{"id":130,"name":"Impact","value":""},{"id":150,"name":"Time of Event (Mountain Time)","value":"16:50:13"},{"id":151,"name":"Denver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7"/>
        <v>start /low /b %USERPROFILE%\Documents\GitHub\eaglep3\Utilities\DownloadLogsFromS3.py --loco 4021 --day 2017-12-18</v>
      </c>
      <c r="AN107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9"/>
        <v>https://d0f6bd738d7f1b3e5a7ca70fe4ff75f0.us-east-1.aws.found.io/app/kibana#/discover/Steve-Slow-Train-Analysis-(2080s-and-2083s)?_g=(refreshInterval:(display:Off,pause:!f,section:0,value:0),time:(from:'2017-12-18T15:06:32-0700',mode:absolute,to:'2017-12-18T17:50:13-0700'))&amp;_a=(columns:!('Message%20ID',Summary),filters:!(),index:'emp_*',interval:auto,query:(query_string:(analyze_wildcard:!t,query:'%22rtdc.l.rtdc.4021%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807</v>
      </c>
      <c r="B108" s="225">
        <v>4052</v>
      </c>
      <c r="C108" s="227" t="s">
        <v>192</v>
      </c>
      <c r="D108" s="227" t="s">
        <v>579</v>
      </c>
      <c r="E108" s="226">
        <v>43087.642199074071</v>
      </c>
      <c r="F108" s="226">
        <v>43087.646053240744</v>
      </c>
      <c r="G108" s="225">
        <v>65</v>
      </c>
      <c r="H108" s="227" t="s">
        <v>577</v>
      </c>
      <c r="I108" s="226">
        <v>43087.670671296299</v>
      </c>
      <c r="J108" s="225">
        <v>0</v>
      </c>
      <c r="K108" s="237" t="str">
        <f t="shared" si="35"/>
        <v>4051/4052</v>
      </c>
      <c r="L108" s="245" t="str">
        <f>VLOOKUP(A108,'Trips&amp;Operators'!$C$1:$G$99911,5,FALSE)</f>
        <v>GUZMAN DANNY</v>
      </c>
      <c r="M108" s="224">
        <f t="shared" si="36"/>
        <v>2.4618055555038154E-2</v>
      </c>
      <c r="N108" s="225">
        <f t="shared" si="51"/>
        <v>35.449999999254942</v>
      </c>
      <c r="O108" s="225"/>
      <c r="P108" s="225"/>
      <c r="Q108" s="228"/>
      <c r="R108" s="242"/>
      <c r="S108" s="249">
        <f t="shared" si="52"/>
        <v>1</v>
      </c>
      <c r="T108" s="242" t="str">
        <f t="shared" si="37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8"/>
        <v>https://d0f6bd738d7f1b3e5a7ca70fe4ff75f0.us-east-1.aws.found.io/app/kibana#/discover/Steve-Slow-Train-Analysis-(2080s-and-2083s)?_g=(refreshInterval:(display:Off,pause:!f,section:0,value:0),time:(from:'2017-12-18T14:24:46-0700',mode:absolute,to:'2017-12-18T17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8" s="247" t="str">
        <f>IF(AA108&lt;VLOOKUP(AG108,Variables!$AC$3:$AD$8,2,FALSE),"Y","N")</f>
        <v>N</v>
      </c>
      <c r="X108" s="247">
        <f t="shared" si="39"/>
        <v>1</v>
      </c>
      <c r="Y108" s="247">
        <f t="shared" si="53"/>
        <v>5.3499999999999999E-2</v>
      </c>
      <c r="Z108" s="247">
        <f t="shared" si="50"/>
        <v>23.3293</v>
      </c>
      <c r="AA108" s="247">
        <f t="shared" si="40"/>
        <v>23.2758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41"/>
        <v>195</v>
      </c>
      <c r="AE108" s="235" t="str">
        <f t="shared" si="42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08" s="234" t="str">
        <f t="shared" si="43"/>
        <v>"C:\Program Files (x86)\AstroGrep\AstroGrep.exe" /e /r /s /spath="%USERPROFILE%\AppData\Local\Temp\OnboardLogs" /stypes="app*4052*20171218*" /stext=" 23:.+((SYSTEM_STATE.+slice.+state.+changed )|(ment ac)|(multiple cpu faults)|(system.+state.+changed )|(\[timeout)|(PRM\|1\|D)|(kpr)|(kdp)|(train st.+moving)|(\|lc)|(penalty))"</v>
      </c>
      <c r="AG108" s="244" t="str">
        <f t="shared" si="44"/>
        <v>EC</v>
      </c>
      <c r="AH108" s="236" t="str">
        <f t="shared" si="45"/>
        <v>"%USERPROFILE%\Documents\GitHub\eaglep3\Utilities\RefineRTDCRunTimes.py" --tripid 195-18 --locoid 4052 --swversion DE.1.0.9.0 --startMP 204:535 --initTime 2017-12-18T15:24:46 --startdatetime 2017-12-18T15:30:19 --delay 65 --endMP 204:233293 --enddatetime 2017-12-18T16:05:46 --enforcementcount 0 &gt;&gt;%USERPROFILE%\Documents\GitHub\eaglep3-reporting\EC\2017-12-18-refined-times.txt</v>
      </c>
      <c r="AI10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{"issue":{"subject":"","project_id":79,"tracker_id":40,"status_id":1,"priority_id":2,"assigned_to_id":338,"start_date":"2017-12-18","description":"","custom_fields":[{"id":1,"name":"Subdivision","value":"EC"},{"id":4,"name":"Milepost","value":"23.3293"},{"id":17,"name":"Train ID","value":"195-18"},{"id":16,"name":"Locomotive ID","value":"4052"},{"id":130,"name":"Impact","value":""},{"id":150,"name":"Time of Event (Mountain Time)","value":"16:05:46"},{"id":151,"name":"Denver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7"/>
        <v>start /low /b %USERPROFILE%\Documents\GitHub\eaglep3\Utilities\DownloadLogsFromS3.py --loco 4052 --day 2017-12-18</v>
      </c>
      <c r="AN108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9"/>
        <v>https://d0f6bd738d7f1b3e5a7ca70fe4ff75f0.us-east-1.aws.found.io/app/kibana#/discover/Steve-Slow-Train-Analysis-(2080s-and-2083s)?_g=(refreshInterval:(display:Off,pause:!f,section:0,value:0),time:(from:'2017-12-18T14:24:46-0700',mode:absolute,to:'2017-12-18T17:05:46-0700'))&amp;_a=(columns:!('Message%20ID',Summary),filters:!(),index:'emp_*',interval:auto,query:(query_string:(analyze_wildcard:!t,query:'%22rtdc.l.rtdc.4052%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816</v>
      </c>
      <c r="B109" s="225">
        <v>4051</v>
      </c>
      <c r="C109" s="227" t="s">
        <v>192</v>
      </c>
      <c r="D109" s="227" t="s">
        <v>542</v>
      </c>
      <c r="E109" s="226">
        <v>43087.672546296293</v>
      </c>
      <c r="F109" s="226">
        <v>43087.685590277775</v>
      </c>
      <c r="G109" s="225">
        <v>48</v>
      </c>
      <c r="H109" s="227" t="s">
        <v>953</v>
      </c>
      <c r="I109" s="226">
        <v>43087.711747685185</v>
      </c>
      <c r="J109" s="225">
        <v>0</v>
      </c>
      <c r="K109" s="237" t="str">
        <f t="shared" si="35"/>
        <v>4051/4052</v>
      </c>
      <c r="L109" s="245" t="str">
        <f>VLOOKUP(A109,'Trips&amp;Operators'!$C$1:$G$99911,5,FALSE)</f>
        <v>GUZMAN DANNY</v>
      </c>
      <c r="M109" s="224">
        <f t="shared" ref="M109:M140" si="54">I109-F109</f>
        <v>2.6157407410209998E-2</v>
      </c>
      <c r="N109" s="225">
        <f t="shared" si="51"/>
        <v>37.666666670702398</v>
      </c>
      <c r="O109" s="225"/>
      <c r="P109" s="225"/>
      <c r="Q109" s="228"/>
      <c r="R109" s="242"/>
      <c r="S109" s="249">
        <f t="shared" si="52"/>
        <v>1</v>
      </c>
      <c r="T109" s="242" t="str">
        <f t="shared" si="37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8"/>
        <v>https://d0f6bd738d7f1b3e5a7ca70fe4ff75f0.us-east-1.aws.found.io/app/kibana#/discover/Steve-Slow-Train-Analysis-(2080s-and-2083s)?_g=(refreshInterval:(display:Off,pause:!f,section:0,value:0),time:(from:'2017-12-18T15:08:28-0700',mode:absolute,to:'2017-12-18T18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247" t="str">
        <f>IF(AA109&lt;VLOOKUP(AG109,Variables!$AC$3:$AD$8,2,FALSE),"Y","N")</f>
        <v>N</v>
      </c>
      <c r="X109" s="247">
        <f t="shared" ref="X109:X140" si="55">VALUE(LEFT(AD109,4))-VALUE(LEFT(AD108,4))</f>
        <v>1</v>
      </c>
      <c r="Y109" s="247">
        <f t="shared" si="53"/>
        <v>23.297000000000001</v>
      </c>
      <c r="Z109" s="247">
        <f t="shared" si="50"/>
        <v>2.29E-2</v>
      </c>
      <c r="AA109" s="247">
        <f t="shared" si="40"/>
        <v>23.274100000000001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41"/>
        <v>196</v>
      </c>
      <c r="AE109" s="235" t="str">
        <f t="shared" si="42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09" s="234" t="str">
        <f t="shared" si="43"/>
        <v>"C:\Program Files (x86)\AstroGrep\AstroGrep.exe" /e /r /s /spath="%USERPROFILE%\AppData\Local\Temp\OnboardLogs" /stypes="app*4051*20171219*" /stext=" 00:.+((SYSTEM_STATE.+slice.+state.+changed )|(ment ac)|(multiple cpu faults)|(system.+state.+changed )|(\[timeout)|(PRM\|1\|D)|(kpr)|(kdp)|(train st.+moving)|(\|lc)|(penalty))"</v>
      </c>
      <c r="AG109" s="244" t="str">
        <f t="shared" si="44"/>
        <v>EC</v>
      </c>
      <c r="AH109" s="236" t="str">
        <f t="shared" si="45"/>
        <v>"%USERPROFILE%\Documents\GitHub\eaglep3\Utilities\RefineRTDCRunTimes.py" --tripid 196-18 --locoid 4051 --swversion DE.1.0.9.0 --startMP 204:232970 --initTime 2017-12-18T16:08:28 --startdatetime 2017-12-18T16:27:15 --delay 48 --endMP 204:229 --enddatetime 2017-12-18T17:04:55 --enforcementcount 0 &gt;&gt;%USERPROFILE%\Documents\GitHub\eaglep3-reporting\EC\2017-12-18-refined-times.txt</v>
      </c>
      <c r="AI10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{"issue":{"subject":"","project_id":79,"tracker_id":40,"status_id":1,"priority_id":2,"assigned_to_id":338,"start_date":"2017-12-18","description":"","custom_fields":[{"id":1,"name":"Subdivision","value":"EC"},{"id":4,"name":"Milepost","value":"0.0229"},{"id":17,"name":"Train ID","value":"196-18"},{"id":16,"name":"Locomotive ID","value":"4051"},{"id":130,"name":"Impact","value":""},{"id":150,"name":"Time of Event (Mountain Time)","value":"17:04:55"},{"id":151,"name":"Denver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7"/>
        <v>start /low /b %USERPROFILE%\Documents\GitHub\eaglep3\Utilities\DownloadLogsFromS3.py --loco 4051 --day 2017-12-18</v>
      </c>
      <c r="AN109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9"/>
        <v>https://d0f6bd738d7f1b3e5a7ca70fe4ff75f0.us-east-1.aws.found.io/app/kibana#/discover/Steve-Slow-Train-Analysis-(2080s-and-2083s)?_g=(refreshInterval:(display:Off,pause:!f,section:0,value:0),time:(from:'2017-12-18T15:08:28-0700',mode:absolute,to:'2017-12-18T18:04:55-0700'))&amp;_a=(columns:!('Message%20ID',Summary),filters:!(),index:'emp_*',interval:auto,query:(query_string:(analyze_wildcard:!t,query:'%22rtdc.l.rtdc.4051%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810</v>
      </c>
      <c r="B110" s="225">
        <v>4050</v>
      </c>
      <c r="C110" s="227" t="s">
        <v>192</v>
      </c>
      <c r="D110" s="227" t="s">
        <v>607</v>
      </c>
      <c r="E110" s="226">
        <v>43087.654317129629</v>
      </c>
      <c r="F110" s="226">
        <v>43087.656504629631</v>
      </c>
      <c r="G110" s="225">
        <v>70</v>
      </c>
      <c r="H110" s="227" t="s">
        <v>914</v>
      </c>
      <c r="I110" s="226">
        <v>43087.681574074071</v>
      </c>
      <c r="J110" s="225">
        <v>0</v>
      </c>
      <c r="K110" s="237" t="str">
        <f t="shared" si="35"/>
        <v>4049/4050</v>
      </c>
      <c r="L110" s="245" t="str">
        <f>VLOOKUP(A110,'Trips&amp;Operators'!$C$1:$G$99911,5,FALSE)</f>
        <v>SAFIEF AEIMEN</v>
      </c>
      <c r="M110" s="224">
        <f t="shared" si="54"/>
        <v>2.5069444440305233E-2</v>
      </c>
      <c r="N110" s="225">
        <f t="shared" si="51"/>
        <v>36.099999994039536</v>
      </c>
      <c r="O110" s="225"/>
      <c r="P110" s="225"/>
      <c r="Q110" s="228"/>
      <c r="R110" s="242"/>
      <c r="S110" s="249">
        <f t="shared" si="52"/>
        <v>1</v>
      </c>
      <c r="T110" s="242" t="str">
        <f t="shared" si="37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8"/>
        <v>https://d0f6bd738d7f1b3e5a7ca70fe4ff75f0.us-east-1.aws.found.io/app/kibana#/discover/Steve-Slow-Train-Analysis-(2080s-and-2083s)?_g=(refreshInterval:(display:Off,pause:!f,section:0,value:0),time:(from:'2017-12-18T14:42:13-0700',mode:absolute,to:'2017-12-18T17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247" t="str">
        <f>IF(AA110&lt;VLOOKUP(AG110,Variables!$AC$3:$AD$8,2,FALSE),"Y","N")</f>
        <v>N</v>
      </c>
      <c r="X110" s="247">
        <f t="shared" si="55"/>
        <v>1</v>
      </c>
      <c r="Y110" s="247">
        <f t="shared" si="53"/>
        <v>4.9700000000000001E-2</v>
      </c>
      <c r="Z110" s="247">
        <f t="shared" si="50"/>
        <v>23.328199999999999</v>
      </c>
      <c r="AA110" s="247">
        <f t="shared" si="40"/>
        <v>23.278499999999998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41"/>
        <v>197</v>
      </c>
      <c r="AE110" s="235" t="str">
        <f t="shared" si="42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110" s="234" t="str">
        <f t="shared" si="43"/>
        <v>"C:\Program Files (x86)\AstroGrep\AstroGrep.exe" /e /r /s /spath="%USERPROFILE%\AppData\Local\Temp\OnboardLogs" /stypes="app*4050*20171218*" /stext=" 23:.+((SYSTEM_STATE.+slice.+state.+changed )|(ment ac)|(multiple cpu faults)|(system.+state.+changed )|(\[timeout)|(PRM\|1\|D)|(kpr)|(kdp)|(train st.+moving)|(\|lc)|(penalty))"</v>
      </c>
      <c r="AG110" s="244" t="str">
        <f t="shared" si="44"/>
        <v>EC</v>
      </c>
      <c r="AH110" s="236" t="str">
        <f t="shared" si="45"/>
        <v>"%USERPROFILE%\Documents\GitHub\eaglep3\Utilities\RefineRTDCRunTimes.py" --tripid 197-18 --locoid 4050 --swversion DE.1.0.9.0 --startMP 204:497 --initTime 2017-12-18T15:42:13 --startdatetime 2017-12-18T15:45:22 --delay 70 --endMP 204:233282 --enddatetime 2017-12-18T16:21:28 --enforcementcount 0 &gt;&gt;%USERPROFILE%\Documents\GitHub\eaglep3-reporting\EC\2017-12-18-refined-times.txt</v>
      </c>
      <c r="AI11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{"issue":{"subject":"","project_id":79,"tracker_id":40,"status_id":1,"priority_id":2,"assigned_to_id":338,"start_date":"2017-12-18","description":"","custom_fields":[{"id":1,"name":"Subdivision","value":"EC"},{"id":4,"name":"Milepost","value":"23.3282"},{"id":17,"name":"Train ID","value":"197-18"},{"id":16,"name":"Locomotive ID","value":"4050"},{"id":130,"name":"Impact","value":""},{"id":150,"name":"Time of Event (Mountain Time)","value":"16:21:28"},{"id":151,"name":"Denver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7"/>
        <v>start /low /b %USERPROFILE%\Documents\GitHub\eaglep3\Utilities\DownloadLogsFromS3.py --loco 4050 --day 2017-12-18</v>
      </c>
      <c r="AN110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9"/>
        <v>https://d0f6bd738d7f1b3e5a7ca70fe4ff75f0.us-east-1.aws.found.io/app/kibana#/discover/Steve-Slow-Train-Analysis-(2080s-and-2083s)?_g=(refreshInterval:(display:Off,pause:!f,section:0,value:0),time:(from:'2017-12-18T14:42:13-0700',mode:absolute,to:'2017-12-18T17:21:28-0700'))&amp;_a=(columns:!('Message%20ID',Summary),filters:!(),index:'emp_*',interval:auto,query:(query_string:(analyze_wildcard:!t,query:'%22rtdc.l.rtdc.4050%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818</v>
      </c>
      <c r="B111" s="225">
        <v>4049</v>
      </c>
      <c r="C111" s="227" t="s">
        <v>192</v>
      </c>
      <c r="D111" s="227" t="s">
        <v>638</v>
      </c>
      <c r="E111" s="226">
        <v>43087.683020833334</v>
      </c>
      <c r="F111" s="226">
        <v>43087.696006944447</v>
      </c>
      <c r="G111" s="225">
        <v>63</v>
      </c>
      <c r="H111" s="227" t="s">
        <v>520</v>
      </c>
      <c r="I111" s="226">
        <v>43087.722638888888</v>
      </c>
      <c r="J111" s="225">
        <v>0</v>
      </c>
      <c r="K111" s="237" t="str">
        <f t="shared" si="35"/>
        <v>4049/4050</v>
      </c>
      <c r="L111" s="245" t="str">
        <f>VLOOKUP(A111,'Trips&amp;Operators'!$C$1:$G$99911,5,FALSE)</f>
        <v>SAFIEF AEIMEN</v>
      </c>
      <c r="M111" s="224">
        <f t="shared" si="54"/>
        <v>2.6631944441760425E-2</v>
      </c>
      <c r="N111" s="225">
        <f t="shared" si="51"/>
        <v>38.349999996135011</v>
      </c>
      <c r="O111" s="225"/>
      <c r="P111" s="225"/>
      <c r="Q111" s="228"/>
      <c r="R111" s="242"/>
      <c r="S111" s="249">
        <f t="shared" si="52"/>
        <v>1</v>
      </c>
      <c r="T111" s="242" t="str">
        <f t="shared" si="37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8"/>
        <v>https://d0f6bd738d7f1b3e5a7ca70fe4ff75f0.us-east-1.aws.found.io/app/kibana#/discover/Steve-Slow-Train-Analysis-(2080s-and-2083s)?_g=(refreshInterval:(display:Off,pause:!f,section:0,value:0),time:(from:'2017-12-18T15:23:33-0700',mode:absolute,to:'2017-12-18T18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1" s="247" t="str">
        <f>IF(AA111&lt;VLOOKUP(AG111,Variables!$AC$3:$AD$8,2,FALSE),"Y","N")</f>
        <v>N</v>
      </c>
      <c r="X111" s="247">
        <f t="shared" si="55"/>
        <v>1</v>
      </c>
      <c r="Y111" s="247">
        <f t="shared" si="53"/>
        <v>23.294799999999999</v>
      </c>
      <c r="Z111" s="247">
        <f t="shared" si="50"/>
        <v>2.01E-2</v>
      </c>
      <c r="AA111" s="247">
        <f t="shared" si="40"/>
        <v>23.274699999999999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41"/>
        <v>198</v>
      </c>
      <c r="AE111" s="235" t="str">
        <f t="shared" si="42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111" s="234" t="str">
        <f t="shared" si="43"/>
        <v>"C:\Program Files (x86)\AstroGrep\AstroGrep.exe" /e /r /s /spath="%USERPROFILE%\AppData\Local\Temp\OnboardLogs" /stypes="app*4049*20171219*" /stext=" 00:.+((SYSTEM_STATE.+slice.+state.+changed )|(ment ac)|(multiple cpu faults)|(system.+state.+changed )|(\[timeout)|(PRM\|1\|D)|(kpr)|(kdp)|(train st.+moving)|(\|lc)|(penalty))"</v>
      </c>
      <c r="AG111" s="244" t="str">
        <f t="shared" si="44"/>
        <v>EC</v>
      </c>
      <c r="AH111" s="236" t="str">
        <f t="shared" si="45"/>
        <v>"%USERPROFILE%\Documents\GitHub\eaglep3\Utilities\RefineRTDCRunTimes.py" --tripid 198-18 --locoid 4049 --swversion DE.1.0.9.0 --startMP 204:232948 --initTime 2017-12-18T16:23:33 --startdatetime 2017-12-18T16:42:15 --delay 63 --endMP 204:201 --enddatetime 2017-12-18T17:20:36 --enforcementcount 0 &gt;&gt;%USERPROFILE%\Documents\GitHub\eaglep3-reporting\EC\2017-12-18-refined-times.txt</v>
      </c>
      <c r="AI11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{"issue":{"subject":"","project_id":79,"tracker_id":40,"status_id":1,"priority_id":2,"assigned_to_id":338,"start_date":"2017-12-18","description":"","custom_fields":[{"id":1,"name":"Subdivision","value":"EC"},{"id":4,"name":"Milepost","value":"0.0201"},{"id":17,"name":"Train ID","value":"198-18"},{"id":16,"name":"Locomotive ID","value":"4049"},{"id":130,"name":"Impact","value":""},{"id":150,"name":"Time of Event (Mountain Time)","value":"17:20:36"},{"id":151,"name":"Denver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7"/>
        <v>start /low /b %USERPROFILE%\Documents\GitHub\eaglep3\Utilities\DownloadLogsFromS3.py --loco 4049 --day 2017-12-18</v>
      </c>
      <c r="AN111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9"/>
        <v>https://d0f6bd738d7f1b3e5a7ca70fe4ff75f0.us-east-1.aws.found.io/app/kibana#/discover/Steve-Slow-Train-Analysis-(2080s-and-2083s)?_g=(refreshInterval:(display:Off,pause:!f,section:0,value:0),time:(from:'2017-12-18T15:23:33-0700',mode:absolute,to:'2017-12-18T18:20:36-0700'))&amp;_a=(columns:!('Message%20ID',Summary),filters:!(),index:'emp_*',interval:auto,query:(query_string:(analyze_wildcard:!t,query:'%22rtdc.l.rtdc.4049%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812</v>
      </c>
      <c r="B112" s="225">
        <v>4016</v>
      </c>
      <c r="C112" s="227" t="s">
        <v>192</v>
      </c>
      <c r="D112" s="227" t="s">
        <v>526</v>
      </c>
      <c r="E112" s="226">
        <v>43087.66302083333</v>
      </c>
      <c r="F112" s="226">
        <v>43087.666956018518</v>
      </c>
      <c r="G112" s="225">
        <v>67</v>
      </c>
      <c r="H112" s="227" t="s">
        <v>508</v>
      </c>
      <c r="I112" s="226">
        <v>43087.692233796297</v>
      </c>
      <c r="J112" s="225">
        <v>0</v>
      </c>
      <c r="K112" s="237" t="str">
        <f t="shared" si="35"/>
        <v>4015/4016</v>
      </c>
      <c r="L112" s="245" t="str">
        <f>VLOOKUP(A112,'Trips&amp;Operators'!$C$1:$G$99911,5,FALSE)</f>
        <v>BADERTSCHER DIANE</v>
      </c>
      <c r="M112" s="224">
        <f t="shared" si="54"/>
        <v>2.527777777868323E-2</v>
      </c>
      <c r="N112" s="225">
        <f t="shared" si="51"/>
        <v>36.400000001303852</v>
      </c>
      <c r="O112" s="225"/>
      <c r="P112" s="225"/>
      <c r="Q112" s="228"/>
      <c r="R112" s="242"/>
      <c r="S112" s="249">
        <f t="shared" si="52"/>
        <v>1</v>
      </c>
      <c r="T112" s="242" t="str">
        <f t="shared" si="37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8"/>
        <v>https://d0f6bd738d7f1b3e5a7ca70fe4ff75f0.us-east-1.aws.found.io/app/kibana#/discover/Steve-Slow-Train-Analysis-(2080s-and-2083s)?_g=(refreshInterval:(display:Off,pause:!f,section:0,value:0),time:(from:'2017-12-18T14:54:45-0700',mode:absolute,to:'2017-12-18T17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247" t="str">
        <f>IF(AA112&lt;VLOOKUP(AG112,Variables!$AC$3:$AD$8,2,FALSE),"Y","N")</f>
        <v>N</v>
      </c>
      <c r="X112" s="247">
        <f t="shared" si="55"/>
        <v>1</v>
      </c>
      <c r="Y112" s="247">
        <f t="shared" si="53"/>
        <v>5.0799999999999998E-2</v>
      </c>
      <c r="Z112" s="247">
        <f t="shared" si="50"/>
        <v>23.327000000000002</v>
      </c>
      <c r="AA112" s="247">
        <f t="shared" si="40"/>
        <v>23.276200000000003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41"/>
        <v>199</v>
      </c>
      <c r="AE112" s="235" t="str">
        <f t="shared" si="42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12" s="234" t="str">
        <f t="shared" si="43"/>
        <v>"C:\Program Files (x86)\AstroGrep\AstroGrep.exe" /e /r /s /spath="%USERPROFILE%\AppData\Local\Temp\OnboardLogs" /stypes="app*4016*20171218*" /stext=" 23:.+((SYSTEM_STATE.+slice.+state.+changed )|(ment ac)|(multiple cpu faults)|(system.+state.+changed )|(\[timeout)|(PRM\|1\|D)|(kpr)|(kdp)|(train st.+moving)|(\|lc)|(penalty))"</v>
      </c>
      <c r="AG112" s="244" t="str">
        <f t="shared" si="44"/>
        <v>EC</v>
      </c>
      <c r="AH112" s="236" t="str">
        <f t="shared" si="45"/>
        <v>"%USERPROFILE%\Documents\GitHub\eaglep3\Utilities\RefineRTDCRunTimes.py" --tripid 199-18 --locoid 4016 --swversion DE.1.0.9.0 --startMP 204:508 --initTime 2017-12-18T15:54:45 --startdatetime 2017-12-18T16:00:25 --delay 67 --endMP 204:233270 --enddatetime 2017-12-18T16:36:49 --enforcementcount 0 &gt;&gt;%USERPROFILE%\Documents\GitHub\eaglep3-reporting\EC\2017-12-18-refined-times.txt</v>
      </c>
      <c r="AI11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ID","value":"199-18"},{"id":16,"name":"Locomotive ID","value":"4016"},{"id":130,"name":"Impact","value":""},{"id":150,"name":"Time of Event (Mountain Time)","value":"16:36:49"},{"id":151,"name":"Denver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7"/>
        <v>start /low /b %USERPROFILE%\Documents\GitHub\eaglep3\Utilities\DownloadLogsFromS3.py --loco 4016 --day 2017-12-18</v>
      </c>
      <c r="AN112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9"/>
        <v>https://d0f6bd738d7f1b3e5a7ca70fe4ff75f0.us-east-1.aws.found.io/app/kibana#/discover/Steve-Slow-Train-Analysis-(2080s-and-2083s)?_g=(refreshInterval:(display:Off,pause:!f,section:0,value:0),time:(from:'2017-12-18T14:54:45-0700',mode:absolute,to:'2017-12-18T17:36:49-0700'))&amp;_a=(columns:!('Message%20ID',Summary),filters:!(),index:'emp_*',interval:auto,query:(query_string:(analyze_wildcard:!t,query:'%22rtdc.l.rtdc.4016%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824</v>
      </c>
      <c r="B113" s="225">
        <v>4015</v>
      </c>
      <c r="C113" s="227" t="s">
        <v>192</v>
      </c>
      <c r="D113" s="227" t="s">
        <v>636</v>
      </c>
      <c r="E113" s="226">
        <v>43087.702384259261</v>
      </c>
      <c r="F113" s="226">
        <v>43087.706435185188</v>
      </c>
      <c r="G113" s="225">
        <v>55</v>
      </c>
      <c r="H113" s="227" t="s">
        <v>522</v>
      </c>
      <c r="I113" s="226">
        <v>43087.734803240739</v>
      </c>
      <c r="J113" s="225">
        <v>0</v>
      </c>
      <c r="K113" s="237" t="str">
        <f t="shared" si="35"/>
        <v>4015/4016</v>
      </c>
      <c r="L113" s="245" t="str">
        <f>VLOOKUP(A113,'Trips&amp;Operators'!$C$1:$G$99911,5,FALSE)</f>
        <v>BADERTSCHER DIANE</v>
      </c>
      <c r="M113" s="224">
        <f t="shared" si="54"/>
        <v>2.8368055551254656E-2</v>
      </c>
      <c r="N113" s="225">
        <f t="shared" si="51"/>
        <v>40.849999993806705</v>
      </c>
      <c r="O113" s="225"/>
      <c r="P113" s="225"/>
      <c r="Q113" s="228"/>
      <c r="R113" s="242"/>
      <c r="S113" s="249">
        <f t="shared" si="52"/>
        <v>1</v>
      </c>
      <c r="T113" s="242" t="str">
        <f t="shared" si="37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8"/>
        <v>https://d0f6bd738d7f1b3e5a7ca70fe4ff75f0.us-east-1.aws.found.io/app/kibana#/discover/Steve-Slow-Train-Analysis-(2080s-and-2083s)?_g=(refreshInterval:(display:Off,pause:!f,section:0,value:0),time:(from:'2017-12-18T15:51:26-0700',mode:absolute,to:'2017-12-18T18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247" t="str">
        <f>IF(AA113&lt;VLOOKUP(AG113,Variables!$AC$3:$AD$8,2,FALSE),"Y","N")</f>
        <v>N</v>
      </c>
      <c r="X113" s="247">
        <f t="shared" si="55"/>
        <v>1</v>
      </c>
      <c r="Y113" s="247">
        <f t="shared" si="53"/>
        <v>23.295999999999999</v>
      </c>
      <c r="Z113" s="247">
        <f t="shared" ref="Z113:Z144" si="56">RIGHT(H113,LEN(H113)-4)/10000</f>
        <v>2.18E-2</v>
      </c>
      <c r="AA113" s="247">
        <f t="shared" si="40"/>
        <v>23.2742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41"/>
        <v>200</v>
      </c>
      <c r="AE113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13" s="234" t="str">
        <f t="shared" si="43"/>
        <v>"C:\Program Files (x86)\AstroGrep\AstroGrep.exe" /e /r /s /spath="%USERPROFILE%\AppData\Local\Temp\OnboardLogs" /stypes="app*4015*20171219*" /stext=" 00:.+((SYSTEM_STATE.+slice.+state.+changed )|(ment ac)|(multiple cpu faults)|(system.+state.+changed )|(\[timeout)|(PRM\|1\|D)|(kpr)|(kdp)|(train st.+moving)|(\|lc)|(penalty))"</v>
      </c>
      <c r="AG113" s="244" t="str">
        <f t="shared" si="44"/>
        <v>EC</v>
      </c>
      <c r="AH113" s="236" t="str">
        <f t="shared" si="45"/>
        <v>"%USERPROFILE%\Documents\GitHub\eaglep3\Utilities\RefineRTDCRunTimes.py" --tripid 200-18 --locoid 4015 --swversion DE.1.0.9.0 --startMP 204:232960 --initTime 2017-12-18T16:51:26 --startdatetime 2017-12-18T16:57:16 --delay 55 --endMP 204:218 --enddatetime 2017-12-18T17:38:07 --enforcementcount 0 &gt;&gt;%USERPROFILE%\Documents\GitHub\eaglep3-reporting\EC\2017-12-18-refined-times.txt</v>
      </c>
      <c r="AI11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{"issue":{"subject":"","project_id":79,"tracker_id":40,"status_id":1,"priority_id":2,"assigned_to_id":338,"start_date":"2017-12-18","description":"","custom_fields":[{"id":1,"name":"Subdivision","value":"EC"},{"id":4,"name":"Milepost","value":"0.0218"},{"id":17,"name":"Train ID","value":"200-18"},{"id":16,"name":"Locomotive ID","value":"4015"},{"id":130,"name":"Impact","value":""},{"id":150,"name":"Time of Event (Mountain Time)","value":"17:38:07"},{"id":151,"name":"Denver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7"/>
        <v>start /low /b %USERPROFILE%\Documents\GitHub\eaglep3\Utilities\DownloadLogsFromS3.py --loco 4015 --day 2017-12-18</v>
      </c>
      <c r="AN113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9"/>
        <v>https://d0f6bd738d7f1b3e5a7ca70fe4ff75f0.us-east-1.aws.found.io/app/kibana#/discover/Steve-Slow-Train-Analysis-(2080s-and-2083s)?_g=(refreshInterval:(display:Off,pause:!f,section:0,value:0),time:(from:'2017-12-18T15:51:26-0700',mode:absolute,to:'2017-12-18T18:38:07-0700'))&amp;_a=(columns:!('Message%20ID',Summary),filters:!(),index:'emp_*',interval:auto,query:(query_string:(analyze_wildcard:!t,query:'%22rtdc.l.rtdc.4015%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25">
      <c r="A114" s="229" t="s">
        <v>817</v>
      </c>
      <c r="B114" s="225">
        <v>4026</v>
      </c>
      <c r="C114" s="227" t="s">
        <v>192</v>
      </c>
      <c r="D114" s="227" t="s">
        <v>954</v>
      </c>
      <c r="E114" s="226">
        <v>43087.672881944447</v>
      </c>
      <c r="F114" s="226">
        <v>43087.677395833336</v>
      </c>
      <c r="G114" s="225">
        <v>64</v>
      </c>
      <c r="H114" s="227" t="s">
        <v>955</v>
      </c>
      <c r="I114" s="226">
        <v>43087.703020833331</v>
      </c>
      <c r="J114" s="225">
        <v>0</v>
      </c>
      <c r="K114" s="237" t="str">
        <f t="shared" si="35"/>
        <v>4025/4026</v>
      </c>
      <c r="L114" s="245" t="str">
        <f>VLOOKUP(A114,'Trips&amp;Operators'!$C$1:$G$99911,5,FALSE)</f>
        <v>SMITH MICHAEL</v>
      </c>
      <c r="M114" s="224">
        <f t="shared" si="54"/>
        <v>2.5624999994761311E-2</v>
      </c>
      <c r="N114" s="225">
        <f t="shared" ref="N114:N126" si="57">24*60*SUM($M114:$M114)</f>
        <v>36.899999992456287</v>
      </c>
      <c r="O114" s="225"/>
      <c r="P114" s="225"/>
      <c r="Q114" s="228"/>
      <c r="R114" s="242"/>
      <c r="S114" s="249">
        <f t="shared" ref="S114:S127" si="58">1/IF(AG114="EC",12,1)*SUM(U114:U114)</f>
        <v>1</v>
      </c>
      <c r="T114" s="242" t="str">
        <f t="shared" si="37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8"/>
        <v>https://d0f6bd738d7f1b3e5a7ca70fe4ff75f0.us-east-1.aws.found.io/app/kibana#/discover/Steve-Slow-Train-Analysis-(2080s-and-2083s)?_g=(refreshInterval:(display:Off,pause:!f,section:0,value:0),time:(from:'2017-12-18T15:08:57-0700',mode:absolute,to:'2017-12-18T17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7" t="str">
        <f>IF(AA114&lt;VLOOKUP(AG114,Variables!$AC$3:$AD$8,2,FALSE),"Y","N")</f>
        <v>N</v>
      </c>
      <c r="X114" s="247">
        <f t="shared" si="55"/>
        <v>1</v>
      </c>
      <c r="Y114" s="247">
        <f t="shared" ref="Y114:Y145" si="59">RIGHT(D114,LEN(D114)-4)/10000</f>
        <v>5.7099999999999998E-2</v>
      </c>
      <c r="Z114" s="247">
        <f t="shared" si="56"/>
        <v>23.321300000000001</v>
      </c>
      <c r="AA114" s="247">
        <f t="shared" si="40"/>
        <v>23.264200000000002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41"/>
        <v>201</v>
      </c>
      <c r="AE114" s="235" t="str">
        <f t="shared" si="42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114" s="234" t="str">
        <f t="shared" si="43"/>
        <v>"C:\Program Files (x86)\AstroGrep\AstroGrep.exe" /e /r /s /spath="%USERPROFILE%\AppData\Local\Temp\OnboardLogs" /stypes="app*4026*20171218*" /stext=" 23:.+((SYSTEM_STATE.+slice.+state.+changed )|(ment ac)|(multiple cpu faults)|(system.+state.+changed )|(\[timeout)|(PRM\|1\|D)|(kpr)|(kdp)|(train st.+moving)|(\|lc)|(penalty))"</v>
      </c>
      <c r="AG114" s="244" t="str">
        <f t="shared" si="44"/>
        <v>EC</v>
      </c>
      <c r="AH114" s="236" t="str">
        <f t="shared" si="45"/>
        <v>"%USERPROFILE%\Documents\GitHub\eaglep3\Utilities\RefineRTDCRunTimes.py" --tripid 201-18 --locoid 4026 --swversion DE.1.0.9.0 --startMP 204:571 --initTime 2017-12-18T16:08:57 --startdatetime 2017-12-18T16:15:27 --delay 64 --endMP 204:233213 --enddatetime 2017-12-18T16:52:21 --enforcementcount 0 &gt;&gt;%USERPROFILE%\Documents\GitHub\eaglep3-reporting\EC\2017-12-18-refined-times.txt</v>
      </c>
      <c r="AI11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{"issue":{"subject":"","project_id":79,"tracker_id":40,"status_id":1,"priority_id":2,"assigned_to_id":338,"start_date":"2017-12-18","description":"","custom_fields":[{"id":1,"name":"Subdivision","value":"EC"},{"id":4,"name":"Milepost","value":"23.3213"},{"id":17,"name":"Train ID","value":"201-18"},{"id":16,"name":"Locomotive ID","value":"4026"},{"id":130,"name":"Impact","value":""},{"id":150,"name":"Time of Event (Mountain Time)","value":"16:52:21"},{"id":151,"name":"Denver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47"/>
        <v>start /low /b %USERPROFILE%\Documents\GitHub\eaglep3\Utilities\DownloadLogsFromS3.py --loco 4026 --day 2017-12-18</v>
      </c>
      <c r="AN114" s="241" t="str">
        <f t="shared" si="4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9"/>
        <v>https://d0f6bd738d7f1b3e5a7ca70fe4ff75f0.us-east-1.aws.found.io/app/kibana#/discover/Steve-Slow-Train-Analysis-(2080s-and-2083s)?_g=(refreshInterval:(display:Off,pause:!f,section:0,value:0),time:(from:'2017-12-18T15:08:57-0700',mode:absolute,to:'2017-12-18T17:52:21-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25">
      <c r="A115" s="229" t="s">
        <v>828</v>
      </c>
      <c r="B115" s="225">
        <v>4025</v>
      </c>
      <c r="C115" s="227" t="s">
        <v>192</v>
      </c>
      <c r="D115" s="227" t="s">
        <v>642</v>
      </c>
      <c r="E115" s="226">
        <v>43087.709224537037</v>
      </c>
      <c r="F115" s="226">
        <v>43087.716863425929</v>
      </c>
      <c r="G115" s="225">
        <v>68</v>
      </c>
      <c r="H115" s="227" t="s">
        <v>956</v>
      </c>
      <c r="I115" s="226">
        <v>43087.742743055554</v>
      </c>
      <c r="J115" s="225">
        <v>0</v>
      </c>
      <c r="K115" s="237" t="str">
        <f t="shared" si="35"/>
        <v>4025/4026</v>
      </c>
      <c r="L115" s="245" t="str">
        <f>VLOOKUP(A115,'Trips&amp;Operators'!$C$1:$G$99911,5,FALSE)</f>
        <v>SMITH MICHAEL</v>
      </c>
      <c r="M115" s="224">
        <f t="shared" si="54"/>
        <v>2.5879629625706002E-2</v>
      </c>
      <c r="N115" s="225">
        <f t="shared" si="57"/>
        <v>37.266666661016643</v>
      </c>
      <c r="O115" s="225"/>
      <c r="P115" s="225"/>
      <c r="Q115" s="228"/>
      <c r="R115" s="242"/>
      <c r="S115" s="249">
        <f t="shared" si="58"/>
        <v>1</v>
      </c>
      <c r="T115" s="242" t="str">
        <f t="shared" si="37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8"/>
        <v>https://d0f6bd738d7f1b3e5a7ca70fe4ff75f0.us-east-1.aws.found.io/app/kibana#/discover/Steve-Slow-Train-Analysis-(2080s-and-2083s)?_g=(refreshInterval:(display:Off,pause:!f,section:0,value:0),time:(from:'2017-12-18T16:01:17-0700',mode:absolute,to:'2017-12-18T18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47" t="str">
        <f>IF(AA115&lt;VLOOKUP(AG115,Variables!$AC$3:$AD$8,2,FALSE),"Y","N")</f>
        <v>N</v>
      </c>
      <c r="X115" s="247">
        <f t="shared" si="55"/>
        <v>1</v>
      </c>
      <c r="Y115" s="247">
        <f t="shared" si="59"/>
        <v>23.288399999999999</v>
      </c>
      <c r="Z115" s="247">
        <f t="shared" si="56"/>
        <v>2.5100000000000001E-2</v>
      </c>
      <c r="AA115" s="247">
        <f t="shared" si="40"/>
        <v>23.263300000000001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41"/>
        <v>202</v>
      </c>
      <c r="AE115" s="235" t="str">
        <f t="shared" si="42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115" s="234" t="str">
        <f t="shared" si="43"/>
        <v>"C:\Program Files (x86)\AstroGrep\AstroGrep.exe" /e /r /s /spath="%USERPROFILE%\AppData\Local\Temp\OnboardLogs" /stypes="app*4025*20171219*" /stext=" 00:.+((SYSTEM_STATE.+slice.+state.+changed )|(ment ac)|(multiple cpu faults)|(system.+state.+changed )|(\[timeout)|(PRM\|1\|D)|(kpr)|(kdp)|(train st.+moving)|(\|lc)|(penalty))"</v>
      </c>
      <c r="AG115" s="244" t="str">
        <f t="shared" si="44"/>
        <v>EC</v>
      </c>
      <c r="AH115" s="236" t="str">
        <f t="shared" si="45"/>
        <v>"%USERPROFILE%\Documents\GitHub\eaglep3\Utilities\RefineRTDCRunTimes.py" --tripid 202-18 --locoid 4025 --swversion DE.1.0.9.0 --startMP 204:232884 --initTime 2017-12-18T17:01:17 --startdatetime 2017-12-18T17:12:17 --delay 68 --endMP 204:251 --enddatetime 2017-12-18T17:49:33 --enforcementcount 0 &gt;&gt;%USERPROFILE%\Documents\GitHub\eaglep3-reporting\EC\2017-12-18-refined-times.txt</v>
      </c>
      <c r="AI11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{"issue":{"subject":"","project_id":79,"tracker_id":40,"status_id":1,"priority_id":2,"assigned_to_id":338,"start_date":"2017-12-18","description":"","custom_fields":[{"id":1,"name":"Subdivision","value":"EC"},{"id":4,"name":"Milepost","value":"0.0251"},{"id":17,"name":"Train ID","value":"202-18"},{"id":16,"name":"Locomotive ID","value":"4025"},{"id":130,"name":"Impact","value":""},{"id":150,"name":"Time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47"/>
        <v>start /low /b %USERPROFILE%\Documents\GitHub\eaglep3\Utilities\DownloadLogsFromS3.py --loco 4025 --day 2017-12-18</v>
      </c>
      <c r="AN115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9"/>
        <v>https://d0f6bd738d7f1b3e5a7ca70fe4ff75f0.us-east-1.aws.found.io/app/kibana#/discover/Steve-Slow-Train-Analysis-(2080s-and-2083s)?_g=(refreshInterval:(display:Off,pause:!f,section:0,value:0),time:(from:'2017-12-18T16:01:17-0700',mode:absolute,to:'2017-12-18T18:49:33-0700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819</v>
      </c>
      <c r="B116" s="225">
        <v>4010</v>
      </c>
      <c r="C116" s="227" t="s">
        <v>192</v>
      </c>
      <c r="D116" s="227" t="s">
        <v>510</v>
      </c>
      <c r="E116" s="226">
        <v>43087.68545138889</v>
      </c>
      <c r="F116" s="226">
        <v>43087.687962962962</v>
      </c>
      <c r="G116" s="225">
        <v>57</v>
      </c>
      <c r="H116" s="227" t="s">
        <v>567</v>
      </c>
      <c r="I116" s="226">
        <v>43087.714687500003</v>
      </c>
      <c r="J116" s="225">
        <v>0</v>
      </c>
      <c r="K116" s="237" t="str">
        <f t="shared" si="35"/>
        <v>4009/4010</v>
      </c>
      <c r="L116" s="245" t="str">
        <f>VLOOKUP(A116,'Trips&amp;Operators'!$C$1:$G$99911,5,FALSE)</f>
        <v>DAVIS MICHAEL</v>
      </c>
      <c r="M116" s="224">
        <f t="shared" si="54"/>
        <v>2.6724537041445728E-2</v>
      </c>
      <c r="N116" s="225">
        <f t="shared" si="57"/>
        <v>38.483333339681849</v>
      </c>
      <c r="O116" s="225"/>
      <c r="P116" s="225"/>
      <c r="Q116" s="228"/>
      <c r="R116" s="242"/>
      <c r="S116" s="249">
        <f t="shared" si="58"/>
        <v>1</v>
      </c>
      <c r="T116" s="242" t="str">
        <f t="shared" si="37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8"/>
        <v>https://d0f6bd738d7f1b3e5a7ca70fe4ff75f0.us-east-1.aws.found.io/app/kibana#/discover/Steve-Slow-Train-Analysis-(2080s-and-2083s)?_g=(refreshInterval:(display:Off,pause:!f,section:0,value:0),time:(from:'2017-12-18T15:27:03-0700',mode:absolute,to:'2017-12-18T18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247" t="str">
        <f>IF(AA116&lt;VLOOKUP(AG116,Variables!$AC$3:$AD$8,2,FALSE),"Y","N")</f>
        <v>N</v>
      </c>
      <c r="X116" s="247">
        <f t="shared" si="55"/>
        <v>1</v>
      </c>
      <c r="Y116" s="247">
        <f t="shared" si="59"/>
        <v>5.1999999999999998E-2</v>
      </c>
      <c r="Z116" s="247">
        <f t="shared" si="56"/>
        <v>23.3308</v>
      </c>
      <c r="AA116" s="247">
        <f t="shared" si="40"/>
        <v>23.2788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41"/>
        <v>203</v>
      </c>
      <c r="AE116" s="235" t="str">
        <f t="shared" si="42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116" s="234" t="str">
        <f t="shared" si="43"/>
        <v>"C:\Program Files (x86)\AstroGrep\AstroGrep.exe" /e /r /s /spath="%USERPROFILE%\AppData\Local\Temp\OnboardLogs" /stypes="app*4010*20171219*" /stext=" 00:.+((SYSTEM_STATE.+slice.+state.+changed )|(ment ac)|(multiple cpu faults)|(system.+state.+changed )|(\[timeout)|(PRM\|1\|D)|(kpr)|(kdp)|(train st.+moving)|(\|lc)|(penalty))"</v>
      </c>
      <c r="AG116" s="244" t="str">
        <f t="shared" si="44"/>
        <v>EC</v>
      </c>
      <c r="AH116" s="236" t="str">
        <f t="shared" si="45"/>
        <v>"%USERPROFILE%\Documents\GitHub\eaglep3\Utilities\RefineRTDCRunTimes.py" --tripid 203-18 --locoid 4010 --swversion DE.1.0.9.0 --startMP 204:520 --initTime 2017-12-18T16:27:03 --startdatetime 2017-12-18T16:30:40 --delay 57 --endMP 204:233308 --enddatetime 2017-12-18T17:09:09 --enforcementcount 0 &gt;&gt;%USERPROFILE%\Documents\GitHub\eaglep3-reporting\EC\2017-12-18-refined-times.txt</v>
      </c>
      <c r="AI11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{"issue":{"subject":"","project_id":79,"tracker_id":40,"status_id":1,"priority_id":2,"assigned_to_id":338,"start_date":"2017-12-18","description":"","custom_fields":[{"id":1,"name":"Subdivision","value":"EC"},{"id":4,"name":"Milepost","value":"23.3308"},{"id":17,"name":"Train ID","value":"203-18"},{"id":16,"name":"Locomotive ID","value":"4010"},{"id":130,"name":"Impact","value":""},{"id":150,"name":"Time of Event (Mountain Time)","value":"17:09:09"},{"id":151,"name":"Denver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7"/>
        <v>start /low /b %USERPROFILE%\Documents\GitHub\eaglep3\Utilities\DownloadLogsFromS3.py --loco 4010 --day 2017-12-18</v>
      </c>
      <c r="AN116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9"/>
        <v>https://d0f6bd738d7f1b3e5a7ca70fe4ff75f0.us-east-1.aws.found.io/app/kibana#/discover/Steve-Slow-Train-Analysis-(2080s-and-2083s)?_g=(refreshInterval:(display:Off,pause:!f,section:0,value:0),time:(from:'2017-12-18T15:27:03-0700',mode:absolute,to:'2017-12-18T18:09:09-0700'))&amp;_a=(columns:!('Message%20ID',Summary),filters:!(),index:'emp_*',interval:auto,query:(query_string:(analyze_wildcard:!t,query:'%22rtdc.l.rtdc.4010%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833</v>
      </c>
      <c r="B117" s="225">
        <v>4009</v>
      </c>
      <c r="C117" s="227" t="s">
        <v>192</v>
      </c>
      <c r="D117" s="227" t="s">
        <v>557</v>
      </c>
      <c r="E117" s="226">
        <v>43087.725451388891</v>
      </c>
      <c r="F117" s="226">
        <v>43087.727430555555</v>
      </c>
      <c r="G117" s="225">
        <v>51</v>
      </c>
      <c r="H117" s="227" t="s">
        <v>535</v>
      </c>
      <c r="I117" s="226">
        <v>43087.755497685182</v>
      </c>
      <c r="J117" s="225">
        <v>0</v>
      </c>
      <c r="K117" s="237" t="str">
        <f t="shared" si="35"/>
        <v>4009/4010</v>
      </c>
      <c r="L117" s="245" t="str">
        <f>VLOOKUP(A117,'Trips&amp;Operators'!$C$1:$G$99911,5,FALSE)</f>
        <v>DAVIS MICHAEL</v>
      </c>
      <c r="M117" s="224">
        <f t="shared" si="54"/>
        <v>2.806712962774327E-2</v>
      </c>
      <c r="N117" s="225">
        <f t="shared" si="57"/>
        <v>40.416666663950309</v>
      </c>
      <c r="O117" s="225"/>
      <c r="P117" s="225"/>
      <c r="Q117" s="228"/>
      <c r="R117" s="242"/>
      <c r="S117" s="249">
        <f t="shared" si="58"/>
        <v>1</v>
      </c>
      <c r="T117" s="242" t="str">
        <f t="shared" si="37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8"/>
        <v>https://d0f6bd738d7f1b3e5a7ca70fe4ff75f0.us-east-1.aws.found.io/app/kibana#/discover/Steve-Slow-Train-Analysis-(2080s-and-2083s)?_g=(refreshInterval:(display:Off,pause:!f,section:0,value:0),time:(from:'2017-12-18T16:24:39-0700',mode:absolute,to:'2017-12-18T19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247" t="str">
        <f>IF(AA117&lt;VLOOKUP(AG117,Variables!$AC$3:$AD$8,2,FALSE),"Y","N")</f>
        <v>N</v>
      </c>
      <c r="X117" s="247">
        <f t="shared" si="55"/>
        <v>1</v>
      </c>
      <c r="Y117" s="247">
        <f t="shared" si="59"/>
        <v>23.2987</v>
      </c>
      <c r="Z117" s="247">
        <f t="shared" si="56"/>
        <v>2.1999999999999999E-2</v>
      </c>
      <c r="AA117" s="247">
        <f t="shared" si="40"/>
        <v>23.276700000000002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41"/>
        <v>204</v>
      </c>
      <c r="AE117" s="235" t="str">
        <f t="shared" si="42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117" s="234" t="str">
        <f t="shared" si="43"/>
        <v>"C:\Program Files (x86)\AstroGrep\AstroGrep.exe" /e /r /s /spath="%USERPROFILE%\AppData\Local\Temp\OnboardLogs" /stypes="app*4009*20171219*" /stext=" 01:.+((SYSTEM_STATE.+slice.+state.+changed )|(ment ac)|(multiple cpu faults)|(system.+state.+changed )|(\[timeout)|(PRM\|1\|D)|(kpr)|(kdp)|(train st.+moving)|(\|lc)|(penalty))"</v>
      </c>
      <c r="AG117" s="244" t="str">
        <f t="shared" si="44"/>
        <v>EC</v>
      </c>
      <c r="AH117" s="236" t="str">
        <f t="shared" si="45"/>
        <v>"%USERPROFILE%\Documents\GitHub\eaglep3\Utilities\RefineRTDCRunTimes.py" --tripid 204-18 --locoid 4009 --swversion DE.1.0.9.0 --startMP 204:232987 --initTime 2017-12-18T17:24:39 --startdatetime 2017-12-18T17:27:30 --delay 51 --endMP 204:220 --enddatetime 2017-12-18T18:07:55 --enforcementcount 0 &gt;&gt;%USERPROFILE%\Documents\GitHub\eaglep3-reporting\EC\2017-12-18-refined-times.txt</v>
      </c>
      <c r="AI117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{"issue":{"subject":"","project_id":79,"tracker_id":40,"status_id":1,"priority_id":2,"assigned_to_id":338,"start_date":"2017-12-18","description":"","custom_fields":[{"id":1,"name":"Subdivision","value":"EC"},{"id":4,"name":"Milepost","value":"0.022"},{"id":17,"name":"Train ID","value":"204-18"},{"id":16,"name":"Locomotive ID","value":"4009"},{"id":130,"name":"Impact","value":""},{"id":150,"name":"Time of Event (Mountain Time)","value":"18:07:55"},{"id":151,"name":"Denver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7"/>
        <v>start /low /b %USERPROFILE%\Documents\GitHub\eaglep3\Utilities\DownloadLogsFromS3.py --loco 4009 --day 2017-12-18</v>
      </c>
      <c r="AN117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9"/>
        <v>https://d0f6bd738d7f1b3e5a7ca70fe4ff75f0.us-east-1.aws.found.io/app/kibana#/discover/Steve-Slow-Train-Analysis-(2080s-and-2083s)?_g=(refreshInterval:(display:Off,pause:!f,section:0,value:0),time:(from:'2017-12-18T16:24:39-0700',mode:absolute,to:'2017-12-18T19:07:55-0700'))&amp;_a=(columns:!('Message%20ID',Summary),filters:!(),index:'emp_*',interval:auto,query:(query_string:(analyze_wildcard:!t,query:'%22rtdc.l.rtdc.4009%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823</v>
      </c>
      <c r="B118" s="225">
        <v>4044</v>
      </c>
      <c r="C118" s="227" t="s">
        <v>192</v>
      </c>
      <c r="D118" s="227" t="s">
        <v>539</v>
      </c>
      <c r="E118" s="226">
        <v>43087.693761574075</v>
      </c>
      <c r="F118" s="226">
        <v>43087.698136574072</v>
      </c>
      <c r="G118" s="225">
        <v>61</v>
      </c>
      <c r="H118" s="227" t="s">
        <v>602</v>
      </c>
      <c r="I118" s="226">
        <v>43087.723900462966</v>
      </c>
      <c r="J118" s="225">
        <v>0</v>
      </c>
      <c r="K118" s="237" t="str">
        <f t="shared" si="35"/>
        <v>4043/4044</v>
      </c>
      <c r="L118" s="245" t="str">
        <f>VLOOKUP(A118,'Trips&amp;Operators'!$C$1:$G$99911,5,FALSE)</f>
        <v>STEWART MICHAEL</v>
      </c>
      <c r="M118" s="224">
        <f t="shared" si="54"/>
        <v>2.5763888894289266E-2</v>
      </c>
      <c r="N118" s="225">
        <f t="shared" si="57"/>
        <v>37.100000007776543</v>
      </c>
      <c r="O118" s="225"/>
      <c r="P118" s="225"/>
      <c r="Q118" s="228"/>
      <c r="R118" s="242"/>
      <c r="S118" s="249">
        <f t="shared" si="58"/>
        <v>1</v>
      </c>
      <c r="T118" s="242" t="str">
        <f t="shared" si="37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8"/>
        <v>https://d0f6bd738d7f1b3e5a7ca70fe4ff75f0.us-east-1.aws.found.io/app/kibana#/discover/Steve-Slow-Train-Analysis-(2080s-and-2083s)?_g=(refreshInterval:(display:Off,pause:!f,section:0,value:0),time:(from:'2017-12-18T15:39:01-0700',mode:absolute,to:'2017-12-18T18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247" t="str">
        <f>IF(AA118&lt;VLOOKUP(AG118,Variables!$AC$3:$AD$8,2,FALSE),"Y","N")</f>
        <v>N</v>
      </c>
      <c r="X118" s="247">
        <f t="shared" si="55"/>
        <v>1</v>
      </c>
      <c r="Y118" s="247">
        <f t="shared" si="59"/>
        <v>4.8599999999999997E-2</v>
      </c>
      <c r="Z118" s="247">
        <f t="shared" si="56"/>
        <v>23.328900000000001</v>
      </c>
      <c r="AA118" s="247">
        <f t="shared" si="40"/>
        <v>23.2803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41"/>
        <v>205</v>
      </c>
      <c r="AE118" s="235" t="str">
        <f t="shared" si="42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18" s="234" t="str">
        <f t="shared" si="43"/>
        <v>"C:\Program Files (x86)\AstroGrep\AstroGrep.exe" /e /r /s /spath="%USERPROFILE%\AppData\Local\Temp\OnboardLogs" /stypes="app*4044*20171219*" /stext=" 00:.+((SYSTEM_STATE.+slice.+state.+changed )|(ment ac)|(multiple cpu faults)|(system.+state.+changed )|(\[timeout)|(PRM\|1\|D)|(kpr)|(kdp)|(train st.+moving)|(\|lc)|(penalty))"</v>
      </c>
      <c r="AG118" s="244" t="str">
        <f t="shared" si="44"/>
        <v>EC</v>
      </c>
      <c r="AH118" s="236" t="str">
        <f t="shared" si="45"/>
        <v>"%USERPROFILE%\Documents\GitHub\eaglep3\Utilities\RefineRTDCRunTimes.py" --tripid 205-18 --locoid 4044 --swversion DE.1.0.9.0 --startMP 204:486 --initTime 2017-12-18T16:39:01 --startdatetime 2017-12-18T16:45:19 --delay 61 --endMP 204:233289 --enddatetime 2017-12-18T17:22:25 --enforcementcount 0 &gt;&gt;%USERPROFILE%\Documents\GitHub\eaglep3-reporting\EC\2017-12-18-refined-times.txt</v>
      </c>
      <c r="AI11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{"issue":{"subject":"","project_id":79,"tracker_id":40,"status_id":1,"priority_id":2,"assigned_to_id":338,"start_date":"2017-12-18","description":"","custom_fields":[{"id":1,"name":"Subdivision","value":"EC"},{"id":4,"name":"Milepost","value":"23.3289"},{"id":17,"name":"Train ID","value":"205-18"},{"id":16,"name":"Locomotive ID","value":"4044"},{"id":130,"name":"Impact","value":""},{"id":150,"name":"Time of Event (Mountain Time)","value":"17:22:25"},{"id":151,"name":"Denver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7"/>
        <v>start /low /b %USERPROFILE%\Documents\GitHub\eaglep3\Utilities\DownloadLogsFromS3.py --loco 4044 --day 2017-12-18</v>
      </c>
      <c r="AN118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9"/>
        <v>https://d0f6bd738d7f1b3e5a7ca70fe4ff75f0.us-east-1.aws.found.io/app/kibana#/discover/Steve-Slow-Train-Analysis-(2080s-and-2083s)?_g=(refreshInterval:(display:Off,pause:!f,section:0,value:0),time:(from:'2017-12-18T15:39:01-0700',mode:absolute,to:'2017-12-18T18:22:25-0700'))&amp;_a=(columns:!('Message%20ID',Summary),filters:!(),index:'emp_*',interval:auto,query:(query_string:(analyze_wildcard:!t,query:'%22rtdc.l.rtdc.4044%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837</v>
      </c>
      <c r="B119" s="225">
        <v>4043</v>
      </c>
      <c r="C119" s="227" t="s">
        <v>192</v>
      </c>
      <c r="D119" s="227" t="s">
        <v>957</v>
      </c>
      <c r="E119" s="226">
        <v>43087.733032407406</v>
      </c>
      <c r="F119" s="226">
        <v>43087.737708333334</v>
      </c>
      <c r="G119" s="225">
        <v>54</v>
      </c>
      <c r="H119" s="227" t="s">
        <v>568</v>
      </c>
      <c r="I119" s="226">
        <v>43087.764131944445</v>
      </c>
      <c r="J119" s="225">
        <v>0</v>
      </c>
      <c r="K119" s="237" t="str">
        <f t="shared" si="35"/>
        <v>4043/4044</v>
      </c>
      <c r="L119" s="245" t="str">
        <f>VLOOKUP(A119,'Trips&amp;Operators'!$C$1:$G$99911,5,FALSE)</f>
        <v>STEWART MICHAEL</v>
      </c>
      <c r="M119" s="224">
        <f t="shared" si="54"/>
        <v>2.6423611110658385E-2</v>
      </c>
      <c r="N119" s="225">
        <f t="shared" si="57"/>
        <v>38.049999999348074</v>
      </c>
      <c r="O119" s="225"/>
      <c r="P119" s="225"/>
      <c r="Q119" s="228"/>
      <c r="R119" s="242"/>
      <c r="S119" s="249">
        <f t="shared" si="58"/>
        <v>1</v>
      </c>
      <c r="T119" s="242" t="str">
        <f t="shared" si="37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8"/>
        <v>https://d0f6bd738d7f1b3e5a7ca70fe4ff75f0.us-east-1.aws.found.io/app/kibana#/discover/Steve-Slow-Train-Analysis-(2080s-and-2083s)?_g=(refreshInterval:(display:Off,pause:!f,section:0,value:0),time:(from:'2017-12-18T16:35:34-0700',mode:absolute,to:'2017-12-18T19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247" t="str">
        <f>IF(AA119&lt;VLOOKUP(AG119,Variables!$AC$3:$AD$8,2,FALSE),"Y","N")</f>
        <v>N</v>
      </c>
      <c r="X119" s="247">
        <f t="shared" si="55"/>
        <v>1</v>
      </c>
      <c r="Y119" s="247">
        <f t="shared" si="59"/>
        <v>23.296500000000002</v>
      </c>
      <c r="Z119" s="247">
        <f t="shared" si="56"/>
        <v>1.9199999999999998E-2</v>
      </c>
      <c r="AA119" s="247">
        <f t="shared" si="40"/>
        <v>23.2773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41"/>
        <v>206</v>
      </c>
      <c r="AE119" s="235" t="str">
        <f t="shared" si="42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119" s="234" t="str">
        <f t="shared" si="43"/>
        <v>"C:\Program Files (x86)\AstroGrep\AstroGrep.exe" /e /r /s /spath="%USERPROFILE%\AppData\Local\Temp\OnboardLogs" /stypes="app*4043*20171219*" /stext=" 01:.+((SYSTEM_STATE.+slice.+state.+changed )|(ment ac)|(multiple cpu faults)|(system.+state.+changed )|(\[timeout)|(PRM\|1\|D)|(kpr)|(kdp)|(train st.+moving)|(\|lc)|(penalty))"</v>
      </c>
      <c r="AG119" s="244" t="str">
        <f t="shared" si="44"/>
        <v>EC</v>
      </c>
      <c r="AH119" s="236" t="str">
        <f t="shared" si="45"/>
        <v>"%USERPROFILE%\Documents\GitHub\eaglep3\Utilities\RefineRTDCRunTimes.py" --tripid 206-18 --locoid 4043 --swversion DE.1.0.9.0 --startMP 204:232965 --initTime 2017-12-18T17:35:34 --startdatetime 2017-12-18T17:42:18 --delay 54 --endMP 204:192 --enddatetime 2017-12-18T18:20:21 --enforcementcount 0 &gt;&gt;%USERPROFILE%\Documents\GitHub\eaglep3-reporting\EC\2017-12-18-refined-times.txt</v>
      </c>
      <c r="AI11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{"issue":{"subject":"","project_id":79,"tracker_id":40,"status_id":1,"priority_id":2,"assigned_to_id":338,"start_date":"2017-12-18","description":"","custom_fields":[{"id":1,"name":"Subdivision","value":"EC"},{"id":4,"name":"Milepost","value":"0.0192"},{"id":17,"name":"Train ID","value":"206-18"},{"id":16,"name":"Locomotive ID","value":"4043"},{"id":130,"name":"Impact","value":""},{"id":150,"name":"Time of Event (Mountain Time)","value":"18:20:21"},{"id":151,"name":"Denver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7"/>
        <v>start /low /b %USERPROFILE%\Documents\GitHub\eaglep3\Utilities\DownloadLogsFromS3.py --loco 4043 --day 2017-12-18</v>
      </c>
      <c r="AN119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9"/>
        <v>https://d0f6bd738d7f1b3e5a7ca70fe4ff75f0.us-east-1.aws.found.io/app/kibana#/discover/Steve-Slow-Train-Analysis-(2080s-and-2083s)?_g=(refreshInterval:(display:Off,pause:!f,section:0,value:0),time:(from:'2017-12-18T16:35:34-0700',mode:absolute,to:'2017-12-18T19:20:21-0700'))&amp;_a=(columns:!('Message%20ID',Summary),filters:!(),index:'emp_*',interval:auto,query:(query_string:(analyze_wildcard:!t,query:'%22rtdc.l.rtdc.4043%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827</v>
      </c>
      <c r="B120" s="225">
        <v>4022</v>
      </c>
      <c r="C120" s="227" t="s">
        <v>192</v>
      </c>
      <c r="D120" s="227" t="s">
        <v>958</v>
      </c>
      <c r="E120" s="226">
        <v>43087.705567129633</v>
      </c>
      <c r="F120" s="226">
        <v>43087.708668981482</v>
      </c>
      <c r="G120" s="225">
        <v>75</v>
      </c>
      <c r="H120" s="227" t="s">
        <v>959</v>
      </c>
      <c r="I120" s="226">
        <v>43087.734479166669</v>
      </c>
      <c r="J120" s="225">
        <v>0</v>
      </c>
      <c r="K120" s="237" t="str">
        <f t="shared" si="35"/>
        <v>4021/4022</v>
      </c>
      <c r="L120" s="245" t="str">
        <f>VLOOKUP(A120,'Trips&amp;Operators'!$C$1:$G$99911,5,FALSE)</f>
        <v>LEVERE CRAIG</v>
      </c>
      <c r="M120" s="224">
        <f t="shared" si="54"/>
        <v>2.5810185186855961E-2</v>
      </c>
      <c r="N120" s="225">
        <f t="shared" si="57"/>
        <v>37.166666669072583</v>
      </c>
      <c r="O120" s="225"/>
      <c r="P120" s="225"/>
      <c r="Q120" s="228"/>
      <c r="R120" s="242"/>
      <c r="S120" s="249">
        <f t="shared" si="58"/>
        <v>1</v>
      </c>
      <c r="T120" s="242" t="str">
        <f t="shared" si="37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8"/>
        <v>https://d0f6bd738d7f1b3e5a7ca70fe4ff75f0.us-east-1.aws.found.io/app/kibana#/discover/Steve-Slow-Train-Analysis-(2080s-and-2083s)?_g=(refreshInterval:(display:Off,pause:!f,section:0,value:0),time:(from:'2017-12-18T15:56:01-0700',mode:absolute,to:'2017-12-18T18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247" t="str">
        <f>IF(AA120&lt;VLOOKUP(AG120,Variables!$AC$3:$AD$8,2,FALSE),"Y","N")</f>
        <v>N</v>
      </c>
      <c r="X120" s="247">
        <f t="shared" si="55"/>
        <v>1</v>
      </c>
      <c r="Y120" s="247">
        <f t="shared" si="59"/>
        <v>5.5899999999999998E-2</v>
      </c>
      <c r="Z120" s="247">
        <f t="shared" si="56"/>
        <v>23.324200000000001</v>
      </c>
      <c r="AA120" s="247">
        <f t="shared" si="40"/>
        <v>23.2683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41"/>
        <v>207</v>
      </c>
      <c r="AE120" s="235" t="str">
        <f t="shared" si="42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120" s="234" t="str">
        <f t="shared" si="43"/>
        <v>"C:\Program Files (x86)\AstroGrep\AstroGrep.exe" /e /r /s /spath="%USERPROFILE%\AppData\Local\Temp\OnboardLogs" /stypes="app*4022*20171219*" /stext=" 00:.+((SYSTEM_STATE.+slice.+state.+changed )|(ment ac)|(multiple cpu faults)|(system.+state.+changed )|(\[timeout)|(PRM\|1\|D)|(kpr)|(kdp)|(train st.+moving)|(\|lc)|(penalty))"</v>
      </c>
      <c r="AG120" s="244" t="str">
        <f t="shared" si="44"/>
        <v>EC</v>
      </c>
      <c r="AH120" s="236" t="str">
        <f t="shared" si="45"/>
        <v>"%USERPROFILE%\Documents\GitHub\eaglep3\Utilities\RefineRTDCRunTimes.py" --tripid 207-18 --locoid 4022 --swversion DE.1.0.9.0 --startMP 204:559 --initTime 2017-12-18T16:56:01 --startdatetime 2017-12-18T17:00:29 --delay 75 --endMP 204:233242 --enddatetime 2017-12-18T17:37:39 --enforcementcount 0 &gt;&gt;%USERPROFILE%\Documents\GitHub\eaglep3-reporting\EC\2017-12-18-refined-times.txt</v>
      </c>
      <c r="AI12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{"issue":{"subject":"","project_id":79,"tracker_id":40,"status_id":1,"priority_id":2,"assigned_to_id":338,"start_date":"2017-12-18","description":"","custom_fields":[{"id":1,"name":"Subdivision","value":"EC"},{"id":4,"name":"Milepost","value":"23.3242"},{"id":17,"name":"Train ID","value":"207-18"},{"id":16,"name":"Locomotive ID","value":"4022"},{"id":130,"name":"Impact","value":""},{"id":150,"name":"Time of Event (Mountain Time)","value":"17:37:39"},{"id":151,"name":"Denver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7"/>
        <v>start /low /b %USERPROFILE%\Documents\GitHub\eaglep3\Utilities\DownloadLogsFromS3.py --loco 4022 --day 2017-12-18</v>
      </c>
      <c r="AN120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9"/>
        <v>https://d0f6bd738d7f1b3e5a7ca70fe4ff75f0.us-east-1.aws.found.io/app/kibana#/discover/Steve-Slow-Train-Analysis-(2080s-and-2083s)?_g=(refreshInterval:(display:Off,pause:!f,section:0,value:0),time:(from:'2017-12-18T15:56:01-0700',mode:absolute,to:'2017-12-18T18:37:39-0700'))&amp;_a=(columns:!('Message%20ID',Summary),filters:!(),index:'emp_*',interval:auto,query:(query_string:(analyze_wildcard:!t,query:'%22rtdc.l.rtdc.4022%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840</v>
      </c>
      <c r="B121" s="225">
        <v>4021</v>
      </c>
      <c r="C121" s="227" t="s">
        <v>192</v>
      </c>
      <c r="D121" s="227" t="s">
        <v>935</v>
      </c>
      <c r="E121" s="226">
        <v>43087.741701388892</v>
      </c>
      <c r="F121" s="226">
        <v>43087.748136574075</v>
      </c>
      <c r="G121" s="225">
        <v>67</v>
      </c>
      <c r="H121" s="227" t="s">
        <v>910</v>
      </c>
      <c r="I121" s="226">
        <v>43087.77484953704</v>
      </c>
      <c r="J121" s="225">
        <v>0</v>
      </c>
      <c r="K121" s="237" t="str">
        <f t="shared" si="35"/>
        <v>4021/4022</v>
      </c>
      <c r="L121" s="245" t="str">
        <f>VLOOKUP(A121,'Trips&amp;Operators'!$C$1:$G$99911,5,FALSE)</f>
        <v>LEVERE CRAIG</v>
      </c>
      <c r="M121" s="224">
        <f t="shared" si="54"/>
        <v>2.6712962964666076E-2</v>
      </c>
      <c r="N121" s="225">
        <f t="shared" si="57"/>
        <v>38.466666669119149</v>
      </c>
      <c r="O121" s="225"/>
      <c r="P121" s="225"/>
      <c r="Q121" s="228"/>
      <c r="R121" s="242"/>
      <c r="S121" s="249">
        <f t="shared" si="58"/>
        <v>1</v>
      </c>
      <c r="T121" s="242" t="str">
        <f t="shared" si="37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8"/>
        <v>https://d0f6bd738d7f1b3e5a7ca70fe4ff75f0.us-east-1.aws.found.io/app/kibana#/discover/Steve-Slow-Train-Analysis-(2080s-and-2083s)?_g=(refreshInterval:(display:Off,pause:!f,section:0,value:0),time:(from:'2017-12-18T16:48:03-0700',mode:absolute,to:'2017-12-18T19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247" t="str">
        <f>IF(AA121&lt;VLOOKUP(AG121,Variables!$AC$3:$AD$8,2,FALSE),"Y","N")</f>
        <v>N</v>
      </c>
      <c r="X121" s="247">
        <f t="shared" si="55"/>
        <v>1</v>
      </c>
      <c r="Y121" s="247">
        <f t="shared" si="59"/>
        <v>23.293199999999999</v>
      </c>
      <c r="Z121" s="247">
        <f t="shared" si="56"/>
        <v>2.3099999999999999E-2</v>
      </c>
      <c r="AA121" s="247">
        <f t="shared" si="40"/>
        <v>23.270099999999999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41"/>
        <v>208</v>
      </c>
      <c r="AE121" s="235" t="str">
        <f t="shared" si="42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121" s="234" t="str">
        <f t="shared" si="43"/>
        <v>"C:\Program Files (x86)\AstroGrep\AstroGrep.exe" /e /r /s /spath="%USERPROFILE%\AppData\Local\Temp\OnboardLogs" /stypes="app*4021*20171219*" /stext=" 01:.+((SYSTEM_STATE.+slice.+state.+changed )|(ment ac)|(multiple cpu faults)|(system.+state.+changed )|(\[timeout)|(PRM\|1\|D)|(kpr)|(kdp)|(train st.+moving)|(\|lc)|(penalty))"</v>
      </c>
      <c r="AG121" s="244" t="str">
        <f t="shared" si="44"/>
        <v>EC</v>
      </c>
      <c r="AH121" s="236" t="str">
        <f t="shared" si="45"/>
        <v>"%USERPROFILE%\Documents\GitHub\eaglep3\Utilities\RefineRTDCRunTimes.py" --tripid 208-18 --locoid 4021 --swversion DE.1.0.9.0 --startMP 204:232932 --initTime 2017-12-18T17:48:03 --startdatetime 2017-12-18T17:57:19 --delay 67 --endMP 204:231 --enddatetime 2017-12-18T18:35:47 --enforcementcount 0 &gt;&gt;%USERPROFILE%\Documents\GitHub\eaglep3-reporting\EC\2017-12-18-refined-times.txt</v>
      </c>
      <c r="AI12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{"issue":{"subject":"","project_id":79,"tracker_id":40,"status_id":1,"priority_id":2,"assigned_to_id":338,"start_date":"2017-12-18","description":"","custom_fields":[{"id":1,"name":"Subdivision","value":"EC"},{"id":4,"name":"Milepost","value":"0.0231"},{"id":17,"name":"Train ID","value":"208-18"},{"id":16,"name":"Locomotive ID","value":"4021"},{"id":130,"name":"Impact","value":""},{"id":150,"name":"Time of Event (Mountain Time)","value":"18:35:47"},{"id":151,"name":"Denver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7"/>
        <v>start /low /b %USERPROFILE%\Documents\GitHub\eaglep3\Utilities\DownloadLogsFromS3.py --loco 4021 --day 2017-12-18</v>
      </c>
      <c r="AN121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9"/>
        <v>https://d0f6bd738d7f1b3e5a7ca70fe4ff75f0.us-east-1.aws.found.io/app/kibana#/discover/Steve-Slow-Train-Analysis-(2080s-and-2083s)?_g=(refreshInterval:(display:Off,pause:!f,section:0,value:0),time:(from:'2017-12-18T16:48:03-0700',mode:absolute,to:'2017-12-18T19:35:47-0700'))&amp;_a=(columns:!('Message%20ID',Summary),filters:!(),index:'emp_*',interval:auto,query:(query_string:(analyze_wildcard:!t,query:'%22rtdc.l.rtdc.4021%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829</v>
      </c>
      <c r="B122" s="225">
        <v>4052</v>
      </c>
      <c r="C122" s="227" t="s">
        <v>192</v>
      </c>
      <c r="D122" s="227" t="s">
        <v>579</v>
      </c>
      <c r="E122" s="226">
        <v>43087.715162037035</v>
      </c>
      <c r="F122" s="226">
        <v>43087.718923611108</v>
      </c>
      <c r="G122" s="225">
        <v>63</v>
      </c>
      <c r="H122" s="227" t="s">
        <v>960</v>
      </c>
      <c r="I122" s="226">
        <v>43087.744166666664</v>
      </c>
      <c r="J122" s="225">
        <v>0</v>
      </c>
      <c r="K122" s="237" t="str">
        <f t="shared" si="35"/>
        <v>4051/4052</v>
      </c>
      <c r="L122" s="245" t="str">
        <f>VLOOKUP(A122,'Trips&amp;Operators'!$C$1:$G$99911,5,FALSE)</f>
        <v>GUZMAN DANNY</v>
      </c>
      <c r="M122" s="224">
        <f t="shared" si="54"/>
        <v>2.5243055555620231E-2</v>
      </c>
      <c r="N122" s="225">
        <f t="shared" si="57"/>
        <v>36.350000000093132</v>
      </c>
      <c r="O122" s="225"/>
      <c r="P122" s="225"/>
      <c r="Q122" s="228"/>
      <c r="R122" s="242"/>
      <c r="S122" s="249">
        <f t="shared" si="58"/>
        <v>1</v>
      </c>
      <c r="T122" s="242" t="str">
        <f t="shared" si="37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8"/>
        <v>https://d0f6bd738d7f1b3e5a7ca70fe4ff75f0.us-east-1.aws.found.io/app/kibana#/discover/Steve-Slow-Train-Analysis-(2080s-and-2083s)?_g=(refreshInterval:(display:Off,pause:!f,section:0,value:0),time:(from:'2017-12-18T16:09:50-0700',mode:absolute,to:'2017-12-18T18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2" s="247" t="str">
        <f>IF(AA122&lt;VLOOKUP(AG122,Variables!$AC$3:$AD$8,2,FALSE),"Y","N")</f>
        <v>N</v>
      </c>
      <c r="X122" s="247">
        <f t="shared" si="55"/>
        <v>1</v>
      </c>
      <c r="Y122" s="247">
        <f t="shared" si="59"/>
        <v>5.3499999999999999E-2</v>
      </c>
      <c r="Z122" s="247">
        <f t="shared" si="56"/>
        <v>23.323799999999999</v>
      </c>
      <c r="AA122" s="247">
        <f t="shared" si="40"/>
        <v>23.270299999999999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41"/>
        <v>209</v>
      </c>
      <c r="AE122" s="235" t="str">
        <f t="shared" si="42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22" s="234" t="str">
        <f t="shared" si="43"/>
        <v>"C:\Program Files (x86)\AstroGrep\AstroGrep.exe" /e /r /s /spath="%USERPROFILE%\AppData\Local\Temp\OnboardLogs" /stypes="app*4052*20171219*" /stext=" 00:.+((SYSTEM_STATE.+slice.+state.+changed )|(ment ac)|(multiple cpu faults)|(system.+state.+changed )|(\[timeout)|(PRM\|1\|D)|(kpr)|(kdp)|(train st.+moving)|(\|lc)|(penalty))"</v>
      </c>
      <c r="AG122" s="244" t="str">
        <f t="shared" si="44"/>
        <v>EC</v>
      </c>
      <c r="AH122" s="236" t="str">
        <f t="shared" si="45"/>
        <v>"%USERPROFILE%\Documents\GitHub\eaglep3\Utilities\RefineRTDCRunTimes.py" --tripid 209-18 --locoid 4052 --swversion DE.1.0.9.0 --startMP 204:535 --initTime 2017-12-18T17:09:50 --startdatetime 2017-12-18T17:15:15 --delay 63 --endMP 204:233238 --enddatetime 2017-12-18T17:51:36 --enforcementcount 0 &gt;&gt;%USERPROFILE%\Documents\GitHub\eaglep3-reporting\EC\2017-12-18-refined-times.txt</v>
      </c>
      <c r="AI12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{"issue":{"subject":"","project_id":79,"tracker_id":40,"status_id":1,"priority_id":2,"assigned_to_id":338,"start_date":"2017-12-18","description":"","custom_fields":[{"id":1,"name":"Subdivision","value":"EC"},{"id":4,"name":"Milepost","value":"23.3238"},{"id":17,"name":"Train ID","value":"209-18"},{"id":16,"name":"Locomotive ID","value":"4052"},{"id":130,"name":"Impact","value":""},{"id":150,"name":"Time of Event (Mountain Time)","value":"17:51:36"},{"id":151,"name":"Denver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7"/>
        <v>start /low /b %USERPROFILE%\Documents\GitHub\eaglep3\Utilities\DownloadLogsFromS3.py --loco 4052 --day 2017-12-18</v>
      </c>
      <c r="AN122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9"/>
        <v>https://d0f6bd738d7f1b3e5a7ca70fe4ff75f0.us-east-1.aws.found.io/app/kibana#/discover/Steve-Slow-Train-Analysis-(2080s-and-2083s)?_g=(refreshInterval:(display:Off,pause:!f,section:0,value:0),time:(from:'2017-12-18T16:09:50-0700',mode:absolute,to:'2017-12-18T18:51:36-0700'))&amp;_a=(columns:!('Message%20ID',Summary),filters:!(),index:'emp_*',interval:auto,query:(query_string:(analyze_wildcard:!t,query:'%22rtdc.l.rtdc.4052%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843</v>
      </c>
      <c r="B123" s="225">
        <v>4051</v>
      </c>
      <c r="C123" s="227" t="s">
        <v>192</v>
      </c>
      <c r="D123" s="227" t="s">
        <v>961</v>
      </c>
      <c r="E123" s="226">
        <v>43087.749201388891</v>
      </c>
      <c r="F123" s="226">
        <v>43087.758518518516</v>
      </c>
      <c r="G123" s="225">
        <v>53</v>
      </c>
      <c r="H123" s="227" t="s">
        <v>903</v>
      </c>
      <c r="I123" s="226">
        <v>43087.784039351849</v>
      </c>
      <c r="J123" s="225">
        <v>0</v>
      </c>
      <c r="K123" s="237" t="str">
        <f t="shared" si="35"/>
        <v>4051/4052</v>
      </c>
      <c r="L123" s="245" t="str">
        <f>VLOOKUP(A123,'Trips&amp;Operators'!$C$1:$G$99911,5,FALSE)</f>
        <v>GUZMAN DANNY</v>
      </c>
      <c r="M123" s="224">
        <f t="shared" si="54"/>
        <v>2.5520833332848269E-2</v>
      </c>
      <c r="N123" s="225">
        <f t="shared" si="57"/>
        <v>36.749999999301508</v>
      </c>
      <c r="O123" s="225"/>
      <c r="P123" s="225"/>
      <c r="Q123" s="228"/>
      <c r="R123" s="242"/>
      <c r="S123" s="249">
        <f t="shared" si="58"/>
        <v>1</v>
      </c>
      <c r="T123" s="242" t="str">
        <f t="shared" si="37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8"/>
        <v>https://d0f6bd738d7f1b3e5a7ca70fe4ff75f0.us-east-1.aws.found.io/app/kibana#/discover/Steve-Slow-Train-Analysis-(2080s-and-2083s)?_g=(refreshInterval:(display:Off,pause:!f,section:0,value:0),time:(from:'2017-12-18T16:58:51-0700',mode:absolute,to:'2017-12-18T19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247" t="str">
        <f>IF(AA123&lt;VLOOKUP(AG123,Variables!$AC$3:$AD$8,2,FALSE),"Y","N")</f>
        <v>N</v>
      </c>
      <c r="X123" s="247">
        <f t="shared" si="55"/>
        <v>1</v>
      </c>
      <c r="Y123" s="247">
        <f t="shared" si="59"/>
        <v>23.292899999999999</v>
      </c>
      <c r="Z123" s="247">
        <f t="shared" si="56"/>
        <v>2.1399999999999999E-2</v>
      </c>
      <c r="AA123" s="247">
        <f t="shared" si="40"/>
        <v>23.2715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41"/>
        <v>210</v>
      </c>
      <c r="AE123" s="235" t="str">
        <f t="shared" si="42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23" s="234" t="str">
        <f t="shared" si="43"/>
        <v>"C:\Program Files (x86)\AstroGrep\AstroGrep.exe" /e /r /s /spath="%USERPROFILE%\AppData\Local\Temp\OnboardLogs" /stypes="app*4051*20171219*" /stext=" 01:.+((SYSTEM_STATE.+slice.+state.+changed )|(ment ac)|(multiple cpu faults)|(system.+state.+changed )|(\[timeout)|(PRM\|1\|D)|(kpr)|(kdp)|(train st.+moving)|(\|lc)|(penalty))"</v>
      </c>
      <c r="AG123" s="244" t="str">
        <f t="shared" si="44"/>
        <v>EC</v>
      </c>
      <c r="AH123" s="236" t="str">
        <f t="shared" si="45"/>
        <v>"%USERPROFILE%\Documents\GitHub\eaglep3\Utilities\RefineRTDCRunTimes.py" --tripid 210-18 --locoid 4051 --swversion DE.1.0.9.0 --startMP 204:232929 --initTime 2017-12-18T17:58:51 --startdatetime 2017-12-18T18:12:16 --delay 53 --endMP 204:214 --enddatetime 2017-12-18T18:49:01 --enforcementcount 0 &gt;&gt;%USERPROFILE%\Documents\GitHub\eaglep3-reporting\EC\2017-12-18-refined-times.txt</v>
      </c>
      <c r="AI12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{"issue":{"subject":"","project_id":79,"tracker_id":40,"status_id":1,"priority_id":2,"assigned_to_id":338,"start_date":"2017-12-18","description":"","custom_fields":[{"id":1,"name":"Subdivision","value":"EC"},{"id":4,"name":"Milepost","value":"0.0214"},{"id":17,"name":"Train ID","value":"210-18"},{"id":16,"name":"Locomotive ID","value":"4051"},{"id":130,"name":"Impact","value":""},{"id":150,"name":"Time of Event (Mountain Time)","value":"18:49:01"},{"id":151,"name":"Denver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7"/>
        <v>start /low /b %USERPROFILE%\Documents\GitHub\eaglep3\Utilities\DownloadLogsFromS3.py --loco 4051 --day 2017-12-18</v>
      </c>
      <c r="AN123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9"/>
        <v>https://d0f6bd738d7f1b3e5a7ca70fe4ff75f0.us-east-1.aws.found.io/app/kibana#/discover/Steve-Slow-Train-Analysis-(2080s-and-2083s)?_g=(refreshInterval:(display:Off,pause:!f,section:0,value:0),time:(from:'2017-12-18T16:58:51-0700',mode:absolute,to:'2017-12-18T19:49:01-0700'))&amp;_a=(columns:!('Message%20ID',Summary),filters:!(),index:'emp_*',interval:auto,query:(query_string:(analyze_wildcard:!t,query:'%22rtdc.l.rtdc.4051%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835</v>
      </c>
      <c r="B124" s="225">
        <v>4050</v>
      </c>
      <c r="C124" s="227" t="s">
        <v>192</v>
      </c>
      <c r="D124" s="227" t="s">
        <v>917</v>
      </c>
      <c r="E124" s="226">
        <v>43087.726284722223</v>
      </c>
      <c r="F124" s="226">
        <v>43087.729444444441</v>
      </c>
      <c r="G124" s="225">
        <v>100</v>
      </c>
      <c r="H124" s="227" t="s">
        <v>508</v>
      </c>
      <c r="I124" s="226">
        <v>43087.753923611112</v>
      </c>
      <c r="J124" s="225">
        <v>0</v>
      </c>
      <c r="K124" s="237" t="str">
        <f t="shared" si="35"/>
        <v>4049/4050</v>
      </c>
      <c r="L124" s="245" t="str">
        <f>VLOOKUP(A124,'Trips&amp;Operators'!$C$1:$G$99911,5,FALSE)</f>
        <v>SAFIEF AEIMEN</v>
      </c>
      <c r="M124" s="224">
        <f t="shared" si="54"/>
        <v>2.4479166670062114E-2</v>
      </c>
      <c r="N124" s="225">
        <f t="shared" si="57"/>
        <v>35.250000004889444</v>
      </c>
      <c r="O124" s="225"/>
      <c r="P124" s="225"/>
      <c r="Q124" s="228"/>
      <c r="R124" s="242"/>
      <c r="S124" s="249">
        <f t="shared" si="58"/>
        <v>1</v>
      </c>
      <c r="T124" s="242" t="str">
        <f t="shared" si="37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8"/>
        <v>https://d0f6bd738d7f1b3e5a7ca70fe4ff75f0.us-east-1.aws.found.io/app/kibana#/discover/Steve-Slow-Train-Analysis-(2080s-and-2083s)?_g=(refreshInterval:(display:Off,pause:!f,section:0,value:0),time:(from:'2017-12-18T16:25:51-0700',mode:absolute,to:'2017-12-18T19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247" t="str">
        <f>IF(AA124&lt;VLOOKUP(AG124,Variables!$AC$3:$AD$8,2,FALSE),"Y","N")</f>
        <v>N</v>
      </c>
      <c r="X124" s="247">
        <f t="shared" si="55"/>
        <v>1</v>
      </c>
      <c r="Y124" s="247">
        <f t="shared" si="59"/>
        <v>5.28E-2</v>
      </c>
      <c r="Z124" s="247">
        <f t="shared" si="56"/>
        <v>23.327000000000002</v>
      </c>
      <c r="AA124" s="247">
        <f t="shared" si="40"/>
        <v>23.2742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41"/>
        <v>211</v>
      </c>
      <c r="AE124" s="235" t="str">
        <f t="shared" si="42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124" s="234" t="str">
        <f t="shared" si="43"/>
        <v>"C:\Program Files (x86)\AstroGrep\AstroGrep.exe" /e /r /s /spath="%USERPROFILE%\AppData\Local\Temp\OnboardLogs" /stypes="app*4050*20171219*" /stext=" 01:.+((SYSTEM_STATE.+slice.+state.+changed )|(ment ac)|(multiple cpu faults)|(system.+state.+changed )|(\[timeout)|(PRM\|1\|D)|(kpr)|(kdp)|(train st.+moving)|(\|lc)|(penalty))"</v>
      </c>
      <c r="AG124" s="244" t="str">
        <f t="shared" si="44"/>
        <v>EC</v>
      </c>
      <c r="AH124" s="236" t="str">
        <f t="shared" si="45"/>
        <v>"%USERPROFILE%\Documents\GitHub\eaglep3\Utilities\RefineRTDCRunTimes.py" --tripid 211-18 --locoid 4050 --swversion DE.1.0.9.0 --startMP 204:528 --initTime 2017-12-18T17:25:51 --startdatetime 2017-12-18T17:30:24 --delay 100 --endMP 204:233270 --enddatetime 2017-12-18T18:05:39 --enforcementcount 0 &gt;&gt;%USERPROFILE%\Documents\GitHub\eaglep3-reporting\EC\2017-12-18-refined-times.txt</v>
      </c>
      <c r="AI12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ID","value":"211-18"},{"id":16,"name":"Locomotive ID","value":"4050"},{"id":130,"name":"Impact","value":""},{"id":150,"name":"Time of Event (Mountain Time)","value":"18:05:39"},{"id":151,"name":"Denver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7"/>
        <v>start /low /b %USERPROFILE%\Documents\GitHub\eaglep3\Utilities\DownloadLogsFromS3.py --loco 4050 --day 2017-12-18</v>
      </c>
      <c r="AN124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9"/>
        <v>https://d0f6bd738d7f1b3e5a7ca70fe4ff75f0.us-east-1.aws.found.io/app/kibana#/discover/Steve-Slow-Train-Analysis-(2080s-and-2083s)?_g=(refreshInterval:(display:Off,pause:!f,section:0,value:0),time:(from:'2017-12-18T16:25:51-0700',mode:absolute,to:'2017-12-18T19:05:39-0700'))&amp;_a=(columns:!('Message%20ID',Summary),filters:!(),index:'emp_*',interval:auto,query:(query_string:(analyze_wildcard:!t,query:'%22rtdc.l.rtdc.4050%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844</v>
      </c>
      <c r="B125" s="225">
        <v>4049</v>
      </c>
      <c r="C125" s="227" t="s">
        <v>192</v>
      </c>
      <c r="D125" s="227" t="s">
        <v>938</v>
      </c>
      <c r="E125" s="226">
        <v>43087.759340277778</v>
      </c>
      <c r="F125" s="226">
        <v>43087.76898148148</v>
      </c>
      <c r="G125" s="225">
        <v>70</v>
      </c>
      <c r="H125" s="227" t="s">
        <v>533</v>
      </c>
      <c r="I125" s="226">
        <v>43087.794895833336</v>
      </c>
      <c r="J125" s="225">
        <v>0</v>
      </c>
      <c r="K125" s="237" t="str">
        <f t="shared" si="35"/>
        <v>4049/4050</v>
      </c>
      <c r="L125" s="245" t="str">
        <f>VLOOKUP(A125,'Trips&amp;Operators'!$C$1:$G$99911,5,FALSE)</f>
        <v>SAFIEF AEIMEN</v>
      </c>
      <c r="M125" s="224">
        <f t="shared" si="54"/>
        <v>2.5914351856044959E-2</v>
      </c>
      <c r="N125" s="225">
        <f t="shared" si="57"/>
        <v>37.316666672704741</v>
      </c>
      <c r="O125" s="225"/>
      <c r="P125" s="225"/>
      <c r="Q125" s="228"/>
      <c r="R125" s="242"/>
      <c r="S125" s="249">
        <f t="shared" si="58"/>
        <v>1</v>
      </c>
      <c r="T125" s="242" t="str">
        <f t="shared" si="37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8"/>
        <v>https://d0f6bd738d7f1b3e5a7ca70fe4ff75f0.us-east-1.aws.found.io/app/kibana#/discover/Steve-Slow-Train-Analysis-(2080s-and-2083s)?_g=(refreshInterval:(display:Off,pause:!f,section:0,value:0),time:(from:'2017-12-18T17:13:27-0700',mode:absolute,to:'2017-12-18T20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247" t="str">
        <f>IF(AA125&lt;VLOOKUP(AG125,Variables!$AC$3:$AD$8,2,FALSE),"Y","N")</f>
        <v>N</v>
      </c>
      <c r="X125" s="247">
        <f t="shared" si="55"/>
        <v>1</v>
      </c>
      <c r="Y125" s="247">
        <f t="shared" si="59"/>
        <v>23.294</v>
      </c>
      <c r="Z125" s="247">
        <f t="shared" si="56"/>
        <v>2.0500000000000001E-2</v>
      </c>
      <c r="AA125" s="247">
        <f t="shared" si="40"/>
        <v>23.273500000000002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41"/>
        <v>212</v>
      </c>
      <c r="AE125" s="235" t="str">
        <f t="shared" si="42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125" s="234" t="str">
        <f t="shared" si="43"/>
        <v>"C:\Program Files (x86)\AstroGrep\AstroGrep.exe" /e /r /s /spath="%USERPROFILE%\AppData\Local\Temp\OnboardLogs" /stypes="app*4049*20171219*" /stext=" 02:.+((SYSTEM_STATE.+slice.+state.+changed )|(ment ac)|(multiple cpu faults)|(system.+state.+changed )|(\[timeout)|(PRM\|1\|D)|(kpr)|(kdp)|(train st.+moving)|(\|lc)|(penalty))"</v>
      </c>
      <c r="AG125" s="244" t="str">
        <f t="shared" si="44"/>
        <v>EC</v>
      </c>
      <c r="AH125" s="236" t="str">
        <f t="shared" si="45"/>
        <v>"%USERPROFILE%\Documents\GitHub\eaglep3\Utilities\RefineRTDCRunTimes.py" --tripid 212-18 --locoid 4049 --swversion DE.1.0.9.0 --startMP 204:232940 --initTime 2017-12-18T18:13:27 --startdatetime 2017-12-18T18:27:20 --delay 70 --endMP 204:205 --enddatetime 2017-12-18T19:04:39 --enforcementcount 0 &gt;&gt;%USERPROFILE%\Documents\GitHub\eaglep3-reporting\EC\2017-12-18-refined-times.txt</v>
      </c>
      <c r="AI12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{"issue":{"subject":"","project_id":79,"tracker_id":40,"status_id":1,"priority_id":2,"assigned_to_id":338,"start_date":"2017-12-18","description":"","custom_fields":[{"id":1,"name":"Subdivision","value":"EC"},{"id":4,"name":"Milepost","value":"0.0205"},{"id":17,"name":"Train ID","value":"212-18"},{"id":16,"name":"Locomotive ID","value":"4049"},{"id":130,"name":"Impact","value":""},{"id":150,"name":"Time of Event (Mountain Time)","value":"19:04:39"},{"id":151,"name":"Denver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7"/>
        <v>start /low /b %USERPROFILE%\Documents\GitHub\eaglep3\Utilities\DownloadLogsFromS3.py --loco 4049 --day 2017-12-18</v>
      </c>
      <c r="AN125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9"/>
        <v>https://d0f6bd738d7f1b3e5a7ca70fe4ff75f0.us-east-1.aws.found.io/app/kibana#/discover/Steve-Slow-Train-Analysis-(2080s-and-2083s)?_g=(refreshInterval:(display:Off,pause:!f,section:0,value:0),time:(from:'2017-12-18T17:13:27-0700',mode:absolute,to:'2017-12-18T20:04:39-0700'))&amp;_a=(columns:!('Message%20ID',Summary),filters:!(),index:'emp_*',interval:auto,query:(query_string:(analyze_wildcard:!t,query:'%22rtdc.l.rtdc.4049%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25">
      <c r="A126" s="229" t="s">
        <v>838</v>
      </c>
      <c r="B126" s="225">
        <v>4016</v>
      </c>
      <c r="C126" s="227" t="s">
        <v>192</v>
      </c>
      <c r="D126" s="227" t="s">
        <v>541</v>
      </c>
      <c r="E126" s="226">
        <v>43087.737893518519</v>
      </c>
      <c r="F126" s="226">
        <v>43087.739872685182</v>
      </c>
      <c r="G126" s="225">
        <v>73</v>
      </c>
      <c r="H126" s="227" t="s">
        <v>648</v>
      </c>
      <c r="I126" s="226">
        <v>43087.764652777776</v>
      </c>
      <c r="J126" s="225">
        <v>0</v>
      </c>
      <c r="K126" s="237" t="str">
        <f t="shared" si="35"/>
        <v>4015/4016</v>
      </c>
      <c r="L126" s="245" t="str">
        <f>VLOOKUP(A126,'Trips&amp;Operators'!$C$1:$G$99911,5,FALSE)</f>
        <v>LOZA FIDEL</v>
      </c>
      <c r="M126" s="224">
        <f t="shared" si="54"/>
        <v>2.4780092593573499E-2</v>
      </c>
      <c r="N126" s="225">
        <f t="shared" si="57"/>
        <v>35.683333334745839</v>
      </c>
      <c r="O126" s="225"/>
      <c r="P126" s="225"/>
      <c r="Q126" s="228"/>
      <c r="R126" s="242"/>
      <c r="S126" s="249">
        <f t="shared" si="58"/>
        <v>1</v>
      </c>
      <c r="T126" s="242" t="str">
        <f t="shared" si="37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8"/>
        <v>https://d0f6bd738d7f1b3e5a7ca70fe4ff75f0.us-east-1.aws.found.io/app/kibana#/discover/Steve-Slow-Train-Analysis-(2080s-and-2083s)?_g=(refreshInterval:(display:Off,pause:!f,section:0,value:0),time:(from:'2017-12-18T16:42:34-0700',mode:absolute,to:'2017-12-18T19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247" t="str">
        <f>IF(AA126&lt;VLOOKUP(AG126,Variables!$AC$3:$AD$8,2,FALSE),"Y","N")</f>
        <v>N</v>
      </c>
      <c r="X126" s="247">
        <f t="shared" si="55"/>
        <v>1</v>
      </c>
      <c r="Y126" s="247">
        <f t="shared" si="59"/>
        <v>5.1700000000000003E-2</v>
      </c>
      <c r="Z126" s="247">
        <f t="shared" si="56"/>
        <v>23.3249</v>
      </c>
      <c r="AA126" s="247">
        <f t="shared" si="40"/>
        <v>23.273199999999999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41"/>
        <v>213</v>
      </c>
      <c r="AE126" s="235" t="str">
        <f t="shared" si="42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26" s="234" t="str">
        <f t="shared" si="43"/>
        <v>"C:\Program Files (x86)\AstroGrep\AstroGrep.exe" /e /r /s /spath="%USERPROFILE%\AppData\Local\Temp\OnboardLogs" /stypes="app*4016*20171219*" /stext=" 01:.+((SYSTEM_STATE.+slice.+state.+changed )|(ment ac)|(multiple cpu faults)|(system.+state.+changed )|(\[timeout)|(PRM\|1\|D)|(kpr)|(kdp)|(train st.+moving)|(\|lc)|(penalty))"</v>
      </c>
      <c r="AG126" s="244" t="str">
        <f t="shared" si="44"/>
        <v>EC</v>
      </c>
      <c r="AH126" s="236" t="str">
        <f t="shared" si="45"/>
        <v>"%USERPROFILE%\Documents\GitHub\eaglep3\Utilities\RefineRTDCRunTimes.py" --tripid 213-18 --locoid 4016 --swversion DE.1.0.9.0 --startMP 204:517 --initTime 2017-12-18T17:42:34 --startdatetime 2017-12-18T17:45:25 --delay 73 --endMP 204:233249 --enddatetime 2017-12-18T18:21:06 --enforcementcount 0 &gt;&gt;%USERPROFILE%\Documents\GitHub\eaglep3-reporting\EC\2017-12-18-refined-times.txt</v>
      </c>
      <c r="AI12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{"issue":{"subject":"","project_id":79,"tracker_id":40,"status_id":1,"priority_id":2,"assigned_to_id":338,"start_date":"2017-12-18","description":"","custom_fields":[{"id":1,"name":"Subdivision","value":"EC"},{"id":4,"name":"Milepost","value":"23.3249"},{"id":17,"name":"Train ID","value":"213-18"},{"id":16,"name":"Locomotive ID","value":"4016"},{"id":130,"name":"Impact","value":""},{"id":150,"name":"Time of Event (Mountain Time)","value":"18:21:06"},{"id":151,"name":"Denver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47"/>
        <v>start /low /b %USERPROFILE%\Documents\GitHub\eaglep3\Utilities\DownloadLogsFromS3.py --loco 4016 --day 2017-12-18</v>
      </c>
      <c r="AN126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9"/>
        <v>https://d0f6bd738d7f1b3e5a7ca70fe4ff75f0.us-east-1.aws.found.io/app/kibana#/discover/Steve-Slow-Train-Analysis-(2080s-and-2083s)?_g=(refreshInterval:(display:Off,pause:!f,section:0,value:0),time:(from:'2017-12-18T16:42:34-0700',mode:absolute,to:'2017-12-18T19:21:06-0700'))&amp;_a=(columns:!('Message%20ID',Summary),filters:!(),index:'emp_*',interval:auto,query:(query_string:(analyze_wildcard:!t,query:'%22rtdc.l.rtdc.4016%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848</v>
      </c>
      <c r="B127" s="225">
        <v>4015</v>
      </c>
      <c r="C127" s="227" t="s">
        <v>192</v>
      </c>
      <c r="D127" s="227" t="s">
        <v>962</v>
      </c>
      <c r="E127" s="226">
        <v>43087.795393518521</v>
      </c>
      <c r="F127" s="226">
        <v>43087.796354166669</v>
      </c>
      <c r="G127" s="225">
        <v>41</v>
      </c>
      <c r="H127" s="227" t="s">
        <v>910</v>
      </c>
      <c r="I127" s="226">
        <v>43087.806018518517</v>
      </c>
      <c r="J127" s="225">
        <v>0</v>
      </c>
      <c r="K127" s="237" t="str">
        <f t="shared" si="35"/>
        <v>4015/4016</v>
      </c>
      <c r="L127" s="245" t="str">
        <f>VLOOKUP(A127,'Trips&amp;Operators'!$C$1:$G$99911,5,FALSE)</f>
        <v>LOZA FIDEL</v>
      </c>
      <c r="M127" s="224">
        <f t="shared" si="54"/>
        <v>9.6643518481869251E-3</v>
      </c>
      <c r="N127" s="225"/>
      <c r="O127" s="225"/>
      <c r="P127" s="225">
        <f>24*60*SUM($M127:$M127)</f>
        <v>13.916666661389172</v>
      </c>
      <c r="Q127" s="228"/>
      <c r="R127" s="242" t="s">
        <v>470</v>
      </c>
      <c r="S127" s="249">
        <f t="shared" si="58"/>
        <v>0.75</v>
      </c>
      <c r="T127" s="242" t="str">
        <f t="shared" si="37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9</v>
      </c>
      <c r="V127" s="248" t="str">
        <f t="shared" si="38"/>
        <v>https://d0f6bd738d7f1b3e5a7ca70fe4ff75f0.us-east-1.aws.found.io/app/kibana#/discover/Steve-Slow-Train-Analysis-(2080s-and-2083s)?_g=(refreshInterval:(display:Off,pause:!f,section:0,value:0),time:(from:'2017-12-18T18:05:22-0700',mode:absolute,to:'2017-12-18T20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247" t="str">
        <f>IF(AA127&lt;VLOOKUP(AG127,Variables!$AC$3:$AD$8,2,FALSE),"Y","N")</f>
        <v>Y</v>
      </c>
      <c r="X127" s="247">
        <f t="shared" si="55"/>
        <v>1</v>
      </c>
      <c r="Y127" s="247">
        <f t="shared" si="59"/>
        <v>6.4176000000000002</v>
      </c>
      <c r="Z127" s="247">
        <f t="shared" si="56"/>
        <v>2.3099999999999999E-2</v>
      </c>
      <c r="AA127" s="247">
        <f t="shared" si="40"/>
        <v>6.3944999999999999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41"/>
        <v>214</v>
      </c>
      <c r="AE127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27" s="234" t="str">
        <f t="shared" si="43"/>
        <v>"C:\Program Files (x86)\AstroGrep\AstroGrep.exe" /e /r /s /spath="%USERPROFILE%\AppData\Local\Temp\OnboardLogs" /stypes="app*4015*20171219*" /stext=" 02:.+((SYSTEM_STATE.+slice.+state.+changed )|(ment ac)|(multiple cpu faults)|(system.+state.+changed )|(\[timeout)|(PRM\|1\|D)|(kpr)|(kdp)|(train st.+moving)|(\|lc)|(penalty))"</v>
      </c>
      <c r="AG127" s="244" t="str">
        <f t="shared" si="44"/>
        <v>EC</v>
      </c>
      <c r="AH127" s="236" t="str">
        <f t="shared" si="45"/>
        <v>"%USERPROFILE%\Documents\GitHub\eaglep3\Utilities\RefineRTDCRunTimes.py" --tripid 214-18 --locoid 4015 --swversion DE.1.0.9.0 --startMP 204:64176 --initTime 2017-12-18T19:05:22 --startdatetime 2017-12-18T19:06:45 --delay 41 --endMP 204:231 --enddatetime 2017-12-18T19:20:40 --enforcementcount 0 &gt;&gt;%USERPROFILE%\Documents\GitHub\eaglep3-reporting\EC\2017-12-18-refined-times.txt</v>
      </c>
      <c r="AI127" s="238" t="str">
        <f t="shared" si="4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drop","project_id":79,"tracker_id":40,"status_id":1,"priority_id":2,"assigned_to_id":338,"start_date":"2017-12-18","description":"","custom_fields":[{"id":1,"name":"Subdivision","value":"EC"},{"id":4,"name":"Milepost","value":"0.0231"},{"id":17,"name":"Train ID","value":"214-18"},{"id":16,"name":"Locomotive ID","value":"4015"},{"id":130,"name":"Impact","value":""},{"id":150,"name":"Time of Event (Mountain Time)","value":"19:20:40"},{"id":151,"name":"Denver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7"/>
        <v>start /low /b %USERPROFILE%\Documents\GitHub\eaglep3\Utilities\DownloadLogsFromS3.py --loco 4015 --day 2017-12-18</v>
      </c>
      <c r="AN127" s="241" t="str">
        <f t="shared" si="48"/>
        <v>echo {"issue":{"subject":"Wi-MAX data drop","project_id":30,"tracker_id":4,"status_id":1,"priority_id":1,"assigned_to_id":10,"start_date":"2017-12-19","description":"","custom_fields":[{"id":30,"name":"Category","value":"Issue"},{"id":3,"name":"Functional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9"/>
        <v>https://d0f6bd738d7f1b3e5a7ca70fe4ff75f0.us-east-1.aws.found.io/app/kibana#/discover/Steve-Slow-Train-Analysis-(2080s-and-2083s)?_g=(refreshInterval:(display:Off,pause:!f,section:0,value:0),time:(from:'2017-12-18T18:05:22-0700',mode:absolute,to:'2017-12-18T20:20:40-0700'))&amp;_a=(columns:!('Message%20ID',Summary),filters:!(),index:'emp_*',interval:auto,query:(query_string:(analyze_wildcard:!t,query:'%22rtdc.l.rtdc.4015%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848</v>
      </c>
      <c r="B128" s="225">
        <v>4015</v>
      </c>
      <c r="C128" s="227" t="s">
        <v>192</v>
      </c>
      <c r="D128" s="227" t="s">
        <v>611</v>
      </c>
      <c r="E128" s="226">
        <v>43087.773888888885</v>
      </c>
      <c r="F128" s="226">
        <v>43087.796354166669</v>
      </c>
      <c r="G128" s="225">
        <v>193</v>
      </c>
      <c r="H128" s="227" t="s">
        <v>963</v>
      </c>
      <c r="I128" s="226">
        <v>43087.806018518517</v>
      </c>
      <c r="J128" s="225">
        <v>0</v>
      </c>
      <c r="K128" s="237" t="str">
        <f t="shared" si="35"/>
        <v>4015/4016</v>
      </c>
      <c r="L128" s="245" t="str">
        <f>VLOOKUP(A128,'Trips&amp;Operators'!$C$1:$G$99911,5,FALSE)</f>
        <v>LOZA FIDEL</v>
      </c>
      <c r="M128" s="224">
        <f t="shared" si="54"/>
        <v>9.6643518481869251E-3</v>
      </c>
      <c r="N128" s="225"/>
      <c r="O128" s="225"/>
      <c r="P128" s="225"/>
      <c r="Q128" s="228"/>
      <c r="R128" s="242"/>
      <c r="S128" s="249"/>
      <c r="T128" s="242" t="str">
        <f t="shared" si="37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248" t="str">
        <f t="shared" si="38"/>
        <v>https://d0f6bd738d7f1b3e5a7ca70fe4ff75f0.us-east-1.aws.found.io/app/kibana#/discover/Steve-Slow-Train-Analysis-(2080s-and-2083s)?_g=(refreshInterval:(display:Off,pause:!f,section:0,value:0),time:(from:'2017-12-18T17:34:24-0700',mode:absolute,to:'2017-12-18T20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247" t="str">
        <f>IF(AA128&lt;VLOOKUP(AG128,Variables!$AC$3:$AD$8,2,FALSE),"Y","N")</f>
        <v>Y</v>
      </c>
      <c r="X128" s="247">
        <f t="shared" si="55"/>
        <v>0</v>
      </c>
      <c r="Y128" s="247">
        <f t="shared" si="59"/>
        <v>23.295000000000002</v>
      </c>
      <c r="Z128" s="247">
        <f t="shared" si="56"/>
        <v>12.181100000000001</v>
      </c>
      <c r="AA128" s="247">
        <f t="shared" si="40"/>
        <v>11.113900000000001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41"/>
        <v>214</v>
      </c>
      <c r="AE128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28" s="234" t="str">
        <f t="shared" si="43"/>
        <v>"C:\Program Files (x86)\AstroGrep\AstroGrep.exe" /e /r /s /spath="%USERPROFILE%\AppData\Local\Temp\OnboardLogs" /stypes="app*4015*20171219*" /stext=" 02:.+((SYSTEM_STATE.+slice.+state.+changed )|(ment ac)|(multiple cpu faults)|(system.+state.+changed )|(\[timeout)|(PRM\|1\|D)|(kpr)|(kdp)|(train st.+moving)|(\|lc)|(penalty))"</v>
      </c>
      <c r="AG128" s="244" t="str">
        <f t="shared" si="44"/>
        <v>EC</v>
      </c>
      <c r="AH128" s="236" t="str">
        <f t="shared" si="45"/>
        <v>"%USERPROFILE%\Documents\GitHub\eaglep3\Utilities\RefineRTDCRunTimes.py" --tripid 214-18 --locoid 4015 --swversion DE.1.0.9.0 --startMP 204:232950 --initTime 2017-12-18T18:34:24 --startdatetime 2017-12-18T19:06:45 --delay 193 --endMP 204:121811 --enddatetime 2017-12-18T19:20:40 --enforcementcount 0 &gt;&gt;%USERPROFILE%\Documents\GitHub\eaglep3-reporting\EC\2017-12-18-refined-times.txt</v>
      </c>
      <c r="AI12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{"issue":{"subject":"","project_id":79,"tracker_id":40,"status_id":1,"priority_id":2,"assigned_to_id":338,"start_date":"2017-12-18","description":"","custom_fields":[{"id":1,"name":"Subdivision","value":"EC"},{"id":4,"name":"Milepost","value":"12.1811"},{"id":17,"name":"Train ID","value":"214-18"},{"id":16,"name":"Locomotive ID","value":"4015"},{"id":130,"name":"Impact","value":""},{"id":150,"name":"Time of Event (Mountain Time)","value":"19:20:40"},{"id":151,"name":"Denver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7"/>
        <v>start /low /b %USERPROFILE%\Documents\GitHub\eaglep3\Utilities\DownloadLogsFromS3.py --loco 4015 --day 2017-12-18</v>
      </c>
      <c r="AN128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9"/>
        <v>https://d0f6bd738d7f1b3e5a7ca70fe4ff75f0.us-east-1.aws.found.io/app/kibana#/discover/Steve-Slow-Train-Analysis-(2080s-and-2083s)?_g=(refreshInterval:(display:Off,pause:!f,section:0,value:0),time:(from:'2017-12-18T17:34:24-0700',mode:absolute,to:'2017-12-18T20:20:40-0700'))&amp;_a=(columns:!('Message%20ID',Summary),filters:!(),index:'emp_*',interval:auto,query:(query_string:(analyze_wildcard:!t,query:'%22rtdc.l.rtdc.4015%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841</v>
      </c>
      <c r="B129" s="225">
        <v>4026</v>
      </c>
      <c r="C129" s="227" t="s">
        <v>192</v>
      </c>
      <c r="D129" s="227" t="s">
        <v>652</v>
      </c>
      <c r="E129" s="226">
        <v>43087.744652777779</v>
      </c>
      <c r="F129" s="226">
        <v>43087.750219907408</v>
      </c>
      <c r="G129" s="225">
        <v>61</v>
      </c>
      <c r="H129" s="227" t="s">
        <v>964</v>
      </c>
      <c r="I129" s="226">
        <v>43087.774930555555</v>
      </c>
      <c r="J129" s="225">
        <v>0</v>
      </c>
      <c r="K129" s="237" t="str">
        <f t="shared" si="35"/>
        <v>4025/4026</v>
      </c>
      <c r="L129" s="245" t="str">
        <f>VLOOKUP(A129,'Trips&amp;Operators'!$C$1:$G$99911,5,FALSE)</f>
        <v>SMITH MICHAEL</v>
      </c>
      <c r="M129" s="224">
        <f t="shared" si="54"/>
        <v>2.47106481474475E-2</v>
      </c>
      <c r="N129" s="225">
        <f t="shared" ref="N129:N156" si="60">24*60*SUM($M129:$M129)</f>
        <v>35.583333332324401</v>
      </c>
      <c r="O129" s="225"/>
      <c r="P129" s="225"/>
      <c r="Q129" s="228"/>
      <c r="R129" s="242"/>
      <c r="S129" s="249">
        <f t="shared" ref="S129:S156" si="61">1/IF(AG129="EC",12,1)*SUM(U129:U129)</f>
        <v>1</v>
      </c>
      <c r="T129" s="242" t="str">
        <f t="shared" si="37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8"/>
        <v>https://d0f6bd738d7f1b3e5a7ca70fe4ff75f0.us-east-1.aws.found.io/app/kibana#/discover/Steve-Slow-Train-Analysis-(2080s-and-2083s)?_g=(refreshInterval:(display:Off,pause:!f,section:0,value:0),time:(from:'2017-12-18T16:52:18-0700',mode:absolute,to:'2017-12-18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47" t="str">
        <f>IF(AA129&lt;VLOOKUP(AG129,Variables!$AC$3:$AD$8,2,FALSE),"Y","N")</f>
        <v>N</v>
      </c>
      <c r="X129" s="247">
        <f t="shared" si="55"/>
        <v>1</v>
      </c>
      <c r="Y129" s="247">
        <f t="shared" si="59"/>
        <v>5.6800000000000003E-2</v>
      </c>
      <c r="Z129" s="247">
        <f t="shared" si="56"/>
        <v>23.320399999999999</v>
      </c>
      <c r="AA129" s="247">
        <f t="shared" si="40"/>
        <v>23.2636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41"/>
        <v>215</v>
      </c>
      <c r="AE129" s="235" t="str">
        <f t="shared" si="42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129" s="234" t="str">
        <f t="shared" si="43"/>
        <v>"C:\Program Files (x86)\AstroGrep\AstroGrep.exe" /e /r /s /spath="%USERPROFILE%\AppData\Local\Temp\OnboardLogs" /stypes="app*4026*20171219*" /stext=" 01:.+((SYSTEM_STATE.+slice.+state.+changed )|(ment ac)|(multiple cpu faults)|(system.+state.+changed )|(\[timeout)|(PRM\|1\|D)|(kpr)|(kdp)|(train st.+moving)|(\|lc)|(penalty))"</v>
      </c>
      <c r="AG129" s="244" t="str">
        <f t="shared" si="44"/>
        <v>EC</v>
      </c>
      <c r="AH129" s="236" t="str">
        <f t="shared" si="45"/>
        <v>"%USERPROFILE%\Documents\GitHub\eaglep3\Utilities\RefineRTDCRunTimes.py" --tripid 215-18 --locoid 4026 --swversion DE.1.0.9.0 --startMP 204:568 --initTime 2017-12-18T17:52:18 --startdatetime 2017-12-18T18:00:19 --delay 61 --endMP 204:233204 --enddatetime 2017-12-18T18:35:54 --enforcementcount 0 &gt;&gt;%USERPROFILE%\Documents\GitHub\eaglep3-reporting\EC\2017-12-18-refined-times.txt</v>
      </c>
      <c r="AI12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{"issue":{"subject":"","project_id":79,"tracker_id":40,"status_id":1,"priority_id":2,"assigned_to_id":338,"start_date":"2017-12-18","description":"","custom_fields":[{"id":1,"name":"Subdivision","value":"EC"},{"id":4,"name":"Milepost","value":"23.3204"},{"id":17,"name":"Train ID","value":"215-18"},{"id":16,"name":"Locomotive ID","value":"4026"},{"id":130,"name":"Impact","value":""},{"id":150,"name":"Time of Event (Mountain Time)","value":"18:35:54"},{"id":151,"name":"Denver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7"/>
        <v>start /low /b %USERPROFILE%\Documents\GitHub\eaglep3\Utilities\DownloadLogsFromS3.py --loco 4026 --day 2017-12-18</v>
      </c>
      <c r="AN129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9"/>
        <v>https://d0f6bd738d7f1b3e5a7ca70fe4ff75f0.us-east-1.aws.found.io/app/kibana#/discover/Steve-Slow-Train-Analysis-(2080s-and-2083s)?_g=(refreshInterval:(display:Off,pause:!f,section:0,value:0),time:(from:'2017-12-18T16:52:18-0700',mode:absolute,to:'2017-12-18T19:35:54-0700'))&amp;_a=(columns:!('Message%20ID',Summary),filters:!(),index:'emp_*',interval:auto,query:(query_string:(analyze_wildcard:!t,query:'%22rtdc.l.rtdc.4026%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850</v>
      </c>
      <c r="B130" s="225">
        <v>4025</v>
      </c>
      <c r="C130" s="227" t="s">
        <v>192</v>
      </c>
      <c r="D130" s="227" t="s">
        <v>965</v>
      </c>
      <c r="E130" s="226">
        <v>43087.780659722222</v>
      </c>
      <c r="F130" s="226">
        <v>43087.78979166667</v>
      </c>
      <c r="G130" s="225">
        <v>59</v>
      </c>
      <c r="H130" s="227" t="s">
        <v>502</v>
      </c>
      <c r="I130" s="226">
        <v>43087.815520833334</v>
      </c>
      <c r="J130" s="225">
        <v>0</v>
      </c>
      <c r="K130" s="237" t="str">
        <f t="shared" si="35"/>
        <v>4025/4026</v>
      </c>
      <c r="L130" s="245" t="str">
        <f>VLOOKUP(A130,'Trips&amp;Operators'!$C$1:$G$99911,5,FALSE)</f>
        <v>SMITH MICHAEL</v>
      </c>
      <c r="M130" s="224">
        <f t="shared" si="54"/>
        <v>2.5729166663950309E-2</v>
      </c>
      <c r="N130" s="225">
        <f t="shared" si="60"/>
        <v>37.049999996088445</v>
      </c>
      <c r="O130" s="225"/>
      <c r="P130" s="225"/>
      <c r="Q130" s="228"/>
      <c r="R130" s="242"/>
      <c r="S130" s="249">
        <f t="shared" si="61"/>
        <v>1</v>
      </c>
      <c r="T130" s="242" t="str">
        <f t="shared" si="37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8"/>
        <v>https://d0f6bd738d7f1b3e5a7ca70fe4ff75f0.us-east-1.aws.found.io/app/kibana#/discover/Steve-Slow-Train-Analysis-(2080s-and-2083s)?_g=(refreshInterval:(display:Off,pause:!f,section:0,value:0),time:(from:'2017-12-18T17:44:09-0700',mode:absolute,to:'2017-12-18T20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47" t="str">
        <f>IF(AA130&lt;VLOOKUP(AG130,Variables!$AC$3:$AD$8,2,FALSE),"Y","N")</f>
        <v>N</v>
      </c>
      <c r="X130" s="247">
        <f t="shared" si="55"/>
        <v>1</v>
      </c>
      <c r="Y130" s="247">
        <f t="shared" si="59"/>
        <v>23.2883</v>
      </c>
      <c r="Z130" s="247">
        <f t="shared" si="56"/>
        <v>2.6499999999999999E-2</v>
      </c>
      <c r="AA130" s="247">
        <f t="shared" si="40"/>
        <v>23.261800000000001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41"/>
        <v>216</v>
      </c>
      <c r="AE130" s="235" t="str">
        <f t="shared" si="42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130" s="234" t="str">
        <f t="shared" si="43"/>
        <v>"C:\Program Files (x86)\AstroGrep\AstroGrep.exe" /e /r /s /spath="%USERPROFILE%\AppData\Local\Temp\OnboardLogs" /stypes="app*4025*20171219*" /stext=" 02:.+((SYSTEM_STATE.+slice.+state.+changed )|(ment ac)|(multiple cpu faults)|(system.+state.+changed )|(\[timeout)|(PRM\|1\|D)|(kpr)|(kdp)|(train st.+moving)|(\|lc)|(penalty))"</v>
      </c>
      <c r="AG130" s="244" t="str">
        <f t="shared" si="44"/>
        <v>EC</v>
      </c>
      <c r="AH130" s="236" t="str">
        <f t="shared" si="45"/>
        <v>"%USERPROFILE%\Documents\GitHub\eaglep3\Utilities\RefineRTDCRunTimes.py" --tripid 216-18 --locoid 4025 --swversion DE.1.0.9.0 --startMP 204:232883 --initTime 2017-12-18T18:44:09 --startdatetime 2017-12-18T18:57:18 --delay 59 --endMP 204:265 --enddatetime 2017-12-18T19:34:21 --enforcementcount 0 &gt;&gt;%USERPROFILE%\Documents\GitHub\eaglep3-reporting\EC\2017-12-18-refined-times.txt</v>
      </c>
      <c r="AI13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{"issue":{"subject":"","project_id":79,"tracker_id":40,"status_id":1,"priority_id":2,"assigned_to_id":338,"start_date":"2017-12-18","description":"","custom_fields":[{"id":1,"name":"Subdivision","value":"EC"},{"id":4,"name":"Milepost","value":"0.0265"},{"id":17,"name":"Train ID","value":"216-18"},{"id":16,"name":"Locomotive ID","value":"4025"},{"id":130,"name":"Impact","value":""},{"id":150,"name":"Time of Event (Mountain Time)","value":"19:34:21"},{"id":151,"name":"Denver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7"/>
        <v>start /low /b %USERPROFILE%\Documents\GitHub\eaglep3\Utilities\DownloadLogsFromS3.py --loco 4025 --day 2017-12-18</v>
      </c>
      <c r="AN130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9"/>
        <v>https://d0f6bd738d7f1b3e5a7ca70fe4ff75f0.us-east-1.aws.found.io/app/kibana#/discover/Steve-Slow-Train-Analysis-(2080s-and-2083s)?_g=(refreshInterval:(display:Off,pause:!f,section:0,value:0),time:(from:'2017-12-18T17:44:09-0700',mode:absolute,to:'2017-12-18T20:34:21-0700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680</v>
      </c>
      <c r="B131" s="225">
        <v>4010</v>
      </c>
      <c r="C131" s="227" t="s">
        <v>192</v>
      </c>
      <c r="D131" s="227" t="s">
        <v>541</v>
      </c>
      <c r="E131" s="226">
        <v>43087.756909722222</v>
      </c>
      <c r="F131" s="226">
        <v>43087.760613425926</v>
      </c>
      <c r="G131" s="225">
        <v>105</v>
      </c>
      <c r="H131" s="227" t="s">
        <v>966</v>
      </c>
      <c r="I131" s="226">
        <v>43087.786759259259</v>
      </c>
      <c r="J131" s="225">
        <v>0</v>
      </c>
      <c r="K131" s="237" t="str">
        <f t="shared" si="35"/>
        <v>4009/4010</v>
      </c>
      <c r="L131" s="245" t="str">
        <f>VLOOKUP(A131,'Trips&amp;Operators'!$C$1:$G$99911,5,FALSE)</f>
        <v>RESPASS AARON</v>
      </c>
      <c r="M131" s="224">
        <f t="shared" si="54"/>
        <v>2.6145833333430346E-2</v>
      </c>
      <c r="N131" s="225">
        <f t="shared" si="60"/>
        <v>37.650000000139698</v>
      </c>
      <c r="O131" s="225"/>
      <c r="P131" s="225"/>
      <c r="Q131" s="228"/>
      <c r="R131" s="242"/>
      <c r="S131" s="249">
        <f t="shared" si="61"/>
        <v>1</v>
      </c>
      <c r="T131" s="242" t="str">
        <f t="shared" si="37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8"/>
        <v>https://d0f6bd738d7f1b3e5a7ca70fe4ff75f0.us-east-1.aws.found.io/app/kibana#/discover/Steve-Slow-Train-Analysis-(2080s-and-2083s)?_g=(refreshInterval:(display:Off,pause:!f,section:0,value:0),time:(from:'2017-12-18T17:09:57-0700',mode:absolute,to:'2017-12-18T19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47" t="str">
        <f>IF(AA131&lt;VLOOKUP(AG131,Variables!$AC$3:$AD$8,2,FALSE),"Y","N")</f>
        <v>N</v>
      </c>
      <c r="X131" s="247">
        <f t="shared" si="55"/>
        <v>1</v>
      </c>
      <c r="Y131" s="247">
        <f t="shared" si="59"/>
        <v>5.1700000000000003E-2</v>
      </c>
      <c r="Z131" s="247">
        <f t="shared" si="56"/>
        <v>23.326799999999999</v>
      </c>
      <c r="AA131" s="247">
        <f t="shared" si="40"/>
        <v>23.275099999999998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41"/>
        <v>217</v>
      </c>
      <c r="AE131" s="235" t="str">
        <f t="shared" si="42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131" s="234" t="str">
        <f t="shared" si="43"/>
        <v>"C:\Program Files (x86)\AstroGrep\AstroGrep.exe" /e /r /s /spath="%USERPROFILE%\AppData\Local\Temp\OnboardLogs" /stypes="app*4010*20171219*" /stext=" 01:.+((SYSTEM_STATE.+slice.+state.+changed )|(ment ac)|(multiple cpu faults)|(system.+state.+changed )|(\[timeout)|(PRM\|1\|D)|(kpr)|(kdp)|(train st.+moving)|(\|lc)|(penalty))"</v>
      </c>
      <c r="AG131" s="244" t="str">
        <f t="shared" si="44"/>
        <v>EC</v>
      </c>
      <c r="AH131" s="236" t="str">
        <f t="shared" si="45"/>
        <v>"%USERPROFILE%\Documents\GitHub\eaglep3\Utilities\RefineRTDCRunTimes.py" --tripid 217-18 --locoid 4010 --swversion DE.1.0.9.0 --startMP 204:517 --initTime 2017-12-18T18:09:57 --startdatetime 2017-12-18T18:15:17 --delay 105 --endMP 204:233268 --enddatetime 2017-12-18T18:52:56 --enforcementcount 0 &gt;&gt;%USERPROFILE%\Documents\GitHub\eaglep3-reporting\EC\2017-12-18-refined-times.txt</v>
      </c>
      <c r="AI13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{"issue":{"subject":"","project_id":79,"tracker_id":40,"status_id":1,"priority_id":2,"assigned_to_id":338,"start_date":"2017-12-18","description":"","custom_fields":[{"id":1,"name":"Subdivision","value":"EC"},{"id":4,"name":"Milepost","value":"23.3268"},{"id":17,"name":"Train ID","value":"217-18"},{"id":16,"name":"Locomotive ID","value":"4010"},{"id":130,"name":"Impact","value":""},{"id":150,"name":"Time of Event (Mountain Time)","value":"18:52:56"},{"id":151,"name":"Denver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7"/>
        <v>start /low /b %USERPROFILE%\Documents\GitHub\eaglep3\Utilities\DownloadLogsFromS3.py --loco 4010 --day 2017-12-18</v>
      </c>
      <c r="AN131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9"/>
        <v>https://d0f6bd738d7f1b3e5a7ca70fe4ff75f0.us-east-1.aws.found.io/app/kibana#/discover/Steve-Slow-Train-Analysis-(2080s-and-2083s)?_g=(refreshInterval:(display:Off,pause:!f,section:0,value:0),time:(from:'2017-12-18T17:09:57-0700',mode:absolute,to:'2017-12-18T19:52:56-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854</v>
      </c>
      <c r="B132" s="225">
        <v>4009</v>
      </c>
      <c r="C132" s="227" t="s">
        <v>192</v>
      </c>
      <c r="D132" s="227" t="s">
        <v>935</v>
      </c>
      <c r="E132" s="226">
        <v>43087.794999999998</v>
      </c>
      <c r="F132" s="226">
        <v>43087.800185185188</v>
      </c>
      <c r="G132" s="225">
        <v>250</v>
      </c>
      <c r="H132" s="227" t="s">
        <v>967</v>
      </c>
      <c r="I132" s="226">
        <v>43087.825601851851</v>
      </c>
      <c r="J132" s="225">
        <v>0</v>
      </c>
      <c r="K132" s="237" t="str">
        <f t="shared" si="35"/>
        <v>4009/4010</v>
      </c>
      <c r="L132" s="245" t="str">
        <f>VLOOKUP(A132,'Trips&amp;Operators'!$C$1:$G$99911,5,FALSE)</f>
        <v>RESPASS AARON</v>
      </c>
      <c r="M132" s="224">
        <f t="shared" si="54"/>
        <v>2.5416666663659271E-2</v>
      </c>
      <c r="N132" s="225">
        <f t="shared" si="60"/>
        <v>36.59999999566935</v>
      </c>
      <c r="O132" s="225"/>
      <c r="P132" s="225"/>
      <c r="Q132" s="228"/>
      <c r="R132" s="242"/>
      <c r="S132" s="249">
        <f t="shared" si="61"/>
        <v>1</v>
      </c>
      <c r="T132" s="242" t="str">
        <f t="shared" si="37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8"/>
        <v>https://d0f6bd738d7f1b3e5a7ca70fe4ff75f0.us-east-1.aws.found.io/app/kibana#/discover/Steve-Slow-Train-Analysis-(2080s-and-2083s)?_g=(refreshInterval:(display:Off,pause:!f,section:0,value:0),time:(from:'2017-12-18T18:04:48-0700',mode:absolute,to:'2017-12-18T20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47" t="str">
        <f>IF(AA132&lt;VLOOKUP(AG132,Variables!$AC$3:$AD$8,2,FALSE),"Y","N")</f>
        <v>N</v>
      </c>
      <c r="X132" s="247">
        <f t="shared" si="55"/>
        <v>1</v>
      </c>
      <c r="Y132" s="247">
        <f t="shared" si="59"/>
        <v>23.293199999999999</v>
      </c>
      <c r="Z132" s="247">
        <f t="shared" si="56"/>
        <v>2.5999999999999999E-2</v>
      </c>
      <c r="AA132" s="247">
        <f t="shared" si="40"/>
        <v>23.267199999999999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41"/>
        <v>218</v>
      </c>
      <c r="AE132" s="235" t="str">
        <f t="shared" si="42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132" s="234" t="str">
        <f t="shared" si="43"/>
        <v>"C:\Program Files (x86)\AstroGrep\AstroGrep.exe" /e /r /s /spath="%USERPROFILE%\AppData\Local\Temp\OnboardLogs" /stypes="app*4009*20171219*" /stext=" 02:.+((SYSTEM_STATE.+slice.+state.+changed )|(ment ac)|(multiple cpu faults)|(system.+state.+changed )|(\[timeout)|(PRM\|1\|D)|(kpr)|(kdp)|(train st.+moving)|(\|lc)|(penalty))"</v>
      </c>
      <c r="AG132" s="244" t="str">
        <f t="shared" si="44"/>
        <v>EC</v>
      </c>
      <c r="AH132" s="236" t="str">
        <f t="shared" si="45"/>
        <v>"%USERPROFILE%\Documents\GitHub\eaglep3\Utilities\RefineRTDCRunTimes.py" --tripid 218-18 --locoid 4009 --swversion DE.1.0.9.0 --startMP 204:232932 --initTime 2017-12-18T19:04:48 --startdatetime 2017-12-18T19:12:16 --delay 250 --endMP 204:260 --enddatetime 2017-12-18T19:48:52 --enforcementcount 0 &gt;&gt;%USERPROFILE%\Documents\GitHub\eaglep3-reporting\EC\2017-12-18-refined-times.txt</v>
      </c>
      <c r="AI13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{"issue":{"subject":"","project_id":79,"tracker_id":40,"status_id":1,"priority_id":2,"assigned_to_id":338,"start_date":"2017-12-18","description":"","custom_fields":[{"id":1,"name":"Subdivision","value":"EC"},{"id":4,"name":"Milepost","value":"0.026"},{"id":17,"name":"Train ID","value":"218-18"},{"id":16,"name":"Locomotive ID","value":"4009"},{"id":130,"name":"Impact","value":""},{"id":150,"name":"Time of Event (Mountain Time)","value":"19:48:52"},{"id":151,"name":"Denver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7"/>
        <v>start /low /b %USERPROFILE%\Documents\GitHub\eaglep3\Utilities\DownloadLogsFromS3.py --loco 4009 --day 2017-12-18</v>
      </c>
      <c r="AN132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9"/>
        <v>https://d0f6bd738d7f1b3e5a7ca70fe4ff75f0.us-east-1.aws.found.io/app/kibana#/discover/Steve-Slow-Train-Analysis-(2080s-and-2083s)?_g=(refreshInterval:(display:Off,pause:!f,section:0,value:0),time:(from:'2017-12-18T18:04:48-0700',mode:absolute,to:'2017-12-18T20:48:52-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25">
      <c r="A133" s="229" t="s">
        <v>845</v>
      </c>
      <c r="B133" s="225">
        <v>4044</v>
      </c>
      <c r="C133" s="227" t="s">
        <v>192</v>
      </c>
      <c r="D133" s="227" t="s">
        <v>523</v>
      </c>
      <c r="E133" s="226">
        <v>43087.767048611109</v>
      </c>
      <c r="F133" s="226">
        <v>43087.771018518521</v>
      </c>
      <c r="G133" s="225">
        <v>86</v>
      </c>
      <c r="H133" s="227" t="s">
        <v>556</v>
      </c>
      <c r="I133" s="226">
        <v>43087.795335648145</v>
      </c>
      <c r="J133" s="225">
        <v>0</v>
      </c>
      <c r="K133" s="237" t="str">
        <f t="shared" si="35"/>
        <v>4043/4044</v>
      </c>
      <c r="L133" s="245" t="str">
        <f>VLOOKUP(A133,'Trips&amp;Operators'!$C$1:$G$99911,5,FALSE)</f>
        <v>AUSTIN THOMPSON</v>
      </c>
      <c r="M133" s="224">
        <f t="shared" si="54"/>
        <v>2.4317129624250811E-2</v>
      </c>
      <c r="N133" s="225">
        <f t="shared" si="60"/>
        <v>35.016666658921167</v>
      </c>
      <c r="O133" s="225"/>
      <c r="P133" s="225"/>
      <c r="Q133" s="228"/>
      <c r="R133" s="242"/>
      <c r="S133" s="249">
        <f t="shared" si="61"/>
        <v>1</v>
      </c>
      <c r="T133" s="242" t="str">
        <f t="shared" si="37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8"/>
        <v>https://d0f6bd738d7f1b3e5a7ca70fe4ff75f0.us-east-1.aws.found.io/app/kibana#/discover/Steve-Slow-Train-Analysis-(2080s-and-2083s)?_g=(refreshInterval:(display:Off,pause:!f,section:0,value:0),time:(from:'2017-12-18T17:24:33-0700',mode:absolute,to:'2017-12-18T20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247" t="str">
        <f>IF(AA133&lt;VLOOKUP(AG133,Variables!$AC$3:$AD$8,2,FALSE),"Y","N")</f>
        <v>N</v>
      </c>
      <c r="X133" s="247">
        <f t="shared" si="55"/>
        <v>1</v>
      </c>
      <c r="Y133" s="247">
        <f t="shared" si="59"/>
        <v>0.05</v>
      </c>
      <c r="Z133" s="247">
        <f t="shared" si="56"/>
        <v>23.3261</v>
      </c>
      <c r="AA133" s="247">
        <f t="shared" si="40"/>
        <v>23.2761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41"/>
        <v>219</v>
      </c>
      <c r="AE133" s="235" t="str">
        <f t="shared" si="42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33" s="234" t="str">
        <f t="shared" si="43"/>
        <v>"C:\Program Files (x86)\AstroGrep\AstroGrep.exe" /e /r /s /spath="%USERPROFILE%\AppData\Local\Temp\OnboardLogs" /stypes="app*4044*20171219*" /stext=" 02:.+((SYSTEM_STATE.+slice.+state.+changed )|(ment ac)|(multiple cpu faults)|(system.+state.+changed )|(\[timeout)|(PRM\|1\|D)|(kpr)|(kdp)|(train st.+moving)|(\|lc)|(penalty))"</v>
      </c>
      <c r="AG133" s="244" t="str">
        <f t="shared" si="44"/>
        <v>EC</v>
      </c>
      <c r="AH133" s="236" t="str">
        <f t="shared" si="45"/>
        <v>"%USERPROFILE%\Documents\GitHub\eaglep3\Utilities\RefineRTDCRunTimes.py" --tripid 219-18 --locoid 4044 --swversion DE.1.0.9.0 --startMP 204:500 --initTime 2017-12-18T18:24:33 --startdatetime 2017-12-18T18:30:16 --delay 86 --endMP 204:233261 --enddatetime 2017-12-18T19:05:17 --enforcementcount 0 &gt;&gt;%USERPROFILE%\Documents\GitHub\eaglep3-reporting\EC\2017-12-18-refined-times.txt</v>
      </c>
      <c r="AI133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{"issue":{"subject":"","project_id":79,"tracker_id":40,"status_id":1,"priority_id":2,"assigned_to_id":338,"start_date":"2017-12-18","description":"","custom_fields":[{"id":1,"name":"Subdivision","value":"EC"},{"id":4,"name":"Milepost","value":"23.3261"},{"id":17,"name":"Train ID","value":"219-18"},{"id":16,"name":"Locomotive ID","value":"4044"},{"id":130,"name":"Impact","value":""},{"id":150,"name":"Time of Event (Mountain Time)","value":"19:05:17"},{"id":151,"name":"Denver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47"/>
        <v>start /low /b %USERPROFILE%\Documents\GitHub\eaglep3\Utilities\DownloadLogsFromS3.py --loco 4044 --day 2017-12-18</v>
      </c>
      <c r="AN133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9"/>
        <v>https://d0f6bd738d7f1b3e5a7ca70fe4ff75f0.us-east-1.aws.found.io/app/kibana#/discover/Steve-Slow-Train-Analysis-(2080s-and-2083s)?_g=(refreshInterval:(display:Off,pause:!f,section:0,value:0),time:(from:'2017-12-18T17:24:33-0700',mode:absolute,to:'2017-12-18T20:05:17-0700'))&amp;_a=(columns:!('Message%20ID',Summary),filters:!(),index:'emp_*',interval:auto,query:(query_string:(analyze_wildcard:!t,query:'%22rtdc.l.rtdc.4044%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856</v>
      </c>
      <c r="B134" s="225">
        <v>4043</v>
      </c>
      <c r="C134" s="227" t="s">
        <v>192</v>
      </c>
      <c r="D134" s="227" t="s">
        <v>554</v>
      </c>
      <c r="E134" s="226">
        <v>43087.808217592596</v>
      </c>
      <c r="F134" s="226">
        <v>43087.810578703706</v>
      </c>
      <c r="G134" s="225">
        <v>63</v>
      </c>
      <c r="H134" s="227" t="s">
        <v>937</v>
      </c>
      <c r="I134" s="226">
        <v>43087.836388888885</v>
      </c>
      <c r="J134" s="225">
        <v>0</v>
      </c>
      <c r="K134" s="237" t="str">
        <f t="shared" si="35"/>
        <v>4043/4044</v>
      </c>
      <c r="L134" s="245" t="str">
        <f>VLOOKUP(A134,'Trips&amp;Operators'!$C$1:$G$99911,5,FALSE)</f>
        <v>AUSTIN THOMPSON</v>
      </c>
      <c r="M134" s="224">
        <f t="shared" si="54"/>
        <v>2.5810185179580003E-2</v>
      </c>
      <c r="N134" s="225">
        <f t="shared" si="60"/>
        <v>37.166666658595204</v>
      </c>
      <c r="O134" s="225"/>
      <c r="P134" s="225"/>
      <c r="Q134" s="228"/>
      <c r="R134" s="242"/>
      <c r="S134" s="249">
        <f t="shared" si="61"/>
        <v>1</v>
      </c>
      <c r="T134" s="242" t="str">
        <f t="shared" si="37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8"/>
        <v>https://d0f6bd738d7f1b3e5a7ca70fe4ff75f0.us-east-1.aws.found.io/app/kibana#/discover/Steve-Slow-Train-Analysis-(2080s-and-2083s)?_g=(refreshInterval:(display:Off,pause:!f,section:0,value:0),time:(from:'2017-12-18T18:23:50-0700',mode:absolute,to:'2017-12-18T21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247" t="str">
        <f>IF(AA134&lt;VLOOKUP(AG134,Variables!$AC$3:$AD$8,2,FALSE),"Y","N")</f>
        <v>N</v>
      </c>
      <c r="X134" s="247">
        <f t="shared" si="55"/>
        <v>1</v>
      </c>
      <c r="Y134" s="247">
        <f t="shared" si="59"/>
        <v>23.295100000000001</v>
      </c>
      <c r="Z134" s="247">
        <f t="shared" si="56"/>
        <v>2.2700000000000001E-2</v>
      </c>
      <c r="AA134" s="247">
        <f t="shared" si="40"/>
        <v>23.272400000000001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41"/>
        <v>220</v>
      </c>
      <c r="AE134" s="235" t="str">
        <f t="shared" si="42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134" s="234" t="str">
        <f t="shared" si="43"/>
        <v>"C:\Program Files (x86)\AstroGrep\AstroGrep.exe" /e /r /s /spath="%USERPROFILE%\AppData\Local\Temp\OnboardLogs" /stypes="app*4043*20171219*" /stext=" 03:.+((SYSTEM_STATE.+slice.+state.+changed )|(ment ac)|(multiple cpu faults)|(system.+state.+changed )|(\[timeout)|(PRM\|1\|D)|(kpr)|(kdp)|(train st.+moving)|(\|lc)|(penalty))"</v>
      </c>
      <c r="AG134" s="244" t="str">
        <f t="shared" si="44"/>
        <v>EC</v>
      </c>
      <c r="AH134" s="236" t="str">
        <f t="shared" si="45"/>
        <v>"%USERPROFILE%\Documents\GitHub\eaglep3\Utilities\RefineRTDCRunTimes.py" --tripid 220-18 --locoid 4043 --swversion DE.1.0.9.0 --startMP 204:232951 --initTime 2017-12-18T19:23:50 --startdatetime 2017-12-18T19:27:14 --delay 63 --endMP 204:227 --enddatetime 2017-12-18T20:04:24 --enforcementcount 0 &gt;&gt;%USERPROFILE%\Documents\GitHub\eaglep3-reporting\EC\2017-12-18-refined-times.txt</v>
      </c>
      <c r="AI134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{"issue":{"subject":"","project_id":79,"tracker_id":40,"status_id":1,"priority_id":2,"assigned_to_id":338,"start_date":"2017-12-18","description":"","custom_fields":[{"id":1,"name":"Subdivision","value":"EC"},{"id":4,"name":"Milepost","value":"0.0227"},{"id":17,"name":"Train ID","value":"220-18"},{"id":16,"name":"Locomotive ID","value":"4043"},{"id":130,"name":"Impact","value":""},{"id":150,"name":"Time of Event (Mountain Time)","value":"20:04:24"},{"id":151,"name":"Denver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7"/>
        <v>start /low /b %USERPROFILE%\Documents\GitHub\eaglep3\Utilities\DownloadLogsFromS3.py --loco 4043 --day 2017-12-18</v>
      </c>
      <c r="AN134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9"/>
        <v>https://d0f6bd738d7f1b3e5a7ca70fe4ff75f0.us-east-1.aws.found.io/app/kibana#/discover/Steve-Slow-Train-Analysis-(2080s-and-2083s)?_g=(refreshInterval:(display:Off,pause:!f,section:0,value:0),time:(from:'2017-12-18T18:23:50-0700',mode:absolute,to:'2017-12-18T21:04:24-0700'))&amp;_a=(columns:!('Message%20ID',Summary),filters:!(),index:'emp_*',interval:auto,query:(query_string:(analyze_wildcard:!t,query:'%22rtdc.l.rtdc.4043%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851</v>
      </c>
      <c r="B135" s="225">
        <v>4052</v>
      </c>
      <c r="C135" s="227" t="s">
        <v>192</v>
      </c>
      <c r="D135" s="227" t="s">
        <v>634</v>
      </c>
      <c r="E135" s="226">
        <v>43087.786030092589</v>
      </c>
      <c r="F135" s="226">
        <v>43087.791817129626</v>
      </c>
      <c r="G135" s="225">
        <v>91</v>
      </c>
      <c r="H135" s="227" t="s">
        <v>508</v>
      </c>
      <c r="I135" s="226">
        <v>43087.815937500003</v>
      </c>
      <c r="J135" s="225">
        <v>0</v>
      </c>
      <c r="K135" s="237" t="str">
        <f t="shared" si="35"/>
        <v>4051/4052</v>
      </c>
      <c r="L135" s="245" t="str">
        <f>VLOOKUP(A135,'Trips&amp;Operators'!$C$1:$G$99911,5,FALSE)</f>
        <v>ELBAUM MIKE</v>
      </c>
      <c r="M135" s="224">
        <f t="shared" si="54"/>
        <v>2.4120370377204381E-2</v>
      </c>
      <c r="N135" s="225">
        <f t="shared" si="60"/>
        <v>34.733333343174309</v>
      </c>
      <c r="O135" s="225"/>
      <c r="P135" s="225"/>
      <c r="Q135" s="228"/>
      <c r="R135" s="242"/>
      <c r="S135" s="249">
        <f t="shared" si="61"/>
        <v>1</v>
      </c>
      <c r="T135" s="242" t="str">
        <f t="shared" si="37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8"/>
        <v>https://d0f6bd738d7f1b3e5a7ca70fe4ff75f0.us-east-1.aws.found.io/app/kibana#/discover/Steve-Slow-Train-Analysis-(2080s-and-2083s)?_g=(refreshInterval:(display:Off,pause:!f,section:0,value:0),time:(from:'2017-12-18T17:51:53-0700',mode:absolute,to:'2017-12-18T20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247" t="str">
        <f>IF(AA135&lt;VLOOKUP(AG135,Variables!$AC$3:$AD$8,2,FALSE),"Y","N")</f>
        <v>N</v>
      </c>
      <c r="X135" s="247">
        <f t="shared" si="55"/>
        <v>1</v>
      </c>
      <c r="Y135" s="247">
        <f t="shared" si="59"/>
        <v>4.8399999999999999E-2</v>
      </c>
      <c r="Z135" s="247">
        <f t="shared" si="56"/>
        <v>23.327000000000002</v>
      </c>
      <c r="AA135" s="247">
        <f t="shared" si="40"/>
        <v>23.278600000000001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41"/>
        <v>221</v>
      </c>
      <c r="AE135" s="235" t="str">
        <f t="shared" si="42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35" s="234" t="str">
        <f t="shared" si="43"/>
        <v>"C:\Program Files (x86)\AstroGrep\AstroGrep.exe" /e /r /s /spath="%USERPROFILE%\AppData\Local\Temp\OnboardLogs" /stypes="app*4052*20171219*" /stext=" 02:.+((SYSTEM_STATE.+slice.+state.+changed )|(ment ac)|(multiple cpu faults)|(system.+state.+changed )|(\[timeout)|(PRM\|1\|D)|(kpr)|(kdp)|(train st.+moving)|(\|lc)|(penalty))"</v>
      </c>
      <c r="AG135" s="244" t="str">
        <f t="shared" si="44"/>
        <v>EC</v>
      </c>
      <c r="AH135" s="236" t="str">
        <f t="shared" si="45"/>
        <v>"%USERPROFILE%\Documents\GitHub\eaglep3\Utilities\RefineRTDCRunTimes.py" --tripid 221-18 --locoid 4052 --swversion DE.1.0.9.0 --startMP 204:484 --initTime 2017-12-18T18:51:53 --startdatetime 2017-12-18T19:00:13 --delay 91 --endMP 204:233270 --enddatetime 2017-12-18T19:34:57 --enforcementcount 0 &gt;&gt;%USERPROFILE%\Documents\GitHub\eaglep3-reporting\EC\2017-12-18-refined-times.txt</v>
      </c>
      <c r="AI135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ID","value":"221-18"},{"id":16,"name":"Locomotive ID","value":"4052"},{"id":130,"name":"Impact","value":""},{"id":150,"name":"Time of Event (Mountain Time)","value":"19:34:57"},{"id":151,"name":"Denver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7"/>
        <v>start /low /b %USERPROFILE%\Documents\GitHub\eaglep3\Utilities\DownloadLogsFromS3.py --loco 4052 --day 2017-12-18</v>
      </c>
      <c r="AN135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9"/>
        <v>https://d0f6bd738d7f1b3e5a7ca70fe4ff75f0.us-east-1.aws.found.io/app/kibana#/discover/Steve-Slow-Train-Analysis-(2080s-and-2083s)?_g=(refreshInterval:(display:Off,pause:!f,section:0,value:0),time:(from:'2017-12-18T17:51:53-0700',mode:absolute,to:'2017-12-18T20:34:57-0700'))&amp;_a=(columns:!('Message%20ID',Summary),filters:!(),index:'emp_*',interval:auto,query:(query_string:(analyze_wildcard:!t,query:'%22rtdc.l.rtdc.4052%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860</v>
      </c>
      <c r="B136" s="225">
        <v>4051</v>
      </c>
      <c r="C136" s="227" t="s">
        <v>192</v>
      </c>
      <c r="D136" s="227" t="s">
        <v>968</v>
      </c>
      <c r="E136" s="226">
        <v>43087.817199074074</v>
      </c>
      <c r="F136" s="226">
        <v>43087.831388888888</v>
      </c>
      <c r="G136" s="225">
        <v>65</v>
      </c>
      <c r="H136" s="227" t="s">
        <v>502</v>
      </c>
      <c r="I136" s="226">
        <v>43087.856527777774</v>
      </c>
      <c r="J136" s="225">
        <v>0</v>
      </c>
      <c r="K136" s="237" t="str">
        <f t="shared" si="35"/>
        <v>4051/4052</v>
      </c>
      <c r="L136" s="245" t="str">
        <f>VLOOKUP(A136,'Trips&amp;Operators'!$C$1:$G$99911,5,FALSE)</f>
        <v>ELBAUM MIKE</v>
      </c>
      <c r="M136" s="224">
        <f t="shared" si="54"/>
        <v>2.5138888886431232E-2</v>
      </c>
      <c r="N136" s="225">
        <f t="shared" si="60"/>
        <v>36.199999996460974</v>
      </c>
      <c r="O136" s="225"/>
      <c r="P136" s="225"/>
      <c r="Q136" s="228"/>
      <c r="R136" s="242"/>
      <c r="S136" s="249">
        <f t="shared" si="61"/>
        <v>1</v>
      </c>
      <c r="T136" s="242" t="str">
        <f t="shared" si="37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8"/>
        <v>https://d0f6bd738d7f1b3e5a7ca70fe4ff75f0.us-east-1.aws.found.io/app/kibana#/discover/Steve-Slow-Train-Analysis-(2080s-and-2083s)?_g=(refreshInterval:(display:Off,pause:!f,section:0,value:0),time:(from:'2017-12-18T18:36:46-0700',mode:absolute,to:'2017-12-18T21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247" t="str">
        <f>IF(AA136&lt;VLOOKUP(AG136,Variables!$AC$3:$AD$8,2,FALSE),"Y","N")</f>
        <v>N</v>
      </c>
      <c r="X136" s="247">
        <f t="shared" si="55"/>
        <v>1</v>
      </c>
      <c r="Y136" s="247">
        <f t="shared" si="59"/>
        <v>23.2957</v>
      </c>
      <c r="Z136" s="247">
        <f t="shared" si="56"/>
        <v>2.6499999999999999E-2</v>
      </c>
      <c r="AA136" s="247">
        <f t="shared" si="40"/>
        <v>23.269200000000001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41"/>
        <v>222</v>
      </c>
      <c r="AE136" s="235" t="str">
        <f t="shared" si="42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36" s="234" t="str">
        <f t="shared" si="43"/>
        <v>"C:\Program Files (x86)\AstroGrep\AstroGrep.exe" /e /r /s /spath="%USERPROFILE%\AppData\Local\Temp\OnboardLogs" /stypes="app*4051*20171219*" /stext=" 03:.+((SYSTEM_STATE.+slice.+state.+changed )|(ment ac)|(multiple cpu faults)|(system.+state.+changed )|(\[timeout)|(PRM\|1\|D)|(kpr)|(kdp)|(train st.+moving)|(\|lc)|(penalty))"</v>
      </c>
      <c r="AG136" s="244" t="str">
        <f t="shared" si="44"/>
        <v>EC</v>
      </c>
      <c r="AH136" s="236" t="str">
        <f t="shared" si="45"/>
        <v>"%USERPROFILE%\Documents\GitHub\eaglep3\Utilities\RefineRTDCRunTimes.py" --tripid 222-18 --locoid 4051 --swversion DE.1.0.9.0 --startMP 204:232957 --initTime 2017-12-18T19:36:46 --startdatetime 2017-12-18T19:57:12 --delay 65 --endMP 204:265 --enddatetime 2017-12-18T20:33:24 --enforcementcount 0 &gt;&gt;%USERPROFILE%\Documents\GitHub\eaglep3-reporting\EC\2017-12-18-refined-times.txt</v>
      </c>
      <c r="AI136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{"issue":{"subject":"","project_id":79,"tracker_id":40,"status_id":1,"priority_id":2,"assigned_to_id":338,"start_date":"2017-12-18","description":"","custom_fields":[{"id":1,"name":"Subdivision","value":"EC"},{"id":4,"name":"Milepost","value":"0.0265"},{"id":17,"name":"Train ID","value":"222-18"},{"id":16,"name":"Locomotive ID","value":"4051"},{"id":130,"name":"Impact","value":""},{"id":150,"name":"Time of Event (Mountain Time)","value":"20:33:24"},{"id":151,"name":"Denver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7"/>
        <v>start /low /b %USERPROFILE%\Documents\GitHub\eaglep3\Utilities\DownloadLogsFromS3.py --loco 4051 --day 2017-12-18</v>
      </c>
      <c r="AN136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9"/>
        <v>https://d0f6bd738d7f1b3e5a7ca70fe4ff75f0.us-east-1.aws.found.io/app/kibana#/discover/Steve-Slow-Train-Analysis-(2080s-and-2083s)?_g=(refreshInterval:(display:Off,pause:!f,section:0,value:0),time:(from:'2017-12-18T18:36:46-0700',mode:absolute,to:'2017-12-18T21:33:24-0700'))&amp;_a=(columns:!('Message%20ID',Summary),filters:!(),index:'emp_*',interval:auto,query:(query_string:(analyze_wildcard:!t,query:'%22rtdc.l.rtdc.4051%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858</v>
      </c>
      <c r="B137" s="225">
        <v>4016</v>
      </c>
      <c r="C137" s="227" t="s">
        <v>192</v>
      </c>
      <c r="D137" s="227" t="s">
        <v>902</v>
      </c>
      <c r="E137" s="226">
        <v>43087.81144675926</v>
      </c>
      <c r="F137" s="226">
        <v>43087.812858796293</v>
      </c>
      <c r="G137" s="225">
        <v>46</v>
      </c>
      <c r="H137" s="227" t="s">
        <v>635</v>
      </c>
      <c r="I137" s="226">
        <v>43087.836921296293</v>
      </c>
      <c r="J137" s="225">
        <v>0</v>
      </c>
      <c r="K137" s="237" t="str">
        <f t="shared" si="35"/>
        <v>4015/4016</v>
      </c>
      <c r="L137" s="245" t="str">
        <f>VLOOKUP(A137,'Trips&amp;Operators'!$C$1:$G$99911,5,FALSE)</f>
        <v>LOZA FIDEL</v>
      </c>
      <c r="M137" s="224">
        <f t="shared" si="54"/>
        <v>2.4062500000582077E-2</v>
      </c>
      <c r="N137" s="225">
        <f t="shared" si="60"/>
        <v>34.65000000083819</v>
      </c>
      <c r="O137" s="225"/>
      <c r="P137" s="225"/>
      <c r="Q137" s="228"/>
      <c r="R137" s="242"/>
      <c r="S137" s="249">
        <f t="shared" si="61"/>
        <v>1</v>
      </c>
      <c r="T137" s="242" t="str">
        <f t="shared" si="37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8"/>
        <v>https://d0f6bd738d7f1b3e5a7ca70fe4ff75f0.us-east-1.aws.found.io/app/kibana#/discover/Steve-Slow-Train-Analysis-(2080s-and-2083s)?_g=(refreshInterval:(display:Off,pause:!f,section:0,value:0),time:(from:'2017-12-18T18:28:29-0700',mode:absolute,to:'2017-12-18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247" t="str">
        <f>IF(AA137&lt;VLOOKUP(AG137,Variables!$AC$3:$AD$8,2,FALSE),"Y","N")</f>
        <v>N</v>
      </c>
      <c r="X137" s="247">
        <f t="shared" si="55"/>
        <v>1</v>
      </c>
      <c r="Y137" s="247">
        <f t="shared" si="59"/>
        <v>5.2400000000000002E-2</v>
      </c>
      <c r="Z137" s="247">
        <f t="shared" si="56"/>
        <v>23.3278</v>
      </c>
      <c r="AA137" s="247">
        <f t="shared" si="40"/>
        <v>23.275400000000001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41"/>
        <v>223</v>
      </c>
      <c r="AE137" s="235" t="str">
        <f t="shared" si="42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37" s="234" t="str">
        <f t="shared" si="43"/>
        <v>"C:\Program Files (x86)\AstroGrep\AstroGrep.exe" /e /r /s /spath="%USERPROFILE%\AppData\Local\Temp\OnboardLogs" /stypes="app*4016*20171219*" /stext=" 03:.+((SYSTEM_STATE.+slice.+state.+changed )|(ment ac)|(multiple cpu faults)|(system.+state.+changed )|(\[timeout)|(PRM\|1\|D)|(kpr)|(kdp)|(train st.+moving)|(\|lc)|(penalty))"</v>
      </c>
      <c r="AG137" s="244" t="str">
        <f t="shared" si="44"/>
        <v>EC</v>
      </c>
      <c r="AH137" s="236" t="str">
        <f t="shared" si="45"/>
        <v>"%USERPROFILE%\Documents\GitHub\eaglep3\Utilities\RefineRTDCRunTimes.py" --tripid 223-18 --locoid 4016 --swversion DE.1.0.9.0 --startMP 204:524 --initTime 2017-12-18T19:28:29 --startdatetime 2017-12-18T19:30:31 --delay 46 --endMP 204:233278 --enddatetime 2017-12-18T20:05:10 --enforcementcount 0 &gt;&gt;%USERPROFILE%\Documents\GitHub\eaglep3-reporting\EC\2017-12-18-refined-times.txt</v>
      </c>
      <c r="AI137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{"issue":{"subject":"","project_id":79,"tracker_id":40,"status_id":1,"priority_id":2,"assigned_to_id":338,"start_date":"2017-12-18","description":"","custom_fields":[{"id":1,"name":"Subdivision","value":"EC"},{"id":4,"name":"Milepost","value":"23.3278"},{"id":17,"name":"Train ID","value":"223-18"},{"id":16,"name":"Locomotive ID","value":"4016"},{"id":130,"name":"Impact","value":""},{"id":150,"name":"Time of Event (Mountain Time)","value":"20:05:10"},{"id":151,"name":"Denver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7"/>
        <v>start /low /b %USERPROFILE%\Documents\GitHub\eaglep3\Utilities\DownloadLogsFromS3.py --loco 4016 --day 2017-12-18</v>
      </c>
      <c r="AN137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9"/>
        <v>https://d0f6bd738d7f1b3e5a7ca70fe4ff75f0.us-east-1.aws.found.io/app/kibana#/discover/Steve-Slow-Train-Analysis-(2080s-and-2083s)?_g=(refreshInterval:(display:Off,pause:!f,section:0,value:0),time:(from:'2017-12-18T18:28:29-0700',mode:absolute,to:'2017-12-18T21:05:10-0700'))&amp;_a=(columns:!('Message%20ID',Summary),filters:!(),index:'emp_*',interval:auto,query:(query_string:(analyze_wildcard:!t,query:'%22rtdc.l.rtdc.4016%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863</v>
      </c>
      <c r="B138" s="225">
        <v>4015</v>
      </c>
      <c r="C138" s="227" t="s">
        <v>192</v>
      </c>
      <c r="D138" s="227" t="s">
        <v>542</v>
      </c>
      <c r="E138" s="226">
        <v>43087.85052083333</v>
      </c>
      <c r="F138" s="226">
        <v>43087.852361111109</v>
      </c>
      <c r="G138" s="225">
        <v>57</v>
      </c>
      <c r="H138" s="227" t="s">
        <v>522</v>
      </c>
      <c r="I138" s="226">
        <v>43087.877685185187</v>
      </c>
      <c r="J138" s="225">
        <v>0</v>
      </c>
      <c r="K138" s="237" t="str">
        <f t="shared" si="35"/>
        <v>4015/4016</v>
      </c>
      <c r="L138" s="245" t="str">
        <f>VLOOKUP(A138,'Trips&amp;Operators'!$C$1:$G$99911,5,FALSE)</f>
        <v>LOZA FIDEL</v>
      </c>
      <c r="M138" s="224">
        <f t="shared" si="54"/>
        <v>2.5324074078525882E-2</v>
      </c>
      <c r="N138" s="225">
        <f t="shared" si="60"/>
        <v>36.46666667307727</v>
      </c>
      <c r="O138" s="225"/>
      <c r="P138" s="225"/>
      <c r="Q138" s="228"/>
      <c r="R138" s="242"/>
      <c r="S138" s="249">
        <f t="shared" si="61"/>
        <v>1</v>
      </c>
      <c r="T138" s="242" t="str">
        <f t="shared" si="37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8"/>
        <v>https://d0f6bd738d7f1b3e5a7ca70fe4ff75f0.us-east-1.aws.found.io/app/kibana#/discover/Steve-Slow-Train-Analysis-(2080s-and-2083s)?_g=(refreshInterval:(display:Off,pause:!f,section:0,value:0),time:(from:'2017-12-18T19:24:45-0700',mode:absolute,to:'2017-12-18T22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247" t="str">
        <f>IF(AA138&lt;VLOOKUP(AG138,Variables!$AC$3:$AD$8,2,FALSE),"Y","N")</f>
        <v>N</v>
      </c>
      <c r="X138" s="247">
        <f t="shared" si="55"/>
        <v>1</v>
      </c>
      <c r="Y138" s="247">
        <f t="shared" si="59"/>
        <v>23.297000000000001</v>
      </c>
      <c r="Z138" s="247">
        <f t="shared" si="56"/>
        <v>2.18E-2</v>
      </c>
      <c r="AA138" s="247">
        <f t="shared" si="40"/>
        <v>23.275200000000002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41"/>
        <v>224</v>
      </c>
      <c r="AE138" s="235" t="str">
        <f t="shared" si="42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38" s="234" t="str">
        <f t="shared" si="43"/>
        <v>"C:\Program Files (x86)\AstroGrep\AstroGrep.exe" /e /r /s /spath="%USERPROFILE%\AppData\Local\Temp\OnboardLogs" /stypes="app*4015*20171219*" /stext=" 04:.+((SYSTEM_STATE.+slice.+state.+changed )|(ment ac)|(multiple cpu faults)|(system.+state.+changed )|(\[timeout)|(PRM\|1\|D)|(kpr)|(kdp)|(train st.+moving)|(\|lc)|(penalty))"</v>
      </c>
      <c r="AG138" s="244" t="str">
        <f t="shared" si="44"/>
        <v>EC</v>
      </c>
      <c r="AH138" s="236" t="str">
        <f t="shared" si="45"/>
        <v>"%USERPROFILE%\Documents\GitHub\eaglep3\Utilities\RefineRTDCRunTimes.py" --tripid 224-18 --locoid 4015 --swversion DE.1.0.9.0 --startMP 204:232970 --initTime 2017-12-18T20:24:45 --startdatetime 2017-12-18T20:27:24 --delay 57 --endMP 204:218 --enddatetime 2017-12-18T21:03:52 --enforcementcount 0 &gt;&gt;%USERPROFILE%\Documents\GitHub\eaglep3-reporting\EC\2017-12-18-refined-times.txt</v>
      </c>
      <c r="AI138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{"issue":{"subject":"","project_id":79,"tracker_id":40,"status_id":1,"priority_id":2,"assigned_to_id":338,"start_date":"2017-12-18","description":"","custom_fields":[{"id":1,"name":"Subdivision","value":"EC"},{"id":4,"name":"Milepost","value":"0.0218"},{"id":17,"name":"Train ID","value":"224-18"},{"id":16,"name":"Locomotive ID","value":"4015"},{"id":130,"name":"Impact","value":""},{"id":150,"name":"Time of Event (Mountain Time)","value":"21:03:52"},{"id":151,"name":"Denver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7"/>
        <v>start /low /b %USERPROFILE%\Documents\GitHub\eaglep3\Utilities\DownloadLogsFromS3.py --loco 4015 --day 2017-12-18</v>
      </c>
      <c r="AN138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9"/>
        <v>https://d0f6bd738d7f1b3e5a7ca70fe4ff75f0.us-east-1.aws.found.io/app/kibana#/discover/Steve-Slow-Train-Analysis-(2080s-and-2083s)?_g=(refreshInterval:(display:Off,pause:!f,section:0,value:0),time:(from:'2017-12-18T19:24:45-0700',mode:absolute,to:'2017-12-18T22:03:52-0700'))&amp;_a=(columns:!('Message%20ID',Summary),filters:!(),index:'emp_*',interval:auto,query:(query_string:(analyze_wildcard:!t,query:'%22rtdc.l.rtdc.4015%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25">
      <c r="A139" s="229" t="s">
        <v>861</v>
      </c>
      <c r="B139" s="225">
        <v>4010</v>
      </c>
      <c r="C139" s="227" t="s">
        <v>192</v>
      </c>
      <c r="D139" s="227" t="s">
        <v>958</v>
      </c>
      <c r="E139" s="226">
        <v>43087.829502314817</v>
      </c>
      <c r="F139" s="226">
        <v>43087.833749999998</v>
      </c>
      <c r="G139" s="225">
        <v>71</v>
      </c>
      <c r="H139" s="227" t="s">
        <v>959</v>
      </c>
      <c r="I139" s="226">
        <v>43087.858171296299</v>
      </c>
      <c r="J139" s="225">
        <v>0</v>
      </c>
      <c r="K139" s="237" t="str">
        <f t="shared" si="35"/>
        <v>4009/4010</v>
      </c>
      <c r="L139" s="245" t="str">
        <f>VLOOKUP(A139,'Trips&amp;Operators'!$C$1:$G$99911,5,FALSE)</f>
        <v>RESPASS AARON</v>
      </c>
      <c r="M139" s="224">
        <f t="shared" si="54"/>
        <v>2.4421296300715767E-2</v>
      </c>
      <c r="N139" s="225">
        <f t="shared" si="60"/>
        <v>35.166666673030704</v>
      </c>
      <c r="O139" s="225"/>
      <c r="P139" s="225"/>
      <c r="Q139" s="228"/>
      <c r="R139" s="242"/>
      <c r="S139" s="249">
        <f t="shared" si="61"/>
        <v>1</v>
      </c>
      <c r="T139" s="242" t="str">
        <f t="shared" si="37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8"/>
        <v>https://d0f6bd738d7f1b3e5a7ca70fe4ff75f0.us-east-1.aws.found.io/app/kibana#/discover/Steve-Slow-Train-Analysis-(2080s-and-2083s)?_g=(refreshInterval:(display:Off,pause:!f,section:0,value:0),time:(from:'2017-12-18T18:54:29-0700',mode:absolute,to:'2017-12-18T21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247" t="str">
        <f>IF(AA139&lt;VLOOKUP(AG139,Variables!$AC$3:$AD$8,2,FALSE),"Y","N")</f>
        <v>N</v>
      </c>
      <c r="X139" s="247">
        <f t="shared" si="55"/>
        <v>1</v>
      </c>
      <c r="Y139" s="247">
        <f t="shared" si="59"/>
        <v>5.5899999999999998E-2</v>
      </c>
      <c r="Z139" s="247">
        <f t="shared" si="56"/>
        <v>23.324200000000001</v>
      </c>
      <c r="AA139" s="247">
        <f t="shared" si="40"/>
        <v>23.2683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41"/>
        <v>225</v>
      </c>
      <c r="AE139" s="235" t="str">
        <f t="shared" si="42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139" s="234" t="str">
        <f t="shared" si="43"/>
        <v>"C:\Program Files (x86)\AstroGrep\AstroGrep.exe" /e /r /s /spath="%USERPROFILE%\AppData\Local\Temp\OnboardLogs" /stypes="app*4010*20171219*" /stext=" 03:.+((SYSTEM_STATE.+slice.+state.+changed )|(ment ac)|(multiple cpu faults)|(system.+state.+changed )|(\[timeout)|(PRM\|1\|D)|(kpr)|(kdp)|(train st.+moving)|(\|lc)|(penalty))"</v>
      </c>
      <c r="AG139" s="244" t="str">
        <f t="shared" si="44"/>
        <v>EC</v>
      </c>
      <c r="AH139" s="236" t="str">
        <f t="shared" si="45"/>
        <v>"%USERPROFILE%\Documents\GitHub\eaglep3\Utilities\RefineRTDCRunTimes.py" --tripid 225-18 --locoid 4010 --swversion DE.1.0.9.0 --startMP 204:559 --initTime 2017-12-18T19:54:29 --startdatetime 2017-12-18T20:00:36 --delay 71 --endMP 204:233242 --enddatetime 2017-12-18T20:35:46 --enforcementcount 0 &gt;&gt;%USERPROFILE%\Documents\GitHub\eaglep3-reporting\EC\2017-12-18-refined-times.txt</v>
      </c>
      <c r="AI139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{"issue":{"subject":"","project_id":79,"tracker_id":40,"status_id":1,"priority_id":2,"assigned_to_id":338,"start_date":"2017-12-18","description":"","custom_fields":[{"id":1,"name":"Subdivision","value":"EC"},{"id":4,"name":"Milepost","value":"23.3242"},{"id":17,"name":"Train ID","value":"225-18"},{"id":16,"name":"Locomotive ID","value":"4010"},{"id":130,"name":"Impact","value":""},{"id":150,"name":"Time of Event (Mountain Time)","value":"20:35:46"},{"id":151,"name":"Denver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47"/>
        <v>start /low /b %USERPROFILE%\Documents\GitHub\eaglep3\Utilities\DownloadLogsFromS3.py --loco 4010 --day 2017-12-18</v>
      </c>
      <c r="AN139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9"/>
        <v>https://d0f6bd738d7f1b3e5a7ca70fe4ff75f0.us-east-1.aws.found.io/app/kibana#/discover/Steve-Slow-Train-Analysis-(2080s-and-2083s)?_g=(refreshInterval:(display:Off,pause:!f,section:0,value:0),time:(from:'2017-12-18T18:54:29-0700',mode:absolute,to:'2017-12-18T21:35:46-0700'))&amp;_a=(columns:!('Message%20ID',Summary),filters:!(),index:'emp_*',interval:auto,query:(query_string:(analyze_wildcard:!t,query:'%22rtdc.l.rtdc.4010%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867</v>
      </c>
      <c r="B140" s="225">
        <v>4009</v>
      </c>
      <c r="C140" s="227" t="s">
        <v>192</v>
      </c>
      <c r="D140" s="227" t="s">
        <v>969</v>
      </c>
      <c r="E140" s="226">
        <v>43087.86859953704</v>
      </c>
      <c r="F140" s="226">
        <v>43087.873263888891</v>
      </c>
      <c r="G140" s="225">
        <v>78</v>
      </c>
      <c r="H140" s="227" t="s">
        <v>502</v>
      </c>
      <c r="I140" s="226">
        <v>43087.898159722223</v>
      </c>
      <c r="J140" s="225">
        <v>0</v>
      </c>
      <c r="K140" s="237" t="str">
        <f t="shared" si="35"/>
        <v>4009/4010</v>
      </c>
      <c r="L140" s="245" t="str">
        <f>VLOOKUP(A140,'Trips&amp;Operators'!$C$1:$G$99911,5,FALSE)</f>
        <v>RESPASS AARON</v>
      </c>
      <c r="M140" s="224">
        <f t="shared" si="54"/>
        <v>2.4895833332266193E-2</v>
      </c>
      <c r="N140" s="225">
        <f t="shared" si="60"/>
        <v>35.849999998463318</v>
      </c>
      <c r="O140" s="225"/>
      <c r="P140" s="225"/>
      <c r="Q140" s="228"/>
      <c r="R140" s="242"/>
      <c r="S140" s="249">
        <f t="shared" si="61"/>
        <v>1</v>
      </c>
      <c r="T140" s="242" t="str">
        <f t="shared" si="37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8"/>
        <v>https://d0f6bd738d7f1b3e5a7ca70fe4ff75f0.us-east-1.aws.found.io/app/kibana#/discover/Steve-Slow-Train-Analysis-(2080s-and-2083s)?_g=(refreshInterval:(display:Off,pause:!f,section:0,value:0),time:(from:'2017-12-18T19:50:47-0700',mode:absolute,to:'2017-12-18T22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247" t="str">
        <f>IF(AA140&lt;VLOOKUP(AG140,Variables!$AC$3:$AD$8,2,FALSE),"Y","N")</f>
        <v>N</v>
      </c>
      <c r="X140" s="247">
        <f t="shared" si="55"/>
        <v>1</v>
      </c>
      <c r="Y140" s="247">
        <f t="shared" si="59"/>
        <v>23.2928</v>
      </c>
      <c r="Z140" s="247">
        <f t="shared" si="56"/>
        <v>2.6499999999999999E-2</v>
      </c>
      <c r="AA140" s="247">
        <f t="shared" si="40"/>
        <v>23.266300000000001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41"/>
        <v>226</v>
      </c>
      <c r="AE140" s="235" t="str">
        <f t="shared" si="42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140" s="234" t="str">
        <f t="shared" si="43"/>
        <v>"C:\Program Files (x86)\AstroGrep\AstroGrep.exe" /e /r /s /spath="%USERPROFILE%\AppData\Local\Temp\OnboardLogs" /stypes="app*4009*20171219*" /stext=" 04:.+((SYSTEM_STATE.+slice.+state.+changed )|(ment ac)|(multiple cpu faults)|(system.+state.+changed )|(\[timeout)|(PRM\|1\|D)|(kpr)|(kdp)|(train st.+moving)|(\|lc)|(penalty))"</v>
      </c>
      <c r="AG140" s="244" t="str">
        <f t="shared" si="44"/>
        <v>EC</v>
      </c>
      <c r="AH140" s="236" t="str">
        <f t="shared" si="45"/>
        <v>"%USERPROFILE%\Documents\GitHub\eaglep3\Utilities\RefineRTDCRunTimes.py" --tripid 226-18 --locoid 4009 --swversion DE.1.0.9.0 --startMP 204:232928 --initTime 2017-12-18T20:50:47 --startdatetime 2017-12-18T20:57:30 --delay 78 --endMP 204:265 --enddatetime 2017-12-18T21:33:21 --enforcementcount 0 &gt;&gt;%USERPROFILE%\Documents\GitHub\eaglep3-reporting\EC\2017-12-18-refined-times.txt</v>
      </c>
      <c r="AI140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{"issue":{"subject":"","project_id":79,"tracker_id":40,"status_id":1,"priority_id":2,"assigned_to_id":338,"start_date":"2017-12-18","description":"","custom_fields":[{"id":1,"name":"Subdivision","value":"EC"},{"id":4,"name":"Milepost","value":"0.0265"},{"id":17,"name":"Train ID","value":"226-18"},{"id":16,"name":"Locomotive ID","value":"4009"},{"id":130,"name":"Impact","value":""},{"id":150,"name":"Time of Event (Mountain Time)","value":"21:33:21"},{"id":151,"name":"Denver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47"/>
        <v>start /low /b %USERPROFILE%\Documents\GitHub\eaglep3\Utilities\DownloadLogsFromS3.py --loco 4009 --day 2017-12-18</v>
      </c>
      <c r="AN140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9"/>
        <v>https://d0f6bd738d7f1b3e5a7ca70fe4ff75f0.us-east-1.aws.found.io/app/kibana#/discover/Steve-Slow-Train-Analysis-(2080s-and-2083s)?_g=(refreshInterval:(display:Off,pause:!f,section:0,value:0),time:(from:'2017-12-18T19:50:47-0700',mode:absolute,to:'2017-12-18T22:33:21-0700'))&amp;_a=(columns:!('Message%20ID',Summary),filters:!(),index:'emp_*',interval:auto,query:(query_string:(analyze_wildcard:!t,query:'%22rtdc.l.rtdc.4009%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864</v>
      </c>
      <c r="B141" s="225">
        <v>4044</v>
      </c>
      <c r="C141" s="227" t="s">
        <v>192</v>
      </c>
      <c r="D141" s="227" t="s">
        <v>644</v>
      </c>
      <c r="E141" s="226">
        <v>43087.850821759261</v>
      </c>
      <c r="F141" s="226">
        <v>43087.85434027778</v>
      </c>
      <c r="G141" s="225">
        <v>61</v>
      </c>
      <c r="H141" s="227" t="s">
        <v>950</v>
      </c>
      <c r="I141" s="226">
        <v>43087.878576388888</v>
      </c>
      <c r="J141" s="225">
        <v>0</v>
      </c>
      <c r="K141" s="237" t="str">
        <f t="shared" ref="K141:K204" si="62">IF(ISEVEN(B141),(B141-1)&amp;"/"&amp;B141,B141&amp;"/"&amp;(B141+1))</f>
        <v>4043/4044</v>
      </c>
      <c r="L141" s="245" t="str">
        <f>VLOOKUP(A141,'Trips&amp;Operators'!$C$1:$G$99911,5,FALSE)</f>
        <v>AUSTIN THOMPSON</v>
      </c>
      <c r="M141" s="224">
        <f t="shared" ref="M141:M159" si="63">I141-F141</f>
        <v>2.4236111108621117E-2</v>
      </c>
      <c r="N141" s="225">
        <f t="shared" si="60"/>
        <v>34.899999996414408</v>
      </c>
      <c r="O141" s="225"/>
      <c r="P141" s="225"/>
      <c r="Q141" s="228"/>
      <c r="R141" s="242"/>
      <c r="S141" s="249">
        <f t="shared" si="61"/>
        <v>1</v>
      </c>
      <c r="T141" s="242" t="str">
        <f t="shared" ref="T141:T204" si="64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-18T19:25:11-0700',mode:absolute,to:'2017-12-18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247" t="str">
        <f>IF(AA141&lt;VLOOKUP(AG141,Variables!$AC$3:$AD$8,2,FALSE),"Y","N")</f>
        <v>N</v>
      </c>
      <c r="X141" s="247">
        <f t="shared" ref="X141:X156" si="66">VALUE(LEFT(AD141,4))-VALUE(LEFT(AD140,4))</f>
        <v>1</v>
      </c>
      <c r="Y141" s="247">
        <f t="shared" si="59"/>
        <v>5.3699999999999998E-2</v>
      </c>
      <c r="Z141" s="247">
        <f t="shared" si="56"/>
        <v>23.328099999999999</v>
      </c>
      <c r="AA141" s="247">
        <f t="shared" ref="AA141:AA204" si="67">ABS(Z141-Y141)</f>
        <v>23.2744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8">VALUE(LEFT(A141,LEN(A141)-3))</f>
        <v>227</v>
      </c>
      <c r="AE141" s="235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41" s="23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/stypes="app*4044*20171219*"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71">DetSubdiv(A141)</f>
        <v>EC</v>
      </c>
      <c r="AH141" s="236" t="str">
        <f t="shared" si="45"/>
        <v>"%USERPROFILE%\Documents\GitHub\eaglep3\Utilities\RefineRTDCRunTimes.py" --tripid 227-18 --locoid 4044 --swversion DE.1.0.9.0 --startMP 204:537 --initTime 2017-12-18T20:25:11 --startdatetime 2017-12-18T20:30:15 --delay 61 --endMP 204:233281 --enddatetime 2017-12-18T21:05:09 --enforcementcount 0 &gt;&gt;%USERPROFILE%\Documents\GitHub\eaglep3-reporting\EC\2017-12-18-refined-times.txt</v>
      </c>
      <c r="AI141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{"issue":{"subject":"","project_id":79,"tracker_id":40,"status_id":1,"priority_id":2,"assigned_to_id":338,"start_date":"2017-12-18","description":"","custom_fields":[{"id":1,"name":"Subdivision","value":"EC"},{"id":4,"name":"Milepost","value":"23.3281"},{"id":17,"name":"Train ID","value":"227-18"},{"id":16,"name":"Locomotive ID","value":"4044"},{"id":130,"name":"Impact","value":""},{"id":150,"name":"Time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7"/>
        <v>start /low /b %USERPROFILE%\Documents\GitHub\eaglep3\Utilities\DownloadLogsFromS3.py --loco 4044 --day 2017-12-18</v>
      </c>
      <c r="AN141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9"/>
        <v>https://d0f6bd738d7f1b3e5a7ca70fe4ff75f0.us-east-1.aws.found.io/app/kibana#/discover/Steve-Slow-Train-Analysis-(2080s-and-2083s)?_g=(refreshInterval:(display:Off,pause:!f,section:0,value:0),time:(from:'2017-12-18T19:25:11-0700',mode:absolute,to:'2017-12-18T22:05:09-0700'))&amp;_a=(columns:!('Message%20ID',Summary),filters:!(),index:'emp_*',interval:auto,query:(query_string:(analyze_wildcard:!t,query:'%22rtdc.l.rtdc.4044%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870</v>
      </c>
      <c r="B142" s="225">
        <v>4043</v>
      </c>
      <c r="C142" s="227" t="s">
        <v>192</v>
      </c>
      <c r="D142" s="227" t="s">
        <v>618</v>
      </c>
      <c r="E142" s="226">
        <v>43087.890636574077</v>
      </c>
      <c r="F142" s="226">
        <v>43087.893946759257</v>
      </c>
      <c r="G142" s="225">
        <v>61</v>
      </c>
      <c r="H142" s="227" t="s">
        <v>581</v>
      </c>
      <c r="I142" s="226">
        <v>43087.919224537036</v>
      </c>
      <c r="J142" s="225">
        <v>0</v>
      </c>
      <c r="K142" s="237" t="str">
        <f t="shared" si="62"/>
        <v>4043/4044</v>
      </c>
      <c r="L142" s="245" t="str">
        <f>VLOOKUP(A142,'Trips&amp;Operators'!$C$1:$G$99911,5,FALSE)</f>
        <v>AUSTIN THOMPSON</v>
      </c>
      <c r="M142" s="224">
        <f t="shared" si="63"/>
        <v>2.527777777868323E-2</v>
      </c>
      <c r="N142" s="225">
        <f t="shared" si="60"/>
        <v>36.400000001303852</v>
      </c>
      <c r="O142" s="225"/>
      <c r="P142" s="225"/>
      <c r="Q142" s="228"/>
      <c r="R142" s="242"/>
      <c r="S142" s="249">
        <f t="shared" si="61"/>
        <v>1</v>
      </c>
      <c r="T142" s="242" t="str">
        <f t="shared" si="64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5"/>
        <v>https://d0f6bd738d7f1b3e5a7ca70fe4ff75f0.us-east-1.aws.found.io/app/kibana#/discover/Steve-Slow-Train-Analysis-(2080s-and-2083s)?_g=(refreshInterval:(display:Off,pause:!f,section:0,value:0),time:(from:'2017-12-18T20:22:31-0700',mode:absolute,to:'2017-12-18T23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247" t="str">
        <f>IF(AA142&lt;VLOOKUP(AG142,Variables!$AC$3:$AD$8,2,FALSE),"Y","N")</f>
        <v>N</v>
      </c>
      <c r="X142" s="247">
        <f t="shared" si="66"/>
        <v>1</v>
      </c>
      <c r="Y142" s="247">
        <f t="shared" si="59"/>
        <v>23.296399999999998</v>
      </c>
      <c r="Z142" s="247">
        <f t="shared" si="56"/>
        <v>2.23E-2</v>
      </c>
      <c r="AA142" s="247">
        <f t="shared" si="67"/>
        <v>23.274099999999997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8"/>
        <v>228</v>
      </c>
      <c r="AE142" s="235" t="str">
        <f t="shared" si="69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142" s="234" t="str">
        <f t="shared" si="70"/>
        <v>"C:\Program Files (x86)\AstroGrep\AstroGrep.exe" /e /r /s /spath="%USERPROFILE%\AppData\Local\Temp\OnboardLogs" /stypes="app*4043*20171219*" /stext=" 05:.+((SYSTEM_STATE.+slice.+state.+changed )|(ment ac)|(multiple cpu faults)|(system.+state.+changed )|(\[timeout)|(PRM\|1\|D)|(kpr)|(kdp)|(train st.+moving)|(\|lc)|(penalty))"</v>
      </c>
      <c r="AG142" s="244" t="str">
        <f t="shared" si="71"/>
        <v>EC</v>
      </c>
      <c r="AH142" s="236" t="str">
        <f t="shared" si="45"/>
        <v>"%USERPROFILE%\Documents\GitHub\eaglep3\Utilities\RefineRTDCRunTimes.py" --tripid 228-18 --locoid 4043 --swversion DE.1.0.9.0 --startMP 204:232964 --initTime 2017-12-18T21:22:31 --startdatetime 2017-12-18T21:27:17 --delay 61 --endMP 204:223 --enddatetime 2017-12-18T22:03:41 --enforcementcount 0 &gt;&gt;%USERPROFILE%\Documents\GitHub\eaglep3-reporting\EC\2017-12-18-refined-times.txt</v>
      </c>
      <c r="AI142" s="238" t="str">
        <f t="shared" si="46"/>
        <v>echo {"issue":{"subject":"","project_id":79,"tracker_id":40,"status_id":1,"priority_id":2,"assigned_to_id":338,"start_date":"2017-12-18","description":"","custom_fields":[{"id":1,"name":"Subdivision","value":"EC"},{"id":4,"name":"Milepost","value":"0.0223"},{"id":17,"name":"Train ID","value":"228-18"},{"id":16,"name":"Locomotive ID","value":"4043"},{"id":130,"name":"Impact","value":""},{"id":150,"name":"Time of Event (Mountain Time)","value":"22:03:41"},{"id":151,"name":"Denver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47"/>
        <v>start /low /b %USERPROFILE%\Documents\GitHub\eaglep3\Utilities\DownloadLogsFromS3.py --loco 4043 --day 2017-12-18</v>
      </c>
      <c r="AN142" s="241" t="str">
        <f t="shared" si="4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9"/>
        <v>https://d0f6bd738d7f1b3e5a7ca70fe4ff75f0.us-east-1.aws.found.io/app/kibana#/discover/Steve-Slow-Train-Analysis-(2080s-and-2083s)?_g=(refreshInterval:(display:Off,pause:!f,section:0,value:0),time:(from:'2017-12-18T20:22:31-0700',mode:absolute,to:'2017-12-18T23:03:41-0700'))&amp;_a=(columns:!('Message%20ID',Summary),filters:!(),index:'emp_*',interval:auto,query:(query_string:(analyze_wildcard:!t,query:'%22rtdc.l.rtdc.4043%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866</v>
      </c>
      <c r="B143" s="225">
        <v>4052</v>
      </c>
      <c r="C143" s="227" t="s">
        <v>192</v>
      </c>
      <c r="D143" s="227" t="s">
        <v>954</v>
      </c>
      <c r="E143" s="226">
        <v>43087.857905092591</v>
      </c>
      <c r="F143" s="226">
        <v>43087.875243055554</v>
      </c>
      <c r="G143" s="225">
        <v>58</v>
      </c>
      <c r="H143" s="227" t="s">
        <v>604</v>
      </c>
      <c r="I143" s="226">
        <v>43087.899467592593</v>
      </c>
      <c r="J143" s="225">
        <v>0</v>
      </c>
      <c r="K143" s="237" t="str">
        <f t="shared" si="62"/>
        <v>4051/4052</v>
      </c>
      <c r="L143" s="245" t="str">
        <f>VLOOKUP(A143,'Trips&amp;Operators'!$C$1:$G$99911,5,FALSE)</f>
        <v>ELBAUM MIKE</v>
      </c>
      <c r="M143" s="224">
        <f t="shared" si="63"/>
        <v>2.4224537039117422E-2</v>
      </c>
      <c r="N143" s="225">
        <f t="shared" si="60"/>
        <v>34.883333336329088</v>
      </c>
      <c r="O143" s="225"/>
      <c r="P143" s="225"/>
      <c r="Q143" s="228"/>
      <c r="R143" s="242"/>
      <c r="S143" s="249">
        <f t="shared" si="61"/>
        <v>1</v>
      </c>
      <c r="T143" s="242" t="str">
        <f t="shared" si="64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5"/>
        <v>https://d0f6bd738d7f1b3e5a7ca70fe4ff75f0.us-east-1.aws.found.io/app/kibana#/discover/Steve-Slow-Train-Analysis-(2080s-and-2083s)?_g=(refreshInterval:(display:Off,pause:!f,section:0,value:0),time:(from:'2017-12-18T19:35:23-0700',mode:absolute,to:'2017-12-18T22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247" t="str">
        <f>IF(AA143&lt;VLOOKUP(AG143,Variables!$AC$3:$AD$8,2,FALSE),"Y","N")</f>
        <v>N</v>
      </c>
      <c r="X143" s="247">
        <f t="shared" si="66"/>
        <v>1</v>
      </c>
      <c r="Y143" s="247">
        <f t="shared" si="59"/>
        <v>5.7099999999999998E-2</v>
      </c>
      <c r="Z143" s="247">
        <f t="shared" si="56"/>
        <v>23.326599999999999</v>
      </c>
      <c r="AA143" s="247">
        <f t="shared" si="67"/>
        <v>23.269500000000001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8"/>
        <v>229</v>
      </c>
      <c r="AE143" s="235" t="str">
        <f t="shared" si="69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43" s="234" t="str">
        <f t="shared" si="70"/>
        <v>"C:\Program Files (x86)\AstroGrep\AstroGrep.exe" /e /r /s /spath="%USERPROFILE%\AppData\Local\Temp\OnboardLogs" /stypes="app*4052*20171219*" /stext=" 04:.+((SYSTEM_STATE.+slice.+state.+changed )|(ment ac)|(multiple cpu faults)|(system.+state.+changed )|(\[timeout)|(PRM\|1\|D)|(kpr)|(kdp)|(train st.+moving)|(\|lc)|(penalty))"</v>
      </c>
      <c r="AG143" s="244" t="str">
        <f t="shared" si="71"/>
        <v>EC</v>
      </c>
      <c r="AH143" s="236" t="str">
        <f t="shared" ref="AH143:AH209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229-18 --locoid 4052 --swversion DE.1.0.9.0 --startMP 204:571 --initTime 2017-12-18T20:35:23 --startdatetime 2017-12-18T21:00:21 --delay 58 --endMP 204:233266 --enddatetime 2017-12-18T21:35:14 --enforcementcount 0 &gt;&gt;%USERPROFILE%\Documents\GitHub\eaglep3-reporting\EC\2017-12-18-refined-times.txt</v>
      </c>
      <c r="AI143" s="238" t="str">
        <f t="shared" ref="AI143:AI209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{"issue":{"subject":"","project_id":79,"tracker_id":40,"status_id":1,"priority_id":2,"assigned_to_id":338,"start_date":"2017-12-18","description":"","custom_fields":[{"id":1,"name":"Subdivision","value":"EC"},{"id":4,"name":"Milepost","value":"23.3266"},{"id":17,"name":"Train ID","value":"229-18"},{"id":16,"name":"Locomotive ID","value":"4052"},{"id":130,"name":"Impact","value":""},{"id":150,"name":"Time of Event (Mountain Time)","value":"21:35:14"},{"id":151,"name":"Denver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ref="AM143:AM209" si="74">"start /low /b "&amp;dls3logs&amp;" --loco "&amp;B143&amp;" --day "&amp;TEXT(F143,"YYYY-MM-DD")</f>
        <v>start /low /b %USERPROFILE%\Documents\GitHub\eaglep3\Utilities\DownloadLogsFromS3.py --loco 4052 --day 2017-12-18</v>
      </c>
      <c r="AN143" s="241" t="str">
        <f t="shared" ref="AN143:AN209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9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-18T19:35:23-0700',mode:absolute,to:'2017-12-18T22:35:14-0700'))&amp;_a=(columns:!('Message%20ID',Summary),filters:!(),index:'emp_*',interval:auto,query:(query_string:(analyze_wildcard:!t,query:'%22rtdc.l.rtdc.4052%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872</v>
      </c>
      <c r="B144" s="225">
        <v>4051</v>
      </c>
      <c r="C144" s="227" t="s">
        <v>192</v>
      </c>
      <c r="D144" s="227" t="s">
        <v>649</v>
      </c>
      <c r="E144" s="226">
        <v>43087.900659722225</v>
      </c>
      <c r="F144" s="226">
        <v>43087.91479166667</v>
      </c>
      <c r="G144" s="225">
        <v>58</v>
      </c>
      <c r="H144" s="227" t="s">
        <v>942</v>
      </c>
      <c r="I144" s="226">
        <v>43087.939710648148</v>
      </c>
      <c r="J144" s="225">
        <v>0</v>
      </c>
      <c r="K144" s="237" t="str">
        <f t="shared" si="62"/>
        <v>4051/4052</v>
      </c>
      <c r="L144" s="245" t="str">
        <f>VLOOKUP(A144,'Trips&amp;Operators'!$C$1:$G$99911,5,FALSE)</f>
        <v>ELBAUM MIKE</v>
      </c>
      <c r="M144" s="224">
        <f t="shared" si="63"/>
        <v>2.491898147854954E-2</v>
      </c>
      <c r="N144" s="225">
        <f t="shared" si="60"/>
        <v>35.883333329111338</v>
      </c>
      <c r="O144" s="225"/>
      <c r="P144" s="225"/>
      <c r="Q144" s="228"/>
      <c r="R144" s="242"/>
      <c r="S144" s="249">
        <f t="shared" si="61"/>
        <v>1</v>
      </c>
      <c r="T144" s="242" t="str">
        <f t="shared" si="64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5"/>
        <v>https://d0f6bd738d7f1b3e5a7ca70fe4ff75f0.us-east-1.aws.found.io/app/kibana#/discover/Steve-Slow-Train-Analysis-(2080s-and-2083s)?_g=(refreshInterval:(display:Off,pause:!f,section:0,value:0),time:(from:'2017-12-18T20:36:57-0700',mode:absolute,to:'2017-12-18T23:33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247" t="str">
        <f>IF(AA144&lt;VLOOKUP(AG144,Variables!$AC$3:$AD$8,2,FALSE),"Y","N")</f>
        <v>N</v>
      </c>
      <c r="X144" s="247">
        <f t="shared" si="66"/>
        <v>1</v>
      </c>
      <c r="Y144" s="247">
        <f t="shared" si="59"/>
        <v>23.2943</v>
      </c>
      <c r="Z144" s="247">
        <f t="shared" si="56"/>
        <v>2.52E-2</v>
      </c>
      <c r="AA144" s="247">
        <f t="shared" si="67"/>
        <v>23.269099999999998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8"/>
        <v>230</v>
      </c>
      <c r="AE144" s="235" t="str">
        <f t="shared" si="69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44" s="234" t="str">
        <f t="shared" si="70"/>
        <v>"C:\Program Files (x86)\AstroGrep\AstroGrep.exe" /e /r /s /spath="%USERPROFILE%\AppData\Local\Temp\OnboardLogs" /stypes="app*4051*20171219*" /stext=" 05:.+((SYSTEM_STATE.+slice.+state.+changed )|(ment ac)|(multiple cpu faults)|(system.+state.+changed )|(\[timeout)|(PRM\|1\|D)|(kpr)|(kdp)|(train st.+moving)|(\|lc)|(penalty))"</v>
      </c>
      <c r="AG144" s="244" t="str">
        <f t="shared" si="71"/>
        <v>EC</v>
      </c>
      <c r="AH144" s="236" t="str">
        <f t="shared" si="72"/>
        <v>"%USERPROFILE%\Documents\GitHub\eaglep3\Utilities\RefineRTDCRunTimes.py" --tripid 230-18 --locoid 4051 --swversion DE.1.0.9.0 --startMP 204:232943 --initTime 2017-12-18T21:36:57 --startdatetime 2017-12-18T21:57:18 --delay 58 --endMP 204:252 --enddatetime 2017-12-18T22:33:11 --enforcementcount 0 &gt;&gt;%USERPROFILE%\Documents\GitHub\eaglep3-reporting\EC\2017-12-18-refined-times.txt</v>
      </c>
      <c r="AI144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{"issue":{"subject":"","project_id":79,"tracker_id":40,"status_id":1,"priority_id":2,"assigned_to_id":338,"start_date":"2017-12-18","description":"","custom_fields":[{"id":1,"name":"Subdivision","value":"EC"},{"id":4,"name":"Milepost","value":"0.0252"},{"id":17,"name":"Train ID","value":"230-18"},{"id":16,"name":"Locomotive ID","value":"4051"},{"id":130,"name":"Impact","value":""},{"id":150,"name":"Time of Event (Mountain Time)","value":"22:33:11"},{"id":151,"name":"Denver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74"/>
        <v>start /low /b %USERPROFILE%\Documents\GitHub\eaglep3\Utilities\DownloadLogsFromS3.py --loco 4051 --day 2017-12-18</v>
      </c>
      <c r="AN144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6"/>
        <v>https://d0f6bd738d7f1b3e5a7ca70fe4ff75f0.us-east-1.aws.found.io/app/kibana#/discover/Steve-Slow-Train-Analysis-(2080s-and-2083s)?_g=(refreshInterval:(display:Off,pause:!f,section:0,value:0),time:(from:'2017-12-18T20:36:57-0700',mode:absolute,to:'2017-12-18T23:33:11-0700'))&amp;_a=(columns:!('Message%20ID',Summary),filters:!(),index:'emp_*',interval:auto,query:(query_string:(analyze_wildcard:!t,query:'%22rtdc.l.rtdc.4051%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869</v>
      </c>
      <c r="B145" s="225">
        <v>4016</v>
      </c>
      <c r="C145" s="227" t="s">
        <v>192</v>
      </c>
      <c r="D145" s="227" t="s">
        <v>510</v>
      </c>
      <c r="E145" s="226">
        <v>43087.883657407408</v>
      </c>
      <c r="F145" s="226">
        <v>43087.896053240744</v>
      </c>
      <c r="G145" s="225">
        <v>56</v>
      </c>
      <c r="H145" s="227" t="s">
        <v>617</v>
      </c>
      <c r="I145" s="226">
        <v>43087.920393518521</v>
      </c>
      <c r="J145" s="225">
        <v>0</v>
      </c>
      <c r="K145" s="237" t="str">
        <f t="shared" si="62"/>
        <v>4015/4016</v>
      </c>
      <c r="L145" s="245" t="str">
        <f>VLOOKUP(A145,'Trips&amp;Operators'!$C$1:$G$99911,5,FALSE)</f>
        <v>LOZA FIDEL</v>
      </c>
      <c r="M145" s="224">
        <f t="shared" si="63"/>
        <v>2.4340277777810115E-2</v>
      </c>
      <c r="N145" s="225">
        <f t="shared" si="60"/>
        <v>35.050000000046566</v>
      </c>
      <c r="O145" s="225"/>
      <c r="P145" s="225"/>
      <c r="Q145" s="228"/>
      <c r="R145" s="242"/>
      <c r="S145" s="249">
        <f t="shared" si="61"/>
        <v>1</v>
      </c>
      <c r="T145" s="242" t="str">
        <f t="shared" si="64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5"/>
        <v>https://d0f6bd738d7f1b3e5a7ca70fe4ff75f0.us-east-1.aws.found.io/app/kibana#/discover/Steve-Slow-Train-Analysis-(2080s-and-2083s)?_g=(refreshInterval:(display:Off,pause:!f,section:0,value:0),time:(from:'2017-12-18T20:12:28-0700',mode:absolute,to:'2017-12-18T23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247" t="str">
        <f>IF(AA145&lt;VLOOKUP(AG145,Variables!$AC$3:$AD$8,2,FALSE),"Y","N")</f>
        <v>N</v>
      </c>
      <c r="X145" s="247">
        <f t="shared" si="66"/>
        <v>1</v>
      </c>
      <c r="Y145" s="247">
        <f t="shared" si="59"/>
        <v>5.1999999999999998E-2</v>
      </c>
      <c r="Z145" s="247">
        <f t="shared" ref="Z145:Z176" si="77">RIGHT(H145,LEN(H145)-4)/10000</f>
        <v>23.327400000000001</v>
      </c>
      <c r="AA145" s="247">
        <f t="shared" si="67"/>
        <v>23.275400000000001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8"/>
        <v>231</v>
      </c>
      <c r="AE145" s="235" t="str">
        <f t="shared" si="69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45" s="234" t="str">
        <f t="shared" si="70"/>
        <v>"C:\Program Files (x86)\AstroGrep\AstroGrep.exe" /e /r /s /spath="%USERPROFILE%\AppData\Local\Temp\OnboardLogs" /stypes="app*4016*20171219*" /stext=" 05:.+((SYSTEM_STATE.+slice.+state.+changed )|(ment ac)|(multiple cpu faults)|(system.+state.+changed )|(\[timeout)|(PRM\|1\|D)|(kpr)|(kdp)|(train st.+moving)|(\|lc)|(penalty))"</v>
      </c>
      <c r="AG145" s="244" t="str">
        <f t="shared" si="71"/>
        <v>EC</v>
      </c>
      <c r="AH145" s="236" t="str">
        <f t="shared" si="72"/>
        <v>"%USERPROFILE%\Documents\GitHub\eaglep3\Utilities\RefineRTDCRunTimes.py" --tripid 231-18 --locoid 4016 --swversion DE.1.0.9.0 --startMP 204:520 --initTime 2017-12-18T21:12:28 --startdatetime 2017-12-18T21:30:19 --delay 56 --endMP 204:233274 --enddatetime 2017-12-18T22:05:22 --enforcementcount 0 &gt;&gt;%USERPROFILE%\Documents\GitHub\eaglep3-reporting\EC\2017-12-18-refined-times.txt</v>
      </c>
      <c r="AI145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{"issue":{"subject":"","project_id":79,"tracker_id":40,"status_id":1,"priority_id":2,"assigned_to_id":338,"start_date":"2017-12-18","description":"","custom_fields":[{"id":1,"name":"Subdivision","value":"EC"},{"id":4,"name":"Milepost","value":"23.3274"},{"id":17,"name":"Train ID","value":"231-18"},{"id":16,"name":"Locomotive ID","value":"4016"},{"id":130,"name":"Impact","value":""},{"id":150,"name":"Time of Event (Mountain Time)","value":"22:05:22"},{"id":151,"name":"Denver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74"/>
        <v>start /low /b %USERPROFILE%\Documents\GitHub\eaglep3\Utilities\DownloadLogsFromS3.py --loco 4016 --day 2017-12-18</v>
      </c>
      <c r="AN145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6"/>
        <v>https://d0f6bd738d7f1b3e5a7ca70fe4ff75f0.us-east-1.aws.found.io/app/kibana#/discover/Steve-Slow-Train-Analysis-(2080s-and-2083s)?_g=(refreshInterval:(display:Off,pause:!f,section:0,value:0),time:(from:'2017-12-18T20:12:28-0700',mode:absolute,to:'2017-12-18T23:05:22-0700'))&amp;_a=(columns:!('Message%20ID',Summary),filters:!(),index:'emp_*',interval:auto,query:(query_string:(analyze_wildcard:!t,query:'%22rtdc.l.rtdc.4016%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875</v>
      </c>
      <c r="B146" s="225">
        <v>4015</v>
      </c>
      <c r="C146" s="227" t="s">
        <v>192</v>
      </c>
      <c r="D146" s="227" t="s">
        <v>582</v>
      </c>
      <c r="E146" s="226">
        <v>43087.931574074071</v>
      </c>
      <c r="F146" s="226">
        <v>43087.935601851852</v>
      </c>
      <c r="G146" s="225">
        <v>91</v>
      </c>
      <c r="H146" s="227" t="s">
        <v>970</v>
      </c>
      <c r="I146" s="226">
        <v>43087.961377314816</v>
      </c>
      <c r="J146" s="225">
        <v>0</v>
      </c>
      <c r="K146" s="237" t="str">
        <f t="shared" si="62"/>
        <v>4015/4016</v>
      </c>
      <c r="L146" s="245" t="str">
        <f>VLOOKUP(A146,'Trips&amp;Operators'!$C$1:$G$99911,5,FALSE)</f>
        <v>LOZA FIDEL</v>
      </c>
      <c r="M146" s="224">
        <f t="shared" si="63"/>
        <v>2.5775462963792961E-2</v>
      </c>
      <c r="N146" s="225">
        <f t="shared" si="60"/>
        <v>37.116666667861864</v>
      </c>
      <c r="O146" s="225"/>
      <c r="P146" s="225"/>
      <c r="Q146" s="228"/>
      <c r="R146" s="242"/>
      <c r="S146" s="249">
        <f t="shared" si="61"/>
        <v>1</v>
      </c>
      <c r="T146" s="242" t="str">
        <f t="shared" si="64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5"/>
        <v>https://d0f6bd738d7f1b3e5a7ca70fe4ff75f0.us-east-1.aws.found.io/app/kibana#/discover/Steve-Slow-Train-Analysis-(2080s-and-2083s)?_g=(refreshInterval:(display:Off,pause:!f,section:0,value:0),time:(from:'2017-12-18T21:21:28-0700',mode:absolute,to:'2017-12-19T00:04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247" t="str">
        <f>IF(AA146&lt;VLOOKUP(AG146,Variables!$AC$3:$AD$8,2,FALSE),"Y","N")</f>
        <v>N</v>
      </c>
      <c r="X146" s="247">
        <f t="shared" si="66"/>
        <v>1</v>
      </c>
      <c r="Y146" s="247">
        <f t="shared" ref="Y146:Y177" si="78">RIGHT(D146,LEN(D146)-4)/10000</f>
        <v>23.2959</v>
      </c>
      <c r="Z146" s="247">
        <f t="shared" si="77"/>
        <v>2.12E-2</v>
      </c>
      <c r="AA146" s="247">
        <f t="shared" si="67"/>
        <v>23.274699999999999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8"/>
        <v>232</v>
      </c>
      <c r="AE146" s="235" t="str">
        <f t="shared" si="69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146" s="234" t="str">
        <f t="shared" si="70"/>
        <v>"C:\Program Files (x86)\AstroGrep\AstroGrep.exe" /e /r /s /spath="%USERPROFILE%\AppData\Local\Temp\OnboardLogs" /stypes="app*4015*20171219*" /stext=" 06:.+((SYSTEM_STATE.+slice.+state.+changed )|(ment ac)|(multiple cpu faults)|(system.+state.+changed )|(\[timeout)|(PRM\|1\|D)|(kpr)|(kdp)|(train st.+moving)|(\|lc)|(penalty))"</v>
      </c>
      <c r="AG146" s="244" t="str">
        <f t="shared" si="71"/>
        <v>EC</v>
      </c>
      <c r="AH146" s="236" t="str">
        <f t="shared" si="72"/>
        <v>"%USERPROFILE%\Documents\GitHub\eaglep3\Utilities\RefineRTDCRunTimes.py" --tripid 232-18 --locoid 4015 --swversion DE.1.0.9.0 --startMP 204:232959 --initTime 2017-12-18T22:21:28 --startdatetime 2017-12-18T22:27:16 --delay 91 --endMP 204:212 --enddatetime 2017-12-18T23:04:23 --enforcementcount 0 &gt;&gt;%USERPROFILE%\Documents\GitHub\eaglep3-reporting\EC\2017-12-18-refined-times.txt</v>
      </c>
      <c r="AI146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{"issue":{"subject":"","project_id":79,"tracker_id":40,"status_id":1,"priority_id":2,"assigned_to_id":338,"start_date":"2017-12-18","description":"","custom_fields":[{"id":1,"name":"Subdivision","value":"EC"},{"id":4,"name":"Milepost","value":"0.0212"},{"id":17,"name":"Train ID","value":"232-18"},{"id":16,"name":"Locomotive ID","value":"4015"},{"id":130,"name":"Impact","value":""},{"id":150,"name":"Time of Event (Mountain Time)","value":"23:04:23"},{"id":151,"name":"Denver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74"/>
        <v>start /low /b %USERPROFILE%\Documents\GitHub\eaglep3\Utilities\DownloadLogsFromS3.py --loco 4015 --day 2017-12-18</v>
      </c>
      <c r="AN146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6"/>
        <v>https://d0f6bd738d7f1b3e5a7ca70fe4ff75f0.us-east-1.aws.found.io/app/kibana#/discover/Steve-Slow-Train-Analysis-(2080s-and-2083s)?_g=(refreshInterval:(display:Off,pause:!f,section:0,value:0),time:(from:'2017-12-18T21:21:28-0700',mode:absolute,to:'2017-12-19T00:04:23-0700'))&amp;_a=(columns:!('Message%20ID',Summary),filters:!(),index:'emp_*',interval:auto,query:(query_string:(analyze_wildcard:!t,query:'%22rtdc.l.rtdc.4015%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873</v>
      </c>
      <c r="B147" s="225">
        <v>4010</v>
      </c>
      <c r="C147" s="227" t="s">
        <v>192</v>
      </c>
      <c r="D147" s="227" t="s">
        <v>971</v>
      </c>
      <c r="E147" s="226">
        <v>43087.913923611108</v>
      </c>
      <c r="F147" s="226">
        <v>43087.916851851849</v>
      </c>
      <c r="G147" s="225">
        <v>67</v>
      </c>
      <c r="H147" s="227" t="s">
        <v>972</v>
      </c>
      <c r="I147" s="226">
        <v>43087.942106481481</v>
      </c>
      <c r="J147" s="225">
        <v>0</v>
      </c>
      <c r="K147" s="237" t="str">
        <f t="shared" si="62"/>
        <v>4009/4010</v>
      </c>
      <c r="L147" s="245" t="str">
        <f>VLOOKUP(A147,'Trips&amp;Operators'!$C$1:$G$99911,5,FALSE)</f>
        <v>RESPASS AARON</v>
      </c>
      <c r="M147" s="224">
        <f t="shared" si="63"/>
        <v>2.5254629632399883E-2</v>
      </c>
      <c r="N147" s="225">
        <f t="shared" si="60"/>
        <v>36.366666670655832</v>
      </c>
      <c r="O147" s="225"/>
      <c r="P147" s="225"/>
      <c r="Q147" s="228"/>
      <c r="R147" s="242"/>
      <c r="S147" s="249">
        <f t="shared" si="61"/>
        <v>1</v>
      </c>
      <c r="T147" s="242" t="str">
        <f t="shared" si="64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5"/>
        <v>https://d0f6bd738d7f1b3e5a7ca70fe4ff75f0.us-east-1.aws.found.io/app/kibana#/discover/Steve-Slow-Train-Analysis-(2080s-and-2083s)?_g=(refreshInterval:(display:Off,pause:!f,section:0,value:0),time:(from:'2017-12-18T20:56:03-0700',mode:absolute,to:'2017-12-18T23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247" t="str">
        <f>IF(AA147&lt;VLOOKUP(AG147,Variables!$AC$3:$AD$8,2,FALSE),"Y","N")</f>
        <v>N</v>
      </c>
      <c r="X147" s="247">
        <f t="shared" si="66"/>
        <v>1</v>
      </c>
      <c r="Y147" s="247">
        <f t="shared" si="78"/>
        <v>5.7700000000000001E-2</v>
      </c>
      <c r="Z147" s="247">
        <f t="shared" si="77"/>
        <v>23.3246</v>
      </c>
      <c r="AA147" s="247">
        <f t="shared" si="67"/>
        <v>23.2669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8"/>
        <v>233</v>
      </c>
      <c r="AE147" s="235" t="str">
        <f t="shared" si="69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147" s="234" t="str">
        <f t="shared" si="70"/>
        <v>"C:\Program Files (x86)\AstroGrep\AstroGrep.exe" /e /r /s /spath="%USERPROFILE%\AppData\Local\Temp\OnboardLogs" /stypes="app*4010*20171219*" /stext=" 05:.+((SYSTEM_STATE.+slice.+state.+changed )|(ment ac)|(multiple cpu faults)|(system.+state.+changed )|(\[timeout)|(PRM\|1\|D)|(kpr)|(kdp)|(train st.+moving)|(\|lc)|(penalty))"</v>
      </c>
      <c r="AG147" s="244" t="str">
        <f t="shared" si="71"/>
        <v>EC</v>
      </c>
      <c r="AH147" s="236" t="str">
        <f t="shared" si="72"/>
        <v>"%USERPROFILE%\Documents\GitHub\eaglep3\Utilities\RefineRTDCRunTimes.py" --tripid 233-18 --locoid 4010 --swversion DE.1.0.9.0 --startMP 204:577 --initTime 2017-12-18T21:56:03 --startdatetime 2017-12-18T22:00:16 --delay 67 --endMP 204:233246 --enddatetime 2017-12-18T22:36:38 --enforcementcount 0 &gt;&gt;%USERPROFILE%\Documents\GitHub\eaglep3-reporting\EC\2017-12-18-refined-times.txt</v>
      </c>
      <c r="AI147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{"issue":{"subject":"","project_id":79,"tracker_id":40,"status_id":1,"priority_id":2,"assigned_to_id":338,"start_date":"2017-12-18","description":"","custom_fields":[{"id":1,"name":"Subdivision","value":"EC"},{"id":4,"name":"Milepost","value":"23.3246"},{"id":17,"name":"Train ID","value":"233-18"},{"id":16,"name":"Locomotive ID","value":"4010"},{"id":130,"name":"Impact","value":""},{"id":150,"name":"Time of Event (Mountain Time)","value":"22:36:38"},{"id":151,"name":"Denver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4"/>
        <v>start /low /b %USERPROFILE%\Documents\GitHub\eaglep3\Utilities\DownloadLogsFromS3.py --loco 4010 --day 2017-12-18</v>
      </c>
      <c r="AN147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6"/>
        <v>https://d0f6bd738d7f1b3e5a7ca70fe4ff75f0.us-east-1.aws.found.io/app/kibana#/discover/Steve-Slow-Train-Analysis-(2080s-and-2083s)?_g=(refreshInterval:(display:Off,pause:!f,section:0,value:0),time:(from:'2017-12-18T20:56:03-0700',mode:absolute,to:'2017-12-18T23:36:38-0700'))&amp;_a=(columns:!('Message%20ID',Summary),filters:!(),index:'emp_*',interval:auto,query:(query_string:(analyze_wildcard:!t,query:'%22rtdc.l.rtdc.4010%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881</v>
      </c>
      <c r="B148" s="225">
        <v>4009</v>
      </c>
      <c r="C148" s="227" t="s">
        <v>192</v>
      </c>
      <c r="D148" s="227" t="s">
        <v>614</v>
      </c>
      <c r="E148" s="226">
        <v>43087.951932870368</v>
      </c>
      <c r="F148" s="226">
        <v>43087.956388888888</v>
      </c>
      <c r="G148" s="225">
        <v>60</v>
      </c>
      <c r="H148" s="227" t="s">
        <v>616</v>
      </c>
      <c r="I148" s="226">
        <v>43087.982025462959</v>
      </c>
      <c r="J148" s="225">
        <v>0</v>
      </c>
      <c r="K148" s="237" t="str">
        <f t="shared" si="62"/>
        <v>4009/4010</v>
      </c>
      <c r="L148" s="245" t="str">
        <f>VLOOKUP(A148,'Trips&amp;Operators'!$C$1:$G$99911,5,FALSE)</f>
        <v>RESPASS AARON</v>
      </c>
      <c r="M148" s="224">
        <f t="shared" si="63"/>
        <v>2.5636574071540963E-2</v>
      </c>
      <c r="N148" s="225">
        <f t="shared" si="60"/>
        <v>36.916666663018987</v>
      </c>
      <c r="O148" s="225"/>
      <c r="P148" s="225"/>
      <c r="Q148" s="228"/>
      <c r="R148" s="242"/>
      <c r="S148" s="249">
        <f t="shared" si="61"/>
        <v>1</v>
      </c>
      <c r="T148" s="242" t="str">
        <f t="shared" si="64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5"/>
        <v>https://d0f6bd738d7f1b3e5a7ca70fe4ff75f0.us-east-1.aws.found.io/app/kibana#/discover/Steve-Slow-Train-Analysis-(2080s-and-2083s)?_g=(refreshInterval:(display:Off,pause:!f,section:0,value:0),time:(from:'2017-12-18T21:50:47-0700',mode:absolute,to:'2017-12-19T00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247" t="str">
        <f>IF(AA148&lt;VLOOKUP(AG148,Variables!$AC$3:$AD$8,2,FALSE),"Y","N")</f>
        <v>N</v>
      </c>
      <c r="X148" s="247">
        <f t="shared" si="66"/>
        <v>1</v>
      </c>
      <c r="Y148" s="247">
        <f t="shared" si="78"/>
        <v>23.293600000000001</v>
      </c>
      <c r="Z148" s="247">
        <f t="shared" si="77"/>
        <v>2.58E-2</v>
      </c>
      <c r="AA148" s="247">
        <f t="shared" si="67"/>
        <v>23.267800000000001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8"/>
        <v>234</v>
      </c>
      <c r="AE148" s="235" t="str">
        <f t="shared" si="69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148" s="234" t="str">
        <f t="shared" si="70"/>
        <v>"C:\Program Files (x86)\AstroGrep\AstroGrep.exe" /e /r /s /spath="%USERPROFILE%\AppData\Local\Temp\OnboardLogs" /stypes="app*4009*20171219*" /stext=" 06:.+((SYSTEM_STATE.+slice.+state.+changed )|(ment ac)|(multiple cpu faults)|(system.+state.+changed )|(\[timeout)|(PRM\|1\|D)|(kpr)|(kdp)|(train st.+moving)|(\|lc)|(penalty))"</v>
      </c>
      <c r="AG148" s="244" t="str">
        <f t="shared" si="71"/>
        <v>EC</v>
      </c>
      <c r="AH148" s="236" t="str">
        <f t="shared" si="72"/>
        <v>"%USERPROFILE%\Documents\GitHub\eaglep3\Utilities\RefineRTDCRunTimes.py" --tripid 234-18 --locoid 4009 --swversion DE.1.0.9.0 --startMP 204:232936 --initTime 2017-12-18T22:50:47 --startdatetime 2017-12-18T22:57:12 --delay 60 --endMP 204:258 --enddatetime 2017-12-18T23:34:07 --enforcementcount 0 &gt;&gt;%USERPROFILE%\Documents\GitHub\eaglep3-reporting\EC\2017-12-18-refined-times.txt</v>
      </c>
      <c r="AI148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{"issue":{"subject":"","project_id":79,"tracker_id":40,"status_id":1,"priority_id":2,"assigned_to_id":338,"start_date":"2017-12-18","description":"","custom_fields":[{"id":1,"name":"Subdivision","value":"EC"},{"id":4,"name":"Milepost","value":"0.0258"},{"id":17,"name":"Train ID","value":"234-18"},{"id":16,"name":"Locomotive ID","value":"4009"},{"id":130,"name":"Impact","value":""},{"id":150,"name":"Time of Event (Mountain Time)","value":"23:34:07"},{"id":151,"name":"Denver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74"/>
        <v>start /low /b %USERPROFILE%\Documents\GitHub\eaglep3\Utilities\DownloadLogsFromS3.py --loco 4009 --day 2017-12-18</v>
      </c>
      <c r="AN148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76"/>
        <v>https://d0f6bd738d7f1b3e5a7ca70fe4ff75f0.us-east-1.aws.found.io/app/kibana#/discover/Steve-Slow-Train-Analysis-(2080s-and-2083s)?_g=(refreshInterval:(display:Off,pause:!f,section:0,value:0),time:(from:'2017-12-18T21:50:47-0700',mode:absolute,to:'2017-12-19T00:34:07-0700'))&amp;_a=(columns:!('Message%20ID',Summary),filters:!(),index:'emp_*',interval:auto,query:(query_string:(analyze_wildcard:!t,query:'%22rtdc.l.rtdc.4009%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9" t="s">
        <v>876</v>
      </c>
      <c r="B149" s="225">
        <v>4044</v>
      </c>
      <c r="C149" s="227" t="s">
        <v>192</v>
      </c>
      <c r="D149" s="227" t="s">
        <v>973</v>
      </c>
      <c r="E149" s="226">
        <v>43087.934374999997</v>
      </c>
      <c r="F149" s="226">
        <v>43087.937673611108</v>
      </c>
      <c r="G149" s="225">
        <v>67</v>
      </c>
      <c r="H149" s="227" t="s">
        <v>577</v>
      </c>
      <c r="I149" s="226">
        <v>43087.961562500001</v>
      </c>
      <c r="J149" s="225">
        <v>0</v>
      </c>
      <c r="K149" s="237" t="str">
        <f t="shared" si="62"/>
        <v>4043/4044</v>
      </c>
      <c r="L149" s="245" t="str">
        <f>VLOOKUP(A149,'Trips&amp;Operators'!$C$1:$G$99911,5,FALSE)</f>
        <v>AUSTIN THOMPSON</v>
      </c>
      <c r="M149" s="224">
        <f t="shared" si="63"/>
        <v>2.3888888892543036E-2</v>
      </c>
      <c r="N149" s="225">
        <f t="shared" si="60"/>
        <v>34.400000005261973</v>
      </c>
      <c r="O149" s="225"/>
      <c r="P149" s="225"/>
      <c r="Q149" s="228"/>
      <c r="R149" s="242"/>
      <c r="S149" s="249">
        <f t="shared" si="61"/>
        <v>1</v>
      </c>
      <c r="T149" s="242" t="str">
        <f t="shared" si="64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5"/>
        <v>https://d0f6bd738d7f1b3e5a7ca70fe4ff75f0.us-east-1.aws.found.io/app/kibana#/discover/Steve-Slow-Train-Analysis-(2080s-and-2083s)?_g=(refreshInterval:(display:Off,pause:!f,section:0,value:0),time:(from:'2017-12-18T21:25:30-0700',mode:absolute,to:'2017-12-19T00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247" t="str">
        <f>IF(AA149&lt;VLOOKUP(AG149,Variables!$AC$3:$AD$8,2,FALSE),"Y","N")</f>
        <v>N</v>
      </c>
      <c r="X149" s="247">
        <f t="shared" si="66"/>
        <v>1</v>
      </c>
      <c r="Y149" s="247">
        <f t="shared" si="78"/>
        <v>5.3100000000000001E-2</v>
      </c>
      <c r="Z149" s="247">
        <f t="shared" si="77"/>
        <v>23.3293</v>
      </c>
      <c r="AA149" s="247">
        <f t="shared" si="67"/>
        <v>23.276199999999999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8"/>
        <v>235</v>
      </c>
      <c r="AE149" s="235" t="str">
        <f t="shared" si="69"/>
        <v>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 &amp; 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</v>
      </c>
      <c r="AF149" s="234" t="str">
        <f t="shared" si="70"/>
        <v>"C:\Program Files (x86)\AstroGrep\AstroGrep.exe" /e /r /s /spath="%USERPROFILE%\AppData\Local\Temp\OnboardLogs" /stypes="app*4044*20171219*" /stext=" 06:.+((SYSTEM_STATE.+slice.+state.+changed )|(ment ac)|(multiple cpu faults)|(system.+state.+changed )|(\[timeout)|(PRM\|1\|D)|(kpr)|(kdp)|(train st.+moving)|(\|lc)|(penalty))"</v>
      </c>
      <c r="AG149" s="244" t="str">
        <f t="shared" si="71"/>
        <v>EC</v>
      </c>
      <c r="AH149" s="236" t="str">
        <f t="shared" si="72"/>
        <v>"%USERPROFILE%\Documents\GitHub\eaglep3\Utilities\RefineRTDCRunTimes.py" --tripid 235-18 --locoid 4044 --swversion DE.1.0.9.0 --startMP 204:531 --initTime 2017-12-18T22:25:30 --startdatetime 2017-12-18T22:30:15 --delay 67 --endMP 204:233293 --enddatetime 2017-12-18T23:04:39 --enforcementcount 0 &gt;&gt;%USERPROFILE%\Documents\GitHub\eaglep3-reporting\EC\2017-12-18-refined-times.txt</v>
      </c>
      <c r="AI149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{"issue":{"subject":"","project_id":79,"tracker_id":40,"status_id":1,"priority_id":2,"assigned_to_id":338,"start_date":"2017-12-18","description":"","custom_fields":[{"id":1,"name":"Subdivision","value":"EC"},{"id":4,"name":"Milepost","value":"23.3293"},{"id":17,"name":"Train ID","value":"235-18"},{"id":16,"name":"Locomotive ID","value":"4044"},{"id":130,"name":"Impact","value":""},{"id":150,"name":"Time of Event (Mountain Time)","value":"23:04:39"},{"id":151,"name":"Denver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74"/>
        <v>start /low /b %USERPROFILE%\Documents\GitHub\eaglep3\Utilities\DownloadLogsFromS3.py --loco 4044 --day 2017-12-18</v>
      </c>
      <c r="AN149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6"/>
        <v>https://d0f6bd738d7f1b3e5a7ca70fe4ff75f0.us-east-1.aws.found.io/app/kibana#/discover/Steve-Slow-Train-Analysis-(2080s-and-2083s)?_g=(refreshInterval:(display:Off,pause:!f,section:0,value:0),time:(from:'2017-12-18T21:25:30-0700',mode:absolute,to:'2017-12-19T00:04:39-0700'))&amp;_a=(columns:!('Message%20ID',Summary),filters:!(),index:'emp_*',interval:auto,query:(query_string:(analyze_wildcard:!t,query:'%22rtdc.l.rtdc.4044%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682</v>
      </c>
      <c r="B150" s="225">
        <v>4043</v>
      </c>
      <c r="C150" s="227" t="s">
        <v>192</v>
      </c>
      <c r="D150" s="227" t="s">
        <v>974</v>
      </c>
      <c r="E150" s="226">
        <v>43087.974953703706</v>
      </c>
      <c r="F150" s="226">
        <v>43087.977303240739</v>
      </c>
      <c r="G150" s="225">
        <v>52</v>
      </c>
      <c r="H150" s="227" t="s">
        <v>492</v>
      </c>
      <c r="I150" s="226">
        <v>43088.00335648148</v>
      </c>
      <c r="J150" s="225">
        <v>0</v>
      </c>
      <c r="K150" s="237" t="str">
        <f t="shared" si="62"/>
        <v>4043/4044</v>
      </c>
      <c r="L150" s="245" t="str">
        <f>VLOOKUP(A150,'Trips&amp;Operators'!$C$1:$G$99911,5,FALSE)</f>
        <v>AUSTIN THOMPSON</v>
      </c>
      <c r="M150" s="224">
        <f t="shared" si="63"/>
        <v>2.6053240741021E-2</v>
      </c>
      <c r="N150" s="225">
        <f t="shared" si="60"/>
        <v>37.51666666707024</v>
      </c>
      <c r="O150" s="225"/>
      <c r="P150" s="225"/>
      <c r="Q150" s="228"/>
      <c r="R150" s="242"/>
      <c r="S150" s="249">
        <f t="shared" si="61"/>
        <v>1</v>
      </c>
      <c r="T150" s="242" t="str">
        <f t="shared" si="64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65"/>
        <v>https://d0f6bd738d7f1b3e5a7ca70fe4ff75f0.us-east-1.aws.found.io/app/kibana#/discover/Steve-Slow-Train-Analysis-(2080s-and-2083s)?_g=(refreshInterval:(display:Off,pause:!f,section:0,value:0),time:(from:'2017-12-18T22:23:56-0700',mode:absolute,to:'2017-12-19T01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247" t="str">
        <f>IF(AA150&lt;VLOOKUP(AG150,Variables!$AC$3:$AD$8,2,FALSE),"Y","N")</f>
        <v>N</v>
      </c>
      <c r="X150" s="247">
        <f t="shared" si="66"/>
        <v>1</v>
      </c>
      <c r="Y150" s="247">
        <f t="shared" si="78"/>
        <v>23.297599999999999</v>
      </c>
      <c r="Z150" s="247">
        <f t="shared" si="77"/>
        <v>2.2499999999999999E-2</v>
      </c>
      <c r="AA150" s="247">
        <f t="shared" si="67"/>
        <v>23.275099999999998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8"/>
        <v>236</v>
      </c>
      <c r="AE150" s="235" t="str">
        <f t="shared" si="69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150" s="234" t="str">
        <f t="shared" si="70"/>
        <v>"C:\Program Files (x86)\AstroGrep\AstroGrep.exe" /e /r /s /spath="%USERPROFILE%\AppData\Local\Temp\OnboardLogs" /stypes="app*4043*20171219*" /stext=" 07:.+((SYSTEM_STATE.+slice.+state.+changed )|(ment ac)|(multiple cpu faults)|(system.+state.+changed )|(\[timeout)|(PRM\|1\|D)|(kpr)|(kdp)|(train st.+moving)|(\|lc)|(penalty))"</v>
      </c>
      <c r="AG150" s="244" t="str">
        <f t="shared" si="71"/>
        <v>EC</v>
      </c>
      <c r="AH150" s="236" t="str">
        <f t="shared" si="72"/>
        <v>"%USERPROFILE%\Documents\GitHub\eaglep3\Utilities\RefineRTDCRunTimes.py" --tripid 236-18 --locoid 4043 --swversion DE.1.0.9.0 --startMP 204:232976 --initTime 2017-12-18T23:23:56 --startdatetime 2017-12-18T23:27:19 --delay 52 --endMP 204:225 --enddatetime 2017-12-19T00:04:50 --enforcementcount 0 &gt;&gt;%USERPROFILE%\Documents\GitHub\eaglep3-reporting\EC\2017-12-18-refined-times.txt</v>
      </c>
      <c r="AI150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{"issue":{"subject":"","project_id":79,"tracker_id":40,"status_id":1,"priority_id":2,"assigned_to_id":338,"start_date":"2017-12-19","description":"","custom_fields":[{"id":1,"name":"Subdivision","value":"EC"},{"id":4,"name":"Milepost","value":"0.0225"},{"id":17,"name":"Train ID","value":"236-18"},{"id":16,"name":"Locomotive ID","value":"4043"},{"id":130,"name":"Impact","value":""},{"id":150,"name":"Time of Event (Mountain Time)","value":"00:04:50"},{"id":151,"name":"Denver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74"/>
        <v>start /low /b %USERPROFILE%\Documents\GitHub\eaglep3\Utilities\DownloadLogsFromS3.py --loco 4043 --day 2017-12-18</v>
      </c>
      <c r="AN150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07:04:50"},{"id":29,"name":"Sharepoint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6"/>
        <v>https://d0f6bd738d7f1b3e5a7ca70fe4ff75f0.us-east-1.aws.found.io/app/kibana#/discover/Steve-Slow-Train-Analysis-(2080s-and-2083s)?_g=(refreshInterval:(display:Off,pause:!f,section:0,value:0),time:(from:'2017-12-18T22:23:56-0700',mode:absolute,to:'2017-12-19T01:04:50-0700'))&amp;_a=(columns:!('Message%20ID',Summary),filters:!(),index:'emp_*',interval:auto,query:(query_string:(analyze_wildcard:!t,query:'%22rtdc.l.rtdc.4043%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879</v>
      </c>
      <c r="B151" s="225">
        <v>4052</v>
      </c>
      <c r="C151" s="227" t="s">
        <v>192</v>
      </c>
      <c r="D151" s="227" t="s">
        <v>652</v>
      </c>
      <c r="E151" s="226">
        <v>43087.943645833337</v>
      </c>
      <c r="F151" s="226">
        <v>43087.958495370367</v>
      </c>
      <c r="G151" s="225">
        <v>62</v>
      </c>
      <c r="H151" s="227" t="s">
        <v>508</v>
      </c>
      <c r="I151" s="226">
        <v>43087.982418981483</v>
      </c>
      <c r="J151" s="225">
        <v>0</v>
      </c>
      <c r="K151" s="237" t="str">
        <f t="shared" si="62"/>
        <v>4051/4052</v>
      </c>
      <c r="L151" s="245" t="str">
        <f>VLOOKUP(A151,'Trips&amp;Operators'!$C$1:$G$99911,5,FALSE)</f>
        <v>ELBAUM MIKE</v>
      </c>
      <c r="M151" s="224">
        <f t="shared" si="63"/>
        <v>2.3923611115606036E-2</v>
      </c>
      <c r="N151" s="225">
        <f t="shared" si="60"/>
        <v>34.450000006472692</v>
      </c>
      <c r="O151" s="225"/>
      <c r="P151" s="225"/>
      <c r="Q151" s="228"/>
      <c r="R151" s="242"/>
      <c r="S151" s="249">
        <f t="shared" si="61"/>
        <v>1</v>
      </c>
      <c r="T151" s="242" t="str">
        <f t="shared" si="64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5"/>
        <v>https://d0f6bd738d7f1b3e5a7ca70fe4ff75f0.us-east-1.aws.found.io/app/kibana#/discover/Steve-Slow-Train-Analysis-(2080s-and-2083s)?_g=(refreshInterval:(display:Off,pause:!f,section:0,value:0),time:(from:'2017-12-18T21:38:51-0700',mode:absolute,to:'2017-12-19T00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247" t="str">
        <f>IF(AA151&lt;VLOOKUP(AG151,Variables!$AC$3:$AD$8,2,FALSE),"Y","N")</f>
        <v>N</v>
      </c>
      <c r="X151" s="247">
        <f t="shared" si="66"/>
        <v>1</v>
      </c>
      <c r="Y151" s="247">
        <f t="shared" si="78"/>
        <v>5.6800000000000003E-2</v>
      </c>
      <c r="Z151" s="247">
        <f t="shared" si="77"/>
        <v>23.327000000000002</v>
      </c>
      <c r="AA151" s="247">
        <f t="shared" si="67"/>
        <v>23.270200000000003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8"/>
        <v>237</v>
      </c>
      <c r="AE151" s="235" t="str">
        <f t="shared" si="69"/>
        <v>aws s3 cp s3://rtdc.mdm.uploadarchive.raw/RTDC4052/ "%USERPROFILE%\AppData\Local\Temp\OnboardLogs"\RTDC4052\2017-12-18 --exclude "*" --recursive --include "*20171218*" &amp; "%USERPROFILE%\Documents\GitHub\mrs-test-scripts\Headless Mode &amp; Sideloading\WalkAndUnGZ.bat" "%USERPROFILE%\AppData\Local\Temp\OnboardLogs"\RTDC4052\2017-12-18 &amp; 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</v>
      </c>
      <c r="AF151" s="234" t="str">
        <f t="shared" si="70"/>
        <v>"C:\Program Files (x86)\AstroGrep\AstroGrep.exe" /e /r /s /spath="%USERPROFILE%\AppData\Local\Temp\OnboardLogs" /stypes="app*4052*20171219*" /stext=" 06:.+((SYSTEM_STATE.+slice.+state.+changed )|(ment ac)|(multiple cpu faults)|(system.+state.+changed )|(\[timeout)|(PRM\|1\|D)|(kpr)|(kdp)|(train st.+moving)|(\|lc)|(penalty))"</v>
      </c>
      <c r="AG151" s="244" t="str">
        <f t="shared" si="71"/>
        <v>EC</v>
      </c>
      <c r="AH151" s="236" t="str">
        <f t="shared" si="72"/>
        <v>"%USERPROFILE%\Documents\GitHub\eaglep3\Utilities\RefineRTDCRunTimes.py" --tripid 237-18 --locoid 4052 --swversion DE.1.0.9.0 --startMP 204:568 --initTime 2017-12-18T22:38:51 --startdatetime 2017-12-18T23:00:14 --delay 62 --endMP 204:233270 --enddatetime 2017-12-18T23:34:41 --enforcementcount 0 &gt;&gt;%USERPROFILE%\Documents\GitHub\eaglep3-reporting\EC\2017-12-18-refined-times.txt</v>
      </c>
      <c r="AI151" s="238" t="str">
        <f t="shared" si="73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ID","value":"237-18"},{"id":16,"name":"Locomotive ID","value":"4052"},{"id":130,"name":"Impact","value":""},{"id":150,"name":"Time of Event (Mountain Time)","value":"23:34:41"},{"id":151,"name":"Denver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4"/>
        <v>start /low /b %USERPROFILE%\Documents\GitHub\eaglep3\Utilities\DownloadLogsFromS3.py --loco 4052 --day 2017-12-18</v>
      </c>
      <c r="AN151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6"/>
        <v>https://d0f6bd738d7f1b3e5a7ca70fe4ff75f0.us-east-1.aws.found.io/app/kibana#/discover/Steve-Slow-Train-Analysis-(2080s-and-2083s)?_g=(refreshInterval:(display:Off,pause:!f,section:0,value:0),time:(from:'2017-12-18T21:38:51-0700',mode:absolute,to:'2017-12-19T00:34:41-0700'))&amp;_a=(columns:!('Message%20ID',Summary),filters:!(),index:'emp_*',interval:auto,query:(query_string:(analyze_wildcard:!t,query:'%22rtdc.l.rtdc.4052%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885</v>
      </c>
      <c r="B152" s="225">
        <v>4051</v>
      </c>
      <c r="C152" s="227" t="s">
        <v>192</v>
      </c>
      <c r="D152" s="227" t="s">
        <v>975</v>
      </c>
      <c r="E152" s="226">
        <v>43087.986689814818</v>
      </c>
      <c r="F152" s="226">
        <v>43087.998217592591</v>
      </c>
      <c r="G152" s="225">
        <v>55</v>
      </c>
      <c r="H152" s="227" t="s">
        <v>976</v>
      </c>
      <c r="I152" s="226">
        <v>43088.023136574076</v>
      </c>
      <c r="J152" s="225">
        <v>0</v>
      </c>
      <c r="K152" s="237" t="str">
        <f t="shared" si="62"/>
        <v>4051/4052</v>
      </c>
      <c r="L152" s="245" t="str">
        <f>VLOOKUP(A152,'Trips&amp;Operators'!$C$1:$G$99911,5,FALSE)</f>
        <v>ELBAUM MIKE</v>
      </c>
      <c r="M152" s="224">
        <f t="shared" si="63"/>
        <v>2.4918981485825498E-2</v>
      </c>
      <c r="N152" s="225">
        <f t="shared" si="60"/>
        <v>35.883333339588717</v>
      </c>
      <c r="O152" s="225"/>
      <c r="P152" s="225"/>
      <c r="Q152" s="228"/>
      <c r="R152" s="242"/>
      <c r="S152" s="249">
        <f t="shared" si="61"/>
        <v>1</v>
      </c>
      <c r="T152" s="242" t="str">
        <f t="shared" si="64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5"/>
        <v>https://d0f6bd738d7f1b3e5a7ca70fe4ff75f0.us-east-1.aws.found.io/app/kibana#/discover/Steve-Slow-Train-Analysis-(2080s-and-2083s)?_g=(refreshInterval:(display:Off,pause:!f,section:0,value:0),time:(from:'2017-12-18T22:40:50-0700',mode:absolute,to:'2017-12-19T01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247" t="str">
        <f>IF(AA152&lt;VLOOKUP(AG152,Variables!$AC$3:$AD$8,2,FALSE),"Y","N")</f>
        <v>N</v>
      </c>
      <c r="X152" s="247">
        <f t="shared" si="66"/>
        <v>1</v>
      </c>
      <c r="Y152" s="247">
        <f t="shared" si="78"/>
        <v>23.294899999999998</v>
      </c>
      <c r="Z152" s="247">
        <f t="shared" si="77"/>
        <v>2.7300000000000001E-2</v>
      </c>
      <c r="AA152" s="247">
        <f t="shared" si="67"/>
        <v>23.267599999999998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8"/>
        <v>238</v>
      </c>
      <c r="AE152" s="235" t="str">
        <f t="shared" si="69"/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AF152" s="234" t="str">
        <f t="shared" si="70"/>
        <v>"C:\Program Files (x86)\AstroGrep\AstroGrep.exe" /e /r /s /spath="%USERPROFILE%\AppData\Local\Temp\OnboardLogs" /stypes="app*4051*20171219*" /stext=" 07:.+((SYSTEM_STATE.+slice.+state.+changed )|(ment ac)|(multiple cpu faults)|(system.+state.+changed )|(\[timeout)|(PRM\|1\|D)|(kpr)|(kdp)|(train st.+moving)|(\|lc)|(penalty))"</v>
      </c>
      <c r="AG152" s="244" t="str">
        <f t="shared" si="71"/>
        <v>EC</v>
      </c>
      <c r="AH152" s="236" t="str">
        <f t="shared" si="72"/>
        <v>"%USERPROFILE%\Documents\GitHub\eaglep3\Utilities\RefineRTDCRunTimes.py" --tripid 238-18 --locoid 4051 --swversion DE.1.0.9.0 --startMP 204:232949 --initTime 2017-12-18T23:40:50 --startdatetime 2017-12-18T23:57:26 --delay 55 --endMP 204:273 --enddatetime 2017-12-19T00:33:19 --enforcementcount 0 &gt;&gt;%USERPROFILE%\Documents\GitHub\eaglep3-reporting\EC\2017-12-18-refined-times.txt</v>
      </c>
      <c r="AI152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{"issue":{"subject":"","project_id":79,"tracker_id":40,"status_id":1,"priority_id":2,"assigned_to_id":338,"start_date":"2017-12-19","description":"","custom_fields":[{"id":1,"name":"Subdivision","value":"EC"},{"id":4,"name":"Milepost","value":"0.0273"},{"id":17,"name":"Train ID","value":"238-18"},{"id":16,"name":"Locomotive ID","value":"4051"},{"id":130,"name":"Impact","value":""},{"id":150,"name":"Time of Event (Mountain Time)","value":"00:33:19"},{"id":151,"name":"Denver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74"/>
        <v>start /low /b %USERPROFILE%\Documents\GitHub\eaglep3\Utilities\DownloadLogsFromS3.py --loco 4051 --day 2017-12-18</v>
      </c>
      <c r="AN152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07:33:19"},{"id":29,"name":"Sharepoint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6"/>
        <v>https://d0f6bd738d7f1b3e5a7ca70fe4ff75f0.us-east-1.aws.found.io/app/kibana#/discover/Steve-Slow-Train-Analysis-(2080s-and-2083s)?_g=(refreshInterval:(display:Off,pause:!f,section:0,value:0),time:(from:'2017-12-18T22:40:50-0700',mode:absolute,to:'2017-12-19T01:33:19-0700'))&amp;_a=(columns:!('Message%20ID',Summary),filters:!(),index:'emp_*',interval:auto,query:(query_string:(analyze_wildcard:!t,query:'%22rtdc.l.rtdc.4051%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884</v>
      </c>
      <c r="B153" s="225">
        <v>4016</v>
      </c>
      <c r="C153" s="227" t="s">
        <v>192</v>
      </c>
      <c r="D153" s="227" t="s">
        <v>579</v>
      </c>
      <c r="E153" s="226">
        <v>43087.965474537035</v>
      </c>
      <c r="F153" s="226">
        <v>43087.979351851849</v>
      </c>
      <c r="G153" s="225">
        <v>77</v>
      </c>
      <c r="H153" s="227" t="s">
        <v>548</v>
      </c>
      <c r="I153" s="226">
        <v>43088.003530092596</v>
      </c>
      <c r="J153" s="225">
        <v>0</v>
      </c>
      <c r="K153" s="237" t="str">
        <f t="shared" si="62"/>
        <v>4015/4016</v>
      </c>
      <c r="L153" s="245" t="str">
        <f>VLOOKUP(A153,'Trips&amp;Operators'!$C$1:$G$99911,5,FALSE)</f>
        <v>LOZA FIDEL</v>
      </c>
      <c r="M153" s="224">
        <f t="shared" si="63"/>
        <v>2.4178240746550728E-2</v>
      </c>
      <c r="N153" s="225">
        <f t="shared" si="60"/>
        <v>34.816666675033048</v>
      </c>
      <c r="O153" s="225"/>
      <c r="P153" s="225"/>
      <c r="Q153" s="228"/>
      <c r="R153" s="242"/>
      <c r="S153" s="249">
        <f t="shared" si="61"/>
        <v>1</v>
      </c>
      <c r="T153" s="242" t="str">
        <f t="shared" si="64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5"/>
        <v>https://d0f6bd738d7f1b3e5a7ca70fe4ff75f0.us-east-1.aws.found.io/app/kibana#/discover/Steve-Slow-Train-Analysis-(2080s-and-2083s)?_g=(refreshInterval:(display:Off,pause:!f,section:0,value:0),time:(from:'2017-12-18T22:10:17-0700',mode:absolute,to:'2017-12-19T01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247" t="str">
        <f>IF(AA153&lt;VLOOKUP(AG153,Variables!$AC$3:$AD$8,2,FALSE),"Y","N")</f>
        <v>N</v>
      </c>
      <c r="X153" s="247">
        <f t="shared" si="66"/>
        <v>1</v>
      </c>
      <c r="Y153" s="247">
        <f t="shared" si="78"/>
        <v>5.3499999999999999E-2</v>
      </c>
      <c r="Z153" s="247">
        <f t="shared" si="77"/>
        <v>23.3263</v>
      </c>
      <c r="AA153" s="247">
        <f t="shared" si="67"/>
        <v>23.2728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8"/>
        <v>239</v>
      </c>
      <c r="AE153" s="235" t="str">
        <f t="shared" si="69"/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AF153" s="234" t="str">
        <f t="shared" si="70"/>
        <v>"C:\Program Files (x86)\AstroGrep\AstroGrep.exe" /e /r /s /spath="%USERPROFILE%\AppData\Local\Temp\OnboardLogs" /stypes="app*4016*20171219*" /stext=" 07:.+((SYSTEM_STATE.+slice.+state.+changed )|(ment ac)|(multiple cpu faults)|(system.+state.+changed )|(\[timeout)|(PRM\|1\|D)|(kpr)|(kdp)|(train st.+moving)|(\|lc)|(penalty))"</v>
      </c>
      <c r="AG153" s="244" t="str">
        <f t="shared" si="71"/>
        <v>EC</v>
      </c>
      <c r="AH153" s="236" t="str">
        <f t="shared" si="72"/>
        <v>"%USERPROFILE%\Documents\GitHub\eaglep3\Utilities\RefineRTDCRunTimes.py" --tripid 239-18 --locoid 4016 --swversion DE.1.0.9.0 --startMP 204:535 --initTime 2017-12-18T23:10:17 --startdatetime 2017-12-18T23:30:16 --delay 77 --endMP 204:233263 --enddatetime 2017-12-19T00:05:05 --enforcementcount 0 &gt;&gt;%USERPROFILE%\Documents\GitHub\eaglep3-reporting\EC\2017-12-18-refined-times.txt</v>
      </c>
      <c r="AI153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{"issue":{"subject":"","project_id":79,"tracker_id":40,"status_id":1,"priority_id":2,"assigned_to_id":338,"start_date":"2017-12-19","description":"","custom_fields":[{"id":1,"name":"Subdivision","value":"EC"},{"id":4,"name":"Milepost","value":"23.3263"},{"id":17,"name":"Train ID","value":"239-18"},{"id":16,"name":"Locomotive ID","value":"4016"},{"id":130,"name":"Impact","value":""},{"id":150,"name":"Time of Event (Mountain Time)","value":"00:05:05"},{"id":151,"name":"Denver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74"/>
        <v>start /low /b %USERPROFILE%\Documents\GitHub\eaglep3\Utilities\DownloadLogsFromS3.py --loco 4016 --day 2017-12-18</v>
      </c>
      <c r="AN153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6"/>
        <v>https://d0f6bd738d7f1b3e5a7ca70fe4ff75f0.us-east-1.aws.found.io/app/kibana#/discover/Steve-Slow-Train-Analysis-(2080s-and-2083s)?_g=(refreshInterval:(display:Off,pause:!f,section:0,value:0),time:(from:'2017-12-18T22:10:17-0700',mode:absolute,to:'2017-12-19T01:05:05-0700'))&amp;_a=(columns:!('Message%20ID',Summary),filters:!(),index:'emp_*',interval:auto,query:(query_string:(analyze_wildcard:!t,query:'%22rtdc.l.rtdc.4016%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25">
      <c r="A154" s="229" t="s">
        <v>888</v>
      </c>
      <c r="B154" s="225">
        <v>4015</v>
      </c>
      <c r="C154" s="227" t="s">
        <v>192</v>
      </c>
      <c r="D154" s="227" t="s">
        <v>649</v>
      </c>
      <c r="E154" s="226">
        <v>43088.016273148147</v>
      </c>
      <c r="F154" s="226">
        <v>43088.018969907411</v>
      </c>
      <c r="G154" s="225">
        <v>69</v>
      </c>
      <c r="H154" s="227" t="s">
        <v>942</v>
      </c>
      <c r="I154" s="226">
        <v>43088.044386574074</v>
      </c>
      <c r="J154" s="225">
        <v>0</v>
      </c>
      <c r="K154" s="237" t="str">
        <f t="shared" si="62"/>
        <v>4015/4016</v>
      </c>
      <c r="L154" s="245" t="str">
        <f>VLOOKUP(A154,'Trips&amp;Operators'!$C$1:$G$99911,5,FALSE)</f>
        <v>LOZA FIDEL</v>
      </c>
      <c r="M154" s="224">
        <f t="shared" si="63"/>
        <v>2.5416666663659271E-2</v>
      </c>
      <c r="N154" s="225">
        <f t="shared" si="60"/>
        <v>36.59999999566935</v>
      </c>
      <c r="O154" s="225"/>
      <c r="P154" s="225"/>
      <c r="Q154" s="228"/>
      <c r="R154" s="242"/>
      <c r="S154" s="249">
        <f t="shared" si="61"/>
        <v>1</v>
      </c>
      <c r="T154" s="242" t="str">
        <f t="shared" si="64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5"/>
        <v>https://d0f6bd738d7f1b3e5a7ca70fe4ff75f0.us-east-1.aws.found.io/app/kibana#/discover/Steve-Slow-Train-Analysis-(2080s-and-2083s)?_g=(refreshInterval:(display:Off,pause:!f,section:0,value:0),time:(from:'2017-12-18T23:23:26-0700',mode:absolute,to:'2017-12-19T02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247" t="str">
        <f>IF(AA154&lt;VLOOKUP(AG154,Variables!$AC$3:$AD$8,2,FALSE),"Y","N")</f>
        <v>N</v>
      </c>
      <c r="X154" s="247">
        <f t="shared" si="66"/>
        <v>1</v>
      </c>
      <c r="Y154" s="247">
        <f t="shared" si="78"/>
        <v>23.2943</v>
      </c>
      <c r="Z154" s="247">
        <f t="shared" si="77"/>
        <v>2.52E-2</v>
      </c>
      <c r="AA154" s="247">
        <f t="shared" si="67"/>
        <v>23.269099999999998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8"/>
        <v>240</v>
      </c>
      <c r="AE154" s="235" t="str">
        <f t="shared" si="69"/>
        <v>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 &amp; aws s3 cp s3://rtdc.mdm.uploadarchive.raw/RTDC4015/ "%USERPROFILE%\AppData\Local\Temp\OnboardLogs"\RTDC4015\2017-12-20 --exclude "*" --recursive --include "*20171220*" &amp; "%USERPROFILE%\Documents\GitHub\mrs-test-scripts\Headless Mode &amp; Sideloading\WalkAndUnGZ.bat" "%USERPROFILE%\AppData\Local\Temp\OnboardLogs"\RTDC4015\2017-12-20</v>
      </c>
      <c r="AF154" s="234" t="str">
        <f t="shared" si="70"/>
        <v>"C:\Program Files (x86)\AstroGrep\AstroGrep.exe" /e /r /s /spath="%USERPROFILE%\AppData\Local\Temp\OnboardLogs" /stypes="app*4015*20171219*" /stext=" 08:.+((SYSTEM_STATE.+slice.+state.+changed )|(ment ac)|(multiple cpu faults)|(system.+state.+changed )|(\[timeout)|(PRM\|1\|D)|(kpr)|(kdp)|(train st.+moving)|(\|lc)|(penalty))"</v>
      </c>
      <c r="AG154" s="244" t="str">
        <f t="shared" si="71"/>
        <v>EC</v>
      </c>
      <c r="AH154" s="236" t="str">
        <f t="shared" si="72"/>
        <v>"%USERPROFILE%\Documents\GitHub\eaglep3\Utilities\RefineRTDCRunTimes.py" --tripid 240-18 --locoid 4015 --swversion DE.1.0.9.0 --startMP 204:232943 --initTime 2017-12-19T00:23:26 --startdatetime 2017-12-19T00:27:19 --delay 69 --endMP 204:252 --enddatetime 2017-12-19T01:03:55 --enforcementcount 0 &gt;&gt;%USERPROFILE%\Documents\GitHub\eaglep3-reporting\EC\2017-12-18-refined-times.txt</v>
      </c>
      <c r="AI154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{"issue":{"subject":"","project_id":79,"tracker_id":40,"status_id":1,"priority_id":2,"assigned_to_id":338,"start_date":"2017-12-19","description":"","custom_fields":[{"id":1,"name":"Subdivision","value":"EC"},{"id":4,"name":"Milepost","value":"0.0252"},{"id":17,"name":"Train ID","value":"240-18"},{"id":16,"name":"Locomotive ID","value":"4015"},{"id":130,"name":"Impact","value":""},{"id":150,"name":"Time of Event (Mountain Time)","value":"01:03:55"},{"id":151,"name":"Denver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74"/>
        <v>start /low /b %USERPROFILE%\Documents\GitHub\eaglep3\Utilities\DownloadLogsFromS3.py --loco 4015 --day 2017-12-19</v>
      </c>
      <c r="AN154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6"/>
        <v>https://d0f6bd738d7f1b3e5a7ca70fe4ff75f0.us-east-1.aws.found.io/app/kibana#/discover/Steve-Slow-Train-Analysis-(2080s-and-2083s)?_g=(refreshInterval:(display:Off,pause:!f,section:0,value:0),time:(from:'2017-12-18T23:23:26-0700',mode:absolute,to:'2017-12-19T02:03:55-0700'))&amp;_a=(columns:!('Message%20ID',Summary),filters:!(),index:'emp_*',interval:auto,query:(query_string:(analyze_wildcard:!t,query:'%22rtdc.l.rtdc.4015%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886</v>
      </c>
      <c r="B155" s="225">
        <v>4010</v>
      </c>
      <c r="C155" s="227" t="s">
        <v>192</v>
      </c>
      <c r="D155" s="227" t="s">
        <v>576</v>
      </c>
      <c r="E155" s="226">
        <v>43087.994120370371</v>
      </c>
      <c r="F155" s="226">
        <v>43088.000162037039</v>
      </c>
      <c r="G155" s="225">
        <v>53</v>
      </c>
      <c r="H155" s="227" t="s">
        <v>650</v>
      </c>
      <c r="I155" s="226">
        <v>43088.02416666667</v>
      </c>
      <c r="J155" s="225">
        <v>0</v>
      </c>
      <c r="K155" s="237" t="str">
        <f t="shared" si="62"/>
        <v>4009/4010</v>
      </c>
      <c r="L155" s="245" t="str">
        <f>VLOOKUP(A155,'Trips&amp;Operators'!$C$1:$G$99911,5,FALSE)</f>
        <v>RESPASS AARON</v>
      </c>
      <c r="M155" s="224">
        <f t="shared" si="63"/>
        <v>2.400462963123573E-2</v>
      </c>
      <c r="N155" s="225">
        <f t="shared" si="60"/>
        <v>34.566666668979451</v>
      </c>
      <c r="O155" s="225"/>
      <c r="P155" s="225"/>
      <c r="Q155" s="228"/>
      <c r="R155" s="242"/>
      <c r="S155" s="249">
        <f t="shared" si="61"/>
        <v>1</v>
      </c>
      <c r="T155" s="242" t="str">
        <f t="shared" si="64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5"/>
        <v>https://d0f6bd738d7f1b3e5a7ca70fe4ff75f0.us-east-1.aws.found.io/app/kibana#/discover/Steve-Slow-Train-Analysis-(2080s-and-2083s)?_g=(refreshInterval:(display:Off,pause:!f,section:0,value:0),time:(from:'2017-12-18T22:51:32-0700',mode:absolute,to:'2017-12-19T01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247" t="str">
        <f>IF(AA155&lt;VLOOKUP(AG155,Variables!$AC$3:$AD$8,2,FALSE),"Y","N")</f>
        <v>N</v>
      </c>
      <c r="X155" s="247">
        <f t="shared" si="66"/>
        <v>1</v>
      </c>
      <c r="Y155" s="247">
        <f t="shared" si="78"/>
        <v>5.6399999999999999E-2</v>
      </c>
      <c r="Z155" s="247">
        <f t="shared" si="77"/>
        <v>23.323599999999999</v>
      </c>
      <c r="AA155" s="247">
        <f t="shared" si="67"/>
        <v>23.267199999999999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8"/>
        <v>241</v>
      </c>
      <c r="AE155" s="235" t="str">
        <f t="shared" si="69"/>
        <v>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 &amp; 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</v>
      </c>
      <c r="AF155" s="234" t="str">
        <f t="shared" si="70"/>
        <v>"C:\Program Files (x86)\AstroGrep\AstroGrep.exe" /e /r /s /spath="%USERPROFILE%\AppData\Local\Temp\OnboardLogs" /stypes="app*4010*20171219*" /stext=" 07:.+((SYSTEM_STATE.+slice.+state.+changed )|(ment ac)|(multiple cpu faults)|(system.+state.+changed )|(\[timeout)|(PRM\|1\|D)|(kpr)|(kdp)|(train st.+moving)|(\|lc)|(penalty))"</v>
      </c>
      <c r="AG155" s="244" t="str">
        <f t="shared" si="71"/>
        <v>EC</v>
      </c>
      <c r="AH155" s="236" t="str">
        <f t="shared" si="72"/>
        <v>"%USERPROFILE%\Documents\GitHub\eaglep3\Utilities\RefineRTDCRunTimes.py" --tripid 241-18 --locoid 4010 --swversion DE.1.0.9.0 --startMP 204:564 --initTime 2017-12-18T23:51:32 --startdatetime 2017-12-19T00:00:14 --delay 53 --endMP 204:233236 --enddatetime 2017-12-19T00:34:48 --enforcementcount 0 &gt;&gt;%USERPROFILE%\Documents\GitHub\eaglep3-reporting\EC\2017-12-18-refined-times.txt</v>
      </c>
      <c r="AI155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{"issue":{"subject":"","project_id":79,"tracker_id":40,"status_id":1,"priority_id":2,"assigned_to_id":338,"start_date":"2017-12-19","description":"","custom_fields":[{"id":1,"name":"Subdivision","value":"EC"},{"id":4,"name":"Milepost","value":"23.3236"},{"id":17,"name":"Train ID","value":"241-18"},{"id":16,"name":"Locomotive ID","value":"4010"},{"id":130,"name":"Impact","value":""},{"id":150,"name":"Time of Event (Mountain Time)","value":"00:34:48"},{"id":151,"name":"Denver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74"/>
        <v>start /low /b %USERPROFILE%\Documents\GitHub\eaglep3\Utilities\DownloadLogsFromS3.py --loco 4010 --day 2017-12-19</v>
      </c>
      <c r="AN155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07:34:48"},{"id":29,"name":"Sharepoint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6"/>
        <v>https://d0f6bd738d7f1b3e5a7ca70fe4ff75f0.us-east-1.aws.found.io/app/kibana#/discover/Steve-Slow-Train-Analysis-(2080s-and-2083s)?_g=(refreshInterval:(display:Off,pause:!f,section:0,value:0),time:(from:'2017-12-18T22:51:32-0700',mode:absolute,to:'2017-12-19T01:34:48-0700'))&amp;_a=(columns:!('Message%20ID',Summary),filters:!(),index:'emp_*',interval:auto,query:(query_string:(analyze_wildcard:!t,query:'%22rtdc.l.rtdc.4010%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890</v>
      </c>
      <c r="B156" s="225">
        <v>4009</v>
      </c>
      <c r="C156" s="227" t="s">
        <v>192</v>
      </c>
      <c r="D156" s="227" t="s">
        <v>651</v>
      </c>
      <c r="E156" s="226">
        <v>43088.036643518521</v>
      </c>
      <c r="F156" s="226">
        <v>43088.03974537037</v>
      </c>
      <c r="G156" s="225">
        <v>56</v>
      </c>
      <c r="H156" s="227" t="s">
        <v>977</v>
      </c>
      <c r="I156" s="226">
        <v>43088.064988425926</v>
      </c>
      <c r="J156" s="225">
        <v>0</v>
      </c>
      <c r="K156" s="237" t="str">
        <f t="shared" si="62"/>
        <v>4009/4010</v>
      </c>
      <c r="L156" s="245" t="str">
        <f>VLOOKUP(A156,'Trips&amp;Operators'!$C$1:$G$99911,5,FALSE)</f>
        <v>RESPASS AARON</v>
      </c>
      <c r="M156" s="224">
        <f t="shared" si="63"/>
        <v>2.5243055555620231E-2</v>
      </c>
      <c r="N156" s="225">
        <f t="shared" si="60"/>
        <v>36.350000000093132</v>
      </c>
      <c r="O156" s="225"/>
      <c r="P156" s="225"/>
      <c r="Q156" s="228"/>
      <c r="R156" s="242"/>
      <c r="S156" s="249">
        <f t="shared" si="61"/>
        <v>1</v>
      </c>
      <c r="T156" s="242" t="str">
        <f t="shared" si="64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5"/>
        <v>https://d0f6bd738d7f1b3e5a7ca70fe4ff75f0.us-east-1.aws.found.io/app/kibana#/discover/Steve-Slow-Train-Analysis-(2080s-and-2083s)?_g=(refreshInterval:(display:Off,pause:!f,section:0,value:0),time:(from:'2017-12-18T23:52:46-0700',mode:absolute,to:'2017-12-19T02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247" t="str">
        <f>IF(AA156&lt;VLOOKUP(AG156,Variables!$AC$3:$AD$8,2,FALSE),"Y","N")</f>
        <v>N</v>
      </c>
      <c r="X156" s="247">
        <f t="shared" si="66"/>
        <v>1</v>
      </c>
      <c r="Y156" s="247">
        <f t="shared" si="78"/>
        <v>23.290900000000001</v>
      </c>
      <c r="Z156" s="247">
        <f t="shared" si="77"/>
        <v>2.7400000000000001E-2</v>
      </c>
      <c r="AA156" s="247">
        <f t="shared" si="67"/>
        <v>23.263500000000001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8"/>
        <v>242</v>
      </c>
      <c r="AE156" s="235" t="str">
        <f t="shared" si="69"/>
        <v>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 &amp; 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</v>
      </c>
      <c r="AF156" s="234" t="str">
        <f t="shared" si="70"/>
        <v>"C:\Program Files (x86)\AstroGrep\AstroGrep.exe" /e /r /s /spath="%USERPROFILE%\AppData\Local\Temp\OnboardLogs" /stypes="app*4009*20171219*" /stext=" 08:.+((SYSTEM_STATE.+slice.+state.+changed )|(ment ac)|(multiple cpu faults)|(system.+state.+changed )|(\[timeout)|(PRM\|1\|D)|(kpr)|(kdp)|(train st.+moving)|(\|lc)|(penalty))"</v>
      </c>
      <c r="AG156" s="244" t="str">
        <f t="shared" si="71"/>
        <v>EC</v>
      </c>
      <c r="AH156" s="236" t="str">
        <f t="shared" si="72"/>
        <v>"%USERPROFILE%\Documents\GitHub\eaglep3\Utilities\RefineRTDCRunTimes.py" --tripid 242-18 --locoid 4009 --swversion DE.1.0.9.0 --startMP 204:232909 --initTime 2017-12-19T00:52:46 --startdatetime 2017-12-19T00:57:14 --delay 56 --endMP 204:274 --enddatetime 2017-12-19T01:33:35 --enforcementcount 0 &gt;&gt;%USERPROFILE%\Documents\GitHub\eaglep3-reporting\EC\2017-12-18-refined-times.txt</v>
      </c>
      <c r="AI156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{"issue":{"subject":"","project_id":79,"tracker_id":40,"status_id":1,"priority_id":2,"assigned_to_id":338,"start_date":"2017-12-19","description":"","custom_fields":[{"id":1,"name":"Subdivision","value":"EC"},{"id":4,"name":"Milepost","value":"0.0274"},{"id":17,"name":"Train ID","value":"242-18"},{"id":16,"name":"Locomotive ID","value":"4009"},{"id":130,"name":"Impact","value":""},{"id":150,"name":"Time of Event (Mountain Time)","value":"01:33:35"},{"id":151,"name":"Denver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74"/>
        <v>start /low /b %USERPROFILE%\Documents\GitHub\eaglep3\Utilities\DownloadLogsFromS3.py --loco 4009 --day 2017-12-19</v>
      </c>
      <c r="AN156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76"/>
        <v>https://d0f6bd738d7f1b3e5a7ca70fe4ff75f0.us-east-1.aws.found.io/app/kibana#/discover/Steve-Slow-Train-Analysis-(2080s-and-2083s)?_g=(refreshInterval:(display:Off,pause:!f,section:0,value:0),time:(from:'2017-12-18T23:52:46-0700',mode:absolute,to:'2017-12-19T02:33:35-0700'))&amp;_a=(columns:!('Message%20ID',Summary),filters:!(),index:'emp_*',interval:auto,query:(query_string:(analyze_wildcard:!t,query:'%22rtdc.l.rtdc.4009%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887</v>
      </c>
      <c r="B157" s="225">
        <v>4044</v>
      </c>
      <c r="C157" s="227" t="s">
        <v>192</v>
      </c>
      <c r="D157" s="227" t="s">
        <v>644</v>
      </c>
      <c r="E157" s="226">
        <v>43088.008333333331</v>
      </c>
      <c r="F157" s="226">
        <v>43088.021296296298</v>
      </c>
      <c r="G157" s="225">
        <v>71</v>
      </c>
      <c r="H157" s="227" t="s">
        <v>924</v>
      </c>
      <c r="I157" s="226">
        <v>43088.045358796298</v>
      </c>
      <c r="J157" s="225">
        <v>0</v>
      </c>
      <c r="K157" s="237" t="str">
        <f t="shared" si="62"/>
        <v>4043/4044</v>
      </c>
      <c r="L157" s="245" t="str">
        <f>VLOOKUP(A157,'Trips&amp;Operators'!$C$1:$G$99911,5,FALSE)</f>
        <v>AUSTIN THOMPSON</v>
      </c>
      <c r="M157" s="224">
        <f t="shared" si="63"/>
        <v>2.4062500000582077E-2</v>
      </c>
      <c r="N157" s="225"/>
      <c r="O157" s="225"/>
      <c r="P157" s="225"/>
      <c r="Q157" s="228"/>
      <c r="R157" s="242"/>
      <c r="S157" s="249"/>
      <c r="T157" s="242" t="str">
        <f t="shared" si="64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48" t="str">
        <f t="shared" si="65"/>
        <v>https://d0f6bd738d7f1b3e5a7ca70fe4ff75f0.us-east-1.aws.found.io/app/kibana#/discover/Steve-Slow-Train-Analysis-(2080s-and-2083s)?_g=(refreshInterval:(display:Off,pause:!f,section:0,value:0),time:(from:'2017-12-18T23:12:00-0700',mode:absolute,to:'2017-12-19T02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7" s="247" t="str">
        <f>IF(AA157&lt;VLOOKUP(AG157,Variables!$AC$3:$AD$8,2,FALSE),"Y","N")</f>
        <v>Y</v>
      </c>
      <c r="X157" s="247">
        <f t="shared" ref="X157:X166" si="79">VALUE(LEFT(AD157,4))-VALUE(LEFT(AD156,4))</f>
        <v>1</v>
      </c>
      <c r="Y157" s="247">
        <f t="shared" si="78"/>
        <v>5.3699999999999998E-2</v>
      </c>
      <c r="Z157" s="247">
        <f t="shared" si="77"/>
        <v>5.4600000000000003E-2</v>
      </c>
      <c r="AA157" s="247">
        <f t="shared" si="67"/>
        <v>9.0000000000000496E-4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8"/>
        <v>243</v>
      </c>
      <c r="AE157" s="235" t="str">
        <f t="shared" si="69"/>
        <v>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 &amp; 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</v>
      </c>
      <c r="AF157" s="234" t="str">
        <f t="shared" si="70"/>
        <v>"C:\Program Files (x86)\AstroGrep\AstroGrep.exe" /e /r /s /spath="%USERPROFILE%\AppData\Local\Temp\OnboardLogs" /stypes="app*4044*20171219*" /stext=" 08:.+((SYSTEM_STATE.+slice.+state.+changed )|(ment ac)|(multiple cpu faults)|(system.+state.+changed )|(\[timeout)|(PRM\|1\|D)|(kpr)|(kdp)|(train st.+moving)|(\|lc)|(penalty))"</v>
      </c>
      <c r="AG157" s="244" t="str">
        <f t="shared" si="71"/>
        <v>EC</v>
      </c>
      <c r="AH157" s="236" t="str">
        <f t="shared" si="72"/>
        <v>"%USERPROFILE%\Documents\GitHub\eaglep3\Utilities\RefineRTDCRunTimes.py" --tripid 243-18 --locoid 4044 --swversion DE.1.0.9.0 --startMP 204:537 --initTime 2017-12-19T00:12:00 --startdatetime 2017-12-19T00:30:40 --delay 71 --endMP 204:546 --enddatetime 2017-12-19T01:05:19 --enforcementcount 0 &gt;&gt;%USERPROFILE%\Documents\GitHub\eaglep3-reporting\EC\2017-12-18-refined-times.txt</v>
      </c>
      <c r="AI157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{"issue":{"subject":"","project_id":79,"tracker_id":40,"status_id":1,"priority_id":2,"assigned_to_id":338,"start_date":"2017-12-19","description":"","custom_fields":[{"id":1,"name":"Subdivision","value":"EC"},{"id":4,"name":"Milepost","value":"0.0546"},{"id":17,"name":"Train ID","value":"243-18"},{"id":16,"name":"Locomotive ID","value":"4044"},{"id":130,"name":"Impact","value":""},{"id":150,"name":"Time of Event (Mountain Time)","value":"01:05:19"},{"id":151,"name":"Denver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74"/>
        <v>start /low /b %USERPROFILE%\Documents\GitHub\eaglep3\Utilities\DownloadLogsFromS3.py --loco 4044 --day 2017-12-19</v>
      </c>
      <c r="AN157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6"/>
        <v>https://d0f6bd738d7f1b3e5a7ca70fe4ff75f0.us-east-1.aws.found.io/app/kibana#/discover/Steve-Slow-Train-Analysis-(2080s-and-2083s)?_g=(refreshInterval:(display:Off,pause:!f,section:0,value:0),time:(from:'2017-12-18T23:12:00-0700',mode:absolute,to:'2017-12-19T02:05:19-0700'))&amp;_a=(columns:!('Message%20ID',Summary),filters:!(),index:'emp_*',interval:auto,query:(query_string:(analyze_wildcard:!t,query:'%22rtdc.l.rtdc.4044%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887</v>
      </c>
      <c r="B158" s="225">
        <v>4044</v>
      </c>
      <c r="C158" s="227" t="s">
        <v>192</v>
      </c>
      <c r="D158" s="227" t="s">
        <v>633</v>
      </c>
      <c r="E158" s="226">
        <v>43088.011157407411</v>
      </c>
      <c r="F158" s="226">
        <v>43088.021296296298</v>
      </c>
      <c r="G158" s="225">
        <v>49</v>
      </c>
      <c r="H158" s="227" t="s">
        <v>959</v>
      </c>
      <c r="I158" s="226">
        <v>43088.045358796298</v>
      </c>
      <c r="J158" s="225">
        <v>0</v>
      </c>
      <c r="K158" s="237" t="str">
        <f t="shared" si="62"/>
        <v>4043/4044</v>
      </c>
      <c r="L158" s="245" t="str">
        <f>VLOOKUP(A158,'Trips&amp;Operators'!$C$1:$G$99911,5,FALSE)</f>
        <v>AUSTIN THOMPSON</v>
      </c>
      <c r="M158" s="224">
        <f t="shared" si="63"/>
        <v>2.4062500000582077E-2</v>
      </c>
      <c r="N158" s="225">
        <f>24*60*SUM($M158:$M158)</f>
        <v>34.65000000083819</v>
      </c>
      <c r="O158" s="225"/>
      <c r="P158" s="225"/>
      <c r="Q158" s="228"/>
      <c r="R158" s="242"/>
      <c r="S158" s="249">
        <f t="shared" ref="S158:S189" si="80">1/IF(AG158="EC",12,1)*SUM(U158:U158)</f>
        <v>1</v>
      </c>
      <c r="T158" s="242" t="str">
        <f t="shared" si="64"/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65"/>
        <v>https://d0f6bd738d7f1b3e5a7ca70fe4ff75f0.us-east-1.aws.found.io/app/kibana#/discover/Steve-Slow-Train-Analysis-(2080s-and-2083s)?_g=(refreshInterval:(display:Off,pause:!f,section:0,value:0),time:(from:'2017-12-18T23:16:04-0700',mode:absolute,to:'2017-12-19T02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8" s="247" t="str">
        <f>IF(AA158&lt;VLOOKUP(AG158,Variables!$AC$3:$AD$8,2,FALSE),"Y","N")</f>
        <v>N</v>
      </c>
      <c r="X158" s="247">
        <f t="shared" si="79"/>
        <v>0</v>
      </c>
      <c r="Y158" s="247">
        <f t="shared" si="78"/>
        <v>5.3999999999999999E-2</v>
      </c>
      <c r="Z158" s="247">
        <f t="shared" si="77"/>
        <v>23.324200000000001</v>
      </c>
      <c r="AA158" s="247">
        <f t="shared" si="67"/>
        <v>23.270200000000003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8"/>
        <v>243</v>
      </c>
      <c r="AE158" s="235" t="str">
        <f t="shared" si="69"/>
        <v>aws s3 cp s3://rtdc.mdm.uploadarchive.raw/RTDC4044/ "%USERPROFILE%\AppData\Local\Temp\OnboardLogs"\RTDC4044\2017-12-19 --exclude "*" --recursive --include "*20171219*" &amp; "%USERPROFILE%\Documents\GitHub\mrs-test-scripts\Headless Mode &amp; Sideloading\WalkAndUnGZ.bat" "%USERPROFILE%\AppData\Local\Temp\OnboardLogs"\RTDC4044\2017-12-19 &amp; 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</v>
      </c>
      <c r="AF158" s="234" t="str">
        <f t="shared" si="70"/>
        <v>"C:\Program Files (x86)\AstroGrep\AstroGrep.exe" /e /r /s /spath="%USERPROFILE%\AppData\Local\Temp\OnboardLogs" /stypes="app*4044*20171219*" /stext=" 08:.+((SYSTEM_STATE.+slice.+state.+changed )|(ment ac)|(multiple cpu faults)|(system.+state.+changed )|(\[timeout)|(PRM\|1\|D)|(kpr)|(kdp)|(train st.+moving)|(\|lc)|(penalty))"</v>
      </c>
      <c r="AG158" s="244" t="str">
        <f t="shared" si="71"/>
        <v>EC</v>
      </c>
      <c r="AH158" s="236" t="str">
        <f t="shared" si="72"/>
        <v>"%USERPROFILE%\Documents\GitHub\eaglep3\Utilities\RefineRTDCRunTimes.py" --tripid 243-18 --locoid 4044 --swversion DE.1.0.9.0 --startMP 204:540 --initTime 2017-12-19T00:16:04 --startdatetime 2017-12-19T00:30:40 --delay 49 --endMP 204:233242 --enddatetime 2017-12-19T01:05:19 --enforcementcount 0 &gt;&gt;%USERPROFILE%\Documents\GitHub\eaglep3-reporting\EC\2017-12-18-refined-times.txt</v>
      </c>
      <c r="AI158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{"issue":{"subject":"","project_id":79,"tracker_id":40,"status_id":1,"priority_id":2,"assigned_to_id":338,"start_date":"2017-12-19","description":"","custom_fields":[{"id":1,"name":"Subdivision","value":"EC"},{"id":4,"name":"Milepost","value":"23.3242"},{"id":17,"name":"Train ID","value":"243-18"},{"id":16,"name":"Locomotive ID","value":"4044"},{"id":130,"name":"Impact","value":""},{"id":150,"name":"Time of Event (Mountain Time)","value":"01:05:19"},{"id":151,"name":"Denver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74"/>
        <v>start /low /b %USERPROFILE%\Documents\GitHub\eaglep3\Utilities\DownloadLogsFromS3.py --loco 4044 --day 2017-12-19</v>
      </c>
      <c r="AN158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6"/>
        <v>https://d0f6bd738d7f1b3e5a7ca70fe4ff75f0.us-east-1.aws.found.io/app/kibana#/discover/Steve-Slow-Train-Analysis-(2080s-and-2083s)?_g=(refreshInterval:(display:Off,pause:!f,section:0,value:0),time:(from:'2017-12-18T23:16:04-0700',mode:absolute,to:'2017-12-19T02:05:19-0700'))&amp;_a=(columns:!('Message%20ID',Summary),filters:!(),index:'emp_*',interval:auto,query:(query_string:(analyze_wildcard:!t,query:'%22rtdc.l.rtdc.4044%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892</v>
      </c>
      <c r="B159" s="225">
        <v>4043</v>
      </c>
      <c r="C159" s="227" t="s">
        <v>192</v>
      </c>
      <c r="D159" s="227" t="s">
        <v>978</v>
      </c>
      <c r="E159" s="226">
        <v>43088.057557870372</v>
      </c>
      <c r="F159" s="226">
        <v>43088.060648148145</v>
      </c>
      <c r="G159" s="225">
        <v>66</v>
      </c>
      <c r="H159" s="227" t="s">
        <v>936</v>
      </c>
      <c r="I159" s="226">
        <v>43088.086446759262</v>
      </c>
      <c r="J159" s="225">
        <v>0</v>
      </c>
      <c r="K159" s="237" t="str">
        <f t="shared" si="62"/>
        <v>4043/4044</v>
      </c>
      <c r="L159" s="245" t="str">
        <f>VLOOKUP(A159,'Trips&amp;Operators'!$C$1:$G$99911,5,FALSE)</f>
        <v>AUSTIN THOMPSON</v>
      </c>
      <c r="M159" s="224">
        <f t="shared" si="63"/>
        <v>2.5798611117352266E-2</v>
      </c>
      <c r="N159" s="225">
        <f>24*60*SUM($M159:$M159)</f>
        <v>37.150000008987263</v>
      </c>
      <c r="O159" s="225"/>
      <c r="P159" s="225"/>
      <c r="Q159" s="228"/>
      <c r="R159" s="242"/>
      <c r="S159" s="249">
        <f t="shared" si="80"/>
        <v>1</v>
      </c>
      <c r="T159" s="242" t="str">
        <f t="shared" si="64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65"/>
        <v>https://d0f6bd738d7f1b3e5a7ca70fe4ff75f0.us-east-1.aws.found.io/app/kibana#/discover/Steve-Slow-Train-Analysis-(2080s-and-2083s)?_g=(refreshInterval:(display:Off,pause:!f,section:0,value:0),time:(from:'2017-12-19T00:22:53-0700',mode:absolute,to:'2017-12-19T03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247" t="str">
        <f>IF(AA159&lt;VLOOKUP(AG159,Variables!$AC$3:$AD$8,2,FALSE),"Y","N")</f>
        <v>N</v>
      </c>
      <c r="X159" s="247">
        <f t="shared" si="79"/>
        <v>1</v>
      </c>
      <c r="Y159" s="247">
        <f t="shared" si="78"/>
        <v>23.2926</v>
      </c>
      <c r="Z159" s="247">
        <f t="shared" si="77"/>
        <v>2.4299999999999999E-2</v>
      </c>
      <c r="AA159" s="247">
        <f t="shared" si="67"/>
        <v>23.2683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8"/>
        <v>244</v>
      </c>
      <c r="AE159" s="235" t="str">
        <f t="shared" si="69"/>
        <v>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 &amp; 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</v>
      </c>
      <c r="AF159" s="234" t="str">
        <f t="shared" si="70"/>
        <v>"C:\Program Files (x86)\AstroGrep\AstroGrep.exe" /e /r /s /spath="%USERPROFILE%\AppData\Local\Temp\OnboardLogs" /stypes="app*4043*20171219*" /stext=" 09:.+((SYSTEM_STATE.+slice.+state.+changed )|(ment ac)|(multiple cpu faults)|(system.+state.+changed )|(\[timeout)|(PRM\|1\|D)|(kpr)|(kdp)|(train st.+moving)|(\|lc)|(penalty))"</v>
      </c>
      <c r="AG159" s="244" t="str">
        <f t="shared" si="71"/>
        <v>EC</v>
      </c>
      <c r="AH159" s="236" t="str">
        <f t="shared" si="72"/>
        <v>"%USERPROFILE%\Documents\GitHub\eaglep3\Utilities\RefineRTDCRunTimes.py" --tripid 244-18 --locoid 4043 --swversion DE.1.0.9.0 --startMP 204:232926 --initTime 2017-12-19T01:22:53 --startdatetime 2017-12-19T01:27:20 --delay 66 --endMP 204:243 --enddatetime 2017-12-19T02:04:29 --enforcementcount 0 &gt;&gt;%USERPROFILE%\Documents\GitHub\eaglep3-reporting\EC\2017-12-18-refined-times.txt</v>
      </c>
      <c r="AI159" s="238" t="str">
        <f t="shared" si="73"/>
        <v>echo {"issue":{"subject":"","project_id":79,"tracker_id":40,"status_id":1,"priority_id":2,"assigned_to_id":338,"start_date":"2017-12-19","description":"","custom_fields":[{"id":1,"name":"Subdivision","value":"EC"},{"id":4,"name":"Milepost","value":"0.0243"},{"id":17,"name":"Train ID","value":"244-18"},{"id":16,"name":"Locomotive ID","value":"4043"},{"id":130,"name":"Impact","value":""},{"id":150,"name":"Time of Event (Mountain Time)","value":"02:04:29"},{"id":151,"name":"Denver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74"/>
        <v>start /low /b %USERPROFILE%\Documents\GitHub\eaglep3\Utilities\DownloadLogsFromS3.py --loco 4043 --day 2017-12-19</v>
      </c>
      <c r="AN159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09:04:29"},{"id":29,"name":"Sharepoint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6"/>
        <v>https://d0f6bd738d7f1b3e5a7ca70fe4ff75f0.us-east-1.aws.found.io/app/kibana#/discover/Steve-Slow-Train-Analysis-(2080s-and-2083s)?_g=(refreshInterval:(display:Off,pause:!f,section:0,value:0),time:(from:'2017-12-19T00:22:53-0700',mode:absolute,to:'2017-12-19T03:04:29-0700'))&amp;_a=(columns:!('Message%20ID',Summary),filters:!(),index:'emp_*',interval:auto,query:(query_string:(analyze_wildcard:!t,query:'%22rtdc.l.rtdc.4043%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704</v>
      </c>
      <c r="B160" s="225">
        <v>4061</v>
      </c>
      <c r="C160" s="227" t="s">
        <v>192</v>
      </c>
      <c r="D160" s="227" t="s">
        <v>978</v>
      </c>
      <c r="E160" s="226">
        <v>43088.057557870372</v>
      </c>
      <c r="F160" s="226">
        <v>43087.208333333336</v>
      </c>
      <c r="G160" s="226">
        <v>43087.208333333336</v>
      </c>
      <c r="H160" s="226">
        <v>43087.208333333336</v>
      </c>
      <c r="I160" s="226">
        <v>43087.208333333336</v>
      </c>
      <c r="J160" s="225">
        <v>0</v>
      </c>
      <c r="K160" s="237" t="str">
        <f t="shared" si="62"/>
        <v>4061/4062</v>
      </c>
      <c r="L160" s="245" t="str">
        <f>VLOOKUP(A160,'Trips&amp;Operators'!$C$1:$G$99911,5,FALSE)</f>
        <v>MACDONALD THOMAS</v>
      </c>
      <c r="M160" s="224">
        <v>6.9444444444444447E-4</v>
      </c>
      <c r="N160" s="225"/>
      <c r="O160" s="225"/>
      <c r="P160" s="225">
        <f>24*60*SUM($M160:$M160)</f>
        <v>1</v>
      </c>
      <c r="Q160" s="228"/>
      <c r="R160" s="242" t="s">
        <v>1075</v>
      </c>
      <c r="S160" s="249">
        <f t="shared" si="80"/>
        <v>0</v>
      </c>
      <c r="T160" s="242" t="str">
        <f t="shared" si="64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 t="shared" si="65"/>
        <v>https://d0f6bd738d7f1b3e5a7ca70fe4ff75f0.us-east-1.aws.found.io/app/kibana#/discover/Steve-Slow-Train-Analysis-(2080s-and-2083s)?_g=(refreshInterval:(display:Off,pause:!f,section:0,value:0),time:(from:'2017-12-19T00:22:53-0700',mode:absolute,to:'2017-12-18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0" s="247" t="str">
        <f>IF(AA160&lt;VLOOKUP(AG160,Variables!$AC$3:$AD$8,2,FALSE),"Y","N")</f>
        <v>Y</v>
      </c>
      <c r="X160" s="247">
        <f t="shared" si="79"/>
        <v>556</v>
      </c>
      <c r="Y160" s="247">
        <v>0</v>
      </c>
      <c r="Z160" s="247">
        <v>0</v>
      </c>
      <c r="AA160" s="247">
        <f t="shared" si="67"/>
        <v>0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8"/>
        <v>800</v>
      </c>
      <c r="AE160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60" s="234" t="str">
        <f t="shared" si="70"/>
        <v>"C:\Program Files (x86)\AstroGrep\AstroGrep.exe" /e /r /s /spath="%USERPROFILE%\AppData\Local\Temp\OnboardLogs" /stypes="app*4061*20171218*" /stext=" 12:.+((SYSTEM_STATE.+slice.+state.+changed )|(ment ac)|(multiple cpu faults)|(system.+state.+changed )|(\[timeout)|(PRM\|1\|D)|(kpr)|(kdp)|(train st.+moving)|(\|lc)|(penalty))"</v>
      </c>
      <c r="AG160" s="244" t="str">
        <f t="shared" si="71"/>
        <v>NW</v>
      </c>
      <c r="AH160" s="236" t="str">
        <f t="shared" ref="AH160" si="81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800-18 --locoid 4061 --swversion DE.1.0.9.0 --startMP 204:232926 --initTime 2017-12-19T01:22:53 --startdatetime 2017-12-18T05:00:00 --delay 43087.2083333333 --endMP 43087.2083333333 --enddatetime 2017-12-18T05:00:00 --enforcementcount 0 &gt;&gt;%USERPROFILE%\Documents\GitHub\eaglep3-reporting\EC\2017-12-18-refined-times.txt</v>
      </c>
      <c r="AI160" s="238" t="str">
        <f t="shared" ref="AI160" si="82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mismatch","project_id":79,"tracker_id":40,"status_id":1,"priority_id":2,"assigned_to_id":338,"start_date":"2017-12-18","description":"","custom_fields":[{"id":1,"name":"Subdivision","value":"NW"},{"id":4,"name":"Milepost","value":"0"},{"id":17,"name":"Train ID","value":"800-18"},{"id":16,"name":"Locomotive ID","value":"4061"},{"id":130,"name":"Impact","value":""},{"id":150,"name":"Time of Event (Mountain Time)","value":"05:00:00"},{"id":151,"name":"Denver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83">"start /low /b "&amp;dls3logs&amp;" --loco "&amp;B160&amp;" --day "&amp;TEXT(F160,"YYYY-MM-DD")</f>
        <v>start /low /b %USERPROFILE%\Documents\GitHub\eaglep3\Utilities\DownloadLogsFromS3.py --loco 4061 --day 2017-12-18</v>
      </c>
      <c r="AN160" s="241" t="str">
        <f t="shared" ref="AN160" si="84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85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-19T00:22:53-0700',mode:absolute,to:'2017-12-18T06:00:00-0700'))&amp;_a=(columns:!('Message%20ID',Summary),filters:!(),index:'emp_*',interval:auto,query:(query_string:(analyze_wildcard:!t,query:'%22rtdc.l.rtdc.4061%22')),sort:!(Time.ISO8601,asc))</v>
      </c>
    </row>
    <row r="161" spans="1:91" s="223" customFormat="1" x14ac:dyDescent="0.25">
      <c r="A161" s="229" t="s">
        <v>708</v>
      </c>
      <c r="B161" s="225">
        <v>4062</v>
      </c>
      <c r="C161" s="227" t="s">
        <v>192</v>
      </c>
      <c r="D161" s="227" t="s">
        <v>928</v>
      </c>
      <c r="E161" s="226">
        <v>43087.231840277775</v>
      </c>
      <c r="F161" s="226">
        <v>43087.235798611109</v>
      </c>
      <c r="G161" s="225">
        <v>91</v>
      </c>
      <c r="H161" s="227" t="s">
        <v>999</v>
      </c>
      <c r="I161" s="226">
        <v>43087.245682870373</v>
      </c>
      <c r="J161" s="225">
        <v>0</v>
      </c>
      <c r="K161" s="237" t="str">
        <f t="shared" si="62"/>
        <v>4061/4062</v>
      </c>
      <c r="L161" s="245" t="str">
        <f>VLOOKUP(A161,'Trips&amp;Operators'!$C$1:$G$99911,5,FALSE)</f>
        <v>MACDONALD THOMAS</v>
      </c>
      <c r="M161" s="224">
        <f t="shared" ref="M161:M192" si="86">I161-F161</f>
        <v>9.8842592633445747E-3</v>
      </c>
      <c r="N161" s="225">
        <f t="shared" ref="N161:N192" si="87">24*60*SUM($M161:$M161)</f>
        <v>14.233333339216188</v>
      </c>
      <c r="O161" s="225"/>
      <c r="P161" s="225"/>
      <c r="Q161" s="228"/>
      <c r="R161" s="242"/>
      <c r="S161" s="249">
        <f t="shared" si="80"/>
        <v>1</v>
      </c>
      <c r="T161" s="242" t="str">
        <f t="shared" si="64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5"/>
        <v>https://d0f6bd738d7f1b3e5a7ca70fe4ff75f0.us-east-1.aws.found.io/app/kibana#/discover/Steve-Slow-Train-Analysis-(2080s-and-2083s)?_g=(refreshInterval:(display:Off,pause:!f,section:0,value:0),time:(from:'2017-12-18T04:33:51-0700',mode:absolute,to:'2017-12-18T06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1" s="247" t="str">
        <f>IF(AA161&lt;VLOOKUP(AG161,Variables!$AC$3:$AD$8,2,FALSE),"Y","N")</f>
        <v>N</v>
      </c>
      <c r="X161" s="247">
        <f t="shared" si="79"/>
        <v>1</v>
      </c>
      <c r="Y161" s="247">
        <f t="shared" si="78"/>
        <v>4.5999999999999999E-2</v>
      </c>
      <c r="Z161" s="247">
        <f t="shared" si="77"/>
        <v>5.8920000000000003</v>
      </c>
      <c r="AA161" s="247">
        <f t="shared" si="67"/>
        <v>5.8460000000000001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8"/>
        <v>801</v>
      </c>
      <c r="AE161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61" s="234" t="str">
        <f t="shared" si="70"/>
        <v>"C:\Program Files (x86)\AstroGrep\AstroGrep.exe" /e /r /s /spath="%USERPROFILE%\AppData\Local\Temp\OnboardLogs" /stypes="app*4062*20171218*" /stext=" 12:.+((SYSTEM_STATE.+slice.+state.+changed )|(ment ac)|(multiple cpu faults)|(system.+state.+changed )|(\[timeout)|(PRM\|1\|D)|(kpr)|(kdp)|(train st.+moving)|(\|lc)|(penalty))"</v>
      </c>
      <c r="AG161" s="244" t="str">
        <f t="shared" si="71"/>
        <v>NW</v>
      </c>
      <c r="AH161" s="236" t="str">
        <f t="shared" si="72"/>
        <v>"%USERPROFILE%\Documents\GitHub\eaglep3\Utilities\RefineRTDCRunTimes.py" --tripid 801-18 --locoid 4062 --swversion DE.1.0.9.0 --startMP 204:460 --initTime 2017-12-18T05:33:51 --startdatetime 2017-12-18T05:39:33 --delay 91 --endMP 300:58920 --enddatetime 2017-12-18T05:53:47 --enforcementcount 0 &gt;&gt;%USERPROFILE%\Documents\GitHub\eaglep3-reporting\EC\2017-12-18-refined-times.txt</v>
      </c>
      <c r="AI161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{"issue":{"subject":"","project_id":79,"tracker_id":40,"status_id":1,"priority_id":2,"assigned_to_id":338,"start_date":"2017-12-18","description":"","custom_fields":[{"id":1,"name":"Subdivision","value":"NW"},{"id":4,"name":"Milepost","value":"5.892"},{"id":17,"name":"Train ID","value":"801-18"},{"id":16,"name":"Locomotive ID","value":"4062"},{"id":130,"name":"Impact","value":""},{"id":150,"name":"Time of Event (Mountain Time)","value":"05:53:47"},{"id":151,"name":"Denver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74"/>
        <v>start /low /b %USERPROFILE%\Documents\GitHub\eaglep3\Utilities\DownloadLogsFromS3.py --loco 4062 --day 2017-12-18</v>
      </c>
      <c r="AN161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6"/>
        <v>https://d0f6bd738d7f1b3e5a7ca70fe4ff75f0.us-east-1.aws.found.io/app/kibana#/discover/Steve-Slow-Train-Analysis-(2080s-and-2083s)?_g=(refreshInterval:(display:Off,pause:!f,section:0,value:0),time:(from:'2017-12-18T04:33:51-0700',mode:absolute,to:'2017-12-18T06:53:47-0700'))&amp;_a=(columns:!('Message%20ID',Summary),filters:!(),index:'emp_*',interval:auto,query:(query_string:(analyze_wildcard:!t,query:'%22rtdc.l.rtdc.4062%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717</v>
      </c>
      <c r="B162" s="225">
        <v>4061</v>
      </c>
      <c r="C162" s="227" t="s">
        <v>192</v>
      </c>
      <c r="D162" s="227" t="s">
        <v>1000</v>
      </c>
      <c r="E162" s="226">
        <v>43087.246342592596</v>
      </c>
      <c r="F162" s="226">
        <v>43087.258333333331</v>
      </c>
      <c r="G162" s="225">
        <v>97</v>
      </c>
      <c r="H162" s="227" t="s">
        <v>1001</v>
      </c>
      <c r="I162" s="226">
        <v>43087.267962962964</v>
      </c>
      <c r="J162" s="225">
        <v>0</v>
      </c>
      <c r="K162" s="237" t="str">
        <f t="shared" si="62"/>
        <v>4061/4062</v>
      </c>
      <c r="L162" s="245" t="str">
        <f>VLOOKUP(A162,'Trips&amp;Operators'!$C$1:$G$99911,5,FALSE)</f>
        <v>MACDONALD THOMAS</v>
      </c>
      <c r="M162" s="224">
        <f t="shared" si="86"/>
        <v>9.6296296323998831E-3</v>
      </c>
      <c r="N162" s="225">
        <f t="shared" si="87"/>
        <v>13.866666670655832</v>
      </c>
      <c r="O162" s="225"/>
      <c r="P162" s="225"/>
      <c r="Q162" s="228"/>
      <c r="R162" s="242"/>
      <c r="S162" s="249">
        <f t="shared" si="80"/>
        <v>1</v>
      </c>
      <c r="T162" s="242" t="str">
        <f t="shared" si="64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5"/>
        <v>https://d0f6bd738d7f1b3e5a7ca70fe4ff75f0.us-east-1.aws.found.io/app/kibana#/discover/Steve-Slow-Train-Analysis-(2080s-and-2083s)?_g=(refreshInterval:(display:Off,pause:!f,section:0,value:0),time:(from:'2017-12-18T04:54:44-0700',mode:absolute,to:'2017-12-18T07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247" t="str">
        <f>IF(AA162&lt;VLOOKUP(AG162,Variables!$AC$3:$AD$8,2,FALSE),"Y","N")</f>
        <v>N</v>
      </c>
      <c r="X162" s="247">
        <f t="shared" si="79"/>
        <v>1</v>
      </c>
      <c r="Y162" s="247">
        <f t="shared" si="78"/>
        <v>5.8601999999999999</v>
      </c>
      <c r="Z162" s="247">
        <f t="shared" si="77"/>
        <v>1.7100000000000001E-2</v>
      </c>
      <c r="AA162" s="247">
        <f t="shared" si="67"/>
        <v>5.8430999999999997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8"/>
        <v>802</v>
      </c>
      <c r="AE162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62" s="234" t="str">
        <f t="shared" si="70"/>
        <v>"C:\Program Files (x86)\AstroGrep\AstroGrep.exe" /e /r /s /spath="%USERPROFILE%\AppData\Local\Temp\OnboardLogs" /stypes="app*4061*20171218*" /stext=" 13:.+((SYSTEM_STATE.+slice.+state.+changed )|(ment ac)|(multiple cpu faults)|(system.+state.+changed )|(\[timeout)|(PRM\|1\|D)|(kpr)|(kdp)|(train st.+moving)|(\|lc)|(penalty))"</v>
      </c>
      <c r="AG162" s="244" t="str">
        <f t="shared" si="71"/>
        <v>NW</v>
      </c>
      <c r="AH162" s="236" t="str">
        <f t="shared" si="72"/>
        <v>"%USERPROFILE%\Documents\GitHub\eaglep3\Utilities\RefineRTDCRunTimes.py" --tripid 802-18 --locoid 4061 --swversion DE.1.0.9.0 --startMP 300:58602 --initTime 2017-12-18T05:54:44 --startdatetime 2017-12-18T06:12:00 --delay 97 --endMP 204:171 --enddatetime 2017-12-18T06:25:52 --enforcementcount 0 &gt;&gt;%USERPROFILE%\Documents\GitHub\eaglep3-reporting\EC\2017-12-18-refined-times.txt</v>
      </c>
      <c r="AI162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{"issue":{"subject":"","project_id":79,"tracker_id":40,"status_id":1,"priority_id":2,"assigned_to_id":338,"start_date":"2017-12-18","description":"","custom_fields":[{"id":1,"name":"Subdivision","value":"NW"},{"id":4,"name":"Milepost","value":"0.0171"},{"id":17,"name":"Train ID","value":"802-18"},{"id":16,"name":"Locomotive ID","value":"4061"},{"id":130,"name":"Impact","value":""},{"id":150,"name":"Time of Event (Mountain Time)","value":"06:25:52"},{"id":151,"name":"Denver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74"/>
        <v>start /low /b %USERPROFILE%\Documents\GitHub\eaglep3\Utilities\DownloadLogsFromS3.py --loco 4061 --day 2017-12-18</v>
      </c>
      <c r="AN162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6"/>
        <v>https://d0f6bd738d7f1b3e5a7ca70fe4ff75f0.us-east-1.aws.found.io/app/kibana#/discover/Steve-Slow-Train-Analysis-(2080s-and-2083s)?_g=(refreshInterval:(display:Off,pause:!f,section:0,value:0),time:(from:'2017-12-18T04:54:44-0700',mode:absolute,to:'2017-12-18T07:25:52-0700'))&amp;_a=(columns:!('Message%20ID',Summary),filters:!(),index:'emp_*',interval:auto,query:(query_string:(analyze_wildcard:!t,query:'%22rtdc.l.rtdc.4061%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719</v>
      </c>
      <c r="B163" s="225">
        <v>4036</v>
      </c>
      <c r="C163" s="227" t="s">
        <v>192</v>
      </c>
      <c r="D163" s="227" t="s">
        <v>1002</v>
      </c>
      <c r="E163" s="226">
        <v>43087.250914351855</v>
      </c>
      <c r="F163" s="226">
        <v>43087.256412037037</v>
      </c>
      <c r="G163" s="225">
        <v>53</v>
      </c>
      <c r="H163" s="227" t="s">
        <v>1003</v>
      </c>
      <c r="I163" s="226">
        <v>43087.266967592594</v>
      </c>
      <c r="J163" s="225">
        <v>0</v>
      </c>
      <c r="K163" s="237" t="str">
        <f t="shared" si="62"/>
        <v>4035/4036</v>
      </c>
      <c r="L163" s="245" t="str">
        <f>VLOOKUP(A163,'Trips&amp;Operators'!$C$1:$G$99911,5,FALSE)</f>
        <v>YANAI IAN</v>
      </c>
      <c r="M163" s="224">
        <f t="shared" si="86"/>
        <v>1.0555555556493346E-2</v>
      </c>
      <c r="N163" s="225">
        <f t="shared" si="87"/>
        <v>15.200000001350418</v>
      </c>
      <c r="O163" s="225"/>
      <c r="P163" s="225"/>
      <c r="Q163" s="228"/>
      <c r="R163" s="242"/>
      <c r="S163" s="249">
        <f t="shared" si="80"/>
        <v>1</v>
      </c>
      <c r="T163" s="242" t="str">
        <f t="shared" si="64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5"/>
        <v>https://d0f6bd738d7f1b3e5a7ca70fe4ff75f0.us-east-1.aws.found.io/app/kibana#/discover/Steve-Slow-Train-Analysis-(2080s-and-2083s)?_g=(refreshInterval:(display:Off,pause:!f,section:0,value:0),time:(from:'2017-12-18T05:01:19-0700',mode:absolute,to:'2017-12-18T07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3" s="247" t="str">
        <f>IF(AA163&lt;VLOOKUP(AG163,Variables!$AC$3:$AD$8,2,FALSE),"Y","N")</f>
        <v>N</v>
      </c>
      <c r="X163" s="247">
        <f t="shared" si="79"/>
        <v>1</v>
      </c>
      <c r="Y163" s="247">
        <f t="shared" si="78"/>
        <v>4.19E-2</v>
      </c>
      <c r="Z163" s="247">
        <f t="shared" si="77"/>
        <v>5.8935000000000004</v>
      </c>
      <c r="AA163" s="247">
        <f t="shared" si="67"/>
        <v>5.8516000000000004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8"/>
        <v>803</v>
      </c>
      <c r="AE163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63" s="234" t="str">
        <f t="shared" si="70"/>
        <v>"C:\Program Files (x86)\AstroGrep\AstroGrep.exe" /e /r /s /spath="%USERPROFILE%\AppData\Local\Temp\OnboardLogs" /stypes="app*4036*20171218*" /stext=" 13:.+((SYSTEM_STATE.+slice.+state.+changed )|(ment ac)|(multiple cpu faults)|(system.+state.+changed )|(\[timeout)|(PRM\|1\|D)|(kpr)|(kdp)|(train st.+moving)|(\|lc)|(penalty))"</v>
      </c>
      <c r="AG163" s="244" t="str">
        <f t="shared" si="71"/>
        <v>NW</v>
      </c>
      <c r="AH163" s="236" t="str">
        <f t="shared" si="72"/>
        <v>"%USERPROFILE%\Documents\GitHub\eaglep3\Utilities\RefineRTDCRunTimes.py" --tripid 803-18 --locoid 4036 --swversion DE.1.0.9.0 --startMP 204:419 --initTime 2017-12-18T06:01:19 --startdatetime 2017-12-18T06:09:14 --delay 53 --endMP 300:58935 --enddatetime 2017-12-18T06:24:26 --enforcementcount 0 &gt;&gt;%USERPROFILE%\Documents\GitHub\eaglep3-reporting\EC\2017-12-18-refined-times.txt</v>
      </c>
      <c r="AI163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{"issue":{"subject":"","project_id":79,"tracker_id":40,"status_id":1,"priority_id":2,"assigned_to_id":338,"start_date":"2017-12-18","description":"","custom_fields":[{"id":1,"name":"Subdivision","value":"NW"},{"id":4,"name":"Milepost","value":"5.8935"},{"id":17,"name":"Train ID","value":"803-18"},{"id":16,"name":"Locomotive ID","value":"4036"},{"id":130,"name":"Impact","value":""},{"id":150,"name":"Time of Event (Mountain Time)","value":"06:24:26"},{"id":151,"name":"Denver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74"/>
        <v>start /low /b %USERPROFILE%\Documents\GitHub\eaglep3\Utilities\DownloadLogsFromS3.py --loco 4036 --day 2017-12-18</v>
      </c>
      <c r="AN163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6"/>
        <v>https://d0f6bd738d7f1b3e5a7ca70fe4ff75f0.us-east-1.aws.found.io/app/kibana#/discover/Steve-Slow-Train-Analysis-(2080s-and-2083s)?_g=(refreshInterval:(display:Off,pause:!f,section:0,value:0),time:(from:'2017-12-18T05:01:19-0700',mode:absolute,to:'2017-12-18T07:24:26-0700'))&amp;_a=(columns:!('Message%20ID',Summary),filters:!(),index:'emp_*',interval:auto,query:(query_string:(analyze_wildcard:!t,query:'%22rtdc.l.rtdc.4036%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722</v>
      </c>
      <c r="B164" s="225">
        <v>4035</v>
      </c>
      <c r="C164" s="227" t="s">
        <v>192</v>
      </c>
      <c r="D164" s="227" t="s">
        <v>1004</v>
      </c>
      <c r="E164" s="226">
        <v>43087.267731481479</v>
      </c>
      <c r="F164" s="226">
        <v>43087.279166666667</v>
      </c>
      <c r="G164" s="225">
        <v>51</v>
      </c>
      <c r="H164" s="227" t="s">
        <v>1005</v>
      </c>
      <c r="I164" s="226">
        <v>43087.288032407407</v>
      </c>
      <c r="J164" s="225">
        <v>0</v>
      </c>
      <c r="K164" s="237" t="str">
        <f t="shared" si="62"/>
        <v>4035/4036</v>
      </c>
      <c r="L164" s="245" t="str">
        <f>VLOOKUP(A164,'Trips&amp;Operators'!$C$1:$G$99911,5,FALSE)</f>
        <v>YANAI IAN</v>
      </c>
      <c r="M164" s="224">
        <f t="shared" si="86"/>
        <v>8.8657407395658083E-3</v>
      </c>
      <c r="N164" s="225">
        <f t="shared" si="87"/>
        <v>12.766666664974764</v>
      </c>
      <c r="O164" s="225"/>
      <c r="P164" s="225"/>
      <c r="Q164" s="228"/>
      <c r="R164" s="242"/>
      <c r="S164" s="249">
        <f t="shared" si="80"/>
        <v>1</v>
      </c>
      <c r="T164" s="242" t="str">
        <f t="shared" si="64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5"/>
        <v>https://d0f6bd738d7f1b3e5a7ca70fe4ff75f0.us-east-1.aws.found.io/app/kibana#/discover/Steve-Slow-Train-Analysis-(2080s-and-2083s)?_g=(refreshInterval:(display:Off,pause:!f,section:0,value:0),time:(from:'2017-12-18T05:25:32-0700',mode:absolute,to:'2017-12-18T07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4" s="247" t="str">
        <f>IF(AA164&lt;VLOOKUP(AG164,Variables!$AC$3:$AD$8,2,FALSE),"Y","N")</f>
        <v>N</v>
      </c>
      <c r="X164" s="247">
        <f t="shared" si="79"/>
        <v>1</v>
      </c>
      <c r="Y164" s="247">
        <f t="shared" si="78"/>
        <v>5.8615000000000004</v>
      </c>
      <c r="Z164" s="247">
        <f t="shared" si="77"/>
        <v>1.3100000000000001E-2</v>
      </c>
      <c r="AA164" s="247">
        <f t="shared" si="67"/>
        <v>5.8484000000000007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8"/>
        <v>804</v>
      </c>
      <c r="AE164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64" s="234" t="str">
        <f t="shared" si="70"/>
        <v>"C:\Program Files (x86)\AstroGrep\AstroGrep.exe" /e /r /s /spath="%USERPROFILE%\AppData\Local\Temp\OnboardLogs" /stypes="app*4035*20171218*" /stext=" 13:.+((SYSTEM_STATE.+slice.+state.+changed )|(ment ac)|(multiple cpu faults)|(system.+state.+changed )|(\[timeout)|(PRM\|1\|D)|(kpr)|(kdp)|(train st.+moving)|(\|lc)|(penalty))"</v>
      </c>
      <c r="AG164" s="244" t="str">
        <f t="shared" si="71"/>
        <v>NW</v>
      </c>
      <c r="AH164" s="236" t="str">
        <f t="shared" si="72"/>
        <v>"%USERPROFILE%\Documents\GitHub\eaglep3\Utilities\RefineRTDCRunTimes.py" --tripid 804-18 --locoid 4035 --swversion DE.1.0.9.0 --startMP 300:58615 --initTime 2017-12-18T06:25:32 --startdatetime 2017-12-18T06:42:00 --delay 51 --endMP 204:131 --enddatetime 2017-12-18T06:54:46 --enforcementcount 0 &gt;&gt;%USERPROFILE%\Documents\GitHub\eaglep3-reporting\EC\2017-12-18-refined-times.txt</v>
      </c>
      <c r="AI164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{"issue":{"subject":"","project_id":79,"tracker_id":40,"status_id":1,"priority_id":2,"assigned_to_id":338,"start_date":"2017-12-18","description":"","custom_fields":[{"id":1,"name":"Subdivision","value":"NW"},{"id":4,"name":"Milepost","value":"0.0131"},{"id":17,"name":"Train ID","value":"804-18"},{"id":16,"name":"Locomotive ID","value":"4035"},{"id":130,"name":"Impact","value":""},{"id":150,"name":"Time of Event (Mountain Time)","value":"06:54:46"},{"id":151,"name":"Denver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74"/>
        <v>start /low /b %USERPROFILE%\Documents\GitHub\eaglep3\Utilities\DownloadLogsFromS3.py --loco 4035 --day 2017-12-18</v>
      </c>
      <c r="AN164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6"/>
        <v>https://d0f6bd738d7f1b3e5a7ca70fe4ff75f0.us-east-1.aws.found.io/app/kibana#/discover/Steve-Slow-Train-Analysis-(2080s-and-2083s)?_g=(refreshInterval:(display:Off,pause:!f,section:0,value:0),time:(from:'2017-12-18T05:25:32-0700',mode:absolute,to:'2017-12-18T07:54:46-0700'))&amp;_a=(columns:!('Message%20ID',Summary),filters:!(),index:'emp_*',interval:auto,query:(query_string:(analyze_wildcard:!t,query:'%22rtdc.l.rtdc.4035%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25">
      <c r="A165" s="229" t="s">
        <v>723</v>
      </c>
      <c r="B165" s="225">
        <v>4062</v>
      </c>
      <c r="C165" s="227" t="s">
        <v>192</v>
      </c>
      <c r="D165" s="227" t="s">
        <v>1006</v>
      </c>
      <c r="E165" s="226">
        <v>43087.26866898148</v>
      </c>
      <c r="F165" s="226">
        <v>43087.278032407405</v>
      </c>
      <c r="G165" s="225">
        <v>51</v>
      </c>
      <c r="H165" s="227" t="s">
        <v>1007</v>
      </c>
      <c r="I165" s="226">
        <v>43087.288159722222</v>
      </c>
      <c r="J165" s="225">
        <v>0</v>
      </c>
      <c r="K165" s="237" t="str">
        <f t="shared" si="62"/>
        <v>4061/4062</v>
      </c>
      <c r="L165" s="245" t="str">
        <f>VLOOKUP(A165,'Trips&amp;Operators'!$C$1:$G$99911,5,FALSE)</f>
        <v>MACDONALD THOMAS</v>
      </c>
      <c r="M165" s="224">
        <f t="shared" si="86"/>
        <v>1.0127314817509614E-2</v>
      </c>
      <c r="N165" s="225">
        <f t="shared" si="87"/>
        <v>14.583333337213844</v>
      </c>
      <c r="O165" s="225"/>
      <c r="P165" s="225"/>
      <c r="Q165" s="228"/>
      <c r="R165" s="242"/>
      <c r="S165" s="249">
        <f t="shared" si="80"/>
        <v>1</v>
      </c>
      <c r="T165" s="242" t="str">
        <f t="shared" si="64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5"/>
        <v>https://d0f6bd738d7f1b3e5a7ca70fe4ff75f0.us-east-1.aws.found.io/app/kibana#/discover/Steve-Slow-Train-Analysis-(2080s-and-2083s)?_g=(refreshInterval:(display:Off,pause:!f,section:0,value:0),time:(from:'2017-12-18T05:26:53-0700',mode:absolute,to:'2017-12-18T07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247" t="str">
        <f>IF(AA165&lt;VLOOKUP(AG165,Variables!$AC$3:$AD$8,2,FALSE),"Y","N")</f>
        <v>N</v>
      </c>
      <c r="X165" s="247">
        <f t="shared" si="79"/>
        <v>1</v>
      </c>
      <c r="Y165" s="247">
        <f t="shared" si="78"/>
        <v>4.5499999999999999E-2</v>
      </c>
      <c r="Z165" s="247">
        <f t="shared" si="77"/>
        <v>5.8901000000000003</v>
      </c>
      <c r="AA165" s="247">
        <f t="shared" si="67"/>
        <v>5.8446000000000007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8"/>
        <v>805</v>
      </c>
      <c r="AE165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65" s="234" t="str">
        <f t="shared" si="70"/>
        <v>"C:\Program Files (x86)\AstroGrep\AstroGrep.exe" /e /r /s /spath="%USERPROFILE%\AppData\Local\Temp\OnboardLogs" /stypes="app*4062*20171218*" /stext=" 13:.+((SYSTEM_STATE.+slice.+state.+changed )|(ment ac)|(multiple cpu faults)|(system.+state.+changed )|(\[timeout)|(PRM\|1\|D)|(kpr)|(kdp)|(train st.+moving)|(\|lc)|(penalty))"</v>
      </c>
      <c r="AG165" s="244" t="str">
        <f t="shared" si="71"/>
        <v>NW</v>
      </c>
      <c r="AH165" s="236" t="str">
        <f t="shared" si="72"/>
        <v>"%USERPROFILE%\Documents\GitHub\eaglep3\Utilities\RefineRTDCRunTimes.py" --tripid 805-18 --locoid 4062 --swversion DE.1.0.9.0 --startMP 204:455 --initTime 2017-12-18T06:26:53 --startdatetime 2017-12-18T06:40:22 --delay 51 --endMP 300:58901 --enddatetime 2017-12-18T06:54:57 --enforcementcount 0 &gt;&gt;%USERPROFILE%\Documents\GitHub\eaglep3-reporting\EC\2017-12-18-refined-times.txt</v>
      </c>
      <c r="AI165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{"issue":{"subject":"","project_id":79,"tracker_id":40,"status_id":1,"priority_id":2,"assigned_to_id":338,"start_date":"2017-12-18","description":"","custom_fields":[{"id":1,"name":"Subdivision","value":"NW"},{"id":4,"name":"Milepost","value":"5.8901"},{"id":17,"name":"Train ID","value":"805-18"},{"id":16,"name":"Locomotive ID","value":"4062"},{"id":130,"name":"Impact","value":""},{"id":150,"name":"Time of Event (Mountain Time)","value":"06:54:57"},{"id":151,"name":"Denver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74"/>
        <v>start /low /b %USERPROFILE%\Documents\GitHub\eaglep3\Utilities\DownloadLogsFromS3.py --loco 4062 --day 2017-12-18</v>
      </c>
      <c r="AN165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6"/>
        <v>https://d0f6bd738d7f1b3e5a7ca70fe4ff75f0.us-east-1.aws.found.io/app/kibana#/discover/Steve-Slow-Train-Analysis-(2080s-and-2083s)?_g=(refreshInterval:(display:Off,pause:!f,section:0,value:0),time:(from:'2017-12-18T05:26:53-0700',mode:absolute,to:'2017-12-18T07:54:57-0700'))&amp;_a=(columns:!('Message%20ID',Summary),filters:!(),index:'emp_*',interval:auto,query:(query_string:(analyze_wildcard:!t,query:'%22rtdc.l.rtdc.4062%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728</v>
      </c>
      <c r="B166" s="225">
        <v>4061</v>
      </c>
      <c r="C166" s="227" t="s">
        <v>192</v>
      </c>
      <c r="D166" s="227" t="s">
        <v>1008</v>
      </c>
      <c r="E166" s="226">
        <v>43087.288935185185</v>
      </c>
      <c r="F166" s="226">
        <v>43087.3</v>
      </c>
      <c r="G166" s="225">
        <v>49</v>
      </c>
      <c r="H166" s="227" t="s">
        <v>511</v>
      </c>
      <c r="I166" s="226">
        <v>43087.309618055559</v>
      </c>
      <c r="J166" s="225">
        <v>0</v>
      </c>
      <c r="K166" s="237" t="str">
        <f t="shared" si="62"/>
        <v>4061/4062</v>
      </c>
      <c r="L166" s="245" t="str">
        <f>VLOOKUP(A166,'Trips&amp;Operators'!$C$1:$G$99911,5,FALSE)</f>
        <v>MACDONALD THOMAS</v>
      </c>
      <c r="M166" s="224">
        <f t="shared" si="86"/>
        <v>9.6180555556202307E-3</v>
      </c>
      <c r="N166" s="225">
        <f t="shared" si="87"/>
        <v>13.850000000093132</v>
      </c>
      <c r="O166" s="225"/>
      <c r="P166" s="225"/>
      <c r="Q166" s="228"/>
      <c r="R166" s="242"/>
      <c r="S166" s="249">
        <f t="shared" si="80"/>
        <v>1</v>
      </c>
      <c r="T166" s="242" t="str">
        <f t="shared" si="64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5"/>
        <v>https://d0f6bd738d7f1b3e5a7ca70fe4ff75f0.us-east-1.aws.found.io/app/kibana#/discover/Steve-Slow-Train-Analysis-(2080s-and-2083s)?_g=(refreshInterval:(display:Off,pause:!f,section:0,value:0),time:(from:'2017-12-18T05:56:04-0700',mode:absolute,to:'2017-12-18T08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247" t="str">
        <f>IF(AA166&lt;VLOOKUP(AG166,Variables!$AC$3:$AD$8,2,FALSE),"Y","N")</f>
        <v>N</v>
      </c>
      <c r="X166" s="247">
        <f t="shared" si="79"/>
        <v>1</v>
      </c>
      <c r="Y166" s="247">
        <f t="shared" si="78"/>
        <v>5.8585000000000003</v>
      </c>
      <c r="Z166" s="247">
        <f t="shared" si="77"/>
        <v>1.89E-2</v>
      </c>
      <c r="AA166" s="247">
        <f t="shared" si="67"/>
        <v>5.8395999999999999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8"/>
        <v>806</v>
      </c>
      <c r="AE166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66" s="234" t="str">
        <f t="shared" si="70"/>
        <v>"C:\Program Files (x86)\AstroGrep\AstroGrep.exe" /e /r /s /spath="%USERPROFILE%\AppData\Local\Temp\OnboardLogs" /stypes="app*4061*20171218*" /stext=" 14:.+((SYSTEM_STATE.+slice.+state.+changed )|(ment ac)|(multiple cpu faults)|(system.+state.+changed )|(\[timeout)|(PRM\|1\|D)|(kpr)|(kdp)|(train st.+moving)|(\|lc)|(penalty))"</v>
      </c>
      <c r="AG166" s="244" t="str">
        <f t="shared" si="71"/>
        <v>NW</v>
      </c>
      <c r="AH166" s="236" t="str">
        <f t="shared" si="72"/>
        <v>"%USERPROFILE%\Documents\GitHub\eaglep3\Utilities\RefineRTDCRunTimes.py" --tripid 806-18 --locoid 4061 --swversion DE.1.0.9.0 --startMP 300:58585 --initTime 2017-12-18T06:56:04 --startdatetime 2017-12-18T07:12:00 --delay 49 --endMP 204:189 --enddatetime 2017-12-18T07:25:51 --enforcementcount 0 &gt;&gt;%USERPROFILE%\Documents\GitHub\eaglep3-reporting\EC\2017-12-18-refined-times.txt</v>
      </c>
      <c r="AI166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{"issue":{"subject":"","project_id":79,"tracker_id":40,"status_id":1,"priority_id":2,"assigned_to_id":338,"start_date":"2017-12-18","description":"","custom_fields":[{"id":1,"name":"Subdivision","value":"NW"},{"id":4,"name":"Milepost","value":"0.0189"},{"id":17,"name":"Train ID","value":"806-18"},{"id":16,"name":"Locomotive ID","value":"4061"},{"id":130,"name":"Impact","value":""},{"id":150,"name":"Time of Event (Mountain Time)","value":"07:25:51"},{"id":151,"name":"Denver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74"/>
        <v>start /low /b %USERPROFILE%\Documents\GitHub\eaglep3\Utilities\DownloadLogsFromS3.py --loco 4061 --day 2017-12-18</v>
      </c>
      <c r="AN166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6"/>
        <v>https://d0f6bd738d7f1b3e5a7ca70fe4ff75f0.us-east-1.aws.found.io/app/kibana#/discover/Steve-Slow-Train-Analysis-(2080s-and-2083s)?_g=(refreshInterval:(display:Off,pause:!f,section:0,value:0),time:(from:'2017-12-18T05:56:04-0700',mode:absolute,to:'2017-12-18T08:25:51-0700'))&amp;_a=(columns:!('Message%20ID',Summary),filters:!(),index:'emp_*',interval:auto,query:(query_string:(analyze_wildcard:!t,query:'%22rtdc.l.rtdc.4061%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729</v>
      </c>
      <c r="B167" s="225">
        <v>4036</v>
      </c>
      <c r="C167" s="227" t="s">
        <v>192</v>
      </c>
      <c r="D167" s="227" t="s">
        <v>624</v>
      </c>
      <c r="E167" s="226">
        <v>43087.289421296293</v>
      </c>
      <c r="F167" s="226">
        <v>43087.298090277778</v>
      </c>
      <c r="G167" s="225">
        <v>58</v>
      </c>
      <c r="H167" s="227" t="s">
        <v>1009</v>
      </c>
      <c r="I167" s="226">
        <v>43087.307685185187</v>
      </c>
      <c r="J167" s="225">
        <v>0</v>
      </c>
      <c r="K167" s="237" t="str">
        <f t="shared" si="62"/>
        <v>4035/4036</v>
      </c>
      <c r="L167" s="245" t="str">
        <f>VLOOKUP(A167,'Trips&amp;Operators'!$C$1:$G$99911,5,FALSE)</f>
        <v>YANAI IAN</v>
      </c>
      <c r="M167" s="224">
        <f t="shared" si="86"/>
        <v>9.5949074093368836E-3</v>
      </c>
      <c r="N167" s="225">
        <f t="shared" si="87"/>
        <v>13.816666669445112</v>
      </c>
      <c r="O167" s="225"/>
      <c r="P167" s="225"/>
      <c r="Q167" s="228"/>
      <c r="R167" s="242"/>
      <c r="S167" s="249">
        <f t="shared" si="80"/>
        <v>1</v>
      </c>
      <c r="T167" s="242" t="str">
        <f t="shared" si="64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5"/>
        <v>https://d0f6bd738d7f1b3e5a7ca70fe4ff75f0.us-east-1.aws.found.io/app/kibana#/discover/Steve-Slow-Train-Analysis-(2080s-and-2083s)?_g=(refreshInterval:(display:Off,pause:!f,section:0,value:0),time:(from:'2017-12-18T05:56:46-0700',mode:absolute,to:'2017-12-18T08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7" s="247" t="str">
        <f>IF(AA167&lt;VLOOKUP(AG167,Variables!$AC$3:$AD$8,2,FALSE),"Y","N")</f>
        <v>N</v>
      </c>
      <c r="X167" s="247">
        <f t="shared" ref="X167:X206" si="88">VALUE(LEFT(AD167,4))-VALUE(LEFT(AD166,4))</f>
        <v>1</v>
      </c>
      <c r="Y167" s="247">
        <f t="shared" si="78"/>
        <v>4.41E-2</v>
      </c>
      <c r="Z167" s="247">
        <f t="shared" si="77"/>
        <v>5.8921999999999999</v>
      </c>
      <c r="AA167" s="247">
        <f t="shared" si="67"/>
        <v>5.8480999999999996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8"/>
        <v>807</v>
      </c>
      <c r="AE167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67" s="234" t="str">
        <f t="shared" si="70"/>
        <v>"C:\Program Files (x86)\AstroGrep\AstroGrep.exe" /e /r /s /spath="%USERPROFILE%\AppData\Local\Temp\OnboardLogs" /stypes="app*4036*20171218*" /stext=" 14:.+((SYSTEM_STATE.+slice.+state.+changed )|(ment ac)|(multiple cpu faults)|(system.+state.+changed )|(\[timeout)|(PRM\|1\|D)|(kpr)|(kdp)|(train st.+moving)|(\|lc)|(penalty))"</v>
      </c>
      <c r="AG167" s="244" t="str">
        <f t="shared" si="71"/>
        <v>NW</v>
      </c>
      <c r="AH167" s="236" t="str">
        <f t="shared" si="72"/>
        <v>"%USERPROFILE%\Documents\GitHub\eaglep3\Utilities\RefineRTDCRunTimes.py" --tripid 807-18 --locoid 4036 --swversion DE.1.0.9.0 --startMP 204:441 --initTime 2017-12-18T06:56:46 --startdatetime 2017-12-18T07:09:15 --delay 58 --endMP 300:58922 --enddatetime 2017-12-18T07:23:04 --enforcementcount 0 &gt;&gt;%USERPROFILE%\Documents\GitHub\eaglep3-reporting\EC\2017-12-18-refined-times.txt</v>
      </c>
      <c r="AI167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{"issue":{"subject":"","project_id":79,"tracker_id":40,"status_id":1,"priority_id":2,"assigned_to_id":338,"start_date":"2017-12-18","description":"","custom_fields":[{"id":1,"name":"Subdivision","value":"NW"},{"id":4,"name":"Milepost","value":"5.8922"},{"id":17,"name":"Train ID","value":"807-18"},{"id":16,"name":"Locomotive ID","value":"4036"},{"id":130,"name":"Impact","value":""},{"id":150,"name":"Time of Event (Mountain Time)","value":"07:23:04"},{"id":151,"name":"Denver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74"/>
        <v>start /low /b %USERPROFILE%\Documents\GitHub\eaglep3\Utilities\DownloadLogsFromS3.py --loco 4036 --day 2017-12-18</v>
      </c>
      <c r="AN167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6"/>
        <v>https://d0f6bd738d7f1b3e5a7ca70fe4ff75f0.us-east-1.aws.found.io/app/kibana#/discover/Steve-Slow-Train-Analysis-(2080s-and-2083s)?_g=(refreshInterval:(display:Off,pause:!f,section:0,value:0),time:(from:'2017-12-18T05:56:46-0700',mode:absolute,to:'2017-12-18T08:23:04-0700'))&amp;_a=(columns:!('Message%20ID',Summary),filters:!(),index:'emp_*',interval:auto,query:(query_string:(analyze_wildcard:!t,query:'%22rtdc.l.rtdc.4036%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732</v>
      </c>
      <c r="B168" s="225">
        <v>4035</v>
      </c>
      <c r="C168" s="227" t="s">
        <v>192</v>
      </c>
      <c r="D168" s="227" t="s">
        <v>1010</v>
      </c>
      <c r="E168" s="226">
        <v>43087.308749999997</v>
      </c>
      <c r="F168" s="226">
        <v>43087.320833333331</v>
      </c>
      <c r="G168" s="225">
        <v>54</v>
      </c>
      <c r="H168" s="227" t="s">
        <v>1011</v>
      </c>
      <c r="I168" s="226">
        <v>43087.329768518517</v>
      </c>
      <c r="J168" s="225">
        <v>0</v>
      </c>
      <c r="K168" s="237" t="str">
        <f t="shared" si="62"/>
        <v>4035/4036</v>
      </c>
      <c r="L168" s="245" t="str">
        <f>VLOOKUP(A168,'Trips&amp;Operators'!$C$1:$G$99911,5,FALSE)</f>
        <v>YANAI IAN</v>
      </c>
      <c r="M168" s="224">
        <f t="shared" si="86"/>
        <v>8.9351851856918074E-3</v>
      </c>
      <c r="N168" s="225">
        <f t="shared" si="87"/>
        <v>12.866666667396203</v>
      </c>
      <c r="O168" s="225"/>
      <c r="P168" s="225"/>
      <c r="Q168" s="228"/>
      <c r="R168" s="242"/>
      <c r="S168" s="249">
        <f t="shared" si="80"/>
        <v>1</v>
      </c>
      <c r="T168" s="242" t="str">
        <f t="shared" si="64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5"/>
        <v>https://d0f6bd738d7f1b3e5a7ca70fe4ff75f0.us-east-1.aws.found.io/app/kibana#/discover/Steve-Slow-Train-Analysis-(2080s-and-2083s)?_g=(refreshInterval:(display:Off,pause:!f,section:0,value:0),time:(from:'2017-12-18T06:24:36-0700',mode:absolute,to:'2017-12-18T08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8" s="247" t="str">
        <f>IF(AA168&lt;VLOOKUP(AG168,Variables!$AC$3:$AD$8,2,FALSE),"Y","N")</f>
        <v>N</v>
      </c>
      <c r="X168" s="247">
        <f t="shared" si="88"/>
        <v>1</v>
      </c>
      <c r="Y168" s="247">
        <f t="shared" si="78"/>
        <v>5.8613</v>
      </c>
      <c r="Z168" s="247">
        <f t="shared" si="77"/>
        <v>1.35E-2</v>
      </c>
      <c r="AA168" s="247">
        <f t="shared" si="67"/>
        <v>5.8478000000000003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8"/>
        <v>808</v>
      </c>
      <c r="AE168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68" s="234" t="str">
        <f t="shared" si="70"/>
        <v>"C:\Program Files (x86)\AstroGrep\AstroGrep.exe" /e /r /s /spath="%USERPROFILE%\AppData\Local\Temp\OnboardLogs" /stypes="app*4035*20171218*" /stext=" 14:.+((SYSTEM_STATE.+slice.+state.+changed )|(ment ac)|(multiple cpu faults)|(system.+state.+changed )|(\[timeout)|(PRM\|1\|D)|(kpr)|(kdp)|(train st.+moving)|(\|lc)|(penalty))"</v>
      </c>
      <c r="AG168" s="244" t="str">
        <f t="shared" si="71"/>
        <v>NW</v>
      </c>
      <c r="AH168" s="236" t="str">
        <f t="shared" si="72"/>
        <v>"%USERPROFILE%\Documents\GitHub\eaglep3\Utilities\RefineRTDCRunTimes.py" --tripid 808-18 --locoid 4035 --swversion DE.1.0.9.0 --startMP 300:58613 --initTime 2017-12-18T07:24:36 --startdatetime 2017-12-18T07:42:00 --delay 54 --endMP 204:135 --enddatetime 2017-12-18T07:54:52 --enforcementcount 0 &gt;&gt;%USERPROFILE%\Documents\GitHub\eaglep3-reporting\EC\2017-12-18-refined-times.txt</v>
      </c>
      <c r="AI168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{"issue":{"subject":"","project_id":79,"tracker_id":40,"status_id":1,"priority_id":2,"assigned_to_id":338,"start_date":"2017-12-18","description":"","custom_fields":[{"id":1,"name":"Subdivision","value":"NW"},{"id":4,"name":"Milepost","value":"0.0135"},{"id":17,"name":"Train ID","value":"808-18"},{"id":16,"name":"Locomotive ID","value":"4035"},{"id":130,"name":"Impact","value":""},{"id":150,"name":"Time of Event (Mountain Time)","value":"07:54:52"},{"id":151,"name":"Denver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4"/>
        <v>start /low /b %USERPROFILE%\Documents\GitHub\eaglep3\Utilities\DownloadLogsFromS3.py --loco 4035 --day 2017-12-18</v>
      </c>
      <c r="AN168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6"/>
        <v>https://d0f6bd738d7f1b3e5a7ca70fe4ff75f0.us-east-1.aws.found.io/app/kibana#/discover/Steve-Slow-Train-Analysis-(2080s-and-2083s)?_g=(refreshInterval:(display:Off,pause:!f,section:0,value:0),time:(from:'2017-12-18T06:24:36-0700',mode:absolute,to:'2017-12-18T08:54:52-0700'))&amp;_a=(columns:!('Message%20ID',Summary),filters:!(),index:'emp_*',interval:auto,query:(query_string:(analyze_wildcard:!t,query:'%22rtdc.l.rtdc.4035%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9" t="s">
        <v>733</v>
      </c>
      <c r="B169" s="225">
        <v>4062</v>
      </c>
      <c r="C169" s="227" t="s">
        <v>192</v>
      </c>
      <c r="D169" s="227" t="s">
        <v>606</v>
      </c>
      <c r="E169" s="226">
        <v>43087.310428240744</v>
      </c>
      <c r="F169" s="226">
        <v>43087.31927083333</v>
      </c>
      <c r="G169" s="225">
        <v>329</v>
      </c>
      <c r="H169" s="227" t="s">
        <v>1012</v>
      </c>
      <c r="I169" s="226">
        <v>43087.329872685186</v>
      </c>
      <c r="J169" s="225">
        <v>0</v>
      </c>
      <c r="K169" s="237" t="str">
        <f t="shared" si="62"/>
        <v>4061/4062</v>
      </c>
      <c r="L169" s="245" t="str">
        <f>VLOOKUP(A169,'Trips&amp;Operators'!$C$1:$G$99911,5,FALSE)</f>
        <v>MACDONALD THOMAS</v>
      </c>
      <c r="M169" s="224">
        <f t="shared" si="86"/>
        <v>1.0601851856335998E-2</v>
      </c>
      <c r="N169" s="225">
        <f t="shared" si="87"/>
        <v>15.266666673123837</v>
      </c>
      <c r="O169" s="225"/>
      <c r="P169" s="225"/>
      <c r="Q169" s="228"/>
      <c r="R169" s="242"/>
      <c r="S169" s="249">
        <f t="shared" si="80"/>
        <v>1</v>
      </c>
      <c r="T169" s="242" t="str">
        <f t="shared" si="64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5"/>
        <v>https://d0f6bd738d7f1b3e5a7ca70fe4ff75f0.us-east-1.aws.found.io/app/kibana#/discover/Steve-Slow-Train-Analysis-(2080s-and-2083s)?_g=(refreshInterval:(display:Off,pause:!f,section:0,value:0),time:(from:'2017-12-18T06:27:01-0700',mode:absolute,to:'2017-12-18T08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247" t="str">
        <f>IF(AA169&lt;VLOOKUP(AG169,Variables!$AC$3:$AD$8,2,FALSE),"Y","N")</f>
        <v>N</v>
      </c>
      <c r="X169" s="247">
        <f t="shared" si="88"/>
        <v>1</v>
      </c>
      <c r="Y169" s="247">
        <f t="shared" si="78"/>
        <v>5.2200000000000003E-2</v>
      </c>
      <c r="Z169" s="247">
        <f t="shared" si="77"/>
        <v>5.8905000000000003</v>
      </c>
      <c r="AA169" s="247">
        <f t="shared" si="67"/>
        <v>5.8383000000000003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8"/>
        <v>809</v>
      </c>
      <c r="AE169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69" s="234" t="str">
        <f t="shared" si="70"/>
        <v>"C:\Program Files (x86)\AstroGrep\AstroGrep.exe" /e /r /s /spath="%USERPROFILE%\AppData\Local\Temp\OnboardLogs" /stypes="app*4062*20171218*" /stext=" 14:.+((SYSTEM_STATE.+slice.+state.+changed )|(ment ac)|(multiple cpu faults)|(system.+state.+changed )|(\[timeout)|(PRM\|1\|D)|(kpr)|(kdp)|(train st.+moving)|(\|lc)|(penalty))"</v>
      </c>
      <c r="AG169" s="244" t="str">
        <f t="shared" si="71"/>
        <v>NW</v>
      </c>
      <c r="AH169" s="236" t="str">
        <f t="shared" si="72"/>
        <v>"%USERPROFILE%\Documents\GitHub\eaglep3\Utilities\RefineRTDCRunTimes.py" --tripid 809-18 --locoid 4062 --swversion DE.1.0.9.0 --startMP 204:522 --initTime 2017-12-18T07:27:01 --startdatetime 2017-12-18T07:39:45 --delay 329 --endMP 300:58905 --enddatetime 2017-12-18T07:55:01 --enforcementcount 0 &gt;&gt;%USERPROFILE%\Documents\GitHub\eaglep3-reporting\EC\2017-12-18-refined-times.txt</v>
      </c>
      <c r="AI169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{"issue":{"subject":"","project_id":79,"tracker_id":40,"status_id":1,"priority_id":2,"assigned_to_id":338,"start_date":"2017-12-18","description":"","custom_fields":[{"id":1,"name":"Subdivision","value":"NW"},{"id":4,"name":"Milepost","value":"5.8905"},{"id":17,"name":"Train ID","value":"809-18"},{"id":16,"name":"Locomotive ID","value":"4062"},{"id":130,"name":"Impact","value":""},{"id":150,"name":"Time of Event (Mountain Time)","value":"07:55:01"},{"id":151,"name":"Denver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74"/>
        <v>start /low /b %USERPROFILE%\Documents\GitHub\eaglep3\Utilities\DownloadLogsFromS3.py --loco 4062 --day 2017-12-18</v>
      </c>
      <c r="AN169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6"/>
        <v>https://d0f6bd738d7f1b3e5a7ca70fe4ff75f0.us-east-1.aws.found.io/app/kibana#/discover/Steve-Slow-Train-Analysis-(2080s-and-2083s)?_g=(refreshInterval:(display:Off,pause:!f,section:0,value:0),time:(from:'2017-12-18T06:27:01-0700',mode:absolute,to:'2017-12-18T08:55:01-0700'))&amp;_a=(columns:!('Message%20ID',Summary),filters:!(),index:'emp_*',interval:auto,query:(query_string:(analyze_wildcard:!t,query:'%22rtdc.l.rtdc.4062%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736</v>
      </c>
      <c r="B170" s="225">
        <v>4061</v>
      </c>
      <c r="C170" s="227" t="s">
        <v>192</v>
      </c>
      <c r="D170" s="227" t="s">
        <v>1000</v>
      </c>
      <c r="E170" s="226">
        <v>43087.33079861111</v>
      </c>
      <c r="F170" s="226">
        <v>43087.341666666667</v>
      </c>
      <c r="G170" s="225">
        <v>54</v>
      </c>
      <c r="H170" s="227" t="s">
        <v>1016</v>
      </c>
      <c r="I170" s="226">
        <v>43087.351759259262</v>
      </c>
      <c r="J170" s="225">
        <v>0</v>
      </c>
      <c r="K170" s="237" t="str">
        <f t="shared" si="62"/>
        <v>4061/4062</v>
      </c>
      <c r="L170" s="245" t="str">
        <f>VLOOKUP(A170,'Trips&amp;Operators'!$C$1:$G$99911,5,FALSE)</f>
        <v>MACDONALD THOMAS</v>
      </c>
      <c r="M170" s="224">
        <f t="shared" si="86"/>
        <v>1.0092592594446614E-2</v>
      </c>
      <c r="N170" s="225">
        <f t="shared" si="87"/>
        <v>14.533333336003125</v>
      </c>
      <c r="O170" s="225"/>
      <c r="P170" s="225"/>
      <c r="Q170" s="228"/>
      <c r="R170" s="242"/>
      <c r="S170" s="249">
        <f t="shared" si="80"/>
        <v>1</v>
      </c>
      <c r="T170" s="242" t="str">
        <f t="shared" si="64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5"/>
        <v>https://d0f6bd738d7f1b3e5a7ca70fe4ff75f0.us-east-1.aws.found.io/app/kibana#/discover/Steve-Slow-Train-Analysis-(2080s-and-2083s)?_g=(refreshInterval:(display:Off,pause:!f,section:0,value:0),time:(from:'2017-12-18T06:56:21-0700',mode:absolute,to:'2017-12-18T09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247" t="str">
        <f>IF(AA170&lt;VLOOKUP(AG170,Variables!$AC$3:$AD$8,2,FALSE),"Y","N")</f>
        <v>N</v>
      </c>
      <c r="X170" s="247">
        <f t="shared" si="88"/>
        <v>1</v>
      </c>
      <c r="Y170" s="247">
        <f t="shared" si="78"/>
        <v>5.8601999999999999</v>
      </c>
      <c r="Z170" s="247">
        <f t="shared" si="77"/>
        <v>1.5299999999999999E-2</v>
      </c>
      <c r="AA170" s="247">
        <f t="shared" si="67"/>
        <v>5.8449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8"/>
        <v>810</v>
      </c>
      <c r="AE170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70" s="234" t="str">
        <f t="shared" si="70"/>
        <v>"C:\Program Files (x86)\AstroGrep\AstroGrep.exe" /e /r /s /spath="%USERPROFILE%\AppData\Local\Temp\OnboardLogs" /stypes="app*4061*20171218*" /stext=" 15:.+((SYSTEM_STATE.+slice.+state.+changed )|(ment ac)|(multiple cpu faults)|(system.+state.+changed )|(\[timeout)|(PRM\|1\|D)|(kpr)|(kdp)|(train st.+moving)|(\|lc)|(penalty))"</v>
      </c>
      <c r="AG170" s="244" t="str">
        <f t="shared" si="71"/>
        <v>NW</v>
      </c>
      <c r="AH170" s="236" t="str">
        <f t="shared" si="72"/>
        <v>"%USERPROFILE%\Documents\GitHub\eaglep3\Utilities\RefineRTDCRunTimes.py" --tripid 810-18 --locoid 4061 --swversion DE.1.0.9.0 --startMP 300:58602 --initTime 2017-12-18T07:56:21 --startdatetime 2017-12-18T08:12:00 --delay 54 --endMP 204:153 --enddatetime 2017-12-18T08:26:32 --enforcementcount 0 &gt;&gt;%USERPROFILE%\Documents\GitHub\eaglep3-reporting\EC\2017-12-18-refined-times.txt</v>
      </c>
      <c r="AI170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{"issue":{"subject":"","project_id":79,"tracker_id":40,"status_id":1,"priority_id":2,"assigned_to_id":338,"start_date":"2017-12-18","description":"","custom_fields":[{"id":1,"name":"Subdivision","value":"NW"},{"id":4,"name":"Milepost","value":"0.0153"},{"id":17,"name":"Train ID","value":"810-18"},{"id":16,"name":"Locomotive ID","value":"4061"},{"id":130,"name":"Impact","value":""},{"id":150,"name":"Time of Event (Mountain Time)","value":"08:26:32"},{"id":151,"name":"Denver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74"/>
        <v>start /low /b %USERPROFILE%\Documents\GitHub\eaglep3\Utilities\DownloadLogsFromS3.py --loco 4061 --day 2017-12-18</v>
      </c>
      <c r="AN170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6"/>
        <v>https://d0f6bd738d7f1b3e5a7ca70fe4ff75f0.us-east-1.aws.found.io/app/kibana#/discover/Steve-Slow-Train-Analysis-(2080s-and-2083s)?_g=(refreshInterval:(display:Off,pause:!f,section:0,value:0),time:(from:'2017-12-18T06:56:21-0700',mode:absolute,to:'2017-12-18T09:26:32-0700'))&amp;_a=(columns:!('Message%20ID',Summary),filters:!(),index:'emp_*',interval:auto,query:(query_string:(analyze_wildcard:!t,query:'%22rtdc.l.rtdc.4061%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670</v>
      </c>
      <c r="B171" s="225">
        <v>4036</v>
      </c>
      <c r="C171" s="227" t="s">
        <v>192</v>
      </c>
      <c r="D171" s="227" t="s">
        <v>1017</v>
      </c>
      <c r="E171" s="226">
        <v>43087.332465277781</v>
      </c>
      <c r="F171" s="226">
        <v>43087.339745370373</v>
      </c>
      <c r="G171" s="225">
        <v>44</v>
      </c>
      <c r="H171" s="227" t="s">
        <v>1018</v>
      </c>
      <c r="I171" s="226">
        <v>43087.349942129629</v>
      </c>
      <c r="J171" s="225">
        <v>0</v>
      </c>
      <c r="K171" s="237" t="str">
        <f t="shared" si="62"/>
        <v>4035/4036</v>
      </c>
      <c r="L171" s="245" t="str">
        <f>VLOOKUP(A171,'Trips&amp;Operators'!$C$1:$G$99911,5,FALSE)</f>
        <v>YANAI IAN</v>
      </c>
      <c r="M171" s="224">
        <f t="shared" si="86"/>
        <v>1.0196759256359655E-2</v>
      </c>
      <c r="N171" s="225">
        <f t="shared" si="87"/>
        <v>14.683333329157904</v>
      </c>
      <c r="O171" s="225"/>
      <c r="P171" s="225"/>
      <c r="Q171" s="228"/>
      <c r="R171" s="242"/>
      <c r="S171" s="249">
        <f t="shared" si="80"/>
        <v>1</v>
      </c>
      <c r="T171" s="242" t="str">
        <f t="shared" si="64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5"/>
        <v>https://d0f6bd738d7f1b3e5a7ca70fe4ff75f0.us-east-1.aws.found.io/app/kibana#/discover/Steve-Slow-Train-Analysis-(2080s-and-2083s)?_g=(refreshInterval:(display:Off,pause:!f,section:0,value:0),time:(from:'2017-12-18T06:58:45-0700',mode:absolute,to:'2017-12-18T09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1" s="247" t="str">
        <f>IF(AA171&lt;VLOOKUP(AG171,Variables!$AC$3:$AD$8,2,FALSE),"Y","N")</f>
        <v>N</v>
      </c>
      <c r="X171" s="247">
        <f t="shared" si="88"/>
        <v>1</v>
      </c>
      <c r="Y171" s="247">
        <f t="shared" si="78"/>
        <v>4.2299999999999997E-2</v>
      </c>
      <c r="Z171" s="247">
        <f t="shared" si="77"/>
        <v>5.8925999999999998</v>
      </c>
      <c r="AA171" s="247">
        <f t="shared" si="67"/>
        <v>5.8502999999999998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8"/>
        <v>811</v>
      </c>
      <c r="AE171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71" s="234" t="str">
        <f t="shared" si="70"/>
        <v>"C:\Program Files (x86)\AstroGrep\AstroGrep.exe" /e /r /s /spath="%USERPROFILE%\AppData\Local\Temp\OnboardLogs" /stypes="app*4036*20171218*" /stext=" 15:.+((SYSTEM_STATE.+slice.+state.+changed )|(ment ac)|(multiple cpu faults)|(system.+state.+changed )|(\[timeout)|(PRM\|1\|D)|(kpr)|(kdp)|(train st.+moving)|(\|lc)|(penalty))"</v>
      </c>
      <c r="AG171" s="244" t="str">
        <f t="shared" si="71"/>
        <v>NW</v>
      </c>
      <c r="AH171" s="236" t="str">
        <f t="shared" si="72"/>
        <v>"%USERPROFILE%\Documents\GitHub\eaglep3\Utilities\RefineRTDCRunTimes.py" --tripid 811-18 --locoid 4036 --swversion DE.1.0.9.0 --startMP 204:423 --initTime 2017-12-18T07:58:45 --startdatetime 2017-12-18T08:09:14 --delay 44 --endMP 300:58926 --enddatetime 2017-12-18T08:23:55 --enforcementcount 0 &gt;&gt;%USERPROFILE%\Documents\GitHub\eaglep3-reporting\EC\2017-12-18-refined-times.txt</v>
      </c>
      <c r="AI171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{"issue":{"subject":"","project_id":79,"tracker_id":40,"status_id":1,"priority_id":2,"assigned_to_id":338,"start_date":"2017-12-18","description":"","custom_fields":[{"id":1,"name":"Subdivision","value":"NW"},{"id":4,"name":"Milepost","value":"5.8926"},{"id":17,"name":"Train ID","value":"811-18"},{"id":16,"name":"Locomotive ID","value":"4036"},{"id":130,"name":"Impact","value":""},{"id":150,"name":"Time of Event (Mountain Time)","value":"08:23:55"},{"id":151,"name":"Denver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74"/>
        <v>start /low /b %USERPROFILE%\Documents\GitHub\eaglep3\Utilities\DownloadLogsFromS3.py --loco 4036 --day 2017-12-18</v>
      </c>
      <c r="AN171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6"/>
        <v>https://d0f6bd738d7f1b3e5a7ca70fe4ff75f0.us-east-1.aws.found.io/app/kibana#/discover/Steve-Slow-Train-Analysis-(2080s-and-2083s)?_g=(refreshInterval:(display:Off,pause:!f,section:0,value:0),time:(from:'2017-12-18T06:58:45-0700',mode:absolute,to:'2017-12-18T09:23:55-0700'))&amp;_a=(columns:!('Message%20ID',Summary),filters:!(),index:'emp_*',interval:auto,query:(query_string:(analyze_wildcard:!t,query:'%22rtdc.l.rtdc.4036%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672</v>
      </c>
      <c r="B172" s="225">
        <v>4035</v>
      </c>
      <c r="C172" s="227" t="s">
        <v>192</v>
      </c>
      <c r="D172" s="227" t="s">
        <v>1004</v>
      </c>
      <c r="E172" s="226">
        <v>43087.351284722223</v>
      </c>
      <c r="F172" s="226">
        <v>43087.362500000003</v>
      </c>
      <c r="G172" s="225">
        <v>76</v>
      </c>
      <c r="H172" s="227" t="s">
        <v>1019</v>
      </c>
      <c r="I172" s="226">
        <v>43087.370046296295</v>
      </c>
      <c r="J172" s="225">
        <v>0</v>
      </c>
      <c r="K172" s="237" t="str">
        <f t="shared" si="62"/>
        <v>4035/4036</v>
      </c>
      <c r="L172" s="245" t="str">
        <f>VLOOKUP(A172,'Trips&amp;Operators'!$C$1:$G$99911,5,FALSE)</f>
        <v>YANAI IAN</v>
      </c>
      <c r="M172" s="224">
        <f t="shared" si="86"/>
        <v>7.546296292275656E-3</v>
      </c>
      <c r="N172" s="225">
        <f t="shared" si="87"/>
        <v>10.866666660876945</v>
      </c>
      <c r="O172" s="225"/>
      <c r="P172" s="225"/>
      <c r="Q172" s="228"/>
      <c r="R172" s="242"/>
      <c r="S172" s="249">
        <f t="shared" si="80"/>
        <v>1</v>
      </c>
      <c r="T172" s="242" t="str">
        <f t="shared" si="64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5"/>
        <v>https://d0f6bd738d7f1b3e5a7ca70fe4ff75f0.us-east-1.aws.found.io/app/kibana#/discover/Steve-Slow-Train-Analysis-(2080s-and-2083s)?_g=(refreshInterval:(display:Off,pause:!f,section:0,value:0),time:(from:'2017-12-18T07:25:51-0700',mode:absolute,to:'2017-12-18T09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2" s="247" t="str">
        <f>IF(AA172&lt;VLOOKUP(AG172,Variables!$AC$3:$AD$8,2,FALSE),"Y","N")</f>
        <v>Y</v>
      </c>
      <c r="X172" s="247">
        <f t="shared" si="88"/>
        <v>1</v>
      </c>
      <c r="Y172" s="247">
        <f t="shared" si="78"/>
        <v>5.8615000000000004</v>
      </c>
      <c r="Z172" s="247">
        <f t="shared" si="77"/>
        <v>0.44690000000000002</v>
      </c>
      <c r="AA172" s="247">
        <f t="shared" si="67"/>
        <v>5.4146000000000001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8"/>
        <v>812</v>
      </c>
      <c r="AE172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72" s="234" t="str">
        <f t="shared" si="70"/>
        <v>"C:\Program Files (x86)\AstroGrep\AstroGrep.exe" /e /r /s /spath="%USERPROFILE%\AppData\Local\Temp\OnboardLogs" /stypes="app*4035*20171218*" /stext=" 15:.+((SYSTEM_STATE.+slice.+state.+changed )|(ment ac)|(multiple cpu faults)|(system.+state.+changed )|(\[timeout)|(PRM\|1\|D)|(kpr)|(kdp)|(train st.+moving)|(\|lc)|(penalty))"</v>
      </c>
      <c r="AG172" s="244" t="str">
        <f t="shared" si="71"/>
        <v>NW</v>
      </c>
      <c r="AH172" s="236" t="str">
        <f t="shared" si="72"/>
        <v>"%USERPROFILE%\Documents\GitHub\eaglep3\Utilities\RefineRTDCRunTimes.py" --tripid 812-18 --locoid 4035 --swversion DE.1.0.9.0 --startMP 300:58615 --initTime 2017-12-18T08:25:51 --startdatetime 2017-12-18T08:42:00 --delay 76 --endMP 204:4469 --enddatetime 2017-12-18T08:52:52 --enforcementcount 0 &gt;&gt;%USERPROFILE%\Documents\GitHub\eaglep3-reporting\EC\2017-12-18-refined-times.txt</v>
      </c>
      <c r="AI172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{"issue":{"subject":"","project_id":79,"tracker_id":40,"status_id":1,"priority_id":2,"assigned_to_id":338,"start_date":"2017-12-18","description":"","custom_fields":[{"id":1,"name":"Subdivision","value":"NW"},{"id":4,"name":"Milepost","value":"0.4469"},{"id":17,"name":"Train ID","value":"812-18"},{"id":16,"name":"Locomotive ID","value":"4035"},{"id":130,"name":"Impact","value":""},{"id":150,"name":"Time of Event (Mountain Time)","value":"08:52:52"},{"id":151,"name":"Denver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74"/>
        <v>start /low /b %USERPROFILE%\Documents\GitHub\eaglep3\Utilities\DownloadLogsFromS3.py --loco 4035 --day 2017-12-18</v>
      </c>
      <c r="AN172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6"/>
        <v>https://d0f6bd738d7f1b3e5a7ca70fe4ff75f0.us-east-1.aws.found.io/app/kibana#/discover/Steve-Slow-Train-Analysis-(2080s-and-2083s)?_g=(refreshInterval:(display:Off,pause:!f,section:0,value:0),time:(from:'2017-12-18T07:25:51-0700',mode:absolute,to:'2017-12-18T09:52:52-0700'))&amp;_a=(columns:!('Message%20ID',Summary),filters:!(),index:'emp_*',interval:auto,query:(query_string:(analyze_wildcard:!t,query:'%22rtdc.l.rtdc.4035%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742</v>
      </c>
      <c r="B173" s="225">
        <v>4036</v>
      </c>
      <c r="C173" s="227" t="s">
        <v>192</v>
      </c>
      <c r="D173" s="227" t="s">
        <v>628</v>
      </c>
      <c r="E173" s="226">
        <v>43087.373761574076</v>
      </c>
      <c r="F173" s="226">
        <v>43087.38140046296</v>
      </c>
      <c r="G173" s="225">
        <v>52</v>
      </c>
      <c r="H173" s="227" t="s">
        <v>1020</v>
      </c>
      <c r="I173" s="226">
        <v>43087.390659722223</v>
      </c>
      <c r="J173" s="225">
        <v>0</v>
      </c>
      <c r="K173" s="237" t="str">
        <f t="shared" si="62"/>
        <v>4035/4036</v>
      </c>
      <c r="L173" s="245" t="str">
        <f>VLOOKUP(A173,'Trips&amp;Operators'!$C$1:$G$99911,5,FALSE)</f>
        <v>YANAI IAN</v>
      </c>
      <c r="M173" s="224">
        <f t="shared" si="86"/>
        <v>9.2592592627624981E-3</v>
      </c>
      <c r="N173" s="225">
        <f t="shared" si="87"/>
        <v>13.333333338377997</v>
      </c>
      <c r="O173" s="225"/>
      <c r="P173" s="225"/>
      <c r="Q173" s="228"/>
      <c r="R173" s="242"/>
      <c r="S173" s="249">
        <f t="shared" si="80"/>
        <v>1</v>
      </c>
      <c r="T173" s="242" t="str">
        <f t="shared" si="64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5"/>
        <v>https://d0f6bd738d7f1b3e5a7ca70fe4ff75f0.us-east-1.aws.found.io/app/kibana#/discover/Steve-Slow-Train-Analysis-(2080s-and-2083s)?_g=(refreshInterval:(display:Off,pause:!f,section:0,value:0),time:(from:'2017-12-18T07:58:13-0700',mode:absolute,to:'2017-12-18T10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3" s="247" t="str">
        <f>IF(AA173&lt;VLOOKUP(AG173,Variables!$AC$3:$AD$8,2,FALSE),"Y","N")</f>
        <v>N</v>
      </c>
      <c r="X173" s="247">
        <f t="shared" si="88"/>
        <v>1</v>
      </c>
      <c r="Y173" s="247">
        <f t="shared" si="78"/>
        <v>4.3499999999999997E-2</v>
      </c>
      <c r="Z173" s="247">
        <f t="shared" si="77"/>
        <v>5.8929</v>
      </c>
      <c r="AA173" s="247">
        <f t="shared" si="67"/>
        <v>5.8494000000000002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8"/>
        <v>813</v>
      </c>
      <c r="AE173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73" s="234" t="str">
        <f t="shared" si="70"/>
        <v>"C:\Program Files (x86)\AstroGrep\AstroGrep.exe" /e /r /s /spath="%USERPROFILE%\AppData\Local\Temp\OnboardLogs" /stypes="app*4036*20171218*" /stext=" 16:.+((SYSTEM_STATE.+slice.+state.+changed )|(ment ac)|(multiple cpu faults)|(system.+state.+changed )|(\[timeout)|(PRM\|1\|D)|(kpr)|(kdp)|(train st.+moving)|(\|lc)|(penalty))"</v>
      </c>
      <c r="AG173" s="244" t="str">
        <f t="shared" si="71"/>
        <v>NW</v>
      </c>
      <c r="AH173" s="236" t="str">
        <f t="shared" si="72"/>
        <v>"%USERPROFILE%\Documents\GitHub\eaglep3\Utilities\RefineRTDCRunTimes.py" --tripid 813-18 --locoid 4036 --swversion DE.1.0.9.0 --startMP 204:435 --initTime 2017-12-18T08:58:13 --startdatetime 2017-12-18T09:09:13 --delay 52 --endMP 300:58929 --enddatetime 2017-12-18T09:22:33 --enforcementcount 0 &gt;&gt;%USERPROFILE%\Documents\GitHub\eaglep3-reporting\EC\2017-12-18-refined-times.txt</v>
      </c>
      <c r="AI173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{"issue":{"subject":"","project_id":79,"tracker_id":40,"status_id":1,"priority_id":2,"assigned_to_id":338,"start_date":"2017-12-18","description":"","custom_fields":[{"id":1,"name":"Subdivision","value":"NW"},{"id":4,"name":"Milepost","value":"5.8929"},{"id":17,"name":"Train ID","value":"813-18"},{"id":16,"name":"Locomotive ID","value":"4036"},{"id":130,"name":"Impact","value":""},{"id":150,"name":"Time of Event (Mountain Time)","value":"09:22:33"},{"id":151,"name":"Denver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74"/>
        <v>start /low /b %USERPROFILE%\Documents\GitHub\eaglep3\Utilities\DownloadLogsFromS3.py --loco 4036 --day 2017-12-18</v>
      </c>
      <c r="AN173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6"/>
        <v>https://d0f6bd738d7f1b3e5a7ca70fe4ff75f0.us-east-1.aws.found.io/app/kibana#/discover/Steve-Slow-Train-Analysis-(2080s-and-2083s)?_g=(refreshInterval:(display:Off,pause:!f,section:0,value:0),time:(from:'2017-12-18T07:58:13-0700',mode:absolute,to:'2017-12-18T10:22:33-0700'))&amp;_a=(columns:!('Message%20ID',Summary),filters:!(),index:'emp_*',interval:auto,query:(query_string:(analyze_wildcard:!t,query:'%22rtdc.l.rtdc.4036%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745</v>
      </c>
      <c r="B174" s="225">
        <v>4035</v>
      </c>
      <c r="C174" s="227" t="s">
        <v>192</v>
      </c>
      <c r="D174" s="227" t="s">
        <v>1021</v>
      </c>
      <c r="E174" s="226">
        <v>43087.391655092593</v>
      </c>
      <c r="F174" s="226">
        <v>43087.404166666667</v>
      </c>
      <c r="G174" s="225">
        <v>88</v>
      </c>
      <c r="H174" s="227" t="s">
        <v>1022</v>
      </c>
      <c r="I174" s="226">
        <v>43087.413159722222</v>
      </c>
      <c r="J174" s="225">
        <v>0</v>
      </c>
      <c r="K174" s="237" t="str">
        <f t="shared" si="62"/>
        <v>4035/4036</v>
      </c>
      <c r="L174" s="245" t="str">
        <f>VLOOKUP(A174,'Trips&amp;Operators'!$C$1:$G$99911,5,FALSE)</f>
        <v>YANAI IAN</v>
      </c>
      <c r="M174" s="224">
        <f t="shared" si="86"/>
        <v>8.9930555550381541E-3</v>
      </c>
      <c r="N174" s="225">
        <f t="shared" si="87"/>
        <v>12.949999999254942</v>
      </c>
      <c r="O174" s="225"/>
      <c r="P174" s="225"/>
      <c r="Q174" s="228"/>
      <c r="R174" s="242"/>
      <c r="S174" s="249">
        <f t="shared" si="80"/>
        <v>1</v>
      </c>
      <c r="T174" s="242" t="str">
        <f t="shared" si="64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5"/>
        <v>https://d0f6bd738d7f1b3e5a7ca70fe4ff75f0.us-east-1.aws.found.io/app/kibana#/discover/Steve-Slow-Train-Analysis-(2080s-and-2083s)?_g=(refreshInterval:(display:Off,pause:!f,section:0,value:0),time:(from:'2017-12-18T08:23:59-0700',mode:absolute,to:'2017-12-18T10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4" s="247" t="str">
        <f>IF(AA174&lt;VLOOKUP(AG174,Variables!$AC$3:$AD$8,2,FALSE),"Y","N")</f>
        <v>N</v>
      </c>
      <c r="X174" s="247">
        <f t="shared" si="88"/>
        <v>1</v>
      </c>
      <c r="Y174" s="247">
        <f t="shared" si="78"/>
        <v>5.8620999999999999</v>
      </c>
      <c r="Z174" s="247">
        <f t="shared" si="77"/>
        <v>1.2200000000000001E-2</v>
      </c>
      <c r="AA174" s="247">
        <f t="shared" si="67"/>
        <v>5.8498999999999999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8"/>
        <v>814</v>
      </c>
      <c r="AE174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74" s="234" t="str">
        <f t="shared" si="70"/>
        <v>"C:\Program Files (x86)\AstroGrep\AstroGrep.exe" /e /r /s /spath="%USERPROFILE%\AppData\Local\Temp\OnboardLogs" /stypes="app*4035*20171218*" /stext=" 16:.+((SYSTEM_STATE.+slice.+state.+changed )|(ment ac)|(multiple cpu faults)|(system.+state.+changed )|(\[timeout)|(PRM\|1\|D)|(kpr)|(kdp)|(train st.+moving)|(\|lc)|(penalty))"</v>
      </c>
      <c r="AG174" s="244" t="str">
        <f t="shared" si="71"/>
        <v>NW</v>
      </c>
      <c r="AH174" s="236" t="str">
        <f t="shared" si="72"/>
        <v>"%USERPROFILE%\Documents\GitHub\eaglep3\Utilities\RefineRTDCRunTimes.py" --tripid 814-18 --locoid 4035 --swversion DE.1.0.9.0 --startMP 300:58621 --initTime 2017-12-18T09:23:59 --startdatetime 2017-12-18T09:42:00 --delay 88 --endMP 204:122 --enddatetime 2017-12-18T09:54:57 --enforcementcount 0 &gt;&gt;%USERPROFILE%\Documents\GitHub\eaglep3-reporting\EC\2017-12-18-refined-times.txt</v>
      </c>
      <c r="AI174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{"issue":{"subject":"","project_id":79,"tracker_id":40,"status_id":1,"priority_id":2,"assigned_to_id":338,"start_date":"2017-12-18","description":"","custom_fields":[{"id":1,"name":"Subdivision","value":"NW"},{"id":4,"name":"Milepost","value":"0.0122"},{"id":17,"name":"Train ID","value":"814-18"},{"id":16,"name":"Locomotive ID","value":"4035"},{"id":130,"name":"Impact","value":""},{"id":150,"name":"Time of Event (Mountain Time)","value":"09:54:57"},{"id":151,"name":"Denver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4"/>
        <v>start /low /b %USERPROFILE%\Documents\GitHub\eaglep3\Utilities\DownloadLogsFromS3.py --loco 4035 --day 2017-12-18</v>
      </c>
      <c r="AN174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6"/>
        <v>https://d0f6bd738d7f1b3e5a7ca70fe4ff75f0.us-east-1.aws.found.io/app/kibana#/discover/Steve-Slow-Train-Analysis-(2080s-and-2083s)?_g=(refreshInterval:(display:Off,pause:!f,section:0,value:0),time:(from:'2017-12-18T08:23:59-0700',mode:absolute,to:'2017-12-18T10:54:57-0700'))&amp;_a=(columns:!('Message%20ID',Summary),filters:!(),index:'emp_*',interval:auto,query:(query_string:(analyze_wildcard:!t,query:'%22rtdc.l.rtdc.4035%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750</v>
      </c>
      <c r="B175" s="225">
        <v>4036</v>
      </c>
      <c r="C175" s="227" t="s">
        <v>192</v>
      </c>
      <c r="D175" s="227" t="s">
        <v>1017</v>
      </c>
      <c r="E175" s="226">
        <v>43087.414398148147</v>
      </c>
      <c r="F175" s="226">
        <v>43087.423090277778</v>
      </c>
      <c r="G175" s="225">
        <v>48</v>
      </c>
      <c r="H175" s="227" t="s">
        <v>1009</v>
      </c>
      <c r="I175" s="226">
        <v>43087.432430555556</v>
      </c>
      <c r="J175" s="225">
        <v>0</v>
      </c>
      <c r="K175" s="237" t="str">
        <f t="shared" si="62"/>
        <v>4035/4036</v>
      </c>
      <c r="L175" s="245" t="str">
        <f>VLOOKUP(A175,'Trips&amp;Operators'!$C$1:$G$99911,5,FALSE)</f>
        <v>YANAI IAN</v>
      </c>
      <c r="M175" s="224">
        <f t="shared" si="86"/>
        <v>9.340277778392192E-3</v>
      </c>
      <c r="N175" s="225">
        <f t="shared" si="87"/>
        <v>13.450000000884756</v>
      </c>
      <c r="O175" s="225"/>
      <c r="P175" s="225"/>
      <c r="Q175" s="228"/>
      <c r="R175" s="242"/>
      <c r="S175" s="249">
        <f t="shared" si="80"/>
        <v>1</v>
      </c>
      <c r="T175" s="242" t="str">
        <f t="shared" si="64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5"/>
        <v>https://d0f6bd738d7f1b3e5a7ca70fe4ff75f0.us-east-1.aws.found.io/app/kibana#/discover/Steve-Slow-Train-Analysis-(2080s-and-2083s)?_g=(refreshInterval:(display:Off,pause:!f,section:0,value:0),time:(from:'2017-12-18T08:56:44-0700',mode:absolute,to:'2017-12-18T11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5" s="247" t="str">
        <f>IF(AA175&lt;VLOOKUP(AG175,Variables!$AC$3:$AD$8,2,FALSE),"Y","N")</f>
        <v>N</v>
      </c>
      <c r="X175" s="247">
        <f t="shared" si="88"/>
        <v>1</v>
      </c>
      <c r="Y175" s="247">
        <f t="shared" si="78"/>
        <v>4.2299999999999997E-2</v>
      </c>
      <c r="Z175" s="247">
        <f t="shared" si="77"/>
        <v>5.8921999999999999</v>
      </c>
      <c r="AA175" s="247">
        <f t="shared" si="67"/>
        <v>5.8498999999999999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8"/>
        <v>815</v>
      </c>
      <c r="AE175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75" s="234" t="str">
        <f t="shared" si="70"/>
        <v>"C:\Program Files (x86)\AstroGrep\AstroGrep.exe" /e /r /s /spath="%USERPROFILE%\AppData\Local\Temp\OnboardLogs" /stypes="app*4036*20171218*" /stext=" 17:.+((SYSTEM_STATE.+slice.+state.+changed )|(ment ac)|(multiple cpu faults)|(system.+state.+changed )|(\[timeout)|(PRM\|1\|D)|(kpr)|(kdp)|(train st.+moving)|(\|lc)|(penalty))"</v>
      </c>
      <c r="AG175" s="244" t="str">
        <f t="shared" si="71"/>
        <v>NW</v>
      </c>
      <c r="AH175" s="236" t="str">
        <f t="shared" si="72"/>
        <v>"%USERPROFILE%\Documents\GitHub\eaglep3\Utilities\RefineRTDCRunTimes.py" --tripid 815-18 --locoid 4036 --swversion DE.1.0.9.0 --startMP 204:423 --initTime 2017-12-18T09:56:44 --startdatetime 2017-12-18T10:09:15 --delay 48 --endMP 300:58922 --enddatetime 2017-12-18T10:22:42 --enforcementcount 0 &gt;&gt;%USERPROFILE%\Documents\GitHub\eaglep3-reporting\EC\2017-12-18-refined-times.txt</v>
      </c>
      <c r="AI175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{"issue":{"subject":"","project_id":79,"tracker_id":40,"status_id":1,"priority_id":2,"assigned_to_id":338,"start_date":"2017-12-18","description":"","custom_fields":[{"id":1,"name":"Subdivision","value":"NW"},{"id":4,"name":"Milepost","value":"5.8922"},{"id":17,"name":"Train ID","value":"815-18"},{"id":16,"name":"Locomotive ID","value":"4036"},{"id":130,"name":"Impact","value":""},{"id":150,"name":"Time of Event (Mountain Time)","value":"10:22:42"},{"id":151,"name":"Denver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74"/>
        <v>start /low /b %USERPROFILE%\Documents\GitHub\eaglep3\Utilities\DownloadLogsFromS3.py --loco 4036 --day 2017-12-18</v>
      </c>
      <c r="AN175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6"/>
        <v>https://d0f6bd738d7f1b3e5a7ca70fe4ff75f0.us-east-1.aws.found.io/app/kibana#/discover/Steve-Slow-Train-Analysis-(2080s-and-2083s)?_g=(refreshInterval:(display:Off,pause:!f,section:0,value:0),time:(from:'2017-12-18T08:56:44-0700',mode:absolute,to:'2017-12-18T11:22:42-0700'))&amp;_a=(columns:!('Message%20ID',Summary),filters:!(),index:'emp_*',interval:auto,query:(query_string:(analyze_wildcard:!t,query:'%22rtdc.l.rtdc.4036%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756</v>
      </c>
      <c r="B176" s="225">
        <v>4035</v>
      </c>
      <c r="C176" s="227" t="s">
        <v>192</v>
      </c>
      <c r="D176" s="227" t="s">
        <v>1023</v>
      </c>
      <c r="E176" s="226">
        <v>43087.433333333334</v>
      </c>
      <c r="F176" s="226">
        <v>43087.445833333331</v>
      </c>
      <c r="G176" s="225">
        <v>57</v>
      </c>
      <c r="H176" s="227" t="s">
        <v>1024</v>
      </c>
      <c r="I176" s="226">
        <v>43087.454652777778</v>
      </c>
      <c r="J176" s="225">
        <v>0</v>
      </c>
      <c r="K176" s="237" t="str">
        <f t="shared" si="62"/>
        <v>4035/4036</v>
      </c>
      <c r="L176" s="245" t="str">
        <f>VLOOKUP(A176,'Trips&amp;Operators'!$C$1:$G$99911,5,FALSE)</f>
        <v>YANAI IAN</v>
      </c>
      <c r="M176" s="224">
        <f t="shared" si="86"/>
        <v>8.819444446999114E-3</v>
      </c>
      <c r="N176" s="225">
        <f t="shared" si="87"/>
        <v>12.700000003678724</v>
      </c>
      <c r="O176" s="225"/>
      <c r="P176" s="225"/>
      <c r="Q176" s="228"/>
      <c r="R176" s="242"/>
      <c r="S176" s="249">
        <f t="shared" si="80"/>
        <v>1</v>
      </c>
      <c r="T176" s="242" t="str">
        <f t="shared" si="64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5"/>
        <v>https://d0f6bd738d7f1b3e5a7ca70fe4ff75f0.us-east-1.aws.found.io/app/kibana#/discover/Steve-Slow-Train-Analysis-(2080s-and-2083s)?_g=(refreshInterval:(display:Off,pause:!f,section:0,value:0),time:(from:'2017-12-18T09:24:00-0700',mode:absolute,to:'2017-12-18T11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6" s="247" t="str">
        <f>IF(AA176&lt;VLOOKUP(AG176,Variables!$AC$3:$AD$8,2,FALSE),"Y","N")</f>
        <v>N</v>
      </c>
      <c r="X176" s="247">
        <f t="shared" si="88"/>
        <v>1</v>
      </c>
      <c r="Y176" s="247">
        <f t="shared" si="78"/>
        <v>5.8608000000000002</v>
      </c>
      <c r="Z176" s="247">
        <f t="shared" si="77"/>
        <v>1.17E-2</v>
      </c>
      <c r="AA176" s="247">
        <f t="shared" si="67"/>
        <v>5.8491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8"/>
        <v>816</v>
      </c>
      <c r="AE176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76" s="234" t="str">
        <f t="shared" si="70"/>
        <v>"C:\Program Files (x86)\AstroGrep\AstroGrep.exe" /e /r /s /spath="%USERPROFILE%\AppData\Local\Temp\OnboardLogs" /stypes="app*4035*20171218*" /stext=" 17:.+((SYSTEM_STATE.+slice.+state.+changed )|(ment ac)|(multiple cpu faults)|(system.+state.+changed )|(\[timeout)|(PRM\|1\|D)|(kpr)|(kdp)|(train st.+moving)|(\|lc)|(penalty))"</v>
      </c>
      <c r="AG176" s="244" t="str">
        <f t="shared" si="71"/>
        <v>NW</v>
      </c>
      <c r="AH176" s="236" t="str">
        <f t="shared" si="72"/>
        <v>"%USERPROFILE%\Documents\GitHub\eaglep3\Utilities\RefineRTDCRunTimes.py" --tripid 816-18 --locoid 4035 --swversion DE.1.0.9.0 --startMP 300:58608 --initTime 2017-12-18T10:24:00 --startdatetime 2017-12-18T10:42:00 --delay 57 --endMP 204:117 --enddatetime 2017-12-18T10:54:42 --enforcementcount 0 &gt;&gt;%USERPROFILE%\Documents\GitHub\eaglep3-reporting\EC\2017-12-18-refined-times.txt</v>
      </c>
      <c r="AI176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{"issue":{"subject":"","project_id":79,"tracker_id":40,"status_id":1,"priority_id":2,"assigned_to_id":338,"start_date":"2017-12-18","description":"","custom_fields":[{"id":1,"name":"Subdivision","value":"NW"},{"id":4,"name":"Milepost","value":"0.0117"},{"id":17,"name":"Train ID","value":"816-18"},{"id":16,"name":"Locomotive ID","value":"4035"},{"id":130,"name":"Impact","value":""},{"id":150,"name":"Time of Event (Mountain Time)","value":"10:54:42"},{"id":151,"name":"Denver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74"/>
        <v>start /low /b %USERPROFILE%\Documents\GitHub\eaglep3\Utilities\DownloadLogsFromS3.py --loco 4035 --day 2017-12-18</v>
      </c>
      <c r="AN176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17:54:42"},{"id":29,"name":"Sharepoint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6"/>
        <v>https://d0f6bd738d7f1b3e5a7ca70fe4ff75f0.us-east-1.aws.found.io/app/kibana#/discover/Steve-Slow-Train-Analysis-(2080s-and-2083s)?_g=(refreshInterval:(display:Off,pause:!f,section:0,value:0),time:(from:'2017-12-18T09:24:00-0700',mode:absolute,to:'2017-12-18T11:54:42-0700'))&amp;_a=(columns:!('Message%20ID',Summary),filters:!(),index:'emp_*',interval:auto,query:(query_string:(analyze_wildcard:!t,query:'%22rtdc.l.rtdc.4035%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760</v>
      </c>
      <c r="B177" s="225">
        <v>4036</v>
      </c>
      <c r="C177" s="227" t="s">
        <v>192</v>
      </c>
      <c r="D177" s="227" t="s">
        <v>628</v>
      </c>
      <c r="E177" s="226">
        <v>43087.462708333333</v>
      </c>
      <c r="F177" s="226">
        <v>43087.464756944442</v>
      </c>
      <c r="G177" s="225">
        <v>58</v>
      </c>
      <c r="H177" s="227" t="s">
        <v>1020</v>
      </c>
      <c r="I177" s="226">
        <v>43087.473854166667</v>
      </c>
      <c r="J177" s="225">
        <v>0</v>
      </c>
      <c r="K177" s="237" t="str">
        <f t="shared" si="62"/>
        <v>4035/4036</v>
      </c>
      <c r="L177" s="245" t="str">
        <f>VLOOKUP(A177,'Trips&amp;Operators'!$C$1:$G$99911,5,FALSE)</f>
        <v>YANAI IAN</v>
      </c>
      <c r="M177" s="224">
        <f t="shared" si="86"/>
        <v>9.0972222242271528E-3</v>
      </c>
      <c r="N177" s="225">
        <f t="shared" si="87"/>
        <v>13.1000000028871</v>
      </c>
      <c r="O177" s="225"/>
      <c r="P177" s="225"/>
      <c r="Q177" s="228"/>
      <c r="R177" s="242"/>
      <c r="S177" s="249">
        <f t="shared" si="80"/>
        <v>1</v>
      </c>
      <c r="T177" s="242" t="str">
        <f t="shared" si="64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5"/>
        <v>https://d0f6bd738d7f1b3e5a7ca70fe4ff75f0.us-east-1.aws.found.io/app/kibana#/discover/Steve-Slow-Train-Analysis-(2080s-and-2083s)?_g=(refreshInterval:(display:Off,pause:!f,section:0,value:0),time:(from:'2017-12-18T10:06:18-0700',mode:absolute,to:'2017-12-18T12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7" s="247" t="str">
        <f>IF(AA177&lt;VLOOKUP(AG177,Variables!$AC$3:$AD$8,2,FALSE),"Y","N")</f>
        <v>N</v>
      </c>
      <c r="X177" s="247">
        <f t="shared" si="88"/>
        <v>1</v>
      </c>
      <c r="Y177" s="247">
        <f t="shared" si="78"/>
        <v>4.3499999999999997E-2</v>
      </c>
      <c r="Z177" s="247">
        <f t="shared" ref="Z177:Z196" si="89">RIGHT(H177,LEN(H177)-4)/10000</f>
        <v>5.8929</v>
      </c>
      <c r="AA177" s="247">
        <f t="shared" si="67"/>
        <v>5.8494000000000002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8"/>
        <v>817</v>
      </c>
      <c r="AE177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77" s="234" t="str">
        <f t="shared" si="70"/>
        <v>"C:\Program Files (x86)\AstroGrep\AstroGrep.exe" /e /r /s /spath="%USERPROFILE%\AppData\Local\Temp\OnboardLogs" /stypes="app*4036*20171218*" /stext=" 18:.+((SYSTEM_STATE.+slice.+state.+changed )|(ment ac)|(multiple cpu faults)|(system.+state.+changed )|(\[timeout)|(PRM\|1\|D)|(kpr)|(kdp)|(train st.+moving)|(\|lc)|(penalty))"</v>
      </c>
      <c r="AG177" s="244" t="str">
        <f t="shared" si="71"/>
        <v>NW</v>
      </c>
      <c r="AH177" s="236" t="str">
        <f t="shared" si="72"/>
        <v>"%USERPROFILE%\Documents\GitHub\eaglep3\Utilities\RefineRTDCRunTimes.py" --tripid 817-18 --locoid 4036 --swversion DE.1.0.9.0 --startMP 204:435 --initTime 2017-12-18T11:06:18 --startdatetime 2017-12-18T11:09:15 --delay 58 --endMP 300:58929 --enddatetime 2017-12-18T11:22:21 --enforcementcount 0 &gt;&gt;%USERPROFILE%\Documents\GitHub\eaglep3-reporting\EC\2017-12-18-refined-times.txt</v>
      </c>
      <c r="AI177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{"issue":{"subject":"","project_id":79,"tracker_id":40,"status_id":1,"priority_id":2,"assigned_to_id":338,"start_date":"2017-12-18","description":"","custom_fields":[{"id":1,"name":"Subdivision","value":"NW"},{"id":4,"name":"Milepost","value":"5.8929"},{"id":17,"name":"Train ID","value":"817-18"},{"id":16,"name":"Locomotive ID","value":"4036"},{"id":130,"name":"Impact","value":""},{"id":150,"name":"Time of Event (Mountain Time)","value":"11:22:21"},{"id":151,"name":"Denver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74"/>
        <v>start /low /b %USERPROFILE%\Documents\GitHub\eaglep3\Utilities\DownloadLogsFromS3.py --loco 4036 --day 2017-12-18</v>
      </c>
      <c r="AN177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6"/>
        <v>https://d0f6bd738d7f1b3e5a7ca70fe4ff75f0.us-east-1.aws.found.io/app/kibana#/discover/Steve-Slow-Train-Analysis-(2080s-and-2083s)?_g=(refreshInterval:(display:Off,pause:!f,section:0,value:0),time:(from:'2017-12-18T10:06:18-0700',mode:absolute,to:'2017-12-18T12:22:21-0700'))&amp;_a=(columns:!('Message%20ID',Summary),filters:!(),index:'emp_*',interval:auto,query:(query_string:(analyze_wildcard:!t,query:'%22rtdc.l.rtdc.4036%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765</v>
      </c>
      <c r="B178" s="225">
        <v>4035</v>
      </c>
      <c r="C178" s="227" t="s">
        <v>192</v>
      </c>
      <c r="D178" s="227" t="s">
        <v>1025</v>
      </c>
      <c r="E178" s="226">
        <v>43087.474606481483</v>
      </c>
      <c r="F178" s="226">
        <v>43087.487500000003</v>
      </c>
      <c r="G178" s="225">
        <v>88</v>
      </c>
      <c r="H178" s="227" t="s">
        <v>626</v>
      </c>
      <c r="I178" s="226">
        <v>43087.496874999997</v>
      </c>
      <c r="J178" s="225">
        <v>0</v>
      </c>
      <c r="K178" s="237" t="str">
        <f t="shared" si="62"/>
        <v>4035/4036</v>
      </c>
      <c r="L178" s="245" t="str">
        <f>VLOOKUP(A178,'Trips&amp;Operators'!$C$1:$G$99911,5,FALSE)</f>
        <v>YANAI IAN</v>
      </c>
      <c r="M178" s="224">
        <f t="shared" si="86"/>
        <v>9.3749999941792339E-3</v>
      </c>
      <c r="N178" s="225">
        <f t="shared" si="87"/>
        <v>13.499999991618097</v>
      </c>
      <c r="O178" s="225"/>
      <c r="P178" s="225"/>
      <c r="Q178" s="228"/>
      <c r="R178" s="242"/>
      <c r="S178" s="249">
        <f t="shared" si="80"/>
        <v>1</v>
      </c>
      <c r="T178" s="242" t="str">
        <f t="shared" si="64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5"/>
        <v>https://d0f6bd738d7f1b3e5a7ca70fe4ff75f0.us-east-1.aws.found.io/app/kibana#/discover/Steve-Slow-Train-Analysis-(2080s-and-2083s)?_g=(refreshInterval:(display:Off,pause:!f,section:0,value:0),time:(from:'2017-12-18T10:23:26-0700',mode:absolute,to:'2017-12-18T12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8" s="247" t="str">
        <f>IF(AA178&lt;VLOOKUP(AG178,Variables!$AC$3:$AD$8,2,FALSE),"Y","N")</f>
        <v>N</v>
      </c>
      <c r="X178" s="247">
        <f t="shared" si="88"/>
        <v>1</v>
      </c>
      <c r="Y178" s="247">
        <f t="shared" ref="Y178:Y196" si="90">RIGHT(D178,LEN(D178)-4)/10000</f>
        <v>5.8611000000000004</v>
      </c>
      <c r="Z178" s="247">
        <f t="shared" si="89"/>
        <v>1.38E-2</v>
      </c>
      <c r="AA178" s="247">
        <f t="shared" si="67"/>
        <v>5.8473000000000006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8"/>
        <v>818</v>
      </c>
      <c r="AE178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78" s="234" t="str">
        <f t="shared" si="70"/>
        <v>"C:\Program Files (x86)\AstroGrep\AstroGrep.exe" /e /r /s /spath="%USERPROFILE%\AppData\Local\Temp\OnboardLogs" /stypes="app*4035*20171218*" /stext=" 18:.+((SYSTEM_STATE.+slice.+state.+changed )|(ment ac)|(multiple cpu faults)|(system.+state.+changed )|(\[timeout)|(PRM\|1\|D)|(kpr)|(kdp)|(train st.+moving)|(\|lc)|(penalty))"</v>
      </c>
      <c r="AG178" s="244" t="str">
        <f t="shared" si="71"/>
        <v>NW</v>
      </c>
      <c r="AH178" s="236" t="str">
        <f t="shared" si="72"/>
        <v>"%USERPROFILE%\Documents\GitHub\eaglep3\Utilities\RefineRTDCRunTimes.py" --tripid 818-18 --locoid 4035 --swversion DE.1.0.9.0 --startMP 300:58611 --initTime 2017-12-18T11:23:26 --startdatetime 2017-12-18T11:42:00 --delay 88 --endMP 204:138 --enddatetime 2017-12-18T11:55:30 --enforcementcount 0 &gt;&gt;%USERPROFILE%\Documents\GitHub\eaglep3-reporting\EC\2017-12-18-refined-times.txt</v>
      </c>
      <c r="AI178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{"issue":{"subject":"","project_id":79,"tracker_id":40,"status_id":1,"priority_id":2,"assigned_to_id":338,"start_date":"2017-12-18","description":"","custom_fields":[{"id":1,"name":"Subdivision","value":"NW"},{"id":4,"name":"Milepost","value":"0.0138"},{"id":17,"name":"Train ID","value":"818-18"},{"id":16,"name":"Locomotive ID","value":"4035"},{"id":130,"name":"Impact","value":""},{"id":150,"name":"Time of Event (Mountain Time)","value":"11:55:30"},{"id":151,"name":"Denver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74"/>
        <v>start /low /b %USERPROFILE%\Documents\GitHub\eaglep3\Utilities\DownloadLogsFromS3.py --loco 4035 --day 2017-12-18</v>
      </c>
      <c r="AN178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6"/>
        <v>https://d0f6bd738d7f1b3e5a7ca70fe4ff75f0.us-east-1.aws.found.io/app/kibana#/discover/Steve-Slow-Train-Analysis-(2080s-and-2083s)?_g=(refreshInterval:(display:Off,pause:!f,section:0,value:0),time:(from:'2017-12-18T10:23:26-0700',mode:absolute,to:'2017-12-18T12:55:30-0700'))&amp;_a=(columns:!('Message%20ID',Summary),filters:!(),index:'emp_*',interval:auto,query:(query_string:(analyze_wildcard:!t,query:'%22rtdc.l.rtdc.4035%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771</v>
      </c>
      <c r="B179" s="225">
        <v>4036</v>
      </c>
      <c r="C179" s="227" t="s">
        <v>192</v>
      </c>
      <c r="D179" s="227" t="s">
        <v>629</v>
      </c>
      <c r="E179" s="226">
        <v>43087.498148148145</v>
      </c>
      <c r="F179" s="226">
        <v>43087.506423611114</v>
      </c>
      <c r="G179" s="225">
        <v>45</v>
      </c>
      <c r="H179" s="227" t="s">
        <v>1026</v>
      </c>
      <c r="I179" s="226">
        <v>43087.515543981484</v>
      </c>
      <c r="J179" s="225">
        <v>0</v>
      </c>
      <c r="K179" s="237" t="str">
        <f t="shared" si="62"/>
        <v>4035/4036</v>
      </c>
      <c r="L179" s="245" t="str">
        <f>VLOOKUP(A179,'Trips&amp;Operators'!$C$1:$G$99911,5,FALSE)</f>
        <v>YANAI IAN</v>
      </c>
      <c r="M179" s="224">
        <f t="shared" si="86"/>
        <v>9.1203703705104999E-3</v>
      </c>
      <c r="N179" s="225">
        <f t="shared" si="87"/>
        <v>13.13333333353512</v>
      </c>
      <c r="O179" s="225"/>
      <c r="P179" s="225"/>
      <c r="Q179" s="228"/>
      <c r="R179" s="242"/>
      <c r="S179" s="249">
        <f t="shared" si="80"/>
        <v>1</v>
      </c>
      <c r="T179" s="242" t="str">
        <f t="shared" si="64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5"/>
        <v>https://d0f6bd738d7f1b3e5a7ca70fe4ff75f0.us-east-1.aws.found.io/app/kibana#/discover/Steve-Slow-Train-Analysis-(2080s-and-2083s)?_g=(refreshInterval:(display:Off,pause:!f,section:0,value:0),time:(from:'2017-12-18T10:57:20-0700',mode:absolute,to:'2017-12-18T13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9" s="247" t="str">
        <f>IF(AA179&lt;VLOOKUP(AG179,Variables!$AC$3:$AD$8,2,FALSE),"Y","N")</f>
        <v>N</v>
      </c>
      <c r="X179" s="247">
        <f t="shared" si="88"/>
        <v>1</v>
      </c>
      <c r="Y179" s="247">
        <f t="shared" si="90"/>
        <v>4.3200000000000002E-2</v>
      </c>
      <c r="Z179" s="247">
        <f t="shared" si="89"/>
        <v>5.8916000000000004</v>
      </c>
      <c r="AA179" s="247">
        <f t="shared" si="67"/>
        <v>5.8484000000000007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8"/>
        <v>819</v>
      </c>
      <c r="AE179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79" s="234" t="str">
        <f t="shared" si="70"/>
        <v>"C:\Program Files (x86)\AstroGrep\AstroGrep.exe" /e /r /s /spath="%USERPROFILE%\AppData\Local\Temp\OnboardLogs" /stypes="app*4036*20171218*" /stext=" 19:.+((SYSTEM_STATE.+slice.+state.+changed )|(ment ac)|(multiple cpu faults)|(system.+state.+changed )|(\[timeout)|(PRM\|1\|D)|(kpr)|(kdp)|(train st.+moving)|(\|lc)|(penalty))"</v>
      </c>
      <c r="AG179" s="244" t="str">
        <f t="shared" si="71"/>
        <v>NW</v>
      </c>
      <c r="AH179" s="236" t="str">
        <f t="shared" si="72"/>
        <v>"%USERPROFILE%\Documents\GitHub\eaglep3\Utilities\RefineRTDCRunTimes.py" --tripid 819-18 --locoid 4036 --swversion DE.1.0.9.0 --startMP 204:432 --initTime 2017-12-18T11:57:20 --startdatetime 2017-12-18T12:09:15 --delay 45 --endMP 300:58916 --enddatetime 2017-12-18T12:22:23 --enforcementcount 0 &gt;&gt;%USERPROFILE%\Documents\GitHub\eaglep3-reporting\EC\2017-12-18-refined-times.txt</v>
      </c>
      <c r="AI179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{"issue":{"subject":"","project_id":79,"tracker_id":40,"status_id":1,"priority_id":2,"assigned_to_id":338,"start_date":"2017-12-18","description":"","custom_fields":[{"id":1,"name":"Subdivision","value":"NW"},{"id":4,"name":"Milepost","value":"5.8916"},{"id":17,"name":"Train ID","value":"819-18"},{"id":16,"name":"Locomotive ID","value":"4036"},{"id":130,"name":"Impact","value":""},{"id":150,"name":"Time of Event (Mountain Time)","value":"12:22:23"},{"id":151,"name":"Denver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74"/>
        <v>start /low /b %USERPROFILE%\Documents\GitHub\eaglep3\Utilities\DownloadLogsFromS3.py --loco 4036 --day 2017-12-18</v>
      </c>
      <c r="AN179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6"/>
        <v>https://d0f6bd738d7f1b3e5a7ca70fe4ff75f0.us-east-1.aws.found.io/app/kibana#/discover/Steve-Slow-Train-Analysis-(2080s-and-2083s)?_g=(refreshInterval:(display:Off,pause:!f,section:0,value:0),time:(from:'2017-12-18T10:57:20-0700',mode:absolute,to:'2017-12-18T13:22:23-0700'))&amp;_a=(columns:!('Message%20ID',Summary),filters:!(),index:'emp_*',interval:auto,query:(query_string:(analyze_wildcard:!t,query:'%22rtdc.l.rtdc.4036%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775</v>
      </c>
      <c r="B180" s="225">
        <v>4035</v>
      </c>
      <c r="C180" s="227" t="s">
        <v>192</v>
      </c>
      <c r="D180" s="227" t="s">
        <v>1028</v>
      </c>
      <c r="E180" s="226">
        <v>43087.516458333332</v>
      </c>
      <c r="F180" s="226">
        <v>43087.529166666667</v>
      </c>
      <c r="G180" s="225">
        <v>53</v>
      </c>
      <c r="H180" s="227" t="s">
        <v>1029</v>
      </c>
      <c r="I180" s="226">
        <v>43087.538090277776</v>
      </c>
      <c r="J180" s="225">
        <v>0</v>
      </c>
      <c r="K180" s="237" t="str">
        <f t="shared" si="62"/>
        <v>4035/4036</v>
      </c>
      <c r="L180" s="245" t="str">
        <f>VLOOKUP(A180,'Trips&amp;Operators'!$C$1:$G$99911,5,FALSE)</f>
        <v>YANAI IAN</v>
      </c>
      <c r="M180" s="224">
        <f t="shared" si="86"/>
        <v>8.923611108912155E-3</v>
      </c>
      <c r="N180" s="225">
        <f t="shared" si="87"/>
        <v>12.849999996833503</v>
      </c>
      <c r="O180" s="225"/>
      <c r="P180" s="225"/>
      <c r="Q180" s="228"/>
      <c r="R180" s="242"/>
      <c r="S180" s="249">
        <f t="shared" si="80"/>
        <v>1</v>
      </c>
      <c r="T180" s="242" t="str">
        <f t="shared" si="64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5"/>
        <v>https://d0f6bd738d7f1b3e5a7ca70fe4ff75f0.us-east-1.aws.found.io/app/kibana#/discover/Steve-Slow-Train-Analysis-(2080s-and-2083s)?_g=(refreshInterval:(display:Off,pause:!f,section:0,value:0),time:(from:'2017-12-18T11:23:42-0700',mode:absolute,to:'2017-12-18T13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0" s="247" t="str">
        <f>IF(AA180&lt;VLOOKUP(AG180,Variables!$AC$3:$AD$8,2,FALSE),"Y","N")</f>
        <v>N</v>
      </c>
      <c r="X180" s="247">
        <f t="shared" si="88"/>
        <v>1</v>
      </c>
      <c r="Y180" s="247">
        <f t="shared" si="90"/>
        <v>5.8605999999999998</v>
      </c>
      <c r="Z180" s="247">
        <f t="shared" si="89"/>
        <v>1.4E-2</v>
      </c>
      <c r="AA180" s="247">
        <f t="shared" si="67"/>
        <v>5.8465999999999996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8"/>
        <v>820</v>
      </c>
      <c r="AE180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80" s="234" t="str">
        <f t="shared" si="70"/>
        <v>"C:\Program Files (x86)\AstroGrep\AstroGrep.exe" /e /r /s /spath="%USERPROFILE%\AppData\Local\Temp\OnboardLogs" /stypes="app*4035*20171218*" /stext=" 19:.+((SYSTEM_STATE.+slice.+state.+changed )|(ment ac)|(multiple cpu faults)|(system.+state.+changed )|(\[timeout)|(PRM\|1\|D)|(kpr)|(kdp)|(train st.+moving)|(\|lc)|(penalty))"</v>
      </c>
      <c r="AG180" s="244" t="str">
        <f t="shared" si="71"/>
        <v>NW</v>
      </c>
      <c r="AH180" s="236" t="str">
        <f t="shared" si="72"/>
        <v>"%USERPROFILE%\Documents\GitHub\eaglep3\Utilities\RefineRTDCRunTimes.py" --tripid 820-18 --locoid 4035 --swversion DE.1.0.9.0 --startMP 300:58606 --initTime 2017-12-18T12:23:42 --startdatetime 2017-12-18T12:42:00 --delay 53 --endMP 204:140 --enddatetime 2017-12-18T12:54:51 --enforcementcount 0 &gt;&gt;%USERPROFILE%\Documents\GitHub\eaglep3-reporting\EC\2017-12-18-refined-times.txt</v>
      </c>
      <c r="AI180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{"issue":{"subject":"","project_id":79,"tracker_id":40,"status_id":1,"priority_id":2,"assigned_to_id":338,"start_date":"2017-12-18","description":"","custom_fields":[{"id":1,"name":"Subdivision","value":"NW"},{"id":4,"name":"Milepost","value":"0.014"},{"id":17,"name":"Train ID","value":"820-18"},{"id":16,"name":"Locomotive ID","value":"4035"},{"id":130,"name":"Impact","value":""},{"id":150,"name":"Time of Event (Mountain Time)","value":"12:54:51"},{"id":151,"name":"Denver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74"/>
        <v>start /low /b %USERPROFILE%\Documents\GitHub\eaglep3\Utilities\DownloadLogsFromS3.py --loco 4035 --day 2017-12-18</v>
      </c>
      <c r="AN180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6"/>
        <v>https://d0f6bd738d7f1b3e5a7ca70fe4ff75f0.us-east-1.aws.found.io/app/kibana#/discover/Steve-Slow-Train-Analysis-(2080s-and-2083s)?_g=(refreshInterval:(display:Off,pause:!f,section:0,value:0),time:(from:'2017-12-18T11:23:42-0700',mode:absolute,to:'2017-12-18T13:54:51-0700'))&amp;_a=(columns:!('Message%20ID',Summary),filters:!(),index:'emp_*',interval:auto,query:(query_string:(analyze_wildcard:!t,query:'%22rtdc.l.rtdc.4035%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25">
      <c r="A181" s="229" t="s">
        <v>782</v>
      </c>
      <c r="B181" s="225">
        <v>4036</v>
      </c>
      <c r="C181" s="227" t="s">
        <v>192</v>
      </c>
      <c r="D181" s="227" t="s">
        <v>629</v>
      </c>
      <c r="E181" s="226">
        <v>43087.541944444441</v>
      </c>
      <c r="F181" s="226">
        <v>43087.548437500001</v>
      </c>
      <c r="G181" s="225">
        <v>133</v>
      </c>
      <c r="H181" s="227" t="s">
        <v>623</v>
      </c>
      <c r="I181" s="226">
        <v>43087.55940972222</v>
      </c>
      <c r="J181" s="225">
        <v>0</v>
      </c>
      <c r="K181" s="237" t="str">
        <f t="shared" si="62"/>
        <v>4035/4036</v>
      </c>
      <c r="L181" s="245" t="str">
        <f>VLOOKUP(A181,'Trips&amp;Operators'!$C$1:$G$99911,5,FALSE)</f>
        <v>GONZALEZ ARMANDO</v>
      </c>
      <c r="M181" s="224">
        <f t="shared" si="86"/>
        <v>1.0972222218697425E-2</v>
      </c>
      <c r="N181" s="225">
        <f t="shared" si="87"/>
        <v>15.799999994924292</v>
      </c>
      <c r="O181" s="225"/>
      <c r="P181" s="225"/>
      <c r="Q181" s="228"/>
      <c r="R181" s="242"/>
      <c r="S181" s="249">
        <f t="shared" si="80"/>
        <v>1</v>
      </c>
      <c r="T181" s="242" t="str">
        <f t="shared" si="64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5"/>
        <v>https://d0f6bd738d7f1b3e5a7ca70fe4ff75f0.us-east-1.aws.found.io/app/kibana#/discover/Steve-Slow-Train-Analysis-(2080s-and-2083s)?_g=(refreshInterval:(display:Off,pause:!f,section:0,value:0),time:(from:'2017-12-18T12:00:24-0700',mode:absolute,to:'2017-12-18T14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1" s="247" t="str">
        <f>IF(AA181&lt;VLOOKUP(AG181,Variables!$AC$3:$AD$8,2,FALSE),"Y","N")</f>
        <v>N</v>
      </c>
      <c r="X181" s="247">
        <f t="shared" si="88"/>
        <v>1</v>
      </c>
      <c r="Y181" s="247">
        <f t="shared" si="90"/>
        <v>4.3200000000000002E-2</v>
      </c>
      <c r="Z181" s="247">
        <f t="shared" si="89"/>
        <v>5.8954000000000004</v>
      </c>
      <c r="AA181" s="247">
        <f t="shared" si="67"/>
        <v>5.8522000000000007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8"/>
        <v>821</v>
      </c>
      <c r="AE181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81" s="234" t="str">
        <f t="shared" si="70"/>
        <v>"C:\Program Files (x86)\AstroGrep\AstroGrep.exe" /e /r /s /spath="%USERPROFILE%\AppData\Local\Temp\OnboardLogs" /stypes="app*4036*20171218*" /stext=" 20:.+((SYSTEM_STATE.+slice.+state.+changed )|(ment ac)|(multiple cpu faults)|(system.+state.+changed )|(\[timeout)|(PRM\|1\|D)|(kpr)|(kdp)|(train st.+moving)|(\|lc)|(penalty))"</v>
      </c>
      <c r="AG181" s="244" t="str">
        <f t="shared" si="71"/>
        <v>NW</v>
      </c>
      <c r="AH181" s="236" t="str">
        <f t="shared" si="72"/>
        <v>"%USERPROFILE%\Documents\GitHub\eaglep3\Utilities\RefineRTDCRunTimes.py" --tripid 821-18 --locoid 4036 --swversion DE.1.0.9.0 --startMP 204:432 --initTime 2017-12-18T13:00:24 --startdatetime 2017-12-18T13:09:45 --delay 133 --endMP 300:58954 --enddatetime 2017-12-18T13:25:33 --enforcementcount 0 &gt;&gt;%USERPROFILE%\Documents\GitHub\eaglep3-reporting\EC\2017-12-18-refined-times.txt</v>
      </c>
      <c r="AI181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{"issue":{"subject":"","project_id":79,"tracker_id":40,"status_id":1,"priority_id":2,"assigned_to_id":338,"start_date":"2017-12-18","description":"","custom_fields":[{"id":1,"name":"Subdivision","value":"NW"},{"id":4,"name":"Milepost","value":"5.8954"},{"id":17,"name":"Train ID","value":"821-18"},{"id":16,"name":"Locomotive ID","value":"4036"},{"id":130,"name":"Impact","value":""},{"id":150,"name":"Time of Event (Mountain Time)","value":"13:25:33"},{"id":151,"name":"Denver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74"/>
        <v>start /low /b %USERPROFILE%\Documents\GitHub\eaglep3\Utilities\DownloadLogsFromS3.py --loco 4036 --day 2017-12-18</v>
      </c>
      <c r="AN181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6"/>
        <v>https://d0f6bd738d7f1b3e5a7ca70fe4ff75f0.us-east-1.aws.found.io/app/kibana#/discover/Steve-Slow-Train-Analysis-(2080s-and-2083s)?_g=(refreshInterval:(display:Off,pause:!f,section:0,value:0),time:(from:'2017-12-18T12:00:24-0700',mode:absolute,to:'2017-12-18T14:25:33-0700'))&amp;_a=(columns:!('Message%20ID',Summary),filters:!(),index:'emp_*',interval:auto,query:(query_string:(analyze_wildcard:!t,query:'%22rtdc.l.rtdc.4036%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25">
      <c r="A182" s="229" t="s">
        <v>786</v>
      </c>
      <c r="B182" s="225">
        <v>4035</v>
      </c>
      <c r="C182" s="227" t="s">
        <v>192</v>
      </c>
      <c r="D182" s="227" t="s">
        <v>1030</v>
      </c>
      <c r="E182" s="226">
        <v>43087.560682870368</v>
      </c>
      <c r="F182" s="226">
        <v>43087.570833333331</v>
      </c>
      <c r="G182" s="225">
        <v>68</v>
      </c>
      <c r="H182" s="227" t="s">
        <v>657</v>
      </c>
      <c r="I182" s="226">
        <v>43087.579872685186</v>
      </c>
      <c r="J182" s="225">
        <v>0</v>
      </c>
      <c r="K182" s="237" t="str">
        <f t="shared" si="62"/>
        <v>4035/4036</v>
      </c>
      <c r="L182" s="245" t="str">
        <f>VLOOKUP(A182,'Trips&amp;Operators'!$C$1:$G$99911,5,FALSE)</f>
        <v>GONZALEZ ARMANDO</v>
      </c>
      <c r="M182" s="224">
        <f t="shared" si="86"/>
        <v>9.0393518548808061E-3</v>
      </c>
      <c r="N182" s="225">
        <f t="shared" si="87"/>
        <v>13.016666671028361</v>
      </c>
      <c r="O182" s="225"/>
      <c r="P182" s="225"/>
      <c r="Q182" s="228"/>
      <c r="R182" s="242"/>
      <c r="S182" s="249">
        <f t="shared" si="80"/>
        <v>1</v>
      </c>
      <c r="T182" s="242" t="str">
        <f t="shared" si="64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5"/>
        <v>https://d0f6bd738d7f1b3e5a7ca70fe4ff75f0.us-east-1.aws.found.io/app/kibana#/discover/Steve-Slow-Train-Analysis-(2080s-and-2083s)?_g=(refreshInterval:(display:Off,pause:!f,section:0,value:0),time:(from:'2017-12-18T12:27:23-0700',mode:absolute,to:'2017-12-18T14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2" s="247" t="str">
        <f>IF(AA182&lt;VLOOKUP(AG182,Variables!$AC$3:$AD$8,2,FALSE),"Y","N")</f>
        <v>N</v>
      </c>
      <c r="X182" s="247">
        <f t="shared" si="88"/>
        <v>1</v>
      </c>
      <c r="Y182" s="247">
        <f t="shared" si="90"/>
        <v>5.8639999999999999</v>
      </c>
      <c r="Z182" s="247">
        <f t="shared" si="89"/>
        <v>1.6899999999999998E-2</v>
      </c>
      <c r="AA182" s="247">
        <f t="shared" si="67"/>
        <v>5.8471000000000002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8"/>
        <v>822</v>
      </c>
      <c r="AE182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82" s="234" t="str">
        <f t="shared" si="70"/>
        <v>"C:\Program Files (x86)\AstroGrep\AstroGrep.exe" /e /r /s /spath="%USERPROFILE%\AppData\Local\Temp\OnboardLogs" /stypes="app*4035*20171218*" /stext=" 20:.+((SYSTEM_STATE.+slice.+state.+changed )|(ment ac)|(multiple cpu faults)|(system.+state.+changed )|(\[timeout)|(PRM\|1\|D)|(kpr)|(kdp)|(train st.+moving)|(\|lc)|(penalty))"</v>
      </c>
      <c r="AG182" s="244" t="str">
        <f t="shared" si="71"/>
        <v>NW</v>
      </c>
      <c r="AH182" s="236" t="str">
        <f t="shared" si="72"/>
        <v>"%USERPROFILE%\Documents\GitHub\eaglep3\Utilities\RefineRTDCRunTimes.py" --tripid 822-18 --locoid 4035 --swversion DE.1.0.9.0 --startMP 300:58640 --initTime 2017-12-18T13:27:23 --startdatetime 2017-12-18T13:42:00 --delay 68 --endMP 204:169 --enddatetime 2017-12-18T13:55:01 --enforcementcount 0 &gt;&gt;%USERPROFILE%\Documents\GitHub\eaglep3-reporting\EC\2017-12-18-refined-times.txt</v>
      </c>
      <c r="AI182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{"issue":{"subject":"","project_id":79,"tracker_id":40,"status_id":1,"priority_id":2,"assigned_to_id":338,"start_date":"2017-12-18","description":"","custom_fields":[{"id":1,"name":"Subdivision","value":"NW"},{"id":4,"name":"Milepost","value":"0.0169"},{"id":17,"name":"Train ID","value":"822-18"},{"id":16,"name":"Locomotive ID","value":"4035"},{"id":130,"name":"Impact","value":""},{"id":150,"name":"Time of Event (Mountain Time)","value":"13:55:01"},{"id":151,"name":"Denver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74"/>
        <v>start /low /b %USERPROFILE%\Documents\GitHub\eaglep3\Utilities\DownloadLogsFromS3.py --loco 4035 --day 2017-12-18</v>
      </c>
      <c r="AN182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6"/>
        <v>https://d0f6bd738d7f1b3e5a7ca70fe4ff75f0.us-east-1.aws.found.io/app/kibana#/discover/Steve-Slow-Train-Analysis-(2080s-and-2083s)?_g=(refreshInterval:(display:Off,pause:!f,section:0,value:0),time:(from:'2017-12-18T12:27:23-0700',mode:absolute,to:'2017-12-18T14:55:01-0700'))&amp;_a=(columns:!('Message%20ID',Summary),filters:!(),index:'emp_*',interval:auto,query:(query_string:(analyze_wildcard:!t,query:'%22rtdc.l.rtdc.4035%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791</v>
      </c>
      <c r="B183" s="225">
        <v>4036</v>
      </c>
      <c r="C183" s="227" t="s">
        <v>192</v>
      </c>
      <c r="D183" s="227" t="s">
        <v>603</v>
      </c>
      <c r="E183" s="226">
        <v>43087.587094907409</v>
      </c>
      <c r="F183" s="226">
        <v>43087.589756944442</v>
      </c>
      <c r="G183" s="225">
        <v>52</v>
      </c>
      <c r="H183" s="227" t="s">
        <v>573</v>
      </c>
      <c r="I183" s="226">
        <v>43087.599583333336</v>
      </c>
      <c r="J183" s="225">
        <v>0</v>
      </c>
      <c r="K183" s="237" t="str">
        <f t="shared" si="62"/>
        <v>4035/4036</v>
      </c>
      <c r="L183" s="245" t="str">
        <f>VLOOKUP(A183,'Trips&amp;Operators'!$C$1:$G$99911,5,FALSE)</f>
        <v>GONZALEZ ARMANDO</v>
      </c>
      <c r="M183" s="224">
        <f t="shared" si="86"/>
        <v>9.826388893998228E-3</v>
      </c>
      <c r="N183" s="225">
        <f t="shared" si="87"/>
        <v>14.150000007357448</v>
      </c>
      <c r="O183" s="225"/>
      <c r="P183" s="225"/>
      <c r="Q183" s="228"/>
      <c r="R183" s="242"/>
      <c r="S183" s="249">
        <f t="shared" si="80"/>
        <v>1</v>
      </c>
      <c r="T183" s="242" t="str">
        <f t="shared" si="64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5"/>
        <v>https://d0f6bd738d7f1b3e5a7ca70fe4ff75f0.us-east-1.aws.found.io/app/kibana#/discover/Steve-Slow-Train-Analysis-(2080s-and-2083s)?_g=(refreshInterval:(display:Off,pause:!f,section:0,value:0),time:(from:'2017-12-18T13:05:25-0700',mode:absolute,to:'2017-12-18T15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3" s="247" t="str">
        <f>IF(AA183&lt;VLOOKUP(AG183,Variables!$AC$3:$AD$8,2,FALSE),"Y","N")</f>
        <v>N</v>
      </c>
      <c r="X183" s="247">
        <f t="shared" si="88"/>
        <v>1</v>
      </c>
      <c r="Y183" s="247">
        <f t="shared" si="90"/>
        <v>4.5100000000000001E-2</v>
      </c>
      <c r="Z183" s="247">
        <f t="shared" si="89"/>
        <v>5.8956</v>
      </c>
      <c r="AA183" s="247">
        <f t="shared" si="67"/>
        <v>5.8505000000000003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8"/>
        <v>823</v>
      </c>
      <c r="AE183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83" s="234" t="str">
        <f t="shared" si="70"/>
        <v>"C:\Program Files (x86)\AstroGrep\AstroGrep.exe" /e /r /s /spath="%USERPROFILE%\AppData\Local\Temp\OnboardLogs" /stypes="app*4036*20171218*" /stext=" 21:.+((SYSTEM_STATE.+slice.+state.+changed )|(ment ac)|(multiple cpu faults)|(system.+state.+changed )|(\[timeout)|(PRM\|1\|D)|(kpr)|(kdp)|(train st.+moving)|(\|lc)|(penalty))"</v>
      </c>
      <c r="AG183" s="244" t="str">
        <f t="shared" si="71"/>
        <v>NW</v>
      </c>
      <c r="AH183" s="236" t="str">
        <f t="shared" si="72"/>
        <v>"%USERPROFILE%\Documents\GitHub\eaglep3\Utilities\RefineRTDCRunTimes.py" --tripid 823-18 --locoid 4036 --swversion DE.1.0.9.0 --startMP 204:451 --initTime 2017-12-18T14:05:25 --startdatetime 2017-12-18T14:09:15 --delay 52 --endMP 300:58956 --enddatetime 2017-12-18T14:23:24 --enforcementcount 0 &gt;&gt;%USERPROFILE%\Documents\GitHub\eaglep3-reporting\EC\2017-12-18-refined-times.txt</v>
      </c>
      <c r="AI183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{"issue":{"subject":"","project_id":79,"tracker_id":40,"status_id":1,"priority_id":2,"assigned_to_id":338,"start_date":"2017-12-18","description":"","custom_fields":[{"id":1,"name":"Subdivision","value":"NW"},{"id":4,"name":"Milepost","value":"5.8956"},{"id":17,"name":"Train ID","value":"823-18"},{"id":16,"name":"Locomotive ID","value":"4036"},{"id":130,"name":"Impact","value":""},{"id":150,"name":"Time of Event (Mountain Time)","value":"14:23:24"},{"id":151,"name":"Denver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4"/>
        <v>start /low /b %USERPROFILE%\Documents\GitHub\eaglep3\Utilities\DownloadLogsFromS3.py --loco 4036 --day 2017-12-18</v>
      </c>
      <c r="AN183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6"/>
        <v>https://d0f6bd738d7f1b3e5a7ca70fe4ff75f0.us-east-1.aws.found.io/app/kibana#/discover/Steve-Slow-Train-Analysis-(2080s-and-2083s)?_g=(refreshInterval:(display:Off,pause:!f,section:0,value:0),time:(from:'2017-12-18T13:05:25-0700',mode:absolute,to:'2017-12-18T15:23:24-0700'))&amp;_a=(columns:!('Message%20ID',Summary),filters:!(),index:'emp_*',interval:auto,query:(query_string:(analyze_wildcard:!t,query:'%22rtdc.l.rtdc.4036%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797</v>
      </c>
      <c r="B184" s="225">
        <v>4035</v>
      </c>
      <c r="C184" s="227" t="s">
        <v>192</v>
      </c>
      <c r="D184" s="227" t="s">
        <v>1030</v>
      </c>
      <c r="E184" s="226">
        <v>43087.600798611114</v>
      </c>
      <c r="F184" s="226">
        <v>43087.612500000003</v>
      </c>
      <c r="G184" s="225">
        <v>68</v>
      </c>
      <c r="H184" s="227" t="s">
        <v>578</v>
      </c>
      <c r="I184" s="226">
        <v>43087.621863425928</v>
      </c>
      <c r="J184" s="225">
        <v>0</v>
      </c>
      <c r="K184" s="237" t="str">
        <f t="shared" si="62"/>
        <v>4035/4036</v>
      </c>
      <c r="L184" s="245" t="str">
        <f>VLOOKUP(A184,'Trips&amp;Operators'!$C$1:$G$99911,5,FALSE)</f>
        <v>GONZALEZ ARMANDO</v>
      </c>
      <c r="M184" s="224">
        <f t="shared" si="86"/>
        <v>9.3634259246755391E-3</v>
      </c>
      <c r="N184" s="225">
        <f t="shared" si="87"/>
        <v>13.483333331532776</v>
      </c>
      <c r="O184" s="225"/>
      <c r="P184" s="225"/>
      <c r="Q184" s="228"/>
      <c r="R184" s="242"/>
      <c r="S184" s="249">
        <f t="shared" si="80"/>
        <v>1</v>
      </c>
      <c r="T184" s="242" t="str">
        <f t="shared" si="64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5"/>
        <v>https://d0f6bd738d7f1b3e5a7ca70fe4ff75f0.us-east-1.aws.found.io/app/kibana#/discover/Steve-Slow-Train-Analysis-(2080s-and-2083s)?_g=(refreshInterval:(display:Off,pause:!f,section:0,value:0),time:(from:'2017-12-18T13:25:09-0700',mode:absolute,to:'2017-12-18T15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4" s="247" t="str">
        <f>IF(AA184&lt;VLOOKUP(AG184,Variables!$AC$3:$AD$8,2,FALSE),"Y","N")</f>
        <v>N</v>
      </c>
      <c r="X184" s="247">
        <f t="shared" si="88"/>
        <v>1</v>
      </c>
      <c r="Y184" s="247">
        <f t="shared" si="90"/>
        <v>5.8639999999999999</v>
      </c>
      <c r="Z184" s="247">
        <f t="shared" si="89"/>
        <v>1.6E-2</v>
      </c>
      <c r="AA184" s="247">
        <f t="shared" si="67"/>
        <v>5.8479999999999999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8"/>
        <v>824</v>
      </c>
      <c r="AE184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84" s="234" t="str">
        <f t="shared" si="70"/>
        <v>"C:\Program Files (x86)\AstroGrep\AstroGrep.exe" /e /r /s /spath="%USERPROFILE%\AppData\Local\Temp\OnboardLogs" /stypes="app*4035*20171218*" /stext=" 21:.+((SYSTEM_STATE.+slice.+state.+changed )|(ment ac)|(multiple cpu faults)|(system.+state.+changed )|(\[timeout)|(PRM\|1\|D)|(kpr)|(kdp)|(train st.+moving)|(\|lc)|(penalty))"</v>
      </c>
      <c r="AG184" s="244" t="str">
        <f t="shared" si="71"/>
        <v>NW</v>
      </c>
      <c r="AH184" s="236" t="str">
        <f t="shared" si="72"/>
        <v>"%USERPROFILE%\Documents\GitHub\eaglep3\Utilities\RefineRTDCRunTimes.py" --tripid 824-18 --locoid 4035 --swversion DE.1.0.9.0 --startMP 300:58640 --initTime 2017-12-18T14:25:09 --startdatetime 2017-12-18T14:42:00 --delay 68 --endMP 204:160 --enddatetime 2017-12-18T14:55:29 --enforcementcount 0 &gt;&gt;%USERPROFILE%\Documents\GitHub\eaglep3-reporting\EC\2017-12-18-refined-times.txt</v>
      </c>
      <c r="AI184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{"issue":{"subject":"","project_id":79,"tracker_id":40,"status_id":1,"priority_id":2,"assigned_to_id":338,"start_date":"2017-12-18","description":"","custom_fields":[{"id":1,"name":"Subdivision","value":"NW"},{"id":4,"name":"Milepost","value":"0.016"},{"id":17,"name":"Train ID","value":"824-18"},{"id":16,"name":"Locomotive ID","value":"4035"},{"id":130,"name":"Impact","value":""},{"id":150,"name":"Time of Event (Mountain Time)","value":"14:55:29"},{"id":151,"name":"Denver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74"/>
        <v>start /low /b %USERPROFILE%\Documents\GitHub\eaglep3\Utilities\DownloadLogsFromS3.py --loco 4035 --day 2017-12-18</v>
      </c>
      <c r="AN184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6"/>
        <v>https://d0f6bd738d7f1b3e5a7ca70fe4ff75f0.us-east-1.aws.found.io/app/kibana#/discover/Steve-Slow-Train-Analysis-(2080s-and-2083s)?_g=(refreshInterval:(display:Off,pause:!f,section:0,value:0),time:(from:'2017-12-18T13:25:09-0700',mode:absolute,to:'2017-12-18T15:55:29-0700'))&amp;_a=(columns:!('Message%20ID',Summary),filters:!(),index:'emp_*',interval:auto,query:(query_string:(analyze_wildcard:!t,query:'%22rtdc.l.rtdc.4035%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802</v>
      </c>
      <c r="B185" s="225">
        <v>4036</v>
      </c>
      <c r="C185" s="227" t="s">
        <v>192</v>
      </c>
      <c r="D185" s="227" t="s">
        <v>621</v>
      </c>
      <c r="E185" s="226">
        <v>43087.627847222226</v>
      </c>
      <c r="F185" s="226">
        <v>43087.63144675926</v>
      </c>
      <c r="G185" s="225">
        <v>75</v>
      </c>
      <c r="H185" s="227" t="s">
        <v>1031</v>
      </c>
      <c r="I185" s="226">
        <v>43087.641122685185</v>
      </c>
      <c r="J185" s="225">
        <v>0</v>
      </c>
      <c r="K185" s="237" t="str">
        <f t="shared" si="62"/>
        <v>4035/4036</v>
      </c>
      <c r="L185" s="245" t="str">
        <f>VLOOKUP(A185,'Trips&amp;Operators'!$C$1:$G$99911,5,FALSE)</f>
        <v>GONZALEZ ARMANDO</v>
      </c>
      <c r="M185" s="224">
        <f t="shared" si="86"/>
        <v>9.6759259249665774E-3</v>
      </c>
      <c r="N185" s="225">
        <f t="shared" si="87"/>
        <v>13.933333331951872</v>
      </c>
      <c r="O185" s="225"/>
      <c r="P185" s="225"/>
      <c r="Q185" s="228"/>
      <c r="R185" s="242"/>
      <c r="S185" s="249">
        <f t="shared" si="80"/>
        <v>1</v>
      </c>
      <c r="T185" s="242" t="str">
        <f t="shared" si="64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5"/>
        <v>https://d0f6bd738d7f1b3e5a7ca70fe4ff75f0.us-east-1.aws.found.io/app/kibana#/discover/Steve-Slow-Train-Analysis-(2080s-and-2083s)?_g=(refreshInterval:(display:Off,pause:!f,section:0,value:0),time:(from:'2017-12-18T14:04:06-0700',mode:absolute,to:'2017-12-18T16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5" s="247" t="str">
        <f>IF(AA185&lt;VLOOKUP(AG185,Variables!$AC$3:$AD$8,2,FALSE),"Y","N")</f>
        <v>N</v>
      </c>
      <c r="X185" s="247">
        <f t="shared" si="88"/>
        <v>1</v>
      </c>
      <c r="Y185" s="247">
        <f t="shared" si="90"/>
        <v>4.48E-2</v>
      </c>
      <c r="Z185" s="247">
        <f t="shared" si="89"/>
        <v>5.8968999999999996</v>
      </c>
      <c r="AA185" s="247">
        <f t="shared" si="67"/>
        <v>5.8520999999999992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8"/>
        <v>825</v>
      </c>
      <c r="AE185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85" s="234" t="str">
        <f t="shared" si="70"/>
        <v>"C:\Program Files (x86)\AstroGrep\AstroGrep.exe" /e /r /s /spath="%USERPROFILE%\AppData\Local\Temp\OnboardLogs" /stypes="app*4036*20171218*" /stext=" 22:.+((SYSTEM_STATE.+slice.+state.+changed )|(ment ac)|(multiple cpu faults)|(system.+state.+changed )|(\[timeout)|(PRM\|1\|D)|(kpr)|(kdp)|(train st.+moving)|(\|lc)|(penalty))"</v>
      </c>
      <c r="AG185" s="244" t="str">
        <f t="shared" si="71"/>
        <v>NW</v>
      </c>
      <c r="AH185" s="236" t="str">
        <f t="shared" si="72"/>
        <v>"%USERPROFILE%\Documents\GitHub\eaglep3\Utilities\RefineRTDCRunTimes.py" --tripid 825-18 --locoid 4036 --swversion DE.1.0.9.0 --startMP 204:448 --initTime 2017-12-18T15:04:06 --startdatetime 2017-12-18T15:09:17 --delay 75 --endMP 300:58969 --enddatetime 2017-12-18T15:23:13 --enforcementcount 0 &gt;&gt;%USERPROFILE%\Documents\GitHub\eaglep3-reporting\EC\2017-12-18-refined-times.txt</v>
      </c>
      <c r="AI185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{"issue":{"subject":"","project_id":79,"tracker_id":40,"status_id":1,"priority_id":2,"assigned_to_id":338,"start_date":"2017-12-18","description":"","custom_fields":[{"id":1,"name":"Subdivision","value":"NW"},{"id":4,"name":"Milepost","value":"5.8969"},{"id":17,"name":"Train ID","value":"825-18"},{"id":16,"name":"Locomotive ID","value":"4036"},{"id":130,"name":"Impact","value":""},{"id":150,"name":"Time of Event (Mountain Time)","value":"15:23:13"},{"id":151,"name":"Denver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4"/>
        <v>start /low /b %USERPROFILE%\Documents\GitHub\eaglep3\Utilities\DownloadLogsFromS3.py --loco 4036 --day 2017-12-18</v>
      </c>
      <c r="AN185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6"/>
        <v>https://d0f6bd738d7f1b3e5a7ca70fe4ff75f0.us-east-1.aws.found.io/app/kibana#/discover/Steve-Slow-Train-Analysis-(2080s-and-2083s)?_g=(refreshInterval:(display:Off,pause:!f,section:0,value:0),time:(from:'2017-12-18T14:04:06-0700',mode:absolute,to:'2017-12-18T16:23:13-0700'))&amp;_a=(columns:!('Message%20ID',Summary),filters:!(),index:'emp_*',interval:auto,query:(query_string:(analyze_wildcard:!t,query:'%22rtdc.l.rtdc.4036%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806</v>
      </c>
      <c r="B186" s="225">
        <v>4035</v>
      </c>
      <c r="C186" s="227" t="s">
        <v>192</v>
      </c>
      <c r="D186" s="227" t="s">
        <v>1032</v>
      </c>
      <c r="E186" s="226">
        <v>43087.642060185186</v>
      </c>
      <c r="F186" s="226">
        <v>43087.654166666667</v>
      </c>
      <c r="G186" s="225">
        <v>58</v>
      </c>
      <c r="H186" s="227" t="s">
        <v>659</v>
      </c>
      <c r="I186" s="226">
        <v>43087.662939814814</v>
      </c>
      <c r="J186" s="225">
        <v>0</v>
      </c>
      <c r="K186" s="237" t="str">
        <f t="shared" si="62"/>
        <v>4035/4036</v>
      </c>
      <c r="L186" s="245" t="str">
        <f>VLOOKUP(A186,'Trips&amp;Operators'!$C$1:$G$99911,5,FALSE)</f>
        <v>GONZALEZ ARMANDO</v>
      </c>
      <c r="M186" s="224">
        <f t="shared" si="86"/>
        <v>8.7731481471564621E-3</v>
      </c>
      <c r="N186" s="225">
        <f t="shared" si="87"/>
        <v>12.633333331905305</v>
      </c>
      <c r="O186" s="225"/>
      <c r="P186" s="225"/>
      <c r="Q186" s="228"/>
      <c r="R186" s="242"/>
      <c r="S186" s="249">
        <f t="shared" si="80"/>
        <v>1</v>
      </c>
      <c r="T186" s="242" t="str">
        <f t="shared" si="64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5"/>
        <v>https://d0f6bd738d7f1b3e5a7ca70fe4ff75f0.us-east-1.aws.found.io/app/kibana#/discover/Steve-Slow-Train-Analysis-(2080s-and-2083s)?_g=(refreshInterval:(display:Off,pause:!f,section:0,value:0),time:(from:'2017-12-18T14:24:34-0700',mode:absolute,to:'2017-12-18T16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6" s="247" t="str">
        <f>IF(AA186&lt;VLOOKUP(AG186,Variables!$AC$3:$AD$8,2,FALSE),"Y","N")</f>
        <v>N</v>
      </c>
      <c r="X186" s="247">
        <f t="shared" si="88"/>
        <v>1</v>
      </c>
      <c r="Y186" s="247">
        <f t="shared" si="90"/>
        <v>5.8655999999999997</v>
      </c>
      <c r="Z186" s="247">
        <f t="shared" si="89"/>
        <v>1.26E-2</v>
      </c>
      <c r="AA186" s="247">
        <f t="shared" si="67"/>
        <v>5.8529999999999998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8"/>
        <v>826</v>
      </c>
      <c r="AE186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86" s="234" t="str">
        <f t="shared" si="70"/>
        <v>"C:\Program Files (x86)\AstroGrep\AstroGrep.exe" /e /r /s /spath="%USERPROFILE%\AppData\Local\Temp\OnboardLogs" /stypes="app*4035*20171218*" /stext=" 22:.+((SYSTEM_STATE.+slice.+state.+changed )|(ment ac)|(multiple cpu faults)|(system.+state.+changed )|(\[timeout)|(PRM\|1\|D)|(kpr)|(kdp)|(train st.+moving)|(\|lc)|(penalty))"</v>
      </c>
      <c r="AG186" s="244" t="str">
        <f t="shared" si="71"/>
        <v>NW</v>
      </c>
      <c r="AH186" s="236" t="str">
        <f t="shared" si="72"/>
        <v>"%USERPROFILE%\Documents\GitHub\eaglep3\Utilities\RefineRTDCRunTimes.py" --tripid 826-18 --locoid 4035 --swversion DE.1.0.9.0 --startMP 300:58656 --initTime 2017-12-18T15:24:34 --startdatetime 2017-12-18T15:42:00 --delay 58 --endMP 204:126 --enddatetime 2017-12-18T15:54:38 --enforcementcount 0 &gt;&gt;%USERPROFILE%\Documents\GitHub\eaglep3-reporting\EC\2017-12-18-refined-times.txt</v>
      </c>
      <c r="AI186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{"issue":{"subject":"","project_id":79,"tracker_id":40,"status_id":1,"priority_id":2,"assigned_to_id":338,"start_date":"2017-12-18","description":"","custom_fields":[{"id":1,"name":"Subdivision","value":"NW"},{"id":4,"name":"Milepost","value":"0.0126"},{"id":17,"name":"Train ID","value":"826-18"},{"id":16,"name":"Locomotive ID","value":"4035"},{"id":130,"name":"Impact","value":""},{"id":150,"name":"Time of Event (Mountain Time)","value":"15:54:38"},{"id":151,"name":"Denver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74"/>
        <v>start /low /b %USERPROFILE%\Documents\GitHub\eaglep3\Utilities\DownloadLogsFromS3.py --loco 4035 --day 2017-12-18</v>
      </c>
      <c r="AN186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6"/>
        <v>https://d0f6bd738d7f1b3e5a7ca70fe4ff75f0.us-east-1.aws.found.io/app/kibana#/discover/Steve-Slow-Train-Analysis-(2080s-and-2083s)?_g=(refreshInterval:(display:Off,pause:!f,section:0,value:0),time:(from:'2017-12-18T14:24:34-0700',mode:absolute,to:'2017-12-18T16:54:38-0700'))&amp;_a=(columns:!('Message%20ID',Summary),filters:!(),index:'emp_*',interval:auto,query:(query_string:(analyze_wildcard:!t,query:'%22rtdc.l.rtdc.4035%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808</v>
      </c>
      <c r="B187" s="225">
        <v>4062</v>
      </c>
      <c r="C187" s="227" t="s">
        <v>192</v>
      </c>
      <c r="D187" s="227" t="s">
        <v>1033</v>
      </c>
      <c r="E187" s="226">
        <v>43087.649317129632</v>
      </c>
      <c r="F187" s="226">
        <v>43087.652499999997</v>
      </c>
      <c r="G187" s="225">
        <v>90</v>
      </c>
      <c r="H187" s="227" t="s">
        <v>625</v>
      </c>
      <c r="I187" s="226">
        <v>43087.661990740744</v>
      </c>
      <c r="J187" s="225">
        <v>0</v>
      </c>
      <c r="K187" s="237" t="str">
        <f t="shared" si="62"/>
        <v>4061/4062</v>
      </c>
      <c r="L187" s="245" t="str">
        <f>VLOOKUP(A187,'Trips&amp;Operators'!$C$1:$G$99911,5,FALSE)</f>
        <v>STAMBAUGH JAMES</v>
      </c>
      <c r="M187" s="224">
        <f t="shared" si="86"/>
        <v>9.4907407474238425E-3</v>
      </c>
      <c r="N187" s="225">
        <f t="shared" si="87"/>
        <v>13.666666676290333</v>
      </c>
      <c r="O187" s="225"/>
      <c r="P187" s="225"/>
      <c r="Q187" s="228"/>
      <c r="R187" s="242"/>
      <c r="S187" s="249">
        <f t="shared" si="80"/>
        <v>1</v>
      </c>
      <c r="T187" s="242" t="str">
        <f t="shared" si="64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5"/>
        <v>https://d0f6bd738d7f1b3e5a7ca70fe4ff75f0.us-east-1.aws.found.io/app/kibana#/discover/Steve-Slow-Train-Analysis-(2080s-and-2083s)?_g=(refreshInterval:(display:Off,pause:!f,section:0,value:0),time:(from:'2017-12-18T14:35:01-0700',mode:absolute,to:'2017-12-18T16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247" t="str">
        <f>IF(AA187&lt;VLOOKUP(AG187,Variables!$AC$3:$AD$8,2,FALSE),"Y","N")</f>
        <v>N</v>
      </c>
      <c r="X187" s="247">
        <f t="shared" si="88"/>
        <v>1</v>
      </c>
      <c r="Y187" s="247">
        <f t="shared" si="90"/>
        <v>4.2599999999999999E-2</v>
      </c>
      <c r="Z187" s="247">
        <f t="shared" si="89"/>
        <v>5.8936999999999999</v>
      </c>
      <c r="AA187" s="247">
        <f t="shared" si="67"/>
        <v>5.8510999999999997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8"/>
        <v>827</v>
      </c>
      <c r="AE187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87" s="234" t="str">
        <f t="shared" si="70"/>
        <v>"C:\Program Files (x86)\AstroGrep\AstroGrep.exe" /e /r /s /spath="%USERPROFILE%\AppData\Local\Temp\OnboardLogs" /stypes="app*4062*20171218*" /stext=" 22:.+((SYSTEM_STATE.+slice.+state.+changed )|(ment ac)|(multiple cpu faults)|(system.+state.+changed )|(\[timeout)|(PRM\|1\|D)|(kpr)|(kdp)|(train st.+moving)|(\|lc)|(penalty))"</v>
      </c>
      <c r="AG187" s="244" t="str">
        <f t="shared" si="71"/>
        <v>NW</v>
      </c>
      <c r="AH187" s="236" t="str">
        <f t="shared" si="72"/>
        <v>"%USERPROFILE%\Documents\GitHub\eaglep3\Utilities\RefineRTDCRunTimes.py" --tripid 827-18 --locoid 4062 --swversion DE.1.0.9.0 --startMP 204:426 --initTime 2017-12-18T15:35:01 --startdatetime 2017-12-18T15:39:36 --delay 90 --endMP 300:58937 --enddatetime 2017-12-18T15:53:16 --enforcementcount 0 &gt;&gt;%USERPROFILE%\Documents\GitHub\eaglep3-reporting\EC\2017-12-18-refined-times.txt</v>
      </c>
      <c r="AI187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{"issue":{"subject":"","project_id":79,"tracker_id":40,"status_id":1,"priority_id":2,"assigned_to_id":338,"start_date":"2017-12-18","description":"","custom_fields":[{"id":1,"name":"Subdivision","value":"NW"},{"id":4,"name":"Milepost","value":"5.8937"},{"id":17,"name":"Train ID","value":"827-18"},{"id":16,"name":"Locomotive ID","value":"4062"},{"id":130,"name":"Impact","value":""},{"id":150,"name":"Time of Event (Mountain Time)","value":"15:53:16"},{"id":151,"name":"Denver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4"/>
        <v>start /low /b %USERPROFILE%\Documents\GitHub\eaglep3\Utilities\DownloadLogsFromS3.py --loco 4062 --day 2017-12-18</v>
      </c>
      <c r="AN187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6"/>
        <v>https://d0f6bd738d7f1b3e5a7ca70fe4ff75f0.us-east-1.aws.found.io/app/kibana#/discover/Steve-Slow-Train-Analysis-(2080s-and-2083s)?_g=(refreshInterval:(display:Off,pause:!f,section:0,value:0),time:(from:'2017-12-18T14:35:01-0700',mode:absolute,to:'2017-12-18T16:53:16-0700'))&amp;_a=(columns:!('Message%20ID',Summary),filters:!(),index:'emp_*',interval:auto,query:(query_string:(analyze_wildcard:!t,query:'%22rtdc.l.rtdc.4062%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813</v>
      </c>
      <c r="B188" s="225">
        <v>4061</v>
      </c>
      <c r="C188" s="227" t="s">
        <v>192</v>
      </c>
      <c r="D188" s="227" t="s">
        <v>1021</v>
      </c>
      <c r="E188" s="226">
        <v>43087.663599537038</v>
      </c>
      <c r="F188" s="226">
        <v>43087.675000000003</v>
      </c>
      <c r="G188" s="225">
        <v>53</v>
      </c>
      <c r="H188" s="227" t="s">
        <v>1034</v>
      </c>
      <c r="I188" s="226">
        <v>43087.683668981481</v>
      </c>
      <c r="J188" s="225">
        <v>0</v>
      </c>
      <c r="K188" s="237" t="str">
        <f t="shared" si="62"/>
        <v>4061/4062</v>
      </c>
      <c r="L188" s="245" t="str">
        <f>VLOOKUP(A188,'Trips&amp;Operators'!$C$1:$G$99911,5,FALSE)</f>
        <v>STAMBAUGH JAMES</v>
      </c>
      <c r="M188" s="224">
        <f t="shared" si="86"/>
        <v>8.6689814779674634E-3</v>
      </c>
      <c r="N188" s="225">
        <f t="shared" si="87"/>
        <v>12.483333328273147</v>
      </c>
      <c r="O188" s="225"/>
      <c r="P188" s="225"/>
      <c r="Q188" s="228"/>
      <c r="R188" s="242"/>
      <c r="S188" s="249">
        <f t="shared" si="80"/>
        <v>1</v>
      </c>
      <c r="T188" s="242" t="str">
        <f t="shared" si="64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5"/>
        <v>https://d0f6bd738d7f1b3e5a7ca70fe4ff75f0.us-east-1.aws.found.io/app/kibana#/discover/Steve-Slow-Train-Analysis-(2080s-and-2083s)?_g=(refreshInterval:(display:Off,pause:!f,section:0,value:0),time:(from:'2017-12-18T14:55:35-0700',mode:absolute,to:'2017-12-18T17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247" t="str">
        <f>IF(AA188&lt;VLOOKUP(AG188,Variables!$AC$3:$AD$8,2,FALSE),"Y","N")</f>
        <v>N</v>
      </c>
      <c r="X188" s="247">
        <f t="shared" si="88"/>
        <v>1</v>
      </c>
      <c r="Y188" s="247">
        <f t="shared" si="90"/>
        <v>5.8620999999999999</v>
      </c>
      <c r="Z188" s="247">
        <f t="shared" si="89"/>
        <v>1.3299999999999999E-2</v>
      </c>
      <c r="AA188" s="247">
        <f t="shared" si="67"/>
        <v>5.8487999999999998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8"/>
        <v>828</v>
      </c>
      <c r="AE188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88" s="234" t="str">
        <f t="shared" si="70"/>
        <v>"C:\Program Files (x86)\AstroGrep\AstroGrep.exe" /e /r /s /spath="%USERPROFILE%\AppData\Local\Temp\OnboardLogs" /stypes="app*4061*20171218*" /stext=" 23:.+((SYSTEM_STATE.+slice.+state.+changed )|(ment ac)|(multiple cpu faults)|(system.+state.+changed )|(\[timeout)|(PRM\|1\|D)|(kpr)|(kdp)|(train st.+moving)|(\|lc)|(penalty))"</v>
      </c>
      <c r="AG188" s="244" t="str">
        <f t="shared" si="71"/>
        <v>NW</v>
      </c>
      <c r="AH188" s="236" t="str">
        <f t="shared" si="72"/>
        <v>"%USERPROFILE%\Documents\GitHub\eaglep3\Utilities\RefineRTDCRunTimes.py" --tripid 828-18 --locoid 4061 --swversion DE.1.0.9.0 --startMP 300:58621 --initTime 2017-12-18T15:55:35 --startdatetime 2017-12-18T16:12:00 --delay 53 --endMP 204:133 --enddatetime 2017-12-18T16:24:29 --enforcementcount 0 &gt;&gt;%USERPROFILE%\Documents\GitHub\eaglep3-reporting\EC\2017-12-18-refined-times.txt</v>
      </c>
      <c r="AI188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{"issue":{"subject":"","project_id":79,"tracker_id":40,"status_id":1,"priority_id":2,"assigned_to_id":338,"start_date":"2017-12-18","description":"","custom_fields":[{"id":1,"name":"Subdivision","value":"NW"},{"id":4,"name":"Milepost","value":"0.0133"},{"id":17,"name":"Train ID","value":"828-18"},{"id":16,"name":"Locomotive ID","value":"4061"},{"id":130,"name":"Impact","value":""},{"id":150,"name":"Time of Event (Mountain Time)","value":"16:24:29"},{"id":151,"name":"Denver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74"/>
        <v>start /low /b %USERPROFILE%\Documents\GitHub\eaglep3\Utilities\DownloadLogsFromS3.py --loco 4061 --day 2017-12-18</v>
      </c>
      <c r="AN188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6"/>
        <v>https://d0f6bd738d7f1b3e5a7ca70fe4ff75f0.us-east-1.aws.found.io/app/kibana#/discover/Steve-Slow-Train-Analysis-(2080s-and-2083s)?_g=(refreshInterval:(display:Off,pause:!f,section:0,value:0),time:(from:'2017-12-18T14:55:35-0700',mode:absolute,to:'2017-12-18T17:24:29-0700'))&amp;_a=(columns:!('Message%20ID',Summary),filters:!(),index:'emp_*',interval:auto,query:(query_string:(analyze_wildcard:!t,query:'%22rtdc.l.rtdc.4061%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814</v>
      </c>
      <c r="B189" s="225">
        <v>4036</v>
      </c>
      <c r="C189" s="227" t="s">
        <v>192</v>
      </c>
      <c r="D189" s="227" t="s">
        <v>1006</v>
      </c>
      <c r="E189" s="226">
        <v>43087.669537037036</v>
      </c>
      <c r="F189" s="226">
        <v>43087.673171296294</v>
      </c>
      <c r="G189" s="225">
        <v>70</v>
      </c>
      <c r="H189" s="227" t="s">
        <v>1035</v>
      </c>
      <c r="I189" s="226">
        <v>43087.683171296296</v>
      </c>
      <c r="J189" s="225">
        <v>0</v>
      </c>
      <c r="K189" s="237" t="str">
        <f t="shared" si="62"/>
        <v>4035/4036</v>
      </c>
      <c r="L189" s="245" t="str">
        <f>VLOOKUP(A189,'Trips&amp;Operators'!$C$1:$G$99911,5,FALSE)</f>
        <v>GONZALEZ ARMANDO</v>
      </c>
      <c r="M189" s="224">
        <f t="shared" si="86"/>
        <v>1.0000000002037268E-2</v>
      </c>
      <c r="N189" s="225">
        <f t="shared" si="87"/>
        <v>14.400000002933666</v>
      </c>
      <c r="O189" s="225"/>
      <c r="P189" s="225"/>
      <c r="Q189" s="228"/>
      <c r="R189" s="242"/>
      <c r="S189" s="249">
        <f t="shared" si="80"/>
        <v>1</v>
      </c>
      <c r="T189" s="242" t="str">
        <f t="shared" si="64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5"/>
        <v>https://d0f6bd738d7f1b3e5a7ca70fe4ff75f0.us-east-1.aws.found.io/app/kibana#/discover/Steve-Slow-Train-Analysis-(2080s-and-2083s)?_g=(refreshInterval:(display:Off,pause:!f,section:0,value:0),time:(from:'2017-12-18T15:04:08-0700',mode:absolute,to:'2017-12-18T17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9" s="247" t="str">
        <f>IF(AA189&lt;VLOOKUP(AG189,Variables!$AC$3:$AD$8,2,FALSE),"Y","N")</f>
        <v>N</v>
      </c>
      <c r="X189" s="247">
        <f t="shared" si="88"/>
        <v>1</v>
      </c>
      <c r="Y189" s="247">
        <f t="shared" si="90"/>
        <v>4.5499999999999999E-2</v>
      </c>
      <c r="Z189" s="247">
        <f t="shared" si="89"/>
        <v>5.8963000000000001</v>
      </c>
      <c r="AA189" s="247">
        <f t="shared" si="67"/>
        <v>5.8508000000000004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8"/>
        <v>829</v>
      </c>
      <c r="AE189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89" s="234" t="str">
        <f t="shared" si="70"/>
        <v>"C:\Program Files (x86)\AstroGrep\AstroGrep.exe" /e /r /s /spath="%USERPROFILE%\AppData\Local\Temp\OnboardLogs" /stypes="app*4036*20171218*" /stext=" 23:.+((SYSTEM_STATE.+slice.+state.+changed )|(ment ac)|(multiple cpu faults)|(system.+state.+changed )|(\[timeout)|(PRM\|1\|D)|(kpr)|(kdp)|(train st.+moving)|(\|lc)|(penalty))"</v>
      </c>
      <c r="AG189" s="244" t="str">
        <f t="shared" si="71"/>
        <v>NW</v>
      </c>
      <c r="AH189" s="236" t="str">
        <f t="shared" si="72"/>
        <v>"%USERPROFILE%\Documents\GitHub\eaglep3\Utilities\RefineRTDCRunTimes.py" --tripid 829-18 --locoid 4036 --swversion DE.1.0.9.0 --startMP 204:455 --initTime 2017-12-18T16:04:08 --startdatetime 2017-12-18T16:09:22 --delay 70 --endMP 300:58963 --enddatetime 2017-12-18T16:23:46 --enforcementcount 0 &gt;&gt;%USERPROFILE%\Documents\GitHub\eaglep3-reporting\EC\2017-12-18-refined-times.txt</v>
      </c>
      <c r="AI189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{"issue":{"subject":"","project_id":79,"tracker_id":40,"status_id":1,"priority_id":2,"assigned_to_id":338,"start_date":"2017-12-18","description":"","custom_fields":[{"id":1,"name":"Subdivision","value":"NW"},{"id":4,"name":"Milepost","value":"5.8963"},{"id":17,"name":"Train ID","value":"829-18"},{"id":16,"name":"Locomotive ID","value":"4036"},{"id":130,"name":"Impact","value":""},{"id":150,"name":"Time of Event (Mountain Time)","value":"16:23:46"},{"id":151,"name":"Denver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74"/>
        <v>start /low /b %USERPROFILE%\Documents\GitHub\eaglep3\Utilities\DownloadLogsFromS3.py --loco 4036 --day 2017-12-18</v>
      </c>
      <c r="AN189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6"/>
        <v>https://d0f6bd738d7f1b3e5a7ca70fe4ff75f0.us-east-1.aws.found.io/app/kibana#/discover/Steve-Slow-Train-Analysis-(2080s-and-2083s)?_g=(refreshInterval:(display:Off,pause:!f,section:0,value:0),time:(from:'2017-12-18T15:04:08-0700',mode:absolute,to:'2017-12-18T17:23:46-0700'))&amp;_a=(columns:!('Message%20ID',Summary),filters:!(),index:'emp_*',interval:auto,query:(query_string:(analyze_wildcard:!t,query:'%22rtdc.l.rtdc.4036%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821</v>
      </c>
      <c r="B190" s="225">
        <v>4035</v>
      </c>
      <c r="C190" s="227" t="s">
        <v>192</v>
      </c>
      <c r="D190" s="227" t="s">
        <v>1030</v>
      </c>
      <c r="E190" s="226">
        <v>43087.685925925929</v>
      </c>
      <c r="F190" s="226">
        <v>43087.695833333331</v>
      </c>
      <c r="G190" s="225">
        <v>54</v>
      </c>
      <c r="H190" s="227" t="s">
        <v>1016</v>
      </c>
      <c r="I190" s="226">
        <v>43087.704594907409</v>
      </c>
      <c r="J190" s="225">
        <v>0</v>
      </c>
      <c r="K190" s="237" t="str">
        <f t="shared" si="62"/>
        <v>4035/4036</v>
      </c>
      <c r="L190" s="245" t="str">
        <f>VLOOKUP(A190,'Trips&amp;Operators'!$C$1:$G$99911,5,FALSE)</f>
        <v>GONZALEZ ARMANDO</v>
      </c>
      <c r="M190" s="224">
        <f t="shared" si="86"/>
        <v>8.7615740776527673E-3</v>
      </c>
      <c r="N190" s="225">
        <f t="shared" si="87"/>
        <v>12.616666671819985</v>
      </c>
      <c r="O190" s="225"/>
      <c r="P190" s="225"/>
      <c r="Q190" s="228"/>
      <c r="R190" s="242"/>
      <c r="S190" s="249">
        <f t="shared" ref="S190:S221" si="91">1/IF(AG190="EC",12,1)*SUM(U190:U190)</f>
        <v>1</v>
      </c>
      <c r="T190" s="242" t="str">
        <f t="shared" si="64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5"/>
        <v>https://d0f6bd738d7f1b3e5a7ca70fe4ff75f0.us-east-1.aws.found.io/app/kibana#/discover/Steve-Slow-Train-Analysis-(2080s-and-2083s)?_g=(refreshInterval:(display:Off,pause:!f,section:0,value:0),time:(from:'2017-12-18T15:27:44-0700',mode:absolute,to:'2017-12-18T17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0" s="247" t="str">
        <f>IF(AA190&lt;VLOOKUP(AG190,Variables!$AC$3:$AD$8,2,FALSE),"Y","N")</f>
        <v>N</v>
      </c>
      <c r="X190" s="247">
        <f t="shared" si="88"/>
        <v>1</v>
      </c>
      <c r="Y190" s="247">
        <f t="shared" si="90"/>
        <v>5.8639999999999999</v>
      </c>
      <c r="Z190" s="247">
        <f t="shared" si="89"/>
        <v>1.5299999999999999E-2</v>
      </c>
      <c r="AA190" s="247">
        <f t="shared" si="67"/>
        <v>5.8487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8"/>
        <v>830</v>
      </c>
      <c r="AE190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90" s="234" t="str">
        <f t="shared" si="70"/>
        <v>"C:\Program Files (x86)\AstroGrep\AstroGrep.exe" /e /r /s /spath="%USERPROFILE%\AppData\Local\Temp\OnboardLogs" /stypes="app*4035*20171218*" /stext=" 23:.+((SYSTEM_STATE.+slice.+state.+changed )|(ment ac)|(multiple cpu faults)|(system.+state.+changed )|(\[timeout)|(PRM\|1\|D)|(kpr)|(kdp)|(train st.+moving)|(\|lc)|(penalty))"</v>
      </c>
      <c r="AG190" s="244" t="str">
        <f t="shared" si="71"/>
        <v>NW</v>
      </c>
      <c r="AH190" s="236" t="str">
        <f t="shared" si="72"/>
        <v>"%USERPROFILE%\Documents\GitHub\eaglep3\Utilities\RefineRTDCRunTimes.py" --tripid 830-18 --locoid 4035 --swversion DE.1.0.9.0 --startMP 300:58640 --initTime 2017-12-18T16:27:44 --startdatetime 2017-12-18T16:42:00 --delay 54 --endMP 204:153 --enddatetime 2017-12-18T16:54:37 --enforcementcount 0 &gt;&gt;%USERPROFILE%\Documents\GitHub\eaglep3-reporting\EC\2017-12-18-refined-times.txt</v>
      </c>
      <c r="AI190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{"issue":{"subject":"","project_id":79,"tracker_id":40,"status_id":1,"priority_id":2,"assigned_to_id":338,"start_date":"2017-12-18","description":"","custom_fields":[{"id":1,"name":"Subdivision","value":"NW"},{"id":4,"name":"Milepost","value":"0.0153"},{"id":17,"name":"Train ID","value":"830-18"},{"id":16,"name":"Locomotive ID","value":"4035"},{"id":130,"name":"Impact","value":""},{"id":150,"name":"Time of Event (Mountain Time)","value":"16:54:37"},{"id":151,"name":"Denver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74"/>
        <v>start /low /b %USERPROFILE%\Documents\GitHub\eaglep3\Utilities\DownloadLogsFromS3.py --loco 4035 --day 2017-12-18</v>
      </c>
      <c r="AN190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6"/>
        <v>https://d0f6bd738d7f1b3e5a7ca70fe4ff75f0.us-east-1.aws.found.io/app/kibana#/discover/Steve-Slow-Train-Analysis-(2080s-and-2083s)?_g=(refreshInterval:(display:Off,pause:!f,section:0,value:0),time:(from:'2017-12-18T15:27:44-0700',mode:absolute,to:'2017-12-18T17:54:37-0700'))&amp;_a=(columns:!('Message%20ID',Summary),filters:!(),index:'emp_*',interval:auto,query:(query_string:(analyze_wildcard:!t,query:'%22rtdc.l.rtdc.4035%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822</v>
      </c>
      <c r="B191" s="225">
        <v>4062</v>
      </c>
      <c r="C191" s="227" t="s">
        <v>192</v>
      </c>
      <c r="D191" s="227" t="s">
        <v>1038</v>
      </c>
      <c r="E191" s="226">
        <v>43087.688611111109</v>
      </c>
      <c r="F191" s="226">
        <v>43087.694131944445</v>
      </c>
      <c r="G191" s="225">
        <v>56</v>
      </c>
      <c r="H191" s="227" t="s">
        <v>1003</v>
      </c>
      <c r="I191" s="226">
        <v>43087.703935185185</v>
      </c>
      <c r="J191" s="225">
        <v>0</v>
      </c>
      <c r="K191" s="237" t="str">
        <f t="shared" si="62"/>
        <v>4061/4062</v>
      </c>
      <c r="L191" s="245" t="str">
        <f>VLOOKUP(A191,'Trips&amp;Operators'!$C$1:$G$99911,5,FALSE)</f>
        <v>STAMBAUGH JAMES</v>
      </c>
      <c r="M191" s="224">
        <f t="shared" si="86"/>
        <v>9.8032407404389232E-3</v>
      </c>
      <c r="N191" s="225">
        <f t="shared" si="87"/>
        <v>14.116666666232049</v>
      </c>
      <c r="O191" s="225"/>
      <c r="P191" s="225"/>
      <c r="Q191" s="228"/>
      <c r="R191" s="242"/>
      <c r="S191" s="249">
        <f t="shared" si="91"/>
        <v>1</v>
      </c>
      <c r="T191" s="242" t="str">
        <f t="shared" si="64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5"/>
        <v>https://d0f6bd738d7f1b3e5a7ca70fe4ff75f0.us-east-1.aws.found.io/app/kibana#/discover/Steve-Slow-Train-Analysis-(2080s-and-2083s)?_g=(refreshInterval:(display:Off,pause:!f,section:0,value:0),time:(from:'2017-12-18T15:31:36-0700',mode:absolute,to:'2017-12-18T17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247" t="str">
        <f>IF(AA191&lt;VLOOKUP(AG191,Variables!$AC$3:$AD$8,2,FALSE),"Y","N")</f>
        <v>N</v>
      </c>
      <c r="X191" s="247">
        <f t="shared" si="88"/>
        <v>1</v>
      </c>
      <c r="Y191" s="247">
        <f t="shared" si="90"/>
        <v>4.3900000000000002E-2</v>
      </c>
      <c r="Z191" s="247">
        <f t="shared" si="89"/>
        <v>5.8935000000000004</v>
      </c>
      <c r="AA191" s="247">
        <f t="shared" si="67"/>
        <v>5.8496000000000006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8"/>
        <v>831</v>
      </c>
      <c r="AE191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91" s="234" t="str">
        <f t="shared" si="70"/>
        <v>"C:\Program Files (x86)\AstroGrep\AstroGrep.exe" /e /r /s /spath="%USERPROFILE%\AppData\Local\Temp\OnboardLogs" /stypes="app*4062*20171218*" /stext=" 23:.+((SYSTEM_STATE.+slice.+state.+changed )|(ment ac)|(multiple cpu faults)|(system.+state.+changed )|(\[timeout)|(PRM\|1\|D)|(kpr)|(kdp)|(train st.+moving)|(\|lc)|(penalty))"</v>
      </c>
      <c r="AG191" s="244" t="str">
        <f t="shared" si="71"/>
        <v>NW</v>
      </c>
      <c r="AH191" s="236" t="str">
        <f t="shared" si="72"/>
        <v>"%USERPROFILE%\Documents\GitHub\eaglep3\Utilities\RefineRTDCRunTimes.py" --tripid 831-18 --locoid 4062 --swversion DE.1.0.9.0 --startMP 204:439 --initTime 2017-12-18T16:31:36 --startdatetime 2017-12-18T16:39:33 --delay 56 --endMP 300:58935 --enddatetime 2017-12-18T16:53:40 --enforcementcount 0 &gt;&gt;%USERPROFILE%\Documents\GitHub\eaglep3-reporting\EC\2017-12-18-refined-times.txt</v>
      </c>
      <c r="AI191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{"issue":{"subject":"","project_id":79,"tracker_id":40,"status_id":1,"priority_id":2,"assigned_to_id":338,"start_date":"2017-12-18","description":"","custom_fields":[{"id":1,"name":"Subdivision","value":"NW"},{"id":4,"name":"Milepost","value":"5.8935"},{"id":17,"name":"Train ID","value":"831-18"},{"id":16,"name":"Locomotive ID","value":"4062"},{"id":130,"name":"Impact","value":""},{"id":150,"name":"Time of Event (Mountain Time)","value":"16:53:40"},{"id":151,"name":"Denver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74"/>
        <v>start /low /b %USERPROFILE%\Documents\GitHub\eaglep3\Utilities\DownloadLogsFromS3.py --loco 4062 --day 2017-12-18</v>
      </c>
      <c r="AN191" s="241" t="str">
        <f t="shared" si="75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6"/>
        <v>https://d0f6bd738d7f1b3e5a7ca70fe4ff75f0.us-east-1.aws.found.io/app/kibana#/discover/Steve-Slow-Train-Analysis-(2080s-and-2083s)?_g=(refreshInterval:(display:Off,pause:!f,section:0,value:0),time:(from:'2017-12-18T15:31:36-0700',mode:absolute,to:'2017-12-18T17:53:40-0700'))&amp;_a=(columns:!('Message%20ID',Summary),filters:!(),index:'emp_*',interval:auto,query:(query_string:(analyze_wildcard:!t,query:'%22rtdc.l.rtdc.4062%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825</v>
      </c>
      <c r="B192" s="225">
        <v>4061</v>
      </c>
      <c r="C192" s="227" t="s">
        <v>192</v>
      </c>
      <c r="D192" s="227" t="s">
        <v>1039</v>
      </c>
      <c r="E192" s="226">
        <v>43087.70553240741</v>
      </c>
      <c r="F192" s="226">
        <v>43087.716666666667</v>
      </c>
      <c r="G192" s="225">
        <v>59</v>
      </c>
      <c r="H192" s="227" t="s">
        <v>1011</v>
      </c>
      <c r="I192" s="226">
        <v>43087.725370370368</v>
      </c>
      <c r="J192" s="225">
        <v>0</v>
      </c>
      <c r="K192" s="237" t="str">
        <f t="shared" si="62"/>
        <v>4061/4062</v>
      </c>
      <c r="L192" s="245" t="str">
        <f>VLOOKUP(A192,'Trips&amp;Operators'!$C$1:$G$99911,5,FALSE)</f>
        <v>STAMBAUGH JAMES</v>
      </c>
      <c r="M192" s="224">
        <f t="shared" si="86"/>
        <v>8.703703701030463E-3</v>
      </c>
      <c r="N192" s="225">
        <f t="shared" si="87"/>
        <v>12.533333329483867</v>
      </c>
      <c r="O192" s="225"/>
      <c r="P192" s="225"/>
      <c r="Q192" s="228"/>
      <c r="R192" s="242"/>
      <c r="S192" s="249">
        <f t="shared" si="91"/>
        <v>1</v>
      </c>
      <c r="T192" s="242" t="str">
        <f t="shared" si="64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5"/>
        <v>https://d0f6bd738d7f1b3e5a7ca70fe4ff75f0.us-east-1.aws.found.io/app/kibana#/discover/Steve-Slow-Train-Analysis-(2080s-and-2083s)?_g=(refreshInterval:(display:Off,pause:!f,section:0,value:0),time:(from:'2017-12-18T15:55:58-0700',mode:absolute,to:'2017-12-18T18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247" t="str">
        <f>IF(AA192&lt;VLOOKUP(AG192,Variables!$AC$3:$AD$8,2,FALSE),"Y","N")</f>
        <v>N</v>
      </c>
      <c r="X192" s="247">
        <f t="shared" si="88"/>
        <v>1</v>
      </c>
      <c r="Y192" s="247">
        <f t="shared" si="90"/>
        <v>5.8623000000000003</v>
      </c>
      <c r="Z192" s="247">
        <f t="shared" si="89"/>
        <v>1.35E-2</v>
      </c>
      <c r="AA192" s="247">
        <f t="shared" si="67"/>
        <v>5.8488000000000007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8"/>
        <v>832</v>
      </c>
      <c r="AE192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92" s="234" t="str">
        <f t="shared" si="70"/>
        <v>"C:\Program Files (x86)\AstroGrep\AstroGrep.exe" /e /r /s /spath="%USERPROFILE%\AppData\Local\Temp\OnboardLogs" /stypes="app*4061*20171219*" /stext=" 00:.+((SYSTEM_STATE.+slice.+state.+changed )|(ment ac)|(multiple cpu faults)|(system.+state.+changed )|(\[timeout)|(PRM\|1\|D)|(kpr)|(kdp)|(train st.+moving)|(\|lc)|(penalty))"</v>
      </c>
      <c r="AG192" s="244" t="str">
        <f t="shared" si="71"/>
        <v>NW</v>
      </c>
      <c r="AH192" s="236" t="str">
        <f t="shared" si="72"/>
        <v>"%USERPROFILE%\Documents\GitHub\eaglep3\Utilities\RefineRTDCRunTimes.py" --tripid 832-18 --locoid 4061 --swversion DE.1.0.9.0 --startMP 300:58623 --initTime 2017-12-18T16:55:58 --startdatetime 2017-12-18T17:12:00 --delay 59 --endMP 204:135 --enddatetime 2017-12-18T17:24:32 --enforcementcount 0 &gt;&gt;%USERPROFILE%\Documents\GitHub\eaglep3-reporting\EC\2017-12-18-refined-times.txt</v>
      </c>
      <c r="AI192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{"issue":{"subject":"","project_id":79,"tracker_id":40,"status_id":1,"priority_id":2,"assigned_to_id":338,"start_date":"2017-12-18","description":"","custom_fields":[{"id":1,"name":"Subdivision","value":"NW"},{"id":4,"name":"Milepost","value":"0.0135"},{"id":17,"name":"Train ID","value":"832-18"},{"id":16,"name":"Locomotive ID","value":"4061"},{"id":130,"name":"Impact","value":""},{"id":150,"name":"Time of Event (Mountain Time)","value":"17:24:32"},{"id":151,"name":"Denver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74"/>
        <v>start /low /b %USERPROFILE%\Documents\GitHub\eaglep3\Utilities\DownloadLogsFromS3.py --loco 4061 --day 2017-12-18</v>
      </c>
      <c r="AN192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6"/>
        <v>https://d0f6bd738d7f1b3e5a7ca70fe4ff75f0.us-east-1.aws.found.io/app/kibana#/discover/Steve-Slow-Train-Analysis-(2080s-and-2083s)?_g=(refreshInterval:(display:Off,pause:!f,section:0,value:0),time:(from:'2017-12-18T15:55:58-0700',mode:absolute,to:'2017-12-18T18:24:32-0700'))&amp;_a=(columns:!('Message%20ID',Summary),filters:!(),index:'emp_*',interval:auto,query:(query_string:(analyze_wildcard:!t,query:'%22rtdc.l.rtdc.4061%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826</v>
      </c>
      <c r="B193" s="225">
        <v>4036</v>
      </c>
      <c r="C193" s="227" t="s">
        <v>192</v>
      </c>
      <c r="D193" s="227" t="s">
        <v>603</v>
      </c>
      <c r="E193" s="226">
        <v>43087.705729166664</v>
      </c>
      <c r="F193" s="226">
        <v>43087.714756944442</v>
      </c>
      <c r="G193" s="225">
        <v>50</v>
      </c>
      <c r="H193" s="227" t="s">
        <v>623</v>
      </c>
      <c r="I193" s="226">
        <v>43087.724583333336</v>
      </c>
      <c r="J193" s="225">
        <v>0</v>
      </c>
      <c r="K193" s="237" t="str">
        <f t="shared" si="62"/>
        <v>4035/4036</v>
      </c>
      <c r="L193" s="245" t="str">
        <f>VLOOKUP(A193,'Trips&amp;Operators'!$C$1:$G$99911,5,FALSE)</f>
        <v>GONZALEZ ARMANDO</v>
      </c>
      <c r="M193" s="224">
        <f t="shared" ref="M193:M224" si="92">I193-F193</f>
        <v>9.826388893998228E-3</v>
      </c>
      <c r="N193" s="225">
        <f t="shared" ref="N193:N224" si="93">24*60*SUM($M193:$M193)</f>
        <v>14.150000007357448</v>
      </c>
      <c r="O193" s="225"/>
      <c r="P193" s="225"/>
      <c r="Q193" s="228"/>
      <c r="R193" s="242"/>
      <c r="S193" s="249">
        <f t="shared" si="91"/>
        <v>1</v>
      </c>
      <c r="T193" s="242" t="str">
        <f t="shared" si="64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5"/>
        <v>https://d0f6bd738d7f1b3e5a7ca70fe4ff75f0.us-east-1.aws.found.io/app/kibana#/discover/Steve-Slow-Train-Analysis-(2080s-and-2083s)?_g=(refreshInterval:(display:Off,pause:!f,section:0,value:0),time:(from:'2017-12-18T15:56:15-0700',mode:absolute,to:'2017-12-18T18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3" s="247" t="str">
        <f>IF(AA193&lt;VLOOKUP(AG193,Variables!$AC$3:$AD$8,2,FALSE),"Y","N")</f>
        <v>N</v>
      </c>
      <c r="X193" s="247">
        <f t="shared" si="88"/>
        <v>1</v>
      </c>
      <c r="Y193" s="247">
        <f t="shared" si="90"/>
        <v>4.5100000000000001E-2</v>
      </c>
      <c r="Z193" s="247">
        <f t="shared" si="89"/>
        <v>5.8954000000000004</v>
      </c>
      <c r="AA193" s="247">
        <f t="shared" si="67"/>
        <v>5.8503000000000007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8"/>
        <v>833</v>
      </c>
      <c r="AE193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93" s="234" t="str">
        <f t="shared" si="70"/>
        <v>"C:\Program Files (x86)\AstroGrep\AstroGrep.exe" /e /r /s /spath="%USERPROFILE%\AppData\Local\Temp\OnboardLogs" /stypes="app*4036*20171219*" /stext=" 00:.+((SYSTEM_STATE.+slice.+state.+changed )|(ment ac)|(multiple cpu faults)|(system.+state.+changed )|(\[timeout)|(PRM\|1\|D)|(kpr)|(kdp)|(train st.+moving)|(\|lc)|(penalty))"</v>
      </c>
      <c r="AG193" s="244" t="str">
        <f t="shared" si="71"/>
        <v>NW</v>
      </c>
      <c r="AH193" s="236" t="str">
        <f t="shared" si="72"/>
        <v>"%USERPROFILE%\Documents\GitHub\eaglep3\Utilities\RefineRTDCRunTimes.py" --tripid 833-18 --locoid 4036 --swversion DE.1.0.9.0 --startMP 204:451 --initTime 2017-12-18T16:56:15 --startdatetime 2017-12-18T17:09:15 --delay 50 --endMP 300:58954 --enddatetime 2017-12-18T17:23:24 --enforcementcount 0 &gt;&gt;%USERPROFILE%\Documents\GitHub\eaglep3-reporting\EC\2017-12-18-refined-times.txt</v>
      </c>
      <c r="AI193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{"issue":{"subject":"","project_id":79,"tracker_id":40,"status_id":1,"priority_id":2,"assigned_to_id":338,"start_date":"2017-12-18","description":"","custom_fields":[{"id":1,"name":"Subdivision","value":"NW"},{"id":4,"name":"Milepost","value":"5.8954"},{"id":17,"name":"Train ID","value":"833-18"},{"id":16,"name":"Locomotive ID","value":"4036"},{"id":130,"name":"Impact","value":""},{"id":150,"name":"Time of Event (Mountain Time)","value":"17:23:24"},{"id":151,"name":"Denver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74"/>
        <v>start /low /b %USERPROFILE%\Documents\GitHub\eaglep3\Utilities\DownloadLogsFromS3.py --loco 4036 --day 2017-12-18</v>
      </c>
      <c r="AN193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6"/>
        <v>https://d0f6bd738d7f1b3e5a7ca70fe4ff75f0.us-east-1.aws.found.io/app/kibana#/discover/Steve-Slow-Train-Analysis-(2080s-and-2083s)?_g=(refreshInterval:(display:Off,pause:!f,section:0,value:0),time:(from:'2017-12-18T15:56:15-0700',mode:absolute,to:'2017-12-18T18:23:24-0700'))&amp;_a=(columns:!('Message%20ID',Summary),filters:!(),index:'emp_*',interval:auto,query:(query_string:(analyze_wildcard:!t,query:'%22rtdc.l.rtdc.4036%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834</v>
      </c>
      <c r="B194" s="225">
        <v>4035</v>
      </c>
      <c r="C194" s="227" t="s">
        <v>192</v>
      </c>
      <c r="D194" s="227" t="s">
        <v>1040</v>
      </c>
      <c r="E194" s="226">
        <v>43087.726030092592</v>
      </c>
      <c r="F194" s="226">
        <v>43087.737500000003</v>
      </c>
      <c r="G194" s="225">
        <v>54</v>
      </c>
      <c r="H194" s="227" t="s">
        <v>575</v>
      </c>
      <c r="I194" s="226">
        <v>43087.746354166666</v>
      </c>
      <c r="J194" s="225">
        <v>0</v>
      </c>
      <c r="K194" s="237" t="str">
        <f t="shared" si="62"/>
        <v>4035/4036</v>
      </c>
      <c r="L194" s="245" t="str">
        <f>VLOOKUP(A194,'Trips&amp;Operators'!$C$1:$G$99911,5,FALSE)</f>
        <v>GONZALEZ ARMANDO</v>
      </c>
      <c r="M194" s="224">
        <f t="shared" si="92"/>
        <v>8.8541666627861559E-3</v>
      </c>
      <c r="N194" s="225">
        <f t="shared" si="93"/>
        <v>12.749999994412065</v>
      </c>
      <c r="O194" s="225"/>
      <c r="P194" s="225"/>
      <c r="Q194" s="228"/>
      <c r="R194" s="242"/>
      <c r="S194" s="249">
        <f t="shared" si="91"/>
        <v>1</v>
      </c>
      <c r="T194" s="242" t="str">
        <f t="shared" si="64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5"/>
        <v>https://d0f6bd738d7f1b3e5a7ca70fe4ff75f0.us-east-1.aws.found.io/app/kibana#/discover/Steve-Slow-Train-Analysis-(2080s-and-2083s)?_g=(refreshInterval:(display:Off,pause:!f,section:0,value:0),time:(from:'2017-12-18T16:25:29-0700',mode:absolute,to:'2017-12-18T18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4" s="247" t="str">
        <f>IF(AA194&lt;VLOOKUP(AG194,Variables!$AC$3:$AD$8,2,FALSE),"Y","N")</f>
        <v>N</v>
      </c>
      <c r="X194" s="247">
        <f t="shared" si="88"/>
        <v>1</v>
      </c>
      <c r="Y194" s="247">
        <f t="shared" si="90"/>
        <v>5.8653000000000004</v>
      </c>
      <c r="Z194" s="247">
        <f t="shared" si="89"/>
        <v>1.55E-2</v>
      </c>
      <c r="AA194" s="247">
        <f t="shared" si="67"/>
        <v>5.8498000000000001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8"/>
        <v>834</v>
      </c>
      <c r="AE194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94" s="234" t="str">
        <f t="shared" si="70"/>
        <v>"C:\Program Files (x86)\AstroGrep\AstroGrep.exe" /e /r /s /spath="%USERPROFILE%\AppData\Local\Temp\OnboardLogs" /stypes="app*4035*20171219*" /stext=" 00:.+((SYSTEM_STATE.+slice.+state.+changed )|(ment ac)|(multiple cpu faults)|(system.+state.+changed )|(\[timeout)|(PRM\|1\|D)|(kpr)|(kdp)|(train st.+moving)|(\|lc)|(penalty))"</v>
      </c>
      <c r="AG194" s="244" t="str">
        <f t="shared" si="71"/>
        <v>NW</v>
      </c>
      <c r="AH194" s="236" t="str">
        <f t="shared" si="72"/>
        <v>"%USERPROFILE%\Documents\GitHub\eaglep3\Utilities\RefineRTDCRunTimes.py" --tripid 834-18 --locoid 4035 --swversion DE.1.0.9.0 --startMP 300:58653 --initTime 2017-12-18T17:25:29 --startdatetime 2017-12-18T17:42:00 --delay 54 --endMP 204:155 --enddatetime 2017-12-18T17:54:45 --enforcementcount 0 &gt;&gt;%USERPROFILE%\Documents\GitHub\eaglep3-reporting\EC\2017-12-18-refined-times.txt</v>
      </c>
      <c r="AI194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{"issue":{"subject":"","project_id":79,"tracker_id":40,"status_id":1,"priority_id":2,"assigned_to_id":338,"start_date":"2017-12-18","description":"","custom_fields":[{"id":1,"name":"Subdivision","value":"NW"},{"id":4,"name":"Milepost","value":"0.0155"},{"id":17,"name":"Train ID","value":"834-18"},{"id":16,"name":"Locomotive ID","value":"4035"},{"id":130,"name":"Impact","value":""},{"id":150,"name":"Time of Event (Mountain Time)","value":"17:54:45"},{"id":151,"name":"Denver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74"/>
        <v>start /low /b %USERPROFILE%\Documents\GitHub\eaglep3\Utilities\DownloadLogsFromS3.py --loco 4035 --day 2017-12-18</v>
      </c>
      <c r="AN194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6"/>
        <v>https://d0f6bd738d7f1b3e5a7ca70fe4ff75f0.us-east-1.aws.found.io/app/kibana#/discover/Steve-Slow-Train-Analysis-(2080s-and-2083s)?_g=(refreshInterval:(display:Off,pause:!f,section:0,value:0),time:(from:'2017-12-18T16:25:29-0700',mode:absolute,to:'2017-12-18T18:54:45-0700'))&amp;_a=(columns:!('Message%20ID',Summary),filters:!(),index:'emp_*',interval:auto,query:(query_string:(analyze_wildcard:!t,query:'%22rtdc.l.rtdc.4035%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836</v>
      </c>
      <c r="B195" s="225">
        <v>4062</v>
      </c>
      <c r="C195" s="227" t="s">
        <v>192</v>
      </c>
      <c r="D195" s="227" t="s">
        <v>545</v>
      </c>
      <c r="E195" s="226">
        <v>43087.731226851851</v>
      </c>
      <c r="F195" s="226">
        <v>43087.735868055555</v>
      </c>
      <c r="G195" s="225">
        <v>63</v>
      </c>
      <c r="H195" s="227" t="s">
        <v>1041</v>
      </c>
      <c r="I195" s="226">
        <v>43087.745370370372</v>
      </c>
      <c r="J195" s="225">
        <v>0</v>
      </c>
      <c r="K195" s="237" t="str">
        <f t="shared" si="62"/>
        <v>4061/4062</v>
      </c>
      <c r="L195" s="245" t="str">
        <f>VLOOKUP(A195,'Trips&amp;Operators'!$C$1:$G$99911,5,FALSE)</f>
        <v>STAMBAUGH JAMES</v>
      </c>
      <c r="M195" s="224">
        <f t="shared" si="92"/>
        <v>9.5023148169275373E-3</v>
      </c>
      <c r="N195" s="225">
        <f t="shared" si="93"/>
        <v>13.683333336375654</v>
      </c>
      <c r="O195" s="225"/>
      <c r="P195" s="225"/>
      <c r="Q195" s="228"/>
      <c r="R195" s="242"/>
      <c r="S195" s="249">
        <f t="shared" si="91"/>
        <v>1</v>
      </c>
      <c r="T195" s="242" t="str">
        <f t="shared" si="64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5"/>
        <v>https://d0f6bd738d7f1b3e5a7ca70fe4ff75f0.us-east-1.aws.found.io/app/kibana#/discover/Steve-Slow-Train-Analysis-(2080s-and-2083s)?_g=(refreshInterval:(display:Off,pause:!f,section:0,value:0),time:(from:'2017-12-18T16:32:58-0700',mode:absolute,to:'2017-12-18T18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247" t="str">
        <f>IF(AA195&lt;VLOOKUP(AG195,Variables!$AC$3:$AD$8,2,FALSE),"Y","N")</f>
        <v>N</v>
      </c>
      <c r="X195" s="247">
        <f t="shared" si="88"/>
        <v>1</v>
      </c>
      <c r="Y195" s="247">
        <f t="shared" si="90"/>
        <v>4.6199999999999998E-2</v>
      </c>
      <c r="Z195" s="247">
        <f t="shared" si="89"/>
        <v>5.8933</v>
      </c>
      <c r="AA195" s="247">
        <f t="shared" si="67"/>
        <v>5.8471000000000002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8"/>
        <v>835</v>
      </c>
      <c r="AE195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95" s="234" t="str">
        <f t="shared" si="70"/>
        <v>"C:\Program Files (x86)\AstroGrep\AstroGrep.exe" /e /r /s /spath="%USERPROFILE%\AppData\Local\Temp\OnboardLogs" /stypes="app*4062*20171219*" /stext=" 00:.+((SYSTEM_STATE.+slice.+state.+changed )|(ment ac)|(multiple cpu faults)|(system.+state.+changed )|(\[timeout)|(PRM\|1\|D)|(kpr)|(kdp)|(train st.+moving)|(\|lc)|(penalty))"</v>
      </c>
      <c r="AG195" s="244" t="str">
        <f t="shared" si="71"/>
        <v>NW</v>
      </c>
      <c r="AH195" s="236" t="str">
        <f t="shared" si="72"/>
        <v>"%USERPROFILE%\Documents\GitHub\eaglep3\Utilities\RefineRTDCRunTimes.py" --tripid 835-18 --locoid 4062 --swversion DE.1.0.9.0 --startMP 204:462 --initTime 2017-12-18T17:32:58 --startdatetime 2017-12-18T17:39:39 --delay 63 --endMP 300:58933 --enddatetime 2017-12-18T17:53:20 --enforcementcount 0 &gt;&gt;%USERPROFILE%\Documents\GitHub\eaglep3-reporting\EC\2017-12-18-refined-times.txt</v>
      </c>
      <c r="AI195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{"issue":{"subject":"","project_id":79,"tracker_id":40,"status_id":1,"priority_id":2,"assigned_to_id":338,"start_date":"2017-12-18","description":"","custom_fields":[{"id":1,"name":"Subdivision","value":"NW"},{"id":4,"name":"Milepost","value":"5.8933"},{"id":17,"name":"Train ID","value":"835-18"},{"id":16,"name":"Locomotive ID","value":"4062"},{"id":130,"name":"Impact","value":""},{"id":150,"name":"Time of Event (Mountain Time)","value":"17:53:20"},{"id":151,"name":"Denver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4"/>
        <v>start /low /b %USERPROFILE%\Documents\GitHub\eaglep3\Utilities\DownloadLogsFromS3.py --loco 4062 --day 2017-12-18</v>
      </c>
      <c r="AN195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6"/>
        <v>https://d0f6bd738d7f1b3e5a7ca70fe4ff75f0.us-east-1.aws.found.io/app/kibana#/discover/Steve-Slow-Train-Analysis-(2080s-and-2083s)?_g=(refreshInterval:(display:Off,pause:!f,section:0,value:0),time:(from:'2017-12-18T16:32:58-0700',mode:absolute,to:'2017-12-18T18:53:20-0700'))&amp;_a=(columns:!('Message%20ID',Summary),filters:!(),index:'emp_*',interval:auto,query:(query_string:(analyze_wildcard:!t,query:'%22rtdc.l.rtdc.4062%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842</v>
      </c>
      <c r="B196" s="225">
        <v>4061</v>
      </c>
      <c r="C196" s="227" t="s">
        <v>192</v>
      </c>
      <c r="D196" s="227" t="s">
        <v>1042</v>
      </c>
      <c r="E196" s="226">
        <v>43087.746307870373</v>
      </c>
      <c r="F196" s="226">
        <v>43087.758333333331</v>
      </c>
      <c r="G196" s="225">
        <v>56</v>
      </c>
      <c r="H196" s="227" t="s">
        <v>1043</v>
      </c>
      <c r="I196" s="226">
        <v>43087.76730324074</v>
      </c>
      <c r="J196" s="225">
        <v>0</v>
      </c>
      <c r="K196" s="237" t="str">
        <f t="shared" si="62"/>
        <v>4061/4062</v>
      </c>
      <c r="L196" s="245" t="str">
        <f>VLOOKUP(A196,'Trips&amp;Operators'!$C$1:$G$99911,5,FALSE)</f>
        <v>STAMBAUGH JAMES</v>
      </c>
      <c r="M196" s="224">
        <f t="shared" si="92"/>
        <v>8.969907408754807E-3</v>
      </c>
      <c r="N196" s="225">
        <f t="shared" si="93"/>
        <v>12.916666668606922</v>
      </c>
      <c r="O196" s="225"/>
      <c r="P196" s="225"/>
      <c r="Q196" s="228"/>
      <c r="R196" s="242"/>
      <c r="S196" s="249">
        <f t="shared" si="91"/>
        <v>1</v>
      </c>
      <c r="T196" s="242" t="str">
        <f t="shared" si="64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5"/>
        <v>https://d0f6bd738d7f1b3e5a7ca70fe4ff75f0.us-east-1.aws.found.io/app/kibana#/discover/Steve-Slow-Train-Analysis-(2080s-and-2083s)?_g=(refreshInterval:(display:Off,pause:!f,section:0,value:0),time:(from:'2017-12-18T16:54:41-0700',mode:absolute,to:'2017-12-18T19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247" t="str">
        <f>IF(AA196&lt;VLOOKUP(AG196,Variables!$AC$3:$AD$8,2,FALSE),"Y","N")</f>
        <v>N</v>
      </c>
      <c r="X196" s="247">
        <f t="shared" si="88"/>
        <v>1</v>
      </c>
      <c r="Y196" s="247">
        <f t="shared" si="90"/>
        <v>5.8616999999999999</v>
      </c>
      <c r="Z196" s="247">
        <f t="shared" si="89"/>
        <v>1.6400000000000001E-2</v>
      </c>
      <c r="AA196" s="247">
        <f t="shared" si="67"/>
        <v>5.8452999999999999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8"/>
        <v>836</v>
      </c>
      <c r="AE196" s="235" t="str">
        <f t="shared" si="69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196" s="234" t="str">
        <f t="shared" si="70"/>
        <v>"C:\Program Files (x86)\AstroGrep\AstroGrep.exe" /e /r /s /spath="%USERPROFILE%\AppData\Local\Temp\OnboardLogs" /stypes="app*4061*20171219*" /stext=" 01:.+((SYSTEM_STATE.+slice.+state.+changed )|(ment ac)|(multiple cpu faults)|(system.+state.+changed )|(\[timeout)|(PRM\|1\|D)|(kpr)|(kdp)|(train st.+moving)|(\|lc)|(penalty))"</v>
      </c>
      <c r="AG196" s="244" t="str">
        <f t="shared" si="71"/>
        <v>NW</v>
      </c>
      <c r="AH196" s="236" t="str">
        <f t="shared" si="72"/>
        <v>"%USERPROFILE%\Documents\GitHub\eaglep3\Utilities\RefineRTDCRunTimes.py" --tripid 836-18 --locoid 4061 --swversion DE.1.0.9.0 --startMP 300:58617 --initTime 2017-12-18T17:54:41 --startdatetime 2017-12-18T18:12:00 --delay 56 --endMP 204:164 --enddatetime 2017-12-18T18:24:55 --enforcementcount 0 &gt;&gt;%USERPROFILE%\Documents\GitHub\eaglep3-reporting\EC\2017-12-18-refined-times.txt</v>
      </c>
      <c r="AI196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{"issue":{"subject":"","project_id":79,"tracker_id":40,"status_id":1,"priority_id":2,"assigned_to_id":338,"start_date":"2017-12-18","description":"","custom_fields":[{"id":1,"name":"Subdivision","value":"NW"},{"id":4,"name":"Milepost","value":"0.0164"},{"id":17,"name":"Train ID","value":"836-18"},{"id":16,"name":"Locomotive ID","value":"4061"},{"id":130,"name":"Impact","value":""},{"id":150,"name":"Time of Event (Mountain Time)","value":"18:24:55"},{"id":151,"name":"Denver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74"/>
        <v>start /low /b %USERPROFILE%\Documents\GitHub\eaglep3\Utilities\DownloadLogsFromS3.py --loco 4061 --day 2017-12-18</v>
      </c>
      <c r="AN196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6"/>
        <v>https://d0f6bd738d7f1b3e5a7ca70fe4ff75f0.us-east-1.aws.found.io/app/kibana#/discover/Steve-Slow-Train-Analysis-(2080s-and-2083s)?_g=(refreshInterval:(display:Off,pause:!f,section:0,value:0),time:(from:'2017-12-18T16:54:41-0700',mode:absolute,to:'2017-12-18T19:24:55-0700'))&amp;_a=(columns:!('Message%20ID',Summary),filters:!(),index:'emp_*',interval:auto,query:(query_string:(analyze_wildcard:!t,query:'%22rtdc.l.rtdc.4061%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25">
      <c r="A197" s="229" t="s">
        <v>681</v>
      </c>
      <c r="B197" s="225">
        <v>4036</v>
      </c>
      <c r="C197" s="227" t="s">
        <v>192</v>
      </c>
      <c r="D197" s="227" t="s">
        <v>1042</v>
      </c>
      <c r="E197" s="226">
        <v>43087.746307870373</v>
      </c>
      <c r="F197" s="226">
        <v>43087.756435185183</v>
      </c>
      <c r="G197" s="225">
        <v>56</v>
      </c>
      <c r="H197" s="227" t="s">
        <v>1043</v>
      </c>
      <c r="I197" s="226">
        <v>43087.767083333332</v>
      </c>
      <c r="J197" s="225">
        <v>0</v>
      </c>
      <c r="K197" s="237" t="str">
        <f t="shared" si="62"/>
        <v>4035/4036</v>
      </c>
      <c r="L197" s="245" t="str">
        <f>VLOOKUP(A197,'Trips&amp;Operators'!$C$1:$G$99911,5,FALSE)</f>
        <v>KILLION DAVID</v>
      </c>
      <c r="M197" s="224">
        <f t="shared" si="92"/>
        <v>1.0648148148902692E-2</v>
      </c>
      <c r="N197" s="225">
        <f t="shared" si="93"/>
        <v>15.333333334419876</v>
      </c>
      <c r="O197" s="225"/>
      <c r="P197" s="225"/>
      <c r="Q197" s="228"/>
      <c r="R197" s="242"/>
      <c r="S197" s="249">
        <f t="shared" si="91"/>
        <v>1</v>
      </c>
      <c r="T197" s="242" t="str">
        <f t="shared" si="64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5"/>
        <v>https://d0f6bd738d7f1b3e5a7ca70fe4ff75f0.us-east-1.aws.found.io/app/kibana#/discover/Steve-Slow-Train-Analysis-(2080s-and-2083s)?_g=(refreshInterval:(display:Off,pause:!f,section:0,value:0),time:(from:'2017-12-18T16:54:41-0700',mode:absolute,to:'2017-12-18T19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7" s="247" t="str">
        <f>IF(AA197&lt;VLOOKUP(AG197,Variables!$AC$3:$AD$8,2,FALSE),"Y","N")</f>
        <v>N</v>
      </c>
      <c r="X197" s="247">
        <f t="shared" si="88"/>
        <v>1</v>
      </c>
      <c r="Y197" s="247">
        <v>4.6199999999999998E-2</v>
      </c>
      <c r="Z197" s="247">
        <v>5.8933</v>
      </c>
      <c r="AA197" s="247">
        <f t="shared" si="67"/>
        <v>5.8471000000000002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8"/>
        <v>837</v>
      </c>
      <c r="AE197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197" s="234" t="str">
        <f t="shared" si="70"/>
        <v>"C:\Program Files (x86)\AstroGrep\AstroGrep.exe" /e /r /s /spath="%USERPROFILE%\AppData\Local\Temp\OnboardLogs" /stypes="app*4036*20171219*" /stext=" 01:.+((SYSTEM_STATE.+slice.+state.+changed )|(ment ac)|(multiple cpu faults)|(system.+state.+changed )|(\[timeout)|(PRM\|1\|D)|(kpr)|(kdp)|(train st.+moving)|(\|lc)|(penalty))"</v>
      </c>
      <c r="AG197" s="244" t="str">
        <f t="shared" si="71"/>
        <v>NW</v>
      </c>
      <c r="AH197" s="236" t="str">
        <f t="shared" ref="AH197" si="94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837-18 --locoid 4036 --swversion DE.1.0.9.0 --startMP 300:58617 --initTime 2017-12-18T17:54:41 --startdatetime 2017-12-18T18:09:16 --delay 56 --endMP 204:164 --enddatetime 2017-12-18T18:24:36 --enforcementcount 0 &gt;&gt;%USERPROFILE%\Documents\GitHub\eaglep3-reporting\EC\2017-12-18-refined-times.txt</v>
      </c>
      <c r="AI197" s="238" t="str">
        <f t="shared" ref="AI197" si="95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{"issue":{"subject":"","project_id":79,"tracker_id":40,"status_id":1,"priority_id":2,"assigned_to_id":338,"start_date":"2017-12-18","description":"","custom_fields":[{"id":1,"name":"Subdivision","value":"NW"},{"id":4,"name":"Milepost","value":"5.8933"},{"id":17,"name":"Train ID","value":"837-18"},{"id":16,"name":"Locomotive ID","value":"4036"},{"id":130,"name":"Impact","value":""},{"id":150,"name":"Time of Event (Mountain Time)","value":"18:24:36"},{"id":151,"name":"Denver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ref="AM197" si="96">"start /low /b "&amp;dls3logs&amp;" --loco "&amp;B197&amp;" --day "&amp;TEXT(F197,"YYYY-MM-DD")</f>
        <v>start /low /b %USERPROFILE%\Documents\GitHub\eaglep3\Utilities\DownloadLogsFromS3.py --loco 4036 --day 2017-12-18</v>
      </c>
      <c r="AN197" s="241" t="str">
        <f t="shared" ref="AN197" si="97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ref="AO197" si="98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-18T16:54:41-0700',mode:absolute,to:'2017-12-18T19:24:36-0700'))&amp;_a=(columns:!('Message%20ID',Summary),filters:!(),index:'emp_*',interval:auto,query:(query_string:(analyze_wildcard:!t,query:'%22rtdc.l.rtdc.4036%22')),sort:!(Time.ISO8601,asc))</v>
      </c>
    </row>
    <row r="198" spans="1:91" s="20" customFormat="1" x14ac:dyDescent="0.25">
      <c r="A198" s="229" t="s">
        <v>846</v>
      </c>
      <c r="B198" s="225">
        <v>4035</v>
      </c>
      <c r="C198" s="227" t="s">
        <v>192</v>
      </c>
      <c r="D198" s="227" t="s">
        <v>1044</v>
      </c>
      <c r="E198" s="226">
        <v>43087.76972222222</v>
      </c>
      <c r="F198" s="226">
        <v>43087.779166666667</v>
      </c>
      <c r="G198" s="225">
        <v>69</v>
      </c>
      <c r="H198" s="227" t="s">
        <v>1045</v>
      </c>
      <c r="I198" s="226">
        <v>43087.7891087963</v>
      </c>
      <c r="J198" s="225">
        <v>0</v>
      </c>
      <c r="K198" s="237" t="str">
        <f t="shared" si="62"/>
        <v>4035/4036</v>
      </c>
      <c r="L198" s="245" t="str">
        <f>VLOOKUP(A198,'Trips&amp;Operators'!$C$1:$G$99911,5,FALSE)</f>
        <v>KILLION DAVID</v>
      </c>
      <c r="M198" s="224">
        <f t="shared" si="92"/>
        <v>9.9421296326909214E-3</v>
      </c>
      <c r="N198" s="225">
        <f t="shared" si="93"/>
        <v>14.316666671074927</v>
      </c>
      <c r="O198" s="225"/>
      <c r="P198" s="225"/>
      <c r="Q198" s="228"/>
      <c r="R198" s="242"/>
      <c r="S198" s="249">
        <f t="shared" si="91"/>
        <v>1</v>
      </c>
      <c r="T198" s="242" t="str">
        <f t="shared" si="64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5"/>
        <v>https://d0f6bd738d7f1b3e5a7ca70fe4ff75f0.us-east-1.aws.found.io/app/kibana#/discover/Steve-Slow-Train-Analysis-(2080s-and-2083s)?_g=(refreshInterval:(display:Off,pause:!f,section:0,value:0),time:(from:'2017-12-18T17:28:24-0700',mode:absolute,to:'2017-12-18T19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8" s="247" t="str">
        <f>IF(AA198&lt;VLOOKUP(AG198,Variables!$AC$3:$AD$8,2,FALSE),"Y","N")</f>
        <v>N</v>
      </c>
      <c r="X198" s="247">
        <f t="shared" si="88"/>
        <v>1</v>
      </c>
      <c r="Y198" s="247">
        <f t="shared" ref="Y198:Y234" si="99">RIGHT(D198,LEN(D198)-4)/10000</f>
        <v>5.87</v>
      </c>
      <c r="Z198" s="247">
        <f t="shared" ref="Z198:Z234" si="100">RIGHT(H198,LEN(H198)-4)/10000</f>
        <v>1.1299999999999999E-2</v>
      </c>
      <c r="AA198" s="247">
        <f t="shared" si="67"/>
        <v>5.8586999999999998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8"/>
        <v>838</v>
      </c>
      <c r="AE198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198" s="234" t="str">
        <f t="shared" si="70"/>
        <v>"C:\Program Files (x86)\AstroGrep\AstroGrep.exe" /e /r /s /spath="%USERPROFILE%\AppData\Local\Temp\OnboardLogs" /stypes="app*4035*20171219*" /stext=" 01:.+((SYSTEM_STATE.+slice.+state.+changed )|(ment ac)|(multiple cpu faults)|(system.+state.+changed )|(\[timeout)|(PRM\|1\|D)|(kpr)|(kdp)|(train st.+moving)|(\|lc)|(penalty))"</v>
      </c>
      <c r="AG198" s="244" t="str">
        <f t="shared" si="71"/>
        <v>NW</v>
      </c>
      <c r="AH198" s="236" t="str">
        <f t="shared" si="72"/>
        <v>"%USERPROFILE%\Documents\GitHub\eaglep3\Utilities\RefineRTDCRunTimes.py" --tripid 838-18 --locoid 4035 --swversion DE.1.0.9.0 --startMP 300:58700 --initTime 2017-12-18T18:28:24 --startdatetime 2017-12-18T18:42:00 --delay 69 --endMP 204:113 --enddatetime 2017-12-18T18:56:19 --enforcementcount 0 &gt;&gt;%USERPROFILE%\Documents\GitHub\eaglep3-reporting\EC\2017-12-18-refined-times.txt</v>
      </c>
      <c r="AI198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{"issue":{"subject":"","project_id":79,"tracker_id":40,"status_id":1,"priority_id":2,"assigned_to_id":338,"start_date":"2017-12-18","description":"","custom_fields":[{"id":1,"name":"Subdivision","value":"NW"},{"id":4,"name":"Milepost","value":"0.0113"},{"id":17,"name":"Train ID","value":"838-18"},{"id":16,"name":"Locomotive ID","value":"4035"},{"id":130,"name":"Impact","value":""},{"id":150,"name":"Time of Event (Mountain Time)","value":"18:56:19"},{"id":151,"name":"Denver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74"/>
        <v>start /low /b %USERPROFILE%\Documents\GitHub\eaglep3\Utilities\DownloadLogsFromS3.py --loco 4035 --day 2017-12-18</v>
      </c>
      <c r="AN198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76"/>
        <v>https://d0f6bd738d7f1b3e5a7ca70fe4ff75f0.us-east-1.aws.found.io/app/kibana#/discover/Steve-Slow-Train-Analysis-(2080s-and-2083s)?_g=(refreshInterval:(display:Off,pause:!f,section:0,value:0),time:(from:'2017-12-18T17:28:24-0700',mode:absolute,to:'2017-12-18T19:56:19-0700'))&amp;_a=(columns:!('Message%20ID',Summary),filters:!(),index:'emp_*',interval:auto,query:(query_string:(analyze_wildcard:!t,query:'%22rtdc.l.rtdc.4035%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847</v>
      </c>
      <c r="B199" s="225">
        <v>4062</v>
      </c>
      <c r="C199" s="227" t="s">
        <v>192</v>
      </c>
      <c r="D199" s="227" t="s">
        <v>536</v>
      </c>
      <c r="E199" s="226">
        <v>43087.773368055554</v>
      </c>
      <c r="F199" s="226">
        <v>43087.777418981481</v>
      </c>
      <c r="G199" s="225">
        <v>49</v>
      </c>
      <c r="H199" s="227" t="s">
        <v>1046</v>
      </c>
      <c r="I199" s="226">
        <v>43087.786620370367</v>
      </c>
      <c r="J199" s="225">
        <v>0</v>
      </c>
      <c r="K199" s="237" t="str">
        <f t="shared" si="62"/>
        <v>4061/4062</v>
      </c>
      <c r="L199" s="245" t="str">
        <f>VLOOKUP(A199,'Trips&amp;Operators'!$C$1:$G$99911,5,FALSE)</f>
        <v>STAMBAUGH JAMES</v>
      </c>
      <c r="M199" s="224">
        <f t="shared" si="92"/>
        <v>9.2013888861401938E-3</v>
      </c>
      <c r="N199" s="225">
        <f t="shared" si="93"/>
        <v>13.249999996041879</v>
      </c>
      <c r="O199" s="225"/>
      <c r="P199" s="225"/>
      <c r="Q199" s="228"/>
      <c r="R199" s="242"/>
      <c r="S199" s="249">
        <f t="shared" si="91"/>
        <v>1</v>
      </c>
      <c r="T199" s="242" t="str">
        <f t="shared" si="64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5"/>
        <v>https://d0f6bd738d7f1b3e5a7ca70fe4ff75f0.us-east-1.aws.found.io/app/kibana#/discover/Steve-Slow-Train-Analysis-(2080s-and-2083s)?_g=(refreshInterval:(display:Off,pause:!f,section:0,value:0),time:(from:'2017-12-18T17:33:39-0700',mode:absolute,to:'2017-12-18T19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247" t="str">
        <f>IF(AA199&lt;VLOOKUP(AG199,Variables!$AC$3:$AD$8,2,FALSE),"Y","N")</f>
        <v>N</v>
      </c>
      <c r="X199" s="247">
        <f t="shared" si="88"/>
        <v>1</v>
      </c>
      <c r="Y199" s="247">
        <f t="shared" si="99"/>
        <v>4.6600000000000003E-2</v>
      </c>
      <c r="Z199" s="247">
        <f t="shared" si="100"/>
        <v>5.8928000000000003</v>
      </c>
      <c r="AA199" s="247">
        <f t="shared" si="67"/>
        <v>5.8462000000000005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8"/>
        <v>839</v>
      </c>
      <c r="AE199" s="235" t="str">
        <f t="shared" si="69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199" s="234" t="str">
        <f t="shared" si="70"/>
        <v>"C:\Program Files (x86)\AstroGrep\AstroGrep.exe" /e /r /s /spath="%USERPROFILE%\AppData\Local\Temp\OnboardLogs" /stypes="app*4062*20171219*" /stext=" 01:.+((SYSTEM_STATE.+slice.+state.+changed )|(ment ac)|(multiple cpu faults)|(system.+state.+changed )|(\[timeout)|(PRM\|1\|D)|(kpr)|(kdp)|(train st.+moving)|(\|lc)|(penalty))"</v>
      </c>
      <c r="AG199" s="244" t="str">
        <f t="shared" si="71"/>
        <v>NW</v>
      </c>
      <c r="AH199" s="236" t="str">
        <f t="shared" si="72"/>
        <v>"%USERPROFILE%\Documents\GitHub\eaglep3\Utilities\RefineRTDCRunTimes.py" --tripid 839-18 --locoid 4062 --swversion DE.1.0.9.0 --startMP 204:466 --initTime 2017-12-18T18:33:39 --startdatetime 2017-12-18T18:39:29 --delay 49 --endMP 300:58928 --enddatetime 2017-12-18T18:52:44 --enforcementcount 0 &gt;&gt;%USERPROFILE%\Documents\GitHub\eaglep3-reporting\EC\2017-12-18-refined-times.txt</v>
      </c>
      <c r="AI199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{"issue":{"subject":"","project_id":79,"tracker_id":40,"status_id":1,"priority_id":2,"assigned_to_id":338,"start_date":"2017-12-18","description":"","custom_fields":[{"id":1,"name":"Subdivision","value":"NW"},{"id":4,"name":"Milepost","value":"5.8928"},{"id":17,"name":"Train ID","value":"839-18"},{"id":16,"name":"Locomotive ID","value":"4062"},{"id":130,"name":"Impact","value":""},{"id":150,"name":"Time of Event (Mountain Time)","value":"18:52:44"},{"id":151,"name":"Denver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4"/>
        <v>start /low /b %USERPROFILE%\Documents\GitHub\eaglep3\Utilities\DownloadLogsFromS3.py --loco 4062 --day 2017-12-18</v>
      </c>
      <c r="AN199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6"/>
        <v>https://d0f6bd738d7f1b3e5a7ca70fe4ff75f0.us-east-1.aws.found.io/app/kibana#/discover/Steve-Slow-Train-Analysis-(2080s-and-2083s)?_g=(refreshInterval:(display:Off,pause:!f,section:0,value:0),time:(from:'2017-12-18T17:33:39-0700',mode:absolute,to:'2017-12-18T19:52:44-0700'))&amp;_a=(columns:!('Message%20ID',Summary),filters:!(),index:'emp_*',interval:auto,query:(query_string:(analyze_wildcard:!t,query:'%22rtdc.l.rtdc.4062%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857</v>
      </c>
      <c r="B200" s="225">
        <v>4035</v>
      </c>
      <c r="C200" s="227" t="s">
        <v>192</v>
      </c>
      <c r="D200" s="227" t="s">
        <v>1047</v>
      </c>
      <c r="E200" s="226">
        <v>43087.809814814813</v>
      </c>
      <c r="F200" s="226">
        <v>43087.820833333331</v>
      </c>
      <c r="G200" s="225">
        <v>51</v>
      </c>
      <c r="H200" s="227" t="s">
        <v>1048</v>
      </c>
      <c r="I200" s="226">
        <v>43087.830324074072</v>
      </c>
      <c r="J200" s="225">
        <v>0</v>
      </c>
      <c r="K200" s="237" t="str">
        <f t="shared" si="62"/>
        <v>4035/4036</v>
      </c>
      <c r="L200" s="245" t="str">
        <f>VLOOKUP(A200,'Trips&amp;Operators'!$C$1:$G$99911,5,FALSE)</f>
        <v>KILLION DAVID</v>
      </c>
      <c r="M200" s="224">
        <f t="shared" si="92"/>
        <v>9.4907407401478849E-3</v>
      </c>
      <c r="N200" s="225">
        <f t="shared" si="93"/>
        <v>13.666666665812954</v>
      </c>
      <c r="O200" s="225"/>
      <c r="P200" s="225"/>
      <c r="Q200" s="228"/>
      <c r="R200" s="242"/>
      <c r="S200" s="249">
        <f t="shared" si="91"/>
        <v>1</v>
      </c>
      <c r="T200" s="242" t="str">
        <f t="shared" si="64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5"/>
        <v>https://d0f6bd738d7f1b3e5a7ca70fe4ff75f0.us-east-1.aws.found.io/app/kibana#/discover/Steve-Slow-Train-Analysis-(2080s-and-2083s)?_g=(refreshInterval:(display:Off,pause:!f,section:0,value:0),time:(from:'2017-12-18T18:26:08-0700',mode:absolute,to:'2017-12-18T20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47" t="str">
        <f>IF(AA200&lt;VLOOKUP(AG200,Variables!$AC$3:$AD$8,2,FALSE),"Y","N")</f>
        <v>N</v>
      </c>
      <c r="X200" s="247">
        <f t="shared" si="88"/>
        <v>1</v>
      </c>
      <c r="Y200" s="247">
        <f t="shared" si="99"/>
        <v>5.8693999999999997</v>
      </c>
      <c r="Z200" s="247">
        <f t="shared" si="100"/>
        <v>1.04E-2</v>
      </c>
      <c r="AA200" s="247">
        <f t="shared" si="67"/>
        <v>5.859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8"/>
        <v>840</v>
      </c>
      <c r="AE200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200" s="234" t="str">
        <f t="shared" si="70"/>
        <v>"C:\Program Files (x86)\AstroGrep\AstroGrep.exe" /e /r /s /spath="%USERPROFILE%\AppData\Local\Temp\OnboardLogs" /stypes="app*4035*20171219*" /stext=" 02:.+((SYSTEM_STATE.+slice.+state.+changed )|(ment ac)|(multiple cpu faults)|(system.+state.+changed )|(\[timeout)|(PRM\|1\|D)|(kpr)|(kdp)|(train st.+moving)|(\|lc)|(penalty))"</v>
      </c>
      <c r="AG200" s="244" t="str">
        <f t="shared" si="71"/>
        <v>NW</v>
      </c>
      <c r="AH200" s="236" t="str">
        <f t="shared" si="72"/>
        <v>"%USERPROFILE%\Documents\GitHub\eaglep3\Utilities\RefineRTDCRunTimes.py" --tripid 840-18 --locoid 4035 --swversion DE.1.0.9.0 --startMP 300:58694 --initTime 2017-12-18T19:26:08 --startdatetime 2017-12-18T19:42:00 --delay 51 --endMP 204:104 --enddatetime 2017-12-18T19:55:40 --enforcementcount 0 &gt;&gt;%USERPROFILE%\Documents\GitHub\eaglep3-reporting\EC\2017-12-18-refined-times.txt</v>
      </c>
      <c r="AI200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{"issue":{"subject":"","project_id":79,"tracker_id":40,"status_id":1,"priority_id":2,"assigned_to_id":338,"start_date":"2017-12-18","description":"","custom_fields":[{"id":1,"name":"Subdivision","value":"NW"},{"id":4,"name":"Milepost","value":"0.0104"},{"id":17,"name":"Train ID","value":"840-18"},{"id":16,"name":"Locomotive ID","value":"4035"},{"id":130,"name":"Impact","value":""},{"id":150,"name":"Time of Event (Mountain Time)","value":"19:55:40"},{"id":151,"name":"Denver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4"/>
        <v>start /low /b %USERPROFILE%\Documents\GitHub\eaglep3\Utilities\DownloadLogsFromS3.py --loco 4035 --day 2017-12-18</v>
      </c>
      <c r="AN200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6"/>
        <v>https://d0f6bd738d7f1b3e5a7ca70fe4ff75f0.us-east-1.aws.found.io/app/kibana#/discover/Steve-Slow-Train-Analysis-(2080s-and-2083s)?_g=(refreshInterval:(display:Off,pause:!f,section:0,value:0),time:(from:'2017-12-18T18:26:08-0700',mode:absolute,to:'2017-12-18T20:55:40-0700'))&amp;_a=(columns:!('Message%20ID',Summary),filters:!(),index:'emp_*',interval:auto,query:(query_string:(analyze_wildcard:!t,query:'%22rtdc.l.rtdc.4035%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25">
      <c r="A201" s="229" t="s">
        <v>853</v>
      </c>
      <c r="B201" s="225">
        <v>4036</v>
      </c>
      <c r="C201" s="227" t="s">
        <v>192</v>
      </c>
      <c r="D201" s="227" t="s">
        <v>1049</v>
      </c>
      <c r="E201" s="226">
        <v>43087.791018518517</v>
      </c>
      <c r="F201" s="226">
        <v>43087.798101851855</v>
      </c>
      <c r="G201" s="225">
        <v>55</v>
      </c>
      <c r="H201" s="227" t="s">
        <v>631</v>
      </c>
      <c r="I201" s="226">
        <v>43087.808240740742</v>
      </c>
      <c r="J201" s="225">
        <v>0</v>
      </c>
      <c r="K201" s="237" t="str">
        <f t="shared" si="62"/>
        <v>4035/4036</v>
      </c>
      <c r="L201" s="245" t="str">
        <f>VLOOKUP(A201,'Trips&amp;Operators'!$C$1:$G$99911,5,FALSE)</f>
        <v>KILLION DAVID</v>
      </c>
      <c r="M201" s="224">
        <f t="shared" si="92"/>
        <v>1.0138888887013309E-2</v>
      </c>
      <c r="N201" s="225">
        <f t="shared" si="93"/>
        <v>14.599999997299165</v>
      </c>
      <c r="O201" s="225"/>
      <c r="P201" s="225"/>
      <c r="Q201" s="228"/>
      <c r="R201" s="242"/>
      <c r="S201" s="249">
        <f t="shared" si="91"/>
        <v>1</v>
      </c>
      <c r="T201" s="242" t="str">
        <f t="shared" si="64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5"/>
        <v>https://d0f6bd738d7f1b3e5a7ca70fe4ff75f0.us-east-1.aws.found.io/app/kibana#/discover/Steve-Slow-Train-Analysis-(2080s-and-2083s)?_g=(refreshInterval:(display:Off,pause:!f,section:0,value:0),time:(from:'2017-12-18T17:59:04-0700',mode:absolute,to:'2017-12-18T20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1" s="247" t="str">
        <f>IF(AA201&lt;VLOOKUP(AG201,Variables!$AC$3:$AD$8,2,FALSE),"Y","N")</f>
        <v>N</v>
      </c>
      <c r="X201" s="247">
        <f t="shared" si="88"/>
        <v>1</v>
      </c>
      <c r="Y201" s="247">
        <f t="shared" si="99"/>
        <v>4.1700000000000001E-2</v>
      </c>
      <c r="Z201" s="247">
        <f t="shared" si="100"/>
        <v>5.9001000000000001</v>
      </c>
      <c r="AA201" s="247">
        <f t="shared" si="67"/>
        <v>5.8584000000000005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8"/>
        <v>841</v>
      </c>
      <c r="AE201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201" s="234" t="str">
        <f t="shared" si="70"/>
        <v>"C:\Program Files (x86)\AstroGrep\AstroGrep.exe" /e /r /s /spath="%USERPROFILE%\AppData\Local\Temp\OnboardLogs" /stypes="app*4036*20171219*" /stext=" 02:.+((SYSTEM_STATE.+slice.+state.+changed )|(ment ac)|(multiple cpu faults)|(system.+state.+changed )|(\[timeout)|(PRM\|1\|D)|(kpr)|(kdp)|(train st.+moving)|(\|lc)|(penalty))"</v>
      </c>
      <c r="AG201" s="244" t="str">
        <f t="shared" si="71"/>
        <v>NW</v>
      </c>
      <c r="AH201" s="236" t="str">
        <f t="shared" si="72"/>
        <v>"%USERPROFILE%\Documents\GitHub\eaglep3\Utilities\RefineRTDCRunTimes.py" --tripid 841-18 --locoid 4036 --swversion DE.1.0.9.0 --startMP 204:417 --initTime 2017-12-18T18:59:04 --startdatetime 2017-12-18T19:09:16 --delay 55 --endMP 300:59001 --enddatetime 2017-12-18T19:23:52 --enforcementcount 0 &gt;&gt;%USERPROFILE%\Documents\GitHub\eaglep3-reporting\EC\2017-12-18-refined-times.txt</v>
      </c>
      <c r="AI201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{"issue":{"subject":"","project_id":79,"tracker_id":40,"status_id":1,"priority_id":2,"assigned_to_id":338,"start_date":"2017-12-18","description":"","custom_fields":[{"id":1,"name":"Subdivision","value":"NW"},{"id":4,"name":"Milepost","value":"5.9001"},{"id":17,"name":"Train ID","value":"841-18"},{"id":16,"name":"Locomotive ID","value":"4036"},{"id":130,"name":"Impact","value":""},{"id":150,"name":"Time of Event (Mountain Time)","value":"19:23:52"},{"id":151,"name":"Denver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74"/>
        <v>start /low /b %USERPROFILE%\Documents\GitHub\eaglep3\Utilities\DownloadLogsFromS3.py --loco 4036 --day 2017-12-18</v>
      </c>
      <c r="AN201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6"/>
        <v>https://d0f6bd738d7f1b3e5a7ca70fe4ff75f0.us-east-1.aws.found.io/app/kibana#/discover/Steve-Slow-Train-Analysis-(2080s-and-2083s)?_g=(refreshInterval:(display:Off,pause:!f,section:0,value:0),time:(from:'2017-12-18T17:59:04-0700',mode:absolute,to:'2017-12-18T20:23:52-0700'))&amp;_a=(columns:!('Message%20ID',Summary),filters:!(),index:'emp_*',interval:auto,query:(query_string:(analyze_wildcard:!t,query:'%22rtdc.l.rtdc.4036%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865</v>
      </c>
      <c r="B202" s="225">
        <v>4035</v>
      </c>
      <c r="C202" s="227" t="s">
        <v>192</v>
      </c>
      <c r="D202" s="227" t="s">
        <v>1050</v>
      </c>
      <c r="E202" s="226">
        <v>43087.851365740738</v>
      </c>
      <c r="F202" s="226">
        <v>43087.862500000003</v>
      </c>
      <c r="G202" s="225">
        <v>50</v>
      </c>
      <c r="H202" s="227" t="s">
        <v>659</v>
      </c>
      <c r="I202" s="226">
        <v>43087.871990740743</v>
      </c>
      <c r="J202" s="225">
        <v>0</v>
      </c>
      <c r="K202" s="237" t="str">
        <f t="shared" si="62"/>
        <v>4035/4036</v>
      </c>
      <c r="L202" s="245" t="str">
        <f>VLOOKUP(A202,'Trips&amp;Operators'!$C$1:$G$99911,5,FALSE)</f>
        <v>KILLION DAVID</v>
      </c>
      <c r="M202" s="224">
        <f t="shared" si="92"/>
        <v>9.4907407401478849E-3</v>
      </c>
      <c r="N202" s="225">
        <f t="shared" si="93"/>
        <v>13.666666665812954</v>
      </c>
      <c r="O202" s="225"/>
      <c r="P202" s="225"/>
      <c r="Q202" s="228"/>
      <c r="R202" s="242"/>
      <c r="S202" s="249">
        <f t="shared" si="91"/>
        <v>1</v>
      </c>
      <c r="T202" s="242" t="str">
        <f t="shared" si="64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5"/>
        <v>https://d0f6bd738d7f1b3e5a7ca70fe4ff75f0.us-east-1.aws.found.io/app/kibana#/discover/Steve-Slow-Train-Analysis-(2080s-and-2083s)?_g=(refreshInterval:(display:Off,pause:!f,section:0,value:0),time:(from:'2017-12-18T19:25:58-0700',mode:absolute,to:'2017-12-18T21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2" s="247" t="str">
        <f>IF(AA202&lt;VLOOKUP(AG202,Variables!$AC$3:$AD$8,2,FALSE),"Y","N")</f>
        <v>N</v>
      </c>
      <c r="X202" s="247">
        <f t="shared" si="88"/>
        <v>1</v>
      </c>
      <c r="Y202" s="247">
        <f t="shared" si="99"/>
        <v>5.8692000000000002</v>
      </c>
      <c r="Z202" s="247">
        <f t="shared" si="100"/>
        <v>1.26E-2</v>
      </c>
      <c r="AA202" s="247">
        <f t="shared" si="67"/>
        <v>5.8566000000000003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8"/>
        <v>842</v>
      </c>
      <c r="AE202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202" s="234" t="str">
        <f t="shared" si="70"/>
        <v>"C:\Program Files (x86)\AstroGrep\AstroGrep.exe" /e /r /s /spath="%USERPROFILE%\AppData\Local\Temp\OnboardLogs" /stypes="app*4035*20171219*" /stext=" 03:.+((SYSTEM_STATE.+slice.+state.+changed )|(ment ac)|(multiple cpu faults)|(system.+state.+changed )|(\[timeout)|(PRM\|1\|D)|(kpr)|(kdp)|(train st.+moving)|(\|lc)|(penalty))"</v>
      </c>
      <c r="AG202" s="244" t="str">
        <f t="shared" si="71"/>
        <v>NW</v>
      </c>
      <c r="AH202" s="236" t="str">
        <f t="shared" si="72"/>
        <v>"%USERPROFILE%\Documents\GitHub\eaglep3\Utilities\RefineRTDCRunTimes.py" --tripid 842-18 --locoid 4035 --swversion DE.1.0.9.0 --startMP 300:58692 --initTime 2017-12-18T20:25:58 --startdatetime 2017-12-18T20:42:00 --delay 50 --endMP 204:126 --enddatetime 2017-12-18T20:55:40 --enforcementcount 0 &gt;&gt;%USERPROFILE%\Documents\GitHub\eaglep3-reporting\EC\2017-12-18-refined-times.txt</v>
      </c>
      <c r="AI202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{"issue":{"subject":"","project_id":79,"tracker_id":40,"status_id":1,"priority_id":2,"assigned_to_id":338,"start_date":"2017-12-18","description":"","custom_fields":[{"id":1,"name":"Subdivision","value":"NW"},{"id":4,"name":"Milepost","value":"0.0126"},{"id":17,"name":"Train ID","value":"842-18"},{"id":16,"name":"Locomotive ID","value":"4035"},{"id":130,"name":"Impact","value":""},{"id":150,"name":"Time of Event (Mountain Time)","value":"20:55:40"},{"id":151,"name":"Denver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4"/>
        <v>start /low /b %USERPROFILE%\Documents\GitHub\eaglep3\Utilities\DownloadLogsFromS3.py --loco 4035 --day 2017-12-18</v>
      </c>
      <c r="AN202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6"/>
        <v>https://d0f6bd738d7f1b3e5a7ca70fe4ff75f0.us-east-1.aws.found.io/app/kibana#/discover/Steve-Slow-Train-Analysis-(2080s-and-2083s)?_g=(refreshInterval:(display:Off,pause:!f,section:0,value:0),time:(from:'2017-12-18T19:25:58-0700',mode:absolute,to:'2017-12-18T21:55:40-0700'))&amp;_a=(columns:!('Message%20ID',Summary),filters:!(),index:'emp_*',interval:auto,query:(query_string:(analyze_wildcard:!t,query:'%22rtdc.l.rtdc.4035%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25">
      <c r="A203" s="229" t="s">
        <v>862</v>
      </c>
      <c r="B203" s="225">
        <v>4036</v>
      </c>
      <c r="C203" s="227" t="s">
        <v>192</v>
      </c>
      <c r="D203" s="227" t="s">
        <v>632</v>
      </c>
      <c r="E203" s="226">
        <v>43087.832384259258</v>
      </c>
      <c r="F203" s="226">
        <v>43087.839814814812</v>
      </c>
      <c r="G203" s="225">
        <v>64</v>
      </c>
      <c r="H203" s="227" t="s">
        <v>1051</v>
      </c>
      <c r="I203" s="226">
        <v>43087.84988425926</v>
      </c>
      <c r="J203" s="225">
        <v>0</v>
      </c>
      <c r="K203" s="237" t="str">
        <f t="shared" si="62"/>
        <v>4035/4036</v>
      </c>
      <c r="L203" s="245" t="str">
        <f>VLOOKUP(A203,'Trips&amp;Operators'!$C$1:$G$99911,5,FALSE)</f>
        <v>KILLION DAVID</v>
      </c>
      <c r="M203" s="224">
        <f t="shared" si="92"/>
        <v>1.0069444448163267E-2</v>
      </c>
      <c r="N203" s="225">
        <f t="shared" si="93"/>
        <v>14.500000005355105</v>
      </c>
      <c r="O203" s="225"/>
      <c r="P203" s="225"/>
      <c r="Q203" s="228"/>
      <c r="R203" s="242"/>
      <c r="S203" s="249">
        <f t="shared" si="91"/>
        <v>1</v>
      </c>
      <c r="T203" s="242" t="str">
        <f t="shared" si="64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5"/>
        <v>https://d0f6bd738d7f1b3e5a7ca70fe4ff75f0.us-east-1.aws.found.io/app/kibana#/discover/Steve-Slow-Train-Analysis-(2080s-and-2083s)?_g=(refreshInterval:(display:Off,pause:!f,section:0,value:0),time:(from:'2017-12-18T18:58:38-0700',mode:absolute,to:'2017-12-18T21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47" t="str">
        <f>IF(AA203&lt;VLOOKUP(AG203,Variables!$AC$3:$AD$8,2,FALSE),"Y","N")</f>
        <v>N</v>
      </c>
      <c r="X203" s="247">
        <f t="shared" si="88"/>
        <v>1</v>
      </c>
      <c r="Y203" s="247">
        <f t="shared" si="99"/>
        <v>4.0399999999999998E-2</v>
      </c>
      <c r="Z203" s="247">
        <f t="shared" si="100"/>
        <v>5.9009999999999998</v>
      </c>
      <c r="AA203" s="247">
        <f t="shared" si="67"/>
        <v>5.8605999999999998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8"/>
        <v>843</v>
      </c>
      <c r="AE203" s="235" t="str">
        <f t="shared" si="69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203" s="234" t="str">
        <f t="shared" si="70"/>
        <v>"C:\Program Files (x86)\AstroGrep\AstroGrep.exe" /e /r /s /spath="%USERPROFILE%\AppData\Local\Temp\OnboardLogs" /stypes="app*4036*20171219*" /stext=" 03:.+((SYSTEM_STATE.+slice.+state.+changed )|(ment ac)|(multiple cpu faults)|(system.+state.+changed )|(\[timeout)|(PRM\|1\|D)|(kpr)|(kdp)|(train st.+moving)|(\|lc)|(penalty))"</v>
      </c>
      <c r="AG203" s="244" t="str">
        <f t="shared" si="71"/>
        <v>NW</v>
      </c>
      <c r="AH203" s="236" t="str">
        <f t="shared" si="72"/>
        <v>"%USERPROFILE%\Documents\GitHub\eaglep3\Utilities\RefineRTDCRunTimes.py" --tripid 843-18 --locoid 4036 --swversion DE.1.0.9.0 --startMP 204:404 --initTime 2017-12-18T19:58:38 --startdatetime 2017-12-18T20:09:20 --delay 64 --endMP 300:59010 --enddatetime 2017-12-18T20:23:50 --enforcementcount 0 &gt;&gt;%USERPROFILE%\Documents\GitHub\eaglep3-reporting\EC\2017-12-18-refined-times.txt</v>
      </c>
      <c r="AI203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{"issue":{"subject":"","project_id":79,"tracker_id":40,"status_id":1,"priority_id":2,"assigned_to_id":338,"start_date":"2017-12-18","description":"","custom_fields":[{"id":1,"name":"Subdivision","value":"NW"},{"id":4,"name":"Milepost","value":"5.901"},{"id":17,"name":"Train ID","value":"843-18"},{"id":16,"name":"Locomotive ID","value":"4036"},{"id":130,"name":"Impact","value":""},{"id":150,"name":"Time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74"/>
        <v>start /low /b %USERPROFILE%\Documents\GitHub\eaglep3\Utilities\DownloadLogsFromS3.py --loco 4036 --day 2017-12-18</v>
      </c>
      <c r="AN203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6"/>
        <v>https://d0f6bd738d7f1b3e5a7ca70fe4ff75f0.us-east-1.aws.found.io/app/kibana#/discover/Steve-Slow-Train-Analysis-(2080s-and-2083s)?_g=(refreshInterval:(display:Off,pause:!f,section:0,value:0),time:(from:'2017-12-18T18:58:38-0700',mode:absolute,to:'2017-12-18T21:23:50-0700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871</v>
      </c>
      <c r="B204" s="225">
        <v>4035</v>
      </c>
      <c r="C204" s="227" t="s">
        <v>192</v>
      </c>
      <c r="D204" s="227" t="s">
        <v>1039</v>
      </c>
      <c r="E204" s="226">
        <v>43087.892002314817</v>
      </c>
      <c r="F204" s="226">
        <v>43087.904166666667</v>
      </c>
      <c r="G204" s="225">
        <v>84</v>
      </c>
      <c r="H204" s="227" t="s">
        <v>630</v>
      </c>
      <c r="I204" s="226">
        <v>43087.912951388891</v>
      </c>
      <c r="J204" s="225">
        <v>0</v>
      </c>
      <c r="K204" s="237" t="str">
        <f t="shared" si="62"/>
        <v>4035/4036</v>
      </c>
      <c r="L204" s="245" t="str">
        <f>VLOOKUP(A204,'Trips&amp;Operators'!$C$1:$G$99911,5,FALSE)</f>
        <v>STAMBAUGH JAMES</v>
      </c>
      <c r="M204" s="224">
        <f t="shared" si="92"/>
        <v>8.7847222239361145E-3</v>
      </c>
      <c r="N204" s="225">
        <f t="shared" si="93"/>
        <v>12.650000002468005</v>
      </c>
      <c r="O204" s="225"/>
      <c r="P204" s="225"/>
      <c r="Q204" s="228"/>
      <c r="R204" s="242"/>
      <c r="S204" s="249">
        <f t="shared" si="91"/>
        <v>1</v>
      </c>
      <c r="T204" s="242" t="str">
        <f t="shared" si="64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5"/>
        <v>https://d0f6bd738d7f1b3e5a7ca70fe4ff75f0.us-east-1.aws.found.io/app/kibana#/discover/Steve-Slow-Train-Analysis-(2080s-and-2083s)?_g=(refreshInterval:(display:Off,pause:!f,section:0,value:0),time:(from:'2017-12-18T20:24:29-0700',mode:absolute,to:'2017-12-18T22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4" s="247" t="str">
        <f>IF(AA204&lt;VLOOKUP(AG204,Variables!$AC$3:$AD$8,2,FALSE),"Y","N")</f>
        <v>N</v>
      </c>
      <c r="X204" s="247">
        <f t="shared" si="88"/>
        <v>1</v>
      </c>
      <c r="Y204" s="247">
        <f t="shared" si="99"/>
        <v>5.8623000000000003</v>
      </c>
      <c r="Z204" s="247">
        <f t="shared" si="100"/>
        <v>1.44E-2</v>
      </c>
      <c r="AA204" s="247">
        <f t="shared" si="67"/>
        <v>5.8479000000000001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8"/>
        <v>844</v>
      </c>
      <c r="AE204" s="235" t="str">
        <f t="shared" si="69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204" s="234" t="str">
        <f t="shared" si="70"/>
        <v>"C:\Program Files (x86)\AstroGrep\AstroGrep.exe" /e /r /s /spath="%USERPROFILE%\AppData\Local\Temp\OnboardLogs" /stypes="app*4035*20171219*" /stext=" 04:.+((SYSTEM_STATE.+slice.+state.+changed )|(ment ac)|(multiple cpu faults)|(system.+state.+changed )|(\[timeout)|(PRM\|1\|D)|(kpr)|(kdp)|(train st.+moving)|(\|lc)|(penalty))"</v>
      </c>
      <c r="AG204" s="244" t="str">
        <f t="shared" si="71"/>
        <v>NW</v>
      </c>
      <c r="AH204" s="236" t="str">
        <f t="shared" si="72"/>
        <v>"%USERPROFILE%\Documents\GitHub\eaglep3\Utilities\RefineRTDCRunTimes.py" --tripid 844-18 --locoid 4035 --swversion DE.1.0.9.0 --startMP 300:58623 --initTime 2017-12-18T21:24:29 --startdatetime 2017-12-18T21:42:00 --delay 84 --endMP 204:144 --enddatetime 2017-12-18T21:54:39 --enforcementcount 0 &gt;&gt;%USERPROFILE%\Documents\GitHub\eaglep3-reporting\EC\2017-12-18-refined-times.txt</v>
      </c>
      <c r="AI204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{"issue":{"subject":"","project_id":79,"tracker_id":40,"status_id":1,"priority_id":2,"assigned_to_id":338,"start_date":"2017-12-18","description":"","custom_fields":[{"id":1,"name":"Subdivision","value":"NW"},{"id":4,"name":"Milepost","value":"0.0144"},{"id":17,"name":"Train ID","value":"844-18"},{"id":16,"name":"Locomotive ID","value":"4035"},{"id":130,"name":"Impact","value":""},{"id":150,"name":"Time of Event (Mountain Time)","value":"21:54:39"},{"id":151,"name":"Denver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74"/>
        <v>start /low /b %USERPROFILE%\Documents\GitHub\eaglep3\Utilities\DownloadLogsFromS3.py --loco 4035 --day 2017-12-18</v>
      </c>
      <c r="AN204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6"/>
        <v>https://d0f6bd738d7f1b3e5a7ca70fe4ff75f0.us-east-1.aws.found.io/app/kibana#/discover/Steve-Slow-Train-Analysis-(2080s-and-2083s)?_g=(refreshInterval:(display:Off,pause:!f,section:0,value:0),time:(from:'2017-12-18T20:24:29-0700',mode:absolute,to:'2017-12-18T22:54:39-0700'))&amp;_a=(columns:!('Message%20ID',Summary),filters:!(),index:'emp_*',interval:auto,query:(query_string:(analyze_wildcard:!t,query:'%22rtdc.l.rtdc.4035%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25">
      <c r="A205" s="229" t="s">
        <v>868</v>
      </c>
      <c r="B205" s="225">
        <v>4036</v>
      </c>
      <c r="C205" s="227" t="s">
        <v>192</v>
      </c>
      <c r="D205" s="227" t="s">
        <v>1052</v>
      </c>
      <c r="E205" s="226">
        <v>43087.875775462962</v>
      </c>
      <c r="F205" s="226">
        <v>43087.881585648145</v>
      </c>
      <c r="G205" s="225">
        <v>70</v>
      </c>
      <c r="H205" s="227" t="s">
        <v>1053</v>
      </c>
      <c r="I205" s="226">
        <v>43087.890787037039</v>
      </c>
      <c r="J205" s="225">
        <v>0</v>
      </c>
      <c r="K205" s="237" t="str">
        <f t="shared" ref="K205:K234" si="101">IF(ISEVEN(B205),(B205-1)&amp;"/"&amp;B205,B205&amp;"/"&amp;(B205+1))</f>
        <v>4035/4036</v>
      </c>
      <c r="L205" s="245" t="str">
        <f>VLOOKUP(A205,'Trips&amp;Operators'!$C$1:$G$99911,5,FALSE)</f>
        <v>STAMBAUGH JAMES</v>
      </c>
      <c r="M205" s="224">
        <f t="shared" si="92"/>
        <v>9.2013888934161514E-3</v>
      </c>
      <c r="N205" s="225">
        <f t="shared" si="93"/>
        <v>13.250000006519258</v>
      </c>
      <c r="O205" s="225"/>
      <c r="P205" s="225"/>
      <c r="Q205" s="228"/>
      <c r="R205" s="242"/>
      <c r="S205" s="249">
        <f t="shared" si="91"/>
        <v>1</v>
      </c>
      <c r="T205" s="242" t="str">
        <f t="shared" ref="T205:T234" si="102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34" si="10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-18T20:01:07-0700',mode:absolute,to:'2017-12-18T22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47" t="str">
        <f>IF(AA205&lt;VLOOKUP(AG205,Variables!$AC$3:$AD$8,2,FALSE),"Y","N")</f>
        <v>N</v>
      </c>
      <c r="X205" s="247">
        <f t="shared" si="88"/>
        <v>1</v>
      </c>
      <c r="Y205" s="247">
        <f t="shared" si="99"/>
        <v>3.95E-2</v>
      </c>
      <c r="Z205" s="247">
        <f t="shared" si="100"/>
        <v>5.8940999999999999</v>
      </c>
      <c r="AA205" s="247">
        <f t="shared" ref="AA205:AA234" si="104">ABS(Z205-Y205)</f>
        <v>5.8545999999999996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34" si="105">VALUE(LEFT(A205,LEN(A205)-3))</f>
        <v>845</v>
      </c>
      <c r="AE205" s="235" t="str">
        <f t="shared" ref="AE205:AE234" si="10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205" s="234" t="str">
        <f t="shared" ref="AF205:AF234" si="10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/stypes="app*4036*20171219*" /stext=" 04:.+((SYSTEM_STATE.+slice.+state.+changed )|(ment ac)|(multiple cpu faults)|(system.+state.+changed )|(\[timeout)|(PRM\|1\|D)|(kpr)|(kdp)|(train st.+moving)|(\|lc)|(penalty))"</v>
      </c>
      <c r="AG205" s="244" t="str">
        <f t="shared" ref="AG205:AG234" si="108">DetSubdiv(A205)</f>
        <v>NW</v>
      </c>
      <c r="AH205" s="236" t="str">
        <f t="shared" si="72"/>
        <v>"%USERPROFILE%\Documents\GitHub\eaglep3\Utilities\RefineRTDCRunTimes.py" --tripid 845-18 --locoid 4036 --swversion DE.1.0.9.0 --startMP 204:395 --initTime 2017-12-18T21:01:07 --startdatetime 2017-12-18T21:09:29 --delay 70 --endMP 300:58941 --enddatetime 2017-12-18T21:22:44 --enforcementcount 0 &gt;&gt;%USERPROFILE%\Documents\GitHub\eaglep3-reporting\EC\2017-12-18-refined-times.txt</v>
      </c>
      <c r="AI205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{"issue":{"subject":"","project_id":79,"tracker_id":40,"status_id":1,"priority_id":2,"assigned_to_id":338,"start_date":"2017-12-18","description":"","custom_fields":[{"id":1,"name":"Subdivision","value":"NW"},{"id":4,"name":"Milepost","value":"5.8941"},{"id":17,"name":"Train ID","value":"845-18"},{"id":16,"name":"Locomotive ID","value":"4036"},{"id":130,"name":"Impact","value":""},{"id":150,"name":"Time of Event (Mountain Time)","value":"21:22:44"},{"id":151,"name":"Denver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74"/>
        <v>start /low /b %USERPROFILE%\Documents\GitHub\eaglep3\Utilities\DownloadLogsFromS3.py --loco 4036 --day 2017-12-18</v>
      </c>
      <c r="AN205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04:22:44"},{"id":29,"name":"Sharepoint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76"/>
        <v>https://d0f6bd738d7f1b3e5a7ca70fe4ff75f0.us-east-1.aws.found.io/app/kibana#/discover/Steve-Slow-Train-Analysis-(2080s-and-2083s)?_g=(refreshInterval:(display:Off,pause:!f,section:0,value:0),time:(from:'2017-12-18T20:01:07-0700',mode:absolute,to:'2017-12-18T22:22:44-0700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877</v>
      </c>
      <c r="B206" s="225">
        <v>4035</v>
      </c>
      <c r="C206" s="227" t="s">
        <v>192</v>
      </c>
      <c r="D206" s="227" t="s">
        <v>1042</v>
      </c>
      <c r="E206" s="226">
        <v>43087.935682870368</v>
      </c>
      <c r="F206" s="226">
        <v>43087.945833333331</v>
      </c>
      <c r="G206" s="225">
        <v>53</v>
      </c>
      <c r="H206" s="227" t="s">
        <v>1054</v>
      </c>
      <c r="I206" s="226">
        <v>43087.95716435185</v>
      </c>
      <c r="J206" s="225">
        <v>0</v>
      </c>
      <c r="K206" s="237" t="str">
        <f t="shared" si="101"/>
        <v>4035/4036</v>
      </c>
      <c r="L206" s="245" t="str">
        <f>VLOOKUP(A206,'Trips&amp;Operators'!$C$1:$G$99911,5,FALSE)</f>
        <v>STAMBAUGH JAMES</v>
      </c>
      <c r="M206" s="224">
        <f t="shared" si="92"/>
        <v>1.1331018518831115E-2</v>
      </c>
      <c r="N206" s="225">
        <f t="shared" si="93"/>
        <v>16.316666667116806</v>
      </c>
      <c r="O206" s="225"/>
      <c r="P206" s="225"/>
      <c r="Q206" s="228"/>
      <c r="R206" s="242"/>
      <c r="S206" s="249">
        <f t="shared" si="91"/>
        <v>1</v>
      </c>
      <c r="T206" s="242" t="str">
        <f t="shared" si="102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03"/>
        <v>https://d0f6bd738d7f1b3e5a7ca70fe4ff75f0.us-east-1.aws.found.io/app/kibana#/discover/Steve-Slow-Train-Analysis-(2080s-and-2083s)?_g=(refreshInterval:(display:Off,pause:!f,section:0,value:0),time:(from:'2017-12-18T21:27:23-0700',mode:absolute,to:'2017-12-18T23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6" s="247" t="str">
        <f>IF(AA206&lt;VLOOKUP(AG206,Variables!$AC$3:$AD$8,2,FALSE),"Y","N")</f>
        <v>N</v>
      </c>
      <c r="X206" s="247">
        <f t="shared" si="88"/>
        <v>1</v>
      </c>
      <c r="Y206" s="247">
        <f t="shared" si="99"/>
        <v>5.8616999999999999</v>
      </c>
      <c r="Z206" s="247">
        <f t="shared" si="100"/>
        <v>9.0999999999999998E-2</v>
      </c>
      <c r="AA206" s="247">
        <f t="shared" si="104"/>
        <v>5.7706999999999997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05"/>
        <v>846</v>
      </c>
      <c r="AE206" s="235" t="str">
        <f t="shared" si="106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206" s="234" t="str">
        <f t="shared" si="107"/>
        <v>"C:\Program Files (x86)\AstroGrep\AstroGrep.exe" /e /r /s /spath="%USERPROFILE%\AppData\Local\Temp\OnboardLogs" /stypes="app*4035*20171219*" /stext=" 05:.+((SYSTEM_STATE.+slice.+state.+changed )|(ment ac)|(multiple cpu faults)|(system.+state.+changed )|(\[timeout)|(PRM\|1\|D)|(kpr)|(kdp)|(train st.+moving)|(\|lc)|(penalty))"</v>
      </c>
      <c r="AG206" s="244" t="str">
        <f t="shared" si="108"/>
        <v>NW</v>
      </c>
      <c r="AH206" s="236" t="str">
        <f t="shared" si="72"/>
        <v>"%USERPROFILE%\Documents\GitHub\eaglep3\Utilities\RefineRTDCRunTimes.py" --tripid 846-18 --locoid 4035 --swversion DE.1.0.9.0 --startMP 300:58617 --initTime 2017-12-18T22:27:23 --startdatetime 2017-12-18T22:42:00 --delay 53 --endMP 204:910 --enddatetime 2017-12-18T22:58:19 --enforcementcount 0 &gt;&gt;%USERPROFILE%\Documents\GitHub\eaglep3-reporting\EC\2017-12-18-refined-times.txt</v>
      </c>
      <c r="AI206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{"issue":{"subject":"","project_id":79,"tracker_id":40,"status_id":1,"priority_id":2,"assigned_to_id":338,"start_date":"2017-12-18","description":"","custom_fields":[{"id":1,"name":"Subdivision","value":"NW"},{"id":4,"name":"Milepost","value":"0.091"},{"id":17,"name":"Train ID","value":"846-18"},{"id":16,"name":"Locomotive ID","value":"4035"},{"id":130,"name":"Impact","value":""},{"id":150,"name":"Time of Event (Mountain Time)","value":"22:58:19"},{"id":151,"name":"Denver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74"/>
        <v>start /low /b %USERPROFILE%\Documents\GitHub\eaglep3\Utilities\DownloadLogsFromS3.py --loco 4035 --day 2017-12-18</v>
      </c>
      <c r="AN206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6"/>
        <v>https://d0f6bd738d7f1b3e5a7ca70fe4ff75f0.us-east-1.aws.found.io/app/kibana#/discover/Steve-Slow-Train-Analysis-(2080s-and-2083s)?_g=(refreshInterval:(display:Off,pause:!f,section:0,value:0),time:(from:'2017-12-18T21:27:23-0700',mode:absolute,to:'2017-12-18T23:58:19-0700'))&amp;_a=(columns:!('Message%20ID',Summary),filters:!(),index:'emp_*',interval:auto,query:(query_string:(analyze_wildcard:!t,query:'%22rtdc.l.rtdc.4035%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874</v>
      </c>
      <c r="B207" s="225">
        <v>4036</v>
      </c>
      <c r="C207" s="227" t="s">
        <v>192</v>
      </c>
      <c r="D207" s="227" t="s">
        <v>1017</v>
      </c>
      <c r="E207" s="226">
        <v>43087.918402777781</v>
      </c>
      <c r="F207" s="226">
        <v>43087.923113425924</v>
      </c>
      <c r="G207" s="225">
        <v>55</v>
      </c>
      <c r="H207" s="227" t="s">
        <v>1003</v>
      </c>
      <c r="I207" s="226">
        <v>43087.932129629633</v>
      </c>
      <c r="J207" s="225">
        <v>0</v>
      </c>
      <c r="K207" s="237" t="str">
        <f t="shared" si="101"/>
        <v>4035/4036</v>
      </c>
      <c r="L207" s="245" t="str">
        <f>VLOOKUP(A207,'Trips&amp;Operators'!$C$1:$G$99911,5,FALSE)</f>
        <v>STAMBAUGH JAMES</v>
      </c>
      <c r="M207" s="224">
        <f t="shared" si="92"/>
        <v>9.0162037085974589E-3</v>
      </c>
      <c r="N207" s="225">
        <f t="shared" si="93"/>
        <v>12.983333340380341</v>
      </c>
      <c r="O207" s="225"/>
      <c r="P207" s="225"/>
      <c r="Q207" s="228"/>
      <c r="R207" s="242"/>
      <c r="S207" s="249">
        <f t="shared" si="91"/>
        <v>1</v>
      </c>
      <c r="T207" s="242" t="str">
        <f t="shared" si="102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03"/>
        <v>https://d0f6bd738d7f1b3e5a7ca70fe4ff75f0.us-east-1.aws.found.io/app/kibana#/discover/Steve-Slow-Train-Analysis-(2080s-and-2083s)?_g=(refreshInterval:(display:Off,pause:!f,section:0,value:0),time:(from:'2017-12-18T21:02:30-0700',mode:absolute,to:'2017-12-18T23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47" t="str">
        <f>IF(AA207&lt;VLOOKUP(AG207,Variables!$AC$3:$AD$8,2,FALSE),"Y","N")</f>
        <v>N</v>
      </c>
      <c r="X207" s="247">
        <f t="shared" ref="X207:X211" si="109">VALUE(LEFT(AD207,4))-VALUE(LEFT(AD206,4))</f>
        <v>1</v>
      </c>
      <c r="Y207" s="247">
        <f t="shared" si="99"/>
        <v>4.2299999999999997E-2</v>
      </c>
      <c r="Z207" s="247">
        <f t="shared" si="100"/>
        <v>5.8935000000000004</v>
      </c>
      <c r="AA207" s="247">
        <f t="shared" si="104"/>
        <v>5.8512000000000004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05"/>
        <v>847</v>
      </c>
      <c r="AE207" s="235" t="str">
        <f t="shared" si="106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207" s="234" t="str">
        <f t="shared" si="107"/>
        <v>"C:\Program Files (x86)\AstroGrep\AstroGrep.exe" /e /r /s /spath="%USERPROFILE%\AppData\Local\Temp\OnboardLogs" /stypes="app*4036*20171219*" /stext=" 05:.+((SYSTEM_STATE.+slice.+state.+changed )|(ment ac)|(multiple cpu faults)|(system.+state.+changed )|(\[timeout)|(PRM\|1\|D)|(kpr)|(kdp)|(train st.+moving)|(\|lc)|(penalty))"</v>
      </c>
      <c r="AG207" s="244" t="str">
        <f t="shared" si="108"/>
        <v>NW</v>
      </c>
      <c r="AH207" s="236" t="str">
        <f t="shared" si="72"/>
        <v>"%USERPROFILE%\Documents\GitHub\eaglep3\Utilities\RefineRTDCRunTimes.py" --tripid 847-18 --locoid 4036 --swversion DE.1.0.9.0 --startMP 204:423 --initTime 2017-12-18T22:02:30 --startdatetime 2017-12-18T22:09:17 --delay 55 --endMP 300:58935 --enddatetime 2017-12-18T22:22:16 --enforcementcount 0 &gt;&gt;%USERPROFILE%\Documents\GitHub\eaglep3-reporting\EC\2017-12-18-refined-times.txt</v>
      </c>
      <c r="AI207" s="238" t="str">
        <f t="shared" si="73"/>
        <v>echo {"issue":{"subject":"","project_id":79,"tracker_id":40,"status_id":1,"priority_id":2,"assigned_to_id":338,"start_date":"2017-12-18","description":"","custom_fields":[{"id":1,"name":"Subdivision","value":"NW"},{"id":4,"name":"Milepost","value":"5.8935"},{"id":17,"name":"Train ID","value":"847-18"},{"id":16,"name":"Locomotive ID","value":"4036"},{"id":130,"name":"Impact","value":""},{"id":150,"name":"Time of Event (Mountain Time)","value":"22:22:16"},{"id":151,"name":"Denver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4"/>
        <v>start /low /b %USERPROFILE%\Documents\GitHub\eaglep3\Utilities\DownloadLogsFromS3.py --loco 4036 --day 2017-12-18</v>
      </c>
      <c r="AN207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6"/>
        <v>https://d0f6bd738d7f1b3e5a7ca70fe4ff75f0.us-east-1.aws.found.io/app/kibana#/discover/Steve-Slow-Train-Analysis-(2080s-and-2083s)?_g=(refreshInterval:(display:Off,pause:!f,section:0,value:0),time:(from:'2017-12-18T21:02:30-0700',mode:absolute,to:'2017-12-18T23:22:16-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25">
      <c r="A208" s="229" t="s">
        <v>883</v>
      </c>
      <c r="B208" s="225">
        <v>4060</v>
      </c>
      <c r="C208" s="227" t="s">
        <v>192</v>
      </c>
      <c r="D208" s="227" t="s">
        <v>1017</v>
      </c>
      <c r="E208" s="226">
        <v>43087.918402777781</v>
      </c>
      <c r="F208" s="226">
        <v>43087.964837962965</v>
      </c>
      <c r="G208" s="225">
        <v>55</v>
      </c>
      <c r="H208" s="227" t="s">
        <v>1003</v>
      </c>
      <c r="I208" s="226">
        <v>43087.975868055553</v>
      </c>
      <c r="J208" s="225">
        <v>0</v>
      </c>
      <c r="K208" s="237" t="str">
        <f t="shared" si="101"/>
        <v>4059/4060</v>
      </c>
      <c r="L208" s="245" t="str">
        <f>VLOOKUP(A208,'Trips&amp;Operators'!$C$1:$G$99911,5,FALSE)</f>
        <v>GUNTHIER ERIC</v>
      </c>
      <c r="M208" s="224">
        <f t="shared" si="92"/>
        <v>1.1030092588043772E-2</v>
      </c>
      <c r="N208" s="225">
        <f t="shared" si="93"/>
        <v>15.883333326783031</v>
      </c>
      <c r="O208" s="225"/>
      <c r="P208" s="225"/>
      <c r="Q208" s="228"/>
      <c r="R208" s="242"/>
      <c r="S208" s="249">
        <f t="shared" si="91"/>
        <v>1</v>
      </c>
      <c r="T208" s="242" t="str">
        <f t="shared" si="102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03"/>
        <v>https://d0f6bd738d7f1b3e5a7ca70fe4ff75f0.us-east-1.aws.found.io/app/kibana#/discover/Steve-Slow-Train-Analysis-(2080s-and-2083s)?_g=(refreshInterval:(display:Off,pause:!f,section:0,value:0),time:(from:'2017-12-18T21:02:30-0700',mode:absolute,to:'2017-12-19T00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247" t="str">
        <f>IF(AA208&lt;VLOOKUP(AG208,Variables!$AC$3:$AD$8,2,FALSE),"Y","N")</f>
        <v>N</v>
      </c>
      <c r="X208" s="247">
        <f t="shared" si="109"/>
        <v>2</v>
      </c>
      <c r="Y208" s="247">
        <f t="shared" si="99"/>
        <v>4.2299999999999997E-2</v>
      </c>
      <c r="Z208" s="247">
        <f t="shared" si="100"/>
        <v>5.8935000000000004</v>
      </c>
      <c r="AA208" s="247">
        <f t="shared" si="104"/>
        <v>5.8512000000000004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05"/>
        <v>849</v>
      </c>
      <c r="AE208" s="235" t="str">
        <f t="shared" si="106"/>
        <v>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 &amp; 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</v>
      </c>
      <c r="AF208" s="234" t="str">
        <f t="shared" si="107"/>
        <v>"C:\Program Files (x86)\AstroGrep\AstroGrep.exe" /e /r /s /spath="%USERPROFILE%\AppData\Local\Temp\OnboardLogs" /stypes="app*4060*20171219*" /stext=" 06:.+((SYSTEM_STATE.+slice.+state.+changed )|(ment ac)|(multiple cpu faults)|(system.+state.+changed )|(\[timeout)|(PRM\|1\|D)|(kpr)|(kdp)|(train st.+moving)|(\|lc)|(penalty))"</v>
      </c>
      <c r="AG208" s="244" t="str">
        <f t="shared" si="108"/>
        <v>NW</v>
      </c>
      <c r="AH208" s="236" t="str">
        <f t="shared" ref="AH208" si="110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849-18 --locoid 4060 --swversion DE.1.0.9.0 --startMP 204:423 --initTime 2017-12-18T22:02:30 --startdatetime 2017-12-18T23:09:22 --delay 55 --endMP 300:58935 --enddatetime 2017-12-18T23:25:15 --enforcementcount 0 &gt;&gt;%USERPROFILE%\Documents\GitHub\eaglep3-reporting\EC\2017-12-18-refined-times.txt</v>
      </c>
      <c r="AI208" s="238" t="str">
        <f t="shared" ref="AI208" si="111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{"issue":{"subject":"","project_id":79,"tracker_id":40,"status_id":1,"priority_id":2,"assigned_to_id":338,"start_date":"2017-12-18","description":"","custom_fields":[{"id":1,"name":"Subdivision","value":"NW"},{"id":4,"name":"Milepost","value":"5.8935"},{"id":17,"name":"Train ID","value":"849-18"},{"id":16,"name":"Locomotive ID","value":"4060"},{"id":130,"name":"Impact","value":""},{"id":150,"name":"Time of Event (Mountain Time)","value":"23:25:15"},{"id":151,"name":"Denver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ref="AM208" si="112">"start /low /b "&amp;dls3logs&amp;" --loco "&amp;B208&amp;" --day "&amp;TEXT(F208,"YYYY-MM-DD")</f>
        <v>start /low /b %USERPROFILE%\Documents\GitHub\eaglep3\Utilities\DownloadLogsFromS3.py --loco 4060 --day 2017-12-18</v>
      </c>
      <c r="AN208" s="241" t="str">
        <f t="shared" ref="AN208" si="113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ref="AO208" si="114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-18T21:02:30-0700',mode:absolute,to:'2017-12-19T00:25:15-0700'))&amp;_a=(columns:!('Message%20ID',Summary),filters:!(),index:'emp_*',interval:auto,query:(query_string:(analyze_wildcard:!t,query:'%22rtdc.l.rtdc.4060%22')),sort:!(Time.ISO8601,asc))</v>
      </c>
    </row>
    <row r="209" spans="1:91" s="20" customFormat="1" x14ac:dyDescent="0.25">
      <c r="A209" s="229" t="s">
        <v>849</v>
      </c>
      <c r="B209" s="225">
        <v>4022</v>
      </c>
      <c r="C209" s="227" t="s">
        <v>192</v>
      </c>
      <c r="D209" s="227" t="s">
        <v>979</v>
      </c>
      <c r="E209" s="226">
        <v>43087.77716435185</v>
      </c>
      <c r="F209" s="226">
        <v>43087.779583333337</v>
      </c>
      <c r="G209" s="225">
        <v>54</v>
      </c>
      <c r="H209" s="227" t="s">
        <v>980</v>
      </c>
      <c r="I209" s="226">
        <v>43087.786712962959</v>
      </c>
      <c r="J209" s="225">
        <v>0</v>
      </c>
      <c r="K209" s="237" t="str">
        <f t="shared" si="101"/>
        <v>4021/4022</v>
      </c>
      <c r="L209" s="245" t="str">
        <f>VLOOKUP(A209,'Trips&amp;Operators'!$C$1:$G$99911,5,FALSE)</f>
        <v>LEVERE CRAIG</v>
      </c>
      <c r="M209" s="224">
        <f t="shared" si="92"/>
        <v>7.1296296227956191E-3</v>
      </c>
      <c r="N209" s="225">
        <f t="shared" si="93"/>
        <v>10.266666656825691</v>
      </c>
      <c r="O209" s="225"/>
      <c r="P209" s="225"/>
      <c r="Q209" s="228"/>
      <c r="R209" s="242"/>
      <c r="S209" s="249">
        <f t="shared" si="91"/>
        <v>1</v>
      </c>
      <c r="T209" s="242" t="str">
        <f t="shared" si="102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03"/>
        <v>https://d0f6bd738d7f1b3e5a7ca70fe4ff75f0.us-east-1.aws.found.io/app/kibana#/discover/Steve-Slow-Train-Analysis-(2080s-and-2083s)?_g=(refreshInterval:(display:Off,pause:!f,section:0,value:0),time:(from:'2017-12-18T17:39:07-0700',mode:absolute,to:'2017-12-18T19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247" t="str">
        <f>IF(AA209&lt;VLOOKUP(AG209,Variables!$AC$3:$AD$8,2,FALSE),"Y","N")</f>
        <v>Y</v>
      </c>
      <c r="X209" s="247">
        <f t="shared" si="109"/>
        <v>-548</v>
      </c>
      <c r="Y209" s="247">
        <f t="shared" si="99"/>
        <v>5.6000000000000001E-2</v>
      </c>
      <c r="Z209" s="247">
        <f t="shared" si="100"/>
        <v>2.3304</v>
      </c>
      <c r="AA209" s="247">
        <f t="shared" si="104"/>
        <v>2.2744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05"/>
        <v>301</v>
      </c>
      <c r="AE209" s="235" t="str">
        <f t="shared" si="106"/>
        <v>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 &amp; 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</v>
      </c>
      <c r="AF209" s="234" t="str">
        <f t="shared" si="107"/>
        <v>"C:\Program Files (x86)\AstroGrep\AstroGrep.exe" /e /r /s /spath="%USERPROFILE%\AppData\Local\Temp\OnboardLogs" /stypes="app*4022*20171219*" /stext=" 01:.+((SYSTEM_STATE.+slice.+state.+changed )|(ment ac)|(multiple cpu faults)|(system.+state.+changed )|(\[timeout)|(PRM\|1\|D)|(kpr)|(kdp)|(train st.+moving)|(\|lc)|(penalty))"</v>
      </c>
      <c r="AG209" s="244" t="str">
        <f t="shared" si="108"/>
        <v>Other</v>
      </c>
      <c r="AH209" s="236" t="str">
        <f t="shared" si="72"/>
        <v>"%USERPROFILE%\Documents\GitHub\eaglep3\Utilities\RefineRTDCRunTimes.py" --tripid 301-18 --locoid 4022 --swversion DE.1.0.9.0 --startMP 204:560 --initTime 2017-12-18T18:39:07 --startdatetime 2017-12-18T18:42:36 --delay 54 --endMP 300:23304 --enddatetime 2017-12-18T18:52:52 --enforcementcount 0 &gt;&gt;%USERPROFILE%\Documents\GitHub\eaglep3-reporting\EC\2017-12-18-refined-times.txt</v>
      </c>
      <c r="AI209" s="238" t="str">
        <f t="shared" si="73"/>
        <v>echo {"issue":{"subject":"","project_id":79,"tracker_id":40,"status_id":1,"priority_id":2,"assigned_to_id":338,"start_date":"2017-12-18","description":"","custom_fields":[{"id":1,"name":"Subdivision","value":"Other"},{"id":4,"name":"Milepost","value":"2.3304"},{"id":17,"name":"Train ID","value":"301-18"},{"id":16,"name":"Locomotive ID","value":"4022"},{"id":130,"name":"Impact","value":""},{"id":150,"name":"Time of Event (Mountain Time)","value":"18:52:52"},{"id":151,"name":"Denver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74"/>
        <v>start /low /b %USERPROFILE%\Documents\GitHub\eaglep3\Utilities\DownloadLogsFromS3.py --loco 4022 --day 2017-12-18</v>
      </c>
      <c r="AN209" s="241" t="str">
        <f t="shared" si="7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76"/>
        <v>https://d0f6bd738d7f1b3e5a7ca70fe4ff75f0.us-east-1.aws.found.io/app/kibana#/discover/Steve-Slow-Train-Analysis-(2080s-and-2083s)?_g=(refreshInterval:(display:Off,pause:!f,section:0,value:0),time:(from:'2017-12-18T17:39:07-0700',mode:absolute,to:'2017-12-18T19:52:52-0700'))&amp;_a=(columns:!('Message%20ID',Summary),filters:!(),index:'emp_*',interval:auto,query:(query_string:(analyze_wildcard:!t,query:'%22rtdc.l.rtdc.4022%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687</v>
      </c>
      <c r="B210" s="225">
        <v>4015</v>
      </c>
      <c r="C210" s="227" t="s">
        <v>192</v>
      </c>
      <c r="D210" s="227" t="s">
        <v>981</v>
      </c>
      <c r="E210" s="226">
        <v>43087.139687499999</v>
      </c>
      <c r="F210" s="226">
        <v>43087.143993055557</v>
      </c>
      <c r="G210" s="225">
        <v>56</v>
      </c>
      <c r="H210" s="227" t="s">
        <v>562</v>
      </c>
      <c r="I210" s="226">
        <v>43087.150173611109</v>
      </c>
      <c r="J210" s="225">
        <v>0</v>
      </c>
      <c r="K210" s="237" t="str">
        <f t="shared" si="101"/>
        <v>4015/4016</v>
      </c>
      <c r="L210" s="245" t="str">
        <f>VLOOKUP(A210,'Trips&amp;Operators'!$C$1:$G$99911,5,FALSE)</f>
        <v>STARKS ANGELINA</v>
      </c>
      <c r="M210" s="224">
        <f t="shared" si="92"/>
        <v>6.1805555524188094E-3</v>
      </c>
      <c r="N210" s="225">
        <f t="shared" si="93"/>
        <v>8.8999999954830855</v>
      </c>
      <c r="O210" s="225"/>
      <c r="P210" s="225"/>
      <c r="Q210" s="228"/>
      <c r="R210" s="242"/>
      <c r="S210" s="249">
        <f t="shared" si="91"/>
        <v>1</v>
      </c>
      <c r="T210" s="242" t="str">
        <f t="shared" si="102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03"/>
        <v>https://d0f6bd738d7f1b3e5a7ca70fe4ff75f0.us-east-1.aws.found.io/app/kibana#/discover/Steve-Slow-Train-Analysis-(2080s-and-2083s)?_g=(refreshInterval:(display:Off,pause:!f,section:0,value:0),time:(from:'2017-12-18T02:21:09-0700',mode:absolute,to:'2017-12-18T04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0" s="247" t="str">
        <f>IF(AA210&lt;VLOOKUP(AG210,Variables!$AC$3:$AD$8,2,FALSE),"Y","N")</f>
        <v>Y</v>
      </c>
      <c r="X210" s="247">
        <f t="shared" si="109"/>
        <v>1</v>
      </c>
      <c r="Y210" s="247">
        <f t="shared" si="99"/>
        <v>2.0440999999999998</v>
      </c>
      <c r="Z210" s="247">
        <f t="shared" si="100"/>
        <v>1.5800000000000002E-2</v>
      </c>
      <c r="AA210" s="247">
        <f t="shared" si="104"/>
        <v>2.0282999999999998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05"/>
        <v>302</v>
      </c>
      <c r="AE210" s="235" t="str">
        <f t="shared" si="106"/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AF210" s="234" t="str">
        <f t="shared" si="107"/>
        <v>"C:\Program Files (x86)\AstroGrep\AstroGrep.exe" /e /r /s /spath="%USERPROFILE%\AppData\Local\Temp\OnboardLogs" /stypes="app*4015*20171218*" /stext=" 10:.+((SYSTEM_STATE.+slice.+state.+changed )|(ment ac)|(multiple cpu faults)|(system.+state.+changed )|(\[timeout)|(PRM\|1\|D)|(kpr)|(kdp)|(train st.+moving)|(\|lc)|(penalty))"</v>
      </c>
      <c r="AG210" s="244" t="str">
        <f t="shared" si="108"/>
        <v>Other</v>
      </c>
      <c r="AH210" s="236" t="str">
        <f t="shared" ref="AH210:AH234" si="115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302-18 --locoid 4015 --swversion DE.1.0.9.0 --startMP 300:20441 --initTime 2017-12-18T03:21:09 --startdatetime 2017-12-18T03:27:21 --delay 56 --endMP 204:158 --enddatetime 2017-12-18T03:36:15 --enforcementcount 0 &gt;&gt;%USERPROFILE%\Documents\GitHub\eaglep3-reporting\EC\2017-12-18-refined-times.txt</v>
      </c>
      <c r="AI210" s="238" t="str">
        <f t="shared" ref="AI210:AI234" si="116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{"issue":{"subject":"","project_id":79,"tracker_id":40,"status_id":1,"priority_id":2,"assigned_to_id":338,"start_date":"2017-12-18","description":"","custom_fields":[{"id":1,"name":"Subdivision","value":"Other"},{"id":4,"name":"Milepost","value":"0.0158"},{"id":17,"name":"Train ID","value":"302-18"},{"id":16,"name":"Locomotive ID","value":"4015"},{"id":130,"name":"Impact","value":""},{"id":150,"name":"Time of Event (Mountain Time)","value":"03:36:15"},{"id":151,"name":"Denver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ref="AM210:AM234" si="117">"start /low /b "&amp;dls3logs&amp;" --loco "&amp;B210&amp;" --day "&amp;TEXT(F210,"YYYY-MM-DD")</f>
        <v>start /low /b %USERPROFILE%\Documents\GitHub\eaglep3\Utilities\DownloadLogsFromS3.py --loco 4015 --day 2017-12-18</v>
      </c>
      <c r="AN210" s="241" t="str">
        <f t="shared" ref="AN210:AN234" si="118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34" si="119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-18T02:21:09-0700',mode:absolute,to:'2017-12-18T04:36:15-0700'))&amp;_a=(columns:!('Message%20ID',Summary),filters:!(),index:'emp_*',interval:auto,query:(query_string:(analyze_wildcard:!t,query:'%22rtdc.l.rtdc.4015%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855</v>
      </c>
      <c r="B211" s="225">
        <v>4050</v>
      </c>
      <c r="C211" s="227" t="s">
        <v>192</v>
      </c>
      <c r="D211" s="227" t="s">
        <v>539</v>
      </c>
      <c r="E211" s="226">
        <v>43087.798136574071</v>
      </c>
      <c r="F211" s="226">
        <v>43087.80027777778</v>
      </c>
      <c r="G211" s="225">
        <v>95</v>
      </c>
      <c r="H211" s="227" t="s">
        <v>653</v>
      </c>
      <c r="I211" s="226">
        <v>43087.808472222219</v>
      </c>
      <c r="J211" s="225">
        <v>0</v>
      </c>
      <c r="K211" s="237" t="str">
        <f t="shared" si="101"/>
        <v>4049/4050</v>
      </c>
      <c r="L211" s="245" t="str">
        <f>VLOOKUP(A211,'Trips&amp;Operators'!$C$1:$G$99911,5,FALSE)</f>
        <v>SAFIEF AEIMEN</v>
      </c>
      <c r="M211" s="224">
        <f t="shared" si="92"/>
        <v>8.1944444391410798E-3</v>
      </c>
      <c r="N211" s="225">
        <f t="shared" si="93"/>
        <v>11.799999992363155</v>
      </c>
      <c r="O211" s="225"/>
      <c r="P211" s="225"/>
      <c r="Q211" s="228"/>
      <c r="R211" s="242"/>
      <c r="S211" s="249">
        <f t="shared" si="91"/>
        <v>1</v>
      </c>
      <c r="T211" s="242" t="str">
        <f t="shared" si="102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03"/>
        <v>https://d0f6bd738d7f1b3e5a7ca70fe4ff75f0.us-east-1.aws.found.io/app/kibana#/discover/Steve-Slow-Train-Analysis-(2080s-and-2083s)?_g=(refreshInterval:(display:Off,pause:!f,section:0,value:0),time:(from:'2017-12-18T18:09:19-0700',mode:absolute,to:'2017-12-18T20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247" t="str">
        <f>IF(AA211&lt;VLOOKUP(AG211,Variables!$AC$3:$AD$8,2,FALSE),"Y","N")</f>
        <v>Y</v>
      </c>
      <c r="X211" s="247">
        <f t="shared" si="109"/>
        <v>1</v>
      </c>
      <c r="Y211" s="247">
        <f t="shared" si="99"/>
        <v>4.8599999999999997E-2</v>
      </c>
      <c r="Z211" s="247">
        <f t="shared" si="100"/>
        <v>2.3298999999999999</v>
      </c>
      <c r="AA211" s="247">
        <f t="shared" si="104"/>
        <v>2.2812999999999999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05"/>
        <v>303</v>
      </c>
      <c r="AE211" s="235" t="str">
        <f t="shared" si="106"/>
        <v>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 &amp; aws s3 cp s3://rtdc.mdm.uploadarchive.raw/RTDC4050/ "%USERPROFILE%\AppData\Local\Temp\OnboardLogs"\RTDC4050\2017-12-19 --exclude "*" --recursive --include "*20171219*" &amp; "%USERPROFILE%\Documents\GitHub\mrs-test-scripts\Headless Mode &amp; Sideloading\WalkAndUnGZ.bat" "%USERPROFILE%\AppData\Local\Temp\OnboardLogs"\RTDC4050\2017-12-19</v>
      </c>
      <c r="AF211" s="234" t="str">
        <f t="shared" si="107"/>
        <v>"C:\Program Files (x86)\AstroGrep\AstroGrep.exe" /e /r /s /spath="%USERPROFILE%\AppData\Local\Temp\OnboardLogs" /stypes="app*4050*20171219*" /stext=" 02:.+((SYSTEM_STATE.+slice.+state.+changed )|(ment ac)|(multiple cpu faults)|(system.+state.+changed )|(\[timeout)|(PRM\|1\|D)|(kpr)|(kdp)|(train st.+moving)|(\|lc)|(penalty))"</v>
      </c>
      <c r="AG211" s="244" t="str">
        <f t="shared" si="108"/>
        <v>Other</v>
      </c>
      <c r="AH211" s="236" t="str">
        <f t="shared" si="115"/>
        <v>"%USERPROFILE%\Documents\GitHub\eaglep3\Utilities\RefineRTDCRunTimes.py" --tripid 303-18 --locoid 4050 --swversion DE.1.0.9.0 --startMP 204:486 --initTime 2017-12-18T19:09:19 --startdatetime 2017-12-18T19:12:24 --delay 95 --endMP 300:23299 --enddatetime 2017-12-18T19:24:12 --enforcementcount 0 &gt;&gt;%USERPROFILE%\Documents\GitHub\eaglep3-reporting\EC\2017-12-18-refined-times.txt</v>
      </c>
      <c r="AI211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{"issue":{"subject":"","project_id":79,"tracker_id":40,"status_id":1,"priority_id":2,"assigned_to_id":338,"start_date":"2017-12-18","description":"","custom_fields":[{"id":1,"name":"Subdivision","value":"Other"},{"id":4,"name":"Milepost","value":"2.3299"},{"id":17,"name":"Train ID","value":"303-18"},{"id":16,"name":"Locomotive ID","value":"4050"},{"id":130,"name":"Impact","value":""},{"id":150,"name":"Time of Event (Mountain Time)","value":"19:24:12"},{"id":151,"name":"Denver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7"/>
        <v>start /low /b %USERPROFILE%\Documents\GitHub\eaglep3\Utilities\DownloadLogsFromS3.py --loco 4050 --day 2017-12-18</v>
      </c>
      <c r="AN211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19"/>
        <v>https://d0f6bd738d7f1b3e5a7ca70fe4ff75f0.us-east-1.aws.found.io/app/kibana#/discover/Steve-Slow-Train-Analysis-(2080s-and-2083s)?_g=(refreshInterval:(display:Off,pause:!f,section:0,value:0),time:(from:'2017-12-18T18:09:19-0700',mode:absolute,to:'2017-12-18T20:24:12-0700'))&amp;_a=(columns:!('Message%20ID',Summary),filters:!(),index:'emp_*',interval:auto,query:(query_string:(analyze_wildcard:!t,query:'%22rtdc.l.rtdc.4050%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691</v>
      </c>
      <c r="B212" s="225">
        <v>4033</v>
      </c>
      <c r="C212" s="227" t="s">
        <v>192</v>
      </c>
      <c r="D212" s="227" t="s">
        <v>982</v>
      </c>
      <c r="E212" s="226">
        <v>43087.151203703703</v>
      </c>
      <c r="F212" s="226">
        <v>43087.15420138889</v>
      </c>
      <c r="G212" s="225">
        <v>51</v>
      </c>
      <c r="H212" s="227" t="s">
        <v>558</v>
      </c>
      <c r="I212" s="226">
        <v>43087.16033564815</v>
      </c>
      <c r="J212" s="225">
        <v>0</v>
      </c>
      <c r="K212" s="237" t="str">
        <f t="shared" si="101"/>
        <v>4033/4034</v>
      </c>
      <c r="L212" s="245" t="str">
        <f>VLOOKUP(A212,'Trips&amp;Operators'!$C$1:$G$99911,5,FALSE)</f>
        <v>YORK EDGAR</v>
      </c>
      <c r="M212" s="224">
        <f t="shared" si="92"/>
        <v>6.1342592598521151E-3</v>
      </c>
      <c r="N212" s="225">
        <f t="shared" si="93"/>
        <v>8.8333333341870457</v>
      </c>
      <c r="O212" s="225"/>
      <c r="P212" s="225"/>
      <c r="Q212" s="228"/>
      <c r="R212" s="242"/>
      <c r="S212" s="249">
        <f t="shared" si="91"/>
        <v>1</v>
      </c>
      <c r="T212" s="242" t="str">
        <f t="shared" si="102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03"/>
        <v>https://d0f6bd738d7f1b3e5a7ca70fe4ff75f0.us-east-1.aws.found.io/app/kibana#/discover/Steve-Slow-Train-Analysis-(2080s-and-2083s)?_g=(refreshInterval:(display:Off,pause:!f,section:0,value:0),time:(from:'2017-12-18T02:37:44-0700',mode:absolute,to:'2017-12-18T04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2" s="247" t="str">
        <f>IF(AA212&lt;VLOOKUP(AG212,Variables!$AC$3:$AD$8,2,FALSE),"Y","N")</f>
        <v>Y</v>
      </c>
      <c r="X212" s="247">
        <f t="shared" ref="X212:X234" si="120">VALUE(LEFT(AD212,4))-VALUE(LEFT(AD211,4))</f>
        <v>1</v>
      </c>
      <c r="Y212" s="247">
        <f t="shared" si="99"/>
        <v>1.9762999999999999</v>
      </c>
      <c r="Z212" s="247">
        <f t="shared" si="100"/>
        <v>1.4999999999999999E-2</v>
      </c>
      <c r="AA212" s="247">
        <f t="shared" si="104"/>
        <v>1.9613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05"/>
        <v>304</v>
      </c>
      <c r="AE212" s="235" t="str">
        <f t="shared" si="106"/>
        <v>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 &amp; aws s3 cp s3://rtdc.mdm.uploadarchive.raw/RTDC4033/ "%USERPROFILE%\AppData\Local\Temp\OnboardLogs"\RTDC4033\2017-12-19 --exclude "*" --recursive --include "*20171219*" &amp; "%USERPROFILE%\Documents\GitHub\mrs-test-scripts\Headless Mode &amp; Sideloading\WalkAndUnGZ.bat" "%USERPROFILE%\AppData\Local\Temp\OnboardLogs"\RTDC4033\2017-12-19</v>
      </c>
      <c r="AF212" s="234" t="str">
        <f t="shared" si="107"/>
        <v>"C:\Program Files (x86)\AstroGrep\AstroGrep.exe" /e /r /s /spath="%USERPROFILE%\AppData\Local\Temp\OnboardLogs" /stypes="app*4033*20171218*" /stext=" 10:.+((SYSTEM_STATE.+slice.+state.+changed )|(ment ac)|(multiple cpu faults)|(system.+state.+changed )|(\[timeout)|(PRM\|1\|D)|(kpr)|(kdp)|(train st.+moving)|(\|lc)|(penalty))"</v>
      </c>
      <c r="AG212" s="244" t="str">
        <f t="shared" si="108"/>
        <v>Other</v>
      </c>
      <c r="AH212" s="236" t="str">
        <f t="shared" si="115"/>
        <v>"%USERPROFILE%\Documents\GitHub\eaglep3\Utilities\RefineRTDCRunTimes.py" --tripid 304-18 --locoid 4033 --swversion DE.1.0.9.0 --startMP 300:19763 --initTime 2017-12-18T03:37:44 --startdatetime 2017-12-18T03:42:03 --delay 51 --endMP 204:150 --enddatetime 2017-12-18T03:50:53 --enforcementcount 0 &gt;&gt;%USERPROFILE%\Documents\GitHub\eaglep3-reporting\EC\2017-12-18-refined-times.txt</v>
      </c>
      <c r="AI212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{"issue":{"subject":"","project_id":79,"tracker_id":40,"status_id":1,"priority_id":2,"assigned_to_id":338,"start_date":"2017-12-18","description":"","custom_fields":[{"id":1,"name":"Subdivision","value":"Other"},{"id":4,"name":"Milepost","value":"0.015"},{"id":17,"name":"Train ID","value":"304-18"},{"id":16,"name":"Locomotive ID","value":"4033"},{"id":130,"name":"Impact","value":""},{"id":150,"name":"Time of Event (Mountain Time)","value":"03:50:53"},{"id":151,"name":"Denver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7"/>
        <v>start /low /b %USERPROFILE%\Documents\GitHub\eaglep3\Utilities\DownloadLogsFromS3.py --loco 4033 --day 2017-12-18</v>
      </c>
      <c r="AN212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19"/>
        <v>https://d0f6bd738d7f1b3e5a7ca70fe4ff75f0.us-east-1.aws.found.io/app/kibana#/discover/Steve-Slow-Train-Analysis-(2080s-and-2083s)?_g=(refreshInterval:(display:Off,pause:!f,section:0,value:0),time:(from:'2017-12-18T02:37:44-0700',mode:absolute,to:'2017-12-18T04:50:53-0700'))&amp;_a=(columns:!('Message%20ID',Summary),filters:!(),index:'emp_*',interval:auto,query:(query_string:(analyze_wildcard:!t,query:'%22rtdc.l.rtdc.4033%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859</v>
      </c>
      <c r="B213" s="225">
        <v>4026</v>
      </c>
      <c r="C213" s="227" t="s">
        <v>192</v>
      </c>
      <c r="D213" s="227" t="s">
        <v>983</v>
      </c>
      <c r="E213" s="226">
        <v>43087.817129629628</v>
      </c>
      <c r="F213" s="226">
        <v>43087.818923611114</v>
      </c>
      <c r="G213" s="225">
        <v>57</v>
      </c>
      <c r="H213" s="227" t="s">
        <v>656</v>
      </c>
      <c r="I213" s="226">
        <v>43087.826122685183</v>
      </c>
      <c r="J213" s="225">
        <v>0</v>
      </c>
      <c r="K213" s="237" t="str">
        <f t="shared" si="101"/>
        <v>4025/4026</v>
      </c>
      <c r="L213" s="245" t="str">
        <f>VLOOKUP(A213,'Trips&amp;Operators'!$C$1:$G$99911,5,FALSE)</f>
        <v>SMITH MICHAEL</v>
      </c>
      <c r="M213" s="224">
        <f t="shared" si="92"/>
        <v>7.1990740689216182E-3</v>
      </c>
      <c r="N213" s="225">
        <f t="shared" si="93"/>
        <v>10.36666665924713</v>
      </c>
      <c r="O213" s="225"/>
      <c r="P213" s="225"/>
      <c r="Q213" s="228"/>
      <c r="R213" s="242"/>
      <c r="S213" s="249">
        <f t="shared" si="91"/>
        <v>1</v>
      </c>
      <c r="T213" s="242" t="str">
        <f t="shared" si="102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03"/>
        <v>https://d0f6bd738d7f1b3e5a7ca70fe4ff75f0.us-east-1.aws.found.io/app/kibana#/discover/Steve-Slow-Train-Analysis-(2080s-and-2083s)?_g=(refreshInterval:(display:Off,pause:!f,section:0,value:0),time:(from:'2017-12-18T18:36:40-0700',mode:absolute,to:'2017-12-18T20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247" t="str">
        <f>IF(AA213&lt;VLOOKUP(AG213,Variables!$AC$3:$AD$8,2,FALSE),"Y","N")</f>
        <v>Y</v>
      </c>
      <c r="X213" s="247">
        <f t="shared" si="120"/>
        <v>1</v>
      </c>
      <c r="Y213" s="247">
        <f t="shared" si="99"/>
        <v>5.7500000000000002E-2</v>
      </c>
      <c r="Z213" s="247">
        <f t="shared" si="100"/>
        <v>2.3302</v>
      </c>
      <c r="AA213" s="247">
        <f t="shared" si="104"/>
        <v>2.2726999999999999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05"/>
        <v>305</v>
      </c>
      <c r="AE213" s="235" t="str">
        <f t="shared" si="106"/>
        <v>aws s3 cp s3://rtdc.mdm.uploadarchive.raw/RTDC4026/ "%USERPROFILE%\AppData\Local\Temp\OnboardLogs"\RTDC4026\2017-12-18 --exclude "*" --recursive --include "*20171218*" &amp; "%USERPROFILE%\Documents\GitHub\mrs-test-scripts\Headless Mode &amp; Sideloading\WalkAndUnGZ.bat" "%USERPROFILE%\AppData\Local\Temp\OnboardLogs"\RTDC4026\2017-12-18 &amp; aws s3 cp s3://rtdc.mdm.uploadarchive.raw/RTDC4026/ "%USERPROFILE%\AppData\Local\Temp\OnboardLogs"\RTDC4026\2017-12-19 --exclude "*" --recursive --include "*20171219*" &amp; "%USERPROFILE%\Documents\GitHub\mrs-test-scripts\Headless Mode &amp; Sideloading\WalkAndUnGZ.bat" "%USERPROFILE%\AppData\Local\Temp\OnboardLogs"\RTDC4026\2017-12-19</v>
      </c>
      <c r="AF213" s="234" t="str">
        <f t="shared" si="107"/>
        <v>"C:\Program Files (x86)\AstroGrep\AstroGrep.exe" /e /r /s /spath="%USERPROFILE%\AppData\Local\Temp\OnboardLogs" /stypes="app*4026*20171219*" /stext=" 02:.+((SYSTEM_STATE.+slice.+state.+changed )|(ment ac)|(multiple cpu faults)|(system.+state.+changed )|(\[timeout)|(PRM\|1\|D)|(kpr)|(kdp)|(train st.+moving)|(\|lc)|(penalty))"</v>
      </c>
      <c r="AG213" s="244" t="str">
        <f t="shared" si="108"/>
        <v>Other</v>
      </c>
      <c r="AH213" s="236" t="str">
        <f t="shared" si="115"/>
        <v>"%USERPROFILE%\Documents\GitHub\eaglep3\Utilities\RefineRTDCRunTimes.py" --tripid 305-18 --locoid 4026 --swversion DE.1.0.9.0 --startMP 204:575 --initTime 2017-12-18T19:36:40 --startdatetime 2017-12-18T19:39:15 --delay 57 --endMP 300:23302 --enddatetime 2017-12-18T19:49:37 --enforcementcount 0 &gt;&gt;%USERPROFILE%\Documents\GitHub\eaglep3-reporting\EC\2017-12-18-refined-times.txt</v>
      </c>
      <c r="AI213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{"issue":{"subject":"","project_id":79,"tracker_id":40,"status_id":1,"priority_id":2,"assigned_to_id":338,"start_date":"2017-12-18","description":"","custom_fields":[{"id":1,"name":"Subdivision","value":"Other"},{"id":4,"name":"Milepost","value":"2.3302"},{"id":17,"name":"Train ID","value":"305-18"},{"id":16,"name":"Locomotive ID","value":"4026"},{"id":130,"name":"Impact","value":""},{"id":150,"name":"Time of Event (Mountain Time)","value":"19:49:37"},{"id":151,"name":"Denver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7"/>
        <v>start /low /b %USERPROFILE%\Documents\GitHub\eaglep3\Utilities\DownloadLogsFromS3.py --loco 4026 --day 2017-12-18</v>
      </c>
      <c r="AN213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19"/>
        <v>https://d0f6bd738d7f1b3e5a7ca70fe4ff75f0.us-east-1.aws.found.io/app/kibana#/discover/Steve-Slow-Train-Analysis-(2080s-and-2083s)?_g=(refreshInterval:(display:Off,pause:!f,section:0,value:0),time:(from:'2017-12-18T18:36:40-0700',mode:absolute,to:'2017-12-18T20:49:37-0700'))&amp;_a=(columns:!('Message%20ID',Summary),filters:!(),index:'emp_*',interval:auto,query:(query_string:(analyze_wildcard:!t,query:'%22rtdc.l.rtdc.4026%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692</v>
      </c>
      <c r="B214" s="225">
        <v>4043</v>
      </c>
      <c r="C214" s="227" t="s">
        <v>192</v>
      </c>
      <c r="D214" s="227" t="s">
        <v>984</v>
      </c>
      <c r="E214" s="226">
        <v>43087.167581018519</v>
      </c>
      <c r="F214" s="226">
        <v>43087.171018518522</v>
      </c>
      <c r="G214" s="225">
        <v>64</v>
      </c>
      <c r="H214" s="227" t="s">
        <v>655</v>
      </c>
      <c r="I214" s="226">
        <v>43087.176469907405</v>
      </c>
      <c r="J214" s="225">
        <v>0</v>
      </c>
      <c r="K214" s="237" t="str">
        <f t="shared" si="101"/>
        <v>4043/4044</v>
      </c>
      <c r="L214" s="245" t="str">
        <f>VLOOKUP(A214,'Trips&amp;Operators'!$C$1:$G$99911,5,FALSE)</f>
        <v>DELGADO DIANAH</v>
      </c>
      <c r="M214" s="224">
        <f t="shared" si="92"/>
        <v>5.4513888826477341E-3</v>
      </c>
      <c r="N214" s="225">
        <f t="shared" si="93"/>
        <v>7.8499999910127372</v>
      </c>
      <c r="O214" s="225"/>
      <c r="P214" s="225"/>
      <c r="Q214" s="228"/>
      <c r="R214" s="242"/>
      <c r="S214" s="249">
        <f t="shared" si="91"/>
        <v>1</v>
      </c>
      <c r="T214" s="242" t="str">
        <f t="shared" si="102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03"/>
        <v>https://d0f6bd738d7f1b3e5a7ca70fe4ff75f0.us-east-1.aws.found.io/app/kibana#/discover/Steve-Slow-Train-Analysis-(2080s-and-2083s)?_g=(refreshInterval:(display:Off,pause:!f,section:0,value:0),time:(from:'2017-12-18T03:01:19-0700',mode:absolute,to:'2017-12-18T05:14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247" t="str">
        <f>IF(AA214&lt;VLOOKUP(AG214,Variables!$AC$3:$AD$8,2,FALSE),"Y","N")</f>
        <v>Y</v>
      </c>
      <c r="X214" s="247">
        <f t="shared" si="120"/>
        <v>1</v>
      </c>
      <c r="Y214" s="247">
        <f t="shared" si="99"/>
        <v>2.3174999999999999</v>
      </c>
      <c r="Z214" s="247">
        <f t="shared" si="100"/>
        <v>1.54E-2</v>
      </c>
      <c r="AA214" s="247">
        <f t="shared" si="104"/>
        <v>2.3020999999999998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05"/>
        <v>306</v>
      </c>
      <c r="AE214" s="235" t="str">
        <f t="shared" si="106"/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AF214" s="234" t="str">
        <f t="shared" si="107"/>
        <v>"C:\Program Files (x86)\AstroGrep\AstroGrep.exe" /e /r /s /spath="%USERPROFILE%\AppData\Local\Temp\OnboardLogs" /stypes="app*4043*20171218*" /stext=" 11:.+((SYSTEM_STATE.+slice.+state.+changed )|(ment ac)|(multiple cpu faults)|(system.+state.+changed )|(\[timeout)|(PRM\|1\|D)|(kpr)|(kdp)|(train st.+moving)|(\|lc)|(penalty))"</v>
      </c>
      <c r="AG214" s="244" t="str">
        <f t="shared" si="108"/>
        <v>Other</v>
      </c>
      <c r="AH214" s="236" t="str">
        <f t="shared" si="115"/>
        <v>"%USERPROFILE%\Documents\GitHub\eaglep3\Utilities\RefineRTDCRunTimes.py" --tripid 306-18 --locoid 4043 --swversion DE.1.0.9.0 --startMP 300:23175 --initTime 2017-12-18T04:01:19 --startdatetime 2017-12-18T04:06:16 --delay 64 --endMP 204:154 --enddatetime 2017-12-18T04:14:07 --enforcementcount 0 &gt;&gt;%USERPROFILE%\Documents\GitHub\eaglep3-reporting\EC\2017-12-18-refined-times.txt</v>
      </c>
      <c r="AI214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{"issue":{"subject":"","project_id":79,"tracker_id":40,"status_id":1,"priority_id":2,"assigned_to_id":338,"start_date":"2017-12-18","description":"","custom_fields":[{"id":1,"name":"Subdivision","value":"Other"},{"id":4,"name":"Milepost","value":"0.0154"},{"id":17,"name":"Train ID","value":"306-18"},{"id":16,"name":"Locomotive ID","value":"4043"},{"id":130,"name":"Impact","value":""},{"id":150,"name":"Time of Event (Mountain Time)","value":"04:14:07"},{"id":151,"name":"Denver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17"/>
        <v>start /low /b %USERPROFILE%\Documents\GitHub\eaglep3\Utilities\DownloadLogsFromS3.py --loco 4043 --day 2017-12-18</v>
      </c>
      <c r="AN214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11:14:07"},{"id":29,"name":"Sharepoint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19"/>
        <v>https://d0f6bd738d7f1b3e5a7ca70fe4ff75f0.us-east-1.aws.found.io/app/kibana#/discover/Steve-Slow-Train-Analysis-(2080s-and-2083s)?_g=(refreshInterval:(display:Off,pause:!f,section:0,value:0),time:(from:'2017-12-18T03:01:19-0700',mode:absolute,to:'2017-12-18T05:14:07-0700'))&amp;_a=(columns:!('Message%20ID',Summary),filters:!(),index:'emp_*',interval:auto,query:(query_string:(analyze_wildcard:!t,query:'%22rtdc.l.rtdc.4043%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891</v>
      </c>
      <c r="B215" s="225">
        <v>4016</v>
      </c>
      <c r="C215" s="227" t="s">
        <v>192</v>
      </c>
      <c r="D215" s="227" t="s">
        <v>658</v>
      </c>
      <c r="E215" s="226">
        <v>43088.0468287037</v>
      </c>
      <c r="F215" s="226">
        <v>43088.049062500002</v>
      </c>
      <c r="G215" s="225">
        <v>59</v>
      </c>
      <c r="H215" s="227" t="s">
        <v>985</v>
      </c>
      <c r="I215" s="226">
        <v>43088.057187500002</v>
      </c>
      <c r="J215" s="225">
        <v>0</v>
      </c>
      <c r="K215" s="237" t="str">
        <f t="shared" si="101"/>
        <v>4015/4016</v>
      </c>
      <c r="L215" s="245" t="str">
        <f>VLOOKUP(A215,'Trips&amp;Operators'!$C$1:$G$99911,5,FALSE)</f>
        <v>LOZA FIDEL</v>
      </c>
      <c r="M215" s="224">
        <f t="shared" si="92"/>
        <v>8.1250000002910383E-3</v>
      </c>
      <c r="N215" s="225">
        <f t="shared" si="93"/>
        <v>11.700000000419095</v>
      </c>
      <c r="O215" s="225"/>
      <c r="P215" s="225"/>
      <c r="Q215" s="228"/>
      <c r="R215" s="242"/>
      <c r="S215" s="249">
        <f t="shared" si="91"/>
        <v>1</v>
      </c>
      <c r="T215" s="242" t="str">
        <f t="shared" si="102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03"/>
        <v>https://d0f6bd738d7f1b3e5a7ca70fe4ff75f0.us-east-1.aws.found.io/app/kibana#/discover/Steve-Slow-Train-Analysis-(2080s-and-2083s)?_g=(refreshInterval:(display:Off,pause:!f,section:0,value:0),time:(from:'2017-12-19T00:07:26-0700',mode:absolute,to:'2017-12-19T02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247" t="str">
        <f>IF(AA215&lt;VLOOKUP(AG215,Variables!$AC$3:$AD$8,2,FALSE),"Y","N")</f>
        <v>Y</v>
      </c>
      <c r="X215" s="247">
        <f t="shared" si="120"/>
        <v>1</v>
      </c>
      <c r="Y215" s="247">
        <f t="shared" si="99"/>
        <v>5.4199999999999998E-2</v>
      </c>
      <c r="Z215" s="247">
        <f t="shared" si="100"/>
        <v>2.3308</v>
      </c>
      <c r="AA215" s="247">
        <f t="shared" si="104"/>
        <v>2.2766000000000002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05"/>
        <v>307</v>
      </c>
      <c r="AE215" s="235" t="str">
        <f t="shared" si="106"/>
        <v>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 &amp; aws s3 cp s3://rtdc.mdm.uploadarchive.raw/RTDC4016/ "%USERPROFILE%\AppData\Local\Temp\OnboardLogs"\RTDC4016\2017-12-20 --exclude "*" --recursive --include "*20171220*" &amp; "%USERPROFILE%\Documents\GitHub\mrs-test-scripts\Headless Mode &amp; Sideloading\WalkAndUnGZ.bat" "%USERPROFILE%\AppData\Local\Temp\OnboardLogs"\RTDC4016\2017-12-20</v>
      </c>
      <c r="AF215" s="234" t="str">
        <f t="shared" si="107"/>
        <v>"C:\Program Files (x86)\AstroGrep\AstroGrep.exe" /e /r /s /spath="%USERPROFILE%\AppData\Local\Temp\OnboardLogs" /stypes="app*4016*20171219*" /stext=" 08:.+((SYSTEM_STATE.+slice.+state.+changed )|(ment ac)|(multiple cpu faults)|(system.+state.+changed )|(\[timeout)|(PRM\|1\|D)|(kpr)|(kdp)|(train st.+moving)|(\|lc)|(penalty))"</v>
      </c>
      <c r="AG215" s="244" t="str">
        <f t="shared" si="108"/>
        <v>Other</v>
      </c>
      <c r="AH215" s="236" t="str">
        <f t="shared" si="115"/>
        <v>"%USERPROFILE%\Documents\GitHub\eaglep3\Utilities\RefineRTDCRunTimes.py" --tripid 307-18 --locoid 4016 --swversion DE.1.0.9.0 --startMP 204:542 --initTime 2017-12-19T01:07:26 --startdatetime 2017-12-19T01:10:39 --delay 59 --endMP 300:23308 --enddatetime 2017-12-19T01:22:21 --enforcementcount 0 &gt;&gt;%USERPROFILE%\Documents\GitHub\eaglep3-reporting\EC\2017-12-18-refined-times.txt</v>
      </c>
      <c r="AI215" s="238" t="str">
        <f t="shared" si="116"/>
        <v>echo {"issue":{"subject":"","project_id":79,"tracker_id":40,"status_id":1,"priority_id":2,"assigned_to_id":338,"start_date":"2017-12-19","description":"","custom_fields":[{"id":1,"name":"Subdivision","value":"Other"},{"id":4,"name":"Milepost","value":"2.3308"},{"id":17,"name":"Train ID","value":"307-18"},{"id":16,"name":"Locomotive ID","value":"4016"},{"id":130,"name":"Impact","value":""},{"id":150,"name":"Time of Event (Mountain Time)","value":"01:22:21"},{"id":151,"name":"Denver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7"/>
        <v>start /low /b %USERPROFILE%\Documents\GitHub\eaglep3\Utilities\DownloadLogsFromS3.py --loco 4016 --day 2017-12-19</v>
      </c>
      <c r="AN215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19"/>
        <v>https://d0f6bd738d7f1b3e5a7ca70fe4ff75f0.us-east-1.aws.found.io/app/kibana#/discover/Steve-Slow-Train-Analysis-(2080s-and-2083s)?_g=(refreshInterval:(display:Off,pause:!f,section:0,value:0),time:(from:'2017-12-19T00:07:26-0700',mode:absolute,to:'2017-12-19T02:22:21-0700'))&amp;_a=(columns:!('Message%20ID',Summary),filters:!(),index:'emp_*',interval:auto,query:(query_string:(analyze_wildcard:!t,query:'%22rtdc.l.rtdc.4016%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693</v>
      </c>
      <c r="B216" s="225">
        <v>4021</v>
      </c>
      <c r="C216" s="227" t="s">
        <v>192</v>
      </c>
      <c r="D216" s="227" t="s">
        <v>986</v>
      </c>
      <c r="E216" s="226">
        <v>43087.178148148145</v>
      </c>
      <c r="F216" s="226">
        <v>43087.182118055556</v>
      </c>
      <c r="G216" s="225">
        <v>58</v>
      </c>
      <c r="H216" s="227" t="s">
        <v>540</v>
      </c>
      <c r="I216" s="226">
        <v>43087.190289351849</v>
      </c>
      <c r="J216" s="225">
        <v>0</v>
      </c>
      <c r="K216" s="237" t="str">
        <f t="shared" si="101"/>
        <v>4021/4022</v>
      </c>
      <c r="L216" s="245" t="str">
        <f>VLOOKUP(A216,'Trips&amp;Operators'!$C$1:$G$99911,5,FALSE)</f>
        <v>MAELZER KURT</v>
      </c>
      <c r="M216" s="224">
        <f t="shared" si="92"/>
        <v>8.1712962928577326E-3</v>
      </c>
      <c r="N216" s="225">
        <f t="shared" si="93"/>
        <v>11.766666661715135</v>
      </c>
      <c r="O216" s="225"/>
      <c r="P216" s="225"/>
      <c r="Q216" s="228"/>
      <c r="R216" s="242"/>
      <c r="S216" s="249">
        <f t="shared" si="91"/>
        <v>1</v>
      </c>
      <c r="T216" s="242" t="str">
        <f t="shared" si="102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03"/>
        <v>https://d0f6bd738d7f1b3e5a7ca70fe4ff75f0.us-east-1.aws.found.io/app/kibana#/discover/Steve-Slow-Train-Analysis-(2080s-and-2083s)?_g=(refreshInterval:(display:Off,pause:!f,section:0,value:0),time:(from:'2017-12-18T03:16:32-0700',mode:absolute,to:'2017-12-18T05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6" s="247" t="str">
        <f>IF(AA216&lt;VLOOKUP(AG216,Variables!$AC$3:$AD$8,2,FALSE),"Y","N")</f>
        <v>Y</v>
      </c>
      <c r="X216" s="247">
        <f t="shared" si="120"/>
        <v>1</v>
      </c>
      <c r="Y216" s="247">
        <f t="shared" si="99"/>
        <v>1.9823</v>
      </c>
      <c r="Z216" s="247">
        <f t="shared" si="100"/>
        <v>1.9800000000000002E-2</v>
      </c>
      <c r="AA216" s="247">
        <f t="shared" si="104"/>
        <v>1.9624999999999999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05"/>
        <v>308</v>
      </c>
      <c r="AE216" s="235" t="str">
        <f t="shared" si="106"/>
        <v>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 &amp; 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</v>
      </c>
      <c r="AF216" s="234" t="str">
        <f t="shared" si="107"/>
        <v>"C:\Program Files (x86)\AstroGrep\AstroGrep.exe" /e /r /s /spath="%USERPROFILE%\AppData\Local\Temp\OnboardLogs" /stypes="app*4021*20171218*" /stext=" 11:.+((SYSTEM_STATE.+slice.+state.+changed )|(ment ac)|(multiple cpu faults)|(system.+state.+changed )|(\[timeout)|(PRM\|1\|D)|(kpr)|(kdp)|(train st.+moving)|(\|lc)|(penalty))"</v>
      </c>
      <c r="AG216" s="244" t="str">
        <f t="shared" si="108"/>
        <v>Other</v>
      </c>
      <c r="AH216" s="236" t="str">
        <f t="shared" si="115"/>
        <v>"%USERPROFILE%\Documents\GitHub\eaglep3\Utilities\RefineRTDCRunTimes.py" --tripid 308-18 --locoid 4021 --swversion DE.1.0.9.0 --startMP 300:19823 --initTime 2017-12-18T04:16:32 --startdatetime 2017-12-18T04:22:15 --delay 58 --endMP 204:198 --enddatetime 2017-12-18T04:34:01 --enforcementcount 0 &gt;&gt;%USERPROFILE%\Documents\GitHub\eaglep3-reporting\EC\2017-12-18-refined-times.txt</v>
      </c>
      <c r="AI216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{"issue":{"subject":"","project_id":79,"tracker_id":40,"status_id":1,"priority_id":2,"assigned_to_id":338,"start_date":"2017-12-18","description":"","custom_fields":[{"id":1,"name":"Subdivision","value":"Other"},{"id":4,"name":"Milepost","value":"0.0198"},{"id":17,"name":"Train ID","value":"308-18"},{"id":16,"name":"Locomotive ID","value":"4021"},{"id":130,"name":"Impact","value":""},{"id":150,"name":"Time of Event (Mountain Time)","value":"04:34:01"},{"id":151,"name":"Denver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7"/>
        <v>start /low /b %USERPROFILE%\Documents\GitHub\eaglep3\Utilities\DownloadLogsFromS3.py --loco 4021 --day 2017-12-18</v>
      </c>
      <c r="AN216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19"/>
        <v>https://d0f6bd738d7f1b3e5a7ca70fe4ff75f0.us-east-1.aws.found.io/app/kibana#/discover/Steve-Slow-Train-Analysis-(2080s-and-2083s)?_g=(refreshInterval:(display:Off,pause:!f,section:0,value:0),time:(from:'2017-12-18T03:16:32-0700',mode:absolute,to:'2017-12-18T05:34:01-0700'))&amp;_a=(columns:!('Message%20ID',Summary),filters:!(),index:'emp_*',interval:auto,query:(query_string:(analyze_wildcard:!t,query:'%22rtdc.l.rtdc.4021%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893</v>
      </c>
      <c r="B217" s="225">
        <v>4010</v>
      </c>
      <c r="C217" s="227" t="s">
        <v>192</v>
      </c>
      <c r="D217" s="227" t="s">
        <v>987</v>
      </c>
      <c r="E217" s="226">
        <v>43088.066064814811</v>
      </c>
      <c r="F217" s="226">
        <v>43088.067314814813</v>
      </c>
      <c r="G217" s="225">
        <v>53</v>
      </c>
      <c r="H217" s="227" t="s">
        <v>654</v>
      </c>
      <c r="I217" s="226">
        <v>43088.074606481481</v>
      </c>
      <c r="J217" s="225">
        <v>0</v>
      </c>
      <c r="K217" s="237" t="str">
        <f t="shared" si="101"/>
        <v>4009/4010</v>
      </c>
      <c r="L217" s="245" t="str">
        <f>VLOOKUP(A217,'Trips&amp;Operators'!$C$1:$G$99911,5,FALSE)</f>
        <v>RESPASS AARON</v>
      </c>
      <c r="M217" s="224">
        <f t="shared" si="92"/>
        <v>7.291666668606922E-3</v>
      </c>
      <c r="N217" s="225">
        <f t="shared" si="93"/>
        <v>10.500000002793968</v>
      </c>
      <c r="O217" s="225"/>
      <c r="P217" s="225"/>
      <c r="Q217" s="228"/>
      <c r="R217" s="242"/>
      <c r="S217" s="249">
        <f t="shared" si="91"/>
        <v>1</v>
      </c>
      <c r="T217" s="242" t="str">
        <f t="shared" si="102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03"/>
        <v>https://d0f6bd738d7f1b3e5a7ca70fe4ff75f0.us-east-1.aws.found.io/app/kibana#/discover/Steve-Slow-Train-Analysis-(2080s-and-2083s)?_g=(refreshInterval:(display:Off,pause:!f,section:0,value:0),time:(from:'2017-12-19T00:35:08-0700',mode:absolute,to:'2017-12-19T02:47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247" t="str">
        <f>IF(AA217&lt;VLOOKUP(AG217,Variables!$AC$3:$AD$8,2,FALSE),"Y","N")</f>
        <v>Y</v>
      </c>
      <c r="X217" s="247">
        <f t="shared" si="120"/>
        <v>1</v>
      </c>
      <c r="Y217" s="247">
        <f t="shared" si="99"/>
        <v>5.8799999999999998E-2</v>
      </c>
      <c r="Z217" s="247">
        <f t="shared" si="100"/>
        <v>2.3313999999999999</v>
      </c>
      <c r="AA217" s="247">
        <f t="shared" si="104"/>
        <v>2.2725999999999997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05"/>
        <v>309</v>
      </c>
      <c r="AE217" s="235" t="str">
        <f t="shared" si="106"/>
        <v>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 &amp; 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</v>
      </c>
      <c r="AF217" s="234" t="str">
        <f t="shared" si="107"/>
        <v>"C:\Program Files (x86)\AstroGrep\AstroGrep.exe" /e /r /s /spath="%USERPROFILE%\AppData\Local\Temp\OnboardLogs" /stypes="app*4010*20171219*" /stext=" 08:.+((SYSTEM_STATE.+slice.+state.+changed )|(ment ac)|(multiple cpu faults)|(system.+state.+changed )|(\[timeout)|(PRM\|1\|D)|(kpr)|(kdp)|(train st.+moving)|(\|lc)|(penalty))"</v>
      </c>
      <c r="AG217" s="244" t="str">
        <f t="shared" si="108"/>
        <v>Other</v>
      </c>
      <c r="AH217" s="236" t="str">
        <f t="shared" si="115"/>
        <v>"%USERPROFILE%\Documents\GitHub\eaglep3\Utilities\RefineRTDCRunTimes.py" --tripid 309-18 --locoid 4010 --swversion DE.1.0.9.0 --startMP 204:588 --initTime 2017-12-19T01:35:08 --startdatetime 2017-12-19T01:36:56 --delay 53 --endMP 300:23314 --enddatetime 2017-12-19T01:47:26 --enforcementcount 0 &gt;&gt;%USERPROFILE%\Documents\GitHub\eaglep3-reporting\EC\2017-12-18-refined-times.txt</v>
      </c>
      <c r="AI217" s="238" t="str">
        <f t="shared" si="116"/>
        <v>echo {"issue":{"subject":"","project_id":79,"tracker_id":40,"status_id":1,"priority_id":2,"assigned_to_id":338,"start_date":"2017-12-19","description":"","custom_fields":[{"id":1,"name":"Subdivision","value":"Other"},{"id":4,"name":"Milepost","value":"2.3314"},{"id":17,"name":"Train ID","value":"309-18"},{"id":16,"name":"Locomotive ID","value":"4010"},{"id":130,"name":"Impact","value":""},{"id":150,"name":"Time of Event (Mountain Time)","value":"01:47:26"},{"id":151,"name":"Denver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7"/>
        <v>start /low /b %USERPROFILE%\Documents\GitHub\eaglep3\Utilities\DownloadLogsFromS3.py --loco 4010 --day 2017-12-19</v>
      </c>
      <c r="AN217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08:47:26"},{"id":29,"name":"Sharepoint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19"/>
        <v>https://d0f6bd738d7f1b3e5a7ca70fe4ff75f0.us-east-1.aws.found.io/app/kibana#/discover/Steve-Slow-Train-Analysis-(2080s-and-2083s)?_g=(refreshInterval:(display:Off,pause:!f,section:0,value:0),time:(from:'2017-12-19T00:35:08-0700',mode:absolute,to:'2017-12-19T02:47:26-0700'))&amp;_a=(columns:!('Message%20ID',Summary),filters:!(),index:'emp_*',interval:auto,query:(query_string:(analyze_wildcard:!t,query:'%22rtdc.l.rtdc.4010%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697</v>
      </c>
      <c r="B218" s="225">
        <v>4049</v>
      </c>
      <c r="C218" s="227" t="s">
        <v>192</v>
      </c>
      <c r="D218" s="227" t="s">
        <v>988</v>
      </c>
      <c r="E218" s="226">
        <v>43087.196932870371</v>
      </c>
      <c r="F218" s="226">
        <v>43087.201296296298</v>
      </c>
      <c r="G218" s="225">
        <v>98</v>
      </c>
      <c r="H218" s="227" t="s">
        <v>535</v>
      </c>
      <c r="I218" s="226">
        <v>43087.207974537036</v>
      </c>
      <c r="J218" s="225">
        <v>0</v>
      </c>
      <c r="K218" s="237" t="str">
        <f t="shared" si="101"/>
        <v>4049/4050</v>
      </c>
      <c r="L218" s="245" t="str">
        <f>VLOOKUP(A218,'Trips&amp;Operators'!$C$1:$G$99911,5,FALSE)</f>
        <v>DAVIDSON DAVID</v>
      </c>
      <c r="M218" s="224">
        <f t="shared" si="92"/>
        <v>6.6782407375285402E-3</v>
      </c>
      <c r="N218" s="225">
        <f t="shared" si="93"/>
        <v>9.6166666620410979</v>
      </c>
      <c r="O218" s="225"/>
      <c r="P218" s="225"/>
      <c r="Q218" s="228"/>
      <c r="R218" s="242"/>
      <c r="S218" s="249">
        <f t="shared" si="91"/>
        <v>1</v>
      </c>
      <c r="T218" s="242" t="str">
        <f t="shared" si="102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03"/>
        <v>https://d0f6bd738d7f1b3e5a7ca70fe4ff75f0.us-east-1.aws.found.io/app/kibana#/discover/Steve-Slow-Train-Analysis-(2080s-and-2083s)?_g=(refreshInterval:(display:Off,pause:!f,section:0,value:0),time:(from:'2017-12-18T03:43:35-0700',mode:absolute,to:'2017-12-18T05:59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8" s="247" t="str">
        <f>IF(AA218&lt;VLOOKUP(AG218,Variables!$AC$3:$AD$8,2,FALSE),"Y","N")</f>
        <v>Y</v>
      </c>
      <c r="X218" s="247">
        <f t="shared" si="120"/>
        <v>1</v>
      </c>
      <c r="Y218" s="247">
        <f t="shared" si="99"/>
        <v>2.3039999999999998</v>
      </c>
      <c r="Z218" s="247">
        <f t="shared" si="100"/>
        <v>2.1999999999999999E-2</v>
      </c>
      <c r="AA218" s="247">
        <f t="shared" si="104"/>
        <v>2.282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05"/>
        <v>310</v>
      </c>
      <c r="AE218" s="235" t="str">
        <f t="shared" si="106"/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AF218" s="234" t="str">
        <f t="shared" si="107"/>
        <v>"C:\Program Files (x86)\AstroGrep\AstroGrep.exe" /e /r /s /spath="%USERPROFILE%\AppData\Local\Temp\OnboardLogs" /stypes="app*4049*20171218*" /stext=" 11:.+((SYSTEM_STATE.+slice.+state.+changed )|(ment ac)|(multiple cpu faults)|(system.+state.+changed )|(\[timeout)|(PRM\|1\|D)|(kpr)|(kdp)|(train st.+moving)|(\|lc)|(penalty))"</v>
      </c>
      <c r="AG218" s="244" t="str">
        <f t="shared" si="108"/>
        <v>Other</v>
      </c>
      <c r="AH218" s="236" t="str">
        <f t="shared" si="115"/>
        <v>"%USERPROFILE%\Documents\GitHub\eaglep3\Utilities\RefineRTDCRunTimes.py" --tripid 310-18 --locoid 4049 --swversion DE.1.0.9.0 --startMP 300:23040 --initTime 2017-12-18T04:43:35 --startdatetime 2017-12-18T04:49:52 --delay 98 --endMP 204:220 --enddatetime 2017-12-18T04:59:29 --enforcementcount 0 &gt;&gt;%USERPROFILE%\Documents\GitHub\eaglep3-reporting\EC\2017-12-18-refined-times.txt</v>
      </c>
      <c r="AI218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{"issue":{"subject":"","project_id":79,"tracker_id":40,"status_id":1,"priority_id":2,"assigned_to_id":338,"start_date":"2017-12-18","description":"","custom_fields":[{"id":1,"name":"Subdivision","value":"Other"},{"id":4,"name":"Milepost","value":"0.022"},{"id":17,"name":"Train ID","value":"310-18"},{"id":16,"name":"Locomotive ID","value":"4049"},{"id":130,"name":"Impact","value":""},{"id":150,"name":"Time of Event (Mountain Time)","value":"04:59:29"},{"id":151,"name":"Denver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17"/>
        <v>start /low /b %USERPROFILE%\Documents\GitHub\eaglep3\Utilities\DownloadLogsFromS3.py --loco 4049 --day 2017-12-18</v>
      </c>
      <c r="AN218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11:59:29"},{"id":29,"name":"Sharepoint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19"/>
        <v>https://d0f6bd738d7f1b3e5a7ca70fe4ff75f0.us-east-1.aws.found.io/app/kibana#/discover/Steve-Slow-Train-Analysis-(2080s-and-2083s)?_g=(refreshInterval:(display:Off,pause:!f,section:0,value:0),time:(from:'2017-12-18T03:43:35-0700',mode:absolute,to:'2017-12-18T05:59:29-0700'))&amp;_a=(columns:!('Message%20ID',Summary),filters:!(),index:'emp_*',interval:auto,query:(query_string:(analyze_wildcard:!t,query:'%22rtdc.l.rtdc.4049%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705</v>
      </c>
      <c r="B219" s="225">
        <v>4025</v>
      </c>
      <c r="C219" s="227" t="s">
        <v>192</v>
      </c>
      <c r="D219" s="227" t="s">
        <v>989</v>
      </c>
      <c r="E219" s="226">
        <v>43087.224953703706</v>
      </c>
      <c r="F219" s="226">
        <v>43087.227789351855</v>
      </c>
      <c r="G219" s="225">
        <v>60</v>
      </c>
      <c r="H219" s="227" t="s">
        <v>609</v>
      </c>
      <c r="I219" s="226">
        <v>43087.227951388886</v>
      </c>
      <c r="J219" s="225">
        <v>0</v>
      </c>
      <c r="K219" s="237" t="str">
        <f t="shared" si="101"/>
        <v>4025/4026</v>
      </c>
      <c r="L219" s="245" t="str">
        <f>VLOOKUP(A219,'Trips&amp;Operators'!$C$1:$G$99911,5,FALSE)</f>
        <v>LAMAR NEKESHA</v>
      </c>
      <c r="M219" s="224">
        <f t="shared" si="92"/>
        <v>1.6203703125938773E-4</v>
      </c>
      <c r="N219" s="225">
        <f t="shared" si="93"/>
        <v>0.23333332501351833</v>
      </c>
      <c r="O219" s="225"/>
      <c r="P219" s="225"/>
      <c r="Q219" s="228"/>
      <c r="R219" s="242"/>
      <c r="S219" s="249">
        <f t="shared" si="91"/>
        <v>1</v>
      </c>
      <c r="T219" s="242" t="str">
        <f t="shared" si="102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03"/>
        <v>https://d0f6bd738d7f1b3e5a7ca70fe4ff75f0.us-east-1.aws.found.io/app/kibana#/discover/Steve-Slow-Train-Analysis-(2080s-and-2083s)?_g=(refreshInterval:(display:Off,pause:!f,section:0,value:0),time:(from:'2017-12-18T04:23:56-0700',mode:absolute,to:'2017-12-18T06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247" t="str">
        <f>IF(AA219&lt;VLOOKUP(AG219,Variables!$AC$3:$AD$8,2,FALSE),"Y","N")</f>
        <v>Y</v>
      </c>
      <c r="X219" s="247">
        <f t="shared" si="120"/>
        <v>2</v>
      </c>
      <c r="Y219" s="247">
        <f t="shared" si="99"/>
        <v>2.5781000000000001</v>
      </c>
      <c r="Z219" s="247">
        <f t="shared" si="100"/>
        <v>1.8100000000000002E-2</v>
      </c>
      <c r="AA219" s="247">
        <f t="shared" si="104"/>
        <v>2.56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05"/>
        <v>312</v>
      </c>
      <c r="AE219" s="235" t="str">
        <f t="shared" si="106"/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AF219" s="234" t="str">
        <f t="shared" si="107"/>
        <v>"C:\Program Files (x86)\AstroGrep\AstroGrep.exe" /e /r /s /spath="%USERPROFILE%\AppData\Local\Temp\OnboardLogs" /stypes="app*4025*20171218*" /stext=" 12:.+((SYSTEM_STATE.+slice.+state.+changed )|(ment ac)|(multiple cpu faults)|(system.+state.+changed )|(\[timeout)|(PRM\|1\|D)|(kpr)|(kdp)|(train st.+moving)|(\|lc)|(penalty))"</v>
      </c>
      <c r="AG219" s="244" t="str">
        <f t="shared" si="108"/>
        <v>Other</v>
      </c>
      <c r="AH219" s="236" t="str">
        <f t="shared" si="115"/>
        <v>"%USERPROFILE%\Documents\GitHub\eaglep3\Utilities\RefineRTDCRunTimes.py" --tripid 312-18 --locoid 4025 --swversion DE.1.0.9.0 --startMP 300:25781 --initTime 2017-12-18T05:23:56 --startdatetime 2017-12-18T05:28:01 --delay 60 --endMP 204:181 --enddatetime 2017-12-18T05:28:15 --enforcementcount 0 &gt;&gt;%USERPROFILE%\Documents\GitHub\eaglep3-reporting\EC\2017-12-18-refined-times.txt</v>
      </c>
      <c r="AI219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{"issue":{"subject":"","project_id":79,"tracker_id":40,"status_id":1,"priority_id":2,"assigned_to_id":338,"start_date":"2017-12-18","description":"","custom_fields":[{"id":1,"name":"Subdivision","value":"Other"},{"id":4,"name":"Milepost","value":"0.0181"},{"id":17,"name":"Train ID","value":"312-18"},{"id":16,"name":"Locomotive ID","value":"4025"},{"id":130,"name":"Impact","value":""},{"id":150,"name":"Time of Event (Mountain Time)","value":"05:28:15"},{"id":151,"name":"Denver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7"/>
        <v>start /low /b %USERPROFILE%\Documents\GitHub\eaglep3\Utilities\DownloadLogsFromS3.py --loco 4025 --day 2017-12-18</v>
      </c>
      <c r="AN219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12:28:15"},{"id":29,"name":"Sharepoint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19"/>
        <v>https://d0f6bd738d7f1b3e5a7ca70fe4ff75f0.us-east-1.aws.found.io/app/kibana#/discover/Steve-Slow-Train-Analysis-(2080s-and-2083s)?_g=(refreshInterval:(display:Off,pause:!f,section:0,value:0),time:(from:'2017-12-18T04:23:56-0700',mode:absolute,to:'2017-12-18T06:28:15-0700'))&amp;_a=(columns:!('Message%20ID',Summary),filters:!(),index:'emp_*',interval:auto,query:(query_string:(analyze_wildcard:!t,query:'%22rtdc.l.rtdc.4025%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889</v>
      </c>
      <c r="B220" s="225">
        <v>4052</v>
      </c>
      <c r="C220" s="227" t="s">
        <v>192</v>
      </c>
      <c r="D220" s="227" t="s">
        <v>990</v>
      </c>
      <c r="E220" s="226">
        <v>43088.024074074077</v>
      </c>
      <c r="F220" s="226">
        <v>43088.045046296298</v>
      </c>
      <c r="G220" s="225">
        <v>112</v>
      </c>
      <c r="H220" s="227" t="s">
        <v>985</v>
      </c>
      <c r="I220" s="226">
        <v>43088.053402777776</v>
      </c>
      <c r="J220" s="225">
        <v>0</v>
      </c>
      <c r="K220" s="237" t="str">
        <f t="shared" si="101"/>
        <v>4051/4052</v>
      </c>
      <c r="L220" s="245" t="str">
        <f>VLOOKUP(A220,'Trips&amp;Operators'!$C$1:$G$99911,5,FALSE)</f>
        <v>ELBAUM MIKE</v>
      </c>
      <c r="M220" s="224">
        <f t="shared" si="92"/>
        <v>8.3564814776764251E-3</v>
      </c>
      <c r="N220" s="225">
        <f t="shared" si="93"/>
        <v>12.033333327854052</v>
      </c>
      <c r="O220" s="225"/>
      <c r="P220" s="225"/>
      <c r="Q220" s="228"/>
      <c r="R220" s="242"/>
      <c r="S220" s="249">
        <f t="shared" si="91"/>
        <v>1</v>
      </c>
      <c r="T220" s="242" t="str">
        <f t="shared" si="102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03"/>
        <v>https://d0f6bd738d7f1b3e5a7ca70fe4ff75f0.us-east-1.aws.found.io/app/kibana#/discover/Steve-Slow-Train-Analysis-(2080s-and-2083s)?_g=(refreshInterval:(display:Off,pause:!f,section:0,value:0),time:(from:'2017-12-18T23:34:40-0700',mode:absolute,to:'2017-12-19T02:16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0" s="247" t="str">
        <f>IF(AA220&lt;VLOOKUP(AG220,Variables!$AC$3:$AD$8,2,FALSE),"Y","N")</f>
        <v>Y</v>
      </c>
      <c r="X220" s="247">
        <f t="shared" si="120"/>
        <v>1</v>
      </c>
      <c r="Y220" s="247">
        <f t="shared" si="99"/>
        <v>5.91E-2</v>
      </c>
      <c r="Z220" s="247">
        <f t="shared" si="100"/>
        <v>2.3308</v>
      </c>
      <c r="AA220" s="247">
        <f t="shared" si="104"/>
        <v>2.2717000000000001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05"/>
        <v>313</v>
      </c>
      <c r="AE220" s="235" t="str">
        <f t="shared" si="106"/>
        <v>aws s3 cp s3://rtdc.mdm.uploadarchive.raw/RTDC4052/ "%USERPROFILE%\AppData\Local\Temp\OnboardLogs"\RTDC4052\2017-12-19 --exclude "*" --recursive --include "*20171219*" &amp; "%USERPROFILE%\Documents\GitHub\mrs-test-scripts\Headless Mode &amp; Sideloading\WalkAndUnGZ.bat" "%USERPROFILE%\AppData\Local\Temp\OnboardLogs"\RTDC4052\2017-12-19 &amp; 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</v>
      </c>
      <c r="AF220" s="234" t="str">
        <f t="shared" si="107"/>
        <v>"C:\Program Files (x86)\AstroGrep\AstroGrep.exe" /e /r /s /spath="%USERPROFILE%\AppData\Local\Temp\OnboardLogs" /stypes="app*4052*20171219*" /stext=" 08:.+((SYSTEM_STATE.+slice.+state.+changed )|(ment ac)|(multiple cpu faults)|(system.+state.+changed )|(\[timeout)|(PRM\|1\|D)|(kpr)|(kdp)|(train st.+moving)|(\|lc)|(penalty))"</v>
      </c>
      <c r="AG220" s="244" t="str">
        <f t="shared" si="108"/>
        <v>Other</v>
      </c>
      <c r="AH220" s="236" t="str">
        <f t="shared" si="115"/>
        <v>"%USERPROFILE%\Documents\GitHub\eaglep3\Utilities\RefineRTDCRunTimes.py" --tripid 313-18 --locoid 4052 --swversion DE.1.0.9.0 --startMP 204:591 --initTime 2017-12-19T00:34:40 --startdatetime 2017-12-19T01:04:52 --delay 112 --endMP 300:23308 --enddatetime 2017-12-19T01:16:54 --enforcementcount 0 &gt;&gt;%USERPROFILE%\Documents\GitHub\eaglep3-reporting\EC\2017-12-18-refined-times.txt</v>
      </c>
      <c r="AI220" s="238" t="str">
        <f t="shared" si="116"/>
        <v>echo {"issue":{"subject":"","project_id":79,"tracker_id":40,"status_id":1,"priority_id":2,"assigned_to_id":338,"start_date":"2017-12-19","description":"","custom_fields":[{"id":1,"name":"Subdivision","value":"Other"},{"id":4,"name":"Milepost","value":"2.3308"},{"id":17,"name":"Train ID","value":"313-18"},{"id":16,"name":"Locomotive ID","value":"4052"},{"id":130,"name":"Impact","value":""},{"id":150,"name":"Time of Event (Mountain Time)","value":"01:16:54"},{"id":151,"name":"Denver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17"/>
        <v>start /low /b %USERPROFILE%\Documents\GitHub\eaglep3\Utilities\DownloadLogsFromS3.py --loco 4052 --day 2017-12-19</v>
      </c>
      <c r="AN220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08:16:54"},{"id":29,"name":"Sharepoint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19"/>
        <v>https://d0f6bd738d7f1b3e5a7ca70fe4ff75f0.us-east-1.aws.found.io/app/kibana#/discover/Steve-Slow-Train-Analysis-(2080s-and-2083s)?_g=(refreshInterval:(display:Off,pause:!f,section:0,value:0),time:(from:'2017-12-18T23:34:40-0700',mode:absolute,to:'2017-12-19T02:16:54-0700'))&amp;_a=(columns:!('Message%20ID',Summary),filters:!(),index:'emp_*',interval:auto,query:(query_string:(analyze_wildcard:!t,query:'%22rtdc.l.rtdc.4052%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709</v>
      </c>
      <c r="B221" s="225">
        <v>4035</v>
      </c>
      <c r="C221" s="227" t="s">
        <v>192</v>
      </c>
      <c r="D221" s="227" t="s">
        <v>1055</v>
      </c>
      <c r="E221" s="226">
        <v>43087.234571759262</v>
      </c>
      <c r="F221" s="226">
        <v>43087.236863425926</v>
      </c>
      <c r="G221" s="225">
        <v>95</v>
      </c>
      <c r="H221" s="227" t="s">
        <v>1056</v>
      </c>
      <c r="I221" s="226">
        <v>43087.248460648145</v>
      </c>
      <c r="J221" s="225">
        <v>0</v>
      </c>
      <c r="K221" s="237" t="str">
        <f t="shared" si="101"/>
        <v>4035/4036</v>
      </c>
      <c r="L221" s="245" t="str">
        <f>VLOOKUP(A221,'Trips&amp;Operators'!$C$1:$G$99911,5,FALSE)</f>
        <v>YANAI IAN</v>
      </c>
      <c r="M221" s="224">
        <f t="shared" si="92"/>
        <v>1.1597222219279502E-2</v>
      </c>
      <c r="N221" s="225">
        <f t="shared" si="93"/>
        <v>16.699999995762482</v>
      </c>
      <c r="O221" s="225"/>
      <c r="P221" s="225"/>
      <c r="Q221" s="228"/>
      <c r="R221" s="242"/>
      <c r="S221" s="249">
        <f t="shared" si="91"/>
        <v>1</v>
      </c>
      <c r="T221" s="242" t="str">
        <f t="shared" si="102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03"/>
        <v>https://d0f6bd738d7f1b3e5a7ca70fe4ff75f0.us-east-1.aws.found.io/app/kibana#/discover/Steve-Slow-Train-Analysis-(2080s-and-2083s)?_g=(refreshInterval:(display:Off,pause:!f,section:0,value:0),time:(from:'2017-12-18T04:37:47-0700',mode:absolute,to:'2017-12-18T06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1" s="247" t="str">
        <f>IF(AA221&lt;VLOOKUP(AG221,Variables!$AC$3:$AD$8,2,FALSE),"Y","N")</f>
        <v>Y</v>
      </c>
      <c r="X221" s="247">
        <f t="shared" si="120"/>
        <v>589</v>
      </c>
      <c r="Y221" s="247">
        <f t="shared" si="99"/>
        <v>2.3740999999999999</v>
      </c>
      <c r="Z221" s="247">
        <f t="shared" si="100"/>
        <v>0.01</v>
      </c>
      <c r="AA221" s="247">
        <f t="shared" si="104"/>
        <v>2.3641000000000001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05"/>
        <v>902</v>
      </c>
      <c r="AE221" s="235" t="str">
        <f t="shared" si="106"/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AF221" s="234" t="str">
        <f t="shared" si="107"/>
        <v>"C:\Program Files (x86)\AstroGrep\AstroGrep.exe" /e /r /s /spath="%USERPROFILE%\AppData\Local\Temp\OnboardLogs" /stypes="app*4035*20171218*" /stext=" 12:.+((SYSTEM_STATE.+slice.+state.+changed )|(ment ac)|(multiple cpu faults)|(system.+state.+changed )|(\[timeout)|(PRM\|1\|D)|(kpr)|(kdp)|(train st.+moving)|(\|lc)|(penalty))"</v>
      </c>
      <c r="AG221" s="244" t="str">
        <f t="shared" si="108"/>
        <v>Other</v>
      </c>
      <c r="AH221" s="236" t="str">
        <f t="shared" si="115"/>
        <v>"%USERPROFILE%\Documents\GitHub\eaglep3\Utilities\RefineRTDCRunTimes.py" --tripid 902-18 --locoid 4035 --swversion DE.1.0.9.0 --startMP 300:23741 --initTime 2017-12-18T05:37:47 --startdatetime 2017-12-18T05:41:05 --delay 95 --endMP 204:100 --enddatetime 2017-12-18T05:57:47 --enforcementcount 0 &gt;&gt;%USERPROFILE%\Documents\GitHub\eaglep3-reporting\EC\2017-12-18-refined-times.txt</v>
      </c>
      <c r="AI221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{"issue":{"subject":"","project_id":79,"tracker_id":40,"status_id":1,"priority_id":2,"assigned_to_id":338,"start_date":"2017-12-18","description":"","custom_fields":[{"id":1,"name":"Subdivision","value":"Other"},{"id":4,"name":"Milepost","value":"0.01"},{"id":17,"name":"Train ID","value":"902-18"},{"id":16,"name":"Locomotive ID","value":"4035"},{"id":130,"name":"Impact","value":""},{"id":150,"name":"Time of Event (Mountain Time)","value":"05:57:47"},{"id":151,"name":"Denver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17"/>
        <v>start /low /b %USERPROFILE%\Documents\GitHub\eaglep3\Utilities\DownloadLogsFromS3.py --loco 4035 --day 2017-12-18</v>
      </c>
      <c r="AN221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19"/>
        <v>https://d0f6bd738d7f1b3e5a7ca70fe4ff75f0.us-east-1.aws.found.io/app/kibana#/discover/Steve-Slow-Train-Analysis-(2080s-and-2083s)?_g=(refreshInterval:(display:Off,pause:!f,section:0,value:0),time:(from:'2017-12-18T04:37:47-0700',mode:absolute,to:'2017-12-18T06:57:47-0700'))&amp;_a=(columns:!('Message%20ID',Summary),filters:!(),index:'emp_*',interval:auto,query:(query_string:(analyze_wildcard:!t,query:'%22rtdc.l.rtdc.4035%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738</v>
      </c>
      <c r="B222" s="225">
        <v>4062</v>
      </c>
      <c r="C222" s="227" t="s">
        <v>192</v>
      </c>
      <c r="D222" s="227" t="s">
        <v>545</v>
      </c>
      <c r="E222" s="226">
        <v>43087.352592592593</v>
      </c>
      <c r="F222" s="226">
        <v>43087.35560185185</v>
      </c>
      <c r="G222" s="225">
        <v>55</v>
      </c>
      <c r="H222" s="227" t="s">
        <v>1057</v>
      </c>
      <c r="I222" s="226">
        <v>43087.360902777778</v>
      </c>
      <c r="J222" s="225">
        <v>0</v>
      </c>
      <c r="K222" s="237" t="str">
        <f t="shared" si="101"/>
        <v>4061/4062</v>
      </c>
      <c r="L222" s="245" t="str">
        <f>VLOOKUP(A222,'Trips&amp;Operators'!$C$1:$G$99911,5,FALSE)</f>
        <v>MACDONALD THOMAS</v>
      </c>
      <c r="M222" s="224">
        <f t="shared" si="92"/>
        <v>5.3009259281679988E-3</v>
      </c>
      <c r="N222" s="225">
        <f t="shared" si="93"/>
        <v>7.6333333365619183</v>
      </c>
      <c r="O222" s="225"/>
      <c r="P222" s="225"/>
      <c r="Q222" s="228"/>
      <c r="R222" s="242"/>
      <c r="S222" s="249">
        <f t="shared" ref="S222:S234" si="121">1/IF(AG222="EC",12,1)*SUM(U222:U222)</f>
        <v>1</v>
      </c>
      <c r="T222" s="242" t="str">
        <f t="shared" si="102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 t="shared" si="103"/>
        <v>https://d0f6bd738d7f1b3e5a7ca70fe4ff75f0.us-east-1.aws.found.io/app/kibana#/discover/Steve-Slow-Train-Analysis-(2080s-and-2083s)?_g=(refreshInterval:(display:Off,pause:!f,section:0,value:0),time:(from:'2017-12-18T07:27:44-0700',mode:absolute,to:'2017-12-18T09:39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2" s="247" t="str">
        <f>IF(AA222&lt;VLOOKUP(AG222,Variables!$AC$3:$AD$8,2,FALSE),"Y","N")</f>
        <v>Y</v>
      </c>
      <c r="X222" s="247">
        <f t="shared" si="120"/>
        <v>1</v>
      </c>
      <c r="Y222" s="247">
        <f t="shared" si="99"/>
        <v>4.6199999999999998E-2</v>
      </c>
      <c r="Z222" s="247">
        <f t="shared" si="100"/>
        <v>2.4264999999999999</v>
      </c>
      <c r="AA222" s="247">
        <f t="shared" si="104"/>
        <v>2.3803000000000001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05"/>
        <v>903</v>
      </c>
      <c r="AE222" s="235" t="str">
        <f t="shared" si="106"/>
        <v>aws s3 cp s3://rtdc.mdm.uploadarchive.raw/RTDC4062/ "%USERPROFILE%\AppData\Local\Temp\OnboardLogs"\RTDC4062\2017-12-18 --exclude "*" --recursive --include "*20171218*" &amp; "%USERPROFILE%\Documents\GitHub\mrs-test-scripts\Headless Mode &amp; Sideloading\WalkAndUnGZ.bat" "%USERPROFILE%\AppData\Local\Temp\OnboardLogs"\RTDC4062\2017-12-18 &amp; aws s3 cp s3://rtdc.mdm.uploadarchive.raw/RTDC4062/ "%USERPROFILE%\AppData\Local\Temp\OnboardLogs"\RTDC4062\2017-12-19 --exclude "*" --recursive --include "*20171219*" &amp; "%USERPROFILE%\Documents\GitHub\mrs-test-scripts\Headless Mode &amp; Sideloading\WalkAndUnGZ.bat" "%USERPROFILE%\AppData\Local\Temp\OnboardLogs"\RTDC4062\2017-12-19</v>
      </c>
      <c r="AF222" s="234" t="str">
        <f t="shared" si="107"/>
        <v>"C:\Program Files (x86)\AstroGrep\AstroGrep.exe" /e /r /s /spath="%USERPROFILE%\AppData\Local\Temp\OnboardLogs" /stypes="app*4062*20171218*" /stext=" 15:.+((SYSTEM_STATE.+slice.+state.+changed )|(ment ac)|(multiple cpu faults)|(system.+state.+changed )|(\[timeout)|(PRM\|1\|D)|(kpr)|(kdp)|(train st.+moving)|(\|lc)|(penalty))"</v>
      </c>
      <c r="AG222" s="244" t="str">
        <f t="shared" si="108"/>
        <v>Other</v>
      </c>
      <c r="AH222" s="236" t="str">
        <f t="shared" si="115"/>
        <v>"%USERPROFILE%\Documents\GitHub\eaglep3\Utilities\RefineRTDCRunTimes.py" --tripid 903-18 --locoid 4062 --swversion DE.1.0.9.0 --startMP 204:462 --initTime 2017-12-18T08:27:44 --startdatetime 2017-12-18T08:32:04 --delay 55 --endMP 300:24265 --enddatetime 2017-12-18T08:39:42 --enforcementcount 0 &gt;&gt;%USERPROFILE%\Documents\GitHub\eaglep3-reporting\EC\2017-12-18-refined-times.txt</v>
      </c>
      <c r="AI222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{"issue":{"subject":"","project_id":79,"tracker_id":40,"status_id":1,"priority_id":2,"assigned_to_id":338,"start_date":"2017-12-18","description":"","custom_fields":[{"id":1,"name":"Subdivision","value":"Other"},{"id":4,"name":"Milepost","value":"2.4265"},{"id":17,"name":"Train ID","value":"903-18"},{"id":16,"name":"Locomotive ID","value":"4062"},{"id":130,"name":"Impact","value":""},{"id":150,"name":"Time of Event (Mountain Time)","value":"08:39:42"},{"id":151,"name":"Denver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17"/>
        <v>start /low /b %USERPROFILE%\Documents\GitHub\eaglep3\Utilities\DownloadLogsFromS3.py --loco 4062 --day 2017-12-18</v>
      </c>
      <c r="AN222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15:39:42"},{"id":29,"name":"Sharepoint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19"/>
        <v>https://d0f6bd738d7f1b3e5a7ca70fe4ff75f0.us-east-1.aws.found.io/app/kibana#/discover/Steve-Slow-Train-Analysis-(2080s-and-2083s)?_g=(refreshInterval:(display:Off,pause:!f,section:0,value:0),time:(from:'2017-12-18T07:27:44-0700',mode:absolute,to:'2017-12-18T09:39:42-0700'))&amp;_a=(columns:!('Message%20ID',Summary),filters:!(),index:'emp_*',interval:auto,query:(query_string:(analyze_wildcard:!t,query:'%22rtdc.l.rtdc.4062%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804</v>
      </c>
      <c r="B223" s="225">
        <v>4061</v>
      </c>
      <c r="C223" s="227" t="s">
        <v>192</v>
      </c>
      <c r="D223" s="227" t="s">
        <v>1058</v>
      </c>
      <c r="E223" s="226">
        <v>43087.63349537037</v>
      </c>
      <c r="F223" s="226">
        <v>43087.636956018519</v>
      </c>
      <c r="G223" s="225">
        <v>133</v>
      </c>
      <c r="H223" s="227" t="s">
        <v>578</v>
      </c>
      <c r="I223" s="226">
        <v>43087.641793981478</v>
      </c>
      <c r="J223" s="225">
        <v>0</v>
      </c>
      <c r="K223" s="237" t="str">
        <f t="shared" si="101"/>
        <v>4061/4062</v>
      </c>
      <c r="L223" s="245" t="str">
        <f>VLOOKUP(A223,'Trips&amp;Operators'!$C$1:$G$99911,5,FALSE)</f>
        <v>STAMBAUGH JAMES</v>
      </c>
      <c r="M223" s="224">
        <f t="shared" si="92"/>
        <v>4.8379629588453099E-3</v>
      </c>
      <c r="N223" s="225">
        <f t="shared" si="93"/>
        <v>6.9666666607372463</v>
      </c>
      <c r="O223" s="225"/>
      <c r="P223" s="225"/>
      <c r="Q223" s="228"/>
      <c r="R223" s="242"/>
      <c r="S223" s="249">
        <f t="shared" si="121"/>
        <v>1</v>
      </c>
      <c r="T223" s="242" t="str">
        <f t="shared" si="102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03"/>
        <v>https://d0f6bd738d7f1b3e5a7ca70fe4ff75f0.us-east-1.aws.found.io/app/kibana#/discover/Steve-Slow-Train-Analysis-(2080s-and-2083s)?_g=(refreshInterval:(display:Off,pause:!f,section:0,value:0),time:(from:'2017-12-18T14:12:14-0700',mode:absolute,to:'2017-12-18T16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3" s="247" t="str">
        <f>IF(AA223&lt;VLOOKUP(AG223,Variables!$AC$3:$AD$8,2,FALSE),"Y","N")</f>
        <v>Y</v>
      </c>
      <c r="X223" s="247">
        <f t="shared" si="120"/>
        <v>1</v>
      </c>
      <c r="Y223" s="247">
        <f t="shared" si="99"/>
        <v>2.3508</v>
      </c>
      <c r="Z223" s="247">
        <f t="shared" si="100"/>
        <v>1.6E-2</v>
      </c>
      <c r="AA223" s="247">
        <f t="shared" si="104"/>
        <v>2.3348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05"/>
        <v>904</v>
      </c>
      <c r="AE223" s="235" t="str">
        <f t="shared" si="106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223" s="234" t="str">
        <f t="shared" si="107"/>
        <v>"C:\Program Files (x86)\AstroGrep\AstroGrep.exe" /e /r /s /spath="%USERPROFILE%\AppData\Local\Temp\OnboardLogs" /stypes="app*4061*20171218*" /stext=" 22:.+((SYSTEM_STATE.+slice.+state.+changed )|(ment ac)|(multiple cpu faults)|(system.+state.+changed )|(\[timeout)|(PRM\|1\|D)|(kpr)|(kdp)|(train st.+moving)|(\|lc)|(penalty))"</v>
      </c>
      <c r="AG223" s="244" t="str">
        <f t="shared" si="108"/>
        <v>Other</v>
      </c>
      <c r="AH223" s="236" t="str">
        <f t="shared" si="115"/>
        <v>"%USERPROFILE%\Documents\GitHub\eaglep3\Utilities\RefineRTDCRunTimes.py" --tripid 904-18 --locoid 4061 --swversion DE.1.0.9.0 --startMP 300:23508 --initTime 2017-12-18T15:12:14 --startdatetime 2017-12-18T15:17:13 --delay 133 --endMP 204:160 --enddatetime 2017-12-18T15:24:11 --enforcementcount 0 &gt;&gt;%USERPROFILE%\Documents\GitHub\eaglep3-reporting\EC\2017-12-18-refined-times.txt</v>
      </c>
      <c r="AI223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{"issue":{"subject":"","project_id":79,"tracker_id":40,"status_id":1,"priority_id":2,"assigned_to_id":338,"start_date":"2017-12-18","description":"","custom_fields":[{"id":1,"name":"Subdivision","value":"Other"},{"id":4,"name":"Milepost","value":"0.016"},{"id":17,"name":"Train ID","value":"904-18"},{"id":16,"name":"Locomotive ID","value":"4061"},{"id":130,"name":"Impact","value":""},{"id":150,"name":"Time of Event (Mountain Time)","value":"15:24:11"},{"id":151,"name":"Denver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17"/>
        <v>start /low /b %USERPROFILE%\Documents\GitHub\eaglep3\Utilities\DownloadLogsFromS3.py --loco 4061 --day 2017-12-18</v>
      </c>
      <c r="AN223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22:24:11"},{"id":29,"name":"Sharepoint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19"/>
        <v>https://d0f6bd738d7f1b3e5a7ca70fe4ff75f0.us-east-1.aws.found.io/app/kibana#/discover/Steve-Slow-Train-Analysis-(2080s-and-2083s)?_g=(refreshInterval:(display:Off,pause:!f,section:0,value:0),time:(from:'2017-12-18T14:12:14-0700',mode:absolute,to:'2017-12-18T16:24:11-0700'))&amp;_a=(columns:!('Message%20ID',Summary),filters:!(),index:'emp_*',interval:auto,query:(query_string:(analyze_wildcard:!t,query:'%22rtdc.l.rtdc.4061%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852</v>
      </c>
      <c r="B224" s="225">
        <v>4061</v>
      </c>
      <c r="C224" s="227" t="s">
        <v>192</v>
      </c>
      <c r="D224" s="227" t="s">
        <v>1059</v>
      </c>
      <c r="E224" s="226">
        <v>43087.787465277775</v>
      </c>
      <c r="F224" s="226">
        <v>43087.788518518515</v>
      </c>
      <c r="G224" s="225">
        <v>51</v>
      </c>
      <c r="H224" s="227" t="s">
        <v>1060</v>
      </c>
      <c r="I224" s="226">
        <v>43087.79478009259</v>
      </c>
      <c r="J224" s="225">
        <v>0</v>
      </c>
      <c r="K224" s="237" t="str">
        <f t="shared" si="101"/>
        <v>4061/4062</v>
      </c>
      <c r="L224" s="245" t="str">
        <f>VLOOKUP(A224,'Trips&amp;Operators'!$C$1:$G$99911,5,FALSE)</f>
        <v>STAMBAUGH JAMES</v>
      </c>
      <c r="M224" s="224">
        <f t="shared" si="92"/>
        <v>6.2615740753244609E-3</v>
      </c>
      <c r="N224" s="225">
        <f t="shared" si="93"/>
        <v>9.0166666684672236</v>
      </c>
      <c r="O224" s="225"/>
      <c r="P224" s="225"/>
      <c r="Q224" s="228"/>
      <c r="R224" s="242"/>
      <c r="S224" s="249">
        <f t="shared" si="121"/>
        <v>0</v>
      </c>
      <c r="T224" s="242" t="str">
        <f t="shared" si="102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103"/>
        <v>https://d0f6bd738d7f1b3e5a7ca70fe4ff75f0.us-east-1.aws.found.io/app/kibana#/discover/Steve-Slow-Train-Analysis-(2080s-and-2083s)?_g=(refreshInterval:(display:Off,pause:!f,section:0,value:0),time:(from:'2017-12-18T17:53:57-0700',mode:absolute,to:'2017-12-18T20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4" s="247" t="str">
        <f>IF(AA224&lt;VLOOKUP(AG224,Variables!$AC$3:$AD$8,2,FALSE),"Y","N")</f>
        <v>Y</v>
      </c>
      <c r="X224" s="247">
        <f t="shared" si="120"/>
        <v>2</v>
      </c>
      <c r="Y224" s="247">
        <f t="shared" si="99"/>
        <v>5.8604000000000003</v>
      </c>
      <c r="Z224" s="247">
        <f t="shared" si="100"/>
        <v>2.8765000000000001</v>
      </c>
      <c r="AA224" s="247">
        <f t="shared" si="104"/>
        <v>2.9839000000000002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05"/>
        <v>906</v>
      </c>
      <c r="AE224" s="235" t="str">
        <f t="shared" si="106"/>
        <v>aws s3 cp s3://rtdc.mdm.uploadarchive.raw/RTDC4061/ "%USERPROFILE%\AppData\Local\Temp\OnboardLogs"\RTDC4061\2017-12-18 --exclude "*" --recursive --include "*20171218*" &amp; "%USERPROFILE%\Documents\GitHub\mrs-test-scripts\Headless Mode &amp; Sideloading\WalkAndUnGZ.bat" "%USERPROFILE%\AppData\Local\Temp\OnboardLogs"\RTDC4061\2017-12-18 &amp; aws s3 cp s3://rtdc.mdm.uploadarchive.raw/RTDC4061/ "%USERPROFILE%\AppData\Local\Temp\OnboardLogs"\RTDC4061\2017-12-19 --exclude "*" --recursive --include "*20171219*" &amp; "%USERPROFILE%\Documents\GitHub\mrs-test-scripts\Headless Mode &amp; Sideloading\WalkAndUnGZ.bat" "%USERPROFILE%\AppData\Local\Temp\OnboardLogs"\RTDC4061\2017-12-19</v>
      </c>
      <c r="AF224" s="234" t="str">
        <f t="shared" si="107"/>
        <v>"C:\Program Files (x86)\AstroGrep\AstroGrep.exe" /e /r /s /spath="%USERPROFILE%\AppData\Local\Temp\OnboardLogs" /stypes="app*4061*20171219*" /stext=" 02:.+((SYSTEM_STATE.+slice.+state.+changed )|(ment ac)|(multiple cpu faults)|(system.+state.+changed )|(\[timeout)|(PRM\|1\|D)|(kpr)|(kdp)|(train st.+moving)|(\|lc)|(penalty))"</v>
      </c>
      <c r="AG224" s="244" t="str">
        <f t="shared" si="108"/>
        <v>Other</v>
      </c>
      <c r="AH224" s="236" t="str">
        <f t="shared" si="115"/>
        <v>"%USERPROFILE%\Documents\GitHub\eaglep3\Utilities\RefineRTDCRunTimes.py" --tripid 906-18 --locoid 4061 --swversion DE.1.0.9.0 --startMP 300:58604 --initTime 2017-12-18T18:53:57 --startdatetime 2017-12-18T18:55:28 --delay 51 --endMP 300:28765 --enddatetime 2017-12-18T19:04:29 --enforcementcount 0 &gt;&gt;%USERPROFILE%\Documents\GitHub\eaglep3-reporting\EC\2017-12-18-refined-times.txt</v>
      </c>
      <c r="AI224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{"issue":{"subject":"","project_id":79,"tracker_id":40,"status_id":1,"priority_id":2,"assigned_to_id":338,"start_date":"2017-12-18","description":"","custom_fields":[{"id":1,"name":"Subdivision","value":"Other"},{"id":4,"name":"Milepost","value":"2.8765"},{"id":17,"name":"Train ID","value":"906-18"},{"id":16,"name":"Locomotive ID","value":"4061"},{"id":130,"name":"Impact","value":""},{"id":150,"name":"Time of Event (Mountain Time)","value":"19:04:29"},{"id":151,"name":"Denver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17"/>
        <v>start /low /b %USERPROFILE%\Documents\GitHub\eaglep3\Utilities\DownloadLogsFromS3.py --loco 4061 --day 2017-12-18</v>
      </c>
      <c r="AN224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19"/>
        <v>https://d0f6bd738d7f1b3e5a7ca70fe4ff75f0.us-east-1.aws.found.io/app/kibana#/discover/Steve-Slow-Train-Analysis-(2080s-and-2083s)?_g=(refreshInterval:(display:Off,pause:!f,section:0,value:0),time:(from:'2017-12-18T17:53:57-0700',mode:absolute,to:'2017-12-18T20:04:29-0700'))&amp;_a=(columns:!('Message%20ID',Summary),filters:!(),index:'emp_*',interval:auto,query:(query_string:(analyze_wildcard:!t,query:'%22rtdc.l.rtdc.4061%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882</v>
      </c>
      <c r="B225" s="225">
        <v>4036</v>
      </c>
      <c r="C225" s="227" t="s">
        <v>192</v>
      </c>
      <c r="D225" s="227" t="s">
        <v>1061</v>
      </c>
      <c r="E225" s="226">
        <v>43087.960046296299</v>
      </c>
      <c r="F225" s="226">
        <v>43087.961296296293</v>
      </c>
      <c r="G225" s="225">
        <v>58</v>
      </c>
      <c r="H225" s="227" t="s">
        <v>1062</v>
      </c>
      <c r="I225" s="226">
        <v>43087.973136574074</v>
      </c>
      <c r="J225" s="225">
        <v>0</v>
      </c>
      <c r="K225" s="237" t="str">
        <f t="shared" si="101"/>
        <v>4035/4036</v>
      </c>
      <c r="L225" s="245" t="str">
        <f>VLOOKUP(A225,'Trips&amp;Operators'!$C$1:$G$99911,5,FALSE)</f>
        <v>STAMBAUGH JAMES</v>
      </c>
      <c r="M225" s="224">
        <f t="shared" ref="M225:M234" si="122">I225-F225</f>
        <v>1.1840277780720498E-2</v>
      </c>
      <c r="N225" s="225">
        <f t="shared" ref="N225:N234" si="123">24*60*SUM($M225:$M225)</f>
        <v>17.050000004237518</v>
      </c>
      <c r="O225" s="225"/>
      <c r="P225" s="225"/>
      <c r="Q225" s="228"/>
      <c r="R225" s="242"/>
      <c r="S225" s="249">
        <f t="shared" si="121"/>
        <v>0</v>
      </c>
      <c r="T225" s="242" t="str">
        <f t="shared" si="102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03"/>
        <v>https://d0f6bd738d7f1b3e5a7ca70fe4ff75f0.us-east-1.aws.found.io/app/kibana#/discover/Steve-Slow-Train-Analysis-(2080s-and-2083s)?_g=(refreshInterval:(display:Off,pause:!f,section:0,value:0),time:(from:'2017-12-18T22:02:28-0700',mode:absolute,to:'2017-12-19T00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5" s="247" t="str">
        <f>IF(AA225&lt;VLOOKUP(AG225,Variables!$AC$3:$AD$8,2,FALSE),"Y","N")</f>
        <v>Y</v>
      </c>
      <c r="X225" s="247">
        <f t="shared" si="120"/>
        <v>2</v>
      </c>
      <c r="Y225" s="247">
        <f t="shared" si="99"/>
        <v>0.122</v>
      </c>
      <c r="Z225" s="247">
        <f t="shared" si="100"/>
        <v>2.3346</v>
      </c>
      <c r="AA225" s="247">
        <f t="shared" si="104"/>
        <v>2.2126000000000001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05"/>
        <v>908</v>
      </c>
      <c r="AE225" s="235" t="str">
        <f t="shared" si="106"/>
        <v>aws s3 cp s3://rtdc.mdm.uploadarchive.raw/RTDC4036/ "%USERPROFILE%\AppData\Local\Temp\OnboardLogs"\RTDC4036\2017-12-18 --exclude "*" --recursive --include "*20171218*" &amp; "%USERPROFILE%\Documents\GitHub\mrs-test-scripts\Headless Mode &amp; Sideloading\WalkAndUnGZ.bat" "%USERPROFILE%\AppData\Local\Temp\OnboardLogs"\RTDC4036\2017-12-18 &amp; aws s3 cp s3://rtdc.mdm.uploadarchive.raw/RTDC4036/ "%USERPROFILE%\AppData\Local\Temp\OnboardLogs"\RTDC4036\2017-12-19 --exclude "*" --recursive --include "*20171219*" &amp; "%USERPROFILE%\Documents\GitHub\mrs-test-scripts\Headless Mode &amp; Sideloading\WalkAndUnGZ.bat" "%USERPROFILE%\AppData\Local\Temp\OnboardLogs"\RTDC4036\2017-12-19</v>
      </c>
      <c r="AF225" s="234" t="str">
        <f t="shared" si="107"/>
        <v>"C:\Program Files (x86)\AstroGrep\AstroGrep.exe" /e /r /s /spath="%USERPROFILE%\AppData\Local\Temp\OnboardLogs" /stypes="app*4036*20171219*" /stext=" 06:.+((SYSTEM_STATE.+slice.+state.+changed )|(ment ac)|(multiple cpu faults)|(system.+state.+changed )|(\[timeout)|(PRM\|1\|D)|(kpr)|(kdp)|(train st.+moving)|(\|lc)|(penalty))"</v>
      </c>
      <c r="AG225" s="244" t="str">
        <f t="shared" si="108"/>
        <v>Other</v>
      </c>
      <c r="AH225" s="236" t="str">
        <f t="shared" si="115"/>
        <v>"%USERPROFILE%\Documents\GitHub\eaglep3\Utilities\RefineRTDCRunTimes.py" --tripid 908-18 --locoid 4036 --swversion DE.1.0.9.0 --startMP 204:1220 --initTime 2017-12-18T23:02:28 --startdatetime 2017-12-18T23:04:16 --delay 58 --endMP 300:23346 --enddatetime 2017-12-18T23:21:19 --enforcementcount 0 &gt;&gt;%USERPROFILE%\Documents\GitHub\eaglep3-reporting\EC\2017-12-18-refined-times.txt</v>
      </c>
      <c r="AI225" s="238" t="str">
        <f t="shared" si="116"/>
        <v>echo {"issue":{"subject":"","project_id":79,"tracker_id":40,"status_id":1,"priority_id":2,"assigned_to_id":338,"start_date":"2017-12-18","description":"","custom_fields":[{"id":1,"name":"Subdivision","value":"Other"},{"id":4,"name":"Milepost","value":"2.3346"},{"id":17,"name":"Train ID","value":"908-18"},{"id":16,"name":"Locomotive ID","value":"4036"},{"id":130,"name":"Impact","value":""},{"id":150,"name":"Time of Event (Mountain Time)","value":"23:21:19"},{"id":151,"name":"Denver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17"/>
        <v>start /low /b %USERPROFILE%\Documents\GitHub\eaglep3\Utilities\DownloadLogsFromS3.py --loco 4036 --day 2017-12-18</v>
      </c>
      <c r="AN225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19"/>
        <v>https://d0f6bd738d7f1b3e5a7ca70fe4ff75f0.us-east-1.aws.found.io/app/kibana#/discover/Steve-Slow-Train-Analysis-(2080s-and-2083s)?_g=(refreshInterval:(display:Off,pause:!f,section:0,value:0),time:(from:'2017-12-18T22:02:28-0700',mode:absolute,to:'2017-12-19T00:21:19-0700'))&amp;_a=(columns:!('Message%20ID',Summary),filters:!(),index:'emp_*',interval:auto,query:(query_string:(analyze_wildcard:!t,query:'%22rtdc.l.rtdc.4036%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820</v>
      </c>
      <c r="B226" s="225">
        <v>4034</v>
      </c>
      <c r="C226" s="227" t="s">
        <v>192</v>
      </c>
      <c r="D226" s="227" t="s">
        <v>991</v>
      </c>
      <c r="E226" s="226">
        <v>43087.685428240744</v>
      </c>
      <c r="F226" s="226">
        <v>43087.687951388885</v>
      </c>
      <c r="G226" s="225">
        <v>74</v>
      </c>
      <c r="H226" s="227" t="s">
        <v>985</v>
      </c>
      <c r="I226" s="226">
        <v>43087.695416666669</v>
      </c>
      <c r="J226" s="225">
        <v>0</v>
      </c>
      <c r="K226" s="237" t="str">
        <f t="shared" si="101"/>
        <v>4033/4034</v>
      </c>
      <c r="L226" s="245" t="str">
        <f>VLOOKUP(A226,'Trips&amp;Operators'!$C$1:$G$99911,5,FALSE)</f>
        <v>STRICKLAND EVAN</v>
      </c>
      <c r="M226" s="224">
        <f t="shared" si="122"/>
        <v>7.4652777839219198E-3</v>
      </c>
      <c r="N226" s="225">
        <f t="shared" si="123"/>
        <v>10.750000008847564</v>
      </c>
      <c r="O226" s="225"/>
      <c r="P226" s="225"/>
      <c r="Q226" s="228"/>
      <c r="R226" s="242"/>
      <c r="S226" s="249">
        <f t="shared" si="121"/>
        <v>1</v>
      </c>
      <c r="T226" s="242" t="str">
        <f t="shared" si="102"/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8" t="str">
        <f t="shared" si="103"/>
        <v>https://d0f6bd738d7f1b3e5a7ca70fe4ff75f0.us-east-1.aws.found.io/app/kibana#/discover/Steve-Slow-Train-Analysis-(2080s-and-2083s)?_g=(refreshInterval:(display:Off,pause:!f,section:0,value:0),time:(from:'2017-12-18T15:27:01-0700',mode:absolute,to:'2017-12-18T17:41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6" s="247" t="str">
        <f>IF(AA226&lt;VLOOKUP(AG226,Variables!$AC$3:$AD$8,2,FALSE),"Y","N")</f>
        <v>Y</v>
      </c>
      <c r="X226" s="247">
        <f t="shared" si="120"/>
        <v>-841</v>
      </c>
      <c r="Y226" s="247">
        <f t="shared" si="99"/>
        <v>0.1283</v>
      </c>
      <c r="Z226" s="247">
        <f t="shared" si="100"/>
        <v>2.3308</v>
      </c>
      <c r="AA226" s="247">
        <f t="shared" si="104"/>
        <v>2.2025000000000001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05"/>
        <v>67</v>
      </c>
      <c r="AE226" s="235" t="str">
        <f t="shared" si="106"/>
        <v>aws s3 cp s3://rtdc.mdm.uploadarchive.raw/RTDC4034/ "%USERPROFILE%\AppData\Local\Temp\OnboardLogs"\RTDC4034\2017-12-18 --exclude "*" --recursive --include "*20171218*" &amp; "%USERPROFILE%\Documents\GitHub\mrs-test-scripts\Headless Mode &amp; Sideloading\WalkAndUnGZ.bat" "%USERPROFILE%\AppData\Local\Temp\OnboardLogs"\RTDC4034\2017-12-18 &amp; aws s3 cp s3://rtdc.mdm.uploadarchive.raw/RTDC4034/ "%USERPROFILE%\AppData\Local\Temp\OnboardLogs"\RTDC4034\2017-12-19 --exclude "*" --recursive --include "*20171219*" &amp; "%USERPROFILE%\Documents\GitHub\mrs-test-scripts\Headless Mode &amp; Sideloading\WalkAndUnGZ.bat" "%USERPROFILE%\AppData\Local\Temp\OnboardLogs"\RTDC4034\2017-12-19</v>
      </c>
      <c r="AF226" s="234" t="str">
        <f t="shared" si="107"/>
        <v>"C:\Program Files (x86)\AstroGrep\AstroGrep.exe" /e /r /s /spath="%USERPROFILE%\AppData\Local\Temp\OnboardLogs" /stypes="app*4034*20171218*" /stext=" 23:.+((SYSTEM_STATE.+slice.+state.+changed )|(ment ac)|(multiple cpu faults)|(system.+state.+changed )|(\[timeout)|(PRM\|1\|D)|(kpr)|(kdp)|(train st.+moving)|(\|lc)|(penalty))"</v>
      </c>
      <c r="AG226" s="244" t="str">
        <f t="shared" si="108"/>
        <v>Shuttle/Test</v>
      </c>
      <c r="AH226" s="236" t="str">
        <f t="shared" si="115"/>
        <v>"%USERPROFILE%\Documents\GitHub\eaglep3\Utilities\RefineRTDCRunTimes.py" --tripid 67-18 --locoid 4034 --swversion DE.1.0.9.0 --startMP 204:1283 --initTime 2017-12-18T16:27:01 --startdatetime 2017-12-18T16:30:39 --delay 74 --endMP 300:23308 --enddatetime 2017-12-18T16:41:24 --enforcementcount 0 &gt;&gt;%USERPROFILE%\Documents\GitHub\eaglep3-reporting\EC\2017-12-18-refined-times.txt</v>
      </c>
      <c r="AI226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2.3308"},{"id":17,"name":"Train ID","value":"67-18"},{"id":16,"name":"Locomotive ID","value":"4034"},{"id":130,"name":"Impact","value":""},{"id":150,"name":"Time of Event (Mountain Time)","value":"16:41:24"},{"id":151,"name":"Denver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17"/>
        <v>start /low /b %USERPROFILE%\Documents\GitHub\eaglep3\Utilities\DownloadLogsFromS3.py --loco 4034 --day 2017-12-18</v>
      </c>
      <c r="AN226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23:41:24"},{"id":29,"name":"Sharepoint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19"/>
        <v>https://d0f6bd738d7f1b3e5a7ca70fe4ff75f0.us-east-1.aws.found.io/app/kibana#/discover/Steve-Slow-Train-Analysis-(2080s-and-2083s)?_g=(refreshInterval:(display:Off,pause:!f,section:0,value:0),time:(from:'2017-12-18T15:27:01-0700',mode:absolute,to:'2017-12-18T17:41:24-0700'))&amp;_a=(columns:!('Message%20ID',Summary),filters:!(),index:'emp_*',interval:auto,query:(query_string:(analyze_wildcard:!t,query:'%22rtdc.l.rtdc.4034%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839</v>
      </c>
      <c r="B227" s="225">
        <v>4059</v>
      </c>
      <c r="C227" s="227" t="s">
        <v>192</v>
      </c>
      <c r="D227" s="227" t="s">
        <v>992</v>
      </c>
      <c r="E227" s="226">
        <v>43087.738622685189</v>
      </c>
      <c r="F227" s="226">
        <v>43087.742743055554</v>
      </c>
      <c r="G227" s="225">
        <v>190</v>
      </c>
      <c r="H227" s="227" t="s">
        <v>993</v>
      </c>
      <c r="I227" s="226">
        <v>43087.748263888891</v>
      </c>
      <c r="J227" s="225">
        <v>0</v>
      </c>
      <c r="K227" s="237" t="str">
        <f t="shared" si="101"/>
        <v>4059/4060</v>
      </c>
      <c r="L227" s="245" t="str">
        <f>VLOOKUP(A227,'Trips&amp;Operators'!$C$1:$G$99911,5,FALSE)</f>
        <v>GUNTHIER ERIC</v>
      </c>
      <c r="M227" s="224">
        <f t="shared" si="122"/>
        <v>5.5208333360496908E-3</v>
      </c>
      <c r="N227" s="225">
        <f t="shared" si="123"/>
        <v>7.9500000039115548</v>
      </c>
      <c r="O227" s="225"/>
      <c r="P227" s="225"/>
      <c r="Q227" s="228"/>
      <c r="R227" s="242"/>
      <c r="S227" s="249">
        <f t="shared" si="121"/>
        <v>1</v>
      </c>
      <c r="T227" s="242" t="str">
        <f t="shared" si="102"/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8" t="str">
        <f t="shared" si="103"/>
        <v>https://d0f6bd738d7f1b3e5a7ca70fe4ff75f0.us-east-1.aws.found.io/app/kibana#/discover/Steve-Slow-Train-Analysis-(2080s-and-2083s)?_g=(refreshInterval:(display:Off,pause:!f,section:0,value:0),time:(from:'2017-12-18T16:43:37-0700',mode:absolute,to:'2017-12-18T18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7" s="247" t="str">
        <f>IF(AA227&lt;VLOOKUP(AG227,Variables!$AC$3:$AD$8,2,FALSE),"Y","N")</f>
        <v>Y</v>
      </c>
      <c r="X227" s="247">
        <f t="shared" si="120"/>
        <v>1</v>
      </c>
      <c r="Y227" s="247">
        <f t="shared" si="99"/>
        <v>2.3572000000000002</v>
      </c>
      <c r="Z227" s="247">
        <f t="shared" si="100"/>
        <v>0.1171</v>
      </c>
      <c r="AA227" s="247">
        <f t="shared" si="104"/>
        <v>2.2401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05"/>
        <v>68</v>
      </c>
      <c r="AE227" s="235" t="str">
        <f t="shared" si="106"/>
        <v>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 &amp; 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</v>
      </c>
      <c r="AF227" s="234" t="str">
        <f t="shared" si="107"/>
        <v>"C:\Program Files (x86)\AstroGrep\AstroGrep.exe" /e /r /s /spath="%USERPROFILE%\AppData\Local\Temp\OnboardLogs" /stypes="app*4059*20171219*" /stext=" 00:.+((SYSTEM_STATE.+slice.+state.+changed )|(ment ac)|(multiple cpu faults)|(system.+state.+changed )|(\[timeout)|(PRM\|1\|D)|(kpr)|(kdp)|(train st.+moving)|(\|lc)|(penalty))"</v>
      </c>
      <c r="AG227" s="244" t="str">
        <f t="shared" si="108"/>
        <v>Shuttle/Test</v>
      </c>
      <c r="AH227" s="236" t="str">
        <f t="shared" si="115"/>
        <v>"%USERPROFILE%\Documents\GitHub\eaglep3\Utilities\RefineRTDCRunTimes.py" --tripid 68-18 --locoid 4059 --swversion DE.1.0.9.0 --startMP 300:23572 --initTime 2017-12-18T17:43:37 --startdatetime 2017-12-18T17:49:33 --delay 190 --endMP 204:1171 --enddatetime 2017-12-18T17:57:30 --enforcementcount 0 &gt;&gt;%USERPROFILE%\Documents\GitHub\eaglep3-reporting\EC\2017-12-18-refined-times.txt</v>
      </c>
      <c r="AI227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0.1171"},{"id":17,"name":"Train ID","value":"68-18"},{"id":16,"name":"Locomotive ID","value":"4059"},{"id":130,"name":"Impact","value":""},{"id":150,"name":"Time of Event (Mountain Time)","value":"17:57:30"},{"id":151,"name":"Denver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17"/>
        <v>start /low /b %USERPROFILE%\Documents\GitHub\eaglep3\Utilities\DownloadLogsFromS3.py --loco 4059 --day 2017-12-18</v>
      </c>
      <c r="AN227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19"/>
        <v>https://d0f6bd738d7f1b3e5a7ca70fe4ff75f0.us-east-1.aws.found.io/app/kibana#/discover/Steve-Slow-Train-Analysis-(2080s-and-2083s)?_g=(refreshInterval:(display:Off,pause:!f,section:0,value:0),time:(from:'2017-12-18T16:43:37-0700',mode:absolute,to:'2017-12-18T18:57:30-0700'))&amp;_a=(columns:!('Message%20ID',Summary),filters:!(),index:'emp_*',interval:auto,query:(query_string:(analyze_wildcard:!t,query:'%22rtdc.l.rtdc.4059%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830</v>
      </c>
      <c r="B228" s="225">
        <v>4014</v>
      </c>
      <c r="C228" s="227" t="s">
        <v>192</v>
      </c>
      <c r="D228" s="227" t="s">
        <v>994</v>
      </c>
      <c r="E228" s="226">
        <v>43087.721388888887</v>
      </c>
      <c r="F228" s="226">
        <v>43087.722939814812</v>
      </c>
      <c r="G228" s="225">
        <v>77</v>
      </c>
      <c r="H228" s="227" t="s">
        <v>995</v>
      </c>
      <c r="I228" s="226">
        <v>43087.731076388889</v>
      </c>
      <c r="J228" s="225">
        <v>0</v>
      </c>
      <c r="K228" s="237" t="str">
        <f t="shared" si="101"/>
        <v>4013/4014</v>
      </c>
      <c r="L228" s="245" t="str">
        <f>VLOOKUP(A228,'Trips&amp;Operators'!$C$1:$G$99911,5,FALSE)</f>
        <v>ROBINSON KADDIBA</v>
      </c>
      <c r="M228" s="224">
        <f t="shared" si="122"/>
        <v>8.1365740770706907E-3</v>
      </c>
      <c r="N228" s="225">
        <f t="shared" si="123"/>
        <v>11.716666670981795</v>
      </c>
      <c r="O228" s="225"/>
      <c r="P228" s="225"/>
      <c r="Q228" s="228"/>
      <c r="R228" s="242"/>
      <c r="S228" s="249">
        <f t="shared" si="121"/>
        <v>1</v>
      </c>
      <c r="T228" s="242" t="str">
        <f t="shared" si="102"/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8" t="str">
        <f t="shared" si="103"/>
        <v>https://d0f6bd738d7f1b3e5a7ca70fe4ff75f0.us-east-1.aws.found.io/app/kibana#/discover/Steve-Slow-Train-Analysis-(2080s-and-2083s)?_g=(refreshInterval:(display:Off,pause:!f,section:0,value:0),time:(from:'2017-12-18T16:18:48-0700',mode:absolute,to:'2017-12-18T18:32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8" s="247" t="str">
        <f>IF(AA228&lt;VLOOKUP(AG228,Variables!$AC$3:$AD$8,2,FALSE),"Y","N")</f>
        <v>Y</v>
      </c>
      <c r="X228" s="247">
        <f t="shared" si="120"/>
        <v>7</v>
      </c>
      <c r="Y228" s="247">
        <f t="shared" si="99"/>
        <v>0.1158</v>
      </c>
      <c r="Z228" s="247">
        <f t="shared" si="100"/>
        <v>2.3300999999999998</v>
      </c>
      <c r="AA228" s="247">
        <f t="shared" si="104"/>
        <v>2.2142999999999997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05"/>
        <v>75</v>
      </c>
      <c r="AE228" s="235" t="str">
        <f t="shared" si="106"/>
        <v>aws s3 cp s3://rtdc.mdm.uploadarchive.raw/RTDC4014/ "%USERPROFILE%\AppData\Local\Temp\OnboardLogs"\RTDC4014\2017-12-18 --exclude "*" --recursive --include "*20171218*" &amp; "%USERPROFILE%\Documents\GitHub\mrs-test-scripts\Headless Mode &amp; Sideloading\WalkAndUnGZ.bat" "%USERPROFILE%\AppData\Local\Temp\OnboardLogs"\RTDC4014\2017-12-18 &amp; 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</v>
      </c>
      <c r="AF228" s="234" t="str">
        <f t="shared" si="107"/>
        <v>"C:\Program Files (x86)\AstroGrep\AstroGrep.exe" /e /r /s /spath="%USERPROFILE%\AppData\Local\Temp\OnboardLogs" /stypes="app*4014*20171219*" /stext=" 00:.+((SYSTEM_STATE.+slice.+state.+changed )|(ment ac)|(multiple cpu faults)|(system.+state.+changed )|(\[timeout)|(PRM\|1\|D)|(kpr)|(kdp)|(train st.+moving)|(\|lc)|(penalty))"</v>
      </c>
      <c r="AG228" s="244" t="str">
        <f t="shared" si="108"/>
        <v>Shuttle/Test</v>
      </c>
      <c r="AH228" s="236" t="str">
        <f t="shared" si="115"/>
        <v>"%USERPROFILE%\Documents\GitHub\eaglep3\Utilities\RefineRTDCRunTimes.py" --tripid 75-18 --locoid 4014 --swversion DE.1.0.9.0 --startMP 204:1158 --initTime 2017-12-18T17:18:48 --startdatetime 2017-12-18T17:21:02 --delay 77 --endMP 300:23301 --enddatetime 2017-12-18T17:32:45 --enforcementcount 0 &gt;&gt;%USERPROFILE%\Documents\GitHub\eaglep3-reporting\EC\2017-12-18-refined-times.txt</v>
      </c>
      <c r="AI228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2.3301"},{"id":17,"name":"Train ID","value":"75-18"},{"id":16,"name":"Locomotive ID","value":"4014"},{"id":130,"name":"Impact","value":""},{"id":150,"name":"Time of Event (Mountain Time)","value":"17:32:45"},{"id":151,"name":"Denver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7"/>
        <v>start /low /b %USERPROFILE%\Documents\GitHub\eaglep3\Utilities\DownloadLogsFromS3.py --loco 4014 --day 2017-12-18</v>
      </c>
      <c r="AN228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00:32:45"},{"id":29,"name":"Sharepoint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19"/>
        <v>https://d0f6bd738d7f1b3e5a7ca70fe4ff75f0.us-east-1.aws.found.io/app/kibana#/discover/Steve-Slow-Train-Analysis-(2080s-and-2083s)?_g=(refreshInterval:(display:Off,pause:!f,section:0,value:0),time:(from:'2017-12-18T16:18:48-0700',mode:absolute,to:'2017-12-18T18:32:45-0700'))&amp;_a=(columns:!('Message%20ID',Summary),filters:!(),index:'emp_*',interval:auto,query:(query_string:(analyze_wildcard:!t,query:'%22rtdc.l.rtdc.4014%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690</v>
      </c>
      <c r="B229" s="225">
        <v>4009</v>
      </c>
      <c r="C229" s="227" t="s">
        <v>192</v>
      </c>
      <c r="D229" s="227" t="s">
        <v>996</v>
      </c>
      <c r="E229" s="226">
        <v>43087.140127314815</v>
      </c>
      <c r="F229" s="226">
        <v>43087.141701388886</v>
      </c>
      <c r="G229" s="225">
        <v>69</v>
      </c>
      <c r="H229" s="227" t="s">
        <v>997</v>
      </c>
      <c r="I229" s="226">
        <v>43087.142800925925</v>
      </c>
      <c r="J229" s="225">
        <v>0</v>
      </c>
      <c r="K229" s="237" t="str">
        <f t="shared" si="101"/>
        <v>4009/4010</v>
      </c>
      <c r="L229" s="245" t="str">
        <f>VLOOKUP(A229,'Trips&amp;Operators'!$C$1:$G$99911,5,FALSE)</f>
        <v>SPECTOR MICHAEL</v>
      </c>
      <c r="M229" s="224">
        <f t="shared" si="122"/>
        <v>1.0995370394084603E-3</v>
      </c>
      <c r="N229" s="225">
        <f t="shared" si="123"/>
        <v>1.5833333367481828</v>
      </c>
      <c r="O229" s="225"/>
      <c r="P229" s="225"/>
      <c r="Q229" s="228"/>
      <c r="R229" s="242"/>
      <c r="S229" s="249">
        <f t="shared" si="121"/>
        <v>0</v>
      </c>
      <c r="T229" s="242" t="str">
        <f t="shared" si="102"/>
        <v>Southbound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 t="shared" si="103"/>
        <v>https://d0f6bd738d7f1b3e5a7ca70fe4ff75f0.us-east-1.aws.found.io/app/kibana#/discover/Steve-Slow-Train-Analysis-(2080s-and-2083s)?_g=(refreshInterval:(display:Off,pause:!f,section:0,value:0),time:(from:'2017-12-18T02:21:47-0700',mode:absolute,to:'2017-12-18T04:25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247" t="str">
        <f>IF(AA229&lt;VLOOKUP(AG229,Variables!$AC$3:$AD$8,2,FALSE),"Y","N")</f>
        <v>Y</v>
      </c>
      <c r="X229" s="247">
        <f t="shared" si="120"/>
        <v>5</v>
      </c>
      <c r="Y229" s="247">
        <f t="shared" si="99"/>
        <v>0.32450000000000001</v>
      </c>
      <c r="Z229" s="247">
        <f t="shared" si="100"/>
        <v>0.1182</v>
      </c>
      <c r="AA229" s="247">
        <f t="shared" si="104"/>
        <v>0.20630000000000001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05"/>
        <v>80</v>
      </c>
      <c r="AE229" s="235" t="str">
        <f t="shared" si="106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229" s="234" t="str">
        <f t="shared" si="107"/>
        <v>"C:\Program Files (x86)\AstroGrep\AstroGrep.exe" /e /r /s /spath="%USERPROFILE%\AppData\Local\Temp\OnboardLogs" /stypes="app*4009*20171218*" /stext=" 10:.+((SYSTEM_STATE.+slice.+state.+changed )|(ment ac)|(multiple cpu faults)|(system.+state.+changed )|(\[timeout)|(PRM\|1\|D)|(kpr)|(kdp)|(train st.+moving)|(\|lc)|(penalty))"</v>
      </c>
      <c r="AG229" s="244" t="str">
        <f t="shared" si="108"/>
        <v>Shuttle/Test</v>
      </c>
      <c r="AH229" s="236" t="str">
        <f t="shared" si="115"/>
        <v>"%USERPROFILE%\Documents\GitHub\eaglep3\Utilities\RefineRTDCRunTimes.py" --tripid 80-18 --locoid 4009 --swversion DE.1.0.9.0 --startMP 204:3245 --initTime 2017-12-18T03:21:47 --startdatetime 2017-12-18T03:24:03 --delay 69 --endMP 204:1182 --enddatetime 2017-12-18T03:25:38 --enforcementcount 0 &gt;&gt;%USERPROFILE%\Documents\GitHub\eaglep3-reporting\EC\2017-12-18-refined-times.txt</v>
      </c>
      <c r="AI229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0.1182"},{"id":17,"name":"Train ID","value":"80-18"},{"id":16,"name":"Locomotive ID","value":"4009"},{"id":130,"name":"Impact","value":""},{"id":150,"name":"Time of Event (Mountain Time)","value":"03:25:38"},{"id":151,"name":"Denver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7"/>
        <v>start /low /b %USERPROFILE%\Documents\GitHub\eaglep3\Utilities\DownloadLogsFromS3.py --loco 4009 --day 2017-12-18</v>
      </c>
      <c r="AN229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10:25:38"},{"id":29,"name":"Sharepoint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19"/>
        <v>https://d0f6bd738d7f1b3e5a7ca70fe4ff75f0.us-east-1.aws.found.io/app/kibana#/discover/Steve-Slow-Train-Analysis-(2080s-and-2083s)?_g=(refreshInterval:(display:Off,pause:!f,section:0,value:0),time:(from:'2017-12-18T02:21:47-0700',mode:absolute,to:'2017-12-18T04:25:38-0700'))&amp;_a=(columns:!('Message%20ID',Summary),filters:!(),index:'emp_*',interval:auto,query:(query_string:(analyze_wildcard:!t,query:'%22rtdc.l.rtdc.4009%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9" t="s">
        <v>690</v>
      </c>
      <c r="B230" s="225">
        <v>4009</v>
      </c>
      <c r="C230" s="227" t="s">
        <v>192</v>
      </c>
      <c r="D230" s="227" t="s">
        <v>998</v>
      </c>
      <c r="E230" s="226">
        <v>43087.224097222221</v>
      </c>
      <c r="F230" s="226">
        <v>43087.225706018522</v>
      </c>
      <c r="G230" s="225">
        <v>74</v>
      </c>
      <c r="H230" s="227" t="s">
        <v>601</v>
      </c>
      <c r="I230" s="226">
        <v>43087.227152777778</v>
      </c>
      <c r="J230" s="225">
        <v>0</v>
      </c>
      <c r="K230" s="237" t="str">
        <f t="shared" si="101"/>
        <v>4009/4010</v>
      </c>
      <c r="L230" s="245" t="str">
        <f>VLOOKUP(A230,'Trips&amp;Operators'!$C$1:$G$99911,5,FALSE)</f>
        <v>SPECTOR MICHAEL</v>
      </c>
      <c r="M230" s="224">
        <f t="shared" si="122"/>
        <v>1.4467592554865405E-3</v>
      </c>
      <c r="N230" s="225">
        <f t="shared" si="123"/>
        <v>2.0833333279006183</v>
      </c>
      <c r="O230" s="225"/>
      <c r="P230" s="225"/>
      <c r="Q230" s="228"/>
      <c r="R230" s="242"/>
      <c r="S230" s="249">
        <f t="shared" si="121"/>
        <v>0</v>
      </c>
      <c r="T230" s="242" t="str">
        <f t="shared" si="102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103"/>
        <v>https://d0f6bd738d7f1b3e5a7ca70fe4ff75f0.us-east-1.aws.found.io/app/kibana#/discover/Steve-Slow-Train-Analysis-(2080s-and-2083s)?_g=(refreshInterval:(display:Off,pause:!f,section:0,value:0),time:(from:'2017-12-18T04:22:42-0700',mode:absolute,to:'2017-12-18T06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0" s="247" t="str">
        <f>IF(AA230&lt;VLOOKUP(AG230,Variables!$AC$3:$AD$8,2,FALSE),"Y","N")</f>
        <v>Y</v>
      </c>
      <c r="X230" s="247">
        <f t="shared" si="120"/>
        <v>0</v>
      </c>
      <c r="Y230" s="247">
        <f t="shared" si="99"/>
        <v>0.33310000000000001</v>
      </c>
      <c r="Z230" s="247">
        <f t="shared" si="100"/>
        <v>1.4500000000000001E-2</v>
      </c>
      <c r="AA230" s="247">
        <f t="shared" si="104"/>
        <v>0.31859999999999999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05"/>
        <v>80</v>
      </c>
      <c r="AE230" s="235" t="str">
        <f t="shared" si="106"/>
        <v>aws s3 cp s3://rtdc.mdm.uploadarchive.raw/RTDC4009/ "%USERPROFILE%\AppData\Local\Temp\OnboardLogs"\RTDC4009\2017-12-18 --exclude "*" --recursive --include "*20171218*" &amp; "%USERPROFILE%\Documents\GitHub\mrs-test-scripts\Headless Mode &amp; Sideloading\WalkAndUnGZ.bat" "%USERPROFILE%\AppData\Local\Temp\OnboardLogs"\RTDC4009\2017-12-18 &amp; aws s3 cp s3://rtdc.mdm.uploadarchive.raw/RTDC4009/ "%USERPROFILE%\AppData\Local\Temp\OnboardLogs"\RTDC4009\2017-12-19 --exclude "*" --recursive --include "*20171219*" &amp; "%USERPROFILE%\Documents\GitHub\mrs-test-scripts\Headless Mode &amp; Sideloading\WalkAndUnGZ.bat" "%USERPROFILE%\AppData\Local\Temp\OnboardLogs"\RTDC4009\2017-12-19</v>
      </c>
      <c r="AF230" s="234" t="str">
        <f t="shared" si="107"/>
        <v>"C:\Program Files (x86)\AstroGrep\AstroGrep.exe" /e /r /s /spath="%USERPROFILE%\AppData\Local\Temp\OnboardLogs" /stypes="app*4009*20171218*" /stext=" 12:.+((SYSTEM_STATE.+slice.+state.+changed )|(ment ac)|(multiple cpu faults)|(system.+state.+changed )|(\[timeout)|(PRM\|1\|D)|(kpr)|(kdp)|(train st.+moving)|(\|lc)|(penalty))"</v>
      </c>
      <c r="AG230" s="244" t="str">
        <f t="shared" si="108"/>
        <v>Shuttle/Test</v>
      </c>
      <c r="AH230" s="236" t="str">
        <f t="shared" si="115"/>
        <v>"%USERPROFILE%\Documents\GitHub\eaglep3\Utilities\RefineRTDCRunTimes.py" --tripid 80-18 --locoid 4009 --swversion DE.1.0.9.0 --startMP 204:3331 --initTime 2017-12-18T05:22:42 --startdatetime 2017-12-18T05:25:01 --delay 74 --endMP 204:145 --enddatetime 2017-12-18T05:27:06 --enforcementcount 0 &gt;&gt;%USERPROFILE%\Documents\GitHub\eaglep3-reporting\EC\2017-12-18-refined-times.txt</v>
      </c>
      <c r="AI230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0.0145"},{"id":17,"name":"Train ID","value":"80-18"},{"id":16,"name":"Locomotive ID","value":"4009"},{"id":130,"name":"Impact","value":""},{"id":150,"name":"Time of Event (Mountain Time)","value":"05:27:06"},{"id":151,"name":"Denver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17"/>
        <v>start /low /b %USERPROFILE%\Documents\GitHub\eaglep3\Utilities\DownloadLogsFromS3.py --loco 4009 --day 2017-12-18</v>
      </c>
      <c r="AN230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19"/>
        <v>https://d0f6bd738d7f1b3e5a7ca70fe4ff75f0.us-east-1.aws.found.io/app/kibana#/discover/Steve-Slow-Train-Analysis-(2080s-and-2083s)?_g=(refreshInterval:(display:Off,pause:!f,section:0,value:0),time:(from:'2017-12-18T04:22:42-0700',mode:absolute,to:'2017-12-18T06:27:06-0700'))&amp;_a=(columns:!('Message%20ID',Summary),filters:!(),index:'emp_*',interval:auto,query:(query_string:(analyze_wildcard:!t,query:'%22rtdc.l.rtdc.4009%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684</v>
      </c>
      <c r="B231" s="225">
        <v>4010</v>
      </c>
      <c r="C231" s="227" t="s">
        <v>192</v>
      </c>
      <c r="D231" s="227" t="s">
        <v>622</v>
      </c>
      <c r="E231" s="226">
        <v>43087.124236111114</v>
      </c>
      <c r="F231" s="226">
        <v>43087.138067129628</v>
      </c>
      <c r="G231" s="225">
        <v>72</v>
      </c>
      <c r="H231" s="227" t="s">
        <v>1013</v>
      </c>
      <c r="I231" s="226">
        <v>43087.139074074075</v>
      </c>
      <c r="J231" s="225">
        <v>0</v>
      </c>
      <c r="K231" s="237" t="str">
        <f t="shared" si="101"/>
        <v>4009/4010</v>
      </c>
      <c r="L231" s="245" t="str">
        <f>VLOOKUP(A231,'Trips&amp;Operators'!$C$1:$G$99911,5,FALSE)</f>
        <v>SPECTOR MICHAEL</v>
      </c>
      <c r="M231" s="224">
        <f t="shared" si="122"/>
        <v>1.006944446999114E-3</v>
      </c>
      <c r="N231" s="225">
        <f t="shared" si="123"/>
        <v>1.4500000036787242</v>
      </c>
      <c r="O231" s="225"/>
      <c r="P231" s="225"/>
      <c r="Q231" s="228"/>
      <c r="R231" s="242"/>
      <c r="S231" s="249">
        <f t="shared" si="121"/>
        <v>0</v>
      </c>
      <c r="T231" s="242" t="str">
        <f t="shared" si="102"/>
        <v>NorthBound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103"/>
        <v>https://d0f6bd738d7f1b3e5a7ca70fe4ff75f0.us-east-1.aws.found.io/app/kibana#/discover/Steve-Slow-Train-Analysis-(2080s-and-2083s)?_g=(refreshInterval:(display:Off,pause:!f,section:0,value:0),time:(from:'2017-12-18T01:58:54-0700',mode:absolute,to:'2017-12-18T04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247" t="str">
        <f>IF(AA231&lt;VLOOKUP(AG231,Variables!$AC$3:$AD$8,2,FALSE),"Y","N")</f>
        <v>Y</v>
      </c>
      <c r="X231" s="247">
        <f t="shared" si="120"/>
        <v>1</v>
      </c>
      <c r="Y231" s="247">
        <f t="shared" si="99"/>
        <v>4.3299999999999998E-2</v>
      </c>
      <c r="Z231" s="247">
        <f t="shared" si="100"/>
        <v>0.35560000000000003</v>
      </c>
      <c r="AA231" s="247">
        <f t="shared" si="104"/>
        <v>0.31230000000000002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05"/>
        <v>81</v>
      </c>
      <c r="AE231" s="235" t="str">
        <f t="shared" si="106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231" s="234" t="str">
        <f t="shared" si="107"/>
        <v>"C:\Program Files (x86)\AstroGrep\AstroGrep.exe" /e /r /s /spath="%USERPROFILE%\AppData\Local\Temp\OnboardLogs" /stypes="app*4010*20171218*" /stext=" 10:.+((SYSTEM_STATE.+slice.+state.+changed )|(ment ac)|(multiple cpu faults)|(system.+state.+changed )|(\[timeout)|(PRM\|1\|D)|(kpr)|(kdp)|(train st.+moving)|(\|lc)|(penalty))"</v>
      </c>
      <c r="AG231" s="244" t="str">
        <f t="shared" si="108"/>
        <v>Shuttle/Test</v>
      </c>
      <c r="AH231" s="236" t="str">
        <f t="shared" si="115"/>
        <v>"%USERPROFILE%\Documents\GitHub\eaglep3\Utilities\RefineRTDCRunTimes.py" --tripid 81-18 --locoid 4010 --swversion DE.1.0.9.0 --startMP 204:433 --initTime 2017-12-18T02:58:54 --startdatetime 2017-12-18T03:18:49 --delay 72 --endMP 204:3556 --enddatetime 2017-12-18T03:20:16 --enforcementcount 0 &gt;&gt;%USERPROFILE%\Documents\GitHub\eaglep3-reporting\EC\2017-12-18-refined-times.txt</v>
      </c>
      <c r="AI231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0.3556"},{"id":17,"name":"Train ID","value":"81-18"},{"id":16,"name":"Locomotive ID","value":"4010"},{"id":130,"name":"Impact","value":""},{"id":150,"name":"Time of Event (Mountain Time)","value":"03:20:16"},{"id":151,"name":"Denver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17"/>
        <v>start /low /b %USERPROFILE%\Documents\GitHub\eaglep3\Utilities\DownloadLogsFromS3.py --loco 4010 --day 2017-12-18</v>
      </c>
      <c r="AN231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10:20:16"},{"id":29,"name":"Sharepoint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19"/>
        <v>https://d0f6bd738d7f1b3e5a7ca70fe4ff75f0.us-east-1.aws.found.io/app/kibana#/discover/Steve-Slow-Train-Analysis-(2080s-and-2083s)?_g=(refreshInterval:(display:Off,pause:!f,section:0,value:0),time:(from:'2017-12-18T01:58:54-0700',mode:absolute,to:'2017-12-18T04:20:16-0700'))&amp;_a=(columns:!('Message%20ID',Summary),filters:!(),index:'emp_*',interval:auto,query:(query_string:(analyze_wildcard:!t,query:'%22rtdc.l.rtdc.4010%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684</v>
      </c>
      <c r="B232" s="225">
        <v>4010</v>
      </c>
      <c r="C232" s="227" t="s">
        <v>192</v>
      </c>
      <c r="D232" s="227" t="s">
        <v>1014</v>
      </c>
      <c r="E232" s="226">
        <v>43087.219930555555</v>
      </c>
      <c r="F232" s="226">
        <v>43087.221712962964</v>
      </c>
      <c r="G232" s="225">
        <v>71</v>
      </c>
      <c r="H232" s="227" t="s">
        <v>1015</v>
      </c>
      <c r="I232" s="226">
        <v>43087.222627314812</v>
      </c>
      <c r="J232" s="225">
        <v>0</v>
      </c>
      <c r="K232" s="237" t="str">
        <f t="shared" si="101"/>
        <v>4009/4010</v>
      </c>
      <c r="L232" s="245" t="str">
        <f>VLOOKUP(A232,'Trips&amp;Operators'!$C$1:$G$99911,5,FALSE)</f>
        <v>SPECTOR MICHAEL</v>
      </c>
      <c r="M232" s="224">
        <f t="shared" si="122"/>
        <v>9.1435184731381014E-4</v>
      </c>
      <c r="N232" s="225">
        <f t="shared" si="123"/>
        <v>1.3166666601318866</v>
      </c>
      <c r="O232" s="225"/>
      <c r="P232" s="225"/>
      <c r="Q232" s="228"/>
      <c r="R232" s="242"/>
      <c r="S232" s="249">
        <f t="shared" si="121"/>
        <v>0</v>
      </c>
      <c r="T232" s="242" t="str">
        <f t="shared" si="102"/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103"/>
        <v>https://d0f6bd738d7f1b3e5a7ca70fe4ff75f0.us-east-1.aws.found.io/app/kibana#/discover/Steve-Slow-Train-Analysis-(2080s-and-2083s)?_g=(refreshInterval:(display:Off,pause:!f,section:0,value:0),time:(from:'2017-12-18T04:16:42-0700',mode:absolute,to:'2017-12-18T06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2" s="247" t="str">
        <f>IF(AA232&lt;VLOOKUP(AG232,Variables!$AC$3:$AD$8,2,FALSE),"Y","N")</f>
        <v>Y</v>
      </c>
      <c r="X232" s="247">
        <f t="shared" si="120"/>
        <v>0</v>
      </c>
      <c r="Y232" s="247">
        <f t="shared" si="99"/>
        <v>0.14960000000000001</v>
      </c>
      <c r="Z232" s="247">
        <f t="shared" si="100"/>
        <v>0.3644</v>
      </c>
      <c r="AA232" s="247">
        <f t="shared" si="104"/>
        <v>0.21479999999999999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05"/>
        <v>81</v>
      </c>
      <c r="AE232" s="235" t="str">
        <f t="shared" si="106"/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AF232" s="234" t="str">
        <f t="shared" si="107"/>
        <v>"C:\Program Files (x86)\AstroGrep\AstroGrep.exe" /e /r /s /spath="%USERPROFILE%\AppData\Local\Temp\OnboardLogs" /stypes="app*4010*20171218*" /stext=" 12:.+((SYSTEM_STATE.+slice.+state.+changed )|(ment ac)|(multiple cpu faults)|(system.+state.+changed )|(\[timeout)|(PRM\|1\|D)|(kpr)|(kdp)|(train st.+moving)|(\|lc)|(penalty))"</v>
      </c>
      <c r="AG232" s="244" t="str">
        <f t="shared" si="108"/>
        <v>Shuttle/Test</v>
      </c>
      <c r="AH232" s="236" t="str">
        <f t="shared" si="115"/>
        <v>"%USERPROFILE%\Documents\GitHub\eaglep3\Utilities\RefineRTDCRunTimes.py" --tripid 81-18 --locoid 4010 --swversion DE.1.0.9.0 --startMP 204:1496 --initTime 2017-12-18T05:16:42 --startdatetime 2017-12-18T05:19:16 --delay 71 --endMP 204:3644 --enddatetime 2017-12-18T05:20:35 --enforcementcount 0 &gt;&gt;%USERPROFILE%\Documents\GitHub\eaglep3-reporting\EC\2017-12-18-refined-times.txt</v>
      </c>
      <c r="AI232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0.3644"},{"id":17,"name":"Train ID","value":"81-18"},{"id":16,"name":"Locomotive ID","value":"4010"},{"id":130,"name":"Impact","value":""},{"id":150,"name":"Time of Event (Mountain Time)","value":"05:20:35"},{"id":151,"name":"Denver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17"/>
        <v>start /low /b %USERPROFILE%\Documents\GitHub\eaglep3\Utilities\DownloadLogsFromS3.py --loco 4010 --day 2017-12-18</v>
      </c>
      <c r="AN232" s="241" t="str">
        <f t="shared" si="118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12:20:35"},{"id":29,"name":"Sharepoint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19"/>
        <v>https://d0f6bd738d7f1b3e5a7ca70fe4ff75f0.us-east-1.aws.found.io/app/kibana#/discover/Steve-Slow-Train-Analysis-(2080s-and-2083s)?_g=(refreshInterval:(display:Off,pause:!f,section:0,value:0),time:(from:'2017-12-18T04:16:42-0700',mode:absolute,to:'2017-12-18T06:20:35-0700'))&amp;_a=(columns:!('Message%20ID',Summary),filters:!(),index:'emp_*',interval:auto,query:(query_string:(analyze_wildcard:!t,query:'%22rtdc.l.rtdc.4010%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9" t="s">
        <v>878</v>
      </c>
      <c r="B233" s="225">
        <v>4059</v>
      </c>
      <c r="C233" s="227" t="s">
        <v>192</v>
      </c>
      <c r="D233" s="227" t="s">
        <v>1021</v>
      </c>
      <c r="E233" s="226">
        <v>43087.977164351854</v>
      </c>
      <c r="F233" s="226">
        <v>43087.979490740741</v>
      </c>
      <c r="G233" s="225">
        <v>110</v>
      </c>
      <c r="H233" s="227" t="s">
        <v>1027</v>
      </c>
      <c r="I233" s="226">
        <v>43087.987743055557</v>
      </c>
      <c r="J233" s="225">
        <v>0</v>
      </c>
      <c r="K233" s="237" t="str">
        <f t="shared" si="101"/>
        <v>4059/4060</v>
      </c>
      <c r="L233" s="245" t="str">
        <f>VLOOKUP(A233,'Trips&amp;Operators'!$C$1:$G$99911,5,FALSE)</f>
        <v>GUNTHIER ERIC</v>
      </c>
      <c r="M233" s="224">
        <f t="shared" si="122"/>
        <v>8.2523148157633841E-3</v>
      </c>
      <c r="N233" s="225">
        <f t="shared" si="123"/>
        <v>11.883333334699273</v>
      </c>
      <c r="O233" s="225"/>
      <c r="P233" s="225"/>
      <c r="Q233" s="228"/>
      <c r="R233" s="242"/>
      <c r="S233" s="249">
        <f t="shared" si="121"/>
        <v>1</v>
      </c>
      <c r="T233" s="242" t="str">
        <f t="shared" si="102"/>
        <v>Southbound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8" t="str">
        <f t="shared" si="103"/>
        <v>https://d0f6bd738d7f1b3e5a7ca70fe4ff75f0.us-east-1.aws.found.io/app/kibana#/discover/Steve-Slow-Train-Analysis-(2080s-and-2083s)?_g=(refreshInterval:(display:Off,pause:!f,section:0,value:0),time:(from:'2017-12-18T22:27:07-0700',mode:absolute,to:'2017-12-19T00:42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3" s="247" t="str">
        <f>IF(AA233&lt;VLOOKUP(AG233,Variables!$AC$3:$AD$8,2,FALSE),"Y","N")</f>
        <v>Y</v>
      </c>
      <c r="X233" s="247">
        <f t="shared" si="120"/>
        <v>1</v>
      </c>
      <c r="Y233" s="247">
        <f t="shared" si="99"/>
        <v>5.8620999999999999</v>
      </c>
      <c r="Z233" s="247">
        <f t="shared" si="100"/>
        <v>0.1009</v>
      </c>
      <c r="AA233" s="247">
        <f t="shared" si="104"/>
        <v>5.7611999999999997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105"/>
        <v>82</v>
      </c>
      <c r="AE233" s="235" t="str">
        <f t="shared" si="106"/>
        <v>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 &amp; 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</v>
      </c>
      <c r="AF233" s="234" t="str">
        <f t="shared" si="107"/>
        <v>"C:\Program Files (x86)\AstroGrep\AstroGrep.exe" /e /r /s /spath="%USERPROFILE%\AppData\Local\Temp\OnboardLogs" /stypes="app*4059*20171219*" /stext=" 06:.+((SYSTEM_STATE.+slice.+state.+changed )|(ment ac)|(multiple cpu faults)|(system.+state.+changed )|(\[timeout)|(PRM\|1\|D)|(kpr)|(kdp)|(train st.+moving)|(\|lc)|(penalty))"</v>
      </c>
      <c r="AG233" s="244" t="str">
        <f t="shared" si="108"/>
        <v>Shuttle/Test</v>
      </c>
      <c r="AH233" s="236" t="str">
        <f t="shared" si="115"/>
        <v>"%USERPROFILE%\Documents\GitHub\eaglep3\Utilities\RefineRTDCRunTimes.py" --tripid 82-18 --locoid 4059 --swversion DE.1.0.9.0 --startMP 300:58621 --initTime 2017-12-18T23:27:07 --startdatetime 2017-12-18T23:30:28 --delay 110 --endMP 204:1009 --enddatetime 2017-12-18T23:42:21 --enforcementcount 0 &gt;&gt;%USERPROFILE%\Documents\GitHub\eaglep3-reporting\EC\2017-12-18-refined-times.txt</v>
      </c>
      <c r="AI233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0.1009"},{"id":17,"name":"Train ID","value":"82-18"},{"id":16,"name":"Locomotive ID","value":"4059"},{"id":130,"name":"Impact","value":""},{"id":150,"name":"Time of Event (Mountain Time)","value":"23:42:21"},{"id":151,"name":"Denver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17"/>
        <v>start /low /b %USERPROFILE%\Documents\GitHub\eaglep3\Utilities\DownloadLogsFromS3.py --loco 4059 --day 2017-12-18</v>
      </c>
      <c r="AN233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06:42:21"},{"id":29,"name":"Sharepoint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19"/>
        <v>https://d0f6bd738d7f1b3e5a7ca70fe4ff75f0.us-east-1.aws.found.io/app/kibana#/discover/Steve-Slow-Train-Analysis-(2080s-and-2083s)?_g=(refreshInterval:(display:Off,pause:!f,section:0,value:0),time:(from:'2017-12-18T22:27:07-0700',mode:absolute,to:'2017-12-19T00:42:21-0700'))&amp;_a=(columns:!('Message%20ID',Summary),filters:!(),index:'emp_*',interval:auto,query:(query_string:(analyze_wildcard:!t,query:'%22rtdc.l.rtdc.4059%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9" t="s">
        <v>880</v>
      </c>
      <c r="B234" s="225">
        <v>4060</v>
      </c>
      <c r="C234" s="227" t="s">
        <v>192</v>
      </c>
      <c r="D234" s="227" t="s">
        <v>1036</v>
      </c>
      <c r="E234" s="226">
        <v>43087.943842592591</v>
      </c>
      <c r="F234" s="226">
        <v>43087.946064814816</v>
      </c>
      <c r="G234" s="225">
        <v>64</v>
      </c>
      <c r="H234" s="227" t="s">
        <v>1037</v>
      </c>
      <c r="I234" s="226">
        <v>43087.947488425925</v>
      </c>
      <c r="J234" s="225">
        <v>0</v>
      </c>
      <c r="K234" s="237" t="str">
        <f t="shared" si="101"/>
        <v>4059/4060</v>
      </c>
      <c r="L234" s="245" t="str">
        <f>VLOOKUP(A234,'Trips&amp;Operators'!$C$1:$G$99911,5,FALSE)</f>
        <v>GUNTHIER ERIC</v>
      </c>
      <c r="M234" s="224">
        <f t="shared" si="122"/>
        <v>1.4236111092031933E-3</v>
      </c>
      <c r="N234" s="225">
        <f t="shared" si="123"/>
        <v>2.0499999972525984</v>
      </c>
      <c r="O234" s="225"/>
      <c r="P234" s="225"/>
      <c r="Q234" s="228"/>
      <c r="R234" s="242"/>
      <c r="S234" s="249">
        <f t="shared" si="121"/>
        <v>0</v>
      </c>
      <c r="T234" s="242" t="str">
        <f t="shared" si="102"/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103"/>
        <v>https://d0f6bd738d7f1b3e5a7ca70fe4ff75f0.us-east-1.aws.found.io/app/kibana#/discover/Steve-Slow-Train-Analysis-(2080s-and-2083s)?_g=(refreshInterval:(display:Off,pause:!f,section:0,value:0),time:(from:'2017-12-18T21:39:08-0700',mode:absolute,to:'2017-12-18T23:44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4" s="247" t="str">
        <f>IF(AA234&lt;VLOOKUP(AG234,Variables!$AC$3:$AD$8,2,FALSE),"Y","N")</f>
        <v>Y</v>
      </c>
      <c r="X234" s="247">
        <f t="shared" si="120"/>
        <v>1</v>
      </c>
      <c r="Y234" s="247">
        <f t="shared" si="99"/>
        <v>0.115</v>
      </c>
      <c r="Z234" s="247">
        <f t="shared" si="100"/>
        <v>0.53269999999999995</v>
      </c>
      <c r="AA234" s="247">
        <f t="shared" si="104"/>
        <v>0.41769999999999996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105"/>
        <v>83</v>
      </c>
      <c r="AE234" s="235" t="str">
        <f t="shared" si="106"/>
        <v>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 &amp; 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</v>
      </c>
      <c r="AF234" s="234" t="str">
        <f t="shared" si="107"/>
        <v>"C:\Program Files (x86)\AstroGrep\AstroGrep.exe" /e /r /s /spath="%USERPROFILE%\AppData\Local\Temp\OnboardLogs" /stypes="app*4060*20171219*" /stext=" 05:.+((SYSTEM_STATE.+slice.+state.+changed )|(ment ac)|(multiple cpu faults)|(system.+state.+changed )|(\[timeout)|(PRM\|1\|D)|(kpr)|(kdp)|(train st.+moving)|(\|lc)|(penalty))"</v>
      </c>
      <c r="AG234" s="244" t="str">
        <f t="shared" si="108"/>
        <v>Shuttle/Test</v>
      </c>
      <c r="AH234" s="236" t="str">
        <f t="shared" si="115"/>
        <v>"%USERPROFILE%\Documents\GitHub\eaglep3\Utilities\RefineRTDCRunTimes.py" --tripid 83-18 --locoid 4060 --swversion DE.1.0.9.0 --startMP 204:1150 --initTime 2017-12-18T22:39:08 --startdatetime 2017-12-18T22:42:20 --delay 64 --endMP 300:5327 --enddatetime 2017-12-18T22:44:23 --enforcementcount 0 &gt;&gt;%USERPROFILE%\Documents\GitHub\eaglep3-reporting\EC\2017-12-18-refined-times.txt</v>
      </c>
      <c r="AI234" s="238" t="str">
        <f t="shared" si="116"/>
        <v>echo {"issue":{"subject":"","project_id":79,"tracker_id":40,"status_id":1,"priority_id":2,"assigned_to_id":338,"start_date":"2017-12-18","description":"","custom_fields":[{"id":1,"name":"Subdivision","value":"Shuttle/Test"},{"id":4,"name":"Milepost","value":"0.5327"},{"id":17,"name":"Train ID","value":"83-18"},{"id":16,"name":"Locomotive ID","value":"4060"},{"id":130,"name":"Impact","value":""},{"id":150,"name":"Time of Event (Mountain Time)","value":"22:44:23"},{"id":151,"name":"Denver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117"/>
        <v>start /low /b %USERPROFILE%\Documents\GitHub\eaglep3\Utilities\DownloadLogsFromS3.py --loco 4060 --day 2017-12-18</v>
      </c>
      <c r="AN234" s="241" t="str">
        <f t="shared" si="118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05:44:23"},{"id":29,"name":"Sharepoint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19"/>
        <v>https://d0f6bd738d7f1b3e5a7ca70fe4ff75f0.us-east-1.aws.found.io/app/kibana#/discover/Steve-Slow-Train-Analysis-(2080s-and-2083s)?_g=(refreshInterval:(display:Off,pause:!f,section:0,value:0),time:(from:'2017-12-18T21:39:08-0700',mode:absolute,to:'2017-12-18T23:44:23-0700'))&amp;_a=(columns:!('Message%20ID',Summary),filters:!(),index:'emp_*',interval:auto,query:(query_string:(analyze_wildcard:!t,query:'%22rtdc.l.rtdc.4060%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</sheetData>
  <autoFilter ref="A12:AG515">
    <sortState ref="A13:AG515">
      <sortCondition ref="AG13:AG234"/>
      <sortCondition ref="AD13:AD234"/>
    </sortState>
  </autoFilter>
  <sortState ref="A13:AN420">
    <sortCondition ref="AG13:AG420"/>
    <sortCondition ref="AD13:AD420"/>
  </sortState>
  <mergeCells count="1">
    <mergeCell ref="A11:P11"/>
  </mergeCells>
  <conditionalFormatting sqref="W11:W12 W521:X1048576 W13:X234">
    <cfRule type="cellIs" dxfId="10" priority="472" operator="equal">
      <formula>"Y"</formula>
    </cfRule>
  </conditionalFormatting>
  <conditionalFormatting sqref="X521:X1048576 X13:X234">
    <cfRule type="cellIs" dxfId="9" priority="455" operator="greaterThan">
      <formula>1</formula>
    </cfRule>
  </conditionalFormatting>
  <conditionalFormatting sqref="X521:X1048576 X12:X234">
    <cfRule type="cellIs" dxfId="8" priority="452" operator="equal">
      <formula>0</formula>
    </cfRule>
  </conditionalFormatting>
  <conditionalFormatting sqref="A13:S234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3"/>
  <sheetViews>
    <sheetView tabSelected="1" topLeftCell="A2" zoomScaleNormal="100" workbookViewId="0">
      <selection activeCell="A15" sqref="A15:XFD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COUNTIF($O$7:$O$147,"=Y")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COUNTA($O$7:$O$147)-O2</f>
        <v>11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- 2017-12-18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43087.308171296296</v>
      </c>
      <c r="B7" s="30" t="s">
        <v>495</v>
      </c>
      <c r="C7" s="30" t="s">
        <v>666</v>
      </c>
      <c r="D7" s="30" t="s">
        <v>49</v>
      </c>
      <c r="E7" s="30" t="s">
        <v>183</v>
      </c>
      <c r="F7" s="42">
        <v>0</v>
      </c>
      <c r="G7" s="42">
        <v>189</v>
      </c>
      <c r="H7" s="42">
        <v>27004</v>
      </c>
      <c r="I7" s="42">
        <v>27261</v>
      </c>
      <c r="J7" s="30" t="s">
        <v>184</v>
      </c>
      <c r="K7" s="42">
        <v>27053</v>
      </c>
      <c r="L7" s="131" t="s">
        <v>50</v>
      </c>
      <c r="M7" s="132">
        <f t="shared" ref="M7:M23" si="0">CONVERT((I7-K7)/10000,"mi","ft")*IF(L7="Increasing Mileposts (1)",-1,1)</f>
        <v>-109.824</v>
      </c>
      <c r="N7" s="133" t="str">
        <f>VLOOKUP(C7,'Trips&amp;Operators'!$C$1:$G$99911,5,FALSE)</f>
        <v>STARKS ANGELINA</v>
      </c>
      <c r="O7" s="175" t="s">
        <v>178</v>
      </c>
      <c r="P7" s="239" t="s">
        <v>1076</v>
      </c>
      <c r="Q7" s="30"/>
      <c r="R7" s="81" t="str">
        <f>VLOOKUP(C7,'Train Runs'!$A$13:$AE$10174,31,0)</f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S7" s="84" t="str">
        <f>VLOOKUP(C7,'Train Runs'!$A$13:$AE$10174,22,0)</f>
        <v>https://d0f6bd738d7f1b3e5a7ca70fe4ff75f0.us-east-1.aws.found.io/app/kibana#/discover/Steve-Slow-Train-Analysis-(2080s-and-2083s)?_g=(refreshInterval:(display:Off,pause:!f,section:0,value:0),time:(from:'2017-12-18T06:11:42-0700',mode:absolute,to:'2017-12-18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6" t="str">
        <f t="shared" ref="T7:T2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/stypes="*4016*201712181*" /stext=" 14:.+((SYSTEM_STATE.+slice.+state.+changed )|(ment ac)|(multiple cpu faults)|(system.+state.+changed )|(\[timeout)|(PRM\|1\|D)|(kpr)|(kdp)|(train st.+moving)|(\|lc)|(penalty))"</v>
      </c>
      <c r="U7" s="9" t="str">
        <f t="shared" ref="U7:U23" si="2">MID(B7,13,4)</f>
        <v>4016</v>
      </c>
      <c r="V7" s="31">
        <f t="shared" ref="V7:V23" si="3">A7-utc_offset/24</f>
        <v>43087.59983796296</v>
      </c>
      <c r="W7" s="45" t="str">
        <f t="shared" ref="W7:W23" si="4">DetSubdiv(C7)</f>
        <v>EC</v>
      </c>
      <c r="X7" s="22">
        <f t="shared" ref="X7:X23" si="5">VALUE(LEFT(C7,LEN(C7)-3))</f>
        <v>129</v>
      </c>
      <c r="Y7" s="96" t="str">
        <f t="shared" ref="Y7:Y2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arrival","project_id":79,"tracker_id":40,"status_id":1,"priority_id":2,"assigned_to_id":338,"start_date":"2017-12-18","description":"","custom_fields":[{"id":1,"name":"Subdivision","value":"EC"},{"id":4,"name":"Milepost","value":"2.7053"},{"id":17,"name":"Train ID","value":"129-18"},{"id":16,"name":"Locomotive ID","value":"4016"},{"id":130,"name":"Impact","value":""},{"id":150,"name":"Time of Event (Mountain Time)","value":"07:23:46"},{"id":151,"name":"Denver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/c/Users/stu/AppData/Local/Temp/OnboardLogs/RTDC4016 --include="*4016*201712181*"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"%USERPROFILE%\AppData\Local\Temp\OnboardLogs"\RTDC4016\*4016*201712181* &gt;&gt; 2017-12-18-SliceDisagreementCheck.txt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4016 --day 2017-12-18</v>
      </c>
    </row>
    <row r="8" spans="1:32" s="1" customFormat="1" x14ac:dyDescent="0.25">
      <c r="A8" s="31">
        <v>43087.417303240742</v>
      </c>
      <c r="B8" s="30" t="s">
        <v>452</v>
      </c>
      <c r="C8" s="30" t="s">
        <v>678</v>
      </c>
      <c r="D8" s="30" t="s">
        <v>95</v>
      </c>
      <c r="E8" s="30" t="s">
        <v>183</v>
      </c>
      <c r="F8" s="42">
        <v>0</v>
      </c>
      <c r="G8" s="42">
        <v>153</v>
      </c>
      <c r="H8" s="42">
        <v>27347</v>
      </c>
      <c r="I8" s="42">
        <v>27209</v>
      </c>
      <c r="J8" s="30" t="s">
        <v>184</v>
      </c>
      <c r="K8" s="42">
        <v>27350</v>
      </c>
      <c r="L8" s="131" t="s">
        <v>51</v>
      </c>
      <c r="M8" s="132">
        <f t="shared" si="0"/>
        <v>-74.447999999999993</v>
      </c>
      <c r="N8" s="133" t="str">
        <f>VLOOKUP(C8,'Trips&amp;Operators'!$C$1:$G$99911,5,FALSE)</f>
        <v>THOMPSON LESTER</v>
      </c>
      <c r="O8" s="175" t="s">
        <v>178</v>
      </c>
      <c r="P8" s="239" t="s">
        <v>1076</v>
      </c>
      <c r="Q8" s="30"/>
      <c r="R8" s="81" t="str">
        <f>VLOOKUP(C8,'Train Runs'!$A$13:$AE$10174,31,0)</f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S8" s="84" t="str">
        <f>VLOOKUP(C8,'Train Runs'!$A$13:$AE$10174,22,0)</f>
        <v>https://d0f6bd738d7f1b3e5a7ca70fe4ff75f0.us-east-1.aws.found.io/app/kibana#/discover/Steve-Slow-Train-Analysis-(2080s-and-2083s)?_g=(refreshInterval:(display:Off,pause:!f,section:0,value:0),time:(from:'2017-12-18T08:28:36-0700',mode:absolute,to:'2017-12-18T11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6" t="str">
        <f t="shared" si="1"/>
        <v>"C:\Program Files (x86)\AstroGrep\AstroGrep.exe" /e /r /s /spath="%USERPROFILE%\AppData\Local\Temp\OnboardLogs" /stypes="*4051*201712181*"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4051</v>
      </c>
      <c r="V8" s="31">
        <f t="shared" si="3"/>
        <v>43087.708969907406</v>
      </c>
      <c r="W8" s="45" t="str">
        <f t="shared" si="4"/>
        <v>EC</v>
      </c>
      <c r="X8" s="228">
        <f t="shared" si="5"/>
        <v>140</v>
      </c>
      <c r="Y8" s="238" t="str">
        <f t="shared" si="6"/>
        <v>echo {"issue":{"subject":"Early arrival","project_id":79,"tracker_id":40,"status_id":1,"priority_id":2,"assigned_to_id":338,"start_date":"2017-12-18","description":"","custom_fields":[{"id":1,"name":"Subdivision","value":"EC"},{"id":4,"name":"Milepost","value":"2.735"},{"id":17,"name":"Train ID","value":"140-18"},{"id":16,"name":"Locomotive ID","value":"4051"},{"id":130,"name":"Impact","value":""},{"id":150,"name":"Time of Event (Mountain Time)","value":"10:00:55"},{"id":151,"name":"Denver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/c/Users/stu/AppData/Local/Temp/OnboardLogs/RTDC4051 --include="*4051*201712181*"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"%USERPROFILE%\AppData\Local\Temp\OnboardLogs"\RTDC4051\*4051*201712181* &gt;&gt; 2017-12-18-SliceDisagreementCheck.txt</v>
      </c>
      <c r="AE8" s="144" t="str">
        <f t="shared" ref="AE8:AE23" si="9">"start /low /b "&amp;dls3logs&amp;" --loco "&amp;U8&amp;" --day "&amp;TEXT(V8,"YYYY-MM-DD")</f>
        <v>start /low /b %USERPROFILE%\Documents\GitHub\eaglep3\Utilities\DownloadLogsFromS3.py --loco 4051 --day 2017-12-18</v>
      </c>
    </row>
    <row r="9" spans="1:32" s="1" customFormat="1" x14ac:dyDescent="0.25">
      <c r="A9" s="31">
        <v>43087.383125</v>
      </c>
      <c r="B9" s="30" t="s">
        <v>495</v>
      </c>
      <c r="C9" s="30" t="s">
        <v>676</v>
      </c>
      <c r="D9" s="30" t="s">
        <v>49</v>
      </c>
      <c r="E9" s="30" t="s">
        <v>183</v>
      </c>
      <c r="F9" s="42">
        <v>0</v>
      </c>
      <c r="G9" s="42">
        <v>210</v>
      </c>
      <c r="H9" s="42">
        <v>42671</v>
      </c>
      <c r="I9" s="42">
        <v>42943</v>
      </c>
      <c r="J9" s="30" t="s">
        <v>184</v>
      </c>
      <c r="K9" s="42">
        <v>42779</v>
      </c>
      <c r="L9" s="131" t="s">
        <v>50</v>
      </c>
      <c r="M9" s="132">
        <f t="shared" si="0"/>
        <v>-86.592000000000013</v>
      </c>
      <c r="N9" s="133" t="str">
        <f>VLOOKUP(C9,'Trips&amp;Operators'!$C$1:$G$99911,5,FALSE)</f>
        <v>STARKS ANGELINA</v>
      </c>
      <c r="O9" s="175" t="s">
        <v>178</v>
      </c>
      <c r="P9" s="239" t="s">
        <v>1076</v>
      </c>
      <c r="Q9" s="30"/>
      <c r="R9" s="81" t="str">
        <f>VLOOKUP(C9,'Train Runs'!$A$13:$AE$10174,31,0)</f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S9" s="84" t="str">
        <f>VLOOKUP(C9,'Train Runs'!$A$13:$AE$10174,22,0)</f>
        <v>https://d0f6bd738d7f1b3e5a7ca70fe4ff75f0.us-east-1.aws.found.io/app/kibana#/discover/Steve-Slow-Train-Analysis-(2080s-and-2083s)?_g=(refreshInterval:(display:Off,pause:!f,section:0,value:0),time:(from:'2017-12-18T07:53:37-0700',mode:absolute,to:'2017-12-18T10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86" t="str">
        <f t="shared" si="1"/>
        <v>"C:\Program Files (x86)\AstroGrep\AstroGrep.exe" /e /r /s /spath="%USERPROFILE%\AppData\Local\Temp\OnboardLogs" /stypes="*4016*201712181*"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4016</v>
      </c>
      <c r="V9" s="31">
        <f t="shared" si="3"/>
        <v>43087.674791666665</v>
      </c>
      <c r="W9" s="45" t="str">
        <f t="shared" si="4"/>
        <v>EC</v>
      </c>
      <c r="X9" s="228">
        <f t="shared" si="5"/>
        <v>143</v>
      </c>
      <c r="Y9" s="238" t="str">
        <f t="shared" si="6"/>
        <v>echo {"issue":{"subject":"Early arrival","project_id":79,"tracker_id":40,"status_id":1,"priority_id":2,"assigned_to_id":338,"start_date":"2017-12-18","description":"","custom_fields":[{"id":1,"name":"Subdivision","value":"EC"},{"id":4,"name":"Milepost","value":"4.2779"},{"id":17,"name":"Train ID","value":"143-18"},{"id":16,"name":"Locomotive ID","value":"4016"},{"id":130,"name":"Impact","value":""},{"id":150,"name":"Time of Event (Mountain Time)","value":"09:11:42"},{"id":151,"name":"Denver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/c/Users/stu/AppData/Local/Temp/OnboardLogs/RTDC4016 --include="*4016*201712181*"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"%USERPROFILE%\AppData\Local\Temp\OnboardLogs"\RTDC4016\*4016*201712181* &gt;&gt; 2017-12-18-SliceDisagreementCheck.txt</v>
      </c>
      <c r="AE9" s="144" t="str">
        <f t="shared" si="9"/>
        <v>start /low /b %USERPROFILE%\Documents\GitHub\eaglep3\Utilities\DownloadLogsFromS3.py --loco 4016 --day 2017-12-18</v>
      </c>
    </row>
    <row r="10" spans="1:32" x14ac:dyDescent="0.25">
      <c r="A10" s="31">
        <v>43087.763472222221</v>
      </c>
      <c r="B10" s="30" t="s">
        <v>442</v>
      </c>
      <c r="C10" s="30" t="s">
        <v>680</v>
      </c>
      <c r="D10" s="30" t="s">
        <v>49</v>
      </c>
      <c r="E10" s="30" t="s">
        <v>190</v>
      </c>
      <c r="F10" s="42">
        <v>400</v>
      </c>
      <c r="G10" s="42">
        <v>450</v>
      </c>
      <c r="H10" s="42">
        <v>17351</v>
      </c>
      <c r="I10" s="42">
        <v>17984</v>
      </c>
      <c r="J10" s="30" t="s">
        <v>191</v>
      </c>
      <c r="K10" s="42">
        <v>17867</v>
      </c>
      <c r="L10" s="131" t="s">
        <v>50</v>
      </c>
      <c r="M10" s="132">
        <f t="shared" si="0"/>
        <v>-61.776000000000003</v>
      </c>
      <c r="N10" s="133" t="str">
        <f>VLOOKUP(C10,'Trips&amp;Operators'!$C$1:$G$99911,5,FALSE)</f>
        <v>RESPASS AARON</v>
      </c>
      <c r="O10" s="175" t="s">
        <v>178</v>
      </c>
      <c r="P10" s="239"/>
      <c r="Q10" s="30"/>
      <c r="R10" s="81" t="str">
        <f>VLOOKUP(C10,'Train Runs'!$A$13:$AE$10174,31,0)</f>
        <v>aws s3 cp s3://rtdc.mdm.uploadarchive.raw/RTDC4010/ "%USERPROFILE%\AppData\Local\Temp\OnboardLogs"\RTDC4010\2017-12-18 --exclude "*" --recursive --include "*20171218*" &amp; "%USERPROFILE%\Documents\GitHub\mrs-test-scripts\Headless Mode &amp; Sideloading\WalkAndUnGZ.bat" "%USERPROFILE%\AppData\Local\Temp\OnboardLogs"\RTDC4010\2017-12-18 &amp; aws s3 cp s3://rtdc.mdm.uploadarchive.raw/RTDC4010/ "%USERPROFILE%\AppData\Local\Temp\OnboardLogs"\RTDC4010\2017-12-19 --exclude "*" --recursive --include "*20171219*" &amp; "%USERPROFILE%\Documents\GitHub\mrs-test-scripts\Headless Mode &amp; Sideloading\WalkAndUnGZ.bat" "%USERPROFILE%\AppData\Local\Temp\OnboardLogs"\RTDC4010\2017-12-19</v>
      </c>
      <c r="S10" s="84" t="str">
        <f>VLOOKUP(C10,'Train Runs'!$A$13:$AE$10174,22,0)</f>
        <v>https://d0f6bd738d7f1b3e5a7ca70fe4ff75f0.us-east-1.aws.found.io/app/kibana#/discover/Steve-Slow-Train-Analysis-(2080s-and-2083s)?_g=(refreshInterval:(display:Off,pause:!f,section:0,value:0),time:(from:'2017-12-18T17:09:57-0700',mode:absolute,to:'2017-12-18T19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86" t="str">
        <f t="shared" si="1"/>
        <v>"C:\Program Files (x86)\AstroGrep\AstroGrep.exe" /e /r /s /spath="%USERPROFILE%\AppData\Local\Temp\OnboardLogs" /stypes="*4010*201712190*"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4010</v>
      </c>
      <c r="V10" s="31">
        <f t="shared" si="3"/>
        <v>43088.055138888885</v>
      </c>
      <c r="W10" s="45" t="str">
        <f t="shared" si="4"/>
        <v>EC</v>
      </c>
      <c r="X10" s="228">
        <f t="shared" si="5"/>
        <v>217</v>
      </c>
      <c r="Y10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{"issue":{"subject":"","project_id":79,"tracker_id":40,"status_id":1,"priority_id":2,"assigned_to_id":338,"start_date":"2017-12-18","description":"","custom_fields":[{"id":1,"name":"Subdivision","value":"EC"},{"id":4,"name":"Milepost","value":"1.7867"},{"id":17,"name":"Train ID","value":"217-18"},{"id":16,"name":"Locomotive ID","value":"4010"},{"id":130,"name":"Impact","value":""},{"id":150,"name":"Time of Event (Mountain Time)","value":"18:19:24"},{"id":151,"name":"Denver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/c/Users/stu/AppData/Local/Temp/OnboardLogs/RTDC4010 --include="*4010*201712190*"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"%USERPROFILE%\AppData\Local\Temp\OnboardLogs"\RTDC4010\*4010*201712190* &gt;&gt; 2017-12-18-SliceDisagreementCheck.txt</v>
      </c>
      <c r="AE10" s="144" t="str">
        <f t="shared" si="9"/>
        <v>start /low /b %USERPROFILE%\Documents\GitHub\eaglep3\Utilities\DownloadLogsFromS3.py --loco 4010 --day 2017-12-19</v>
      </c>
      <c r="AF10" s="1"/>
    </row>
    <row r="11" spans="1:32" x14ac:dyDescent="0.25">
      <c r="A11" s="31">
        <v>43087.999837962961</v>
      </c>
      <c r="B11" s="30" t="s">
        <v>530</v>
      </c>
      <c r="C11" s="30" t="s">
        <v>682</v>
      </c>
      <c r="D11" s="30" t="s">
        <v>95</v>
      </c>
      <c r="E11" s="30" t="s">
        <v>190</v>
      </c>
      <c r="F11" s="42">
        <v>400</v>
      </c>
      <c r="G11" s="42">
        <v>450</v>
      </c>
      <c r="H11" s="42">
        <v>17852</v>
      </c>
      <c r="I11" s="42">
        <v>15117</v>
      </c>
      <c r="J11" s="30" t="s">
        <v>191</v>
      </c>
      <c r="K11" s="42">
        <v>20309</v>
      </c>
      <c r="L11" s="131" t="s">
        <v>51</v>
      </c>
      <c r="M11" s="132">
        <f t="shared" si="0"/>
        <v>-2741.3760000000002</v>
      </c>
      <c r="N11" s="133" t="str">
        <f>VLOOKUP(C11,'Trips&amp;Operators'!$C$1:$G$99911,5,FALSE)</f>
        <v>AUSTIN THOMPSON</v>
      </c>
      <c r="O11" s="175" t="s">
        <v>178</v>
      </c>
      <c r="P11" s="239"/>
      <c r="Q11" s="30"/>
      <c r="R11" s="81" t="str">
        <f>VLOOKUP(C11,'Train Runs'!$A$13:$AE$10174,31,0)</f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S11" s="84" t="str">
        <f>VLOOKUP(C11,'Train Runs'!$A$13:$AE$10174,22,0)</f>
        <v>https://d0f6bd738d7f1b3e5a7ca70fe4ff75f0.us-east-1.aws.found.io/app/kibana#/discover/Steve-Slow-Train-Analysis-(2080s-and-2083s)?_g=(refreshInterval:(display:Off,pause:!f,section:0,value:0),time:(from:'2017-12-18T22:23:56-0700',mode:absolute,to:'2017-12-19T01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/stypes="*4043*201712190*"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43088.291504629626</v>
      </c>
      <c r="W11" s="45" t="str">
        <f t="shared" si="4"/>
        <v>EC</v>
      </c>
      <c r="X11" s="228">
        <f t="shared" si="5"/>
        <v>236</v>
      </c>
      <c r="Y11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{"issue":{"subject":"","project_id":79,"tracker_id":40,"status_id":1,"priority_id":2,"assigned_to_id":338,"start_date":"2017-12-18","description":"","custom_fields":[{"id":1,"name":"Subdivision","value":"EC"},{"id":4,"name":"Milepost","value":"2.0309"},{"id":17,"name":"Train ID","value":"236-18"},{"id":16,"name":"Locomotive ID","value":"4043"},{"id":130,"name":"Impact","value":""},{"id":150,"name":"Time of Event (Mountain Time)","value":"23:59:46"},{"id":151,"name":"Denver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/c/Users/stu/AppData/Local/Temp/OnboardLogs/RTDC4043 --include="*4043*201712190*"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"%USERPROFILE%\AppData\Local\Temp\OnboardLogs"\RTDC4043\*4043*201712190* &gt;&gt; 2017-12-18-SliceDisagreementCheck.txt</v>
      </c>
      <c r="AE11" s="144" t="str">
        <f t="shared" si="9"/>
        <v>start /low /b %USERPROFILE%\Documents\GitHub\eaglep3\Utilities\DownloadLogsFromS3.py --loco 4043 --day 2017-12-19</v>
      </c>
      <c r="AF11" s="1"/>
    </row>
    <row r="12" spans="1:32" x14ac:dyDescent="0.25">
      <c r="A12" s="31">
        <v>43087.238321759258</v>
      </c>
      <c r="B12" s="30" t="s">
        <v>527</v>
      </c>
      <c r="C12" s="30" t="s">
        <v>663</v>
      </c>
      <c r="D12" s="30" t="s">
        <v>49</v>
      </c>
      <c r="E12" s="30" t="s">
        <v>190</v>
      </c>
      <c r="F12" s="42">
        <v>300</v>
      </c>
      <c r="G12" s="42">
        <v>496</v>
      </c>
      <c r="H12" s="42">
        <v>24802</v>
      </c>
      <c r="I12" s="42">
        <v>23369</v>
      </c>
      <c r="J12" s="30" t="s">
        <v>191</v>
      </c>
      <c r="K12" s="42">
        <v>21848</v>
      </c>
      <c r="L12" s="131" t="s">
        <v>51</v>
      </c>
      <c r="M12" s="132">
        <f t="shared" si="0"/>
        <v>803.08799999999997</v>
      </c>
      <c r="N12" s="133" t="str">
        <f>VLOOKUP(C12,'Trips&amp;Operators'!$C$1:$G$99911,5,FALSE)</f>
        <v>YORK EDGAR</v>
      </c>
      <c r="O12" s="175" t="s">
        <v>178</v>
      </c>
      <c r="P12" s="239"/>
      <c r="Q12" s="30"/>
      <c r="R12" s="81" t="str">
        <f>VLOOKUP(C12,'Train Runs'!$A$13:$AE$10174,31,0)</f>
        <v>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 &amp; aws s3 cp s3://rtdc.mdm.uploadarchive.raw/RTDC4033/ "%USERPROFILE%\AppData\Local\Temp\OnboardLogs"\RTDC4033\2017-12-19 --exclude "*" --recursive --include "*20171219*" &amp; "%USERPROFILE%\Documents\GitHub\mrs-test-scripts\Headless Mode &amp; Sideloading\WalkAndUnGZ.bat" "%USERPROFILE%\AppData\Local\Temp\OnboardLogs"\RTDC4033\2017-12-19</v>
      </c>
      <c r="S12" s="84" t="str">
        <f>VLOOKUP(C12,'Train Runs'!$A$13:$AE$10174,22,0)</f>
        <v>https://d0f6bd738d7f1b3e5a7ca70fe4ff75f0.us-east-1.aws.found.io/app/kibana#/discover/Steve-Slow-Train-Analysis-(2080s-and-2083s)?_g=(refreshInterval:(display:Off,pause:!f,section:0,value:0),time:(from:'2017-12-18T03:53:23-0700',mode:absolute,to:'2017-12-18T06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2" s="86" t="str">
        <f t="shared" si="1"/>
        <v>"C:\Program Files (x86)\AstroGrep\AstroGrep.exe" /e /r /s /spath="%USERPROFILE%\AppData\Local\Temp\OnboardLogs" /stypes="*4033*201712181*"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4033</v>
      </c>
      <c r="V12" s="31">
        <f t="shared" si="3"/>
        <v>43087.529988425922</v>
      </c>
      <c r="W12" s="45" t="str">
        <f t="shared" si="4"/>
        <v>EC</v>
      </c>
      <c r="X12" s="228">
        <f t="shared" si="5"/>
        <v>106</v>
      </c>
      <c r="Y12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{"issue":{"subject":"","project_id":79,"tracker_id":40,"status_id":1,"priority_id":2,"assigned_to_id":338,"start_date":"2017-12-18","description":"","custom_fields":[{"id":1,"name":"Subdivision","value":"EC"},{"id":4,"name":"Milepost","value":"2.1848"},{"id":17,"name":"Train ID","value":"106-18"},{"id":16,"name":"Locomotive ID","value":"4033"},{"id":130,"name":"Impact","value":""},{"id":150,"name":"Time of Event (Mountain Time)","value":"05:43:11"},{"id":151,"name":"Denver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/c/Users/stu/AppData/Local/Temp/OnboardLogs/RTDC4033 --include="*4033*201712181*"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"%USERPROFILE%\AppData\Local\Temp\OnboardLogs"\RTDC4033\*4033*201712181* &gt;&gt; 2017-12-18-SliceDisagreementCheck.txt</v>
      </c>
      <c r="AE12" s="144" t="str">
        <f t="shared" si="9"/>
        <v>start /low /b %USERPROFILE%\Documents\GitHub\eaglep3\Utilities\DownloadLogsFromS3.py --loco 4033 --day 2017-12-18</v>
      </c>
      <c r="AF12" s="1"/>
    </row>
    <row r="13" spans="1:32" x14ac:dyDescent="0.25">
      <c r="A13" s="31">
        <v>43087.373599537037</v>
      </c>
      <c r="B13" s="30" t="s">
        <v>673</v>
      </c>
      <c r="C13" s="30" t="s">
        <v>674</v>
      </c>
      <c r="D13" s="30" t="s">
        <v>49</v>
      </c>
      <c r="E13" s="30" t="s">
        <v>190</v>
      </c>
      <c r="F13" s="42">
        <v>300</v>
      </c>
      <c r="G13" s="42">
        <v>479</v>
      </c>
      <c r="H13" s="42">
        <v>25125</v>
      </c>
      <c r="I13" s="42">
        <v>23544</v>
      </c>
      <c r="J13" s="30" t="s">
        <v>191</v>
      </c>
      <c r="K13" s="42">
        <v>21848</v>
      </c>
      <c r="L13" s="131" t="s">
        <v>51</v>
      </c>
      <c r="M13" s="132">
        <f t="shared" si="0"/>
        <v>895.48800000000006</v>
      </c>
      <c r="N13" s="133" t="str">
        <f>VLOOKUP(C13,'Trips&amp;Operators'!$C$1:$G$99911,5,FALSE)</f>
        <v>LAMAR NEKESHA</v>
      </c>
      <c r="O13" s="175" t="s">
        <v>178</v>
      </c>
      <c r="P13" s="239"/>
      <c r="Q13" s="30"/>
      <c r="R13" s="81" t="str">
        <f>VLOOKUP(C13,'Train Runs'!$A$13:$AE$10174,31,0)</f>
        <v>aws s3 cp s3://rtdc.mdm.uploadarchive.raw/RTDC4025/ "%USERPROFILE%\AppData\Local\Temp\OnboardLogs"\RTDC4025\2017-12-18 --exclude "*" --recursive --include "*20171218*" &amp; "%USERPROFILE%\Documents\GitHub\mrs-test-scripts\Headless Mode &amp; Sideloading\WalkAndUnGZ.bat" "%USERPROFILE%\AppData\Local\Temp\OnboardLogs"\RTDC4025\2017-12-18 &amp; aws s3 cp s3://rtdc.mdm.uploadarchive.raw/RTDC4025/ "%USERPROFILE%\AppData\Local\Temp\OnboardLogs"\RTDC4025\2017-12-19 --exclude "*" --recursive --include "*20171219*" &amp; "%USERPROFILE%\Documents\GitHub\mrs-test-scripts\Headless Mode &amp; Sideloading\WalkAndUnGZ.bat" "%USERPROFILE%\AppData\Local\Temp\OnboardLogs"\RTDC4025\2017-12-19</v>
      </c>
      <c r="S13" s="84" t="str">
        <f>VLOOKUP(C13,'Train Runs'!$A$13:$AE$10174,22,0)</f>
        <v>https://d0f6bd738d7f1b3e5a7ca70fe4ff75f0.us-east-1.aws.found.io/app/kibana#/discover/Steve-Slow-Train-Analysis-(2080s-and-2083s)?_g=(refreshInterval:(display:Off,pause:!f,section:0,value:0),time:(from:'2017-12-18T07:25:02-0700',mode:absolute,to:'2017-12-18T10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/stypes="*4025*201712181*"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43087.665266203701</v>
      </c>
      <c r="W13" s="45" t="str">
        <f t="shared" si="4"/>
        <v>EC</v>
      </c>
      <c r="X13" s="228">
        <f t="shared" si="5"/>
        <v>132</v>
      </c>
      <c r="Y13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{"issue":{"subject":"","project_id":79,"tracker_id":40,"status_id":1,"priority_id":2,"assigned_to_id":338,"start_date":"2017-12-18","description":"","custom_fields":[{"id":1,"name":"Subdivision","value":"EC"},{"id":4,"name":"Milepost","value":"2.1848"},{"id":17,"name":"Train ID","value":"132-18"},{"id":16,"name":"Locomotive ID","value":"4025"},{"id":130,"name":"Impact","value":""},{"id":150,"name":"Time of Event (Mountain Time)","value":"08:57:59"},{"id":151,"name":"Denver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/c/Users/stu/AppData/Local/Temp/OnboardLogs/RTDC4025 --include="*4025*201712181*"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"%USERPROFILE%\AppData\Local\Temp\OnboardLogs"\RTDC4025\*4025*201712181* &gt;&gt; 2017-12-18-SliceDisagreementCheck.txt</v>
      </c>
      <c r="AE13" s="144" t="str">
        <f t="shared" si="9"/>
        <v>start /low /b %USERPROFILE%\Documents\GitHub\eaglep3\Utilities\DownloadLogsFromS3.py --loco 4025 --day 2017-12-18</v>
      </c>
      <c r="AF13" s="1"/>
    </row>
    <row r="14" spans="1:32" x14ac:dyDescent="0.25">
      <c r="A14" s="31">
        <v>43087.333275462966</v>
      </c>
      <c r="B14" s="30" t="s">
        <v>443</v>
      </c>
      <c r="C14" s="30" t="s">
        <v>668</v>
      </c>
      <c r="D14" s="30" t="s">
        <v>95</v>
      </c>
      <c r="E14" s="30" t="s">
        <v>190</v>
      </c>
      <c r="F14" s="42">
        <v>350</v>
      </c>
      <c r="G14" s="42">
        <v>431</v>
      </c>
      <c r="H14" s="42">
        <v>229013</v>
      </c>
      <c r="I14" s="42">
        <v>221822</v>
      </c>
      <c r="J14" s="30" t="s">
        <v>191</v>
      </c>
      <c r="K14" s="42">
        <v>230436</v>
      </c>
      <c r="L14" s="131" t="s">
        <v>51</v>
      </c>
      <c r="M14" s="132">
        <f t="shared" si="0"/>
        <v>-4548.192</v>
      </c>
      <c r="N14" s="133" t="str">
        <f>VLOOKUP(C14,'Trips&amp;Operators'!$C$1:$G$99911,5,FALSE)</f>
        <v>DAVIDSON DAVID</v>
      </c>
      <c r="O14" s="175" t="s">
        <v>178</v>
      </c>
      <c r="P14" s="239"/>
      <c r="Q14" s="30"/>
      <c r="R14" s="81" t="str">
        <f>VLOOKUP(C14,'Train Runs'!$A$13:$AE$10174,31,0)</f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S14" s="84" t="str">
        <f>VLOOKUP(C14,'Train Runs'!$A$13:$AE$10174,22,0)</f>
        <v>https://d0f6bd738d7f1b3e5a7ca70fe4ff75f0.us-east-1.aws.found.io/app/kibana#/discover/Steve-Slow-Train-Analysis-(2080s-and-2083s)?_g=(refreshInterval:(display:Off,pause:!f,section:0,value:0),time:(from:'2017-12-18T06:40:00-0700',mode:absolute,to:'2017-12-18T09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 t="shared" si="1"/>
        <v>"C:\Program Files (x86)\AstroGrep\AstroGrep.exe" /e /r /s /spath="%USERPROFILE%\AppData\Local\Temp\OnboardLogs" /stypes="*4049*201712181*"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43087.624942129631</v>
      </c>
      <c r="W14" s="45" t="str">
        <f t="shared" si="4"/>
        <v>EC</v>
      </c>
      <c r="X14" s="228">
        <f t="shared" si="5"/>
        <v>128</v>
      </c>
      <c r="Y14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{"issue":{"subject":"","project_id":79,"tracker_id":40,"status_id":1,"priority_id":2,"assigned_to_id":338,"start_date":"2017-12-18","description":"","custom_fields":[{"id":1,"name":"Subdivision","value":"EC"},{"id":4,"name":"Milepost","value":"23.0436"},{"id":17,"name":"Train ID","value":"128-18"},{"id":16,"name":"Locomotive ID","value":"4049"},{"id":130,"name":"Impact","value":""},{"id":150,"name":"Time of Event (Mountain Time)","value":"07:59:55"},{"id":151,"name":"Denver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/c/Users/stu/AppData/Local/Temp/OnboardLogs/RTDC4049 --include="*4049*201712181*"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"%USERPROFILE%\AppData\Local\Temp\OnboardLogs"\RTDC4049\*4049*201712181* &gt;&gt; 2017-12-18-SliceDisagreementCheck.txt</v>
      </c>
      <c r="AE14" s="144" t="str">
        <f t="shared" si="9"/>
        <v>start /low /b %USERPROFILE%\Documents\GitHub\eaglep3\Utilities\DownloadLogsFromS3.py --loco 4049 --day 2017-12-18</v>
      </c>
      <c r="AF14" s="1"/>
    </row>
    <row r="15" spans="1:32" x14ac:dyDescent="0.25">
      <c r="A15" s="31">
        <v>43087.269421296296</v>
      </c>
      <c r="B15" s="30" t="s">
        <v>493</v>
      </c>
      <c r="C15" s="30" t="s">
        <v>665</v>
      </c>
      <c r="D15" s="30" t="s">
        <v>49</v>
      </c>
      <c r="E15" s="30" t="s">
        <v>190</v>
      </c>
      <c r="F15" s="42">
        <v>150</v>
      </c>
      <c r="G15" s="42">
        <v>201</v>
      </c>
      <c r="H15" s="42">
        <v>231284</v>
      </c>
      <c r="I15" s="42">
        <v>230952</v>
      </c>
      <c r="J15" s="30" t="s">
        <v>191</v>
      </c>
      <c r="K15" s="42">
        <v>231269</v>
      </c>
      <c r="L15" s="131" t="s">
        <v>51</v>
      </c>
      <c r="M15" s="132">
        <f t="shared" si="0"/>
        <v>-167.376</v>
      </c>
      <c r="N15" s="133" t="str">
        <f>VLOOKUP(C15,'Trips&amp;Operators'!$C$1:$G$99911,5,FALSE)</f>
        <v>STARKS ANGELINA</v>
      </c>
      <c r="O15" s="175" t="s">
        <v>178</v>
      </c>
      <c r="P15" s="239"/>
      <c r="Q15" s="30"/>
      <c r="R15" s="81" t="str">
        <f>VLOOKUP(C15,'Train Runs'!$A$13:$AE$10174,31,0)</f>
        <v>aws s3 cp s3://rtdc.mdm.uploadarchive.raw/RTDC4015/ "%USERPROFILE%\AppData\Local\Temp\OnboardLogs"\RTDC4015\2017-12-18 --exclude "*" --recursive --include "*20171218*" &amp; "%USERPROFILE%\Documents\GitHub\mrs-test-scripts\Headless Mode &amp; Sideloading\WalkAndUnGZ.bat" "%USERPROFILE%\AppData\Local\Temp\OnboardLogs"\RTDC4015\2017-12-18 &amp; aws s3 cp s3://rtdc.mdm.uploadarchive.raw/RTDC4015/ "%USERPROFILE%\AppData\Local\Temp\OnboardLogs"\RTDC4015\2017-12-19 --exclude "*" --recursive --include "*20171219*" &amp; "%USERPROFILE%\Documents\GitHub\mrs-test-scripts\Headless Mode &amp; Sideloading\WalkAndUnGZ.bat" "%USERPROFILE%\AppData\Local\Temp\OnboardLogs"\RTDC4015\2017-12-19</v>
      </c>
      <c r="S15" s="84" t="str">
        <f>VLOOKUP(C15,'Train Runs'!$A$13:$AE$10174,22,0)</f>
        <v>https://d0f6bd738d7f1b3e5a7ca70fe4ff75f0.us-east-1.aws.found.io/app/kibana#/discover/Steve-Slow-Train-Analysis-(2080s-and-2083s)?_g=(refreshInterval:(display:Off,pause:!f,section:0,value:0),time:(from:'2017-12-18T05:25:11-0700',mode:absolute,to:'2017-12-18T08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 t="shared" si="1"/>
        <v>"C:\Program Files (x86)\AstroGrep\AstroGrep.exe" /e /r /s /spath="%USERPROFILE%\AppData\Local\Temp\OnboardLogs" /stypes="*4015*201712181*"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4015</v>
      </c>
      <c r="V15" s="31">
        <f t="shared" si="3"/>
        <v>43087.56108796296</v>
      </c>
      <c r="W15" s="45" t="str">
        <f t="shared" si="4"/>
        <v>EC</v>
      </c>
      <c r="X15" s="228">
        <f t="shared" si="5"/>
        <v>116</v>
      </c>
      <c r="Y15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{"issue":{"subject":"","project_id":79,"tracker_id":40,"status_id":1,"priority_id":2,"assigned_to_id":338,"start_date":"2017-12-18","description":"","custom_fields":[{"id":1,"name":"Subdivision","value":"EC"},{"id":4,"name":"Milepost","value":"23.1269"},{"id":17,"name":"Train ID","value":"116-18"},{"id":16,"name":"Locomotive ID","value":"4015"},{"id":130,"name":"Impact","value":""},{"id":150,"name":"Time of Event (Mountain Time)","value":"06:27:58"},{"id":151,"name":"Denver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/c/Users/stu/AppData/Local/Temp/OnboardLogs/RTDC4015 --include="*4015*201712181*"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"%USERPROFILE%\AppData\Local\Temp\OnboardLogs"\RTDC4015\*4015*201712181* &gt;&gt; 2017-12-18-SliceDisagreementCheck.txt</v>
      </c>
      <c r="AE15" s="144" t="str">
        <f t="shared" si="9"/>
        <v>start /low /b %USERPROFILE%\Documents\GitHub\eaglep3\Utilities\DownloadLogsFromS3.py --loco 4015 --day 2017-12-18</v>
      </c>
      <c r="AF15" s="1"/>
    </row>
    <row r="16" spans="1:32" x14ac:dyDescent="0.25">
      <c r="A16" s="31">
        <v>43087.189976851849</v>
      </c>
      <c r="B16" s="30" t="s">
        <v>528</v>
      </c>
      <c r="C16" s="30" t="s">
        <v>661</v>
      </c>
      <c r="D16" s="30" t="s">
        <v>49</v>
      </c>
      <c r="E16" s="30" t="s">
        <v>354</v>
      </c>
      <c r="F16" s="42">
        <v>0</v>
      </c>
      <c r="G16" s="42">
        <v>646</v>
      </c>
      <c r="H16" s="42">
        <v>93614</v>
      </c>
      <c r="I16" s="42">
        <v>96359</v>
      </c>
      <c r="J16" s="30" t="s">
        <v>355</v>
      </c>
      <c r="K16" s="42">
        <v>95978</v>
      </c>
      <c r="L16" s="131" t="s">
        <v>50</v>
      </c>
      <c r="M16" s="132">
        <f t="shared" si="0"/>
        <v>-201.16800000000001</v>
      </c>
      <c r="N16" s="133" t="str">
        <f>VLOOKUP(C16,'Trips&amp;Operators'!$C$1:$G$99911,5,FALSE)</f>
        <v>YORK EDGAR</v>
      </c>
      <c r="O16" s="175" t="s">
        <v>348</v>
      </c>
      <c r="P16" s="239" t="s">
        <v>470</v>
      </c>
      <c r="Q16" s="30"/>
      <c r="R16" s="81" t="str">
        <f>VLOOKUP(C16,'Train Runs'!$A$13:$AE$10174,31,0)</f>
        <v>aws s3 cp s3://rtdc.mdm.uploadarchive.raw/RTDC4034/ "%USERPROFILE%\AppData\Local\Temp\OnboardLogs"\RTDC4034\2017-12-18 --exclude "*" --recursive --include "*20171218*" &amp; "%USERPROFILE%\Documents\GitHub\mrs-test-scripts\Headless Mode &amp; Sideloading\WalkAndUnGZ.bat" "%USERPROFILE%\AppData\Local\Temp\OnboardLogs"\RTDC4034\2017-12-18 &amp; aws s3 cp s3://rtdc.mdm.uploadarchive.raw/RTDC4034/ "%USERPROFILE%\AppData\Local\Temp\OnboardLogs"\RTDC4034\2017-12-19 --exclude "*" --recursive --include "*20171219*" &amp; "%USERPROFILE%\Documents\GitHub\mrs-test-scripts\Headless Mode &amp; Sideloading\WalkAndUnGZ.bat" "%USERPROFILE%\AppData\Local\Temp\OnboardLogs"\RTDC4034\2017-12-19</v>
      </c>
      <c r="S16" s="84" t="str">
        <f>VLOOKUP(C16,'Train Runs'!$A$13:$AE$10174,22,0)</f>
        <v>https://d0f6bd738d7f1b3e5a7ca70fe4ff75f0.us-east-1.aws.found.io/app/kibana#/discover/Steve-Slow-Train-Analysis-(2080s-and-2083s)?_g=(refreshInterval:(display:Off,pause:!f,section:0,value:0),time:(from:'2017-12-18T02:52:05-0700',mode:absolute,to:'2017-12-18T05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6" s="86" t="str">
        <f t="shared" si="1"/>
        <v>"C:\Program Files (x86)\AstroGrep\AstroGrep.exe" /e /r /s /spath="%USERPROFILE%\AppData\Local\Temp\OnboardLogs" /stypes="*4034*201712181*"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4034</v>
      </c>
      <c r="V16" s="31">
        <f t="shared" si="3"/>
        <v>43087.481643518513</v>
      </c>
      <c r="W16" s="45" t="str">
        <f t="shared" si="4"/>
        <v>EC</v>
      </c>
      <c r="X16" s="228">
        <f t="shared" si="5"/>
        <v>105</v>
      </c>
      <c r="Y16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drop","project_id":79,"tracker_id":40,"status_id":1,"priority_id":2,"assigned_to_id":338,"start_date":"2017-12-18","description":"","custom_fields":[{"id":1,"name":"Subdivision","value":"EC"},{"id":4,"name":"Milepost","value":"9.5978"},{"id":17,"name":"Train ID","value":"105-18"},{"id":16,"name":"Locomotive ID","value":"4034"},{"id":130,"name":"Impact","value":""},{"id":150,"name":"Time of Event (Mountain Time)","value":"04:33:34"},{"id":151,"name":"Denver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/c/Users/stu/AppData/Local/Temp/OnboardLogs/RTDC4034 --include="*4034*201712181*"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"%USERPROFILE%\AppData\Local\Temp\OnboardLogs"\RTDC4034\*4034*201712181* &gt;&gt; 2017-12-18-SliceDisagreementCheck.txt</v>
      </c>
      <c r="AE16" s="144" t="str">
        <f t="shared" si="9"/>
        <v>start /low /b %USERPROFILE%\Documents\GitHub\eaglep3\Utilities\DownloadLogsFromS3.py --loco 4034 --day 2017-12-18</v>
      </c>
      <c r="AF16" s="1"/>
    </row>
    <row r="17" spans="1:32" x14ac:dyDescent="0.25">
      <c r="A17" s="31">
        <v>43087.240023148152</v>
      </c>
      <c r="B17" s="30" t="s">
        <v>530</v>
      </c>
      <c r="C17" s="30" t="s">
        <v>664</v>
      </c>
      <c r="D17" s="30" t="s">
        <v>49</v>
      </c>
      <c r="E17" s="30" t="s">
        <v>354</v>
      </c>
      <c r="F17" s="42">
        <v>0</v>
      </c>
      <c r="G17" s="42">
        <v>790</v>
      </c>
      <c r="H17" s="42">
        <v>99985</v>
      </c>
      <c r="I17" s="42">
        <v>96156</v>
      </c>
      <c r="J17" s="30" t="s">
        <v>355</v>
      </c>
      <c r="K17" s="42">
        <v>95986</v>
      </c>
      <c r="L17" s="131" t="s">
        <v>51</v>
      </c>
      <c r="M17" s="132">
        <f t="shared" si="0"/>
        <v>89.76</v>
      </c>
      <c r="N17" s="133" t="str">
        <f>VLOOKUP(C17,'Trips&amp;Operators'!$C$1:$G$99911,5,FALSE)</f>
        <v>DELGADO DIANAH</v>
      </c>
      <c r="O17" s="175" t="s">
        <v>348</v>
      </c>
      <c r="P17" s="239" t="s">
        <v>470</v>
      </c>
      <c r="Q17" s="30"/>
      <c r="R17" s="81" t="str">
        <f>VLOOKUP(C17,'Train Runs'!$A$13:$AE$10174,31,0)</f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S17" s="84" t="str">
        <f>VLOOKUP(C17,'Train Runs'!$A$13:$AE$10174,22,0)</f>
        <v>https://d0f6bd738d7f1b3e5a7ca70fe4ff75f0.us-east-1.aws.found.io/app/kibana#/discover/Steve-Slow-Train-Analysis-(2080s-and-2083s)?_g=(refreshInterval:(display:Off,pause:!f,section:0,value:0),time:(from:'2017-12-18T04:08:25-0700',mode:absolute,to:'2017-12-18T07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/stypes="*4043*201712181*"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43087.531689814816</v>
      </c>
      <c r="W17" s="45" t="str">
        <f t="shared" si="4"/>
        <v>EC</v>
      </c>
      <c r="X17" s="228">
        <f t="shared" si="5"/>
        <v>108</v>
      </c>
      <c r="Y17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drop","project_id":79,"tracker_id":40,"status_id":1,"priority_id":2,"assigned_to_id":338,"start_date":"2017-12-18","description":"","custom_fields":[{"id":1,"name":"Subdivision","value":"EC"},{"id":4,"name":"Milepost","value":"9.5986"},{"id":17,"name":"Train ID","value":"108-18"},{"id":16,"name":"Locomotive ID","value":"4043"},{"id":130,"name":"Impact","value":""},{"id":150,"name":"Time of Event (Mountain Time)","value":"05:45:38"},{"id":151,"name":"Denver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/c/Users/stu/AppData/Local/Temp/OnboardLogs/RTDC4043 --include="*4043*201712181*"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"%USERPROFILE%\AppData\Local\Temp\OnboardLogs"\RTDC4043\*4043*201712181* &gt;&gt; 2017-12-18-SliceDisagreementCheck.txt</v>
      </c>
      <c r="AE17" s="144" t="str">
        <f t="shared" si="9"/>
        <v>start /low /b %USERPROFILE%\Documents\GitHub\eaglep3\Utilities\DownloadLogsFromS3.py --loco 4043 --day 2017-12-18</v>
      </c>
      <c r="AF17" s="1"/>
    </row>
    <row r="18" spans="1:32" x14ac:dyDescent="0.25">
      <c r="A18" s="31">
        <v>43087.334837962961</v>
      </c>
      <c r="B18" s="30" t="s">
        <v>443</v>
      </c>
      <c r="C18" s="30" t="s">
        <v>668</v>
      </c>
      <c r="D18" s="30" t="s">
        <v>49</v>
      </c>
      <c r="E18" s="30" t="s">
        <v>354</v>
      </c>
      <c r="F18" s="42">
        <v>0</v>
      </c>
      <c r="G18" s="42">
        <v>97</v>
      </c>
      <c r="H18" s="42">
        <v>220195</v>
      </c>
      <c r="I18" s="42">
        <v>220056</v>
      </c>
      <c r="J18" s="30" t="s">
        <v>355</v>
      </c>
      <c r="K18" s="42">
        <v>219875</v>
      </c>
      <c r="L18" s="131" t="s">
        <v>51</v>
      </c>
      <c r="M18" s="132">
        <f t="shared" si="0"/>
        <v>95.567999999999998</v>
      </c>
      <c r="N18" s="133" t="str">
        <f>VLOOKUP(C18,'Trips&amp;Operators'!$C$1:$G$99911,5,FALSE)</f>
        <v>DAVIDSON DAVID</v>
      </c>
      <c r="O18" s="175" t="s">
        <v>348</v>
      </c>
      <c r="P18" s="239" t="s">
        <v>470</v>
      </c>
      <c r="Q18" s="30"/>
      <c r="R18" s="81" t="str">
        <f>VLOOKUP(C18,'Train Runs'!$A$13:$AE$10174,31,0)</f>
        <v>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 &amp; aws s3 cp s3://rtdc.mdm.uploadarchive.raw/RTDC4049/ "%USERPROFILE%\AppData\Local\Temp\OnboardLogs"\RTDC4049\2017-12-19 --exclude "*" --recursive --include "*20171219*" &amp; "%USERPROFILE%\Documents\GitHub\mrs-test-scripts\Headless Mode &amp; Sideloading\WalkAndUnGZ.bat" "%USERPROFILE%\AppData\Local\Temp\OnboardLogs"\RTDC4049\2017-12-19</v>
      </c>
      <c r="S18" s="84" t="str">
        <f>VLOOKUP(C18,'Train Runs'!$A$13:$AE$10174,22,0)</f>
        <v>https://d0f6bd738d7f1b3e5a7ca70fe4ff75f0.us-east-1.aws.found.io/app/kibana#/discover/Steve-Slow-Train-Analysis-(2080s-and-2083s)?_g=(refreshInterval:(display:Off,pause:!f,section:0,value:0),time:(from:'2017-12-18T06:40:00-0700',mode:absolute,to:'2017-12-18T09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6" t="str">
        <f t="shared" si="1"/>
        <v>"C:\Program Files (x86)\AstroGrep\AstroGrep.exe" /e /r /s /spath="%USERPROFILE%\AppData\Local\Temp\OnboardLogs" /stypes="*4049*201712181*"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43087.626504629625</v>
      </c>
      <c r="W18" s="45" t="str">
        <f t="shared" si="4"/>
        <v>EC</v>
      </c>
      <c r="X18" s="228">
        <f t="shared" si="5"/>
        <v>128</v>
      </c>
      <c r="Y18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drop","project_id":79,"tracker_id":40,"status_id":1,"priority_id":2,"assigned_to_id":338,"start_date":"2017-12-18","description":"","custom_fields":[{"id":1,"name":"Subdivision","value":"EC"},{"id":4,"name":"Milepost","value":"21.9875"},{"id":17,"name":"Train ID","value":"128-18"},{"id":16,"name":"Locomotive ID","value":"4049"},{"id":130,"name":"Impact","value":""},{"id":150,"name":"Time of Event (Mountain Time)","value":"08:02:10"},{"id":151,"name":"Denver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/c/Users/stu/AppData/Local/Temp/OnboardLogs/RTDC4049 --include="*4049*201712181*"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"%USERPROFILE%\AppData\Local\Temp\OnboardLogs"\RTDC4049\*4049*201712181* &gt;&gt; 2017-12-18-SliceDisagreementCheck.txt</v>
      </c>
      <c r="AE18" s="144" t="str">
        <f t="shared" si="9"/>
        <v>start /low /b %USERPROFILE%\Documents\GitHub\eaglep3\Utilities\DownloadLogsFromS3.py --loco 4049 --day 2017-12-18</v>
      </c>
      <c r="AF18" s="1"/>
    </row>
    <row r="19" spans="1:32" x14ac:dyDescent="0.25">
      <c r="A19" s="31">
        <v>43087.386076388888</v>
      </c>
      <c r="B19" s="30" t="s">
        <v>530</v>
      </c>
      <c r="C19" s="30" t="s">
        <v>677</v>
      </c>
      <c r="D19" s="30" t="s">
        <v>49</v>
      </c>
      <c r="E19" s="30" t="s">
        <v>448</v>
      </c>
      <c r="F19" s="42">
        <v>0</v>
      </c>
      <c r="G19" s="42">
        <v>217</v>
      </c>
      <c r="H19" s="42">
        <v>110770</v>
      </c>
      <c r="I19" s="42">
        <v>0</v>
      </c>
      <c r="J19" s="30" t="s">
        <v>449</v>
      </c>
      <c r="K19" s="42">
        <v>110617</v>
      </c>
      <c r="L19" s="131" t="s">
        <v>51</v>
      </c>
      <c r="M19" s="132">
        <f t="shared" si="0"/>
        <v>-58405.775999999998</v>
      </c>
      <c r="N19" s="133" t="str">
        <f>VLOOKUP(C19,'Trips&amp;Operators'!$C$1:$G$99911,5,FALSE)</f>
        <v>DELGADO DIANAH</v>
      </c>
      <c r="O19" s="175" t="s">
        <v>348</v>
      </c>
      <c r="P19" s="239" t="s">
        <v>470</v>
      </c>
      <c r="Q19" s="30"/>
      <c r="R19" s="81" t="str">
        <f>VLOOKUP(C19,'Train Runs'!$A$13:$AE$10174,31,0)</f>
        <v>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 &amp; aws s3 cp s3://rtdc.mdm.uploadarchive.raw/RTDC4043/ "%USERPROFILE%\AppData\Local\Temp\OnboardLogs"\RTDC4043\2017-12-19 --exclude "*" --recursive --include "*20171219*" &amp; "%USERPROFILE%\Documents\GitHub\mrs-test-scripts\Headless Mode &amp; Sideloading\WalkAndUnGZ.bat" "%USERPROFILE%\AppData\Local\Temp\OnboardLogs"\RTDC4043\2017-12-19</v>
      </c>
      <c r="S19" s="84" t="str">
        <f>VLOOKUP(C19,'Train Runs'!$A$13:$AE$10174,22,0)</f>
        <v>https://d0f6bd738d7f1b3e5a7ca70fe4ff75f0.us-east-1.aws.found.io/app/kibana#/discover/Steve-Slow-Train-Analysis-(2080s-and-2083s)?_g=(refreshInterval:(display:Off,pause:!f,section:0,value:0),time:(from:'2017-12-18T07:42:43-0700',mode:absolute,to:'2017-12-18T10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/stypes="*4043*201712181*"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43087.677743055552</v>
      </c>
      <c r="W19" s="45" t="str">
        <f t="shared" si="4"/>
        <v>EC</v>
      </c>
      <c r="X19" s="228">
        <f t="shared" si="5"/>
        <v>136</v>
      </c>
      <c r="Y19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drop","project_id":79,"tracker_id":40,"status_id":1,"priority_id":2,"assigned_to_id":338,"start_date":"2017-12-18","description":"","custom_fields":[{"id":1,"name":"Subdivision","value":"EC"},{"id":4,"name":"Milepost","value":"11.0617"},{"id":17,"name":"Train ID","value":"136-18"},{"id":16,"name":"Locomotive ID","value":"4043"},{"id":130,"name":"Impact","value":""},{"id":150,"name":"Time of Event (Mountain Time)","value":"09:15:57"},{"id":151,"name":"Denver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/c/Users/stu/AppData/Local/Temp/OnboardLogs/RTDC4043 --include="*4043*201712181*"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"%USERPROFILE%\AppData\Local\Temp\OnboardLogs"\RTDC4043\*4043*201712181* &gt;&gt; 2017-12-18-SliceDisagreementCheck.txt</v>
      </c>
      <c r="AE19" s="144" t="str">
        <f t="shared" si="9"/>
        <v>start /low /b %USERPROFILE%\Documents\GitHub\eaglep3\Utilities\DownloadLogsFromS3.py --loco 4043 --day 2017-12-18</v>
      </c>
      <c r="AF19" s="1"/>
    </row>
    <row r="20" spans="1:32" x14ac:dyDescent="0.25">
      <c r="A20" s="31">
        <v>43087.171886574077</v>
      </c>
      <c r="B20" s="30" t="s">
        <v>495</v>
      </c>
      <c r="C20" s="30" t="s">
        <v>660</v>
      </c>
      <c r="D20" s="30" t="s">
        <v>49</v>
      </c>
      <c r="E20" s="30" t="s">
        <v>448</v>
      </c>
      <c r="F20" s="42">
        <v>0</v>
      </c>
      <c r="G20" s="42">
        <v>529</v>
      </c>
      <c r="H20" s="42">
        <v>125025</v>
      </c>
      <c r="I20" s="42">
        <v>126722</v>
      </c>
      <c r="J20" s="30" t="s">
        <v>449</v>
      </c>
      <c r="K20" s="42">
        <v>126678</v>
      </c>
      <c r="L20" s="131" t="s">
        <v>50</v>
      </c>
      <c r="M20" s="132">
        <f t="shared" si="0"/>
        <v>-23.231999999999999</v>
      </c>
      <c r="N20" s="133" t="str">
        <f>VLOOKUP(C20,'Trips&amp;Operators'!$C$1:$G$99911,5,FALSE)</f>
        <v>STARKS ANGELINA</v>
      </c>
      <c r="O20" s="175" t="s">
        <v>348</v>
      </c>
      <c r="P20" s="239" t="s">
        <v>470</v>
      </c>
      <c r="Q20" s="30"/>
      <c r="R20" s="81" t="str">
        <f>VLOOKUP(C20,'Train Runs'!$A$13:$AE$10174,31,0)</f>
        <v>aws s3 cp s3://rtdc.mdm.uploadarchive.raw/RTDC4016/ "%USERPROFILE%\AppData\Local\Temp\OnboardLogs"\RTDC4016\2017-12-18 --exclude "*" --recursive --include "*20171218*" &amp; "%USERPROFILE%\Documents\GitHub\mrs-test-scripts\Headless Mode &amp; Sideloading\WalkAndUnGZ.bat" "%USERPROFILE%\AppData\Local\Temp\OnboardLogs"\RTDC4016\2017-12-18 &amp; aws s3 cp s3://rtdc.mdm.uploadarchive.raw/RTDC4016/ "%USERPROFILE%\AppData\Local\Temp\OnboardLogs"\RTDC4016\2017-12-19 --exclude "*" --recursive --include "*20171219*" &amp; "%USERPROFILE%\Documents\GitHub\mrs-test-scripts\Headless Mode &amp; Sideloading\WalkAndUnGZ.bat" "%USERPROFILE%\AppData\Local\Temp\OnboardLogs"\RTDC4016\2017-12-19</v>
      </c>
      <c r="S20" s="84" t="str">
        <f>VLOOKUP(C20,'Train Runs'!$A$13:$AE$10174,22,0)</f>
        <v>https://d0f6bd738d7f1b3e5a7ca70fe4ff75f0.us-east-1.aws.found.io/app/kibana#/discover/Steve-Slow-Train-Analysis-(2080s-and-2083s)?_g=(refreshInterval:(display:Off,pause:!f,section:0,value:0),time:(from:'2017-12-18T02:38:23-0700',mode:absolute,to:'2017-12-18T05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0" s="86" t="str">
        <f t="shared" si="1"/>
        <v>"C:\Program Files (x86)\AstroGrep\AstroGrep.exe" /e /r /s /spath="%USERPROFILE%\AppData\Local\Temp\OnboardLogs" /stypes="*4016*201712181*"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4016</v>
      </c>
      <c r="V20" s="31">
        <f t="shared" si="3"/>
        <v>43087.463553240741</v>
      </c>
      <c r="W20" s="45" t="str">
        <f t="shared" si="4"/>
        <v>EC</v>
      </c>
      <c r="X20" s="228">
        <f t="shared" si="5"/>
        <v>103</v>
      </c>
      <c r="Y20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drop","project_id":79,"tracker_id":40,"status_id":1,"priority_id":2,"assigned_to_id":338,"start_date":"2017-12-18","description":"","custom_fields":[{"id":1,"name":"Subdivision","value":"EC"},{"id":4,"name":"Milepost","value":"12.6678"},{"id":17,"name":"Train ID","value":"103-18"},{"id":16,"name":"Locomotive ID","value":"4016"},{"id":130,"name":"Impact","value":""},{"id":150,"name":"Time of Event (Mountain Time)","value":"04:07:31"},{"id":151,"name":"Denver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/c/Users/stu/AppData/Local/Temp/OnboardLogs/RTDC4016 --include="*4016*201712181*"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"%USERPROFILE%\AppData\Local\Temp\OnboardLogs"\RTDC4016\*4016*201712181* &gt;&gt; 2017-12-18-SliceDisagreementCheck.txt</v>
      </c>
      <c r="AE20" s="144" t="str">
        <f t="shared" si="9"/>
        <v>start /low /b %USERPROFILE%\Documents\GitHub\eaglep3\Utilities\DownloadLogsFromS3.py --loco 4016 --day 2017-12-18</v>
      </c>
      <c r="AF20" s="1"/>
    </row>
    <row r="21" spans="1:32" x14ac:dyDescent="0.25">
      <c r="A21" s="31">
        <v>43087.205231481479</v>
      </c>
      <c r="B21" s="30" t="s">
        <v>452</v>
      </c>
      <c r="C21" s="30" t="s">
        <v>662</v>
      </c>
      <c r="D21" s="30" t="s">
        <v>49</v>
      </c>
      <c r="E21" s="30" t="s">
        <v>584</v>
      </c>
      <c r="F21" s="42">
        <v>0</v>
      </c>
      <c r="G21" s="42">
        <v>165</v>
      </c>
      <c r="H21" s="42">
        <v>748</v>
      </c>
      <c r="I21" s="42">
        <v>526</v>
      </c>
      <c r="J21" s="30" t="s">
        <v>585</v>
      </c>
      <c r="K21" s="42">
        <v>1</v>
      </c>
      <c r="L21" s="131" t="s">
        <v>51</v>
      </c>
      <c r="M21" s="132">
        <f t="shared" si="0"/>
        <v>277.2</v>
      </c>
      <c r="N21" s="133" t="str">
        <f>VLOOKUP(C21,'Trips&amp;Operators'!$C$1:$G$99911,5,FALSE)</f>
        <v>THOMPSON LESTER</v>
      </c>
      <c r="O21" s="175" t="s">
        <v>178</v>
      </c>
      <c r="P21" s="239"/>
      <c r="Q21" s="30"/>
      <c r="R21" s="81" t="str">
        <f>VLOOKUP(C21,'Train Runs'!$A$13:$AE$10174,31,0)</f>
        <v>aws s3 cp s3://rtdc.mdm.uploadarchive.raw/RTDC4051/ "%USERPROFILE%\AppData\Local\Temp\OnboardLogs"\RTDC4051\2017-12-18 --exclude "*" --recursive --include "*20171218*" &amp; "%USERPROFILE%\Documents\GitHub\mrs-test-scripts\Headless Mode &amp; Sideloading\WalkAndUnGZ.bat" "%USERPROFILE%\AppData\Local\Temp\OnboardLogs"\RTDC4051\2017-12-18 &amp; aws s3 cp s3://rtdc.mdm.uploadarchive.raw/RTDC4051/ "%USERPROFILE%\AppData\Local\Temp\OnboardLogs"\RTDC4051\2017-12-19 --exclude "*" --recursive --include "*20171219*" &amp; "%USERPROFILE%\Documents\GitHub\mrs-test-scripts\Headless Mode &amp; Sideloading\WalkAndUnGZ.bat" "%USERPROFILE%\AppData\Local\Temp\OnboardLogs"\RTDC4051\2017-12-19</v>
      </c>
      <c r="S21" s="84" t="str">
        <f>VLOOKUP(C21,'Train Runs'!$A$13:$AE$10174,22,0)</f>
        <v>https://d0f6bd738d7f1b3e5a7ca70fe4ff75f0.us-east-1.aws.found.io/app/kibana#/discover/Steve-Slow-Train-Analysis-(2080s-and-2083s)?_g=(refreshInterval:(display:Off,pause:!f,section:0,value:0),time:(from:'2017-12-18T03:09:47-0700',mode:absolute,to:'2017-12-18T05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 t="shared" si="1"/>
        <v>"C:\Program Files (x86)\AstroGrep\AstroGrep.exe" /e /r /s /spath="%USERPROFILE%\AppData\Local\Temp\OnboardLogs" /stypes="*4051*201712181*"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4051</v>
      </c>
      <c r="V21" s="31">
        <f t="shared" si="3"/>
        <v>43087.496898148143</v>
      </c>
      <c r="W21" s="45" t="str">
        <f t="shared" si="4"/>
        <v>EC</v>
      </c>
      <c r="X21" s="228">
        <f t="shared" si="5"/>
        <v>102</v>
      </c>
      <c r="Y21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{"issue":{"subject":"","project_id":79,"tracker_id":40,"status_id":1,"priority_id":2,"assigned_to_id":338,"start_date":"2017-12-18","description":"","custom_fields":[{"id":1,"name":"Subdivision","value":"EC"},{"id":4,"name":"Milepost","value":"0.0001"},{"id":17,"name":"Train ID","value":"102-18"},{"id":16,"name":"Locomotive ID","value":"4051"},{"id":130,"name":"Impact","value":""},{"id":150,"name":"Time of Event (Mountain Time)","value":"04:55:32"},{"id":151,"name":"Denver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/c/Users/stu/AppData/Local/Temp/OnboardLogs/RTDC4051 --include="*4051*201712181*"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"%USERPROFILE%\AppData\Local\Temp\OnboardLogs"\RTDC4051\*4051*201712181* &gt;&gt; 2017-12-18-SliceDisagreementCheck.txt</v>
      </c>
      <c r="AE21" s="144" t="str">
        <f t="shared" si="9"/>
        <v>start /low /b %USERPROFILE%\Documents\GitHub\eaglep3\Utilities\DownloadLogsFromS3.py --loco 4051 --day 2017-12-18</v>
      </c>
      <c r="AF21" s="1"/>
    </row>
    <row r="22" spans="1:32" x14ac:dyDescent="0.25">
      <c r="A22" s="31">
        <v>43087.370046296295</v>
      </c>
      <c r="B22" s="30" t="s">
        <v>367</v>
      </c>
      <c r="C22" s="30" t="s">
        <v>672</v>
      </c>
      <c r="D22" s="30" t="s">
        <v>49</v>
      </c>
      <c r="E22" s="30" t="s">
        <v>354</v>
      </c>
      <c r="F22" s="42">
        <v>0</v>
      </c>
      <c r="G22" s="42">
        <v>104</v>
      </c>
      <c r="H22" s="42">
        <v>4806</v>
      </c>
      <c r="I22" s="42">
        <v>4582</v>
      </c>
      <c r="J22" s="30" t="s">
        <v>355</v>
      </c>
      <c r="K22" s="42">
        <v>4798</v>
      </c>
      <c r="L22" s="131" t="s">
        <v>51</v>
      </c>
      <c r="M22" s="132">
        <f t="shared" si="0"/>
        <v>-114.048</v>
      </c>
      <c r="N22" s="133" t="str">
        <f>VLOOKUP(C22,'Trips&amp;Operators'!$C$1:$G$99911,5,FALSE)</f>
        <v>YANAI IAN</v>
      </c>
      <c r="O22" s="175" t="s">
        <v>348</v>
      </c>
      <c r="P22" s="239" t="s">
        <v>1077</v>
      </c>
      <c r="Q22" s="30"/>
      <c r="R22" s="81" t="str">
        <f>VLOOKUP(C22,'Train Runs'!$A$13:$AE$10174,31,0)</f>
        <v>aws s3 cp s3://rtdc.mdm.uploadarchive.raw/RTDC4035/ "%USERPROFILE%\AppData\Local\Temp\OnboardLogs"\RTDC4035\2017-12-18 --exclude "*" --recursive --include "*20171218*" &amp; "%USERPROFILE%\Documents\GitHub\mrs-test-scripts\Headless Mode &amp; Sideloading\WalkAndUnGZ.bat" "%USERPROFILE%\AppData\Local\Temp\OnboardLogs"\RTDC4035\2017-12-18 &amp; aws s3 cp s3://rtdc.mdm.uploadarchive.raw/RTDC4035/ "%USERPROFILE%\AppData\Local\Temp\OnboardLogs"\RTDC4035\2017-12-19 --exclude "*" --recursive --include "*20171219*" &amp; "%USERPROFILE%\Documents\GitHub\mrs-test-scripts\Headless Mode &amp; Sideloading\WalkAndUnGZ.bat" "%USERPROFILE%\AppData\Local\Temp\OnboardLogs"\RTDC4035\2017-12-19</v>
      </c>
      <c r="S22" s="84" t="str">
        <f>VLOOKUP(C22,'Train Runs'!$A$13:$AE$10174,22,0)</f>
        <v>https://d0f6bd738d7f1b3e5a7ca70fe4ff75f0.us-east-1.aws.found.io/app/kibana#/discover/Steve-Slow-Train-Analysis-(2080s-and-2083s)?_g=(refreshInterval:(display:Off,pause:!f,section:0,value:0),time:(from:'2017-12-18T07:25:51-0700',mode:absolute,to:'2017-12-18T09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2" s="86" t="str">
        <f t="shared" si="1"/>
        <v>"C:\Program Files (x86)\AstroGrep\AstroGrep.exe" /e /r /s /spath="%USERPROFILE%\AppData\Local\Temp\OnboardLogs" /stypes="*4035*201712181*"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4035</v>
      </c>
      <c r="V22" s="31">
        <f t="shared" si="3"/>
        <v>43087.661712962959</v>
      </c>
      <c r="W22" s="45" t="str">
        <f t="shared" si="4"/>
        <v>NW</v>
      </c>
      <c r="X22" s="228">
        <f t="shared" si="5"/>
        <v>812</v>
      </c>
      <c r="Y22" s="238" t="str">
        <f t="shared" si="6"/>
        <v>echo {"issue":{"subject":"Poor GPS @ Wewatta","project_id":79,"tracker_id":40,"status_id":1,"priority_id":2,"assigned_to_id":338,"start_date":"2017-12-18","description":"","custom_fields":[{"id":1,"name":"Subdivision","value":"NW"},{"id":4,"name":"Milepost","value":"0.4798"},{"id":17,"name":"Train ID","value":"812-18"},{"id":16,"name":"Locomotive ID","value":"4035"},{"id":130,"name":"Impact","value":""},{"id":150,"name":"Time of Event (Mountain Time)","value":"08:52:52"},{"id":151,"name":"Denver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/c/Users/stu/AppData/Local/Temp/OnboardLogs/RTDC4035 --include="*4035*201712181*"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"%USERPROFILE%\AppData\Local\Temp\OnboardLogs"\RTDC4035\*4035*201712181* &gt;&gt; 2017-12-18-SliceDisagreementCheck.txt</v>
      </c>
      <c r="AE22" s="144" t="str">
        <f t="shared" si="9"/>
        <v>start /low /b %USERPROFILE%\Documents\GitHub\eaglep3\Utilities\DownloadLogsFromS3.py --loco 4035 --day 2017-12-18</v>
      </c>
      <c r="AF22" s="1"/>
    </row>
    <row r="23" spans="1:32" x14ac:dyDescent="0.25">
      <c r="A23" s="31">
        <v>43088.095509259256</v>
      </c>
      <c r="B23" s="30" t="s">
        <v>529</v>
      </c>
      <c r="C23" s="30" t="s">
        <v>683</v>
      </c>
      <c r="D23" s="30" t="s">
        <v>95</v>
      </c>
      <c r="E23" s="30" t="s">
        <v>354</v>
      </c>
      <c r="F23" s="42">
        <v>0</v>
      </c>
      <c r="G23" s="42">
        <v>151</v>
      </c>
      <c r="H23" s="42">
        <v>22337</v>
      </c>
      <c r="I23" s="42">
        <v>22744</v>
      </c>
      <c r="J23" s="30" t="s">
        <v>355</v>
      </c>
      <c r="K23" s="42">
        <v>22314</v>
      </c>
      <c r="L23" s="131" t="s">
        <v>50</v>
      </c>
      <c r="M23" s="132">
        <f t="shared" si="0"/>
        <v>-227.04</v>
      </c>
      <c r="N23" s="133" t="str">
        <f>VLOOKUP(C23,'Trips&amp;Operators'!$C$1:$G$99911,5,FALSE)</f>
        <v>AUSTIN THOMPSON</v>
      </c>
      <c r="O23" s="175" t="s">
        <v>178</v>
      </c>
      <c r="P23" s="239"/>
      <c r="Q23" s="30"/>
      <c r="R23" s="81" t="e">
        <f>VLOOKUP(C23,'Train Runs'!$A$13:$AE$10174,31,0)</f>
        <v>#N/A</v>
      </c>
      <c r="S23" s="84" t="e">
        <f>VLOOKUP(C23,'Train Runs'!$A$13:$AE$10174,22,0)</f>
        <v>#N/A</v>
      </c>
      <c r="T23" s="86" t="str">
        <f t="shared" si="1"/>
        <v>"C:\Program Files (x86)\AstroGrep\AstroGrep.exe" /e /r /s /spath="%USERPROFILE%\AppData\Local\Temp\OnboardLogs" /stypes="*4044*201712190*" /stext=" 09:.+((SYSTEM_STATE.+slice.+state.+changed )|(ment ac)|(multiple cpu faults)|(system.+state.+changed )|(\[timeout)|(PRM\|1\|D)|(kpr)|(kdp)|(train st.+moving)|(\|lc)|(penalty))"</v>
      </c>
      <c r="U23" s="9" t="str">
        <f t="shared" si="2"/>
        <v>4044</v>
      </c>
      <c r="V23" s="31">
        <f t="shared" si="3"/>
        <v>43088.38717592592</v>
      </c>
      <c r="W23" s="45" t="str">
        <f t="shared" si="4"/>
        <v>Other</v>
      </c>
      <c r="X23" s="228">
        <f t="shared" si="5"/>
        <v>311</v>
      </c>
      <c r="Y23" s="238" t="str">
        <f t="shared" si="6"/>
        <v>echo {"issue":{"subject":"","project_id":79,"tracker_id":40,"status_id":1,"priority_id":2,"assigned_to_id":338,"start_date":"2017-12-19","description":"","custom_fields":[{"id":1,"name":"Subdivision","value":"Other"},{"id":4,"name":"Milepost","value":"2.2314"},{"id":17,"name":"Train ID","value":"311-18"},{"id":16,"name":"Locomotive ID","value":"4044"},{"id":130,"name":"Impact","value":""},{"id":150,"name":"Time of Event (Mountain Time)","value":"02:17:32"},{"id":151,"name":"Denver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/c/Users/stu/AppData/Local/Temp/OnboardLogs/RTDC4044 --include="*4044*201712190*"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"%USERPROFILE%\AppData\Local\Temp\OnboardLogs"\RTDC4044\*4044*201712190* &gt;&gt; 2017-12-18-SliceDisagreementCheck.txt</v>
      </c>
      <c r="AE23" s="144" t="str">
        <f t="shared" si="9"/>
        <v>start /low /b %USERPROFILE%\Documents\GitHub\eaglep3\Utilities\DownloadLogsFromS3.py --loco 4044 --day 2017-12-19</v>
      </c>
      <c r="AF23" s="1"/>
    </row>
  </sheetData>
  <autoFilter ref="A6:AC14">
    <sortState ref="A7:AC23">
      <sortCondition ref="W7:W23"/>
      <sortCondition ref="E7:E23"/>
      <sortCondition ref="K7:K23"/>
      <sortCondition ref="F7:F23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2017-12-18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-18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" s="30" t="e">
        <f>VLOOKUP(B3,'Train Runs'!$A$13:$A$100171,1,FALSE)</f>
        <v>#N/A</v>
      </c>
    </row>
    <row r="4" spans="1:10" x14ac:dyDescent="0.25">
      <c r="A4" s="197"/>
      <c r="B4" s="42" t="str">
        <f>A4&amp;"-"&amp;IF(DAY(Variables!$A$2)&lt;10,0,"")&amp;DAY(Variables!$A$2)</f>
        <v>-18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Runs'!$A$13:$A$100171,1,FALSE)</f>
        <v>#N/A</v>
      </c>
    </row>
    <row r="5" spans="1:10" x14ac:dyDescent="0.25">
      <c r="A5" s="197"/>
      <c r="B5" s="42" t="str">
        <f>A5&amp;"-"&amp;IF(DAY(Variables!$A$2)&lt;10,0,"")&amp;DAY(Variables!$A$2)</f>
        <v>-18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Runs'!$A$13:$A$100171,1,FALSE)</f>
        <v>#N/A</v>
      </c>
    </row>
    <row r="6" spans="1:10" x14ac:dyDescent="0.25">
      <c r="A6" s="197"/>
      <c r="B6" s="42" t="str">
        <f>A6&amp;"-"&amp;IF(DAY(Variables!$A$2)&lt;10,0,"")&amp;DAY(Variables!$A$2)</f>
        <v>-18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Runs'!$A$13:$A$100171,1,FALSE)</f>
        <v>#N/A</v>
      </c>
    </row>
    <row r="7" spans="1:10" x14ac:dyDescent="0.25">
      <c r="A7" s="197"/>
      <c r="B7" s="42" t="str">
        <f>A7&amp;"-"&amp;IF(DAY(Variables!$A$2)&lt;10,0,"")&amp;DAY(Variables!$A$2)</f>
        <v>-18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Runs'!$A$13:$A$100171,1,FALSE)</f>
        <v>#N/A</v>
      </c>
    </row>
    <row r="8" spans="1:10" x14ac:dyDescent="0.25">
      <c r="A8" s="197"/>
      <c r="B8" s="42" t="str">
        <f>A8&amp;"-"&amp;IF(DAY(Variables!$A$2)&lt;10,0,"")&amp;DAY(Variables!$A$2)</f>
        <v>-18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Runs'!$A$13:$A$100171,1,FALSE)</f>
        <v>#N/A</v>
      </c>
    </row>
    <row r="9" spans="1:10" x14ac:dyDescent="0.25">
      <c r="A9" s="197"/>
      <c r="B9" s="42" t="str">
        <f>A9&amp;"-"&amp;IF(DAY(Variables!$A$2)&lt;10,0,"")&amp;DAY(Variables!$A$2)</f>
        <v>-18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Runs'!$A$13:$A$100171,1,FALSE)</f>
        <v>#N/A</v>
      </c>
    </row>
    <row r="10" spans="1:10" x14ac:dyDescent="0.25">
      <c r="A10" s="197"/>
      <c r="B10" s="42" t="str">
        <f>A10&amp;"-"&amp;IF(DAY(Variables!$A$2)&lt;10,0,"")&amp;DAY(Variables!$A$2)</f>
        <v>-18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Runs'!$A$13:$A$100171,1,FALSE)</f>
        <v>#N/A</v>
      </c>
    </row>
    <row r="11" spans="1:10" x14ac:dyDescent="0.25">
      <c r="A11" s="197"/>
      <c r="B11" s="42" t="str">
        <f>A11&amp;"-"&amp;IF(DAY(Variables!$A$2)&lt;10,0,"")&amp;DAY(Variables!$A$2)</f>
        <v>-18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Runs'!$A$13:$A$100171,1,FALSE)</f>
        <v>#N/A</v>
      </c>
    </row>
    <row r="12" spans="1:10" x14ac:dyDescent="0.25">
      <c r="A12" s="197"/>
      <c r="B12" s="42" t="str">
        <f>A12&amp;"-"&amp;IF(DAY(Variables!$A$2)&lt;10,0,"")&amp;DAY(Variables!$A$2)</f>
        <v>-18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Runs'!$A$13:$A$100171,1,FALSE)</f>
        <v>#N/A</v>
      </c>
    </row>
    <row r="13" spans="1:10" x14ac:dyDescent="0.25">
      <c r="A13" s="197"/>
      <c r="B13" s="42" t="str">
        <f>A13&amp;"-"&amp;IF(DAY(Variables!$A$2)&lt;10,0,"")&amp;DAY(Variables!$A$2)</f>
        <v>-18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Runs'!$A$13:$A$100171,1,FALSE)</f>
        <v>#N/A</v>
      </c>
    </row>
    <row r="14" spans="1:10" x14ac:dyDescent="0.25">
      <c r="A14" s="197"/>
      <c r="B14" s="42" t="str">
        <f>A14&amp;"-"&amp;IF(DAY(Variables!$A$2)&lt;10,0,"")&amp;DAY(Variables!$A$2)</f>
        <v>-18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Runs'!$A$13:$A$100171,1,FALSE)</f>
        <v>#N/A</v>
      </c>
    </row>
    <row r="15" spans="1:10" x14ac:dyDescent="0.25">
      <c r="A15" s="197"/>
      <c r="B15" s="42" t="str">
        <f>A15&amp;"-"&amp;IF(DAY(Variables!$A$2)&lt;10,0,"")&amp;DAY(Variables!$A$2)</f>
        <v>-18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Runs'!$A$13:$A$100171,1,FALSE)</f>
        <v>#N/A</v>
      </c>
    </row>
    <row r="16" spans="1:10" x14ac:dyDescent="0.25">
      <c r="A16" s="197"/>
      <c r="B16" s="42" t="str">
        <f>A16&amp;"-"&amp;IF(DAY(Variables!$A$2)&lt;10,0,"")&amp;DAY(Variables!$A$2)</f>
        <v>-18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Runs'!$A$13:$A$100171,1,FALSE)</f>
        <v>#N/A</v>
      </c>
    </row>
    <row r="17" spans="1:10" x14ac:dyDescent="0.25">
      <c r="A17" s="197"/>
      <c r="B17" s="42" t="str">
        <f>A17&amp;"-"&amp;IF(DAY(Variables!$A$2)&lt;10,0,"")&amp;DAY(Variables!$A$2)</f>
        <v>-18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Runs'!$A$13:$A$100171,1,FALSE)</f>
        <v>#N/A</v>
      </c>
    </row>
    <row r="18" spans="1:10" x14ac:dyDescent="0.25">
      <c r="A18" s="197"/>
      <c r="B18" s="42" t="str">
        <f>A18&amp;"-"&amp;IF(DAY(Variables!$A$2)&lt;10,0,"")&amp;DAY(Variables!$A$2)</f>
        <v>-18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Runs'!$A$13:$A$100171,1,FALSE)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43087.046620370369</v>
      </c>
      <c r="B2" s="20" t="s">
        <v>586</v>
      </c>
      <c r="C2" s="20" t="s">
        <v>593</v>
      </c>
      <c r="D2" s="137">
        <v>890000</v>
      </c>
      <c r="E2" s="20" t="s">
        <v>344</v>
      </c>
      <c r="F2" s="20" t="s">
        <v>345</v>
      </c>
      <c r="G2" s="8" t="str">
        <f>E2&amp;" "&amp;F2</f>
        <v>LOZA FIDEL</v>
      </c>
      <c r="H2" t="str">
        <f>MID(B2,13,4)</f>
        <v>4058</v>
      </c>
    </row>
    <row r="3" spans="1:8" x14ac:dyDescent="0.25">
      <c r="A3" s="8">
        <v>43087.057002314818</v>
      </c>
      <c r="B3" s="20" t="s">
        <v>561</v>
      </c>
      <c r="C3" s="20" t="s">
        <v>587</v>
      </c>
      <c r="D3" s="137">
        <v>3340000</v>
      </c>
      <c r="E3" s="20" t="s">
        <v>466</v>
      </c>
      <c r="F3" s="20" t="s">
        <v>467</v>
      </c>
      <c r="G3" s="8" t="str">
        <f t="shared" ref="G3:G66" si="0">E3&amp;" "&amp;F3</f>
        <v>ELBAUM MIKE</v>
      </c>
      <c r="H3" s="20" t="str">
        <f t="shared" ref="H3:H66" si="1">MID(B3,13,4)</f>
        <v>4003</v>
      </c>
    </row>
    <row r="4" spans="1:8" x14ac:dyDescent="0.25">
      <c r="A4" s="8">
        <v>43087.058182870373</v>
      </c>
      <c r="B4" s="20" t="s">
        <v>362</v>
      </c>
      <c r="C4" s="20" t="s">
        <v>594</v>
      </c>
      <c r="D4" s="137">
        <v>3220000</v>
      </c>
      <c r="E4" s="20" t="s">
        <v>378</v>
      </c>
      <c r="F4" s="20" t="s">
        <v>379</v>
      </c>
      <c r="G4" s="8" t="str">
        <f t="shared" si="0"/>
        <v>RESPASS AARON</v>
      </c>
      <c r="H4" s="20" t="str">
        <f t="shared" si="1"/>
        <v>4017</v>
      </c>
    </row>
    <row r="5" spans="1:8" x14ac:dyDescent="0.25">
      <c r="A5" s="8">
        <v>43087.069074074076</v>
      </c>
      <c r="B5" s="20" t="s">
        <v>560</v>
      </c>
      <c r="C5" s="20" t="s">
        <v>473</v>
      </c>
      <c r="D5" s="137">
        <v>3340000</v>
      </c>
      <c r="E5" s="20" t="s">
        <v>466</v>
      </c>
      <c r="F5" s="20" t="s">
        <v>467</v>
      </c>
      <c r="G5" s="8" t="str">
        <f t="shared" si="0"/>
        <v>ELBAUM MIKE</v>
      </c>
      <c r="H5" s="20" t="str">
        <f t="shared" si="1"/>
        <v>4004</v>
      </c>
    </row>
    <row r="6" spans="1:8" x14ac:dyDescent="0.25">
      <c r="A6" s="8">
        <v>43087.087245370371</v>
      </c>
      <c r="B6" s="20" t="s">
        <v>360</v>
      </c>
      <c r="C6" s="20" t="s">
        <v>474</v>
      </c>
      <c r="D6" s="137">
        <v>3220000</v>
      </c>
      <c r="E6" s="20" t="s">
        <v>378</v>
      </c>
      <c r="F6" s="20" t="s">
        <v>379</v>
      </c>
      <c r="G6" s="8" t="str">
        <f t="shared" si="0"/>
        <v>RESPASS AARON</v>
      </c>
      <c r="H6" s="20" t="str">
        <f t="shared" si="1"/>
        <v>4018</v>
      </c>
    </row>
    <row r="7" spans="1:8" x14ac:dyDescent="0.25">
      <c r="A7" s="8">
        <v>43087.114259259259</v>
      </c>
      <c r="B7" s="20" t="s">
        <v>512</v>
      </c>
      <c r="C7" s="20" t="s">
        <v>595</v>
      </c>
      <c r="D7" s="137">
        <v>3120000</v>
      </c>
      <c r="E7" s="20" t="s">
        <v>369</v>
      </c>
      <c r="F7" s="20" t="s">
        <v>513</v>
      </c>
      <c r="G7" s="8" t="str">
        <f t="shared" si="0"/>
        <v>THOMPSON LESTER</v>
      </c>
      <c r="H7" s="20" t="str">
        <f t="shared" si="1"/>
        <v>4009</v>
      </c>
    </row>
    <row r="8" spans="1:8" x14ac:dyDescent="0.25">
      <c r="A8" s="8">
        <v>43087.1246875</v>
      </c>
      <c r="B8" s="20" t="s">
        <v>442</v>
      </c>
      <c r="C8" s="20" t="s">
        <v>684</v>
      </c>
      <c r="D8" s="137">
        <v>1090000</v>
      </c>
      <c r="E8" s="20" t="s">
        <v>685</v>
      </c>
      <c r="F8" s="20" t="s">
        <v>352</v>
      </c>
      <c r="G8" s="8" t="str">
        <f t="shared" si="0"/>
        <v>SPECTOR MICHAEL</v>
      </c>
      <c r="H8" s="20" t="str">
        <f t="shared" si="1"/>
        <v>4010</v>
      </c>
    </row>
    <row r="9" spans="1:8" ht="15.75" thickBot="1" x14ac:dyDescent="0.3">
      <c r="A9" s="24">
        <v>43087.128946759258</v>
      </c>
      <c r="B9" s="20" t="s">
        <v>450</v>
      </c>
      <c r="C9" s="20" t="s">
        <v>686</v>
      </c>
      <c r="D9" s="137">
        <v>3120000</v>
      </c>
      <c r="E9" s="20" t="s">
        <v>369</v>
      </c>
      <c r="F9" s="20" t="s">
        <v>513</v>
      </c>
      <c r="G9" s="8" t="str">
        <f t="shared" si="0"/>
        <v>THOMPSON LESTER</v>
      </c>
      <c r="H9" s="20" t="str">
        <f t="shared" si="1"/>
        <v>4052</v>
      </c>
    </row>
    <row r="10" spans="1:8" x14ac:dyDescent="0.25">
      <c r="A10" s="8">
        <v>43087.140115740738</v>
      </c>
      <c r="B10" s="20" t="s">
        <v>493</v>
      </c>
      <c r="C10" s="20" t="s">
        <v>687</v>
      </c>
      <c r="D10" s="137">
        <v>1110000</v>
      </c>
      <c r="E10" s="20" t="s">
        <v>688</v>
      </c>
      <c r="F10" s="20" t="s">
        <v>689</v>
      </c>
      <c r="G10" s="8" t="str">
        <f t="shared" si="0"/>
        <v>STARKS ANGELINA</v>
      </c>
      <c r="H10" s="20" t="str">
        <f t="shared" si="1"/>
        <v>4015</v>
      </c>
    </row>
    <row r="11" spans="1:8" x14ac:dyDescent="0.25">
      <c r="A11" s="8">
        <v>43087.1405787037</v>
      </c>
      <c r="B11" s="20" t="s">
        <v>512</v>
      </c>
      <c r="C11" s="20" t="s">
        <v>690</v>
      </c>
      <c r="D11" s="137">
        <v>1090000</v>
      </c>
      <c r="E11" s="20" t="s">
        <v>685</v>
      </c>
      <c r="F11" s="20" t="s">
        <v>352</v>
      </c>
      <c r="G11" s="8" t="str">
        <f t="shared" si="0"/>
        <v>SPECTOR MICHAEL</v>
      </c>
      <c r="H11" s="20" t="str">
        <f t="shared" si="1"/>
        <v>4009</v>
      </c>
    </row>
    <row r="12" spans="1:8" x14ac:dyDescent="0.25">
      <c r="A12" s="8">
        <v>43087.151585648149</v>
      </c>
      <c r="B12" s="20" t="s">
        <v>527</v>
      </c>
      <c r="C12" s="20" t="s">
        <v>691</v>
      </c>
      <c r="D12" s="137">
        <v>1830000</v>
      </c>
      <c r="E12" s="20" t="s">
        <v>346</v>
      </c>
      <c r="F12" s="20" t="s">
        <v>347</v>
      </c>
      <c r="G12" s="8" t="str">
        <f t="shared" si="0"/>
        <v>YORK EDGAR</v>
      </c>
      <c r="H12" s="20" t="str">
        <f t="shared" si="1"/>
        <v>4033</v>
      </c>
    </row>
    <row r="13" spans="1:8" x14ac:dyDescent="0.25">
      <c r="A13" s="8">
        <v>43087.152453703704</v>
      </c>
      <c r="B13" s="20" t="s">
        <v>495</v>
      </c>
      <c r="C13" s="20" t="s">
        <v>660</v>
      </c>
      <c r="D13" s="137">
        <v>1110000</v>
      </c>
      <c r="E13" s="20" t="s">
        <v>688</v>
      </c>
      <c r="F13" s="20" t="s">
        <v>689</v>
      </c>
      <c r="G13" s="8" t="str">
        <f t="shared" si="0"/>
        <v>STARKS ANGELINA</v>
      </c>
      <c r="H13" s="20" t="str">
        <f t="shared" si="1"/>
        <v>4016</v>
      </c>
    </row>
    <row r="14" spans="1:8" x14ac:dyDescent="0.25">
      <c r="A14" s="8">
        <v>43087.161597222221</v>
      </c>
      <c r="B14" s="20" t="s">
        <v>528</v>
      </c>
      <c r="C14" s="20" t="s">
        <v>661</v>
      </c>
      <c r="D14" s="137">
        <v>1830000</v>
      </c>
      <c r="E14" s="20" t="s">
        <v>346</v>
      </c>
      <c r="F14" s="20" t="s">
        <v>347</v>
      </c>
      <c r="G14" s="8" t="str">
        <f t="shared" si="0"/>
        <v>YORK EDGAR</v>
      </c>
      <c r="H14" s="20" t="str">
        <f t="shared" si="1"/>
        <v>4034</v>
      </c>
    </row>
    <row r="15" spans="1:8" x14ac:dyDescent="0.25">
      <c r="A15" s="8">
        <v>43087.168078703704</v>
      </c>
      <c r="B15" s="20" t="s">
        <v>530</v>
      </c>
      <c r="C15" s="20" t="s">
        <v>692</v>
      </c>
      <c r="D15" s="137">
        <v>2370000</v>
      </c>
      <c r="E15" s="20" t="s">
        <v>516</v>
      </c>
      <c r="F15" s="20" t="s">
        <v>517</v>
      </c>
      <c r="G15" s="8" t="str">
        <f t="shared" si="0"/>
        <v>DELGADO DIANAH</v>
      </c>
      <c r="H15" s="20" t="str">
        <f t="shared" si="1"/>
        <v>4043</v>
      </c>
    </row>
    <row r="16" spans="1:8" x14ac:dyDescent="0.25">
      <c r="A16" s="8">
        <v>43087.174039351848</v>
      </c>
      <c r="B16" s="20" t="s">
        <v>452</v>
      </c>
      <c r="C16" s="20" t="s">
        <v>662</v>
      </c>
      <c r="D16" s="137">
        <v>3120000</v>
      </c>
      <c r="E16" s="20" t="s">
        <v>369</v>
      </c>
      <c r="F16" s="20" t="s">
        <v>513</v>
      </c>
      <c r="G16" s="8" t="str">
        <f t="shared" si="0"/>
        <v>THOMPSON LESTER</v>
      </c>
      <c r="H16" s="20" t="str">
        <f t="shared" si="1"/>
        <v>4051</v>
      </c>
    </row>
    <row r="17" spans="1:8" x14ac:dyDescent="0.25">
      <c r="A17" s="8">
        <v>43087.178587962961</v>
      </c>
      <c r="B17" s="20" t="s">
        <v>559</v>
      </c>
      <c r="C17" s="20" t="s">
        <v>693</v>
      </c>
      <c r="D17" s="137">
        <v>2010000</v>
      </c>
      <c r="E17" s="20" t="s">
        <v>503</v>
      </c>
      <c r="F17" s="20" t="s">
        <v>504</v>
      </c>
      <c r="G17" s="8" t="str">
        <f t="shared" si="0"/>
        <v>MAELZER KURT</v>
      </c>
      <c r="H17" s="20" t="str">
        <f t="shared" si="1"/>
        <v>4021</v>
      </c>
    </row>
    <row r="18" spans="1:8" x14ac:dyDescent="0.25">
      <c r="A18" s="8">
        <v>43087.183553240742</v>
      </c>
      <c r="B18" s="20" t="s">
        <v>529</v>
      </c>
      <c r="C18" s="20" t="s">
        <v>664</v>
      </c>
      <c r="D18" s="137">
        <v>2370000</v>
      </c>
      <c r="E18" s="20" t="s">
        <v>516</v>
      </c>
      <c r="F18" s="20" t="s">
        <v>517</v>
      </c>
      <c r="G18" s="8" t="str">
        <f t="shared" si="0"/>
        <v>DELGADO DIANAH</v>
      </c>
      <c r="H18" s="20" t="str">
        <f t="shared" si="1"/>
        <v>4044</v>
      </c>
    </row>
    <row r="19" spans="1:8" x14ac:dyDescent="0.25">
      <c r="A19" s="8">
        <v>43087.18445601852</v>
      </c>
      <c r="B19" s="20" t="s">
        <v>529</v>
      </c>
      <c r="C19" s="20" t="s">
        <v>694</v>
      </c>
      <c r="D19" s="137">
        <v>2370000</v>
      </c>
      <c r="E19" s="20" t="s">
        <v>516</v>
      </c>
      <c r="F19" s="20" t="s">
        <v>517</v>
      </c>
      <c r="G19" s="8" t="str">
        <f t="shared" si="0"/>
        <v>DELGADO DIANAH</v>
      </c>
      <c r="H19" s="20" t="str">
        <f t="shared" si="1"/>
        <v>4044</v>
      </c>
    </row>
    <row r="20" spans="1:8" x14ac:dyDescent="0.25">
      <c r="A20" s="8">
        <v>43087.192650462966</v>
      </c>
      <c r="B20" s="20" t="s">
        <v>384</v>
      </c>
      <c r="C20" s="20" t="s">
        <v>695</v>
      </c>
      <c r="D20" s="137">
        <v>2010000</v>
      </c>
      <c r="E20" s="20" t="s">
        <v>503</v>
      </c>
      <c r="F20" s="20" t="s">
        <v>504</v>
      </c>
      <c r="G20" s="8" t="str">
        <f t="shared" si="0"/>
        <v>MAELZER KURT</v>
      </c>
      <c r="H20" s="20" t="str">
        <f t="shared" si="1"/>
        <v>4022</v>
      </c>
    </row>
    <row r="21" spans="1:8" x14ac:dyDescent="0.25">
      <c r="A21" s="8">
        <v>43087.192777777775</v>
      </c>
      <c r="B21" s="20" t="s">
        <v>493</v>
      </c>
      <c r="C21" s="20" t="s">
        <v>696</v>
      </c>
      <c r="D21" s="137">
        <v>1110000</v>
      </c>
      <c r="E21" s="20" t="s">
        <v>688</v>
      </c>
      <c r="F21" s="20" t="s">
        <v>689</v>
      </c>
      <c r="G21" s="8" t="str">
        <f t="shared" si="0"/>
        <v>STARKS ANGELINA</v>
      </c>
      <c r="H21" s="20" t="str">
        <f t="shared" si="1"/>
        <v>4015</v>
      </c>
    </row>
    <row r="22" spans="1:8" x14ac:dyDescent="0.25">
      <c r="A22" s="26">
        <v>43087.197824074072</v>
      </c>
      <c r="B22" s="20" t="s">
        <v>443</v>
      </c>
      <c r="C22" s="20" t="s">
        <v>697</v>
      </c>
      <c r="D22" s="137">
        <v>2600000</v>
      </c>
      <c r="E22" s="20" t="s">
        <v>698</v>
      </c>
      <c r="F22" s="20" t="s">
        <v>592</v>
      </c>
      <c r="G22" s="8" t="str">
        <f t="shared" si="0"/>
        <v>DAVIDSON DAVID</v>
      </c>
      <c r="H22" s="20" t="str">
        <f t="shared" si="1"/>
        <v>4049</v>
      </c>
    </row>
    <row r="23" spans="1:8" x14ac:dyDescent="0.25">
      <c r="A23" s="8">
        <v>43087.19971064815</v>
      </c>
      <c r="B23" s="20" t="s">
        <v>383</v>
      </c>
      <c r="C23" s="20" t="s">
        <v>699</v>
      </c>
      <c r="D23" s="137">
        <v>2560000</v>
      </c>
      <c r="E23" s="20" t="s">
        <v>700</v>
      </c>
      <c r="F23" s="20" t="s">
        <v>701</v>
      </c>
      <c r="G23" s="8" t="str">
        <f t="shared" si="0"/>
        <v>MACDONALD THOMAS</v>
      </c>
      <c r="H23" s="20" t="str">
        <f t="shared" si="1"/>
        <v>4062</v>
      </c>
    </row>
    <row r="24" spans="1:8" x14ac:dyDescent="0.25">
      <c r="A24" s="8">
        <v>43087.200798611113</v>
      </c>
      <c r="B24" s="20" t="s">
        <v>383</v>
      </c>
      <c r="C24" s="20" t="s">
        <v>699</v>
      </c>
      <c r="D24" s="137">
        <v>2560000</v>
      </c>
      <c r="E24" s="20" t="s">
        <v>700</v>
      </c>
      <c r="F24" s="20" t="s">
        <v>701</v>
      </c>
      <c r="G24" s="8" t="str">
        <f t="shared" si="0"/>
        <v>MACDONALD THOMAS</v>
      </c>
      <c r="H24" s="20" t="str">
        <f t="shared" si="1"/>
        <v>4062</v>
      </c>
    </row>
    <row r="25" spans="1:8" x14ac:dyDescent="0.25">
      <c r="A25" s="8">
        <v>43087.204050925924</v>
      </c>
      <c r="B25" s="20" t="s">
        <v>527</v>
      </c>
      <c r="C25" s="20" t="s">
        <v>663</v>
      </c>
      <c r="D25" s="137">
        <v>1830000</v>
      </c>
      <c r="E25" s="20" t="s">
        <v>346</v>
      </c>
      <c r="F25" s="20" t="s">
        <v>347</v>
      </c>
      <c r="G25" s="8" t="str">
        <f t="shared" si="0"/>
        <v>YORK EDGAR</v>
      </c>
      <c r="H25" s="20" t="str">
        <f t="shared" si="1"/>
        <v>4033</v>
      </c>
    </row>
    <row r="26" spans="1:8" x14ac:dyDescent="0.25">
      <c r="A26" s="8">
        <v>43087.207997685182</v>
      </c>
      <c r="B26" s="20" t="s">
        <v>450</v>
      </c>
      <c r="C26" s="20" t="s">
        <v>702</v>
      </c>
      <c r="D26" s="137">
        <v>3120000</v>
      </c>
      <c r="E26" s="20" t="s">
        <v>369</v>
      </c>
      <c r="F26" s="20" t="s">
        <v>513</v>
      </c>
      <c r="G26" s="8" t="str">
        <f t="shared" si="0"/>
        <v>THOMPSON LESTER</v>
      </c>
      <c r="H26" s="20" t="str">
        <f t="shared" si="1"/>
        <v>4052</v>
      </c>
    </row>
    <row r="27" spans="1:8" x14ac:dyDescent="0.25">
      <c r="A27" s="8">
        <v>43087.210532407407</v>
      </c>
      <c r="B27" s="20" t="s">
        <v>444</v>
      </c>
      <c r="C27" s="20" t="s">
        <v>703</v>
      </c>
      <c r="D27" s="137">
        <v>2600000</v>
      </c>
      <c r="E27" s="20" t="s">
        <v>698</v>
      </c>
      <c r="F27" s="20" t="s">
        <v>592</v>
      </c>
      <c r="G27" s="8" t="str">
        <f t="shared" si="0"/>
        <v>DAVIDSON DAVID</v>
      </c>
      <c r="H27" s="20" t="str">
        <f t="shared" si="1"/>
        <v>4050</v>
      </c>
    </row>
    <row r="28" spans="1:8" x14ac:dyDescent="0.25">
      <c r="A28" s="8">
        <v>43087.212546296294</v>
      </c>
      <c r="B28" s="20" t="s">
        <v>385</v>
      </c>
      <c r="C28" s="20" t="s">
        <v>704</v>
      </c>
      <c r="D28" s="137">
        <v>2560000</v>
      </c>
      <c r="E28" s="20" t="s">
        <v>700</v>
      </c>
      <c r="F28" s="20" t="s">
        <v>701</v>
      </c>
      <c r="G28" s="8" t="str">
        <f t="shared" si="0"/>
        <v>MACDONALD THOMAS</v>
      </c>
      <c r="H28" s="20" t="str">
        <f t="shared" si="1"/>
        <v>4061</v>
      </c>
    </row>
    <row r="29" spans="1:8" x14ac:dyDescent="0.25">
      <c r="A29" s="8">
        <v>43087.213136574072</v>
      </c>
      <c r="B29" s="20" t="s">
        <v>385</v>
      </c>
      <c r="C29" s="20" t="s">
        <v>704</v>
      </c>
      <c r="D29" s="137">
        <v>2560000</v>
      </c>
      <c r="E29" s="20" t="s">
        <v>700</v>
      </c>
      <c r="F29" s="20" t="s">
        <v>701</v>
      </c>
      <c r="G29" s="8" t="str">
        <f t="shared" si="0"/>
        <v>MACDONALD THOMAS</v>
      </c>
      <c r="H29" s="20" t="str">
        <f t="shared" si="1"/>
        <v>4061</v>
      </c>
    </row>
    <row r="30" spans="1:8" x14ac:dyDescent="0.25">
      <c r="A30" s="8">
        <v>43087.214618055557</v>
      </c>
      <c r="B30" s="20" t="s">
        <v>530</v>
      </c>
      <c r="C30" s="20" t="s">
        <v>664</v>
      </c>
      <c r="D30" s="137">
        <v>2370000</v>
      </c>
      <c r="E30" s="20" t="s">
        <v>516</v>
      </c>
      <c r="F30" s="20" t="s">
        <v>517</v>
      </c>
      <c r="G30" s="8" t="str">
        <f t="shared" si="0"/>
        <v>DELGADO DIANAH</v>
      </c>
      <c r="H30" s="20" t="str">
        <f t="shared" si="1"/>
        <v>4043</v>
      </c>
    </row>
    <row r="31" spans="1:8" x14ac:dyDescent="0.25">
      <c r="A31" s="8">
        <v>43087.218599537038</v>
      </c>
      <c r="B31" s="20" t="s">
        <v>385</v>
      </c>
      <c r="C31" s="20" t="s">
        <v>704</v>
      </c>
      <c r="D31" s="137">
        <v>2560000</v>
      </c>
      <c r="E31" s="20" t="s">
        <v>700</v>
      </c>
      <c r="F31" s="20" t="s">
        <v>701</v>
      </c>
      <c r="G31" s="8" t="str">
        <f t="shared" si="0"/>
        <v>MACDONALD THOMAS</v>
      </c>
      <c r="H31" s="20" t="str">
        <f t="shared" si="1"/>
        <v>4061</v>
      </c>
    </row>
    <row r="32" spans="1:8" x14ac:dyDescent="0.25">
      <c r="A32" s="8">
        <v>43087.220381944448</v>
      </c>
      <c r="B32" s="20" t="s">
        <v>442</v>
      </c>
      <c r="C32" s="20" t="s">
        <v>684</v>
      </c>
      <c r="D32" s="137">
        <v>1090000</v>
      </c>
      <c r="E32" s="20" t="s">
        <v>685</v>
      </c>
      <c r="F32" s="20" t="s">
        <v>352</v>
      </c>
      <c r="G32" s="8" t="str">
        <f t="shared" si="0"/>
        <v>SPECTOR MICHAEL</v>
      </c>
      <c r="H32" s="20" t="str">
        <f t="shared" si="1"/>
        <v>4010</v>
      </c>
    </row>
    <row r="33" spans="1:8" x14ac:dyDescent="0.25">
      <c r="A33" s="8">
        <v>43087.224594907406</v>
      </c>
      <c r="B33" s="20" t="s">
        <v>512</v>
      </c>
      <c r="C33" s="20" t="s">
        <v>690</v>
      </c>
      <c r="D33" s="137">
        <v>1090000</v>
      </c>
      <c r="E33" s="20" t="s">
        <v>685</v>
      </c>
      <c r="F33" s="20" t="s">
        <v>352</v>
      </c>
      <c r="G33" s="8" t="str">
        <f t="shared" si="0"/>
        <v>SPECTOR MICHAEL</v>
      </c>
      <c r="H33" s="20" t="str">
        <f t="shared" si="1"/>
        <v>4009</v>
      </c>
    </row>
    <row r="34" spans="1:8" x14ac:dyDescent="0.25">
      <c r="A34" s="8">
        <v>43087.225393518522</v>
      </c>
      <c r="B34" s="20" t="s">
        <v>673</v>
      </c>
      <c r="C34" s="20" t="s">
        <v>705</v>
      </c>
      <c r="D34" s="137">
        <v>3090000</v>
      </c>
      <c r="E34" s="20" t="s">
        <v>514</v>
      </c>
      <c r="F34" s="20" t="s">
        <v>515</v>
      </c>
      <c r="G34" s="8" t="str">
        <f t="shared" si="0"/>
        <v>LAMAR NEKESHA</v>
      </c>
      <c r="H34" s="20" t="str">
        <f t="shared" si="1"/>
        <v>4025</v>
      </c>
    </row>
    <row r="35" spans="1:8" x14ac:dyDescent="0.25">
      <c r="A35" s="8">
        <v>43087.226111111115</v>
      </c>
      <c r="B35" s="20" t="s">
        <v>495</v>
      </c>
      <c r="C35" s="20" t="s">
        <v>706</v>
      </c>
      <c r="D35" s="137">
        <v>1110000</v>
      </c>
      <c r="E35" s="20" t="s">
        <v>688</v>
      </c>
      <c r="F35" s="20" t="s">
        <v>689</v>
      </c>
      <c r="G35" s="8" t="str">
        <f t="shared" si="0"/>
        <v>STARKS ANGELINA</v>
      </c>
      <c r="H35" s="20" t="str">
        <f t="shared" si="1"/>
        <v>4016</v>
      </c>
    </row>
    <row r="36" spans="1:8" x14ac:dyDescent="0.25">
      <c r="A36" s="8">
        <v>43087.23097222222</v>
      </c>
      <c r="B36" s="20" t="s">
        <v>559</v>
      </c>
      <c r="C36" s="20" t="s">
        <v>707</v>
      </c>
      <c r="D36" s="137">
        <v>2010000</v>
      </c>
      <c r="E36" s="20" t="s">
        <v>503</v>
      </c>
      <c r="F36" s="20" t="s">
        <v>504</v>
      </c>
      <c r="G36" s="8" t="str">
        <f t="shared" si="0"/>
        <v>MAELZER KURT</v>
      </c>
      <c r="H36" s="20" t="str">
        <f t="shared" si="1"/>
        <v>4021</v>
      </c>
    </row>
    <row r="37" spans="1:8" x14ac:dyDescent="0.25">
      <c r="A37" s="8">
        <v>43087.232291666667</v>
      </c>
      <c r="B37" s="20" t="s">
        <v>383</v>
      </c>
      <c r="C37" s="20" t="s">
        <v>708</v>
      </c>
      <c r="D37" s="137">
        <v>2560000</v>
      </c>
      <c r="E37" s="20" t="s">
        <v>700</v>
      </c>
      <c r="F37" s="20" t="s">
        <v>701</v>
      </c>
      <c r="G37" s="8" t="str">
        <f t="shared" si="0"/>
        <v>MACDONALD THOMAS</v>
      </c>
      <c r="H37" s="20" t="str">
        <f t="shared" si="1"/>
        <v>4062</v>
      </c>
    </row>
    <row r="38" spans="1:8" x14ac:dyDescent="0.25">
      <c r="A38" s="8">
        <v>43087.235474537039</v>
      </c>
      <c r="B38" s="20" t="s">
        <v>367</v>
      </c>
      <c r="C38" s="20" t="s">
        <v>709</v>
      </c>
      <c r="D38" s="137">
        <v>1230000</v>
      </c>
      <c r="E38" s="20" t="s">
        <v>710</v>
      </c>
      <c r="F38" s="20" t="s">
        <v>711</v>
      </c>
      <c r="G38" s="8" t="str">
        <f t="shared" si="0"/>
        <v>YANAI IAN</v>
      </c>
      <c r="H38" s="20" t="str">
        <f t="shared" si="1"/>
        <v>4035</v>
      </c>
    </row>
    <row r="39" spans="1:8" x14ac:dyDescent="0.25">
      <c r="A39" s="8">
        <v>43087.235925925925</v>
      </c>
      <c r="B39" s="20" t="s">
        <v>712</v>
      </c>
      <c r="C39" s="20" t="s">
        <v>713</v>
      </c>
      <c r="D39" s="137">
        <v>3030000</v>
      </c>
      <c r="E39" s="20" t="s">
        <v>714</v>
      </c>
      <c r="F39" s="20" t="s">
        <v>701</v>
      </c>
      <c r="G39" s="8" t="str">
        <f t="shared" si="0"/>
        <v>BIRENBAUM THOMAS</v>
      </c>
      <c r="H39" s="20" t="str">
        <f t="shared" si="1"/>
        <v>4026</v>
      </c>
    </row>
    <row r="40" spans="1:8" x14ac:dyDescent="0.25">
      <c r="A40" s="8">
        <v>43087.246921296297</v>
      </c>
      <c r="B40" s="25" t="s">
        <v>443</v>
      </c>
      <c r="C40" s="20" t="s">
        <v>715</v>
      </c>
      <c r="D40" s="137">
        <v>2600000</v>
      </c>
      <c r="E40" s="20" t="s">
        <v>698</v>
      </c>
      <c r="F40" s="20" t="s">
        <v>592</v>
      </c>
      <c r="G40" s="8" t="str">
        <f t="shared" si="0"/>
        <v>DAVIDSON DAVID</v>
      </c>
      <c r="H40" s="20" t="str">
        <f t="shared" si="1"/>
        <v>4049</v>
      </c>
    </row>
    <row r="41" spans="1:8" x14ac:dyDescent="0.25">
      <c r="A41" s="8">
        <v>43087.247037037036</v>
      </c>
      <c r="B41" s="20" t="s">
        <v>442</v>
      </c>
      <c r="C41" s="20" t="s">
        <v>716</v>
      </c>
      <c r="D41" s="137">
        <v>1830000</v>
      </c>
      <c r="E41" s="20" t="s">
        <v>346</v>
      </c>
      <c r="F41" s="20" t="s">
        <v>347</v>
      </c>
      <c r="G41" s="8" t="str">
        <f t="shared" si="0"/>
        <v>YORK EDGAR</v>
      </c>
      <c r="H41" s="20" t="str">
        <f t="shared" si="1"/>
        <v>4010</v>
      </c>
    </row>
    <row r="42" spans="1:8" x14ac:dyDescent="0.25">
      <c r="A42" s="8">
        <v>43087.247233796297</v>
      </c>
      <c r="B42" s="20" t="s">
        <v>385</v>
      </c>
      <c r="C42" s="20" t="s">
        <v>717</v>
      </c>
      <c r="D42" s="137">
        <v>2560000</v>
      </c>
      <c r="E42" s="20" t="s">
        <v>700</v>
      </c>
      <c r="F42" s="20" t="s">
        <v>701</v>
      </c>
      <c r="G42" s="8" t="str">
        <f t="shared" si="0"/>
        <v>MACDONALD THOMAS</v>
      </c>
      <c r="H42" s="20" t="str">
        <f t="shared" si="1"/>
        <v>4061</v>
      </c>
    </row>
    <row r="43" spans="1:8" x14ac:dyDescent="0.25">
      <c r="A43" s="8">
        <v>43087.247430555559</v>
      </c>
      <c r="B43" s="20" t="s">
        <v>452</v>
      </c>
      <c r="C43" s="20" t="s">
        <v>718</v>
      </c>
      <c r="D43" s="137">
        <v>3120000</v>
      </c>
      <c r="E43" s="20" t="s">
        <v>369</v>
      </c>
      <c r="F43" s="20" t="s">
        <v>513</v>
      </c>
      <c r="G43" s="8" t="str">
        <f t="shared" si="0"/>
        <v>THOMPSON LESTER</v>
      </c>
      <c r="H43" s="20" t="str">
        <f t="shared" si="1"/>
        <v>4051</v>
      </c>
    </row>
    <row r="44" spans="1:8" x14ac:dyDescent="0.25">
      <c r="A44" s="8">
        <v>43087.24795138889</v>
      </c>
      <c r="B44" s="20" t="s">
        <v>442</v>
      </c>
      <c r="C44" s="20" t="s">
        <v>716</v>
      </c>
      <c r="D44" s="137">
        <v>1830000</v>
      </c>
      <c r="E44" s="20" t="s">
        <v>346</v>
      </c>
      <c r="F44" s="20" t="s">
        <v>347</v>
      </c>
      <c r="G44" s="8" t="str">
        <f t="shared" si="0"/>
        <v>YORK EDGAR</v>
      </c>
      <c r="H44" s="20" t="str">
        <f t="shared" si="1"/>
        <v>4010</v>
      </c>
    </row>
    <row r="45" spans="1:8" x14ac:dyDescent="0.25">
      <c r="A45" s="8">
        <v>43087.250162037039</v>
      </c>
      <c r="B45" s="20" t="s">
        <v>366</v>
      </c>
      <c r="C45" s="20" t="s">
        <v>719</v>
      </c>
      <c r="D45" s="137">
        <v>1230000</v>
      </c>
      <c r="E45" s="20" t="s">
        <v>710</v>
      </c>
      <c r="F45" s="20" t="s">
        <v>711</v>
      </c>
      <c r="G45" s="8" t="str">
        <f t="shared" si="0"/>
        <v>YANAI IAN</v>
      </c>
      <c r="H45" s="20" t="str">
        <f t="shared" si="1"/>
        <v>4036</v>
      </c>
    </row>
    <row r="46" spans="1:8" x14ac:dyDescent="0.25">
      <c r="A46" s="8">
        <v>43087.250775462962</v>
      </c>
      <c r="B46" s="20" t="s">
        <v>366</v>
      </c>
      <c r="C46" s="20" t="s">
        <v>719</v>
      </c>
      <c r="D46" s="137">
        <v>1230000</v>
      </c>
      <c r="E46" s="20" t="s">
        <v>710</v>
      </c>
      <c r="F46" s="20" t="s">
        <v>711</v>
      </c>
      <c r="G46" s="8" t="str">
        <f t="shared" si="0"/>
        <v>YANAI IAN</v>
      </c>
      <c r="H46" s="20" t="str">
        <f t="shared" si="1"/>
        <v>4036</v>
      </c>
    </row>
    <row r="47" spans="1:8" x14ac:dyDescent="0.25">
      <c r="A47" s="8">
        <v>43087.251307870371</v>
      </c>
      <c r="B47" s="20" t="s">
        <v>366</v>
      </c>
      <c r="C47" s="20" t="s">
        <v>719</v>
      </c>
      <c r="D47" s="137">
        <v>1230000</v>
      </c>
      <c r="E47" s="20" t="s">
        <v>710</v>
      </c>
      <c r="F47" s="20" t="s">
        <v>711</v>
      </c>
      <c r="G47" s="8" t="str">
        <f t="shared" si="0"/>
        <v>YANAI IAN</v>
      </c>
      <c r="H47" s="20" t="str">
        <f t="shared" si="1"/>
        <v>4036</v>
      </c>
    </row>
    <row r="48" spans="1:8" x14ac:dyDescent="0.25">
      <c r="A48" s="8">
        <v>43087.257754629631</v>
      </c>
      <c r="B48" s="20" t="s">
        <v>529</v>
      </c>
      <c r="C48" s="20" t="s">
        <v>720</v>
      </c>
      <c r="D48" s="137">
        <v>2370000</v>
      </c>
      <c r="E48" s="20" t="s">
        <v>516</v>
      </c>
      <c r="F48" s="20" t="s">
        <v>517</v>
      </c>
      <c r="G48" s="8" t="str">
        <f t="shared" si="0"/>
        <v>DELGADO DIANAH</v>
      </c>
      <c r="H48" s="20" t="str">
        <f t="shared" si="1"/>
        <v>4044</v>
      </c>
    </row>
    <row r="49" spans="1:8" x14ac:dyDescent="0.25">
      <c r="A49" s="8">
        <v>43087.265625</v>
      </c>
      <c r="B49" s="20" t="s">
        <v>384</v>
      </c>
      <c r="C49" s="20" t="s">
        <v>721</v>
      </c>
      <c r="D49" s="137">
        <v>2010000</v>
      </c>
      <c r="E49" s="20" t="s">
        <v>503</v>
      </c>
      <c r="F49" s="20" t="s">
        <v>504</v>
      </c>
      <c r="G49" s="8" t="str">
        <f t="shared" si="0"/>
        <v>MAELZER KURT</v>
      </c>
      <c r="H49" s="20" t="str">
        <f t="shared" si="1"/>
        <v>4022</v>
      </c>
    </row>
    <row r="50" spans="1:8" x14ac:dyDescent="0.25">
      <c r="A50" s="8">
        <v>43087.267905092594</v>
      </c>
      <c r="B50" s="20" t="s">
        <v>493</v>
      </c>
      <c r="C50" s="20" t="s">
        <v>665</v>
      </c>
      <c r="D50" s="137">
        <v>1110000</v>
      </c>
      <c r="E50" s="20" t="s">
        <v>688</v>
      </c>
      <c r="F50" s="20" t="s">
        <v>689</v>
      </c>
      <c r="G50" s="8" t="str">
        <f t="shared" si="0"/>
        <v>STARKS ANGELINA</v>
      </c>
      <c r="H50" s="20" t="str">
        <f t="shared" si="1"/>
        <v>4015</v>
      </c>
    </row>
    <row r="51" spans="1:8" x14ac:dyDescent="0.25">
      <c r="A51" s="8">
        <v>43087.268043981479</v>
      </c>
      <c r="B51" s="20" t="s">
        <v>367</v>
      </c>
      <c r="C51" s="20" t="s">
        <v>722</v>
      </c>
      <c r="D51" s="137">
        <v>1230000</v>
      </c>
      <c r="E51" s="20" t="s">
        <v>710</v>
      </c>
      <c r="F51" s="20" t="s">
        <v>711</v>
      </c>
      <c r="G51" s="8" t="str">
        <f t="shared" si="0"/>
        <v>YANAI IAN</v>
      </c>
      <c r="H51" s="20" t="str">
        <f t="shared" si="1"/>
        <v>4035</v>
      </c>
    </row>
    <row r="52" spans="1:8" x14ac:dyDescent="0.25">
      <c r="A52" s="8">
        <v>43087.269004629627</v>
      </c>
      <c r="B52" s="20" t="s">
        <v>383</v>
      </c>
      <c r="C52" s="20" t="s">
        <v>723</v>
      </c>
      <c r="D52" s="137">
        <v>2560000</v>
      </c>
      <c r="E52" s="20" t="s">
        <v>700</v>
      </c>
      <c r="F52" s="20" t="s">
        <v>701</v>
      </c>
      <c r="G52" s="8" t="str">
        <f t="shared" si="0"/>
        <v>MACDONALD THOMAS</v>
      </c>
      <c r="H52" s="20" t="str">
        <f t="shared" si="1"/>
        <v>4062</v>
      </c>
    </row>
    <row r="53" spans="1:8" x14ac:dyDescent="0.25">
      <c r="A53" s="8">
        <v>43087.277037037034</v>
      </c>
      <c r="B53" s="20" t="s">
        <v>673</v>
      </c>
      <c r="C53" s="20" t="s">
        <v>724</v>
      </c>
      <c r="D53" s="137">
        <v>3030000</v>
      </c>
      <c r="E53" s="20" t="s">
        <v>714</v>
      </c>
      <c r="F53" s="20" t="s">
        <v>701</v>
      </c>
      <c r="G53" s="8" t="str">
        <f t="shared" si="0"/>
        <v>BIRENBAUM THOMAS</v>
      </c>
      <c r="H53" s="20" t="str">
        <f t="shared" si="1"/>
        <v>4025</v>
      </c>
    </row>
    <row r="54" spans="1:8" x14ac:dyDescent="0.25">
      <c r="A54" s="8">
        <v>43087.27789351852</v>
      </c>
      <c r="B54" s="20" t="s">
        <v>512</v>
      </c>
      <c r="C54" s="20" t="s">
        <v>725</v>
      </c>
      <c r="D54" s="137">
        <v>1830000</v>
      </c>
      <c r="E54" s="20" t="s">
        <v>346</v>
      </c>
      <c r="F54" s="20" t="s">
        <v>347</v>
      </c>
      <c r="G54" s="8" t="str">
        <f t="shared" si="0"/>
        <v>YORK EDGAR</v>
      </c>
      <c r="H54" s="20" t="str">
        <f t="shared" si="1"/>
        <v>4009</v>
      </c>
    </row>
    <row r="55" spans="1:8" x14ac:dyDescent="0.25">
      <c r="A55" s="8">
        <v>43087.279768518521</v>
      </c>
      <c r="B55" s="20" t="s">
        <v>450</v>
      </c>
      <c r="C55" s="20" t="s">
        <v>667</v>
      </c>
      <c r="D55" s="137">
        <v>3120000</v>
      </c>
      <c r="E55" s="20" t="s">
        <v>369</v>
      </c>
      <c r="F55" s="20" t="s">
        <v>513</v>
      </c>
      <c r="G55" s="8" t="str">
        <f t="shared" si="0"/>
        <v>THOMPSON LESTER</v>
      </c>
      <c r="H55" s="20" t="str">
        <f t="shared" si="1"/>
        <v>4052</v>
      </c>
    </row>
    <row r="56" spans="1:8" x14ac:dyDescent="0.25">
      <c r="A56" s="8">
        <v>43087.286990740744</v>
      </c>
      <c r="B56" s="20" t="s">
        <v>530</v>
      </c>
      <c r="C56" s="20" t="s">
        <v>726</v>
      </c>
      <c r="D56" s="137">
        <v>2370000</v>
      </c>
      <c r="E56" s="20" t="s">
        <v>516</v>
      </c>
      <c r="F56" s="20" t="s">
        <v>517</v>
      </c>
      <c r="G56" s="8" t="str">
        <f t="shared" si="0"/>
        <v>DELGADO DIANAH</v>
      </c>
      <c r="H56" s="20" t="str">
        <f t="shared" si="1"/>
        <v>4043</v>
      </c>
    </row>
    <row r="57" spans="1:8" x14ac:dyDescent="0.25">
      <c r="A57" s="8">
        <v>43087.288229166668</v>
      </c>
      <c r="B57" s="20" t="s">
        <v>444</v>
      </c>
      <c r="C57" s="20" t="s">
        <v>727</v>
      </c>
      <c r="D57" s="137">
        <v>2600000</v>
      </c>
      <c r="E57" s="20" t="s">
        <v>698</v>
      </c>
      <c r="F57" s="20" t="s">
        <v>592</v>
      </c>
      <c r="G57" s="8" t="str">
        <f t="shared" si="0"/>
        <v>DAVIDSON DAVID</v>
      </c>
      <c r="H57" s="20" t="str">
        <f t="shared" si="1"/>
        <v>4050</v>
      </c>
    </row>
    <row r="58" spans="1:8" x14ac:dyDescent="0.25">
      <c r="A58" s="8">
        <v>43087.289270833331</v>
      </c>
      <c r="B58" s="20" t="s">
        <v>385</v>
      </c>
      <c r="C58" s="20" t="s">
        <v>728</v>
      </c>
      <c r="D58" s="137">
        <v>2560000</v>
      </c>
      <c r="E58" s="20" t="s">
        <v>700</v>
      </c>
      <c r="F58" s="20" t="s">
        <v>701</v>
      </c>
      <c r="G58" s="8" t="str">
        <f t="shared" si="0"/>
        <v>MACDONALD THOMAS</v>
      </c>
      <c r="H58" s="20" t="str">
        <f t="shared" si="1"/>
        <v>4061</v>
      </c>
    </row>
    <row r="59" spans="1:8" x14ac:dyDescent="0.25">
      <c r="A59" s="8">
        <v>43087.289837962962</v>
      </c>
      <c r="B59" s="20" t="s">
        <v>366</v>
      </c>
      <c r="C59" s="20" t="s">
        <v>729</v>
      </c>
      <c r="D59" s="137">
        <v>1230000</v>
      </c>
      <c r="E59" s="20" t="s">
        <v>710</v>
      </c>
      <c r="F59" s="20" t="s">
        <v>711</v>
      </c>
      <c r="G59" s="8" t="str">
        <f t="shared" si="0"/>
        <v>YANAI IAN</v>
      </c>
      <c r="H59" s="20" t="str">
        <f t="shared" si="1"/>
        <v>4036</v>
      </c>
    </row>
    <row r="60" spans="1:8" x14ac:dyDescent="0.25">
      <c r="A60" s="8">
        <v>43087.300335648149</v>
      </c>
      <c r="B60" s="20" t="s">
        <v>495</v>
      </c>
      <c r="C60" s="20" t="s">
        <v>666</v>
      </c>
      <c r="D60" s="137">
        <v>1110000</v>
      </c>
      <c r="E60" s="20" t="s">
        <v>688</v>
      </c>
      <c r="F60" s="20" t="s">
        <v>689</v>
      </c>
      <c r="G60" s="8" t="str">
        <f t="shared" si="0"/>
        <v>STARKS ANGELINA</v>
      </c>
      <c r="H60" s="20" t="str">
        <f t="shared" si="1"/>
        <v>4016</v>
      </c>
    </row>
    <row r="61" spans="1:8" x14ac:dyDescent="0.25">
      <c r="A61" s="8">
        <v>43087.304861111108</v>
      </c>
      <c r="B61" s="20" t="s">
        <v>559</v>
      </c>
      <c r="C61" s="20" t="s">
        <v>730</v>
      </c>
      <c r="D61" s="137">
        <v>2010000</v>
      </c>
      <c r="E61" s="20" t="s">
        <v>503</v>
      </c>
      <c r="F61" s="20" t="s">
        <v>504</v>
      </c>
      <c r="G61" s="8" t="str">
        <f t="shared" si="0"/>
        <v>MAELZER KURT</v>
      </c>
      <c r="H61" s="20" t="str">
        <f t="shared" si="1"/>
        <v>4021</v>
      </c>
    </row>
    <row r="62" spans="1:8" x14ac:dyDescent="0.25">
      <c r="A62" s="8">
        <v>43087.307754629626</v>
      </c>
      <c r="B62" s="20" t="s">
        <v>712</v>
      </c>
      <c r="C62" s="20" t="s">
        <v>731</v>
      </c>
      <c r="D62" s="137">
        <v>3090000</v>
      </c>
      <c r="E62" s="20" t="s">
        <v>514</v>
      </c>
      <c r="F62" s="20" t="s">
        <v>515</v>
      </c>
      <c r="G62" s="8" t="str">
        <f t="shared" si="0"/>
        <v>LAMAR NEKESHA</v>
      </c>
      <c r="H62" s="20" t="str">
        <f t="shared" si="1"/>
        <v>4026</v>
      </c>
    </row>
    <row r="63" spans="1:8" x14ac:dyDescent="0.25">
      <c r="A63" s="8">
        <v>43087.309178240743</v>
      </c>
      <c r="B63" s="20" t="s">
        <v>367</v>
      </c>
      <c r="C63" s="20" t="s">
        <v>732</v>
      </c>
      <c r="D63" s="137">
        <v>1230000</v>
      </c>
      <c r="E63" s="20" t="s">
        <v>710</v>
      </c>
      <c r="F63" s="20" t="s">
        <v>711</v>
      </c>
      <c r="G63" s="8" t="str">
        <f t="shared" si="0"/>
        <v>YANAI IAN</v>
      </c>
      <c r="H63" s="20" t="str">
        <f t="shared" si="1"/>
        <v>4035</v>
      </c>
    </row>
    <row r="64" spans="1:8" x14ac:dyDescent="0.25">
      <c r="A64" s="26">
        <v>43087.314004629632</v>
      </c>
      <c r="B64" s="20" t="s">
        <v>383</v>
      </c>
      <c r="C64" s="20" t="s">
        <v>733</v>
      </c>
      <c r="D64" s="137">
        <v>2560000</v>
      </c>
      <c r="E64" s="20" t="s">
        <v>700</v>
      </c>
      <c r="F64" s="20" t="s">
        <v>701</v>
      </c>
      <c r="G64" s="8" t="str">
        <f t="shared" si="0"/>
        <v>MACDONALD THOMAS</v>
      </c>
      <c r="H64" s="20" t="str">
        <f t="shared" si="1"/>
        <v>4062</v>
      </c>
    </row>
    <row r="65" spans="1:8" x14ac:dyDescent="0.25">
      <c r="A65" s="8">
        <v>43087.317361111112</v>
      </c>
      <c r="B65" s="20" t="s">
        <v>442</v>
      </c>
      <c r="C65" s="20" t="s">
        <v>734</v>
      </c>
      <c r="D65" s="137">
        <v>1830000</v>
      </c>
      <c r="E65" s="20" t="s">
        <v>346</v>
      </c>
      <c r="F65" s="20" t="s">
        <v>347</v>
      </c>
      <c r="G65" s="8" t="str">
        <f t="shared" si="0"/>
        <v>YORK EDGAR</v>
      </c>
      <c r="H65" s="20" t="str">
        <f t="shared" si="1"/>
        <v>4010</v>
      </c>
    </row>
    <row r="66" spans="1:8" x14ac:dyDescent="0.25">
      <c r="A66" s="8">
        <v>43087.319861111115</v>
      </c>
      <c r="B66" s="20" t="s">
        <v>443</v>
      </c>
      <c r="C66" s="20" t="s">
        <v>668</v>
      </c>
      <c r="D66" s="137">
        <v>2600000</v>
      </c>
      <c r="E66" s="20" t="s">
        <v>698</v>
      </c>
      <c r="F66" s="20" t="s">
        <v>592</v>
      </c>
      <c r="G66" s="8" t="str">
        <f t="shared" si="0"/>
        <v>DAVIDSON DAVID</v>
      </c>
      <c r="H66" s="20" t="str">
        <f t="shared" si="1"/>
        <v>4049</v>
      </c>
    </row>
    <row r="67" spans="1:8" x14ac:dyDescent="0.25">
      <c r="A67" s="8">
        <v>43087.319895833331</v>
      </c>
      <c r="B67" s="20" t="s">
        <v>452</v>
      </c>
      <c r="C67" s="20" t="s">
        <v>669</v>
      </c>
      <c r="D67" s="137">
        <v>3120000</v>
      </c>
      <c r="E67" s="20" t="s">
        <v>369</v>
      </c>
      <c r="F67" s="20" t="s">
        <v>513</v>
      </c>
      <c r="G67" s="8" t="str">
        <f t="shared" ref="G67:G130" si="2">E67&amp;" "&amp;F67</f>
        <v>THOMPSON LESTER</v>
      </c>
      <c r="H67" s="20" t="str">
        <f t="shared" ref="H67:H130" si="3">MID(B67,13,4)</f>
        <v>4051</v>
      </c>
    </row>
    <row r="68" spans="1:8" x14ac:dyDescent="0.25">
      <c r="A68" s="8">
        <v>43087.330775462964</v>
      </c>
      <c r="B68" s="20" t="s">
        <v>529</v>
      </c>
      <c r="C68" s="20" t="s">
        <v>735</v>
      </c>
      <c r="D68" s="137">
        <v>2370000</v>
      </c>
      <c r="E68" s="20" t="s">
        <v>516</v>
      </c>
      <c r="F68" s="20" t="s">
        <v>517</v>
      </c>
      <c r="G68" s="8" t="str">
        <f t="shared" si="2"/>
        <v>DELGADO DIANAH</v>
      </c>
      <c r="H68" s="20" t="str">
        <f t="shared" si="3"/>
        <v>4044</v>
      </c>
    </row>
    <row r="69" spans="1:8" x14ac:dyDescent="0.25">
      <c r="A69" s="8">
        <v>43087.331180555557</v>
      </c>
      <c r="B69" s="20" t="s">
        <v>385</v>
      </c>
      <c r="C69" s="20" t="s">
        <v>736</v>
      </c>
      <c r="D69" s="137">
        <v>2560000</v>
      </c>
      <c r="E69" s="20" t="s">
        <v>700</v>
      </c>
      <c r="F69" s="20" t="s">
        <v>701</v>
      </c>
      <c r="G69" s="8" t="str">
        <f t="shared" si="2"/>
        <v>MACDONALD THOMAS</v>
      </c>
      <c r="H69" s="20" t="str">
        <f t="shared" si="3"/>
        <v>4061</v>
      </c>
    </row>
    <row r="70" spans="1:8" x14ac:dyDescent="0.25">
      <c r="A70" s="8">
        <v>43087.332777777781</v>
      </c>
      <c r="B70" s="20" t="s">
        <v>366</v>
      </c>
      <c r="C70" s="20" t="s">
        <v>670</v>
      </c>
      <c r="D70" s="137">
        <v>1230000</v>
      </c>
      <c r="E70" s="20" t="s">
        <v>710</v>
      </c>
      <c r="F70" s="20" t="s">
        <v>711</v>
      </c>
      <c r="G70" s="8" t="str">
        <f t="shared" si="2"/>
        <v>YANAI IAN</v>
      </c>
      <c r="H70" s="20" t="str">
        <f t="shared" si="3"/>
        <v>4036</v>
      </c>
    </row>
    <row r="71" spans="1:8" x14ac:dyDescent="0.25">
      <c r="A71" s="8">
        <v>43087.339699074073</v>
      </c>
      <c r="B71" s="20" t="s">
        <v>384</v>
      </c>
      <c r="C71" s="20" t="s">
        <v>671</v>
      </c>
      <c r="D71" s="137">
        <v>2010000</v>
      </c>
      <c r="E71" s="20" t="s">
        <v>503</v>
      </c>
      <c r="F71" s="20" t="s">
        <v>504</v>
      </c>
      <c r="G71" s="8" t="str">
        <f t="shared" si="2"/>
        <v>MAELZER KURT</v>
      </c>
      <c r="H71" s="20" t="str">
        <f t="shared" si="3"/>
        <v>4022</v>
      </c>
    </row>
    <row r="72" spans="1:8" x14ac:dyDescent="0.25">
      <c r="A72" s="8">
        <v>43087.340601851851</v>
      </c>
      <c r="B72" s="20" t="s">
        <v>493</v>
      </c>
      <c r="C72" s="20" t="s">
        <v>737</v>
      </c>
      <c r="D72" s="137">
        <v>1110000</v>
      </c>
      <c r="E72" s="20" t="s">
        <v>688</v>
      </c>
      <c r="F72" s="20" t="s">
        <v>689</v>
      </c>
      <c r="G72" s="8" t="str">
        <f t="shared" si="2"/>
        <v>STARKS ANGELINA</v>
      </c>
      <c r="H72" s="20" t="str">
        <f t="shared" si="3"/>
        <v>4015</v>
      </c>
    </row>
    <row r="73" spans="1:8" x14ac:dyDescent="0.25">
      <c r="A73" s="8">
        <v>43087.351157407407</v>
      </c>
      <c r="B73" s="20" t="s">
        <v>673</v>
      </c>
      <c r="C73" s="20" t="s">
        <v>674</v>
      </c>
      <c r="D73" s="137">
        <v>3090000</v>
      </c>
      <c r="E73" s="20" t="s">
        <v>514</v>
      </c>
      <c r="F73" s="20" t="s">
        <v>515</v>
      </c>
      <c r="G73" s="8" t="str">
        <f t="shared" si="2"/>
        <v>LAMAR NEKESHA</v>
      </c>
      <c r="H73" s="20" t="str">
        <f t="shared" si="3"/>
        <v>4025</v>
      </c>
    </row>
    <row r="74" spans="1:8" x14ac:dyDescent="0.25">
      <c r="A74" s="8">
        <v>43087.351921296293</v>
      </c>
      <c r="B74" s="20" t="s">
        <v>367</v>
      </c>
      <c r="C74" s="20" t="s">
        <v>672</v>
      </c>
      <c r="D74" s="137">
        <v>1230000</v>
      </c>
      <c r="E74" s="20" t="s">
        <v>710</v>
      </c>
      <c r="F74" s="20" t="s">
        <v>711</v>
      </c>
      <c r="G74" s="8" t="str">
        <f t="shared" si="2"/>
        <v>YANAI IAN</v>
      </c>
      <c r="H74" s="20" t="str">
        <f t="shared" si="3"/>
        <v>4035</v>
      </c>
    </row>
    <row r="75" spans="1:8" x14ac:dyDescent="0.25">
      <c r="A75" s="8">
        <v>43087.353009259263</v>
      </c>
      <c r="B75" s="20" t="s">
        <v>383</v>
      </c>
      <c r="C75" s="20" t="s">
        <v>738</v>
      </c>
      <c r="D75" s="137">
        <v>2560000</v>
      </c>
      <c r="E75" s="20" t="s">
        <v>700</v>
      </c>
      <c r="F75" s="20" t="s">
        <v>701</v>
      </c>
      <c r="G75" s="8" t="str">
        <f t="shared" si="2"/>
        <v>MACDONALD THOMAS</v>
      </c>
      <c r="H75" s="20" t="str">
        <f t="shared" si="3"/>
        <v>4062</v>
      </c>
    </row>
    <row r="76" spans="1:8" x14ac:dyDescent="0.25">
      <c r="A76" s="8">
        <v>43087.353113425925</v>
      </c>
      <c r="B76" s="20" t="s">
        <v>450</v>
      </c>
      <c r="C76" s="20" t="s">
        <v>675</v>
      </c>
      <c r="D76" s="137">
        <v>3120000</v>
      </c>
      <c r="E76" s="20" t="s">
        <v>369</v>
      </c>
      <c r="F76" s="20" t="s">
        <v>513</v>
      </c>
      <c r="G76" s="8" t="str">
        <f t="shared" si="2"/>
        <v>THOMPSON LESTER</v>
      </c>
      <c r="H76" s="20" t="str">
        <f t="shared" si="3"/>
        <v>4052</v>
      </c>
    </row>
    <row r="77" spans="1:8" x14ac:dyDescent="0.25">
      <c r="A77" s="8">
        <v>43087.360706018517</v>
      </c>
      <c r="B77" s="20" t="s">
        <v>512</v>
      </c>
      <c r="C77" s="20" t="s">
        <v>739</v>
      </c>
      <c r="D77" s="137">
        <v>1830000</v>
      </c>
      <c r="E77" s="20" t="s">
        <v>346</v>
      </c>
      <c r="F77" s="20" t="s">
        <v>347</v>
      </c>
      <c r="G77" s="8" t="str">
        <f t="shared" si="2"/>
        <v>YORK EDGAR</v>
      </c>
      <c r="H77" s="20" t="str">
        <f t="shared" si="3"/>
        <v>4009</v>
      </c>
    </row>
    <row r="78" spans="1:8" x14ac:dyDescent="0.25">
      <c r="A78" s="8">
        <v>43087.361574074072</v>
      </c>
      <c r="B78" s="20" t="s">
        <v>444</v>
      </c>
      <c r="C78" s="20" t="s">
        <v>740</v>
      </c>
      <c r="D78" s="137">
        <v>2600000</v>
      </c>
      <c r="E78" s="20" t="s">
        <v>698</v>
      </c>
      <c r="F78" s="20" t="s">
        <v>592</v>
      </c>
      <c r="G78" s="8" t="str">
        <f t="shared" si="2"/>
        <v>DAVIDSON DAVID</v>
      </c>
      <c r="H78" s="20" t="str">
        <f t="shared" si="3"/>
        <v>4050</v>
      </c>
    </row>
    <row r="79" spans="1:8" x14ac:dyDescent="0.25">
      <c r="A79" s="8">
        <v>43087.36347222222</v>
      </c>
      <c r="B79" s="20" t="s">
        <v>530</v>
      </c>
      <c r="C79" s="20" t="s">
        <v>677</v>
      </c>
      <c r="D79" s="137">
        <v>2370000</v>
      </c>
      <c r="E79" s="20" t="s">
        <v>516</v>
      </c>
      <c r="F79" s="20" t="s">
        <v>517</v>
      </c>
      <c r="G79" s="8" t="str">
        <f t="shared" si="2"/>
        <v>DELGADO DIANAH</v>
      </c>
      <c r="H79" s="20" t="str">
        <f t="shared" si="3"/>
        <v>4043</v>
      </c>
    </row>
    <row r="80" spans="1:8" x14ac:dyDescent="0.25">
      <c r="A80" s="8">
        <v>43087.371018518519</v>
      </c>
      <c r="B80" s="20" t="s">
        <v>495</v>
      </c>
      <c r="C80" s="20" t="s">
        <v>676</v>
      </c>
      <c r="D80" s="137">
        <v>1110000</v>
      </c>
      <c r="E80" s="20" t="s">
        <v>688</v>
      </c>
      <c r="F80" s="20" t="s">
        <v>689</v>
      </c>
      <c r="G80" s="8" t="str">
        <f t="shared" si="2"/>
        <v>STARKS ANGELINA</v>
      </c>
      <c r="H80" s="20" t="str">
        <f t="shared" si="3"/>
        <v>4016</v>
      </c>
    </row>
    <row r="81" spans="1:8" x14ac:dyDescent="0.25">
      <c r="A81" s="8">
        <v>43087.374027777776</v>
      </c>
      <c r="B81" s="20" t="s">
        <v>559</v>
      </c>
      <c r="C81" s="20" t="s">
        <v>741</v>
      </c>
      <c r="D81" s="137">
        <v>2010000</v>
      </c>
      <c r="E81" s="20" t="s">
        <v>503</v>
      </c>
      <c r="F81" s="20" t="s">
        <v>504</v>
      </c>
      <c r="G81" s="8" t="str">
        <f t="shared" si="2"/>
        <v>MAELZER KURT</v>
      </c>
      <c r="H81" s="20" t="str">
        <f t="shared" si="3"/>
        <v>4021</v>
      </c>
    </row>
    <row r="82" spans="1:8" x14ac:dyDescent="0.25">
      <c r="A82" s="8">
        <v>43087.374155092592</v>
      </c>
      <c r="B82" s="20" t="s">
        <v>366</v>
      </c>
      <c r="C82" s="20" t="s">
        <v>742</v>
      </c>
      <c r="D82" s="137">
        <v>1230000</v>
      </c>
      <c r="E82" s="20" t="s">
        <v>710</v>
      </c>
      <c r="F82" s="20" t="s">
        <v>711</v>
      </c>
      <c r="G82" s="8" t="str">
        <f t="shared" si="2"/>
        <v>YANAI IAN</v>
      </c>
      <c r="H82" s="20" t="str">
        <f t="shared" si="3"/>
        <v>4036</v>
      </c>
    </row>
    <row r="83" spans="1:8" x14ac:dyDescent="0.25">
      <c r="A83" s="8">
        <v>43087.382557870369</v>
      </c>
      <c r="B83" s="20" t="s">
        <v>712</v>
      </c>
      <c r="C83" s="20" t="s">
        <v>743</v>
      </c>
      <c r="D83" s="137">
        <v>3090000</v>
      </c>
      <c r="E83" s="20" t="s">
        <v>514</v>
      </c>
      <c r="F83" s="20" t="s">
        <v>515</v>
      </c>
      <c r="G83" s="8" t="str">
        <f t="shared" si="2"/>
        <v>LAMAR NEKESHA</v>
      </c>
      <c r="H83" s="20" t="str">
        <f t="shared" si="3"/>
        <v>4026</v>
      </c>
    </row>
    <row r="84" spans="1:8" x14ac:dyDescent="0.25">
      <c r="A84" s="8">
        <v>43087.391979166663</v>
      </c>
      <c r="B84" s="20" t="s">
        <v>443</v>
      </c>
      <c r="C84" s="20" t="s">
        <v>744</v>
      </c>
      <c r="D84" s="137">
        <v>2600000</v>
      </c>
      <c r="E84" s="20" t="s">
        <v>698</v>
      </c>
      <c r="F84" s="20" t="s">
        <v>592</v>
      </c>
      <c r="G84" s="8" t="str">
        <f t="shared" si="2"/>
        <v>DAVIDSON DAVID</v>
      </c>
      <c r="H84" s="20" t="str">
        <f t="shared" si="3"/>
        <v>4049</v>
      </c>
    </row>
    <row r="85" spans="1:8" x14ac:dyDescent="0.25">
      <c r="A85" s="8">
        <v>43087.392453703702</v>
      </c>
      <c r="B85" s="20" t="s">
        <v>367</v>
      </c>
      <c r="C85" s="20" t="s">
        <v>745</v>
      </c>
      <c r="D85" s="137">
        <v>1230000</v>
      </c>
      <c r="E85" s="20" t="s">
        <v>710</v>
      </c>
      <c r="F85" s="20" t="s">
        <v>711</v>
      </c>
      <c r="G85" s="8" t="str">
        <f t="shared" si="2"/>
        <v>YANAI IAN</v>
      </c>
      <c r="H85" s="20" t="str">
        <f t="shared" si="3"/>
        <v>4035</v>
      </c>
    </row>
    <row r="86" spans="1:8" x14ac:dyDescent="0.25">
      <c r="A86" s="8">
        <v>43087.394293981481</v>
      </c>
      <c r="B86" s="20" t="s">
        <v>442</v>
      </c>
      <c r="C86" s="20" t="s">
        <v>746</v>
      </c>
      <c r="D86" s="137">
        <v>1830000</v>
      </c>
      <c r="E86" s="20" t="s">
        <v>346</v>
      </c>
      <c r="F86" s="20" t="s">
        <v>347</v>
      </c>
      <c r="G86" s="8" t="str">
        <f t="shared" si="2"/>
        <v>YORK EDGAR</v>
      </c>
      <c r="H86" s="20" t="str">
        <f t="shared" si="3"/>
        <v>4010</v>
      </c>
    </row>
    <row r="87" spans="1:8" x14ac:dyDescent="0.25">
      <c r="A87" s="8">
        <v>43087.39534722222</v>
      </c>
      <c r="B87" s="20" t="s">
        <v>452</v>
      </c>
      <c r="C87" s="20" t="s">
        <v>678</v>
      </c>
      <c r="D87" s="137">
        <v>3120000</v>
      </c>
      <c r="E87" s="20" t="s">
        <v>369</v>
      </c>
      <c r="F87" s="20" t="s">
        <v>513</v>
      </c>
      <c r="G87" s="8" t="str">
        <f t="shared" si="2"/>
        <v>THOMPSON LESTER</v>
      </c>
      <c r="H87" s="20" t="str">
        <f t="shared" si="3"/>
        <v>4051</v>
      </c>
    </row>
    <row r="88" spans="1:8" x14ac:dyDescent="0.25">
      <c r="A88" s="8">
        <v>43087.405173611114</v>
      </c>
      <c r="B88" s="20" t="s">
        <v>529</v>
      </c>
      <c r="C88" s="20" t="s">
        <v>747</v>
      </c>
      <c r="D88" s="137">
        <v>2370000</v>
      </c>
      <c r="E88" s="20" t="s">
        <v>516</v>
      </c>
      <c r="F88" s="20" t="s">
        <v>517</v>
      </c>
      <c r="G88" s="8" t="str">
        <f t="shared" si="2"/>
        <v>DELGADO DIANAH</v>
      </c>
      <c r="H88" s="20" t="str">
        <f t="shared" si="3"/>
        <v>4044</v>
      </c>
    </row>
    <row r="89" spans="1:8" x14ac:dyDescent="0.25">
      <c r="A89" s="8">
        <v>43087.411597222221</v>
      </c>
      <c r="B89" s="20" t="s">
        <v>384</v>
      </c>
      <c r="C89" s="20" t="s">
        <v>748</v>
      </c>
      <c r="D89" s="137">
        <v>2010000</v>
      </c>
      <c r="E89" s="20" t="s">
        <v>503</v>
      </c>
      <c r="F89" s="20" t="s">
        <v>504</v>
      </c>
      <c r="G89" s="8" t="str">
        <f t="shared" si="2"/>
        <v>MAELZER KURT</v>
      </c>
      <c r="H89" s="20" t="str">
        <f t="shared" si="3"/>
        <v>4022</v>
      </c>
    </row>
    <row r="90" spans="1:8" x14ac:dyDescent="0.25">
      <c r="A90" s="8">
        <v>43087.412442129629</v>
      </c>
      <c r="B90" s="20" t="s">
        <v>493</v>
      </c>
      <c r="C90" s="20" t="s">
        <v>749</v>
      </c>
      <c r="D90" s="137">
        <v>1110000</v>
      </c>
      <c r="E90" s="20" t="s">
        <v>688</v>
      </c>
      <c r="F90" s="20" t="s">
        <v>689</v>
      </c>
      <c r="G90" s="8" t="str">
        <f t="shared" si="2"/>
        <v>STARKS ANGELINA</v>
      </c>
      <c r="H90" s="20" t="str">
        <f t="shared" si="3"/>
        <v>4015</v>
      </c>
    </row>
    <row r="91" spans="1:8" x14ac:dyDescent="0.25">
      <c r="A91" s="8">
        <v>43087.41474537037</v>
      </c>
      <c r="B91" s="20" t="s">
        <v>366</v>
      </c>
      <c r="C91" s="20" t="s">
        <v>750</v>
      </c>
      <c r="D91" s="137">
        <v>1230000</v>
      </c>
      <c r="E91" s="20" t="s">
        <v>710</v>
      </c>
      <c r="F91" s="20" t="s">
        <v>711</v>
      </c>
      <c r="G91" s="8" t="str">
        <f t="shared" si="2"/>
        <v>YANAI IAN</v>
      </c>
      <c r="H91" s="20" t="str">
        <f t="shared" si="3"/>
        <v>4036</v>
      </c>
    </row>
    <row r="92" spans="1:8" x14ac:dyDescent="0.25">
      <c r="A92" s="8">
        <v>43087.423819444448</v>
      </c>
      <c r="B92" s="20" t="s">
        <v>673</v>
      </c>
      <c r="C92" s="20" t="s">
        <v>751</v>
      </c>
      <c r="D92" s="137">
        <v>3090000</v>
      </c>
      <c r="E92" s="20" t="s">
        <v>514</v>
      </c>
      <c r="F92" s="20" t="s">
        <v>515</v>
      </c>
      <c r="G92" s="8" t="str">
        <f t="shared" si="2"/>
        <v>LAMAR NEKESHA</v>
      </c>
      <c r="H92" s="20" t="str">
        <f t="shared" si="3"/>
        <v>4025</v>
      </c>
    </row>
    <row r="93" spans="1:8" x14ac:dyDescent="0.25">
      <c r="A93" s="8">
        <v>43087.425011574072</v>
      </c>
      <c r="B93" s="20" t="s">
        <v>450</v>
      </c>
      <c r="C93" s="20" t="s">
        <v>752</v>
      </c>
      <c r="D93" s="137">
        <v>2560000</v>
      </c>
      <c r="E93" s="20" t="s">
        <v>700</v>
      </c>
      <c r="F93" s="20" t="s">
        <v>701</v>
      </c>
      <c r="G93" s="8" t="str">
        <f t="shared" si="2"/>
        <v>MACDONALD THOMAS</v>
      </c>
      <c r="H93" s="20" t="str">
        <f t="shared" si="3"/>
        <v>4052</v>
      </c>
    </row>
    <row r="94" spans="1:8" x14ac:dyDescent="0.25">
      <c r="A94" s="8">
        <v>43087.432175925926</v>
      </c>
      <c r="B94" s="20" t="s">
        <v>512</v>
      </c>
      <c r="C94" s="20" t="s">
        <v>753</v>
      </c>
      <c r="D94" s="137">
        <v>1830000</v>
      </c>
      <c r="E94" s="20" t="s">
        <v>346</v>
      </c>
      <c r="F94" s="20" t="s">
        <v>347</v>
      </c>
      <c r="G94" s="8" t="str">
        <f t="shared" si="2"/>
        <v>YORK EDGAR</v>
      </c>
      <c r="H94" s="20" t="str">
        <f t="shared" si="3"/>
        <v>4009</v>
      </c>
    </row>
    <row r="95" spans="1:8" x14ac:dyDescent="0.25">
      <c r="A95" s="8">
        <v>43087.433425925927</v>
      </c>
      <c r="B95" s="20" t="s">
        <v>444</v>
      </c>
      <c r="C95" s="20" t="s">
        <v>754</v>
      </c>
      <c r="D95" s="137">
        <v>2600000</v>
      </c>
      <c r="E95" s="20" t="s">
        <v>698</v>
      </c>
      <c r="F95" s="20" t="s">
        <v>592</v>
      </c>
      <c r="G95" s="8" t="str">
        <f t="shared" si="2"/>
        <v>DAVIDSON DAVID</v>
      </c>
      <c r="H95" s="20" t="str">
        <f t="shared" si="3"/>
        <v>4050</v>
      </c>
    </row>
    <row r="96" spans="1:8" x14ac:dyDescent="0.25">
      <c r="A96" s="8">
        <v>43087.433587962965</v>
      </c>
      <c r="B96" s="20" t="s">
        <v>530</v>
      </c>
      <c r="C96" s="20" t="s">
        <v>755</v>
      </c>
      <c r="D96" s="137">
        <v>2370000</v>
      </c>
      <c r="E96" s="20" t="s">
        <v>516</v>
      </c>
      <c r="F96" s="20" t="s">
        <v>517</v>
      </c>
      <c r="G96" s="8" t="str">
        <f t="shared" si="2"/>
        <v>DELGADO DIANAH</v>
      </c>
      <c r="H96" s="20" t="str">
        <f t="shared" si="3"/>
        <v>4043</v>
      </c>
    </row>
    <row r="97" spans="1:8" x14ac:dyDescent="0.25">
      <c r="A97" s="8">
        <v>43087.433761574073</v>
      </c>
      <c r="B97" s="20" t="s">
        <v>367</v>
      </c>
      <c r="C97" s="20" t="s">
        <v>756</v>
      </c>
      <c r="D97" s="137">
        <v>1230000</v>
      </c>
      <c r="E97" s="20" t="s">
        <v>710</v>
      </c>
      <c r="F97" s="20" t="s">
        <v>711</v>
      </c>
      <c r="G97" s="8" t="str">
        <f t="shared" si="2"/>
        <v>YANAI IAN</v>
      </c>
      <c r="H97" s="20" t="str">
        <f t="shared" si="3"/>
        <v>4035</v>
      </c>
    </row>
    <row r="98" spans="1:8" x14ac:dyDescent="0.25">
      <c r="A98" s="8">
        <v>43087.444826388892</v>
      </c>
      <c r="B98" s="20" t="s">
        <v>495</v>
      </c>
      <c r="C98" s="20" t="s">
        <v>757</v>
      </c>
      <c r="D98" s="137">
        <v>2550000</v>
      </c>
      <c r="E98" s="20" t="s">
        <v>505</v>
      </c>
      <c r="F98" s="20" t="s">
        <v>506</v>
      </c>
      <c r="G98" s="8" t="str">
        <f t="shared" si="2"/>
        <v>BADERTSCHER DIANE</v>
      </c>
      <c r="H98" s="20" t="str">
        <f t="shared" si="3"/>
        <v>4016</v>
      </c>
    </row>
    <row r="99" spans="1:8" x14ac:dyDescent="0.25">
      <c r="A99" s="8">
        <v>43087.448414351849</v>
      </c>
      <c r="B99" s="20" t="s">
        <v>559</v>
      </c>
      <c r="C99" s="20" t="s">
        <v>758</v>
      </c>
      <c r="D99" s="137">
        <v>2010000</v>
      </c>
      <c r="E99" s="20" t="s">
        <v>503</v>
      </c>
      <c r="F99" s="20" t="s">
        <v>504</v>
      </c>
      <c r="G99" s="8" t="str">
        <f t="shared" si="2"/>
        <v>MAELZER KURT</v>
      </c>
      <c r="H99" s="20" t="str">
        <f t="shared" si="3"/>
        <v>4021</v>
      </c>
    </row>
    <row r="100" spans="1:8" x14ac:dyDescent="0.25">
      <c r="A100" s="8">
        <v>43087.45621527778</v>
      </c>
      <c r="B100" s="20" t="s">
        <v>712</v>
      </c>
      <c r="C100" s="20" t="s">
        <v>759</v>
      </c>
      <c r="D100" s="137">
        <v>3090000</v>
      </c>
      <c r="E100" s="20" t="s">
        <v>514</v>
      </c>
      <c r="F100" s="20" t="s">
        <v>515</v>
      </c>
      <c r="G100" s="8" t="str">
        <f t="shared" si="2"/>
        <v>LAMAR NEKESHA</v>
      </c>
      <c r="H100" s="20" t="str">
        <f t="shared" si="3"/>
        <v>4026</v>
      </c>
    </row>
    <row r="101" spans="1:8" x14ac:dyDescent="0.25">
      <c r="A101" s="8">
        <v>43087.463067129633</v>
      </c>
      <c r="B101" s="20" t="s">
        <v>366</v>
      </c>
      <c r="C101" s="20" t="s">
        <v>760</v>
      </c>
      <c r="D101" s="137">
        <v>1230000</v>
      </c>
      <c r="E101" s="20" t="s">
        <v>710</v>
      </c>
      <c r="F101" s="20" t="s">
        <v>711</v>
      </c>
      <c r="G101" s="8" t="str">
        <f t="shared" si="2"/>
        <v>YANAI IAN</v>
      </c>
      <c r="H101" s="20" t="str">
        <f t="shared" si="3"/>
        <v>4036</v>
      </c>
    </row>
    <row r="102" spans="1:8" x14ac:dyDescent="0.25">
      <c r="A102" s="8">
        <v>43087.464837962965</v>
      </c>
      <c r="B102" s="20" t="s">
        <v>443</v>
      </c>
      <c r="C102" s="20" t="s">
        <v>761</v>
      </c>
      <c r="D102" s="137">
        <v>2600000</v>
      </c>
      <c r="E102" s="20" t="s">
        <v>698</v>
      </c>
      <c r="F102" s="20" t="s">
        <v>592</v>
      </c>
      <c r="G102" s="8" t="str">
        <f t="shared" si="2"/>
        <v>DAVIDSON DAVID</v>
      </c>
      <c r="H102" s="20" t="str">
        <f t="shared" si="3"/>
        <v>4049</v>
      </c>
    </row>
    <row r="103" spans="1:8" x14ac:dyDescent="0.25">
      <c r="A103" s="8">
        <v>43087.46503472222</v>
      </c>
      <c r="B103" s="20" t="s">
        <v>442</v>
      </c>
      <c r="C103" s="20" t="s">
        <v>762</v>
      </c>
      <c r="D103" s="137">
        <v>920000</v>
      </c>
      <c r="E103" s="20" t="s">
        <v>538</v>
      </c>
      <c r="F103" s="20" t="s">
        <v>352</v>
      </c>
      <c r="G103" s="8" t="str">
        <f t="shared" si="2"/>
        <v>DAVIS MICHAEL</v>
      </c>
      <c r="H103" s="20" t="str">
        <f t="shared" si="3"/>
        <v>4010</v>
      </c>
    </row>
    <row r="104" spans="1:8" x14ac:dyDescent="0.25">
      <c r="A104" s="8">
        <v>43087.466041666667</v>
      </c>
      <c r="B104" s="20" t="s">
        <v>452</v>
      </c>
      <c r="C104" s="20" t="s">
        <v>763</v>
      </c>
      <c r="D104" s="137">
        <v>2560000</v>
      </c>
      <c r="E104" s="20" t="s">
        <v>700</v>
      </c>
      <c r="F104" s="20" t="s">
        <v>701</v>
      </c>
      <c r="G104" s="8" t="str">
        <f t="shared" si="2"/>
        <v>MACDONALD THOMAS</v>
      </c>
      <c r="H104" s="20" t="str">
        <f t="shared" si="3"/>
        <v>4051</v>
      </c>
    </row>
    <row r="105" spans="1:8" x14ac:dyDescent="0.25">
      <c r="A105" s="8">
        <v>43087.474733796298</v>
      </c>
      <c r="B105" s="20" t="s">
        <v>529</v>
      </c>
      <c r="C105" s="20" t="s">
        <v>764</v>
      </c>
      <c r="D105" s="137">
        <v>880000</v>
      </c>
      <c r="E105" s="20" t="s">
        <v>590</v>
      </c>
      <c r="F105" s="20" t="s">
        <v>352</v>
      </c>
      <c r="G105" s="8" t="str">
        <f t="shared" si="2"/>
        <v>STEWART MICHAEL</v>
      </c>
      <c r="H105" s="20" t="str">
        <f t="shared" si="3"/>
        <v>4044</v>
      </c>
    </row>
    <row r="106" spans="1:8" x14ac:dyDescent="0.25">
      <c r="A106" s="8">
        <v>43087.475405092591</v>
      </c>
      <c r="B106" s="20" t="s">
        <v>367</v>
      </c>
      <c r="C106" s="20" t="s">
        <v>765</v>
      </c>
      <c r="D106" s="137">
        <v>1230000</v>
      </c>
      <c r="E106" s="20" t="s">
        <v>710</v>
      </c>
      <c r="F106" s="20" t="s">
        <v>711</v>
      </c>
      <c r="G106" s="8" t="str">
        <f t="shared" si="2"/>
        <v>YANAI IAN</v>
      </c>
      <c r="H106" s="20" t="str">
        <f t="shared" si="3"/>
        <v>4035</v>
      </c>
    </row>
    <row r="107" spans="1:8" x14ac:dyDescent="0.25">
      <c r="A107" s="8">
        <v>43087.483287037037</v>
      </c>
      <c r="B107" s="20" t="s">
        <v>493</v>
      </c>
      <c r="C107" s="20" t="s">
        <v>679</v>
      </c>
      <c r="D107" s="137">
        <v>2550000</v>
      </c>
      <c r="E107" s="20" t="s">
        <v>505</v>
      </c>
      <c r="F107" s="20" t="s">
        <v>506</v>
      </c>
      <c r="G107" s="8" t="str">
        <f t="shared" si="2"/>
        <v>BADERTSCHER DIANE</v>
      </c>
      <c r="H107" s="20" t="str">
        <f t="shared" si="3"/>
        <v>4015</v>
      </c>
    </row>
    <row r="108" spans="1:8" x14ac:dyDescent="0.25">
      <c r="A108" s="8">
        <v>43087.485659722224</v>
      </c>
      <c r="B108" s="20" t="s">
        <v>384</v>
      </c>
      <c r="C108" s="20" t="s">
        <v>766</v>
      </c>
      <c r="D108" s="137">
        <v>1180000</v>
      </c>
      <c r="E108" s="20" t="s">
        <v>767</v>
      </c>
      <c r="F108" s="20" t="s">
        <v>768</v>
      </c>
      <c r="G108" s="8" t="str">
        <f t="shared" si="2"/>
        <v>LEVERE CRAIG</v>
      </c>
      <c r="H108" s="20" t="str">
        <f t="shared" si="3"/>
        <v>4022</v>
      </c>
    </row>
    <row r="109" spans="1:8" x14ac:dyDescent="0.25">
      <c r="A109" s="8">
        <v>43087.494618055556</v>
      </c>
      <c r="B109" s="20" t="s">
        <v>450</v>
      </c>
      <c r="C109" s="20" t="s">
        <v>769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4052</v>
      </c>
    </row>
    <row r="110" spans="1:8" x14ac:dyDescent="0.25">
      <c r="A110" s="8">
        <v>43087.496412037035</v>
      </c>
      <c r="B110" s="20" t="s">
        <v>673</v>
      </c>
      <c r="C110" s="20" t="s">
        <v>770</v>
      </c>
      <c r="D110" s="137">
        <v>3090000</v>
      </c>
      <c r="E110" s="20" t="s">
        <v>514</v>
      </c>
      <c r="F110" s="20" t="s">
        <v>515</v>
      </c>
      <c r="G110" s="8" t="str">
        <f t="shared" si="2"/>
        <v>LAMAR NEKESHA</v>
      </c>
      <c r="H110" s="20" t="str">
        <f t="shared" si="3"/>
        <v>4025</v>
      </c>
    </row>
    <row r="111" spans="1:8" x14ac:dyDescent="0.25">
      <c r="A111" s="8">
        <v>43087.498449074075</v>
      </c>
      <c r="B111" s="20" t="s">
        <v>366</v>
      </c>
      <c r="C111" s="20" t="s">
        <v>771</v>
      </c>
      <c r="D111" s="137">
        <v>1230000</v>
      </c>
      <c r="E111" s="20" t="s">
        <v>710</v>
      </c>
      <c r="F111" s="20" t="s">
        <v>711</v>
      </c>
      <c r="G111" s="8" t="str">
        <f t="shared" si="2"/>
        <v>YANAI IAN</v>
      </c>
      <c r="H111" s="20" t="str">
        <f t="shared" si="3"/>
        <v>4036</v>
      </c>
    </row>
    <row r="112" spans="1:8" x14ac:dyDescent="0.25">
      <c r="A112" s="8">
        <v>43087.506469907406</v>
      </c>
      <c r="B112" s="20" t="s">
        <v>512</v>
      </c>
      <c r="C112" s="20" t="s">
        <v>772</v>
      </c>
      <c r="D112" s="137">
        <v>920000</v>
      </c>
      <c r="E112" s="20" t="s">
        <v>538</v>
      </c>
      <c r="F112" s="20" t="s">
        <v>352</v>
      </c>
      <c r="G112" s="8" t="str">
        <f t="shared" si="2"/>
        <v>DAVIS MICHAEL</v>
      </c>
      <c r="H112" s="20" t="str">
        <f t="shared" si="3"/>
        <v>4009</v>
      </c>
    </row>
    <row r="113" spans="1:8" x14ac:dyDescent="0.25">
      <c r="A113" s="8">
        <v>43087.508692129632</v>
      </c>
      <c r="B113" s="20" t="s">
        <v>444</v>
      </c>
      <c r="C113" s="20" t="s">
        <v>773</v>
      </c>
      <c r="D113" s="137">
        <v>2630000</v>
      </c>
      <c r="E113" s="20" t="s">
        <v>372</v>
      </c>
      <c r="F113" s="20" t="s">
        <v>373</v>
      </c>
      <c r="G113" s="8" t="str">
        <f t="shared" si="2"/>
        <v>SAFIEF AEIMEN</v>
      </c>
      <c r="H113" s="20" t="str">
        <f t="shared" si="3"/>
        <v>4050</v>
      </c>
    </row>
    <row r="114" spans="1:8" x14ac:dyDescent="0.25">
      <c r="A114" s="8">
        <v>43087.515416666669</v>
      </c>
      <c r="B114" s="20" t="s">
        <v>530</v>
      </c>
      <c r="C114" s="20" t="s">
        <v>774</v>
      </c>
      <c r="D114" s="137">
        <v>880000</v>
      </c>
      <c r="E114" s="20" t="s">
        <v>590</v>
      </c>
      <c r="F114" s="20" t="s">
        <v>352</v>
      </c>
      <c r="G114" s="8" t="str">
        <f t="shared" si="2"/>
        <v>STEWART MICHAEL</v>
      </c>
      <c r="H114" s="20" t="str">
        <f t="shared" si="3"/>
        <v>4043</v>
      </c>
    </row>
    <row r="115" spans="1:8" x14ac:dyDescent="0.25">
      <c r="A115" s="8">
        <v>43087.516840277778</v>
      </c>
      <c r="B115" s="20" t="s">
        <v>367</v>
      </c>
      <c r="C115" s="20" t="s">
        <v>775</v>
      </c>
      <c r="D115" s="137">
        <v>1230000</v>
      </c>
      <c r="E115" s="20" t="s">
        <v>710</v>
      </c>
      <c r="F115" s="20" t="s">
        <v>711</v>
      </c>
      <c r="G115" s="8" t="str">
        <f t="shared" si="2"/>
        <v>YANAI IAN</v>
      </c>
      <c r="H115" s="20" t="str">
        <f t="shared" si="3"/>
        <v>4035</v>
      </c>
    </row>
    <row r="116" spans="1:8" x14ac:dyDescent="0.25">
      <c r="A116" s="8">
        <v>43087.517407407409</v>
      </c>
      <c r="B116" s="20" t="s">
        <v>495</v>
      </c>
      <c r="C116" s="20" t="s">
        <v>776</v>
      </c>
      <c r="D116" s="137">
        <v>2550000</v>
      </c>
      <c r="E116" s="20" t="s">
        <v>505</v>
      </c>
      <c r="F116" s="20" t="s">
        <v>506</v>
      </c>
      <c r="G116" s="8" t="str">
        <f t="shared" si="2"/>
        <v>BADERTSCHER DIANE</v>
      </c>
      <c r="H116" s="20" t="str">
        <f t="shared" si="3"/>
        <v>4016</v>
      </c>
    </row>
    <row r="117" spans="1:8" x14ac:dyDescent="0.25">
      <c r="A117" s="8">
        <v>43087.524178240739</v>
      </c>
      <c r="B117" s="20" t="s">
        <v>559</v>
      </c>
      <c r="C117" s="20" t="s">
        <v>777</v>
      </c>
      <c r="D117" s="137">
        <v>1180000</v>
      </c>
      <c r="E117" s="20" t="s">
        <v>767</v>
      </c>
      <c r="F117" s="20" t="s">
        <v>768</v>
      </c>
      <c r="G117" s="8" t="str">
        <f t="shared" si="2"/>
        <v>LEVERE CRAIG</v>
      </c>
      <c r="H117" s="20" t="str">
        <f t="shared" si="3"/>
        <v>4021</v>
      </c>
    </row>
    <row r="118" spans="1:8" x14ac:dyDescent="0.25">
      <c r="A118" s="8">
        <v>43087.529039351852</v>
      </c>
      <c r="B118" s="20" t="s">
        <v>712</v>
      </c>
      <c r="C118" s="20" t="s">
        <v>778</v>
      </c>
      <c r="D118" s="137">
        <v>2230000</v>
      </c>
      <c r="E118" s="20" t="s">
        <v>393</v>
      </c>
      <c r="F118" s="20" t="s">
        <v>352</v>
      </c>
      <c r="G118" s="8" t="str">
        <f t="shared" si="2"/>
        <v>SMITH MICHAEL</v>
      </c>
      <c r="H118" s="20" t="str">
        <f t="shared" si="3"/>
        <v>4026</v>
      </c>
    </row>
    <row r="119" spans="1:8" x14ac:dyDescent="0.25">
      <c r="A119" s="8">
        <v>43087.530162037037</v>
      </c>
      <c r="B119" s="20" t="s">
        <v>452</v>
      </c>
      <c r="C119" s="20" t="s">
        <v>779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4051</v>
      </c>
    </row>
    <row r="120" spans="1:8" x14ac:dyDescent="0.25">
      <c r="A120" s="8">
        <v>43087.539467592593</v>
      </c>
      <c r="B120" s="20" t="s">
        <v>442</v>
      </c>
      <c r="C120" s="20" t="s">
        <v>780</v>
      </c>
      <c r="D120" s="137">
        <v>920000</v>
      </c>
      <c r="E120" s="20" t="s">
        <v>538</v>
      </c>
      <c r="F120" s="20" t="s">
        <v>352</v>
      </c>
      <c r="G120" s="8" t="str">
        <f t="shared" si="2"/>
        <v>DAVIS MICHAEL</v>
      </c>
      <c r="H120" s="20" t="str">
        <f t="shared" si="3"/>
        <v>4010</v>
      </c>
    </row>
    <row r="121" spans="1:8" x14ac:dyDescent="0.25">
      <c r="A121" s="8">
        <v>43087.540937500002</v>
      </c>
      <c r="B121" s="20" t="s">
        <v>443</v>
      </c>
      <c r="C121" s="20" t="s">
        <v>781</v>
      </c>
      <c r="D121" s="137">
        <v>2630000</v>
      </c>
      <c r="E121" s="20" t="s">
        <v>372</v>
      </c>
      <c r="F121" s="20" t="s">
        <v>373</v>
      </c>
      <c r="G121" s="8" t="str">
        <f t="shared" si="2"/>
        <v>SAFIEF AEIMEN</v>
      </c>
      <c r="H121" s="20" t="str">
        <f t="shared" si="3"/>
        <v>4049</v>
      </c>
    </row>
    <row r="122" spans="1:8" x14ac:dyDescent="0.25">
      <c r="A122" s="8">
        <v>43087.543263888889</v>
      </c>
      <c r="B122" s="25" t="s">
        <v>366</v>
      </c>
      <c r="C122" s="20" t="s">
        <v>782</v>
      </c>
      <c r="D122" s="137">
        <v>3330000</v>
      </c>
      <c r="E122" s="20" t="s">
        <v>531</v>
      </c>
      <c r="F122" s="20" t="s">
        <v>532</v>
      </c>
      <c r="G122" s="8" t="str">
        <f t="shared" si="2"/>
        <v>GONZALEZ ARMANDO</v>
      </c>
      <c r="H122" s="20" t="str">
        <f t="shared" si="3"/>
        <v>4036</v>
      </c>
    </row>
    <row r="123" spans="1:8" x14ac:dyDescent="0.25">
      <c r="A123" s="8">
        <v>43087.548611111109</v>
      </c>
      <c r="B123" s="20" t="s">
        <v>529</v>
      </c>
      <c r="C123" s="20" t="s">
        <v>783</v>
      </c>
      <c r="D123" s="137">
        <v>880000</v>
      </c>
      <c r="E123" s="20" t="s">
        <v>590</v>
      </c>
      <c r="F123" s="20" t="s">
        <v>352</v>
      </c>
      <c r="G123" s="8" t="str">
        <f t="shared" si="2"/>
        <v>STEWART MICHAEL</v>
      </c>
      <c r="H123" s="20" t="str">
        <f t="shared" si="3"/>
        <v>4044</v>
      </c>
    </row>
    <row r="124" spans="1:8" x14ac:dyDescent="0.25">
      <c r="A124" s="8">
        <v>43087.556979166664</v>
      </c>
      <c r="B124" s="20" t="s">
        <v>493</v>
      </c>
      <c r="C124" s="20" t="s">
        <v>784</v>
      </c>
      <c r="D124" s="137">
        <v>2550000</v>
      </c>
      <c r="E124" s="20" t="s">
        <v>505</v>
      </c>
      <c r="F124" s="20" t="s">
        <v>506</v>
      </c>
      <c r="G124" s="8" t="str">
        <f t="shared" si="2"/>
        <v>BADERTSCHER DIANE</v>
      </c>
      <c r="H124" s="20" t="str">
        <f t="shared" si="3"/>
        <v>4015</v>
      </c>
    </row>
    <row r="125" spans="1:8" x14ac:dyDescent="0.25">
      <c r="A125" s="8">
        <v>43087.558622685188</v>
      </c>
      <c r="B125" s="20" t="s">
        <v>384</v>
      </c>
      <c r="C125" s="20" t="s">
        <v>785</v>
      </c>
      <c r="D125" s="137">
        <v>1180000</v>
      </c>
      <c r="E125" s="20" t="s">
        <v>767</v>
      </c>
      <c r="F125" s="20" t="s">
        <v>768</v>
      </c>
      <c r="G125" s="8" t="str">
        <f t="shared" si="2"/>
        <v>LEVERE CRAIG</v>
      </c>
      <c r="H125" s="20" t="str">
        <f t="shared" si="3"/>
        <v>4022</v>
      </c>
    </row>
    <row r="126" spans="1:8" x14ac:dyDescent="0.25">
      <c r="A126" s="8">
        <v>43087.561273148145</v>
      </c>
      <c r="B126" s="20" t="s">
        <v>367</v>
      </c>
      <c r="C126" s="20" t="s">
        <v>786</v>
      </c>
      <c r="D126" s="137">
        <v>3330000</v>
      </c>
      <c r="E126" s="20" t="s">
        <v>531</v>
      </c>
      <c r="F126" s="20" t="s">
        <v>532</v>
      </c>
      <c r="G126" s="8" t="str">
        <f t="shared" si="2"/>
        <v>GONZALEZ ARMANDO</v>
      </c>
      <c r="H126" s="20" t="str">
        <f t="shared" si="3"/>
        <v>4035</v>
      </c>
    </row>
    <row r="127" spans="1:8" x14ac:dyDescent="0.25">
      <c r="A127" s="8">
        <v>43087.561273148145</v>
      </c>
      <c r="B127" s="20" t="s">
        <v>673</v>
      </c>
      <c r="C127" s="20" t="s">
        <v>787</v>
      </c>
      <c r="D127" s="137">
        <v>2230000</v>
      </c>
      <c r="E127" s="20" t="s">
        <v>393</v>
      </c>
      <c r="F127" s="20" t="s">
        <v>352</v>
      </c>
      <c r="G127" s="8" t="str">
        <f t="shared" si="2"/>
        <v>SMITH MICHAEL</v>
      </c>
      <c r="H127" s="20" t="str">
        <f t="shared" si="3"/>
        <v>4025</v>
      </c>
    </row>
    <row r="128" spans="1:8" x14ac:dyDescent="0.25">
      <c r="A128" s="8">
        <v>43087.569490740738</v>
      </c>
      <c r="B128" s="20" t="s">
        <v>450</v>
      </c>
      <c r="C128" s="20" t="s">
        <v>788</v>
      </c>
      <c r="D128" s="137">
        <v>2970000</v>
      </c>
      <c r="E128" s="20" t="s">
        <v>374</v>
      </c>
      <c r="F128" s="20" t="s">
        <v>375</v>
      </c>
      <c r="G128" s="8" t="str">
        <f t="shared" si="2"/>
        <v>GUZMAN DANNY</v>
      </c>
      <c r="H128" s="20" t="str">
        <f t="shared" si="3"/>
        <v>4052</v>
      </c>
    </row>
    <row r="129" spans="1:8" x14ac:dyDescent="0.25">
      <c r="A129" s="8">
        <v>43087.579895833333</v>
      </c>
      <c r="B129" s="20" t="s">
        <v>512</v>
      </c>
      <c r="C129" s="20" t="s">
        <v>789</v>
      </c>
      <c r="D129" s="137">
        <v>920000</v>
      </c>
      <c r="E129" s="20" t="s">
        <v>538</v>
      </c>
      <c r="F129" s="20" t="s">
        <v>352</v>
      </c>
      <c r="G129" s="8" t="str">
        <f t="shared" si="2"/>
        <v>DAVIS MICHAEL</v>
      </c>
      <c r="H129" s="20" t="str">
        <f t="shared" si="3"/>
        <v>4009</v>
      </c>
    </row>
    <row r="130" spans="1:8" x14ac:dyDescent="0.25">
      <c r="A130" s="8">
        <v>43087.580578703702</v>
      </c>
      <c r="B130" s="20" t="s">
        <v>444</v>
      </c>
      <c r="C130" s="20" t="s">
        <v>790</v>
      </c>
      <c r="D130" s="137">
        <v>2630000</v>
      </c>
      <c r="E130" s="20" t="s">
        <v>372</v>
      </c>
      <c r="F130" s="20" t="s">
        <v>373</v>
      </c>
      <c r="G130" s="8" t="str">
        <f t="shared" si="2"/>
        <v>SAFIEF AEIMEN</v>
      </c>
      <c r="H130" s="20" t="str">
        <f t="shared" si="3"/>
        <v>4050</v>
      </c>
    </row>
    <row r="131" spans="1:8" x14ac:dyDescent="0.25">
      <c r="A131" s="8">
        <v>43087.587476851855</v>
      </c>
      <c r="B131" s="20" t="s">
        <v>366</v>
      </c>
      <c r="C131" s="20" t="s">
        <v>791</v>
      </c>
      <c r="D131" s="137">
        <v>3330000</v>
      </c>
      <c r="E131" s="20" t="s">
        <v>531</v>
      </c>
      <c r="F131" s="20" t="s">
        <v>532</v>
      </c>
      <c r="G131" s="8" t="str">
        <f t="shared" ref="G131:G194" si="4">E131&amp;" "&amp;F131</f>
        <v>GONZALEZ ARMANDO</v>
      </c>
      <c r="H131" s="20" t="str">
        <f t="shared" ref="H131:H194" si="5">MID(B131,13,4)</f>
        <v>4036</v>
      </c>
    </row>
    <row r="132" spans="1:8" x14ac:dyDescent="0.25">
      <c r="A132" s="8">
        <v>43087.58865740741</v>
      </c>
      <c r="B132" s="20" t="s">
        <v>530</v>
      </c>
      <c r="C132" s="20" t="s">
        <v>792</v>
      </c>
      <c r="D132" s="137">
        <v>880000</v>
      </c>
      <c r="E132" s="20" t="s">
        <v>590</v>
      </c>
      <c r="F132" s="20" t="s">
        <v>352</v>
      </c>
      <c r="G132" s="8" t="str">
        <f t="shared" si="4"/>
        <v>STEWART MICHAEL</v>
      </c>
      <c r="H132" s="20" t="str">
        <f t="shared" si="5"/>
        <v>4043</v>
      </c>
    </row>
    <row r="133" spans="1:8" x14ac:dyDescent="0.25">
      <c r="A133" s="8">
        <v>43087.591493055559</v>
      </c>
      <c r="B133" s="20" t="s">
        <v>495</v>
      </c>
      <c r="C133" s="20" t="s">
        <v>793</v>
      </c>
      <c r="D133" s="137">
        <v>2550000</v>
      </c>
      <c r="E133" s="20" t="s">
        <v>505</v>
      </c>
      <c r="F133" s="20" t="s">
        <v>506</v>
      </c>
      <c r="G133" s="8" t="str">
        <f t="shared" si="4"/>
        <v>BADERTSCHER DIANE</v>
      </c>
      <c r="H133" s="20" t="str">
        <f t="shared" si="5"/>
        <v>4016</v>
      </c>
    </row>
    <row r="134" spans="1:8" x14ac:dyDescent="0.25">
      <c r="A134" s="8">
        <v>43087.598935185182</v>
      </c>
      <c r="B134" s="20" t="s">
        <v>559</v>
      </c>
      <c r="C134" s="20" t="s">
        <v>794</v>
      </c>
      <c r="D134" s="137">
        <v>1180000</v>
      </c>
      <c r="E134" s="20" t="s">
        <v>767</v>
      </c>
      <c r="F134" s="20" t="s">
        <v>768</v>
      </c>
      <c r="G134" s="8" t="str">
        <f t="shared" si="4"/>
        <v>LEVERE CRAIG</v>
      </c>
      <c r="H134" s="20" t="str">
        <f t="shared" si="5"/>
        <v>4021</v>
      </c>
    </row>
    <row r="135" spans="1:8" x14ac:dyDescent="0.25">
      <c r="A135" s="8">
        <v>43087.599502314813</v>
      </c>
      <c r="B135" s="20" t="s">
        <v>712</v>
      </c>
      <c r="C135" s="20" t="s">
        <v>795</v>
      </c>
      <c r="D135" s="137">
        <v>2230000</v>
      </c>
      <c r="E135" s="20" t="s">
        <v>393</v>
      </c>
      <c r="F135" s="20" t="s">
        <v>352</v>
      </c>
      <c r="G135" s="8" t="str">
        <f t="shared" si="4"/>
        <v>SMITH MICHAEL</v>
      </c>
      <c r="H135" s="20" t="str">
        <f t="shared" si="5"/>
        <v>4026</v>
      </c>
    </row>
    <row r="136" spans="1:8" x14ac:dyDescent="0.25">
      <c r="A136" s="8">
        <v>43087.600787037038</v>
      </c>
      <c r="B136" s="20" t="s">
        <v>452</v>
      </c>
      <c r="C136" s="20" t="s">
        <v>796</v>
      </c>
      <c r="D136" s="137">
        <v>2970000</v>
      </c>
      <c r="E136" s="20" t="s">
        <v>374</v>
      </c>
      <c r="F136" s="20" t="s">
        <v>375</v>
      </c>
      <c r="G136" s="8" t="str">
        <f t="shared" si="4"/>
        <v>GUZMAN DANNY</v>
      </c>
      <c r="H136" s="20" t="str">
        <f t="shared" si="5"/>
        <v>4051</v>
      </c>
    </row>
    <row r="137" spans="1:8" x14ac:dyDescent="0.25">
      <c r="A137" s="8">
        <v>43087.601354166669</v>
      </c>
      <c r="B137" s="20" t="s">
        <v>367</v>
      </c>
      <c r="C137" s="20" t="s">
        <v>797</v>
      </c>
      <c r="D137" s="137">
        <v>3330000</v>
      </c>
      <c r="E137" s="20" t="s">
        <v>531</v>
      </c>
      <c r="F137" s="20" t="s">
        <v>532</v>
      </c>
      <c r="G137" s="8" t="str">
        <f t="shared" si="4"/>
        <v>GONZALEZ ARMANDO</v>
      </c>
      <c r="H137" s="20" t="str">
        <f t="shared" si="5"/>
        <v>4035</v>
      </c>
    </row>
    <row r="138" spans="1:8" x14ac:dyDescent="0.25">
      <c r="A138" s="8">
        <v>43087.610046296293</v>
      </c>
      <c r="B138" s="20" t="s">
        <v>443</v>
      </c>
      <c r="C138" s="20" t="s">
        <v>798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4049</v>
      </c>
    </row>
    <row r="139" spans="1:8" x14ac:dyDescent="0.25">
      <c r="A139" s="8">
        <v>43087.613391203704</v>
      </c>
      <c r="B139" s="20" t="s">
        <v>442</v>
      </c>
      <c r="C139" s="20" t="s">
        <v>799</v>
      </c>
      <c r="D139" s="137">
        <v>920000</v>
      </c>
      <c r="E139" s="20" t="s">
        <v>538</v>
      </c>
      <c r="F139" s="20" t="s">
        <v>352</v>
      </c>
      <c r="G139" s="8" t="str">
        <f t="shared" si="4"/>
        <v>DAVIS MICHAEL</v>
      </c>
      <c r="H139" s="20" t="str">
        <f t="shared" si="5"/>
        <v>4010</v>
      </c>
    </row>
    <row r="140" spans="1:8" x14ac:dyDescent="0.25">
      <c r="A140" s="8">
        <v>43087.620509259257</v>
      </c>
      <c r="B140" s="20" t="s">
        <v>529</v>
      </c>
      <c r="C140" s="20" t="s">
        <v>800</v>
      </c>
      <c r="D140" s="137">
        <v>880000</v>
      </c>
      <c r="E140" s="20" t="s">
        <v>590</v>
      </c>
      <c r="F140" s="20" t="s">
        <v>352</v>
      </c>
      <c r="G140" s="8" t="str">
        <f t="shared" si="4"/>
        <v>STEWART MICHAEL</v>
      </c>
      <c r="H140" s="20" t="str">
        <f t="shared" si="5"/>
        <v>4044</v>
      </c>
    </row>
    <row r="141" spans="1:8" x14ac:dyDescent="0.25">
      <c r="A141" s="8">
        <v>43087.626932870371</v>
      </c>
      <c r="B141" s="20" t="s">
        <v>493</v>
      </c>
      <c r="C141" s="20" t="s">
        <v>801</v>
      </c>
      <c r="D141" s="137">
        <v>2550000</v>
      </c>
      <c r="E141" s="20" t="s">
        <v>505</v>
      </c>
      <c r="F141" s="20" t="s">
        <v>506</v>
      </c>
      <c r="G141" s="8" t="str">
        <f t="shared" si="4"/>
        <v>BADERTSCHER DIANE</v>
      </c>
      <c r="H141" s="20" t="str">
        <f t="shared" si="5"/>
        <v>4015</v>
      </c>
    </row>
    <row r="142" spans="1:8" x14ac:dyDescent="0.25">
      <c r="A142" s="8">
        <v>43087.628460648149</v>
      </c>
      <c r="B142" s="20" t="s">
        <v>366</v>
      </c>
      <c r="C142" s="20" t="s">
        <v>802</v>
      </c>
      <c r="D142" s="137">
        <v>3330000</v>
      </c>
      <c r="E142" s="20" t="s">
        <v>531</v>
      </c>
      <c r="F142" s="20" t="s">
        <v>532</v>
      </c>
      <c r="G142" s="8" t="str">
        <f t="shared" si="4"/>
        <v>GONZALEZ ARMANDO</v>
      </c>
      <c r="H142" s="20" t="str">
        <f t="shared" si="5"/>
        <v>4036</v>
      </c>
    </row>
    <row r="143" spans="1:8" x14ac:dyDescent="0.25">
      <c r="A143" s="8">
        <v>43087.630393518521</v>
      </c>
      <c r="B143" s="20" t="s">
        <v>384</v>
      </c>
      <c r="C143" s="20" t="s">
        <v>803</v>
      </c>
      <c r="D143" s="137">
        <v>1180000</v>
      </c>
      <c r="E143" s="20" t="s">
        <v>767</v>
      </c>
      <c r="F143" s="20" t="s">
        <v>768</v>
      </c>
      <c r="G143" s="8" t="str">
        <f t="shared" si="4"/>
        <v>LEVERE CRAIG</v>
      </c>
      <c r="H143" s="20" t="str">
        <f t="shared" si="5"/>
        <v>4022</v>
      </c>
    </row>
    <row r="144" spans="1:8" x14ac:dyDescent="0.25">
      <c r="A144" s="8">
        <v>43087.634733796294</v>
      </c>
      <c r="B144" s="20" t="s">
        <v>385</v>
      </c>
      <c r="C144" s="20" t="s">
        <v>804</v>
      </c>
      <c r="D144" s="137">
        <v>2000000</v>
      </c>
      <c r="E144" s="20" t="s">
        <v>394</v>
      </c>
      <c r="F144" s="20" t="s">
        <v>395</v>
      </c>
      <c r="G144" s="8" t="str">
        <f t="shared" si="4"/>
        <v>STAMBAUGH JAMES</v>
      </c>
      <c r="H144" s="20" t="str">
        <f t="shared" si="5"/>
        <v>4061</v>
      </c>
    </row>
    <row r="145" spans="1:8" x14ac:dyDescent="0.25">
      <c r="A145" s="8">
        <v>43087.638252314813</v>
      </c>
      <c r="B145" s="20" t="s">
        <v>673</v>
      </c>
      <c r="C145" s="20" t="s">
        <v>805</v>
      </c>
      <c r="D145" s="137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4025</v>
      </c>
    </row>
    <row r="146" spans="1:8" x14ac:dyDescent="0.25">
      <c r="A146" s="8">
        <v>43087.642523148148</v>
      </c>
      <c r="B146" s="20" t="s">
        <v>367</v>
      </c>
      <c r="C146" s="20" t="s">
        <v>806</v>
      </c>
      <c r="D146" s="137">
        <v>3330000</v>
      </c>
      <c r="E146" s="20" t="s">
        <v>531</v>
      </c>
      <c r="F146" s="20" t="s">
        <v>532</v>
      </c>
      <c r="G146" s="8" t="str">
        <f t="shared" si="4"/>
        <v>GONZALEZ ARMANDO</v>
      </c>
      <c r="H146" s="20" t="str">
        <f t="shared" si="5"/>
        <v>4035</v>
      </c>
    </row>
    <row r="147" spans="1:8" x14ac:dyDescent="0.25">
      <c r="A147" s="8">
        <v>43087.642708333333</v>
      </c>
      <c r="B147" s="20" t="s">
        <v>450</v>
      </c>
      <c r="C147" s="20" t="s">
        <v>807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4052</v>
      </c>
    </row>
    <row r="148" spans="1:8" x14ac:dyDescent="0.25">
      <c r="A148" s="8">
        <v>43087.649918981479</v>
      </c>
      <c r="B148" s="20" t="s">
        <v>383</v>
      </c>
      <c r="C148" s="20" t="s">
        <v>808</v>
      </c>
      <c r="D148" s="137">
        <v>2000000</v>
      </c>
      <c r="E148" s="20" t="s">
        <v>394</v>
      </c>
      <c r="F148" s="20" t="s">
        <v>395</v>
      </c>
      <c r="G148" s="8" t="str">
        <f t="shared" si="4"/>
        <v>STAMBAUGH JAMES</v>
      </c>
      <c r="H148" s="20" t="str">
        <f t="shared" si="5"/>
        <v>4062</v>
      </c>
    </row>
    <row r="149" spans="1:8" x14ac:dyDescent="0.25">
      <c r="A149" s="8">
        <v>43087.651006944441</v>
      </c>
      <c r="B149" s="20" t="s">
        <v>512</v>
      </c>
      <c r="C149" s="20" t="s">
        <v>809</v>
      </c>
      <c r="D149" s="137">
        <v>920000</v>
      </c>
      <c r="E149" s="20" t="s">
        <v>538</v>
      </c>
      <c r="F149" s="20" t="s">
        <v>352</v>
      </c>
      <c r="G149" s="8" t="str">
        <f t="shared" si="4"/>
        <v>DAVIS MICHAEL</v>
      </c>
      <c r="H149" s="20" t="str">
        <f t="shared" si="5"/>
        <v>4009</v>
      </c>
    </row>
    <row r="150" spans="1:8" x14ac:dyDescent="0.25">
      <c r="A150" s="8">
        <v>43087.654861111114</v>
      </c>
      <c r="B150" s="20" t="s">
        <v>444</v>
      </c>
      <c r="C150" s="20" t="s">
        <v>810</v>
      </c>
      <c r="D150" s="137">
        <v>2630000</v>
      </c>
      <c r="E150" s="20" t="s">
        <v>372</v>
      </c>
      <c r="F150" s="20" t="s">
        <v>373</v>
      </c>
      <c r="G150" s="8" t="str">
        <f t="shared" si="4"/>
        <v>SAFIEF AEIMEN</v>
      </c>
      <c r="H150" s="20" t="str">
        <f t="shared" si="5"/>
        <v>4050</v>
      </c>
    </row>
    <row r="151" spans="1:8" x14ac:dyDescent="0.25">
      <c r="A151" s="8">
        <v>43087.662106481483</v>
      </c>
      <c r="B151" s="20" t="s">
        <v>530</v>
      </c>
      <c r="C151" s="20" t="s">
        <v>811</v>
      </c>
      <c r="D151" s="137">
        <v>880000</v>
      </c>
      <c r="E151" s="20" t="s">
        <v>590</v>
      </c>
      <c r="F151" s="20" t="s">
        <v>352</v>
      </c>
      <c r="G151" s="8" t="str">
        <f t="shared" si="4"/>
        <v>STEWART MICHAEL</v>
      </c>
      <c r="H151" s="20" t="str">
        <f t="shared" si="5"/>
        <v>4043</v>
      </c>
    </row>
    <row r="152" spans="1:8" x14ac:dyDescent="0.25">
      <c r="A152" s="8">
        <v>43087.663541666669</v>
      </c>
      <c r="B152" s="20" t="s">
        <v>495</v>
      </c>
      <c r="C152" s="20" t="s">
        <v>812</v>
      </c>
      <c r="D152" s="137">
        <v>2550000</v>
      </c>
      <c r="E152" s="20" t="s">
        <v>505</v>
      </c>
      <c r="F152" s="20" t="s">
        <v>506</v>
      </c>
      <c r="G152" s="8" t="str">
        <f t="shared" si="4"/>
        <v>BADERTSCHER DIANE</v>
      </c>
      <c r="H152" s="20" t="str">
        <f t="shared" si="5"/>
        <v>4016</v>
      </c>
    </row>
    <row r="153" spans="1:8" x14ac:dyDescent="0.25">
      <c r="A153" s="8">
        <v>43087.664004629631</v>
      </c>
      <c r="B153" s="20" t="s">
        <v>385</v>
      </c>
      <c r="C153" s="20" t="s">
        <v>813</v>
      </c>
      <c r="D153" s="137">
        <v>2000000</v>
      </c>
      <c r="E153" s="20" t="s">
        <v>394</v>
      </c>
      <c r="F153" s="20" t="s">
        <v>395</v>
      </c>
      <c r="G153" s="8" t="str">
        <f t="shared" si="4"/>
        <v>STAMBAUGH JAMES</v>
      </c>
      <c r="H153" s="20" t="str">
        <f t="shared" si="5"/>
        <v>4061</v>
      </c>
    </row>
    <row r="154" spans="1:8" x14ac:dyDescent="0.25">
      <c r="A154" s="8">
        <v>43087.670011574075</v>
      </c>
      <c r="B154" s="20" t="s">
        <v>366</v>
      </c>
      <c r="C154" s="20" t="s">
        <v>814</v>
      </c>
      <c r="D154" s="137">
        <v>3330000</v>
      </c>
      <c r="E154" s="20" t="s">
        <v>531</v>
      </c>
      <c r="F154" s="20" t="s">
        <v>532</v>
      </c>
      <c r="G154" s="8" t="str">
        <f t="shared" si="4"/>
        <v>GONZALEZ ARMANDO</v>
      </c>
      <c r="H154" s="20" t="str">
        <f t="shared" si="5"/>
        <v>4036</v>
      </c>
    </row>
    <row r="155" spans="1:8" x14ac:dyDescent="0.25">
      <c r="A155" s="8">
        <v>43087.671782407408</v>
      </c>
      <c r="B155" s="20" t="s">
        <v>559</v>
      </c>
      <c r="C155" s="20" t="s">
        <v>815</v>
      </c>
      <c r="D155" s="137">
        <v>1180000</v>
      </c>
      <c r="E155" s="20" t="s">
        <v>767</v>
      </c>
      <c r="F155" s="20" t="s">
        <v>768</v>
      </c>
      <c r="G155" s="8" t="str">
        <f t="shared" si="4"/>
        <v>LEVERE CRAIG</v>
      </c>
      <c r="H155" s="20" t="str">
        <f t="shared" si="5"/>
        <v>4021</v>
      </c>
    </row>
    <row r="156" spans="1:8" x14ac:dyDescent="0.25">
      <c r="A156" s="8">
        <v>43087.672905092593</v>
      </c>
      <c r="B156" s="20" t="s">
        <v>452</v>
      </c>
      <c r="C156" s="20" t="s">
        <v>816</v>
      </c>
      <c r="D156" s="137">
        <v>2970000</v>
      </c>
      <c r="E156" s="20" t="s">
        <v>374</v>
      </c>
      <c r="F156" s="20" t="s">
        <v>375</v>
      </c>
      <c r="G156" s="8" t="str">
        <f t="shared" si="4"/>
        <v>GUZMAN DANNY</v>
      </c>
      <c r="H156" s="20" t="str">
        <f t="shared" si="5"/>
        <v>4051</v>
      </c>
    </row>
    <row r="157" spans="1:8" x14ac:dyDescent="0.25">
      <c r="A157" s="8">
        <v>43087.673333333332</v>
      </c>
      <c r="B157" s="20" t="s">
        <v>712</v>
      </c>
      <c r="C157" s="20" t="s">
        <v>817</v>
      </c>
      <c r="D157" s="137">
        <v>2230000</v>
      </c>
      <c r="E157" s="20" t="s">
        <v>393</v>
      </c>
      <c r="F157" s="20" t="s">
        <v>352</v>
      </c>
      <c r="G157" s="8" t="str">
        <f t="shared" si="4"/>
        <v>SMITH MICHAEL</v>
      </c>
      <c r="H157" s="20" t="str">
        <f t="shared" si="5"/>
        <v>4026</v>
      </c>
    </row>
    <row r="158" spans="1:8" x14ac:dyDescent="0.25">
      <c r="A158" s="8">
        <v>43087.683530092596</v>
      </c>
      <c r="B158" s="20" t="s">
        <v>443</v>
      </c>
      <c r="C158" s="20" t="s">
        <v>818</v>
      </c>
      <c r="D158" s="137">
        <v>2630000</v>
      </c>
      <c r="E158" s="20" t="s">
        <v>372</v>
      </c>
      <c r="F158" s="20" t="s">
        <v>373</v>
      </c>
      <c r="G158" s="8" t="str">
        <f t="shared" si="4"/>
        <v>SAFIEF AEIMEN</v>
      </c>
      <c r="H158" s="20" t="str">
        <f t="shared" si="5"/>
        <v>4049</v>
      </c>
    </row>
    <row r="159" spans="1:8" x14ac:dyDescent="0.25">
      <c r="A159" s="8">
        <v>43087.685879629629</v>
      </c>
      <c r="B159" s="20" t="s">
        <v>442</v>
      </c>
      <c r="C159" s="20" t="s">
        <v>819</v>
      </c>
      <c r="D159" s="137">
        <v>920000</v>
      </c>
      <c r="E159" s="20" t="s">
        <v>538</v>
      </c>
      <c r="F159" s="20" t="s">
        <v>352</v>
      </c>
      <c r="G159" s="8" t="str">
        <f t="shared" si="4"/>
        <v>DAVIS MICHAEL</v>
      </c>
      <c r="H159" s="20" t="str">
        <f t="shared" si="5"/>
        <v>4010</v>
      </c>
    </row>
    <row r="160" spans="1:8" x14ac:dyDescent="0.25">
      <c r="A160" s="8">
        <v>43087.68608796296</v>
      </c>
      <c r="B160" s="20" t="s">
        <v>528</v>
      </c>
      <c r="C160" s="20" t="s">
        <v>820</v>
      </c>
      <c r="D160" s="137">
        <v>1760000</v>
      </c>
      <c r="E160" s="20" t="s">
        <v>588</v>
      </c>
      <c r="F160" s="20" t="s">
        <v>589</v>
      </c>
      <c r="G160" s="8" t="str">
        <f t="shared" si="4"/>
        <v>STRICKLAND EVAN</v>
      </c>
      <c r="H160" s="20" t="str">
        <f t="shared" si="5"/>
        <v>4034</v>
      </c>
    </row>
    <row r="161" spans="1:8" x14ac:dyDescent="0.25">
      <c r="A161" s="8">
        <v>43087.686307870368</v>
      </c>
      <c r="B161" s="20" t="s">
        <v>367</v>
      </c>
      <c r="C161" s="20" t="s">
        <v>821</v>
      </c>
      <c r="D161" s="137">
        <v>3330000</v>
      </c>
      <c r="E161" s="20" t="s">
        <v>531</v>
      </c>
      <c r="F161" s="20" t="s">
        <v>532</v>
      </c>
      <c r="G161" s="8" t="str">
        <f t="shared" si="4"/>
        <v>GONZALEZ ARMANDO</v>
      </c>
      <c r="H161" s="20" t="str">
        <f t="shared" si="5"/>
        <v>4035</v>
      </c>
    </row>
    <row r="162" spans="1:8" x14ac:dyDescent="0.25">
      <c r="A162" s="8">
        <v>43087.688969907409</v>
      </c>
      <c r="B162" s="20" t="s">
        <v>383</v>
      </c>
      <c r="C162" s="20" t="s">
        <v>822</v>
      </c>
      <c r="D162" s="137">
        <v>2000000</v>
      </c>
      <c r="E162" s="20" t="s">
        <v>394</v>
      </c>
      <c r="F162" s="20" t="s">
        <v>395</v>
      </c>
      <c r="G162" s="8" t="str">
        <f t="shared" si="4"/>
        <v>STAMBAUGH JAMES</v>
      </c>
      <c r="H162" s="20" t="str">
        <f t="shared" si="5"/>
        <v>4062</v>
      </c>
    </row>
    <row r="163" spans="1:8" x14ac:dyDescent="0.25">
      <c r="A163" s="8">
        <v>43087.694178240738</v>
      </c>
      <c r="B163" s="20" t="s">
        <v>529</v>
      </c>
      <c r="C163" s="20" t="s">
        <v>823</v>
      </c>
      <c r="D163" s="137">
        <v>880000</v>
      </c>
      <c r="E163" s="20" t="s">
        <v>590</v>
      </c>
      <c r="F163" s="20" t="s">
        <v>352</v>
      </c>
      <c r="G163" s="8" t="str">
        <f t="shared" si="4"/>
        <v>STEWART MICHAEL</v>
      </c>
      <c r="H163" s="20" t="str">
        <f t="shared" si="5"/>
        <v>4044</v>
      </c>
    </row>
    <row r="164" spans="1:8" x14ac:dyDescent="0.25">
      <c r="A164" s="8">
        <v>43087.702800925923</v>
      </c>
      <c r="B164" s="20" t="s">
        <v>493</v>
      </c>
      <c r="C164" s="20" t="s">
        <v>824</v>
      </c>
      <c r="D164" s="137">
        <v>2550000</v>
      </c>
      <c r="E164" s="20" t="s">
        <v>505</v>
      </c>
      <c r="F164" s="20" t="s">
        <v>506</v>
      </c>
      <c r="G164" s="8" t="str">
        <f t="shared" si="4"/>
        <v>BADERTSCHER DIANE</v>
      </c>
      <c r="H164" s="20" t="str">
        <f t="shared" si="5"/>
        <v>4015</v>
      </c>
    </row>
    <row r="165" spans="1:8" x14ac:dyDescent="0.25">
      <c r="A165" s="8">
        <v>43087.706006944441</v>
      </c>
      <c r="B165" s="20" t="s">
        <v>385</v>
      </c>
      <c r="C165" s="20" t="s">
        <v>825</v>
      </c>
      <c r="D165" s="137">
        <v>2000000</v>
      </c>
      <c r="E165" s="20" t="s">
        <v>394</v>
      </c>
      <c r="F165" s="20" t="s">
        <v>395</v>
      </c>
      <c r="G165" s="8" t="str">
        <f t="shared" si="4"/>
        <v>STAMBAUGH JAMES</v>
      </c>
      <c r="H165" s="20" t="str">
        <f t="shared" si="5"/>
        <v>4061</v>
      </c>
    </row>
    <row r="166" spans="1:8" x14ac:dyDescent="0.25">
      <c r="A166" s="8">
        <v>43087.706087962964</v>
      </c>
      <c r="B166" s="20" t="s">
        <v>366</v>
      </c>
      <c r="C166" s="20" t="s">
        <v>826</v>
      </c>
      <c r="D166" s="137">
        <v>3330000</v>
      </c>
      <c r="E166" s="20" t="s">
        <v>531</v>
      </c>
      <c r="F166" s="20" t="s">
        <v>532</v>
      </c>
      <c r="G166" s="8" t="str">
        <f t="shared" si="4"/>
        <v>GONZALEZ ARMANDO</v>
      </c>
      <c r="H166" s="20" t="str">
        <f t="shared" si="5"/>
        <v>4036</v>
      </c>
    </row>
    <row r="167" spans="1:8" x14ac:dyDescent="0.25">
      <c r="A167" s="8">
        <v>43087.70621527778</v>
      </c>
      <c r="B167" s="20" t="s">
        <v>384</v>
      </c>
      <c r="C167" s="20" t="s">
        <v>827</v>
      </c>
      <c r="D167" s="137">
        <v>1180000</v>
      </c>
      <c r="E167" s="20" t="s">
        <v>767</v>
      </c>
      <c r="F167" s="20" t="s">
        <v>768</v>
      </c>
      <c r="G167" s="8" t="str">
        <f t="shared" si="4"/>
        <v>LEVERE CRAIG</v>
      </c>
      <c r="H167" s="20" t="str">
        <f t="shared" si="5"/>
        <v>4022</v>
      </c>
    </row>
    <row r="168" spans="1:8" x14ac:dyDescent="0.25">
      <c r="A168" s="8">
        <v>43087.709780092591</v>
      </c>
      <c r="B168" s="20" t="s">
        <v>673</v>
      </c>
      <c r="C168" s="20" t="s">
        <v>828</v>
      </c>
      <c r="D168" s="137">
        <v>2230000</v>
      </c>
      <c r="E168" s="20" t="s">
        <v>393</v>
      </c>
      <c r="F168" s="20" t="s">
        <v>352</v>
      </c>
      <c r="G168" s="8" t="str">
        <f t="shared" si="4"/>
        <v>SMITH MICHAEL</v>
      </c>
      <c r="H168" s="20" t="str">
        <f t="shared" si="5"/>
        <v>4025</v>
      </c>
    </row>
    <row r="169" spans="1:8" x14ac:dyDescent="0.25">
      <c r="A169" s="8">
        <v>43087.715555555558</v>
      </c>
      <c r="B169" s="20" t="s">
        <v>450</v>
      </c>
      <c r="C169" s="20" t="s">
        <v>829</v>
      </c>
      <c r="D169" s="137">
        <v>2970000</v>
      </c>
      <c r="E169" s="20" t="s">
        <v>374</v>
      </c>
      <c r="F169" s="20" t="s">
        <v>375</v>
      </c>
      <c r="G169" s="8" t="str">
        <f t="shared" si="4"/>
        <v>GUZMAN DANNY</v>
      </c>
      <c r="H169" s="20" t="str">
        <f t="shared" si="5"/>
        <v>4052</v>
      </c>
    </row>
    <row r="170" spans="1:8" x14ac:dyDescent="0.25">
      <c r="A170" s="8">
        <v>43087.720567129632</v>
      </c>
      <c r="B170" s="20" t="s">
        <v>481</v>
      </c>
      <c r="C170" s="20" t="s">
        <v>830</v>
      </c>
      <c r="D170" s="137">
        <v>2140000</v>
      </c>
      <c r="E170" s="20" t="s">
        <v>831</v>
      </c>
      <c r="F170" s="20" t="s">
        <v>832</v>
      </c>
      <c r="G170" s="8" t="str">
        <f t="shared" si="4"/>
        <v>ROBINSON KADDIBA</v>
      </c>
      <c r="H170" s="20" t="str">
        <f t="shared" si="5"/>
        <v>4014</v>
      </c>
    </row>
    <row r="171" spans="1:8" x14ac:dyDescent="0.25">
      <c r="A171" s="8">
        <v>43087.72111111111</v>
      </c>
      <c r="B171" s="20" t="s">
        <v>481</v>
      </c>
      <c r="C171" s="20" t="s">
        <v>830</v>
      </c>
      <c r="D171" s="137">
        <v>2140000</v>
      </c>
      <c r="E171" s="20" t="s">
        <v>831</v>
      </c>
      <c r="F171" s="20" t="s">
        <v>832</v>
      </c>
      <c r="G171" s="8" t="str">
        <f t="shared" si="4"/>
        <v>ROBINSON KADDIBA</v>
      </c>
      <c r="H171" s="20" t="str">
        <f t="shared" si="5"/>
        <v>4014</v>
      </c>
    </row>
    <row r="172" spans="1:8" x14ac:dyDescent="0.25">
      <c r="A172" s="8">
        <v>43087.722048611111</v>
      </c>
      <c r="B172" s="20" t="s">
        <v>481</v>
      </c>
      <c r="C172" s="20" t="s">
        <v>830</v>
      </c>
      <c r="D172" s="137">
        <v>2140000</v>
      </c>
      <c r="E172" s="20" t="s">
        <v>831</v>
      </c>
      <c r="F172" s="20" t="s">
        <v>832</v>
      </c>
      <c r="G172" s="8" t="str">
        <f t="shared" si="4"/>
        <v>ROBINSON KADDIBA</v>
      </c>
      <c r="H172" s="20" t="str">
        <f t="shared" si="5"/>
        <v>4014</v>
      </c>
    </row>
    <row r="173" spans="1:8" x14ac:dyDescent="0.25">
      <c r="A173" s="8">
        <v>43087.725821759261</v>
      </c>
      <c r="B173" s="20" t="s">
        <v>512</v>
      </c>
      <c r="C173" s="20" t="s">
        <v>833</v>
      </c>
      <c r="D173" s="137">
        <v>920000</v>
      </c>
      <c r="E173" s="20" t="s">
        <v>538</v>
      </c>
      <c r="F173" s="20" t="s">
        <v>352</v>
      </c>
      <c r="G173" s="8" t="str">
        <f t="shared" si="4"/>
        <v>DAVIS MICHAEL</v>
      </c>
      <c r="H173" s="20" t="str">
        <f t="shared" si="5"/>
        <v>4009</v>
      </c>
    </row>
    <row r="174" spans="1:8" x14ac:dyDescent="0.25">
      <c r="A174" s="8">
        <v>43087.726446759261</v>
      </c>
      <c r="B174" s="20" t="s">
        <v>367</v>
      </c>
      <c r="C174" s="20" t="s">
        <v>834</v>
      </c>
      <c r="D174" s="137">
        <v>3330000</v>
      </c>
      <c r="E174" s="20" t="s">
        <v>531</v>
      </c>
      <c r="F174" s="20" t="s">
        <v>532</v>
      </c>
      <c r="G174" s="8" t="str">
        <f t="shared" si="4"/>
        <v>GONZALEZ ARMANDO</v>
      </c>
      <c r="H174" s="20" t="str">
        <f t="shared" si="5"/>
        <v>4035</v>
      </c>
    </row>
    <row r="175" spans="1:8" x14ac:dyDescent="0.25">
      <c r="A175" s="8">
        <v>43087.727233796293</v>
      </c>
      <c r="B175" s="20" t="s">
        <v>444</v>
      </c>
      <c r="C175" s="20" t="s">
        <v>835</v>
      </c>
      <c r="D175" s="137">
        <v>2630000</v>
      </c>
      <c r="E175" s="20" t="s">
        <v>372</v>
      </c>
      <c r="F175" s="20" t="s">
        <v>373</v>
      </c>
      <c r="G175" s="8" t="str">
        <f t="shared" si="4"/>
        <v>SAFIEF AEIMEN</v>
      </c>
      <c r="H175" s="20" t="str">
        <f t="shared" si="5"/>
        <v>4050</v>
      </c>
    </row>
    <row r="176" spans="1:8" x14ac:dyDescent="0.25">
      <c r="A176" s="8">
        <v>43087.731689814813</v>
      </c>
      <c r="B176" s="20" t="s">
        <v>383</v>
      </c>
      <c r="C176" s="20" t="s">
        <v>836</v>
      </c>
      <c r="D176" s="137">
        <v>2000000</v>
      </c>
      <c r="E176" s="20" t="s">
        <v>394</v>
      </c>
      <c r="F176" s="20" t="s">
        <v>395</v>
      </c>
      <c r="G176" s="8" t="str">
        <f t="shared" si="4"/>
        <v>STAMBAUGH JAMES</v>
      </c>
      <c r="H176" s="20" t="str">
        <f t="shared" si="5"/>
        <v>4062</v>
      </c>
    </row>
    <row r="177" spans="1:8" x14ac:dyDescent="0.25">
      <c r="A177" s="8">
        <v>43087.733425925922</v>
      </c>
      <c r="B177" s="20" t="s">
        <v>530</v>
      </c>
      <c r="C177" s="20" t="s">
        <v>837</v>
      </c>
      <c r="D177" s="137">
        <v>880000</v>
      </c>
      <c r="E177" s="20" t="s">
        <v>590</v>
      </c>
      <c r="F177" s="20" t="s">
        <v>352</v>
      </c>
      <c r="G177" s="8" t="str">
        <f t="shared" si="4"/>
        <v>STEWART MICHAEL</v>
      </c>
      <c r="H177" s="20" t="str">
        <f t="shared" si="5"/>
        <v>4043</v>
      </c>
    </row>
    <row r="178" spans="1:8" x14ac:dyDescent="0.25">
      <c r="A178" s="8">
        <v>43087.73847222222</v>
      </c>
      <c r="B178" s="20" t="s">
        <v>495</v>
      </c>
      <c r="C178" s="20" t="s">
        <v>838</v>
      </c>
      <c r="D178" s="137">
        <v>890000</v>
      </c>
      <c r="E178" s="20" t="s">
        <v>344</v>
      </c>
      <c r="F178" s="20" t="s">
        <v>345</v>
      </c>
      <c r="G178" s="8" t="str">
        <f t="shared" si="4"/>
        <v>LOZA FIDEL</v>
      </c>
      <c r="H178" s="20" t="str">
        <f t="shared" si="5"/>
        <v>4016</v>
      </c>
    </row>
    <row r="179" spans="1:8" x14ac:dyDescent="0.25">
      <c r="A179" s="8">
        <v>43087.740532407406</v>
      </c>
      <c r="B179" s="20" t="s">
        <v>390</v>
      </c>
      <c r="C179" s="20" t="s">
        <v>839</v>
      </c>
      <c r="D179" s="137">
        <v>3500000</v>
      </c>
      <c r="E179" s="20" t="s">
        <v>376</v>
      </c>
      <c r="F179" s="20" t="s">
        <v>377</v>
      </c>
      <c r="G179" s="8" t="str">
        <f t="shared" si="4"/>
        <v>GUNTHIER ERIC</v>
      </c>
      <c r="H179" s="20" t="str">
        <f t="shared" si="5"/>
        <v>4059</v>
      </c>
    </row>
    <row r="180" spans="1:8" x14ac:dyDescent="0.25">
      <c r="A180" s="8">
        <v>43087.742164351854</v>
      </c>
      <c r="B180" s="20" t="s">
        <v>559</v>
      </c>
      <c r="C180" s="20" t="s">
        <v>840</v>
      </c>
      <c r="D180" s="137">
        <v>1180000</v>
      </c>
      <c r="E180" s="20" t="s">
        <v>767</v>
      </c>
      <c r="F180" s="20" t="s">
        <v>768</v>
      </c>
      <c r="G180" s="8" t="str">
        <f t="shared" si="4"/>
        <v>LEVERE CRAIG</v>
      </c>
      <c r="H180" s="20" t="str">
        <f t="shared" si="5"/>
        <v>4021</v>
      </c>
    </row>
    <row r="181" spans="1:8" x14ac:dyDescent="0.25">
      <c r="A181" s="8">
        <v>43087.745138888888</v>
      </c>
      <c r="B181" s="20" t="s">
        <v>712</v>
      </c>
      <c r="C181" s="20" t="s">
        <v>841</v>
      </c>
      <c r="D181" s="137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4026</v>
      </c>
    </row>
    <row r="182" spans="1:8" x14ac:dyDescent="0.25">
      <c r="A182" s="8">
        <v>43087.746736111112</v>
      </c>
      <c r="B182" s="20" t="s">
        <v>385</v>
      </c>
      <c r="C182" s="20" t="s">
        <v>842</v>
      </c>
      <c r="D182" s="137">
        <v>2000000</v>
      </c>
      <c r="E182" s="20" t="s">
        <v>394</v>
      </c>
      <c r="F182" s="20" t="s">
        <v>395</v>
      </c>
      <c r="G182" s="8" t="str">
        <f t="shared" si="4"/>
        <v>STAMBAUGH JAMES</v>
      </c>
      <c r="H182" s="20" t="str">
        <f t="shared" si="5"/>
        <v>4061</v>
      </c>
    </row>
    <row r="183" spans="1:8" x14ac:dyDescent="0.25">
      <c r="A183" s="8">
        <v>43087.749606481484</v>
      </c>
      <c r="B183" s="20" t="s">
        <v>452</v>
      </c>
      <c r="C183" s="20" t="s">
        <v>843</v>
      </c>
      <c r="D183" s="137">
        <v>2970000</v>
      </c>
      <c r="E183" s="20" t="s">
        <v>374</v>
      </c>
      <c r="F183" s="20" t="s">
        <v>375</v>
      </c>
      <c r="G183" s="8" t="str">
        <f t="shared" si="4"/>
        <v>GUZMAN DANNY</v>
      </c>
      <c r="H183" s="20" t="str">
        <f t="shared" si="5"/>
        <v>4051</v>
      </c>
    </row>
    <row r="184" spans="1:8" x14ac:dyDescent="0.25">
      <c r="A184" s="8">
        <v>43087.753935185188</v>
      </c>
      <c r="B184" s="20" t="s">
        <v>366</v>
      </c>
      <c r="C184" s="20" t="s">
        <v>681</v>
      </c>
      <c r="D184" s="137">
        <v>2030000</v>
      </c>
      <c r="E184" s="20" t="s">
        <v>591</v>
      </c>
      <c r="F184" s="20" t="s">
        <v>592</v>
      </c>
      <c r="G184" s="8" t="str">
        <f t="shared" si="4"/>
        <v>KILLION DAVID</v>
      </c>
      <c r="H184" s="20" t="str">
        <f t="shared" si="5"/>
        <v>4036</v>
      </c>
    </row>
    <row r="185" spans="1:8" x14ac:dyDescent="0.25">
      <c r="A185" s="8">
        <v>43087.757893518516</v>
      </c>
      <c r="B185" s="20" t="s">
        <v>442</v>
      </c>
      <c r="C185" s="20" t="s">
        <v>680</v>
      </c>
      <c r="D185" s="137">
        <v>3220000</v>
      </c>
      <c r="E185" s="20" t="s">
        <v>378</v>
      </c>
      <c r="F185" s="20" t="s">
        <v>379</v>
      </c>
      <c r="G185" s="8" t="str">
        <f t="shared" si="4"/>
        <v>RESPASS AARON</v>
      </c>
      <c r="H185" s="20" t="str">
        <f t="shared" si="5"/>
        <v>4010</v>
      </c>
    </row>
    <row r="186" spans="1:8" x14ac:dyDescent="0.25">
      <c r="A186" s="8">
        <v>43087.759918981479</v>
      </c>
      <c r="B186" s="20" t="s">
        <v>443</v>
      </c>
      <c r="C186" s="20" t="s">
        <v>844</v>
      </c>
      <c r="D186" s="137">
        <v>2630000</v>
      </c>
      <c r="E186" s="20" t="s">
        <v>372</v>
      </c>
      <c r="F186" s="20" t="s">
        <v>373</v>
      </c>
      <c r="G186" s="8" t="str">
        <f t="shared" si="4"/>
        <v>SAFIEF AEIMEN</v>
      </c>
      <c r="H186" s="20" t="str">
        <f t="shared" si="5"/>
        <v>4049</v>
      </c>
    </row>
    <row r="187" spans="1:8" x14ac:dyDescent="0.25">
      <c r="A187" s="8">
        <v>43087.767824074072</v>
      </c>
      <c r="B187" s="20" t="s">
        <v>529</v>
      </c>
      <c r="C187" s="20" t="s">
        <v>845</v>
      </c>
      <c r="D187" s="137">
        <v>3700000</v>
      </c>
      <c r="E187" s="20" t="s">
        <v>445</v>
      </c>
      <c r="F187" s="20" t="s">
        <v>369</v>
      </c>
      <c r="G187" s="8" t="str">
        <f t="shared" si="4"/>
        <v>AUSTIN THOMPSON</v>
      </c>
      <c r="H187" s="20" t="str">
        <f t="shared" si="5"/>
        <v>4044</v>
      </c>
    </row>
    <row r="188" spans="1:8" x14ac:dyDescent="0.25">
      <c r="A188" s="8">
        <v>43087.770289351851</v>
      </c>
      <c r="B188" s="20" t="s">
        <v>367</v>
      </c>
      <c r="C188" s="20" t="s">
        <v>846</v>
      </c>
      <c r="D188" s="137">
        <v>2030000</v>
      </c>
      <c r="E188" s="20" t="s">
        <v>591</v>
      </c>
      <c r="F188" s="20" t="s">
        <v>592</v>
      </c>
      <c r="G188" s="8" t="str">
        <f t="shared" si="4"/>
        <v>KILLION DAVID</v>
      </c>
      <c r="H188" s="20" t="str">
        <f t="shared" si="5"/>
        <v>4035</v>
      </c>
    </row>
    <row r="189" spans="1:8" x14ac:dyDescent="0.25">
      <c r="A189" s="8">
        <v>43087.773715277777</v>
      </c>
      <c r="B189" s="20" t="s">
        <v>383</v>
      </c>
      <c r="C189" s="20" t="s">
        <v>847</v>
      </c>
      <c r="D189" s="137">
        <v>2000000</v>
      </c>
      <c r="E189" s="20" t="s">
        <v>394</v>
      </c>
      <c r="F189" s="20" t="s">
        <v>395</v>
      </c>
      <c r="G189" s="8" t="str">
        <f t="shared" si="4"/>
        <v>STAMBAUGH JAMES</v>
      </c>
      <c r="H189" s="20" t="str">
        <f t="shared" si="5"/>
        <v>4062</v>
      </c>
    </row>
    <row r="190" spans="1:8" x14ac:dyDescent="0.25">
      <c r="A190" s="8">
        <v>43087.775879629633</v>
      </c>
      <c r="B190" s="20" t="s">
        <v>493</v>
      </c>
      <c r="C190" s="20" t="s">
        <v>848</v>
      </c>
      <c r="D190" s="137">
        <v>890000</v>
      </c>
      <c r="E190" s="20" t="s">
        <v>344</v>
      </c>
      <c r="F190" s="20" t="s">
        <v>345</v>
      </c>
      <c r="G190" s="8" t="str">
        <f t="shared" si="4"/>
        <v>LOZA FIDEL</v>
      </c>
      <c r="H190" s="20" t="str">
        <f t="shared" si="5"/>
        <v>4015</v>
      </c>
    </row>
    <row r="191" spans="1:8" x14ac:dyDescent="0.25">
      <c r="A191" s="8">
        <v>43087.777557870373</v>
      </c>
      <c r="B191" s="20" t="s">
        <v>384</v>
      </c>
      <c r="C191" s="20" t="s">
        <v>849</v>
      </c>
      <c r="D191" s="137">
        <v>1180000</v>
      </c>
      <c r="E191" s="20" t="s">
        <v>767</v>
      </c>
      <c r="F191" s="20" t="s">
        <v>768</v>
      </c>
      <c r="G191" s="8" t="str">
        <f t="shared" si="4"/>
        <v>LEVERE CRAIG</v>
      </c>
      <c r="H191" s="20" t="str">
        <f t="shared" si="5"/>
        <v>4022</v>
      </c>
    </row>
    <row r="192" spans="1:8" x14ac:dyDescent="0.25">
      <c r="A192" s="8">
        <v>43087.781087962961</v>
      </c>
      <c r="B192" s="20" t="s">
        <v>673</v>
      </c>
      <c r="C192" s="20" t="s">
        <v>850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4025</v>
      </c>
    </row>
    <row r="193" spans="1:8" x14ac:dyDescent="0.25">
      <c r="A193" s="8">
        <v>43087.786608796298</v>
      </c>
      <c r="B193" s="20" t="s">
        <v>450</v>
      </c>
      <c r="C193" s="20" t="s">
        <v>851</v>
      </c>
      <c r="D193" s="137">
        <v>3340000</v>
      </c>
      <c r="E193" s="20" t="s">
        <v>466</v>
      </c>
      <c r="F193" s="20" t="s">
        <v>467</v>
      </c>
      <c r="G193" s="8" t="str">
        <f t="shared" si="4"/>
        <v>ELBAUM MIKE</v>
      </c>
      <c r="H193" s="20" t="str">
        <f t="shared" si="5"/>
        <v>4052</v>
      </c>
    </row>
    <row r="194" spans="1:8" x14ac:dyDescent="0.25">
      <c r="A194" s="8">
        <v>43087.787847222222</v>
      </c>
      <c r="B194" s="20" t="s">
        <v>385</v>
      </c>
      <c r="C194" s="20" t="s">
        <v>852</v>
      </c>
      <c r="D194" s="137">
        <v>2000000</v>
      </c>
      <c r="E194" s="20" t="s">
        <v>394</v>
      </c>
      <c r="F194" s="20" t="s">
        <v>395</v>
      </c>
      <c r="G194" s="8" t="str">
        <f t="shared" si="4"/>
        <v>STAMBAUGH JAMES</v>
      </c>
      <c r="H194" s="20" t="str">
        <f t="shared" si="5"/>
        <v>4061</v>
      </c>
    </row>
    <row r="195" spans="1:8" x14ac:dyDescent="0.25">
      <c r="A195" s="8">
        <v>43087.79142361111</v>
      </c>
      <c r="B195" s="20" t="s">
        <v>366</v>
      </c>
      <c r="C195" s="20" t="s">
        <v>853</v>
      </c>
      <c r="D195" s="137">
        <v>2030000</v>
      </c>
      <c r="E195" s="20" t="s">
        <v>591</v>
      </c>
      <c r="F195" s="20" t="s">
        <v>592</v>
      </c>
      <c r="G195" s="8" t="str">
        <f t="shared" ref="G195:G258" si="6">E195&amp;" "&amp;F195</f>
        <v>KILLION DAVID</v>
      </c>
      <c r="H195" s="20" t="str">
        <f t="shared" ref="H195:H258" si="7">MID(B195,13,4)</f>
        <v>4036</v>
      </c>
    </row>
    <row r="196" spans="1:8" x14ac:dyDescent="0.25">
      <c r="A196" s="8">
        <v>43087.795636574076</v>
      </c>
      <c r="B196" s="20" t="s">
        <v>493</v>
      </c>
      <c r="C196" s="20" t="s">
        <v>848</v>
      </c>
      <c r="D196" s="137">
        <v>890000</v>
      </c>
      <c r="E196" s="20" t="s">
        <v>344</v>
      </c>
      <c r="F196" s="20" t="s">
        <v>345</v>
      </c>
      <c r="G196" s="8" t="str">
        <f t="shared" si="6"/>
        <v>LOZA FIDEL</v>
      </c>
      <c r="H196" s="20" t="str">
        <f t="shared" si="7"/>
        <v>4015</v>
      </c>
    </row>
    <row r="197" spans="1:8" x14ac:dyDescent="0.25">
      <c r="A197" s="8">
        <v>43087.797500000001</v>
      </c>
      <c r="B197" s="20" t="s">
        <v>512</v>
      </c>
      <c r="C197" s="20" t="s">
        <v>854</v>
      </c>
      <c r="D197" s="137">
        <v>3220000</v>
      </c>
      <c r="E197" s="20" t="s">
        <v>378</v>
      </c>
      <c r="F197" s="20" t="s">
        <v>379</v>
      </c>
      <c r="G197" s="8" t="str">
        <f t="shared" si="6"/>
        <v>RESPASS AARON</v>
      </c>
      <c r="H197" s="20" t="str">
        <f t="shared" si="7"/>
        <v>4009</v>
      </c>
    </row>
    <row r="198" spans="1:8" x14ac:dyDescent="0.25">
      <c r="A198" s="8">
        <v>43087.798993055556</v>
      </c>
      <c r="B198" s="20" t="s">
        <v>444</v>
      </c>
      <c r="C198" s="20" t="s">
        <v>855</v>
      </c>
      <c r="D198" s="137">
        <v>2630000</v>
      </c>
      <c r="E198" s="20" t="s">
        <v>372</v>
      </c>
      <c r="F198" s="20" t="s">
        <v>373</v>
      </c>
      <c r="G198" s="8" t="str">
        <f t="shared" si="6"/>
        <v>SAFIEF AEIMEN</v>
      </c>
      <c r="H198" s="20" t="str">
        <f t="shared" si="7"/>
        <v>4050</v>
      </c>
    </row>
    <row r="199" spans="1:8" x14ac:dyDescent="0.25">
      <c r="A199" s="8">
        <v>43087.80872685185</v>
      </c>
      <c r="B199" s="20" t="s">
        <v>530</v>
      </c>
      <c r="C199" s="20" t="s">
        <v>856</v>
      </c>
      <c r="D199" s="137">
        <v>3700000</v>
      </c>
      <c r="E199" s="20" t="s">
        <v>445</v>
      </c>
      <c r="F199" s="20" t="s">
        <v>369</v>
      </c>
      <c r="G199" s="8" t="str">
        <f t="shared" si="6"/>
        <v>AUSTIN THOMPSON</v>
      </c>
      <c r="H199" s="20" t="str">
        <f t="shared" si="7"/>
        <v>4043</v>
      </c>
    </row>
    <row r="200" spans="1:8" x14ac:dyDescent="0.25">
      <c r="A200" s="8">
        <v>43087.810196759259</v>
      </c>
      <c r="B200" s="20" t="s">
        <v>367</v>
      </c>
      <c r="C200" s="20" t="s">
        <v>857</v>
      </c>
      <c r="D200" s="137">
        <v>2030000</v>
      </c>
      <c r="E200" s="20" t="s">
        <v>591</v>
      </c>
      <c r="F200" s="20" t="s">
        <v>592</v>
      </c>
      <c r="G200" s="8" t="str">
        <f t="shared" si="6"/>
        <v>KILLION DAVID</v>
      </c>
      <c r="H200" s="20" t="str">
        <f t="shared" si="7"/>
        <v>4035</v>
      </c>
    </row>
    <row r="201" spans="1:8" x14ac:dyDescent="0.25">
      <c r="A201" s="8">
        <v>43087.81177083333</v>
      </c>
      <c r="B201" s="20" t="s">
        <v>495</v>
      </c>
      <c r="C201" s="20" t="s">
        <v>858</v>
      </c>
      <c r="D201" s="137">
        <v>890000</v>
      </c>
      <c r="E201" s="20" t="s">
        <v>344</v>
      </c>
      <c r="F201" s="20" t="s">
        <v>345</v>
      </c>
      <c r="G201" s="8" t="str">
        <f t="shared" si="6"/>
        <v>LOZA FIDEL</v>
      </c>
      <c r="H201" s="20" t="str">
        <f t="shared" si="7"/>
        <v>4016</v>
      </c>
    </row>
    <row r="202" spans="1:8" x14ac:dyDescent="0.25">
      <c r="A202" s="26">
        <v>43087.817557870374</v>
      </c>
      <c r="B202" s="20" t="s">
        <v>712</v>
      </c>
      <c r="C202" s="20" t="s">
        <v>859</v>
      </c>
      <c r="D202" s="137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4026</v>
      </c>
    </row>
    <row r="203" spans="1:8" x14ac:dyDescent="0.25">
      <c r="A203" s="8">
        <v>43087.817719907405</v>
      </c>
      <c r="B203" s="20" t="s">
        <v>452</v>
      </c>
      <c r="C203" s="20" t="s">
        <v>860</v>
      </c>
      <c r="D203" s="137">
        <v>3340000</v>
      </c>
      <c r="E203" s="20" t="s">
        <v>466</v>
      </c>
      <c r="F203" s="20" t="s">
        <v>467</v>
      </c>
      <c r="G203" s="8" t="str">
        <f t="shared" si="6"/>
        <v>ELBAUM MIKE</v>
      </c>
      <c r="H203" s="20" t="str">
        <f t="shared" si="7"/>
        <v>4051</v>
      </c>
    </row>
    <row r="204" spans="1:8" x14ac:dyDescent="0.25">
      <c r="A204" s="8">
        <v>43087.830081018517</v>
      </c>
      <c r="B204" s="20" t="s">
        <v>442</v>
      </c>
      <c r="C204" s="20" t="s">
        <v>861</v>
      </c>
      <c r="D204" s="137">
        <v>3220000</v>
      </c>
      <c r="E204" s="20" t="s">
        <v>378</v>
      </c>
      <c r="F204" s="20" t="s">
        <v>379</v>
      </c>
      <c r="G204" s="8" t="str">
        <f t="shared" si="6"/>
        <v>RESPASS AARON</v>
      </c>
      <c r="H204" s="20" t="str">
        <f t="shared" si="7"/>
        <v>4010</v>
      </c>
    </row>
    <row r="205" spans="1:8" x14ac:dyDescent="0.25">
      <c r="A205" s="8">
        <v>43087.832870370374</v>
      </c>
      <c r="B205" s="20" t="s">
        <v>366</v>
      </c>
      <c r="C205" s="20" t="s">
        <v>862</v>
      </c>
      <c r="D205" s="137">
        <v>2030000</v>
      </c>
      <c r="E205" s="20" t="s">
        <v>591</v>
      </c>
      <c r="F205" s="20" t="s">
        <v>592</v>
      </c>
      <c r="G205" s="8" t="str">
        <f t="shared" si="6"/>
        <v>KILLION DAVID</v>
      </c>
      <c r="H205" s="20" t="str">
        <f t="shared" si="7"/>
        <v>4036</v>
      </c>
    </row>
    <row r="206" spans="1:8" x14ac:dyDescent="0.25">
      <c r="A206" s="8">
        <v>43087.850925925923</v>
      </c>
      <c r="B206" s="20" t="s">
        <v>493</v>
      </c>
      <c r="C206" s="20" t="s">
        <v>863</v>
      </c>
      <c r="D206" s="137">
        <v>890000</v>
      </c>
      <c r="E206" s="20" t="s">
        <v>344</v>
      </c>
      <c r="F206" s="20" t="s">
        <v>345</v>
      </c>
      <c r="G206" s="8" t="str">
        <f t="shared" si="6"/>
        <v>LOZA FIDEL</v>
      </c>
      <c r="H206" s="20" t="str">
        <f t="shared" si="7"/>
        <v>4015</v>
      </c>
    </row>
    <row r="207" spans="1:8" x14ac:dyDescent="0.25">
      <c r="A207" s="8">
        <v>43087.851273148146</v>
      </c>
      <c r="B207" s="20" t="s">
        <v>529</v>
      </c>
      <c r="C207" s="20" t="s">
        <v>864</v>
      </c>
      <c r="D207" s="137">
        <v>3700000</v>
      </c>
      <c r="E207" s="20" t="s">
        <v>445</v>
      </c>
      <c r="F207" s="20" t="s">
        <v>369</v>
      </c>
      <c r="G207" s="8" t="str">
        <f t="shared" si="6"/>
        <v>AUSTIN THOMPSON</v>
      </c>
      <c r="H207" s="20" t="str">
        <f t="shared" si="7"/>
        <v>4044</v>
      </c>
    </row>
    <row r="208" spans="1:8" x14ac:dyDescent="0.25">
      <c r="A208" s="8">
        <v>43087.851712962962</v>
      </c>
      <c r="B208" s="20" t="s">
        <v>367</v>
      </c>
      <c r="C208" s="20" t="s">
        <v>865</v>
      </c>
      <c r="D208" s="137">
        <v>2030000</v>
      </c>
      <c r="E208" s="20" t="s">
        <v>591</v>
      </c>
      <c r="F208" s="20" t="s">
        <v>592</v>
      </c>
      <c r="G208" s="8" t="str">
        <f t="shared" si="6"/>
        <v>KILLION DAVID</v>
      </c>
      <c r="H208" s="20" t="str">
        <f t="shared" si="7"/>
        <v>4035</v>
      </c>
    </row>
    <row r="209" spans="1:8" x14ac:dyDescent="0.25">
      <c r="A209" s="8">
        <v>43087.858240740738</v>
      </c>
      <c r="B209" s="20" t="s">
        <v>450</v>
      </c>
      <c r="C209" s="20" t="s">
        <v>866</v>
      </c>
      <c r="D209" s="137">
        <v>3340000</v>
      </c>
      <c r="E209" s="20" t="s">
        <v>466</v>
      </c>
      <c r="F209" s="20" t="s">
        <v>467</v>
      </c>
      <c r="G209" s="8" t="str">
        <f t="shared" si="6"/>
        <v>ELBAUM MIKE</v>
      </c>
      <c r="H209" s="20" t="str">
        <f t="shared" si="7"/>
        <v>4052</v>
      </c>
    </row>
    <row r="210" spans="1:8" x14ac:dyDescent="0.25">
      <c r="A210" s="8">
        <v>43087.86923611111</v>
      </c>
      <c r="B210" s="20" t="s">
        <v>512</v>
      </c>
      <c r="C210" s="20" t="s">
        <v>867</v>
      </c>
      <c r="D210" s="137">
        <v>3220000</v>
      </c>
      <c r="E210" s="20" t="s">
        <v>378</v>
      </c>
      <c r="F210" s="20" t="s">
        <v>379</v>
      </c>
      <c r="G210" s="8" t="str">
        <f t="shared" si="6"/>
        <v>RESPASS AARON</v>
      </c>
      <c r="H210" s="20" t="str">
        <f t="shared" si="7"/>
        <v>4009</v>
      </c>
    </row>
    <row r="211" spans="1:8" x14ac:dyDescent="0.25">
      <c r="A211" s="8">
        <v>43087.876250000001</v>
      </c>
      <c r="B211" s="20" t="s">
        <v>366</v>
      </c>
      <c r="C211" s="20" t="s">
        <v>868</v>
      </c>
      <c r="D211" s="137">
        <v>2000000</v>
      </c>
      <c r="E211" s="20" t="s">
        <v>394</v>
      </c>
      <c r="F211" s="20" t="s">
        <v>395</v>
      </c>
      <c r="G211" s="8" t="str">
        <f t="shared" si="6"/>
        <v>STAMBAUGH JAMES</v>
      </c>
      <c r="H211" s="20" t="str">
        <f t="shared" si="7"/>
        <v>4036</v>
      </c>
    </row>
    <row r="212" spans="1:8" x14ac:dyDescent="0.25">
      <c r="A212" s="8">
        <v>43087.883969907409</v>
      </c>
      <c r="B212" s="20" t="s">
        <v>495</v>
      </c>
      <c r="C212" s="20" t="s">
        <v>869</v>
      </c>
      <c r="D212" s="137">
        <v>890000</v>
      </c>
      <c r="E212" s="20" t="s">
        <v>344</v>
      </c>
      <c r="F212" s="20" t="s">
        <v>345</v>
      </c>
      <c r="G212" s="8" t="str">
        <f t="shared" si="6"/>
        <v>LOZA FIDEL</v>
      </c>
      <c r="H212" s="20" t="str">
        <f t="shared" si="7"/>
        <v>4016</v>
      </c>
    </row>
    <row r="213" spans="1:8" x14ac:dyDescent="0.25">
      <c r="A213" s="8">
        <v>43087.891122685185</v>
      </c>
      <c r="B213" s="20" t="s">
        <v>530</v>
      </c>
      <c r="C213" s="20" t="s">
        <v>870</v>
      </c>
      <c r="D213" s="137">
        <v>3700000</v>
      </c>
      <c r="E213" s="20" t="s">
        <v>445</v>
      </c>
      <c r="F213" s="20" t="s">
        <v>369</v>
      </c>
      <c r="G213" s="8" t="str">
        <f t="shared" si="6"/>
        <v>AUSTIN THOMPSON</v>
      </c>
      <c r="H213" s="20" t="str">
        <f t="shared" si="7"/>
        <v>4043</v>
      </c>
    </row>
    <row r="214" spans="1:8" x14ac:dyDescent="0.25">
      <c r="A214" s="8">
        <v>43087.892731481479</v>
      </c>
      <c r="B214" s="20" t="s">
        <v>367</v>
      </c>
      <c r="C214" s="20" t="s">
        <v>871</v>
      </c>
      <c r="D214" s="137">
        <v>2000000</v>
      </c>
      <c r="E214" s="20" t="s">
        <v>394</v>
      </c>
      <c r="F214" s="20" t="s">
        <v>395</v>
      </c>
      <c r="G214" s="8" t="str">
        <f t="shared" si="6"/>
        <v>STAMBAUGH JAMES</v>
      </c>
      <c r="H214" s="20" t="str">
        <f t="shared" si="7"/>
        <v>4035</v>
      </c>
    </row>
    <row r="215" spans="1:8" x14ac:dyDescent="0.25">
      <c r="A215" s="8">
        <v>43087.90111111111</v>
      </c>
      <c r="B215" s="20" t="s">
        <v>452</v>
      </c>
      <c r="C215" s="20" t="s">
        <v>872</v>
      </c>
      <c r="D215" s="137">
        <v>3340000</v>
      </c>
      <c r="E215" s="20" t="s">
        <v>466</v>
      </c>
      <c r="F215" s="20" t="s">
        <v>467</v>
      </c>
      <c r="G215" s="8" t="str">
        <f t="shared" si="6"/>
        <v>ELBAUM MIKE</v>
      </c>
      <c r="H215" s="20" t="str">
        <f t="shared" si="7"/>
        <v>4051</v>
      </c>
    </row>
    <row r="216" spans="1:8" x14ac:dyDescent="0.25">
      <c r="A216" s="8">
        <v>43087.914479166669</v>
      </c>
      <c r="B216" s="20" t="s">
        <v>442</v>
      </c>
      <c r="C216" s="20" t="s">
        <v>873</v>
      </c>
      <c r="D216" s="137">
        <v>3220000</v>
      </c>
      <c r="E216" s="20" t="s">
        <v>378</v>
      </c>
      <c r="F216" s="20" t="s">
        <v>379</v>
      </c>
      <c r="G216" s="8" t="str">
        <f t="shared" si="6"/>
        <v>RESPASS AARON</v>
      </c>
      <c r="H216" s="20" t="str">
        <f t="shared" si="7"/>
        <v>4010</v>
      </c>
    </row>
    <row r="217" spans="1:8" x14ac:dyDescent="0.25">
      <c r="A217" s="8">
        <v>43087.918807870374</v>
      </c>
      <c r="B217" s="20" t="s">
        <v>366</v>
      </c>
      <c r="C217" s="20" t="s">
        <v>874</v>
      </c>
      <c r="D217" s="137">
        <v>2000000</v>
      </c>
      <c r="E217" s="20" t="s">
        <v>394</v>
      </c>
      <c r="F217" s="20" t="s">
        <v>395</v>
      </c>
      <c r="G217" s="8" t="str">
        <f t="shared" si="6"/>
        <v>STAMBAUGH JAMES</v>
      </c>
      <c r="H217" s="20" t="str">
        <f t="shared" si="7"/>
        <v>4036</v>
      </c>
    </row>
    <row r="218" spans="1:8" x14ac:dyDescent="0.25">
      <c r="A218" s="8">
        <v>43087.932164351849</v>
      </c>
      <c r="B218" s="20" t="s">
        <v>493</v>
      </c>
      <c r="C218" s="20" t="s">
        <v>875</v>
      </c>
      <c r="D218" s="13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4015</v>
      </c>
    </row>
    <row r="219" spans="1:8" x14ac:dyDescent="0.25">
      <c r="A219" s="8">
        <v>43087.934942129628</v>
      </c>
      <c r="B219" s="20" t="s">
        <v>529</v>
      </c>
      <c r="C219" s="20" t="s">
        <v>876</v>
      </c>
      <c r="D219" s="137">
        <v>3700000</v>
      </c>
      <c r="E219" s="20" t="s">
        <v>445</v>
      </c>
      <c r="F219" s="20" t="s">
        <v>369</v>
      </c>
      <c r="G219" s="8" t="str">
        <f t="shared" si="6"/>
        <v>AUSTIN THOMPSON</v>
      </c>
      <c r="H219" s="20" t="str">
        <f t="shared" si="7"/>
        <v>4044</v>
      </c>
    </row>
    <row r="220" spans="1:8" x14ac:dyDescent="0.25">
      <c r="A220" s="8">
        <v>43087.936076388891</v>
      </c>
      <c r="B220" s="20" t="s">
        <v>367</v>
      </c>
      <c r="C220" s="20" t="s">
        <v>877</v>
      </c>
      <c r="D220" s="137">
        <v>2000000</v>
      </c>
      <c r="E220" s="20" t="s">
        <v>394</v>
      </c>
      <c r="F220" s="20" t="s">
        <v>395</v>
      </c>
      <c r="G220" s="8" t="str">
        <f t="shared" si="6"/>
        <v>STAMBAUGH JAMES</v>
      </c>
      <c r="H220" s="20" t="str">
        <f t="shared" si="7"/>
        <v>4035</v>
      </c>
    </row>
    <row r="221" spans="1:8" x14ac:dyDescent="0.25">
      <c r="A221" s="8">
        <v>43087.943715277775</v>
      </c>
      <c r="B221" s="20" t="s">
        <v>357</v>
      </c>
      <c r="C221" s="20" t="s">
        <v>878</v>
      </c>
      <c r="D221" s="137">
        <v>3500000</v>
      </c>
      <c r="E221" s="20" t="s">
        <v>376</v>
      </c>
      <c r="F221" s="20" t="s">
        <v>377</v>
      </c>
      <c r="G221" s="8" t="str">
        <f t="shared" si="6"/>
        <v>GUNTHIER ERIC</v>
      </c>
      <c r="H221" s="20" t="str">
        <f t="shared" si="7"/>
        <v>4060</v>
      </c>
    </row>
    <row r="222" spans="1:8" x14ac:dyDescent="0.25">
      <c r="A222" s="8">
        <v>43087.944120370368</v>
      </c>
      <c r="B222" s="20" t="s">
        <v>450</v>
      </c>
      <c r="C222" s="20" t="s">
        <v>879</v>
      </c>
      <c r="D222" s="137">
        <v>3340000</v>
      </c>
      <c r="E222" s="20" t="s">
        <v>466</v>
      </c>
      <c r="F222" s="20" t="s">
        <v>467</v>
      </c>
      <c r="G222" s="8" t="str">
        <f t="shared" si="6"/>
        <v>ELBAUM MIKE</v>
      </c>
      <c r="H222" s="20" t="str">
        <f t="shared" si="7"/>
        <v>4052</v>
      </c>
    </row>
    <row r="223" spans="1:8" x14ac:dyDescent="0.25">
      <c r="A223" s="8">
        <v>43087.94427083333</v>
      </c>
      <c r="B223" s="20" t="s">
        <v>357</v>
      </c>
      <c r="C223" s="20" t="s">
        <v>880</v>
      </c>
      <c r="D223" s="137">
        <v>3500000</v>
      </c>
      <c r="E223" s="20" t="s">
        <v>376</v>
      </c>
      <c r="F223" s="20" t="s">
        <v>377</v>
      </c>
      <c r="G223" s="8" t="str">
        <f t="shared" si="6"/>
        <v>GUNTHIER ERIC</v>
      </c>
      <c r="H223" s="20" t="str">
        <f t="shared" si="7"/>
        <v>4060</v>
      </c>
    </row>
    <row r="224" spans="1:8" x14ac:dyDescent="0.25">
      <c r="A224" s="8">
        <v>43087.949189814812</v>
      </c>
      <c r="B224" t="s">
        <v>390</v>
      </c>
      <c r="C224" t="s">
        <v>878</v>
      </c>
      <c r="D224" s="137">
        <v>3500000</v>
      </c>
      <c r="E224" t="s">
        <v>376</v>
      </c>
      <c r="F224" s="20" t="s">
        <v>377</v>
      </c>
      <c r="G224" s="8" t="str">
        <f t="shared" si="6"/>
        <v>GUNTHIER ERIC</v>
      </c>
      <c r="H224" s="20" t="str">
        <f t="shared" si="7"/>
        <v>4059</v>
      </c>
    </row>
    <row r="225" spans="1:8" x14ac:dyDescent="0.25">
      <c r="A225" s="8">
        <v>43087.952372685184</v>
      </c>
      <c r="B225" t="s">
        <v>512</v>
      </c>
      <c r="C225" t="s">
        <v>881</v>
      </c>
      <c r="D225" s="137">
        <v>3220000</v>
      </c>
      <c r="E225" t="s">
        <v>378</v>
      </c>
      <c r="F225" s="20" t="s">
        <v>379</v>
      </c>
      <c r="G225" s="8" t="str">
        <f t="shared" si="6"/>
        <v>RESPASS AARON</v>
      </c>
      <c r="H225" s="20" t="str">
        <f t="shared" si="7"/>
        <v>4009</v>
      </c>
    </row>
    <row r="226" spans="1:8" x14ac:dyDescent="0.25">
      <c r="A226" s="8">
        <v>43087.960497685184</v>
      </c>
      <c r="B226" t="s">
        <v>366</v>
      </c>
      <c r="C226" t="s">
        <v>882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4036</v>
      </c>
    </row>
    <row r="227" spans="1:8" x14ac:dyDescent="0.25">
      <c r="A227" s="8">
        <v>43087.961111111108</v>
      </c>
      <c r="B227" t="s">
        <v>357</v>
      </c>
      <c r="C227" t="s">
        <v>883</v>
      </c>
      <c r="D227" s="137">
        <v>3500000</v>
      </c>
      <c r="E227" t="s">
        <v>376</v>
      </c>
      <c r="F227" s="20" t="s">
        <v>377</v>
      </c>
      <c r="G227" s="8" t="str">
        <f t="shared" si="6"/>
        <v>GUNTHIER ERIC</v>
      </c>
      <c r="H227" s="20" t="str">
        <f t="shared" si="7"/>
        <v>4060</v>
      </c>
    </row>
    <row r="228" spans="1:8" x14ac:dyDescent="0.25">
      <c r="A228" s="8">
        <v>43087.966134259259</v>
      </c>
      <c r="B228" t="s">
        <v>495</v>
      </c>
      <c r="C228" t="s">
        <v>884</v>
      </c>
      <c r="D228" s="137">
        <v>890000</v>
      </c>
      <c r="E228" t="s">
        <v>344</v>
      </c>
      <c r="F228" s="20" t="s">
        <v>345</v>
      </c>
      <c r="G228" s="8" t="str">
        <f t="shared" si="6"/>
        <v>LOZA FIDEL</v>
      </c>
      <c r="H228" s="20" t="str">
        <f t="shared" si="7"/>
        <v>4016</v>
      </c>
    </row>
    <row r="229" spans="1:8" x14ac:dyDescent="0.25">
      <c r="A229" s="8">
        <v>43087.975324074076</v>
      </c>
      <c r="B229" t="s">
        <v>530</v>
      </c>
      <c r="C229" t="s">
        <v>682</v>
      </c>
      <c r="D229" s="137">
        <v>3700000</v>
      </c>
      <c r="E229" t="s">
        <v>445</v>
      </c>
      <c r="F229" s="20" t="s">
        <v>369</v>
      </c>
      <c r="G229" s="8" t="str">
        <f t="shared" si="6"/>
        <v>AUSTIN THOMPSON</v>
      </c>
      <c r="H229" s="20" t="str">
        <f t="shared" si="7"/>
        <v>4043</v>
      </c>
    </row>
    <row r="230" spans="1:8" x14ac:dyDescent="0.25">
      <c r="A230" s="8">
        <v>43087.978136574071</v>
      </c>
      <c r="B230" t="s">
        <v>390</v>
      </c>
      <c r="C230" t="s">
        <v>878</v>
      </c>
      <c r="D230" s="137">
        <v>3500000</v>
      </c>
      <c r="E230" t="s">
        <v>376</v>
      </c>
      <c r="F230" s="20" t="s">
        <v>377</v>
      </c>
      <c r="G230" s="8" t="str">
        <f t="shared" si="6"/>
        <v>GUNTHIER ERIC</v>
      </c>
      <c r="H230" s="20" t="str">
        <f t="shared" si="7"/>
        <v>4059</v>
      </c>
    </row>
    <row r="231" spans="1:8" x14ac:dyDescent="0.25">
      <c r="A231" s="8">
        <v>43087.98710648148</v>
      </c>
      <c r="B231" t="s">
        <v>452</v>
      </c>
      <c r="C231" t="s">
        <v>885</v>
      </c>
      <c r="D231" s="137">
        <v>3340000</v>
      </c>
      <c r="E231" t="s">
        <v>466</v>
      </c>
      <c r="F231" s="20" t="s">
        <v>467</v>
      </c>
      <c r="G231" s="8" t="str">
        <f t="shared" si="6"/>
        <v>ELBAUM MIKE</v>
      </c>
      <c r="H231" s="20" t="str">
        <f t="shared" si="7"/>
        <v>4051</v>
      </c>
    </row>
    <row r="232" spans="1:8" x14ac:dyDescent="0.25">
      <c r="A232" s="8">
        <v>43087.994502314818</v>
      </c>
      <c r="B232" t="s">
        <v>442</v>
      </c>
      <c r="C232" t="s">
        <v>886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4010</v>
      </c>
    </row>
    <row r="233" spans="1:8" x14ac:dyDescent="0.25">
      <c r="A233" s="8">
        <v>43088.008912037039</v>
      </c>
      <c r="B233" t="s">
        <v>529</v>
      </c>
      <c r="C233" t="s">
        <v>887</v>
      </c>
      <c r="D233" s="137">
        <v>3700000</v>
      </c>
      <c r="E233" t="s">
        <v>445</v>
      </c>
      <c r="F233" s="20" t="s">
        <v>369</v>
      </c>
      <c r="G233" s="8" t="str">
        <f t="shared" si="6"/>
        <v>AUSTIN THOMPSON</v>
      </c>
      <c r="H233" s="20" t="str">
        <f t="shared" si="7"/>
        <v>4044</v>
      </c>
    </row>
    <row r="234" spans="1:8" x14ac:dyDescent="0.25">
      <c r="A234" s="8">
        <v>43088.011493055557</v>
      </c>
      <c r="B234" t="s">
        <v>529</v>
      </c>
      <c r="C234" t="s">
        <v>887</v>
      </c>
      <c r="D234" s="137">
        <v>3700000</v>
      </c>
      <c r="E234" t="s">
        <v>445</v>
      </c>
      <c r="F234" s="20" t="s">
        <v>369</v>
      </c>
      <c r="G234" s="8" t="str">
        <f t="shared" si="6"/>
        <v>AUSTIN THOMPSON</v>
      </c>
      <c r="H234" s="20" t="str">
        <f t="shared" si="7"/>
        <v>4044</v>
      </c>
    </row>
    <row r="235" spans="1:8" x14ac:dyDescent="0.25">
      <c r="A235" s="8">
        <v>43088.016759259262</v>
      </c>
      <c r="B235" t="s">
        <v>493</v>
      </c>
      <c r="C235" t="s">
        <v>888</v>
      </c>
      <c r="D235" s="137">
        <v>890000</v>
      </c>
      <c r="E235" t="s">
        <v>344</v>
      </c>
      <c r="F235" s="20" t="s">
        <v>345</v>
      </c>
      <c r="G235" s="8" t="str">
        <f t="shared" si="6"/>
        <v>LOZA FIDEL</v>
      </c>
      <c r="H235" s="20" t="str">
        <f t="shared" si="7"/>
        <v>4015</v>
      </c>
    </row>
    <row r="236" spans="1:8" x14ac:dyDescent="0.25">
      <c r="A236" s="8">
        <v>43088.025150462963</v>
      </c>
      <c r="B236" t="s">
        <v>450</v>
      </c>
      <c r="C236" t="s">
        <v>889</v>
      </c>
      <c r="D236" s="137">
        <v>3340000</v>
      </c>
      <c r="E236" t="s">
        <v>466</v>
      </c>
      <c r="F236" s="20" t="s">
        <v>467</v>
      </c>
      <c r="G236" s="8" t="str">
        <f t="shared" si="6"/>
        <v>ELBAUM MIKE</v>
      </c>
      <c r="H236" s="20" t="str">
        <f t="shared" si="7"/>
        <v>4052</v>
      </c>
    </row>
    <row r="237" spans="1:8" x14ac:dyDescent="0.25">
      <c r="A237" s="8">
        <v>43088.03702546296</v>
      </c>
      <c r="B237" t="s">
        <v>512</v>
      </c>
      <c r="C237" t="s">
        <v>890</v>
      </c>
      <c r="D237" s="137">
        <v>3220000</v>
      </c>
      <c r="E237" t="s">
        <v>378</v>
      </c>
      <c r="F237" s="20" t="s">
        <v>379</v>
      </c>
      <c r="G237" s="8" t="str">
        <f t="shared" si="6"/>
        <v>RESPASS AARON</v>
      </c>
      <c r="H237" s="20" t="str">
        <f t="shared" si="7"/>
        <v>4009</v>
      </c>
    </row>
    <row r="238" spans="1:8" x14ac:dyDescent="0.25">
      <c r="A238" s="8">
        <v>43088.047256944446</v>
      </c>
      <c r="B238" t="s">
        <v>495</v>
      </c>
      <c r="C238" t="s">
        <v>891</v>
      </c>
      <c r="D238" s="137">
        <v>890000</v>
      </c>
      <c r="E238" t="s">
        <v>344</v>
      </c>
      <c r="F238" s="20" t="s">
        <v>345</v>
      </c>
      <c r="G238" s="8" t="str">
        <f t="shared" si="6"/>
        <v>LOZA FIDEL</v>
      </c>
      <c r="H238" s="20" t="str">
        <f t="shared" si="7"/>
        <v>4016</v>
      </c>
    </row>
    <row r="239" spans="1:8" x14ac:dyDescent="0.25">
      <c r="A239" s="8">
        <v>43088.058078703703</v>
      </c>
      <c r="B239" t="s">
        <v>530</v>
      </c>
      <c r="C239" t="s">
        <v>892</v>
      </c>
      <c r="D239" s="137">
        <v>3700000</v>
      </c>
      <c r="E239" t="s">
        <v>445</v>
      </c>
      <c r="F239" s="20" t="s">
        <v>369</v>
      </c>
      <c r="G239" s="8" t="str">
        <f t="shared" si="6"/>
        <v>AUSTIN THOMPSON</v>
      </c>
      <c r="H239" s="20" t="str">
        <f t="shared" si="7"/>
        <v>4043</v>
      </c>
    </row>
    <row r="240" spans="1:8" x14ac:dyDescent="0.25">
      <c r="A240" s="8">
        <v>43088.066458333335</v>
      </c>
      <c r="B240" t="s">
        <v>442</v>
      </c>
      <c r="C240" t="s">
        <v>893</v>
      </c>
      <c r="D240" s="137">
        <v>3220000</v>
      </c>
      <c r="E240" t="s">
        <v>378</v>
      </c>
      <c r="F240" s="20" t="s">
        <v>379</v>
      </c>
      <c r="G240" s="8" t="str">
        <f t="shared" si="6"/>
        <v>RESPASS AARON</v>
      </c>
      <c r="H240" s="20" t="str">
        <f t="shared" si="7"/>
        <v>4010</v>
      </c>
    </row>
    <row r="241" spans="1:8" x14ac:dyDescent="0.25">
      <c r="A241" s="8">
        <v>43088.089050925926</v>
      </c>
      <c r="B241" t="s">
        <v>529</v>
      </c>
      <c r="C241" t="s">
        <v>683</v>
      </c>
      <c r="D241" s="137">
        <v>3700000</v>
      </c>
      <c r="E241" t="s">
        <v>445</v>
      </c>
      <c r="F241" s="20" t="s">
        <v>369</v>
      </c>
      <c r="G241" s="8" t="str">
        <f t="shared" si="6"/>
        <v>AUSTIN THOMPSON</v>
      </c>
      <c r="H241" s="20" t="str">
        <f t="shared" si="7"/>
        <v>4044</v>
      </c>
    </row>
    <row r="242" spans="1:8" x14ac:dyDescent="0.25">
      <c r="A242" s="8">
        <v>43062.050451388888</v>
      </c>
      <c r="B242" t="s">
        <v>496</v>
      </c>
      <c r="C242" t="s">
        <v>497</v>
      </c>
      <c r="D242" s="137">
        <v>2440000</v>
      </c>
      <c r="E242" t="s">
        <v>453</v>
      </c>
      <c r="F242" s="20" t="s">
        <v>454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495</v>
      </c>
      <c r="C243" t="s">
        <v>498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494</v>
      </c>
      <c r="C244" t="s">
        <v>499</v>
      </c>
      <c r="D244" s="137">
        <v>2440000</v>
      </c>
      <c r="E244" t="s">
        <v>453</v>
      </c>
      <c r="F244" s="20" t="s">
        <v>454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478</v>
      </c>
      <c r="C245" t="s">
        <v>484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481</v>
      </c>
      <c r="C246" t="s">
        <v>485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480</v>
      </c>
      <c r="C247" t="s">
        <v>486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442</v>
      </c>
      <c r="C248" t="s">
        <v>487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488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479</v>
      </c>
      <c r="C250" t="s">
        <v>489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482</v>
      </c>
      <c r="C251" t="s">
        <v>490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478</v>
      </c>
      <c r="C252" t="s">
        <v>491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481</v>
      </c>
      <c r="C253" t="s">
        <v>483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473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446</v>
      </c>
      <c r="C255" t="s">
        <v>474</v>
      </c>
      <c r="D255" s="137">
        <v>3340000</v>
      </c>
      <c r="E255" t="s">
        <v>466</v>
      </c>
      <c r="F255" s="20" t="s">
        <v>467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442</v>
      </c>
      <c r="C256" t="s">
        <v>475</v>
      </c>
      <c r="D256" s="137">
        <v>3680000</v>
      </c>
      <c r="E256" t="s">
        <v>471</v>
      </c>
      <c r="F256" s="20" t="s">
        <v>472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443</v>
      </c>
      <c r="C257" t="s">
        <v>457</v>
      </c>
      <c r="D257" s="137">
        <v>2540000</v>
      </c>
      <c r="E257" t="s">
        <v>455</v>
      </c>
      <c r="F257" s="20" t="s">
        <v>456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451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442</v>
      </c>
      <c r="C259" t="s">
        <v>458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452</v>
      </c>
      <c r="C260" t="s">
        <v>459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444</v>
      </c>
      <c r="C261" t="s">
        <v>460</v>
      </c>
      <c r="D261" s="137">
        <v>2440000</v>
      </c>
      <c r="E261" t="s">
        <v>453</v>
      </c>
      <c r="F261" s="20" t="s">
        <v>454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461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450</v>
      </c>
      <c r="C263" t="s">
        <v>462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463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/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596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24.24</v>
      </c>
      <c r="B2" s="195">
        <v>0</v>
      </c>
      <c r="C2" s="195">
        <v>18.850000000000001</v>
      </c>
      <c r="D2" s="8">
        <v>43087</v>
      </c>
      <c r="E2" s="195">
        <v>0.8</v>
      </c>
      <c r="F2" s="195" t="s">
        <v>465</v>
      </c>
      <c r="G2" s="195">
        <v>325.57</v>
      </c>
      <c r="H2" s="195">
        <v>0</v>
      </c>
      <c r="I2" s="195">
        <v>0</v>
      </c>
      <c r="J2" s="195"/>
      <c r="K2" s="195">
        <v>1016</v>
      </c>
      <c r="L2" s="195" t="s">
        <v>464</v>
      </c>
      <c r="M2" s="195">
        <v>24.24</v>
      </c>
      <c r="N2" s="195">
        <v>1513580400</v>
      </c>
      <c r="O2" s="195">
        <v>0</v>
      </c>
      <c r="P2" s="195">
        <v>2.89</v>
      </c>
      <c r="Q2" s="195">
        <v>220</v>
      </c>
      <c r="R2" s="195">
        <v>1.88</v>
      </c>
      <c r="S2" s="195">
        <v>0.41</v>
      </c>
      <c r="T2"/>
    </row>
    <row r="3" spans="1:20" x14ac:dyDescent="0.25">
      <c r="A3" s="195">
        <v>23.68</v>
      </c>
      <c r="B3" s="195">
        <v>0</v>
      </c>
      <c r="C3" s="195">
        <v>18.46</v>
      </c>
      <c r="D3" s="8">
        <v>43087.041666666664</v>
      </c>
      <c r="E3" s="195">
        <v>0.8</v>
      </c>
      <c r="F3" s="195" t="s">
        <v>465</v>
      </c>
      <c r="G3" s="195">
        <v>322.89999999999998</v>
      </c>
      <c r="H3" s="195">
        <v>0</v>
      </c>
      <c r="I3" s="195">
        <v>0</v>
      </c>
      <c r="J3" s="195"/>
      <c r="K3" s="195">
        <v>1016.66</v>
      </c>
      <c r="L3" s="195" t="s">
        <v>464</v>
      </c>
      <c r="M3" s="195">
        <v>23.68</v>
      </c>
      <c r="N3" s="195">
        <v>1513584000</v>
      </c>
      <c r="O3" s="195">
        <v>0</v>
      </c>
      <c r="P3" s="195">
        <v>3.1</v>
      </c>
      <c r="Q3" s="195">
        <v>257</v>
      </c>
      <c r="R3" s="195">
        <v>1.96</v>
      </c>
      <c r="S3" s="195">
        <v>0.31</v>
      </c>
      <c r="T3"/>
    </row>
    <row r="4" spans="1:20" x14ac:dyDescent="0.25">
      <c r="A4" s="195">
        <v>23.19</v>
      </c>
      <c r="B4" s="195">
        <v>0</v>
      </c>
      <c r="C4" s="195">
        <v>18.47</v>
      </c>
      <c r="D4" s="8">
        <v>43087.083333333336</v>
      </c>
      <c r="E4" s="195">
        <v>0.82</v>
      </c>
      <c r="F4" s="195" t="s">
        <v>465</v>
      </c>
      <c r="G4" s="195">
        <v>320.62</v>
      </c>
      <c r="H4" s="195">
        <v>0</v>
      </c>
      <c r="I4" s="195">
        <v>0</v>
      </c>
      <c r="J4" s="195"/>
      <c r="K4" s="195">
        <v>1017.67</v>
      </c>
      <c r="L4" s="195" t="s">
        <v>464</v>
      </c>
      <c r="M4" s="195">
        <v>23.19</v>
      </c>
      <c r="N4" s="195">
        <v>1513587600</v>
      </c>
      <c r="O4" s="195">
        <v>0</v>
      </c>
      <c r="P4" s="195">
        <v>2.76</v>
      </c>
      <c r="Q4" s="195">
        <v>194</v>
      </c>
      <c r="R4" s="195">
        <v>1.63</v>
      </c>
      <c r="S4" s="195">
        <v>0.39</v>
      </c>
      <c r="T4"/>
    </row>
    <row r="5" spans="1:20" x14ac:dyDescent="0.25">
      <c r="A5" s="195">
        <v>22.61</v>
      </c>
      <c r="B5" s="195">
        <v>0</v>
      </c>
      <c r="C5" s="195">
        <v>17.97</v>
      </c>
      <c r="D5" s="8">
        <v>43087.125</v>
      </c>
      <c r="E5" s="195">
        <v>0.82</v>
      </c>
      <c r="F5" s="195" t="s">
        <v>465</v>
      </c>
      <c r="G5" s="195">
        <v>319.07</v>
      </c>
      <c r="H5" s="195">
        <v>0</v>
      </c>
      <c r="I5" s="195">
        <v>0</v>
      </c>
      <c r="J5" s="195"/>
      <c r="K5" s="195">
        <v>1017.26</v>
      </c>
      <c r="L5" s="195" t="s">
        <v>464</v>
      </c>
      <c r="M5" s="195">
        <v>22.61</v>
      </c>
      <c r="N5" s="195">
        <v>1513591200</v>
      </c>
      <c r="O5" s="195">
        <v>0</v>
      </c>
      <c r="P5" s="195">
        <v>3.27</v>
      </c>
      <c r="Q5" s="195">
        <v>177</v>
      </c>
      <c r="R5" s="195">
        <v>2.56</v>
      </c>
      <c r="S5" s="195">
        <v>0.67</v>
      </c>
      <c r="T5"/>
    </row>
    <row r="6" spans="1:20" x14ac:dyDescent="0.25">
      <c r="A6" s="195">
        <v>22.3</v>
      </c>
      <c r="B6" s="195">
        <v>0</v>
      </c>
      <c r="C6" s="195">
        <v>17.37</v>
      </c>
      <c r="D6" s="8">
        <v>43087.166666666664</v>
      </c>
      <c r="E6" s="195">
        <v>0.81</v>
      </c>
      <c r="F6" s="195" t="s">
        <v>465</v>
      </c>
      <c r="G6" s="195">
        <v>318.04000000000002</v>
      </c>
      <c r="H6" s="195">
        <v>0</v>
      </c>
      <c r="I6" s="195">
        <v>0</v>
      </c>
      <c r="J6" s="195"/>
      <c r="K6" s="195">
        <v>1016.94</v>
      </c>
      <c r="L6" s="195" t="s">
        <v>464</v>
      </c>
      <c r="M6" s="195">
        <v>22.3</v>
      </c>
      <c r="N6" s="195">
        <v>1513594800</v>
      </c>
      <c r="O6" s="195">
        <v>0</v>
      </c>
      <c r="P6" s="195">
        <v>2.95</v>
      </c>
      <c r="Q6" s="195">
        <v>189</v>
      </c>
      <c r="R6" s="195">
        <v>2.74</v>
      </c>
      <c r="S6" s="195">
        <v>0.9</v>
      </c>
      <c r="T6"/>
    </row>
    <row r="7" spans="1:20" x14ac:dyDescent="0.25">
      <c r="A7" s="195">
        <v>22.27</v>
      </c>
      <c r="B7" s="195">
        <v>0</v>
      </c>
      <c r="C7" s="195">
        <v>16.64</v>
      </c>
      <c r="D7" s="8">
        <v>43087.208333333336</v>
      </c>
      <c r="E7" s="195">
        <v>0.79</v>
      </c>
      <c r="F7" s="195" t="s">
        <v>465</v>
      </c>
      <c r="G7" s="195">
        <v>315.12</v>
      </c>
      <c r="H7" s="195">
        <v>0</v>
      </c>
      <c r="I7" s="195">
        <v>0</v>
      </c>
      <c r="J7" s="195"/>
      <c r="K7" s="195">
        <v>1016.81</v>
      </c>
      <c r="L7" s="195" t="s">
        <v>464</v>
      </c>
      <c r="M7" s="195">
        <v>22.27</v>
      </c>
      <c r="N7" s="195">
        <v>1513598400</v>
      </c>
      <c r="O7" s="195">
        <v>0</v>
      </c>
      <c r="P7" s="195">
        <v>3.36</v>
      </c>
      <c r="Q7" s="195">
        <v>201</v>
      </c>
      <c r="R7" s="195">
        <v>2.0099999999999998</v>
      </c>
      <c r="S7" s="195">
        <v>0.57999999999999996</v>
      </c>
      <c r="T7"/>
    </row>
    <row r="8" spans="1:20" x14ac:dyDescent="0.25">
      <c r="A8" s="195">
        <v>22.97</v>
      </c>
      <c r="B8" s="195">
        <v>0.02</v>
      </c>
      <c r="C8" s="195">
        <v>16.309999999999999</v>
      </c>
      <c r="D8" s="8">
        <v>43087.25</v>
      </c>
      <c r="E8" s="195">
        <v>0.75</v>
      </c>
      <c r="F8" s="195" t="s">
        <v>465</v>
      </c>
      <c r="G8" s="195">
        <v>314.38</v>
      </c>
      <c r="H8" s="195">
        <v>0</v>
      </c>
      <c r="I8" s="195">
        <v>0</v>
      </c>
      <c r="J8" s="195"/>
      <c r="K8" s="195">
        <v>1017.32</v>
      </c>
      <c r="L8" s="195" t="s">
        <v>464</v>
      </c>
      <c r="M8" s="195">
        <v>22.97</v>
      </c>
      <c r="N8" s="195">
        <v>1513602000</v>
      </c>
      <c r="O8" s="195">
        <v>0</v>
      </c>
      <c r="P8" s="195">
        <v>3.29</v>
      </c>
      <c r="Q8" s="195">
        <v>202</v>
      </c>
      <c r="R8" s="195">
        <v>3.26</v>
      </c>
      <c r="S8" s="195">
        <v>0.84</v>
      </c>
      <c r="T8"/>
    </row>
    <row r="9" spans="1:20" x14ac:dyDescent="0.25">
      <c r="A9" s="195">
        <v>23.94</v>
      </c>
      <c r="B9" s="195">
        <v>0.1</v>
      </c>
      <c r="C9" s="195">
        <v>15.78</v>
      </c>
      <c r="D9" s="8">
        <v>43087.291666666664</v>
      </c>
      <c r="E9" s="195">
        <v>0.71</v>
      </c>
      <c r="F9" s="195" t="s">
        <v>465</v>
      </c>
      <c r="G9" s="195">
        <v>314.07</v>
      </c>
      <c r="H9" s="195">
        <v>0</v>
      </c>
      <c r="I9" s="195">
        <v>0</v>
      </c>
      <c r="J9" s="195"/>
      <c r="K9" s="195">
        <v>1018.45</v>
      </c>
      <c r="L9" s="195" t="s">
        <v>464</v>
      </c>
      <c r="M9" s="195">
        <v>23.94</v>
      </c>
      <c r="N9" s="195">
        <v>1513605600</v>
      </c>
      <c r="O9" s="195">
        <v>0</v>
      </c>
      <c r="P9" s="195">
        <v>4.37</v>
      </c>
      <c r="Q9" s="195">
        <v>159</v>
      </c>
      <c r="R9" s="195">
        <v>3.37</v>
      </c>
      <c r="S9" s="195">
        <v>1.01</v>
      </c>
      <c r="T9"/>
    </row>
    <row r="10" spans="1:20" x14ac:dyDescent="0.25">
      <c r="A10" s="195">
        <v>27.24</v>
      </c>
      <c r="B10" s="195">
        <v>0.08</v>
      </c>
      <c r="C10" s="195">
        <v>15.99</v>
      </c>
      <c r="D10" s="8">
        <v>43087.333333333336</v>
      </c>
      <c r="E10" s="195">
        <v>0.62</v>
      </c>
      <c r="F10" s="195" t="s">
        <v>500</v>
      </c>
      <c r="G10" s="195">
        <v>313.75</v>
      </c>
      <c r="H10" s="195">
        <v>0</v>
      </c>
      <c r="I10" s="195">
        <v>0</v>
      </c>
      <c r="J10" s="195"/>
      <c r="K10" s="195">
        <v>1018.52</v>
      </c>
      <c r="L10" s="195" t="s">
        <v>464</v>
      </c>
      <c r="M10" s="195">
        <v>27.24</v>
      </c>
      <c r="N10" s="195">
        <v>1513609200</v>
      </c>
      <c r="O10" s="195">
        <v>0</v>
      </c>
      <c r="P10" s="195">
        <v>3.03</v>
      </c>
      <c r="Q10" s="195">
        <v>181</v>
      </c>
      <c r="R10" s="195">
        <v>4.05</v>
      </c>
      <c r="S10" s="195">
        <v>1.1399999999999999</v>
      </c>
      <c r="T10"/>
    </row>
    <row r="11" spans="1:20" x14ac:dyDescent="0.25">
      <c r="A11" s="195">
        <v>34.89</v>
      </c>
      <c r="B11" s="195">
        <v>0.04</v>
      </c>
      <c r="C11" s="195">
        <v>18.39</v>
      </c>
      <c r="D11" s="8">
        <v>43087.375</v>
      </c>
      <c r="E11" s="195">
        <v>0.5</v>
      </c>
      <c r="F11" s="195" t="s">
        <v>500</v>
      </c>
      <c r="G11" s="195">
        <v>312.81</v>
      </c>
      <c r="H11" s="195">
        <v>1E-4</v>
      </c>
      <c r="I11" s="195">
        <v>0.02</v>
      </c>
      <c r="J11" s="195" t="s">
        <v>894</v>
      </c>
      <c r="K11" s="195">
        <v>1016.54</v>
      </c>
      <c r="L11" s="195" t="s">
        <v>464</v>
      </c>
      <c r="M11" s="195">
        <v>34.89</v>
      </c>
      <c r="N11" s="195">
        <v>1513612800</v>
      </c>
      <c r="O11" s="195">
        <v>1</v>
      </c>
      <c r="P11" s="195">
        <v>3.08</v>
      </c>
      <c r="Q11" s="195">
        <v>180</v>
      </c>
      <c r="R11" s="195">
        <v>3.8</v>
      </c>
      <c r="S11" s="195">
        <v>0.52</v>
      </c>
      <c r="T11"/>
    </row>
    <row r="12" spans="1:20" x14ac:dyDescent="0.25">
      <c r="A12" s="195">
        <v>42.22</v>
      </c>
      <c r="B12" s="195">
        <v>0.15</v>
      </c>
      <c r="C12" s="195">
        <v>19.37</v>
      </c>
      <c r="D12" s="8">
        <v>43087.416666666664</v>
      </c>
      <c r="E12" s="195">
        <v>0.4</v>
      </c>
      <c r="F12" s="195" t="s">
        <v>500</v>
      </c>
      <c r="G12" s="195">
        <v>311.75</v>
      </c>
      <c r="H12" s="195">
        <v>2.0000000000000001E-4</v>
      </c>
      <c r="I12" s="195">
        <v>0.03</v>
      </c>
      <c r="J12" s="195" t="s">
        <v>894</v>
      </c>
      <c r="K12" s="195">
        <v>1015.36</v>
      </c>
      <c r="L12" s="195" t="s">
        <v>464</v>
      </c>
      <c r="M12" s="195">
        <v>42.22</v>
      </c>
      <c r="N12" s="195">
        <v>1513616400</v>
      </c>
      <c r="O12" s="195">
        <v>1</v>
      </c>
      <c r="P12" s="195">
        <v>4.9000000000000004</v>
      </c>
      <c r="Q12" s="195">
        <v>185</v>
      </c>
      <c r="R12" s="195">
        <v>4.43</v>
      </c>
      <c r="S12" s="195">
        <v>1.31</v>
      </c>
      <c r="T12"/>
    </row>
    <row r="13" spans="1:20" x14ac:dyDescent="0.25">
      <c r="A13" s="195">
        <v>47.52</v>
      </c>
      <c r="B13" s="195">
        <v>0.14000000000000001</v>
      </c>
      <c r="C13" s="195">
        <v>19.61</v>
      </c>
      <c r="D13" s="8">
        <v>43087.458333333336</v>
      </c>
      <c r="E13" s="195">
        <v>0.33</v>
      </c>
      <c r="F13" s="195" t="s">
        <v>500</v>
      </c>
      <c r="G13" s="195">
        <v>306.63</v>
      </c>
      <c r="H13" s="195">
        <v>0</v>
      </c>
      <c r="I13" s="195">
        <v>0</v>
      </c>
      <c r="J13" s="195"/>
      <c r="K13" s="195">
        <v>1014</v>
      </c>
      <c r="L13" s="195" t="s">
        <v>464</v>
      </c>
      <c r="M13" s="195">
        <v>47.52</v>
      </c>
      <c r="N13" s="195">
        <v>1513620000</v>
      </c>
      <c r="O13" s="195">
        <v>2</v>
      </c>
      <c r="P13" s="195">
        <v>5.03</v>
      </c>
      <c r="Q13" s="195">
        <v>168</v>
      </c>
      <c r="R13" s="195">
        <v>5.05</v>
      </c>
      <c r="S13" s="195">
        <v>0.95</v>
      </c>
      <c r="T13"/>
    </row>
    <row r="14" spans="1:20" x14ac:dyDescent="0.25">
      <c r="A14" s="195">
        <v>52.42</v>
      </c>
      <c r="B14" s="195">
        <v>0.05</v>
      </c>
      <c r="C14" s="195">
        <v>19.82</v>
      </c>
      <c r="D14" s="8">
        <v>43087.5</v>
      </c>
      <c r="E14" s="195">
        <v>0.27</v>
      </c>
      <c r="F14" s="195" t="s">
        <v>500</v>
      </c>
      <c r="G14" s="195">
        <v>305.87</v>
      </c>
      <c r="H14" s="195">
        <v>1E-4</v>
      </c>
      <c r="I14" s="195">
        <v>0.01</v>
      </c>
      <c r="J14" s="195" t="s">
        <v>894</v>
      </c>
      <c r="K14" s="195">
        <v>1012.8</v>
      </c>
      <c r="L14" s="195" t="s">
        <v>464</v>
      </c>
      <c r="M14" s="195">
        <v>52.42</v>
      </c>
      <c r="N14" s="195">
        <v>1513623600</v>
      </c>
      <c r="O14" s="195">
        <v>2</v>
      </c>
      <c r="P14" s="195">
        <v>4.4000000000000004</v>
      </c>
      <c r="Q14" s="195">
        <v>142</v>
      </c>
      <c r="R14" s="195">
        <v>4.58</v>
      </c>
      <c r="S14" s="195">
        <v>0.63</v>
      </c>
      <c r="T14"/>
    </row>
    <row r="15" spans="1:20" x14ac:dyDescent="0.25">
      <c r="A15" s="195">
        <v>54.1</v>
      </c>
      <c r="B15" s="195">
        <v>0.06</v>
      </c>
      <c r="C15" s="195">
        <v>20.43</v>
      </c>
      <c r="D15" s="8">
        <v>43087.541666666664</v>
      </c>
      <c r="E15" s="195">
        <v>0.27</v>
      </c>
      <c r="F15" s="195" t="s">
        <v>500</v>
      </c>
      <c r="G15" s="195">
        <v>305.77</v>
      </c>
      <c r="H15" s="195">
        <v>0</v>
      </c>
      <c r="I15" s="195">
        <v>0</v>
      </c>
      <c r="J15" s="195"/>
      <c r="K15" s="195">
        <v>1012.4</v>
      </c>
      <c r="L15" s="195" t="s">
        <v>464</v>
      </c>
      <c r="M15" s="195">
        <v>54.1</v>
      </c>
      <c r="N15" s="195">
        <v>1513627200</v>
      </c>
      <c r="O15" s="195">
        <v>2</v>
      </c>
      <c r="P15" s="195">
        <v>3.48</v>
      </c>
      <c r="Q15" s="195">
        <v>45</v>
      </c>
      <c r="R15" s="195">
        <v>4.75</v>
      </c>
      <c r="S15" s="195">
        <v>0.8</v>
      </c>
      <c r="T15"/>
    </row>
    <row r="16" spans="1:20" x14ac:dyDescent="0.25">
      <c r="A16" s="195">
        <v>54.62</v>
      </c>
      <c r="B16" s="195">
        <v>7.0000000000000007E-2</v>
      </c>
      <c r="C16" s="195">
        <v>21.12</v>
      </c>
      <c r="D16" s="8">
        <v>43087.583333333336</v>
      </c>
      <c r="E16" s="195">
        <v>0.27</v>
      </c>
      <c r="F16" s="195" t="s">
        <v>500</v>
      </c>
      <c r="G16" s="195">
        <v>305.66000000000003</v>
      </c>
      <c r="H16" s="195">
        <v>0</v>
      </c>
      <c r="I16" s="195">
        <v>0</v>
      </c>
      <c r="J16" s="195"/>
      <c r="K16" s="195">
        <v>1011.98</v>
      </c>
      <c r="L16" s="195" t="s">
        <v>464</v>
      </c>
      <c r="M16" s="195">
        <v>54.62</v>
      </c>
      <c r="N16" s="195">
        <v>1513630800</v>
      </c>
      <c r="O16" s="195">
        <v>1</v>
      </c>
      <c r="P16" s="195">
        <v>5.4</v>
      </c>
      <c r="Q16" s="195">
        <v>25</v>
      </c>
      <c r="R16" s="195">
        <v>5.24</v>
      </c>
      <c r="S16" s="195">
        <v>1.6</v>
      </c>
      <c r="T16"/>
    </row>
    <row r="17" spans="1:20" x14ac:dyDescent="0.25">
      <c r="A17" s="195">
        <v>53.55</v>
      </c>
      <c r="B17" s="195">
        <v>7.0000000000000007E-2</v>
      </c>
      <c r="C17" s="195">
        <v>22.84</v>
      </c>
      <c r="D17" s="8">
        <v>43087.625</v>
      </c>
      <c r="E17" s="195">
        <v>0.3</v>
      </c>
      <c r="F17" s="195" t="s">
        <v>500</v>
      </c>
      <c r="G17" s="195">
        <v>305.01</v>
      </c>
      <c r="H17" s="195">
        <v>0</v>
      </c>
      <c r="I17" s="195">
        <v>0</v>
      </c>
      <c r="J17" s="195"/>
      <c r="K17" s="195">
        <v>1012.24</v>
      </c>
      <c r="L17" s="195" t="s">
        <v>464</v>
      </c>
      <c r="M17" s="195">
        <v>53.55</v>
      </c>
      <c r="N17" s="195">
        <v>1513634400</v>
      </c>
      <c r="O17" s="195">
        <v>1</v>
      </c>
      <c r="P17" s="195">
        <v>3.51</v>
      </c>
      <c r="Q17" s="195">
        <v>42</v>
      </c>
      <c r="R17" s="195">
        <v>4.4400000000000004</v>
      </c>
      <c r="S17" s="195">
        <v>1.45</v>
      </c>
      <c r="T17"/>
    </row>
    <row r="18" spans="1:20" x14ac:dyDescent="0.25">
      <c r="A18" s="195">
        <v>52.65</v>
      </c>
      <c r="B18" s="195">
        <v>7.0000000000000007E-2</v>
      </c>
      <c r="C18" s="195">
        <v>22.53</v>
      </c>
      <c r="D18" s="8">
        <v>43087.666666666664</v>
      </c>
      <c r="E18" s="195">
        <v>0.31</v>
      </c>
      <c r="F18" s="195" t="s">
        <v>500</v>
      </c>
      <c r="G18" s="195">
        <v>304.24</v>
      </c>
      <c r="H18" s="195">
        <v>0</v>
      </c>
      <c r="I18" s="195">
        <v>0</v>
      </c>
      <c r="J18" s="195"/>
      <c r="K18" s="195">
        <v>1012.75</v>
      </c>
      <c r="L18" s="195" t="s">
        <v>464</v>
      </c>
      <c r="M18" s="195">
        <v>52.65</v>
      </c>
      <c r="N18" s="195">
        <v>1513638000</v>
      </c>
      <c r="O18" s="195">
        <v>0</v>
      </c>
      <c r="P18" s="195">
        <v>4.43</v>
      </c>
      <c r="Q18" s="195">
        <v>39</v>
      </c>
      <c r="R18" s="195">
        <v>2.61</v>
      </c>
      <c r="S18" s="195">
        <v>0.78</v>
      </c>
      <c r="T18"/>
    </row>
    <row r="19" spans="1:20" x14ac:dyDescent="0.25">
      <c r="A19" s="195">
        <v>47.64</v>
      </c>
      <c r="B19" s="195">
        <v>0.17</v>
      </c>
      <c r="C19" s="195">
        <v>22.76</v>
      </c>
      <c r="D19" s="8">
        <v>43087.708333333336</v>
      </c>
      <c r="E19" s="195">
        <v>0.37</v>
      </c>
      <c r="F19" s="195" t="s">
        <v>465</v>
      </c>
      <c r="G19" s="195">
        <v>304.77999999999997</v>
      </c>
      <c r="H19" s="195">
        <v>0</v>
      </c>
      <c r="I19" s="195">
        <v>0</v>
      </c>
      <c r="J19" s="195"/>
      <c r="K19" s="195">
        <v>1013.41</v>
      </c>
      <c r="L19" s="195" t="s">
        <v>464</v>
      </c>
      <c r="M19" s="195">
        <v>47.64</v>
      </c>
      <c r="N19" s="195">
        <v>1513641600</v>
      </c>
      <c r="O19" s="195">
        <v>0</v>
      </c>
      <c r="P19" s="195">
        <v>4.04</v>
      </c>
      <c r="Q19" s="195">
        <v>245</v>
      </c>
      <c r="R19" s="195">
        <v>2.02</v>
      </c>
      <c r="S19" s="195">
        <v>0.23</v>
      </c>
      <c r="T19"/>
    </row>
    <row r="20" spans="1:20" x14ac:dyDescent="0.25">
      <c r="A20" s="195">
        <v>43.06</v>
      </c>
      <c r="B20" s="195">
        <v>0.19</v>
      </c>
      <c r="C20" s="195">
        <v>22.41</v>
      </c>
      <c r="D20" s="8">
        <v>43087.75</v>
      </c>
      <c r="E20" s="195">
        <v>0.44</v>
      </c>
      <c r="F20" s="195" t="s">
        <v>465</v>
      </c>
      <c r="G20" s="195">
        <v>303.8</v>
      </c>
      <c r="H20" s="195">
        <v>0</v>
      </c>
      <c r="I20" s="195">
        <v>0</v>
      </c>
      <c r="J20" s="195"/>
      <c r="K20" s="195">
        <v>1014.56</v>
      </c>
      <c r="L20" s="195" t="s">
        <v>464</v>
      </c>
      <c r="M20" s="195">
        <v>43.06</v>
      </c>
      <c r="N20" s="195">
        <v>1513645200</v>
      </c>
      <c r="O20" s="195">
        <v>0</v>
      </c>
      <c r="P20" s="195">
        <v>3.94</v>
      </c>
      <c r="Q20" s="195">
        <v>197</v>
      </c>
      <c r="R20" s="195">
        <v>1.99</v>
      </c>
      <c r="S20" s="195">
        <v>0.59</v>
      </c>
      <c r="T20"/>
    </row>
    <row r="21" spans="1:20" x14ac:dyDescent="0.25">
      <c r="A21" s="195">
        <v>40.71</v>
      </c>
      <c r="B21" s="195">
        <v>0.13</v>
      </c>
      <c r="C21" s="195">
        <v>21.66</v>
      </c>
      <c r="D21" s="8">
        <v>43087.791666666664</v>
      </c>
      <c r="E21" s="195">
        <v>0.46</v>
      </c>
      <c r="F21" s="195" t="s">
        <v>465</v>
      </c>
      <c r="G21" s="195">
        <v>302.49</v>
      </c>
      <c r="H21" s="195">
        <v>0</v>
      </c>
      <c r="I21" s="195">
        <v>0</v>
      </c>
      <c r="J21" s="195"/>
      <c r="K21" s="195">
        <v>1015.35</v>
      </c>
      <c r="L21" s="195" t="s">
        <v>464</v>
      </c>
      <c r="M21" s="195">
        <v>40.71</v>
      </c>
      <c r="N21" s="195">
        <v>1513648800</v>
      </c>
      <c r="O21" s="195">
        <v>0</v>
      </c>
      <c r="P21" s="195">
        <v>3.15</v>
      </c>
      <c r="Q21" s="195">
        <v>203</v>
      </c>
      <c r="R21" s="195">
        <v>3.08</v>
      </c>
      <c r="S21" s="195">
        <v>0.7</v>
      </c>
      <c r="T21"/>
    </row>
    <row r="22" spans="1:20" x14ac:dyDescent="0.25">
      <c r="A22" s="195">
        <v>38.54</v>
      </c>
      <c r="B22" s="195">
        <v>0.11</v>
      </c>
      <c r="C22" s="195">
        <v>20.329999999999998</v>
      </c>
      <c r="D22" s="8">
        <v>43087.833333333336</v>
      </c>
      <c r="E22" s="195">
        <v>0.47</v>
      </c>
      <c r="F22" s="195" t="s">
        <v>465</v>
      </c>
      <c r="G22" s="195">
        <v>301.18</v>
      </c>
      <c r="H22" s="195">
        <v>0</v>
      </c>
      <c r="I22" s="195">
        <v>0</v>
      </c>
      <c r="J22" s="195"/>
      <c r="K22" s="195">
        <v>1015.7</v>
      </c>
      <c r="L22" s="195" t="s">
        <v>464</v>
      </c>
      <c r="M22" s="195">
        <v>38.54</v>
      </c>
      <c r="N22" s="195">
        <v>1513652400</v>
      </c>
      <c r="O22" s="195">
        <v>0</v>
      </c>
      <c r="P22" s="195">
        <v>4.43</v>
      </c>
      <c r="Q22" s="195">
        <v>175</v>
      </c>
      <c r="R22" s="195">
        <v>3.37</v>
      </c>
      <c r="S22" s="195">
        <v>0.97</v>
      </c>
      <c r="T22"/>
    </row>
    <row r="23" spans="1:20" x14ac:dyDescent="0.25">
      <c r="A23" s="195">
        <v>37.020000000000003</v>
      </c>
      <c r="B23" s="195">
        <v>0.06</v>
      </c>
      <c r="C23" s="195">
        <v>20.07</v>
      </c>
      <c r="D23" s="8">
        <v>43087.875</v>
      </c>
      <c r="E23" s="195">
        <v>0.5</v>
      </c>
      <c r="F23" s="195" t="s">
        <v>465</v>
      </c>
      <c r="G23" s="195">
        <v>299.75</v>
      </c>
      <c r="H23" s="195">
        <v>0</v>
      </c>
      <c r="I23" s="195">
        <v>0</v>
      </c>
      <c r="J23" s="195"/>
      <c r="K23" s="195">
        <v>1015.33</v>
      </c>
      <c r="L23" s="195" t="s">
        <v>464</v>
      </c>
      <c r="M23" s="195">
        <v>37.020000000000003</v>
      </c>
      <c r="N23" s="195">
        <v>1513656000</v>
      </c>
      <c r="O23" s="195">
        <v>0</v>
      </c>
      <c r="P23" s="195">
        <v>3.58</v>
      </c>
      <c r="Q23" s="195">
        <v>162</v>
      </c>
      <c r="R23" s="195">
        <v>3.76</v>
      </c>
      <c r="S23" s="195">
        <v>1.1200000000000001</v>
      </c>
      <c r="T23"/>
    </row>
    <row r="24" spans="1:20" x14ac:dyDescent="0.25">
      <c r="A24" s="195">
        <v>35.53</v>
      </c>
      <c r="B24" s="195">
        <v>0.03</v>
      </c>
      <c r="C24" s="195">
        <v>20.059999999999999</v>
      </c>
      <c r="D24" s="8">
        <v>43087.916666666664</v>
      </c>
      <c r="E24" s="195">
        <v>0.53</v>
      </c>
      <c r="F24" s="195" t="s">
        <v>465</v>
      </c>
      <c r="G24" s="195">
        <v>298.32</v>
      </c>
      <c r="H24" s="195">
        <v>0</v>
      </c>
      <c r="I24" s="195">
        <v>0</v>
      </c>
      <c r="J24" s="195"/>
      <c r="K24" s="195">
        <v>1015.16</v>
      </c>
      <c r="L24" s="195" t="s">
        <v>464</v>
      </c>
      <c r="M24" s="195">
        <v>35.53</v>
      </c>
      <c r="N24" s="195">
        <v>1513659600</v>
      </c>
      <c r="O24" s="195">
        <v>0</v>
      </c>
      <c r="P24" s="195">
        <v>3.31</v>
      </c>
      <c r="Q24" s="195">
        <v>160</v>
      </c>
      <c r="R24" s="195">
        <v>3.13</v>
      </c>
      <c r="S24" s="195">
        <v>1.08</v>
      </c>
      <c r="T24"/>
    </row>
    <row r="25" spans="1:20" x14ac:dyDescent="0.25">
      <c r="A25" s="195">
        <v>33.99</v>
      </c>
      <c r="B25" s="195">
        <v>0.03</v>
      </c>
      <c r="C25" s="195">
        <v>20.07</v>
      </c>
      <c r="D25" s="8">
        <v>43087.958333333336</v>
      </c>
      <c r="E25" s="195">
        <v>0.56000000000000005</v>
      </c>
      <c r="F25" s="195" t="s">
        <v>465</v>
      </c>
      <c r="G25" s="195">
        <v>296.99</v>
      </c>
      <c r="H25" s="195">
        <v>0</v>
      </c>
      <c r="I25" s="195">
        <v>0</v>
      </c>
      <c r="J25" s="195"/>
      <c r="K25" s="195">
        <v>1013.99</v>
      </c>
      <c r="L25" s="195" t="s">
        <v>464</v>
      </c>
      <c r="M25" s="195">
        <v>33.99</v>
      </c>
      <c r="N25" s="195">
        <v>1513663200</v>
      </c>
      <c r="O25" s="195">
        <v>0</v>
      </c>
      <c r="P25" s="195">
        <v>3.65</v>
      </c>
      <c r="Q25" s="195">
        <v>199</v>
      </c>
      <c r="R25" s="195">
        <v>2.91</v>
      </c>
      <c r="S25" s="195">
        <v>0.81</v>
      </c>
      <c r="T25"/>
    </row>
    <row r="26" spans="1:20" x14ac:dyDescent="0.25">
      <c r="A26" s="195">
        <v>32.36</v>
      </c>
      <c r="B26" s="195">
        <v>0.02</v>
      </c>
      <c r="C26" s="195">
        <v>19.86</v>
      </c>
      <c r="D26" s="8">
        <v>43088</v>
      </c>
      <c r="E26" s="195">
        <v>0.6</v>
      </c>
      <c r="F26" s="195" t="s">
        <v>465</v>
      </c>
      <c r="G26" s="195">
        <v>295.77</v>
      </c>
      <c r="H26" s="195">
        <v>0</v>
      </c>
      <c r="I26" s="195">
        <v>0</v>
      </c>
      <c r="J26" s="195"/>
      <c r="K26" s="195">
        <v>1014.47</v>
      </c>
      <c r="L26" s="195" t="s">
        <v>464</v>
      </c>
      <c r="M26" s="195">
        <v>32.36</v>
      </c>
      <c r="N26" s="195">
        <v>1513666800</v>
      </c>
      <c r="O26" s="195">
        <v>0</v>
      </c>
      <c r="P26" s="195">
        <v>3.73</v>
      </c>
      <c r="Q26" s="195">
        <v>204</v>
      </c>
      <c r="R26" s="195">
        <v>2.0099999999999998</v>
      </c>
      <c r="S26" s="195">
        <v>0.53</v>
      </c>
      <c r="T26"/>
    </row>
    <row r="27" spans="1:20" x14ac:dyDescent="0.25">
      <c r="A27" s="195">
        <v>31.15</v>
      </c>
      <c r="B27" s="195">
        <v>0.04</v>
      </c>
      <c r="C27" s="195">
        <v>19.55</v>
      </c>
      <c r="D27" s="8">
        <v>43088.041666666664</v>
      </c>
      <c r="E27" s="195">
        <v>0.62</v>
      </c>
      <c r="F27" s="195" t="s">
        <v>465</v>
      </c>
      <c r="G27" s="195">
        <v>294.66000000000003</v>
      </c>
      <c r="H27" s="195">
        <v>0</v>
      </c>
      <c r="I27" s="195">
        <v>0</v>
      </c>
      <c r="J27" s="195"/>
      <c r="K27" s="195">
        <v>1015.1</v>
      </c>
      <c r="L27" s="195" t="s">
        <v>464</v>
      </c>
      <c r="M27" s="195">
        <v>31.15</v>
      </c>
      <c r="N27" s="195">
        <v>1513670400</v>
      </c>
      <c r="O27" s="195">
        <v>0</v>
      </c>
      <c r="P27" s="195">
        <v>2.92</v>
      </c>
      <c r="Q27" s="195">
        <v>209</v>
      </c>
      <c r="R27" s="195">
        <v>1.61</v>
      </c>
      <c r="S27" s="195">
        <v>0.47</v>
      </c>
      <c r="T27"/>
    </row>
    <row r="28" spans="1:20" x14ac:dyDescent="0.25">
      <c r="A28" s="195">
        <v>30.71</v>
      </c>
      <c r="B28" s="195">
        <v>0</v>
      </c>
      <c r="C28" s="195">
        <v>19.489999999999998</v>
      </c>
      <c r="D28" s="8">
        <v>43088.083333333336</v>
      </c>
      <c r="E28" s="195">
        <v>0.63</v>
      </c>
      <c r="F28" s="195" t="s">
        <v>465</v>
      </c>
      <c r="G28" s="195">
        <v>293.77</v>
      </c>
      <c r="H28" s="195">
        <v>0</v>
      </c>
      <c r="I28" s="195">
        <v>0</v>
      </c>
      <c r="J28" s="195"/>
      <c r="K28" s="195">
        <v>1015.34</v>
      </c>
      <c r="L28" s="195" t="s">
        <v>464</v>
      </c>
      <c r="M28" s="195">
        <v>30.71</v>
      </c>
      <c r="N28" s="195">
        <v>1513674000</v>
      </c>
      <c r="O28" s="195">
        <v>0</v>
      </c>
      <c r="P28" s="195">
        <v>3.73</v>
      </c>
      <c r="Q28" s="195">
        <v>208</v>
      </c>
      <c r="R28" s="195">
        <v>1.73</v>
      </c>
      <c r="S28" s="195">
        <v>0.47</v>
      </c>
      <c r="T28"/>
    </row>
    <row r="29" spans="1:20" x14ac:dyDescent="0.25">
      <c r="A29" s="195">
        <v>30.78</v>
      </c>
      <c r="B29" s="195">
        <v>0.03</v>
      </c>
      <c r="C29" s="195">
        <v>18.98</v>
      </c>
      <c r="D29" s="8">
        <v>43088.125</v>
      </c>
      <c r="E29" s="195">
        <v>0.61</v>
      </c>
      <c r="F29" s="195" t="s">
        <v>465</v>
      </c>
      <c r="G29" s="195">
        <v>292.99</v>
      </c>
      <c r="H29" s="195">
        <v>0</v>
      </c>
      <c r="I29" s="195">
        <v>0</v>
      </c>
      <c r="J29" s="195"/>
      <c r="K29" s="195">
        <v>1016.66</v>
      </c>
      <c r="L29" s="195" t="s">
        <v>464</v>
      </c>
      <c r="M29" s="195">
        <v>30.78</v>
      </c>
      <c r="N29" s="195">
        <v>1513677600</v>
      </c>
      <c r="O29" s="195">
        <v>0</v>
      </c>
      <c r="P29" s="195">
        <v>5.49</v>
      </c>
      <c r="Q29" s="195">
        <v>184</v>
      </c>
      <c r="R29" s="195">
        <v>2.25</v>
      </c>
      <c r="S29" s="195">
        <v>1.3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43087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1063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1064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1065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1067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1068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1069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1070</v>
      </c>
      <c r="J25" s="139" t="s">
        <v>144</v>
      </c>
      <c r="M25" s="153" t="b">
        <v>1</v>
      </c>
    </row>
    <row r="26" spans="3:24" x14ac:dyDescent="0.25">
      <c r="C26" t="s">
        <v>1071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%USERPROFILE%\Documents\GitHub\eaglep3-reporting\EC\2017-12-18-refined-times.txt</v>
      </c>
    </row>
    <row r="27" spans="3:24" x14ac:dyDescent="0.25">
      <c r="C27" t="s">
        <v>1072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%USERPROFILE%\Documents\GitHub\eaglep3-reporting\EC\2017-12-18-Enforcements.txt</v>
      </c>
    </row>
    <row r="28" spans="3:24" x14ac:dyDescent="0.25">
      <c r="C28" t="s">
        <v>1073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%USERPROFILE%\Documents\GitHub\eaglep3-reporting\EC\2017-12-18-Runs-refined.txt</v>
      </c>
    </row>
    <row r="29" spans="3:24" x14ac:dyDescent="0.25">
      <c r="C29" t="s">
        <v>1074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%USERPROFILE%\Documents\GitHub\eaglep3-reporting\EC\2017-12-18-Trips.txt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%USERPROFILE%\Documents\GitHub\eaglep3-reporting\EC\2017-12-18-Weather.txt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2017-12-19T21:23:26Z</dcterms:modified>
</cp:coreProperties>
</file>