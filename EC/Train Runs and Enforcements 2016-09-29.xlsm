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48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Enforcements!$A$6:$AC$68</definedName>
    <definedName name="_xlnm._FilterDatabase" localSheetId="2" hidden="1">'Missing Trips'!$B$2:$I$2</definedName>
    <definedName name="_xlnm._FilterDatabase" localSheetId="0" hidden="1">'Train Runs'!$A$12:$AG$242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Runs'!$A$12:$J$64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11" i="1" l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78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49" i="3" s="1"/>
  <c r="AF179" i="1"/>
  <c r="AH179" i="1"/>
  <c r="K180" i="1"/>
  <c r="L180" i="1"/>
  <c r="M180" i="1"/>
  <c r="N180" i="1" s="1"/>
  <c r="V180" i="1"/>
  <c r="Y180" i="1"/>
  <c r="Z180" i="1"/>
  <c r="AB180" i="1"/>
  <c r="AC180" i="1"/>
  <c r="AD180" i="1"/>
  <c r="X180" i="1" s="1"/>
  <c r="AE180" i="1"/>
  <c r="R53" i="3" s="1"/>
  <c r="AF180" i="1"/>
  <c r="AH18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81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82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AG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K38" i="1"/>
  <c r="L38" i="1"/>
  <c r="M38" i="1"/>
  <c r="P38" i="1" s="1"/>
  <c r="V38" i="1"/>
  <c r="Y38" i="1"/>
  <c r="Z38" i="1"/>
  <c r="AB38" i="1"/>
  <c r="AC38" i="1"/>
  <c r="AD38" i="1"/>
  <c r="T38" i="1" s="1"/>
  <c r="AE38" i="1"/>
  <c r="AF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K67" i="1"/>
  <c r="L67" i="1"/>
  <c r="M67" i="1"/>
  <c r="N67" i="1" s="1"/>
  <c r="V67" i="1"/>
  <c r="Y67" i="1"/>
  <c r="Z67" i="1"/>
  <c r="AB67" i="1"/>
  <c r="AC67" i="1"/>
  <c r="AD67" i="1"/>
  <c r="AG67" i="1" s="1"/>
  <c r="AE67" i="1"/>
  <c r="AF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K70" i="1"/>
  <c r="L70" i="1"/>
  <c r="M70" i="1"/>
  <c r="N70" i="1" s="1"/>
  <c r="V70" i="1"/>
  <c r="Y70" i="1"/>
  <c r="Z70" i="1"/>
  <c r="AB70" i="1"/>
  <c r="AC70" i="1"/>
  <c r="AD70" i="1"/>
  <c r="T70" i="1" s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K79" i="1"/>
  <c r="L79" i="1"/>
  <c r="M79" i="1"/>
  <c r="P79" i="1" s="1"/>
  <c r="V79" i="1"/>
  <c r="Y79" i="1"/>
  <c r="AB79" i="1"/>
  <c r="AC79" i="1"/>
  <c r="AD79" i="1"/>
  <c r="T79" i="1" s="1"/>
  <c r="AE79" i="1"/>
  <c r="AF79" i="1"/>
  <c r="K80" i="1"/>
  <c r="L80" i="1"/>
  <c r="M80" i="1"/>
  <c r="N80" i="1" s="1"/>
  <c r="V80" i="1"/>
  <c r="Y80" i="1"/>
  <c r="Z80" i="1"/>
  <c r="AB80" i="1"/>
  <c r="AC80" i="1"/>
  <c r="AD80" i="1"/>
  <c r="T80" i="1" s="1"/>
  <c r="AE80" i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R15" i="3" s="1"/>
  <c r="AF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K90" i="1"/>
  <c r="L90" i="1"/>
  <c r="M90" i="1"/>
  <c r="N90" i="1" s="1"/>
  <c r="V90" i="1"/>
  <c r="S38" i="3" s="1"/>
  <c r="Y90" i="1"/>
  <c r="Z90" i="1"/>
  <c r="AB90" i="1"/>
  <c r="AC90" i="1"/>
  <c r="AD90" i="1"/>
  <c r="AE90" i="1"/>
  <c r="R38" i="3" s="1"/>
  <c r="AF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S11" i="3" s="1"/>
  <c r="Y95" i="1"/>
  <c r="Z95" i="1"/>
  <c r="AB95" i="1"/>
  <c r="AC95" i="1"/>
  <c r="AD95" i="1"/>
  <c r="T95" i="1" s="1"/>
  <c r="AE95" i="1"/>
  <c r="R11" i="3" s="1"/>
  <c r="AF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K106" i="1"/>
  <c r="L106" i="1"/>
  <c r="M106" i="1"/>
  <c r="P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AB111" i="1"/>
  <c r="AC111" i="1"/>
  <c r="AD111" i="1"/>
  <c r="AG111" i="1" s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E135" i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E141" i="1"/>
  <c r="AF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E147" i="1"/>
  <c r="AF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K150" i="1"/>
  <c r="L150" i="1"/>
  <c r="M150" i="1"/>
  <c r="P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E156" i="1"/>
  <c r="AF15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AG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K169" i="1"/>
  <c r="L169" i="1"/>
  <c r="M169" i="1"/>
  <c r="N169" i="1" s="1"/>
  <c r="V169" i="1"/>
  <c r="Y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X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K177" i="1"/>
  <c r="L177" i="1"/>
  <c r="M177" i="1"/>
  <c r="N177" i="1" s="1"/>
  <c r="V177" i="1"/>
  <c r="Y177" i="1"/>
  <c r="Z177" i="1"/>
  <c r="AB177" i="1"/>
  <c r="AC177" i="1"/>
  <c r="AD177" i="1"/>
  <c r="AG177" i="1" s="1"/>
  <c r="AE177" i="1"/>
  <c r="AF177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K188" i="1"/>
  <c r="L188" i="1"/>
  <c r="M188" i="1"/>
  <c r="P188" i="1" s="1"/>
  <c r="V188" i="1"/>
  <c r="Y188" i="1"/>
  <c r="Z188" i="1"/>
  <c r="AB188" i="1"/>
  <c r="AC188" i="1"/>
  <c r="AD188" i="1"/>
  <c r="T188" i="1" s="1"/>
  <c r="AE188" i="1"/>
  <c r="AF188" i="1"/>
  <c r="K189" i="1"/>
  <c r="L189" i="1"/>
  <c r="M189" i="1"/>
  <c r="V189" i="1"/>
  <c r="Y189" i="1"/>
  <c r="Z189" i="1"/>
  <c r="AB189" i="1"/>
  <c r="AC189" i="1"/>
  <c r="AD189" i="1"/>
  <c r="T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/>
  <c r="V195" i="1"/>
  <c r="Y195" i="1"/>
  <c r="Z195" i="1"/>
  <c r="AB195" i="1"/>
  <c r="AC195" i="1"/>
  <c r="AD195" i="1"/>
  <c r="AG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K203" i="1"/>
  <c r="L203" i="1"/>
  <c r="M203" i="1"/>
  <c r="N203" i="1" s="1"/>
  <c r="V203" i="1"/>
  <c r="Y203" i="1"/>
  <c r="Z203" i="1"/>
  <c r="AB203" i="1"/>
  <c r="AC203" i="1"/>
  <c r="AD203" i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M35" i="3"/>
  <c r="N35" i="3"/>
  <c r="U35" i="3"/>
  <c r="T35" i="3" s="1"/>
  <c r="V35" i="3"/>
  <c r="W35" i="3"/>
  <c r="X35" i="3"/>
  <c r="M36" i="3"/>
  <c r="N36" i="3"/>
  <c r="U36" i="3"/>
  <c r="T36" i="3" s="1"/>
  <c r="V36" i="3"/>
  <c r="W36" i="3"/>
  <c r="X36" i="3"/>
  <c r="M20" i="3"/>
  <c r="N20" i="3"/>
  <c r="U20" i="3"/>
  <c r="T20" i="3" s="1"/>
  <c r="V20" i="3"/>
  <c r="W20" i="3"/>
  <c r="X20" i="3"/>
  <c r="M21" i="3"/>
  <c r="N21" i="3"/>
  <c r="U21" i="3"/>
  <c r="T21" i="3" s="1"/>
  <c r="V21" i="3"/>
  <c r="W21" i="3"/>
  <c r="X21" i="3"/>
  <c r="M26" i="3"/>
  <c r="N26" i="3"/>
  <c r="U26" i="3"/>
  <c r="T26" i="3" s="1"/>
  <c r="V26" i="3"/>
  <c r="W26" i="3"/>
  <c r="X26" i="3"/>
  <c r="M50" i="3"/>
  <c r="N50" i="3"/>
  <c r="U50" i="3"/>
  <c r="T50" i="3" s="1"/>
  <c r="V50" i="3"/>
  <c r="W50" i="3"/>
  <c r="X50" i="3"/>
  <c r="M27" i="3"/>
  <c r="N27" i="3"/>
  <c r="U27" i="3"/>
  <c r="T27" i="3" s="1"/>
  <c r="V27" i="3"/>
  <c r="W27" i="3"/>
  <c r="X27" i="3"/>
  <c r="M47" i="3"/>
  <c r="N47" i="3"/>
  <c r="U47" i="3"/>
  <c r="T47" i="3" s="1"/>
  <c r="V47" i="3"/>
  <c r="W47" i="3"/>
  <c r="X47" i="3"/>
  <c r="M37" i="3"/>
  <c r="N37" i="3"/>
  <c r="U37" i="3"/>
  <c r="T37" i="3" s="1"/>
  <c r="V37" i="3"/>
  <c r="W37" i="3"/>
  <c r="X37" i="3"/>
  <c r="M33" i="3"/>
  <c r="N33" i="3"/>
  <c r="U33" i="3"/>
  <c r="T33" i="3" s="1"/>
  <c r="V33" i="3"/>
  <c r="W33" i="3"/>
  <c r="X33" i="3"/>
  <c r="M30" i="3"/>
  <c r="N30" i="3"/>
  <c r="U30" i="3"/>
  <c r="T30" i="3" s="1"/>
  <c r="V30" i="3"/>
  <c r="W30" i="3"/>
  <c r="X30" i="3"/>
  <c r="M7" i="3"/>
  <c r="N7" i="3"/>
  <c r="U7" i="3"/>
  <c r="T7" i="3" s="1"/>
  <c r="V7" i="3"/>
  <c r="W7" i="3"/>
  <c r="X7" i="3"/>
  <c r="M42" i="3"/>
  <c r="N42" i="3"/>
  <c r="U42" i="3"/>
  <c r="T42" i="3" s="1"/>
  <c r="V42" i="3"/>
  <c r="W42" i="3"/>
  <c r="X42" i="3"/>
  <c r="M45" i="3"/>
  <c r="N45" i="3"/>
  <c r="U45" i="3"/>
  <c r="T45" i="3" s="1"/>
  <c r="V45" i="3"/>
  <c r="W45" i="3"/>
  <c r="X45" i="3"/>
  <c r="M18" i="3"/>
  <c r="N18" i="3"/>
  <c r="U18" i="3"/>
  <c r="T18" i="3" s="1"/>
  <c r="V18" i="3"/>
  <c r="W18" i="3"/>
  <c r="X18" i="3"/>
  <c r="M22" i="3"/>
  <c r="N22" i="3"/>
  <c r="U22" i="3"/>
  <c r="T22" i="3" s="1"/>
  <c r="V22" i="3"/>
  <c r="W22" i="3"/>
  <c r="X22" i="3"/>
  <c r="M10" i="3"/>
  <c r="N10" i="3"/>
  <c r="U10" i="3"/>
  <c r="T10" i="3" s="1"/>
  <c r="V10" i="3"/>
  <c r="W10" i="3"/>
  <c r="X10" i="3"/>
  <c r="M9" i="3"/>
  <c r="N9" i="3"/>
  <c r="U9" i="3"/>
  <c r="T9" i="3" s="1"/>
  <c r="V9" i="3"/>
  <c r="W9" i="3"/>
  <c r="X9" i="3"/>
  <c r="M48" i="3"/>
  <c r="N48" i="3"/>
  <c r="U48" i="3"/>
  <c r="T48" i="3" s="1"/>
  <c r="V48" i="3"/>
  <c r="W48" i="3"/>
  <c r="X48" i="3"/>
  <c r="M16" i="3"/>
  <c r="N16" i="3"/>
  <c r="U16" i="3"/>
  <c r="T16" i="3" s="1"/>
  <c r="V16" i="3"/>
  <c r="W16" i="3"/>
  <c r="X16" i="3"/>
  <c r="M57" i="3"/>
  <c r="N57" i="3"/>
  <c r="U57" i="3"/>
  <c r="T57" i="3" s="1"/>
  <c r="V57" i="3"/>
  <c r="W57" i="3"/>
  <c r="X57" i="3"/>
  <c r="M12" i="3"/>
  <c r="N12" i="3"/>
  <c r="U12" i="3"/>
  <c r="T12" i="3" s="1"/>
  <c r="V12" i="3"/>
  <c r="W12" i="3"/>
  <c r="X12" i="3"/>
  <c r="M34" i="3"/>
  <c r="N34" i="3"/>
  <c r="U34" i="3"/>
  <c r="T34" i="3" s="1"/>
  <c r="V34" i="3"/>
  <c r="W34" i="3"/>
  <c r="X34" i="3"/>
  <c r="M31" i="3"/>
  <c r="N31" i="3"/>
  <c r="U31" i="3"/>
  <c r="T31" i="3" s="1"/>
  <c r="V31" i="3"/>
  <c r="W31" i="3"/>
  <c r="X31" i="3"/>
  <c r="M32" i="3"/>
  <c r="N32" i="3"/>
  <c r="U32" i="3"/>
  <c r="T32" i="3" s="1"/>
  <c r="V32" i="3"/>
  <c r="W32" i="3"/>
  <c r="X32" i="3"/>
  <c r="M13" i="3"/>
  <c r="N13" i="3"/>
  <c r="U13" i="3"/>
  <c r="T13" i="3" s="1"/>
  <c r="V13" i="3"/>
  <c r="W13" i="3"/>
  <c r="X13" i="3"/>
  <c r="M14" i="3"/>
  <c r="N14" i="3"/>
  <c r="U14" i="3"/>
  <c r="T14" i="3" s="1"/>
  <c r="V14" i="3"/>
  <c r="W14" i="3"/>
  <c r="X14" i="3"/>
  <c r="M23" i="3"/>
  <c r="N23" i="3"/>
  <c r="U23" i="3"/>
  <c r="T23" i="3" s="1"/>
  <c r="V23" i="3"/>
  <c r="W23" i="3"/>
  <c r="X23" i="3"/>
  <c r="M43" i="3"/>
  <c r="N43" i="3"/>
  <c r="U43" i="3"/>
  <c r="T43" i="3" s="1"/>
  <c r="V43" i="3"/>
  <c r="W43" i="3"/>
  <c r="X43" i="3"/>
  <c r="M17" i="3"/>
  <c r="N17" i="3"/>
  <c r="U17" i="3"/>
  <c r="T17" i="3" s="1"/>
  <c r="V17" i="3"/>
  <c r="W17" i="3"/>
  <c r="X17" i="3"/>
  <c r="M49" i="3"/>
  <c r="N49" i="3"/>
  <c r="S49" i="3"/>
  <c r="U49" i="3"/>
  <c r="T49" i="3" s="1"/>
  <c r="V49" i="3"/>
  <c r="W49" i="3"/>
  <c r="X49" i="3"/>
  <c r="M15" i="3"/>
  <c r="N15" i="3"/>
  <c r="S15" i="3"/>
  <c r="U15" i="3"/>
  <c r="T15" i="3" s="1"/>
  <c r="V15" i="3"/>
  <c r="W15" i="3"/>
  <c r="X15" i="3"/>
  <c r="M11" i="3"/>
  <c r="N11" i="3"/>
  <c r="U11" i="3"/>
  <c r="T11" i="3" s="1"/>
  <c r="V11" i="3"/>
  <c r="W11" i="3"/>
  <c r="X11" i="3"/>
  <c r="M55" i="3"/>
  <c r="N55" i="3"/>
  <c r="R55" i="3"/>
  <c r="S55" i="3"/>
  <c r="U55" i="3"/>
  <c r="T55" i="3" s="1"/>
  <c r="V55" i="3"/>
  <c r="W55" i="3"/>
  <c r="X55" i="3"/>
  <c r="M24" i="3"/>
  <c r="N24" i="3"/>
  <c r="U24" i="3"/>
  <c r="T24" i="3" s="1"/>
  <c r="V24" i="3"/>
  <c r="W24" i="3"/>
  <c r="X24" i="3"/>
  <c r="M58" i="3"/>
  <c r="N58" i="3"/>
  <c r="R58" i="3"/>
  <c r="S58" i="3"/>
  <c r="U58" i="3"/>
  <c r="T58" i="3" s="1"/>
  <c r="V58" i="3"/>
  <c r="W58" i="3"/>
  <c r="X58" i="3"/>
  <c r="M53" i="3"/>
  <c r="N53" i="3"/>
  <c r="S53" i="3"/>
  <c r="U53" i="3"/>
  <c r="T53" i="3" s="1"/>
  <c r="V53" i="3"/>
  <c r="W53" i="3"/>
  <c r="X53" i="3"/>
  <c r="M38" i="3"/>
  <c r="N38" i="3"/>
  <c r="U38" i="3"/>
  <c r="T38" i="3" s="1"/>
  <c r="V38" i="3"/>
  <c r="W38" i="3"/>
  <c r="X38" i="3"/>
  <c r="M29" i="3"/>
  <c r="N29" i="3"/>
  <c r="U29" i="3"/>
  <c r="T29" i="3" s="1"/>
  <c r="V29" i="3"/>
  <c r="W29" i="3"/>
  <c r="X29" i="3"/>
  <c r="M44" i="3"/>
  <c r="N44" i="3"/>
  <c r="U44" i="3"/>
  <c r="T44" i="3" s="1"/>
  <c r="V44" i="3"/>
  <c r="W44" i="3"/>
  <c r="X44" i="3"/>
  <c r="M59" i="3"/>
  <c r="N59" i="3"/>
  <c r="U59" i="3"/>
  <c r="T59" i="3" s="1"/>
  <c r="V59" i="3"/>
  <c r="W59" i="3"/>
  <c r="X59" i="3"/>
  <c r="M46" i="3"/>
  <c r="N46" i="3"/>
  <c r="U46" i="3"/>
  <c r="T46" i="3" s="1"/>
  <c r="V46" i="3"/>
  <c r="W46" i="3"/>
  <c r="X46" i="3"/>
  <c r="M39" i="3"/>
  <c r="N39" i="3"/>
  <c r="U39" i="3"/>
  <c r="T39" i="3" s="1"/>
  <c r="V39" i="3"/>
  <c r="W39" i="3"/>
  <c r="X39" i="3"/>
  <c r="M40" i="3"/>
  <c r="N40" i="3"/>
  <c r="U40" i="3"/>
  <c r="T40" i="3" s="1"/>
  <c r="V40" i="3"/>
  <c r="W40" i="3"/>
  <c r="X40" i="3"/>
  <c r="M56" i="3"/>
  <c r="N56" i="3"/>
  <c r="U56" i="3"/>
  <c r="T56" i="3" s="1"/>
  <c r="V56" i="3"/>
  <c r="W56" i="3"/>
  <c r="X56" i="3"/>
  <c r="M51" i="3"/>
  <c r="N51" i="3"/>
  <c r="U51" i="3"/>
  <c r="T51" i="3" s="1"/>
  <c r="V51" i="3"/>
  <c r="W51" i="3"/>
  <c r="X51" i="3"/>
  <c r="M28" i="3"/>
  <c r="N28" i="3"/>
  <c r="U28" i="3"/>
  <c r="T28" i="3" s="1"/>
  <c r="V28" i="3"/>
  <c r="W28" i="3"/>
  <c r="X28" i="3"/>
  <c r="M19" i="3"/>
  <c r="N19" i="3"/>
  <c r="U19" i="3"/>
  <c r="T19" i="3" s="1"/>
  <c r="V19" i="3"/>
  <c r="W19" i="3"/>
  <c r="X19" i="3"/>
  <c r="M41" i="3"/>
  <c r="N41" i="3"/>
  <c r="U41" i="3"/>
  <c r="T41" i="3" s="1"/>
  <c r="V41" i="3"/>
  <c r="W41" i="3"/>
  <c r="X41" i="3"/>
  <c r="M52" i="3"/>
  <c r="N52" i="3"/>
  <c r="U52" i="3"/>
  <c r="T52" i="3" s="1"/>
  <c r="V52" i="3"/>
  <c r="W52" i="3"/>
  <c r="X52" i="3"/>
  <c r="M54" i="3"/>
  <c r="N54" i="3"/>
  <c r="U54" i="3"/>
  <c r="T54" i="3" s="1"/>
  <c r="V54" i="3"/>
  <c r="W54" i="3"/>
  <c r="X54" i="3"/>
  <c r="M8" i="3"/>
  <c r="N8" i="3"/>
  <c r="U8" i="3"/>
  <c r="T8" i="3" s="1"/>
  <c r="V8" i="3"/>
  <c r="W8" i="3"/>
  <c r="X8" i="3"/>
  <c r="AA39" i="1" l="1"/>
  <c r="AA35" i="1"/>
  <c r="AA27" i="1"/>
  <c r="X26" i="1"/>
  <c r="AA19" i="1"/>
  <c r="X171" i="1"/>
  <c r="T111" i="1"/>
  <c r="U111" i="1" s="1"/>
  <c r="S111" i="1" s="1"/>
  <c r="AG89" i="1"/>
  <c r="U89" i="1" s="1"/>
  <c r="S89" i="1" s="1"/>
  <c r="AA49" i="1"/>
  <c r="AA41" i="1"/>
  <c r="X169" i="1"/>
  <c r="X108" i="1"/>
  <c r="AG94" i="1"/>
  <c r="AI94" i="1" s="1"/>
  <c r="AI86" i="1"/>
  <c r="X183" i="1"/>
  <c r="AA99" i="1"/>
  <c r="AA95" i="1"/>
  <c r="AA90" i="1"/>
  <c r="X152" i="1"/>
  <c r="X151" i="1"/>
  <c r="AA85" i="1"/>
  <c r="AA84" i="1"/>
  <c r="AG82" i="1"/>
  <c r="W82" i="1" s="1"/>
  <c r="X150" i="1"/>
  <c r="X105" i="1"/>
  <c r="AA136" i="1"/>
  <c r="X39" i="1"/>
  <c r="X107" i="1"/>
  <c r="X106" i="1"/>
  <c r="AA144" i="1"/>
  <c r="T142" i="1"/>
  <c r="U142" i="1" s="1"/>
  <c r="S142" i="1" s="1"/>
  <c r="AA128" i="1"/>
  <c r="AG126" i="1"/>
  <c r="U126" i="1" s="1"/>
  <c r="S126" i="1" s="1"/>
  <c r="X109" i="1"/>
  <c r="X38" i="1"/>
  <c r="AA112" i="1"/>
  <c r="AA64" i="1"/>
  <c r="W64" i="1" s="1"/>
  <c r="AA63" i="1"/>
  <c r="AA55" i="1"/>
  <c r="W55" i="1" s="1"/>
  <c r="X37" i="1"/>
  <c r="S24" i="3"/>
  <c r="X40" i="1"/>
  <c r="X222" i="1"/>
  <c r="AG112" i="1"/>
  <c r="U112" i="1" s="1"/>
  <c r="S112" i="1" s="1"/>
  <c r="X112" i="1"/>
  <c r="T55" i="1"/>
  <c r="U55" i="1" s="1"/>
  <c r="S55" i="1" s="1"/>
  <c r="AA195" i="1"/>
  <c r="W195" i="1" s="1"/>
  <c r="AA172" i="1"/>
  <c r="AG221" i="1"/>
  <c r="U221" i="1" s="1"/>
  <c r="S221" i="1" s="1"/>
  <c r="AA217" i="1"/>
  <c r="T215" i="1"/>
  <c r="U215" i="1" s="1"/>
  <c r="S215" i="1" s="1"/>
  <c r="AG213" i="1"/>
  <c r="AI213" i="1" s="1"/>
  <c r="AA152" i="1"/>
  <c r="AA141" i="1"/>
  <c r="W141" i="1" s="1"/>
  <c r="T141" i="1"/>
  <c r="U141" i="1" s="1"/>
  <c r="S141" i="1" s="1"/>
  <c r="AA139" i="1"/>
  <c r="W139" i="1" s="1"/>
  <c r="AA80" i="1"/>
  <c r="AA50" i="1"/>
  <c r="AA42" i="1"/>
  <c r="AA34" i="1"/>
  <c r="AA26" i="1"/>
  <c r="X17" i="1"/>
  <c r="AA200" i="1"/>
  <c r="AA197" i="1"/>
  <c r="AA162" i="1"/>
  <c r="AA149" i="1"/>
  <c r="X141" i="1"/>
  <c r="AA116" i="1"/>
  <c r="AA32" i="1"/>
  <c r="W32" i="1" s="1"/>
  <c r="AA24" i="1"/>
  <c r="W24" i="1" s="1"/>
  <c r="X203" i="1"/>
  <c r="X133" i="1"/>
  <c r="AA106" i="1"/>
  <c r="X98" i="1"/>
  <c r="AG74" i="1"/>
  <c r="U74" i="1" s="1"/>
  <c r="S74" i="1" s="1"/>
  <c r="T202" i="1"/>
  <c r="U202" i="1" s="1"/>
  <c r="S202" i="1" s="1"/>
  <c r="T191" i="1"/>
  <c r="U191" i="1" s="1"/>
  <c r="S191" i="1" s="1"/>
  <c r="AA177" i="1"/>
  <c r="T166" i="1"/>
  <c r="U166" i="1" s="1"/>
  <c r="S166" i="1" s="1"/>
  <c r="X157" i="1"/>
  <c r="AA225" i="1"/>
  <c r="AA215" i="1"/>
  <c r="T21" i="1"/>
  <c r="U21" i="1" s="1"/>
  <c r="S21" i="1" s="1"/>
  <c r="AG184" i="1"/>
  <c r="U184" i="1" s="1"/>
  <c r="S184" i="1" s="1"/>
  <c r="X165" i="1"/>
  <c r="AA191" i="1"/>
  <c r="W191" i="1" s="1"/>
  <c r="AA170" i="1"/>
  <c r="AA165" i="1"/>
  <c r="W165" i="1" s="1"/>
  <c r="T165" i="1"/>
  <c r="AA223" i="1"/>
  <c r="W223" i="1" s="1"/>
  <c r="AA146" i="1"/>
  <c r="W146" i="1" s="1"/>
  <c r="AA133" i="1"/>
  <c r="W133" i="1" s="1"/>
  <c r="T133" i="1"/>
  <c r="U133" i="1" s="1"/>
  <c r="S133" i="1" s="1"/>
  <c r="AA131" i="1"/>
  <c r="W131" i="1" s="1"/>
  <c r="AA86" i="1"/>
  <c r="W86" i="1" s="1"/>
  <c r="AA74" i="1"/>
  <c r="AA65" i="1"/>
  <c r="AA61" i="1"/>
  <c r="W61" i="1" s="1"/>
  <c r="AA16" i="1"/>
  <c r="T212" i="1"/>
  <c r="U212" i="1" s="1"/>
  <c r="S212" i="1" s="1"/>
  <c r="T177" i="1"/>
  <c r="W215" i="1"/>
  <c r="AI146" i="1"/>
  <c r="T101" i="1"/>
  <c r="U101" i="1" s="1"/>
  <c r="S101" i="1" s="1"/>
  <c r="T67" i="1"/>
  <c r="X18" i="1"/>
  <c r="AG16" i="1"/>
  <c r="AI16" i="1" s="1"/>
  <c r="X184" i="1"/>
  <c r="AA204" i="1"/>
  <c r="T195" i="1"/>
  <c r="U195" i="1" s="1"/>
  <c r="S195" i="1" s="1"/>
  <c r="AA192" i="1"/>
  <c r="AG186" i="1"/>
  <c r="U186" i="1" s="1"/>
  <c r="S186" i="1" s="1"/>
  <c r="AA171" i="1"/>
  <c r="AA220" i="1"/>
  <c r="W220" i="1" s="1"/>
  <c r="AA205" i="1"/>
  <c r="AA153" i="1"/>
  <c r="AG148" i="1"/>
  <c r="T134" i="1"/>
  <c r="U134" i="1" s="1"/>
  <c r="S134" i="1" s="1"/>
  <c r="AA130" i="1"/>
  <c r="AA107" i="1"/>
  <c r="AG91" i="1"/>
  <c r="U91" i="1" s="1"/>
  <c r="S91" i="1" s="1"/>
  <c r="AA76" i="1"/>
  <c r="X72" i="1"/>
  <c r="AG70" i="1"/>
  <c r="AA68" i="1"/>
  <c r="AA52" i="1"/>
  <c r="W52" i="1" s="1"/>
  <c r="AA51" i="1"/>
  <c r="W51" i="1" s="1"/>
  <c r="AA46" i="1"/>
  <c r="X41" i="1"/>
  <c r="X34" i="1"/>
  <c r="AA31" i="1"/>
  <c r="AA181" i="1"/>
  <c r="AA180" i="1"/>
  <c r="AA178" i="1"/>
  <c r="X182" i="1"/>
  <c r="AI199" i="1"/>
  <c r="AA196" i="1"/>
  <c r="AA160" i="1"/>
  <c r="AI223" i="1"/>
  <c r="AA214" i="1"/>
  <c r="AG153" i="1"/>
  <c r="AA150" i="1"/>
  <c r="AA132" i="1"/>
  <c r="AA125" i="1"/>
  <c r="AA122" i="1"/>
  <c r="AA111" i="1"/>
  <c r="W111" i="1" s="1"/>
  <c r="AA81" i="1"/>
  <c r="AG76" i="1"/>
  <c r="U76" i="1" s="1"/>
  <c r="S76" i="1" s="1"/>
  <c r="AA73" i="1"/>
  <c r="W73" i="1" s="1"/>
  <c r="AA59" i="1"/>
  <c r="AA56" i="1"/>
  <c r="AG45" i="1"/>
  <c r="U45" i="1" s="1"/>
  <c r="S45" i="1" s="1"/>
  <c r="X45" i="1"/>
  <c r="AA40" i="1"/>
  <c r="AA33" i="1"/>
  <c r="AG30" i="1"/>
  <c r="AI30" i="1" s="1"/>
  <c r="X30" i="1"/>
  <c r="AA25" i="1"/>
  <c r="AA23" i="1"/>
  <c r="X185" i="1"/>
  <c r="X181" i="1"/>
  <c r="AA179" i="1"/>
  <c r="AG180" i="1"/>
  <c r="AG179" i="1"/>
  <c r="U179" i="1" s="1"/>
  <c r="S179" i="1" s="1"/>
  <c r="T180" i="1"/>
  <c r="AA182" i="1"/>
  <c r="AG182" i="1"/>
  <c r="X179" i="1"/>
  <c r="AG178" i="1"/>
  <c r="AG181" i="1"/>
  <c r="X178" i="1"/>
  <c r="T83" i="1"/>
  <c r="X83" i="1"/>
  <c r="AG83" i="1"/>
  <c r="AI83" i="1" s="1"/>
  <c r="T75" i="1"/>
  <c r="X76" i="1"/>
  <c r="X75" i="1"/>
  <c r="AG75" i="1"/>
  <c r="AA189" i="1"/>
  <c r="X187" i="1"/>
  <c r="AA168" i="1"/>
  <c r="AA167" i="1"/>
  <c r="W167" i="1" s="1"/>
  <c r="T164" i="1"/>
  <c r="AG164" i="1"/>
  <c r="AI164" i="1" s="1"/>
  <c r="AG162" i="1"/>
  <c r="W162" i="1" s="1"/>
  <c r="AA158" i="1"/>
  <c r="AG214" i="1"/>
  <c r="AI214" i="1" s="1"/>
  <c r="X214" i="1"/>
  <c r="AG149" i="1"/>
  <c r="U149" i="1" s="1"/>
  <c r="S149" i="1" s="1"/>
  <c r="X149" i="1"/>
  <c r="T105" i="1"/>
  <c r="AG105" i="1"/>
  <c r="AG203" i="1"/>
  <c r="T203" i="1"/>
  <c r="U203" i="1" s="1"/>
  <c r="S203" i="1" s="1"/>
  <c r="T200" i="1"/>
  <c r="AG200" i="1"/>
  <c r="AA211" i="1"/>
  <c r="AA193" i="1"/>
  <c r="AG190" i="1"/>
  <c r="T190" i="1"/>
  <c r="AA175" i="1"/>
  <c r="AA174" i="1"/>
  <c r="AG158" i="1"/>
  <c r="T158" i="1"/>
  <c r="AG222" i="1"/>
  <c r="T222" i="1"/>
  <c r="T102" i="1"/>
  <c r="X102" i="1"/>
  <c r="AG102" i="1"/>
  <c r="AG56" i="1"/>
  <c r="AI56" i="1" s="1"/>
  <c r="X56" i="1"/>
  <c r="AA188" i="1"/>
  <c r="AA187" i="1"/>
  <c r="T187" i="1"/>
  <c r="U187" i="1" s="1"/>
  <c r="S187" i="1" s="1"/>
  <c r="AG174" i="1"/>
  <c r="T174" i="1"/>
  <c r="T223" i="1"/>
  <c r="U223" i="1" s="1"/>
  <c r="S223" i="1" s="1"/>
  <c r="AI165" i="1"/>
  <c r="AA209" i="1"/>
  <c r="W209" i="1" s="1"/>
  <c r="AG205" i="1"/>
  <c r="U205" i="1" s="1"/>
  <c r="S205" i="1" s="1"/>
  <c r="T146" i="1"/>
  <c r="U146" i="1" s="1"/>
  <c r="S146" i="1" s="1"/>
  <c r="T116" i="1"/>
  <c r="AG116" i="1"/>
  <c r="AI116" i="1" s="1"/>
  <c r="AA113" i="1"/>
  <c r="T63" i="1"/>
  <c r="AG63" i="1"/>
  <c r="W63" i="1" s="1"/>
  <c r="AA207" i="1"/>
  <c r="AA155" i="1"/>
  <c r="AA134" i="1"/>
  <c r="W134" i="1" s="1"/>
  <c r="AA71" i="1"/>
  <c r="AA22" i="1"/>
  <c r="AA17" i="1"/>
  <c r="AA142" i="1"/>
  <c r="W142" i="1" s="1"/>
  <c r="AA120" i="1"/>
  <c r="AA203" i="1"/>
  <c r="AA198" i="1"/>
  <c r="AI195" i="1"/>
  <c r="AA184" i="1"/>
  <c r="AA159" i="1"/>
  <c r="W159" i="1" s="1"/>
  <c r="AA222" i="1"/>
  <c r="AA210" i="1"/>
  <c r="W210" i="1" s="1"/>
  <c r="AG207" i="1"/>
  <c r="AI207" i="1" s="1"/>
  <c r="AA147" i="1"/>
  <c r="W147" i="1" s="1"/>
  <c r="AG140" i="1"/>
  <c r="U140" i="1" s="1"/>
  <c r="S140" i="1" s="1"/>
  <c r="AG132" i="1"/>
  <c r="U132" i="1" s="1"/>
  <c r="S132" i="1" s="1"/>
  <c r="AG107" i="1"/>
  <c r="AG106" i="1"/>
  <c r="AI106" i="1" s="1"/>
  <c r="AA103" i="1"/>
  <c r="AA100" i="1"/>
  <c r="AG97" i="1"/>
  <c r="U97" i="1" s="1"/>
  <c r="S97" i="1" s="1"/>
  <c r="AA94" i="1"/>
  <c r="W94" i="1" s="1"/>
  <c r="AA91" i="1"/>
  <c r="AA89" i="1"/>
  <c r="AA88" i="1"/>
  <c r="AA87" i="1"/>
  <c r="AG84" i="1"/>
  <c r="AI84" i="1" s="1"/>
  <c r="AA72" i="1"/>
  <c r="W72" i="1" s="1"/>
  <c r="AA60" i="1"/>
  <c r="W60" i="1" s="1"/>
  <c r="AG48" i="1"/>
  <c r="AG44" i="1"/>
  <c r="U44" i="1" s="1"/>
  <c r="S44" i="1" s="1"/>
  <c r="AG37" i="1"/>
  <c r="U37" i="1" s="1"/>
  <c r="AA30" i="1"/>
  <c r="AG29" i="1"/>
  <c r="U29" i="1" s="1"/>
  <c r="S29" i="1" s="1"/>
  <c r="AG22" i="1"/>
  <c r="AI22" i="1" s="1"/>
  <c r="X22" i="1"/>
  <c r="AA21" i="1"/>
  <c r="W21" i="1" s="1"/>
  <c r="AA18" i="1"/>
  <c r="W18" i="1" s="1"/>
  <c r="T18" i="1"/>
  <c r="U18" i="1" s="1"/>
  <c r="S18" i="1" s="1"/>
  <c r="AA123" i="1"/>
  <c r="W123" i="1" s="1"/>
  <c r="AA109" i="1"/>
  <c r="AA108" i="1"/>
  <c r="AA105" i="1"/>
  <c r="AI91" i="1"/>
  <c r="X84" i="1"/>
  <c r="AA79" i="1"/>
  <c r="U70" i="1"/>
  <c r="S70" i="1" s="1"/>
  <c r="X64" i="1"/>
  <c r="AA58" i="1"/>
  <c r="AA57" i="1"/>
  <c r="W57" i="1" s="1"/>
  <c r="AI51" i="1"/>
  <c r="X49" i="1"/>
  <c r="AG183" i="1"/>
  <c r="T183" i="1"/>
  <c r="X199" i="1"/>
  <c r="AG198" i="1"/>
  <c r="AI198" i="1" s="1"/>
  <c r="AA173" i="1"/>
  <c r="AG171" i="1"/>
  <c r="W171" i="1" s="1"/>
  <c r="AG170" i="1"/>
  <c r="AI170" i="1" s="1"/>
  <c r="AA166" i="1"/>
  <c r="W166" i="1" s="1"/>
  <c r="AG219" i="1"/>
  <c r="AA216" i="1"/>
  <c r="W216" i="1" s="1"/>
  <c r="AA156" i="1"/>
  <c r="W156" i="1" s="1"/>
  <c r="T156" i="1"/>
  <c r="U156" i="1" s="1"/>
  <c r="S156" i="1" s="1"/>
  <c r="AA154" i="1"/>
  <c r="W154" i="1" s="1"/>
  <c r="T151" i="1"/>
  <c r="AG151" i="1"/>
  <c r="AI151" i="1" s="1"/>
  <c r="AA151" i="1"/>
  <c r="AG150" i="1"/>
  <c r="AG145" i="1"/>
  <c r="AI145" i="1" s="1"/>
  <c r="T145" i="1"/>
  <c r="AG144" i="1"/>
  <c r="AA140" i="1"/>
  <c r="AA138" i="1"/>
  <c r="AA137" i="1"/>
  <c r="T115" i="1"/>
  <c r="AG115" i="1"/>
  <c r="AI115" i="1" s="1"/>
  <c r="AG68" i="1"/>
  <c r="X68" i="1"/>
  <c r="T68" i="1"/>
  <c r="AG218" i="1"/>
  <c r="AI218" i="1" s="1"/>
  <c r="X218" i="1"/>
  <c r="R24" i="3"/>
  <c r="AA194" i="1"/>
  <c r="X195" i="1"/>
  <c r="AG194" i="1"/>
  <c r="U194" i="1" s="1"/>
  <c r="S194" i="1" s="1"/>
  <c r="AI203" i="1"/>
  <c r="AG175" i="1"/>
  <c r="U175" i="1" s="1"/>
  <c r="S175" i="1" s="1"/>
  <c r="AG208" i="1"/>
  <c r="T208" i="1"/>
  <c r="U148" i="1"/>
  <c r="S148" i="1" s="1"/>
  <c r="X145" i="1"/>
  <c r="AI142" i="1"/>
  <c r="AG137" i="1"/>
  <c r="U137" i="1" s="1"/>
  <c r="S137" i="1" s="1"/>
  <c r="X137" i="1"/>
  <c r="AI134" i="1"/>
  <c r="AG161" i="1"/>
  <c r="AI161" i="1" s="1"/>
  <c r="X161" i="1"/>
  <c r="AI153" i="1"/>
  <c r="T136" i="1"/>
  <c r="AG136" i="1"/>
  <c r="W136" i="1" s="1"/>
  <c r="AG196" i="1"/>
  <c r="U196" i="1" s="1"/>
  <c r="S196" i="1" s="1"/>
  <c r="AA212" i="1"/>
  <c r="W212" i="1" s="1"/>
  <c r="AG192" i="1"/>
  <c r="AA190" i="1"/>
  <c r="X174" i="1"/>
  <c r="AG173" i="1"/>
  <c r="U173" i="1" s="1"/>
  <c r="S173" i="1" s="1"/>
  <c r="T161" i="1"/>
  <c r="T160" i="1"/>
  <c r="AG160" i="1"/>
  <c r="T218" i="1"/>
  <c r="T217" i="1"/>
  <c r="AG217" i="1"/>
  <c r="AI217" i="1" s="1"/>
  <c r="AG204" i="1"/>
  <c r="U204" i="1" s="1"/>
  <c r="S204" i="1" s="1"/>
  <c r="AA202" i="1"/>
  <c r="W202" i="1" s="1"/>
  <c r="AA201" i="1"/>
  <c r="AA199" i="1"/>
  <c r="W199" i="1" s="1"/>
  <c r="T199" i="1"/>
  <c r="U199" i="1" s="1"/>
  <c r="S199" i="1" s="1"/>
  <c r="AI215" i="1"/>
  <c r="X191" i="1"/>
  <c r="AG188" i="1"/>
  <c r="U188" i="1" s="1"/>
  <c r="S188" i="1" s="1"/>
  <c r="W177" i="1"/>
  <c r="AA176" i="1"/>
  <c r="T170" i="1"/>
  <c r="AG169" i="1"/>
  <c r="U169" i="1" s="1"/>
  <c r="S169" i="1" s="1"/>
  <c r="AA169" i="1"/>
  <c r="AA161" i="1"/>
  <c r="AG157" i="1"/>
  <c r="AI157" i="1" s="1"/>
  <c r="T157" i="1"/>
  <c r="AG225" i="1"/>
  <c r="AA221" i="1"/>
  <c r="AA219" i="1"/>
  <c r="AA218" i="1"/>
  <c r="W218" i="1" s="1"/>
  <c r="T209" i="1"/>
  <c r="U209" i="1" s="1"/>
  <c r="S209" i="1" s="1"/>
  <c r="X208" i="1"/>
  <c r="X156" i="1"/>
  <c r="AG155" i="1"/>
  <c r="AG152" i="1"/>
  <c r="AI152" i="1" s="1"/>
  <c r="AG138" i="1"/>
  <c r="AA135" i="1"/>
  <c r="W135" i="1" s="1"/>
  <c r="T128" i="1"/>
  <c r="AG128" i="1"/>
  <c r="U128" i="1" s="1"/>
  <c r="S128" i="1" s="1"/>
  <c r="T122" i="1"/>
  <c r="AG122" i="1"/>
  <c r="AI122" i="1" s="1"/>
  <c r="AG121" i="1"/>
  <c r="X121" i="1"/>
  <c r="T121" i="1"/>
  <c r="T93" i="1"/>
  <c r="X94" i="1"/>
  <c r="AG93" i="1"/>
  <c r="AI93" i="1" s="1"/>
  <c r="T59" i="1"/>
  <c r="AG59" i="1"/>
  <c r="AI59" i="1" s="1"/>
  <c r="X60" i="1"/>
  <c r="AA129" i="1"/>
  <c r="T124" i="1"/>
  <c r="AG124" i="1"/>
  <c r="U124" i="1" s="1"/>
  <c r="S124" i="1" s="1"/>
  <c r="AA124" i="1"/>
  <c r="AA119" i="1"/>
  <c r="W119" i="1" s="1"/>
  <c r="AA117" i="1"/>
  <c r="X116" i="1"/>
  <c r="T108" i="1"/>
  <c r="AA98" i="1"/>
  <c r="T98" i="1"/>
  <c r="AA96" i="1"/>
  <c r="X90" i="1"/>
  <c r="AG90" i="1"/>
  <c r="W90" i="1" s="1"/>
  <c r="X80" i="1"/>
  <c r="AG80" i="1"/>
  <c r="AI45" i="1"/>
  <c r="AG129" i="1"/>
  <c r="U129" i="1" s="1"/>
  <c r="S129" i="1" s="1"/>
  <c r="X129" i="1"/>
  <c r="T120" i="1"/>
  <c r="AG120" i="1"/>
  <c r="U94" i="1"/>
  <c r="S94" i="1" s="1"/>
  <c r="AG78" i="1"/>
  <c r="U78" i="1" s="1"/>
  <c r="S78" i="1" s="1"/>
  <c r="AA186" i="1"/>
  <c r="W186" i="1" s="1"/>
  <c r="AA185" i="1"/>
  <c r="AA183" i="1"/>
  <c r="AA164" i="1"/>
  <c r="AA163" i="1"/>
  <c r="AA157" i="1"/>
  <c r="AA224" i="1"/>
  <c r="W224" i="1" s="1"/>
  <c r="AA213" i="1"/>
  <c r="AA208" i="1"/>
  <c r="AA206" i="1"/>
  <c r="W206" i="1" s="1"/>
  <c r="AA148" i="1"/>
  <c r="W148" i="1" s="1"/>
  <c r="AA145" i="1"/>
  <c r="AA143" i="1"/>
  <c r="W143" i="1" s="1"/>
  <c r="AG130" i="1"/>
  <c r="AA127" i="1"/>
  <c r="W127" i="1" s="1"/>
  <c r="AA126" i="1"/>
  <c r="W126" i="1" s="1"/>
  <c r="AG125" i="1"/>
  <c r="AI125" i="1" s="1"/>
  <c r="X125" i="1"/>
  <c r="AA121" i="1"/>
  <c r="AA114" i="1"/>
  <c r="AG108" i="1"/>
  <c r="AA102" i="1"/>
  <c r="W102" i="1" s="1"/>
  <c r="AG98" i="1"/>
  <c r="T90" i="1"/>
  <c r="T87" i="1"/>
  <c r="X87" i="1"/>
  <c r="AG87" i="1"/>
  <c r="AI87" i="1" s="1"/>
  <c r="X79" i="1"/>
  <c r="AG79" i="1"/>
  <c r="U79" i="1" s="1"/>
  <c r="S79" i="1" s="1"/>
  <c r="AG71" i="1"/>
  <c r="X71" i="1"/>
  <c r="AA69" i="1"/>
  <c r="W69" i="1" s="1"/>
  <c r="AA45" i="1"/>
  <c r="AA38" i="1"/>
  <c r="U30" i="1"/>
  <c r="S30" i="1" s="1"/>
  <c r="T52" i="1"/>
  <c r="U52" i="1" s="1"/>
  <c r="S52" i="1" s="1"/>
  <c r="T49" i="1"/>
  <c r="T41" i="1"/>
  <c r="T34" i="1"/>
  <c r="T26" i="1"/>
  <c r="T17" i="1"/>
  <c r="AA15" i="1"/>
  <c r="AA14" i="1"/>
  <c r="AA110" i="1"/>
  <c r="AA104" i="1"/>
  <c r="AA101" i="1"/>
  <c r="W101" i="1" s="1"/>
  <c r="AA97" i="1"/>
  <c r="AA93" i="1"/>
  <c r="AA92" i="1"/>
  <c r="AA75" i="1"/>
  <c r="AA70" i="1"/>
  <c r="AA67" i="1"/>
  <c r="W67" i="1" s="1"/>
  <c r="AA66" i="1"/>
  <c r="T64" i="1"/>
  <c r="U64" i="1" s="1"/>
  <c r="S64" i="1" s="1"/>
  <c r="T56" i="1"/>
  <c r="AG49" i="1"/>
  <c r="W49" i="1" s="1"/>
  <c r="AA44" i="1"/>
  <c r="AG41" i="1"/>
  <c r="AG40" i="1"/>
  <c r="AI40" i="1" s="1"/>
  <c r="AA37" i="1"/>
  <c r="AG34" i="1"/>
  <c r="AG33" i="1"/>
  <c r="U33" i="1" s="1"/>
  <c r="S33" i="1" s="1"/>
  <c r="AA29" i="1"/>
  <c r="AG26" i="1"/>
  <c r="AG25" i="1"/>
  <c r="U25" i="1" s="1"/>
  <c r="S25" i="1" s="1"/>
  <c r="AA78" i="1"/>
  <c r="AA77" i="1"/>
  <c r="W77" i="1" s="1"/>
  <c r="T72" i="1"/>
  <c r="U72" i="1" s="1"/>
  <c r="S72" i="1" s="1"/>
  <c r="AA62" i="1"/>
  <c r="T60" i="1"/>
  <c r="U60" i="1" s="1"/>
  <c r="S60" i="1" s="1"/>
  <c r="AA54" i="1"/>
  <c r="AA53" i="1"/>
  <c r="X52" i="1"/>
  <c r="U48" i="1"/>
  <c r="S48" i="1" s="1"/>
  <c r="AA43" i="1"/>
  <c r="AA36" i="1"/>
  <c r="W36" i="1" s="1"/>
  <c r="AA28" i="1"/>
  <c r="W28" i="1" s="1"/>
  <c r="AA20" i="1"/>
  <c r="W20" i="1" s="1"/>
  <c r="AG17" i="1"/>
  <c r="AI17" i="1" s="1"/>
  <c r="AG15" i="1"/>
  <c r="AI206" i="1"/>
  <c r="AI202" i="1"/>
  <c r="AI210" i="1"/>
  <c r="W187" i="1"/>
  <c r="X212" i="1"/>
  <c r="AG211" i="1"/>
  <c r="AI211" i="1" s="1"/>
  <c r="X204" i="1"/>
  <c r="X200" i="1"/>
  <c r="X196" i="1"/>
  <c r="X192" i="1"/>
  <c r="X188" i="1"/>
  <c r="X175" i="1"/>
  <c r="T167" i="1"/>
  <c r="U167" i="1" s="1"/>
  <c r="S167" i="1" s="1"/>
  <c r="AI187" i="1"/>
  <c r="AG163" i="1"/>
  <c r="T163" i="1"/>
  <c r="X163" i="1"/>
  <c r="AI177" i="1"/>
  <c r="AI149" i="1"/>
  <c r="AI147" i="1"/>
  <c r="AI133" i="1"/>
  <c r="AI131" i="1"/>
  <c r="U177" i="1"/>
  <c r="S177" i="1" s="1"/>
  <c r="T168" i="1"/>
  <c r="X168" i="1"/>
  <c r="AI190" i="1"/>
  <c r="AI158" i="1"/>
  <c r="AI143" i="1"/>
  <c r="AI129" i="1"/>
  <c r="AI127" i="1"/>
  <c r="AI123" i="1"/>
  <c r="AI119" i="1"/>
  <c r="X202" i="1"/>
  <c r="AG201" i="1"/>
  <c r="AI201" i="1" s="1"/>
  <c r="X198" i="1"/>
  <c r="AG197" i="1"/>
  <c r="AI197" i="1" s="1"/>
  <c r="X194" i="1"/>
  <c r="AG193" i="1"/>
  <c r="AI193" i="1" s="1"/>
  <c r="X190" i="1"/>
  <c r="AG189" i="1"/>
  <c r="X186" i="1"/>
  <c r="AG185" i="1"/>
  <c r="AI185" i="1" s="1"/>
  <c r="X177" i="1"/>
  <c r="AG176" i="1"/>
  <c r="X173" i="1"/>
  <c r="AG172" i="1"/>
  <c r="AI172" i="1" s="1"/>
  <c r="AG168" i="1"/>
  <c r="AI168" i="1" s="1"/>
  <c r="X167" i="1"/>
  <c r="AI156" i="1"/>
  <c r="AI154" i="1"/>
  <c r="AI141" i="1"/>
  <c r="AI139" i="1"/>
  <c r="X211" i="1"/>
  <c r="X201" i="1"/>
  <c r="X197" i="1"/>
  <c r="X193" i="1"/>
  <c r="AI209" i="1"/>
  <c r="X189" i="1"/>
  <c r="X176" i="1"/>
  <c r="X172" i="1"/>
  <c r="AI188" i="1"/>
  <c r="U165" i="1"/>
  <c r="S165" i="1" s="1"/>
  <c r="AI166" i="1"/>
  <c r="W214" i="1"/>
  <c r="W149" i="1"/>
  <c r="AI137" i="1"/>
  <c r="AI135" i="1"/>
  <c r="X159" i="1"/>
  <c r="T159" i="1"/>
  <c r="U159" i="1" s="1"/>
  <c r="S159" i="1" s="1"/>
  <c r="X224" i="1"/>
  <c r="T224" i="1"/>
  <c r="U224" i="1" s="1"/>
  <c r="S224" i="1" s="1"/>
  <c r="X220" i="1"/>
  <c r="T220" i="1"/>
  <c r="U220" i="1" s="1"/>
  <c r="S220" i="1" s="1"/>
  <c r="AI167" i="1"/>
  <c r="X216" i="1"/>
  <c r="T216" i="1"/>
  <c r="U216" i="1" s="1"/>
  <c r="S216" i="1" s="1"/>
  <c r="X210" i="1"/>
  <c r="T210" i="1"/>
  <c r="U210" i="1" s="1"/>
  <c r="S210" i="1" s="1"/>
  <c r="AI159" i="1"/>
  <c r="X206" i="1"/>
  <c r="T206" i="1"/>
  <c r="U206" i="1" s="1"/>
  <c r="S206" i="1" s="1"/>
  <c r="X154" i="1"/>
  <c r="T154" i="1"/>
  <c r="U154" i="1" s="1"/>
  <c r="S154" i="1" s="1"/>
  <c r="AI148" i="1"/>
  <c r="X147" i="1"/>
  <c r="T147" i="1"/>
  <c r="U147" i="1" s="1"/>
  <c r="S147" i="1" s="1"/>
  <c r="AI144" i="1"/>
  <c r="X143" i="1"/>
  <c r="T143" i="1"/>
  <c r="U143" i="1" s="1"/>
  <c r="S143" i="1" s="1"/>
  <c r="X139" i="1"/>
  <c r="T139" i="1"/>
  <c r="U139" i="1" s="1"/>
  <c r="S139" i="1" s="1"/>
  <c r="AI136" i="1"/>
  <c r="X135" i="1"/>
  <c r="T135" i="1"/>
  <c r="U135" i="1" s="1"/>
  <c r="S135" i="1" s="1"/>
  <c r="X131" i="1"/>
  <c r="T131" i="1"/>
  <c r="U131" i="1" s="1"/>
  <c r="S131" i="1" s="1"/>
  <c r="AI128" i="1"/>
  <c r="X127" i="1"/>
  <c r="T127" i="1"/>
  <c r="U127" i="1" s="1"/>
  <c r="S127" i="1" s="1"/>
  <c r="X123" i="1"/>
  <c r="T123" i="1"/>
  <c r="U123" i="1" s="1"/>
  <c r="S123" i="1" s="1"/>
  <c r="X119" i="1"/>
  <c r="T119" i="1"/>
  <c r="U119" i="1" s="1"/>
  <c r="S119" i="1" s="1"/>
  <c r="X166" i="1"/>
  <c r="X162" i="1"/>
  <c r="X158" i="1"/>
  <c r="X223" i="1"/>
  <c r="X219" i="1"/>
  <c r="X215" i="1"/>
  <c r="X209" i="1"/>
  <c r="X205" i="1"/>
  <c r="X153" i="1"/>
  <c r="X146" i="1"/>
  <c r="X142" i="1"/>
  <c r="X138" i="1"/>
  <c r="X134" i="1"/>
  <c r="X130" i="1"/>
  <c r="X126" i="1"/>
  <c r="X122" i="1"/>
  <c r="AA118" i="1"/>
  <c r="T117" i="1"/>
  <c r="X117" i="1"/>
  <c r="AG117" i="1"/>
  <c r="T118" i="1"/>
  <c r="X118" i="1"/>
  <c r="AA115" i="1"/>
  <c r="X164" i="1"/>
  <c r="X160" i="1"/>
  <c r="X225" i="1"/>
  <c r="X221" i="1"/>
  <c r="X217" i="1"/>
  <c r="X213" i="1"/>
  <c r="X207" i="1"/>
  <c r="X155" i="1"/>
  <c r="X148" i="1"/>
  <c r="X144" i="1"/>
  <c r="X140" i="1"/>
  <c r="X136" i="1"/>
  <c r="X132" i="1"/>
  <c r="X128" i="1"/>
  <c r="X124" i="1"/>
  <c r="X120" i="1"/>
  <c r="AG118" i="1"/>
  <c r="X115" i="1"/>
  <c r="AG114" i="1"/>
  <c r="X111" i="1"/>
  <c r="AG110" i="1"/>
  <c r="AG104" i="1"/>
  <c r="X101" i="1"/>
  <c r="AG100" i="1"/>
  <c r="X97" i="1"/>
  <c r="AG96" i="1"/>
  <c r="X93" i="1"/>
  <c r="AG92" i="1"/>
  <c r="X89" i="1"/>
  <c r="AG88" i="1"/>
  <c r="T86" i="1"/>
  <c r="U86" i="1" s="1"/>
  <c r="S86" i="1" s="1"/>
  <c r="X86" i="1"/>
  <c r="AI77" i="1"/>
  <c r="AI65" i="1"/>
  <c r="AI53" i="1"/>
  <c r="X114" i="1"/>
  <c r="AG113" i="1"/>
  <c r="AI111" i="1"/>
  <c r="X110" i="1"/>
  <c r="AG109" i="1"/>
  <c r="X104" i="1"/>
  <c r="AG103" i="1"/>
  <c r="AI101" i="1"/>
  <c r="X100" i="1"/>
  <c r="AG99" i="1"/>
  <c r="X96" i="1"/>
  <c r="AG95" i="1"/>
  <c r="X92" i="1"/>
  <c r="AI89" i="1"/>
  <c r="X88" i="1"/>
  <c r="AA83" i="1"/>
  <c r="W81" i="1"/>
  <c r="AI61" i="1"/>
  <c r="AI57" i="1"/>
  <c r="AI52" i="1"/>
  <c r="X113" i="1"/>
  <c r="X103" i="1"/>
  <c r="X99" i="1"/>
  <c r="X95" i="1"/>
  <c r="X91" i="1"/>
  <c r="AG85" i="1"/>
  <c r="T85" i="1"/>
  <c r="X85" i="1"/>
  <c r="AI81" i="1"/>
  <c r="AI73" i="1"/>
  <c r="AI64" i="1"/>
  <c r="AI72" i="1"/>
  <c r="AI69" i="1"/>
  <c r="W65" i="1"/>
  <c r="AI60" i="1"/>
  <c r="W53" i="1"/>
  <c r="AI82" i="1"/>
  <c r="X81" i="1"/>
  <c r="T81" i="1"/>
  <c r="U81" i="1" s="1"/>
  <c r="S81" i="1" s="1"/>
  <c r="AI78" i="1"/>
  <c r="X77" i="1"/>
  <c r="T77" i="1"/>
  <c r="U77" i="1" s="1"/>
  <c r="S77" i="1" s="1"/>
  <c r="X73" i="1"/>
  <c r="T73" i="1"/>
  <c r="U73" i="1" s="1"/>
  <c r="S73" i="1" s="1"/>
  <c r="AI70" i="1"/>
  <c r="X69" i="1"/>
  <c r="T69" i="1"/>
  <c r="U69" i="1" s="1"/>
  <c r="S69" i="1" s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AA48" i="1"/>
  <c r="AA47" i="1"/>
  <c r="AG43" i="1"/>
  <c r="W43" i="1" s="1"/>
  <c r="X44" i="1"/>
  <c r="T43" i="1"/>
  <c r="X43" i="1"/>
  <c r="AI36" i="1"/>
  <c r="AI28" i="1"/>
  <c r="AI20" i="1"/>
  <c r="U67" i="1"/>
  <c r="S67" i="1" s="1"/>
  <c r="T50" i="1"/>
  <c r="X50" i="1"/>
  <c r="AG50" i="1"/>
  <c r="T47" i="1"/>
  <c r="X47" i="1"/>
  <c r="X67" i="1"/>
  <c r="AG66" i="1"/>
  <c r="X63" i="1"/>
  <c r="AG62" i="1"/>
  <c r="X59" i="1"/>
  <c r="AG58" i="1"/>
  <c r="X55" i="1"/>
  <c r="AG54" i="1"/>
  <c r="AI48" i="1"/>
  <c r="X48" i="1"/>
  <c r="AG47" i="1"/>
  <c r="AG39" i="1"/>
  <c r="W39" i="1" s="1"/>
  <c r="T39" i="1"/>
  <c r="AI32" i="1"/>
  <c r="AI24" i="1"/>
  <c r="X82" i="1"/>
  <c r="AI79" i="1"/>
  <c r="X78" i="1"/>
  <c r="X74" i="1"/>
  <c r="AI71" i="1"/>
  <c r="X70" i="1"/>
  <c r="AI67" i="1"/>
  <c r="X66" i="1"/>
  <c r="X62" i="1"/>
  <c r="X58" i="1"/>
  <c r="AI55" i="1"/>
  <c r="X54" i="1"/>
  <c r="T51" i="1"/>
  <c r="U51" i="1" s="1"/>
  <c r="S51" i="1" s="1"/>
  <c r="X51" i="1"/>
  <c r="AI18" i="1"/>
  <c r="AG46" i="1"/>
  <c r="AG42" i="1"/>
  <c r="AG38" i="1"/>
  <c r="S37" i="1"/>
  <c r="X36" i="1"/>
  <c r="T36" i="1"/>
  <c r="U36" i="1" s="1"/>
  <c r="S36" i="1" s="1"/>
  <c r="AG35" i="1"/>
  <c r="X32" i="1"/>
  <c r="T32" i="1"/>
  <c r="U32" i="1" s="1"/>
  <c r="S32" i="1" s="1"/>
  <c r="AG31" i="1"/>
  <c r="X28" i="1"/>
  <c r="T28" i="1"/>
  <c r="U28" i="1" s="1"/>
  <c r="S28" i="1" s="1"/>
  <c r="AG27" i="1"/>
  <c r="X24" i="1"/>
  <c r="T24" i="1"/>
  <c r="U24" i="1" s="1"/>
  <c r="S24" i="1" s="1"/>
  <c r="AG23" i="1"/>
  <c r="AI21" i="1"/>
  <c r="X20" i="1"/>
  <c r="T20" i="1"/>
  <c r="U20" i="1" s="1"/>
  <c r="S20" i="1" s="1"/>
  <c r="AG19" i="1"/>
  <c r="W19" i="1" s="1"/>
  <c r="X16" i="1"/>
  <c r="U15" i="1"/>
  <c r="S15" i="1" s="1"/>
  <c r="X46" i="1"/>
  <c r="X42" i="1"/>
  <c r="X35" i="1"/>
  <c r="X31" i="1"/>
  <c r="X27" i="1"/>
  <c r="X23" i="1"/>
  <c r="X19" i="1"/>
  <c r="X15" i="1"/>
  <c r="AG14" i="1"/>
  <c r="AI15" i="1"/>
  <c r="X33" i="1"/>
  <c r="X29" i="1"/>
  <c r="X25" i="1"/>
  <c r="X21" i="1"/>
  <c r="R20" i="3"/>
  <c r="R26" i="3"/>
  <c r="R37" i="3"/>
  <c r="R18" i="3"/>
  <c r="R42" i="3"/>
  <c r="R30" i="3"/>
  <c r="R10" i="3"/>
  <c r="R16" i="3"/>
  <c r="R12" i="3"/>
  <c r="R14" i="3"/>
  <c r="R23" i="3"/>
  <c r="R17" i="3"/>
  <c r="R43" i="3"/>
  <c r="R29" i="3"/>
  <c r="R39" i="3"/>
  <c r="R44" i="3"/>
  <c r="R40" i="3"/>
  <c r="R41" i="3"/>
  <c r="R28" i="3"/>
  <c r="R19" i="3"/>
  <c r="R8" i="3"/>
  <c r="R57" i="3"/>
  <c r="R59" i="3"/>
  <c r="R54" i="3"/>
  <c r="R56" i="3"/>
  <c r="R50" i="3"/>
  <c r="R47" i="3"/>
  <c r="R45" i="3"/>
  <c r="R48" i="3"/>
  <c r="R46" i="3"/>
  <c r="R51" i="3"/>
  <c r="R52" i="3"/>
  <c r="AE13" i="1"/>
  <c r="S20" i="3"/>
  <c r="S26" i="3"/>
  <c r="S37" i="3"/>
  <c r="S18" i="3"/>
  <c r="S42" i="3"/>
  <c r="S30" i="3"/>
  <c r="S10" i="3"/>
  <c r="S16" i="3"/>
  <c r="S12" i="3"/>
  <c r="S14" i="3"/>
  <c r="S23" i="3"/>
  <c r="S17" i="3"/>
  <c r="S43" i="3"/>
  <c r="S29" i="3"/>
  <c r="S39" i="3"/>
  <c r="S44" i="3"/>
  <c r="S40" i="3"/>
  <c r="S41" i="3"/>
  <c r="S28" i="3"/>
  <c r="S19" i="3"/>
  <c r="S8" i="3"/>
  <c r="S57" i="3"/>
  <c r="S59" i="3"/>
  <c r="S54" i="3"/>
  <c r="S56" i="3"/>
  <c r="S50" i="3"/>
  <c r="S47" i="3"/>
  <c r="S45" i="3"/>
  <c r="S48" i="3"/>
  <c r="S46" i="3"/>
  <c r="S51" i="3"/>
  <c r="S52" i="3"/>
  <c r="AC10" i="3"/>
  <c r="M25" i="3"/>
  <c r="N25" i="3"/>
  <c r="U25" i="3"/>
  <c r="T25" i="3" s="1"/>
  <c r="V25" i="3"/>
  <c r="W25" i="3"/>
  <c r="X25" i="3"/>
  <c r="AC31" i="3"/>
  <c r="W164" i="1" l="1"/>
  <c r="U213" i="1"/>
  <c r="S213" i="1" s="1"/>
  <c r="AI33" i="1"/>
  <c r="W92" i="1"/>
  <c r="AI171" i="1"/>
  <c r="U214" i="1"/>
  <c r="S214" i="1" s="1"/>
  <c r="W93" i="1"/>
  <c r="W45" i="1"/>
  <c r="AI76" i="1"/>
  <c r="U208" i="1"/>
  <c r="S208" i="1" s="1"/>
  <c r="U183" i="1"/>
  <c r="S183" i="1" s="1"/>
  <c r="W107" i="1"/>
  <c r="U75" i="1"/>
  <c r="S75" i="1" s="1"/>
  <c r="W35" i="1"/>
  <c r="U152" i="1"/>
  <c r="S152" i="1" s="1"/>
  <c r="W29" i="1"/>
  <c r="W70" i="1"/>
  <c r="U107" i="1"/>
  <c r="S107" i="1" s="1"/>
  <c r="W144" i="1"/>
  <c r="W89" i="1"/>
  <c r="U207" i="1"/>
  <c r="S207" i="1" s="1"/>
  <c r="AI183" i="1"/>
  <c r="W74" i="1"/>
  <c r="AI63" i="1"/>
  <c r="W203" i="1"/>
  <c r="W153" i="1"/>
  <c r="W27" i="1"/>
  <c r="AI97" i="1"/>
  <c r="U122" i="1"/>
  <c r="S122" i="1" s="1"/>
  <c r="U161" i="1"/>
  <c r="S161" i="1" s="1"/>
  <c r="W71" i="1"/>
  <c r="U218" i="1"/>
  <c r="S218" i="1" s="1"/>
  <c r="U174" i="1"/>
  <c r="S174" i="1" s="1"/>
  <c r="U158" i="1"/>
  <c r="S158" i="1" s="1"/>
  <c r="U105" i="1"/>
  <c r="S105" i="1" s="1"/>
  <c r="W14" i="1"/>
  <c r="AI37" i="1"/>
  <c r="AI132" i="1"/>
  <c r="AI74" i="1"/>
  <c r="W34" i="1"/>
  <c r="W145" i="1"/>
  <c r="W213" i="1"/>
  <c r="W174" i="1"/>
  <c r="W200" i="1"/>
  <c r="W40" i="1"/>
  <c r="U222" i="1"/>
  <c r="S222" i="1" s="1"/>
  <c r="W170" i="1"/>
  <c r="W42" i="1"/>
  <c r="U82" i="1"/>
  <c r="S82" i="1" s="1"/>
  <c r="AI205" i="1"/>
  <c r="U125" i="1"/>
  <c r="S125" i="1" s="1"/>
  <c r="W125" i="1"/>
  <c r="AI194" i="1"/>
  <c r="W37" i="1"/>
  <c r="W129" i="1"/>
  <c r="W192" i="1"/>
  <c r="AI112" i="1"/>
  <c r="W152" i="1"/>
  <c r="W58" i="1"/>
  <c r="U59" i="1"/>
  <c r="S59" i="1" s="1"/>
  <c r="AI221" i="1"/>
  <c r="W26" i="1"/>
  <c r="W120" i="1"/>
  <c r="U63" i="1"/>
  <c r="S63" i="1" s="1"/>
  <c r="U116" i="1"/>
  <c r="S116" i="1" s="1"/>
  <c r="U198" i="1"/>
  <c r="S198" i="1" s="1"/>
  <c r="W97" i="1"/>
  <c r="W128" i="1"/>
  <c r="W219" i="1"/>
  <c r="U153" i="1"/>
  <c r="S153" i="1" s="1"/>
  <c r="W91" i="1"/>
  <c r="W222" i="1"/>
  <c r="U102" i="1"/>
  <c r="S102" i="1" s="1"/>
  <c r="AI126" i="1"/>
  <c r="W114" i="1"/>
  <c r="U190" i="1"/>
  <c r="S190" i="1" s="1"/>
  <c r="AI75" i="1"/>
  <c r="U16" i="1"/>
  <c r="S16" i="1" s="1"/>
  <c r="W115" i="1"/>
  <c r="AI174" i="1"/>
  <c r="AI25" i="1"/>
  <c r="U71" i="1"/>
  <c r="S71" i="1" s="1"/>
  <c r="U56" i="1"/>
  <c r="S56" i="1" s="1"/>
  <c r="AI107" i="1"/>
  <c r="AI120" i="1"/>
  <c r="U120" i="1"/>
  <c r="S120" i="1" s="1"/>
  <c r="W161" i="1"/>
  <c r="W208" i="1"/>
  <c r="W221" i="1"/>
  <c r="U68" i="1"/>
  <c r="S68" i="1" s="1"/>
  <c r="W137" i="1"/>
  <c r="U145" i="1"/>
  <c r="S145" i="1" s="1"/>
  <c r="W87" i="1"/>
  <c r="AI105" i="1"/>
  <c r="U84" i="1"/>
  <c r="S84" i="1" s="1"/>
  <c r="AI29" i="1"/>
  <c r="U40" i="1"/>
  <c r="S40" i="1" s="1"/>
  <c r="AI184" i="1"/>
  <c r="U144" i="1"/>
  <c r="S144" i="1" s="1"/>
  <c r="AI169" i="1"/>
  <c r="U157" i="1"/>
  <c r="S157" i="1" s="1"/>
  <c r="W157" i="1"/>
  <c r="AI222" i="1"/>
  <c r="W75" i="1"/>
  <c r="U87" i="1"/>
  <c r="S87" i="1" s="1"/>
  <c r="U106" i="1"/>
  <c r="S106" i="1" s="1"/>
  <c r="W121" i="1"/>
  <c r="W183" i="1"/>
  <c r="U22" i="1"/>
  <c r="S22" i="1" s="1"/>
  <c r="W155" i="1"/>
  <c r="W225" i="1"/>
  <c r="U162" i="1"/>
  <c r="S162" i="1" s="1"/>
  <c r="W217" i="1"/>
  <c r="AI102" i="1"/>
  <c r="W184" i="1"/>
  <c r="AI44" i="1"/>
  <c r="W83" i="1"/>
  <c r="AI140" i="1"/>
  <c r="W59" i="1"/>
  <c r="W48" i="1"/>
  <c r="W103" i="1"/>
  <c r="AI124" i="1"/>
  <c r="W168" i="1"/>
  <c r="AI175" i="1"/>
  <c r="AI162" i="1"/>
  <c r="W163" i="1"/>
  <c r="AI192" i="1"/>
  <c r="U192" i="1"/>
  <c r="S192" i="1" s="1"/>
  <c r="W44" i="1"/>
  <c r="W130" i="1"/>
  <c r="W190" i="1"/>
  <c r="W140" i="1"/>
  <c r="W150" i="1"/>
  <c r="W105" i="1"/>
  <c r="W132" i="1"/>
  <c r="W112" i="1"/>
  <c r="W79" i="1"/>
  <c r="W16" i="1"/>
  <c r="W30" i="1"/>
  <c r="W15" i="1"/>
  <c r="W207" i="1"/>
  <c r="W56" i="1"/>
  <c r="W106" i="1"/>
  <c r="U83" i="1"/>
  <c r="S83" i="1" s="1"/>
  <c r="AI179" i="1"/>
  <c r="W98" i="1"/>
  <c r="W198" i="1"/>
  <c r="U164" i="1"/>
  <c r="S164" i="1" s="1"/>
  <c r="W76" i="1"/>
  <c r="U180" i="1"/>
  <c r="S180" i="1" s="1"/>
  <c r="AI180" i="1"/>
  <c r="W179" i="1"/>
  <c r="W180" i="1"/>
  <c r="AI182" i="1"/>
  <c r="U182" i="1"/>
  <c r="S182" i="1" s="1"/>
  <c r="W182" i="1"/>
  <c r="U181" i="1"/>
  <c r="S181" i="1" s="1"/>
  <c r="AI181" i="1"/>
  <c r="AI178" i="1"/>
  <c r="U178" i="1"/>
  <c r="S178" i="1" s="1"/>
  <c r="W178" i="1"/>
  <c r="W181" i="1"/>
  <c r="W22" i="1"/>
  <c r="W84" i="1"/>
  <c r="W205" i="1"/>
  <c r="U200" i="1"/>
  <c r="S200" i="1" s="1"/>
  <c r="W158" i="1"/>
  <c r="U17" i="1"/>
  <c r="S17" i="1" s="1"/>
  <c r="W78" i="1"/>
  <c r="W124" i="1"/>
  <c r="U170" i="1"/>
  <c r="S170" i="1" s="1"/>
  <c r="U160" i="1"/>
  <c r="S160" i="1" s="1"/>
  <c r="U115" i="1"/>
  <c r="S115" i="1" s="1"/>
  <c r="W25" i="1"/>
  <c r="W194" i="1"/>
  <c r="W116" i="1"/>
  <c r="W38" i="1"/>
  <c r="AI68" i="1"/>
  <c r="AI155" i="1"/>
  <c r="AI163" i="1"/>
  <c r="U121" i="1"/>
  <c r="S121" i="1" s="1"/>
  <c r="AI160" i="1"/>
  <c r="U171" i="1"/>
  <c r="S171" i="1" s="1"/>
  <c r="W17" i="1"/>
  <c r="U108" i="1"/>
  <c r="S108" i="1" s="1"/>
  <c r="AI108" i="1"/>
  <c r="U130" i="1"/>
  <c r="S130" i="1" s="1"/>
  <c r="AI130" i="1"/>
  <c r="W122" i="1"/>
  <c r="W169" i="1"/>
  <c r="U217" i="1"/>
  <c r="S217" i="1" s="1"/>
  <c r="W188" i="1"/>
  <c r="W151" i="1"/>
  <c r="U219" i="1"/>
  <c r="S219" i="1" s="1"/>
  <c r="AI219" i="1"/>
  <c r="W173" i="1"/>
  <c r="W68" i="1"/>
  <c r="W175" i="1"/>
  <c r="U90" i="1"/>
  <c r="S90" i="1" s="1"/>
  <c r="AI90" i="1"/>
  <c r="U138" i="1"/>
  <c r="S138" i="1" s="1"/>
  <c r="AI138" i="1"/>
  <c r="U150" i="1"/>
  <c r="S150" i="1" s="1"/>
  <c r="AI150" i="1"/>
  <c r="U225" i="1"/>
  <c r="S225" i="1" s="1"/>
  <c r="AI121" i="1"/>
  <c r="AI173" i="1"/>
  <c r="U41" i="1"/>
  <c r="S41" i="1" s="1"/>
  <c r="AI41" i="1"/>
  <c r="U98" i="1"/>
  <c r="S98" i="1" s="1"/>
  <c r="AI98" i="1"/>
  <c r="U80" i="1"/>
  <c r="S80" i="1" s="1"/>
  <c r="AI80" i="1"/>
  <c r="U151" i="1"/>
  <c r="S151" i="1" s="1"/>
  <c r="W80" i="1"/>
  <c r="W176" i="1"/>
  <c r="AI176" i="1"/>
  <c r="W189" i="1"/>
  <c r="AI189" i="1"/>
  <c r="U26" i="1"/>
  <c r="S26" i="1" s="1"/>
  <c r="AI26" i="1"/>
  <c r="U49" i="1"/>
  <c r="S49" i="1" s="1"/>
  <c r="AI49" i="1"/>
  <c r="U155" i="1"/>
  <c r="S155" i="1" s="1"/>
  <c r="W160" i="1"/>
  <c r="AI225" i="1"/>
  <c r="U34" i="1"/>
  <c r="S34" i="1" s="1"/>
  <c r="AI34" i="1"/>
  <c r="W33" i="1"/>
  <c r="W41" i="1"/>
  <c r="U93" i="1"/>
  <c r="S93" i="1" s="1"/>
  <c r="W204" i="1"/>
  <c r="U136" i="1"/>
  <c r="S136" i="1" s="1"/>
  <c r="W108" i="1"/>
  <c r="W138" i="1"/>
  <c r="W196" i="1"/>
  <c r="U46" i="1"/>
  <c r="S46" i="1" s="1"/>
  <c r="AI46" i="1"/>
  <c r="U54" i="1"/>
  <c r="S54" i="1" s="1"/>
  <c r="AI54" i="1"/>
  <c r="W54" i="1"/>
  <c r="AI99" i="1"/>
  <c r="U99" i="1"/>
  <c r="S99" i="1" s="1"/>
  <c r="AI109" i="1"/>
  <c r="U109" i="1"/>
  <c r="S109" i="1" s="1"/>
  <c r="AI88" i="1"/>
  <c r="U88" i="1"/>
  <c r="S88" i="1" s="1"/>
  <c r="AI104" i="1"/>
  <c r="U104" i="1"/>
  <c r="S104" i="1" s="1"/>
  <c r="AI110" i="1"/>
  <c r="U110" i="1"/>
  <c r="S110" i="1" s="1"/>
  <c r="W88" i="1"/>
  <c r="W110" i="1"/>
  <c r="U117" i="1"/>
  <c r="S117" i="1" s="1"/>
  <c r="AI117" i="1"/>
  <c r="U172" i="1"/>
  <c r="S172" i="1" s="1"/>
  <c r="AI196" i="1"/>
  <c r="U185" i="1"/>
  <c r="S185" i="1" s="1"/>
  <c r="AI204" i="1"/>
  <c r="U193" i="1"/>
  <c r="S193" i="1" s="1"/>
  <c r="AI212" i="1"/>
  <c r="U201" i="1"/>
  <c r="S201" i="1" s="1"/>
  <c r="AI220" i="1"/>
  <c r="W172" i="1"/>
  <c r="AI31" i="1"/>
  <c r="U31" i="1"/>
  <c r="S31" i="1" s="1"/>
  <c r="AI47" i="1"/>
  <c r="U47" i="1"/>
  <c r="S47" i="1" s="1"/>
  <c r="U62" i="1"/>
  <c r="S62" i="1" s="1"/>
  <c r="AI62" i="1"/>
  <c r="W47" i="1"/>
  <c r="W62" i="1"/>
  <c r="AI95" i="1"/>
  <c r="U95" i="1"/>
  <c r="S95" i="1" s="1"/>
  <c r="AI103" i="1"/>
  <c r="U103" i="1"/>
  <c r="S103" i="1" s="1"/>
  <c r="AI113" i="1"/>
  <c r="U113" i="1"/>
  <c r="S113" i="1" s="1"/>
  <c r="AI14" i="1"/>
  <c r="U14" i="1"/>
  <c r="S14" i="1" s="1"/>
  <c r="AI19" i="1"/>
  <c r="U19" i="1"/>
  <c r="S19" i="1" s="1"/>
  <c r="AI35" i="1"/>
  <c r="U35" i="1"/>
  <c r="S35" i="1" s="1"/>
  <c r="AI100" i="1"/>
  <c r="U100" i="1"/>
  <c r="S100" i="1" s="1"/>
  <c r="W109" i="1"/>
  <c r="W95" i="1"/>
  <c r="W117" i="1"/>
  <c r="W193" i="1"/>
  <c r="W185" i="1"/>
  <c r="AI23" i="1"/>
  <c r="U23" i="1"/>
  <c r="S23" i="1" s="1"/>
  <c r="W23" i="1"/>
  <c r="W31" i="1"/>
  <c r="U39" i="1"/>
  <c r="S39" i="1" s="1"/>
  <c r="AI39" i="1"/>
  <c r="U58" i="1"/>
  <c r="S58" i="1" s="1"/>
  <c r="AI58" i="1"/>
  <c r="U66" i="1"/>
  <c r="S66" i="1" s="1"/>
  <c r="AI66" i="1"/>
  <c r="U50" i="1"/>
  <c r="S50" i="1" s="1"/>
  <c r="AI50" i="1"/>
  <c r="AI96" i="1"/>
  <c r="U96" i="1"/>
  <c r="S96" i="1" s="1"/>
  <c r="AI114" i="1"/>
  <c r="U114" i="1"/>
  <c r="S114" i="1" s="1"/>
  <c r="W96" i="1"/>
  <c r="AI118" i="1"/>
  <c r="U118" i="1"/>
  <c r="S118" i="1" s="1"/>
  <c r="W113" i="1"/>
  <c r="W99" i="1"/>
  <c r="U176" i="1"/>
  <c r="S176" i="1" s="1"/>
  <c r="AI200" i="1"/>
  <c r="U189" i="1"/>
  <c r="S189" i="1" s="1"/>
  <c r="AI208" i="1"/>
  <c r="U197" i="1"/>
  <c r="S197" i="1" s="1"/>
  <c r="AI216" i="1"/>
  <c r="W197" i="1"/>
  <c r="AI38" i="1"/>
  <c r="U38" i="1"/>
  <c r="S38" i="1" s="1"/>
  <c r="AI27" i="1"/>
  <c r="U27" i="1"/>
  <c r="S27" i="1" s="1"/>
  <c r="U42" i="1"/>
  <c r="S42" i="1" s="1"/>
  <c r="AI42" i="1"/>
  <c r="U43" i="1"/>
  <c r="S43" i="1" s="1"/>
  <c r="AI43" i="1"/>
  <c r="W46" i="1"/>
  <c r="W66" i="1"/>
  <c r="U85" i="1"/>
  <c r="S85" i="1" s="1"/>
  <c r="AI85" i="1"/>
  <c r="W85" i="1"/>
  <c r="W50" i="1"/>
  <c r="AI92" i="1"/>
  <c r="U92" i="1"/>
  <c r="S92" i="1" s="1"/>
  <c r="W100" i="1"/>
  <c r="W104" i="1"/>
  <c r="W118" i="1"/>
  <c r="U168" i="1"/>
  <c r="S168" i="1" s="1"/>
  <c r="AI191" i="1"/>
  <c r="U163" i="1"/>
  <c r="S163" i="1" s="1"/>
  <c r="AI186" i="1"/>
  <c r="AI224" i="1"/>
  <c r="U211" i="1"/>
  <c r="S211" i="1" s="1"/>
  <c r="W211" i="1"/>
  <c r="W201" i="1"/>
  <c r="S31" i="3"/>
  <c r="S32" i="3"/>
  <c r="R13" i="3"/>
  <c r="R34" i="3"/>
  <c r="R22" i="3"/>
  <c r="R9" i="3"/>
  <c r="R21" i="3"/>
  <c r="R27" i="3"/>
  <c r="R31" i="3"/>
  <c r="R32" i="3"/>
  <c r="S33" i="3"/>
  <c r="S7" i="3"/>
  <c r="S34" i="3"/>
  <c r="S13" i="3"/>
  <c r="S22" i="3"/>
  <c r="S9" i="3"/>
  <c r="S27" i="3"/>
  <c r="S21" i="3"/>
  <c r="S35" i="3"/>
  <c r="S36" i="3"/>
  <c r="R33" i="3"/>
  <c r="R7" i="3"/>
  <c r="R35" i="3"/>
  <c r="R36" i="3"/>
  <c r="Y43" i="3"/>
  <c r="Y23" i="3"/>
  <c r="Y20" i="3"/>
  <c r="Y27" i="3"/>
  <c r="Y13" i="3"/>
  <c r="Y18" i="3"/>
  <c r="Y32" i="3"/>
  <c r="Y45" i="3"/>
  <c r="Y55" i="3"/>
  <c r="Y52" i="3"/>
  <c r="Y31" i="3"/>
  <c r="Y8" i="3"/>
  <c r="Y56" i="3"/>
  <c r="Y21" i="3"/>
  <c r="Y49" i="3"/>
  <c r="AC23" i="3"/>
  <c r="AC20" i="3"/>
  <c r="AC48" i="3"/>
  <c r="AC36" i="3"/>
  <c r="Y34" i="3"/>
  <c r="Y53" i="3"/>
  <c r="Y30" i="3"/>
  <c r="Y11" i="3"/>
  <c r="Y51" i="3"/>
  <c r="Y48" i="3"/>
  <c r="Y36" i="3"/>
  <c r="Y9" i="3"/>
  <c r="Y40" i="3"/>
  <c r="AC52" i="3"/>
  <c r="AC18" i="3"/>
  <c r="Y12" i="3"/>
  <c r="AC11" i="3"/>
  <c r="AC33" i="3"/>
  <c r="AC16" i="3"/>
  <c r="AC41" i="3"/>
  <c r="AC59" i="3"/>
  <c r="AC14" i="3"/>
  <c r="AC42" i="3"/>
  <c r="AC47" i="3"/>
  <c r="Y54" i="3"/>
  <c r="Y24" i="3"/>
  <c r="Y46" i="3"/>
  <c r="Y38" i="3"/>
  <c r="Y29" i="3"/>
  <c r="Y57" i="3"/>
  <c r="Y35" i="3"/>
  <c r="Y7" i="3"/>
  <c r="Y16" i="3"/>
  <c r="Y37" i="3"/>
  <c r="Y19" i="3"/>
  <c r="Y22" i="3"/>
  <c r="AC28" i="3"/>
  <c r="AC44" i="3"/>
  <c r="AC49" i="3"/>
  <c r="AC32" i="3"/>
  <c r="AC9" i="3"/>
  <c r="AC7" i="3"/>
  <c r="AC26" i="3"/>
  <c r="AC39" i="3"/>
  <c r="AC24" i="3"/>
  <c r="Y26" i="3"/>
  <c r="Y47" i="3"/>
  <c r="Y58" i="3"/>
  <c r="Y14" i="3"/>
  <c r="Y59" i="3"/>
  <c r="Y50" i="3"/>
  <c r="Y41" i="3"/>
  <c r="Y28" i="3"/>
  <c r="Y15" i="3"/>
  <c r="Y42" i="3"/>
  <c r="Y44" i="3"/>
  <c r="Y33" i="3"/>
  <c r="Y10" i="3"/>
  <c r="AC54" i="3"/>
  <c r="AC40" i="3"/>
  <c r="AC58" i="3"/>
  <c r="AC43" i="3"/>
  <c r="AC30" i="3"/>
  <c r="AC21" i="3"/>
  <c r="AC56" i="3"/>
  <c r="AC34" i="3"/>
  <c r="AC8" i="3"/>
  <c r="AC19" i="3"/>
  <c r="AC51" i="3"/>
  <c r="AC46" i="3"/>
  <c r="AC38" i="3"/>
  <c r="AC55" i="3"/>
  <c r="AC15" i="3"/>
  <c r="AC13" i="3"/>
  <c r="AC12" i="3"/>
  <c r="AC22" i="3"/>
  <c r="AC45" i="3"/>
  <c r="AC50" i="3"/>
  <c r="AC29" i="3"/>
  <c r="AC53" i="3"/>
  <c r="AC57" i="3"/>
  <c r="AC37" i="3"/>
  <c r="AC27" i="3"/>
  <c r="AC35" i="3"/>
  <c r="Y39" i="3"/>
  <c r="Y17" i="3" l="1"/>
  <c r="R25" i="3"/>
  <c r="S25" i="3"/>
  <c r="AC17" i="3"/>
  <c r="Y25" i="3"/>
  <c r="AC25" i="3"/>
  <c r="B8" i="6" l="1"/>
  <c r="H8" i="6" s="1"/>
  <c r="B9" i="6"/>
  <c r="H9" i="6" s="1"/>
  <c r="B10" i="6"/>
  <c r="G10" i="6" s="1"/>
  <c r="B11" i="6"/>
  <c r="F11" i="6" s="1"/>
  <c r="B12" i="6"/>
  <c r="H12" i="6" s="1"/>
  <c r="B13" i="6"/>
  <c r="H13" i="6" s="1"/>
  <c r="B14" i="6"/>
  <c r="G14" i="6" s="1"/>
  <c r="I11" i="6" l="1"/>
  <c r="G12" i="6"/>
  <c r="H11" i="6"/>
  <c r="F12" i="6"/>
  <c r="G11" i="6"/>
  <c r="F13" i="6"/>
  <c r="I13" i="6"/>
  <c r="I12" i="6"/>
  <c r="I14" i="6"/>
  <c r="I9" i="6"/>
  <c r="F9" i="6"/>
  <c r="I8" i="6"/>
  <c r="G8" i="6"/>
  <c r="F8" i="6"/>
  <c r="F14" i="6"/>
  <c r="G13" i="6"/>
  <c r="F10" i="6"/>
  <c r="G9" i="6"/>
  <c r="I10" i="6"/>
  <c r="H14" i="6"/>
  <c r="H10" i="6"/>
  <c r="AF13" i="1" l="1"/>
  <c r="B3" i="6" l="1"/>
  <c r="F3" i="6" s="1"/>
  <c r="B4" i="6"/>
  <c r="F4" i="6" s="1"/>
  <c r="B5" i="6"/>
  <c r="F5" i="6" s="1"/>
  <c r="B6" i="6"/>
  <c r="F6" i="6" s="1"/>
  <c r="B7" i="6"/>
  <c r="F7" i="6" s="1"/>
  <c r="G7" i="6" l="1"/>
  <c r="I7" i="6"/>
  <c r="H7" i="6"/>
  <c r="I3" i="6"/>
  <c r="I6" i="6"/>
  <c r="H5" i="6"/>
  <c r="G5" i="6"/>
  <c r="I5" i="6"/>
  <c r="H4" i="6"/>
  <c r="I4" i="6"/>
  <c r="G4" i="6"/>
  <c r="H6" i="6"/>
  <c r="G6" i="6"/>
  <c r="V13" i="1" l="1"/>
  <c r="K13" i="1" l="1"/>
  <c r="L13" i="1"/>
  <c r="M13" i="1"/>
  <c r="N13" i="1" s="1"/>
  <c r="Y13" i="1"/>
  <c r="Z13" i="1"/>
  <c r="AB13" i="1"/>
  <c r="AC13" i="1"/>
  <c r="AD13" i="1"/>
  <c r="X14" i="1" s="1"/>
  <c r="T13" i="1" l="1"/>
  <c r="X13" i="1"/>
  <c r="AA13" i="1"/>
  <c r="AG13" i="1"/>
  <c r="M26" i="5"/>
  <c r="AH14" i="1" l="1"/>
  <c r="AH15" i="1"/>
  <c r="AH19" i="1"/>
  <c r="AH20" i="1"/>
  <c r="AH24" i="1"/>
  <c r="AH25" i="1"/>
  <c r="AH30" i="1"/>
  <c r="AH31" i="1"/>
  <c r="AH32" i="1"/>
  <c r="AH33" i="1"/>
  <c r="AH34" i="1"/>
  <c r="AH38" i="1"/>
  <c r="AH39" i="1"/>
  <c r="AH40" i="1"/>
  <c r="AH41" i="1"/>
  <c r="AH45" i="1"/>
  <c r="AH46" i="1"/>
  <c r="AH47" i="1"/>
  <c r="AH48" i="1"/>
  <c r="AH49" i="1"/>
  <c r="AH55" i="1"/>
  <c r="AH56" i="1"/>
  <c r="AH57" i="1"/>
  <c r="AH58" i="1"/>
  <c r="AH59" i="1"/>
  <c r="AH64" i="1"/>
  <c r="AH65" i="1"/>
  <c r="AH66" i="1"/>
  <c r="AH72" i="1"/>
  <c r="AH91" i="1"/>
  <c r="AH92" i="1"/>
  <c r="AH93" i="1"/>
  <c r="AH103" i="1"/>
  <c r="AH104" i="1"/>
  <c r="AH105" i="1"/>
  <c r="AH110" i="1"/>
  <c r="AH112" i="1"/>
  <c r="AH113" i="1"/>
  <c r="AH126" i="1"/>
  <c r="AH127" i="1"/>
  <c r="AH128" i="1"/>
  <c r="AH133" i="1"/>
  <c r="AH137" i="1"/>
  <c r="AH138" i="1"/>
  <c r="AH139" i="1"/>
  <c r="AH140" i="1"/>
  <c r="AH143" i="1"/>
  <c r="AH144" i="1"/>
  <c r="AH149" i="1"/>
  <c r="AH150" i="1"/>
  <c r="AH151" i="1"/>
  <c r="AH158" i="1"/>
  <c r="AH159" i="1"/>
  <c r="AH160" i="1"/>
  <c r="AH161" i="1"/>
  <c r="AH187" i="1"/>
  <c r="AH196" i="1"/>
  <c r="AH204" i="1"/>
  <c r="AH213" i="1"/>
  <c r="AH16" i="1"/>
  <c r="AH17" i="1"/>
  <c r="AH26" i="1"/>
  <c r="AH27" i="1"/>
  <c r="AH50" i="1"/>
  <c r="AH60" i="1"/>
  <c r="AH73" i="1"/>
  <c r="AH80" i="1"/>
  <c r="AH81" i="1"/>
  <c r="AH85" i="1"/>
  <c r="AH86" i="1"/>
  <c r="AH106" i="1"/>
  <c r="AH114" i="1"/>
  <c r="AH115" i="1"/>
  <c r="AH116" i="1"/>
  <c r="AH117" i="1"/>
  <c r="AH118" i="1"/>
  <c r="AH119" i="1"/>
  <c r="AH120" i="1"/>
  <c r="AH121" i="1"/>
  <c r="AH122" i="1"/>
  <c r="AH123" i="1"/>
  <c r="AH124" i="1"/>
  <c r="AH134" i="1"/>
  <c r="AH145" i="1"/>
  <c r="AH146" i="1"/>
  <c r="AH162" i="1"/>
  <c r="AH165" i="1"/>
  <c r="AH171" i="1"/>
  <c r="AH172" i="1"/>
  <c r="AH198" i="1"/>
  <c r="AH199" i="1"/>
  <c r="AH200" i="1"/>
  <c r="AH205" i="1"/>
  <c r="AH206" i="1"/>
  <c r="AH207" i="1"/>
  <c r="AH221" i="1"/>
  <c r="AH222" i="1"/>
  <c r="AH223" i="1"/>
  <c r="AH224" i="1"/>
  <c r="AH208" i="1"/>
  <c r="AH214" i="1"/>
  <c r="AH216" i="1"/>
  <c r="AH218" i="1"/>
  <c r="AH225" i="1"/>
  <c r="AH183" i="1"/>
  <c r="AH189" i="1"/>
  <c r="AH192" i="1"/>
  <c r="AH220" i="1"/>
  <c r="AH186" i="1"/>
  <c r="AH194" i="1"/>
  <c r="AH203" i="1"/>
  <c r="AH212" i="1"/>
  <c r="AH18" i="1"/>
  <c r="AH21" i="1"/>
  <c r="AH22" i="1"/>
  <c r="AH28" i="1"/>
  <c r="AH29" i="1"/>
  <c r="AH35" i="1"/>
  <c r="AH36" i="1"/>
  <c r="AH37" i="1"/>
  <c r="AH42" i="1"/>
  <c r="AH43" i="1"/>
  <c r="AH44" i="1"/>
  <c r="AH51" i="1"/>
  <c r="AH52" i="1"/>
  <c r="AH53" i="1"/>
  <c r="AH54" i="1"/>
  <c r="AH67" i="1"/>
  <c r="AH68" i="1"/>
  <c r="AH69" i="1"/>
  <c r="AH74" i="1"/>
  <c r="AH75" i="1"/>
  <c r="AH82" i="1"/>
  <c r="AH83" i="1"/>
  <c r="AH87" i="1"/>
  <c r="AH88" i="1"/>
  <c r="AH94" i="1"/>
  <c r="AH95" i="1"/>
  <c r="AH96" i="1"/>
  <c r="AH97" i="1"/>
  <c r="AH98" i="1"/>
  <c r="AH99" i="1"/>
  <c r="AH100" i="1"/>
  <c r="AH111" i="1"/>
  <c r="AH129" i="1"/>
  <c r="AH130" i="1"/>
  <c r="AH131" i="1"/>
  <c r="AH132" i="1"/>
  <c r="AH135" i="1"/>
  <c r="AH136" i="1"/>
  <c r="AH141" i="1"/>
  <c r="AH147" i="1"/>
  <c r="AH152" i="1"/>
  <c r="AH163" i="1"/>
  <c r="AH166" i="1"/>
  <c r="AH167" i="1"/>
  <c r="AH173" i="1"/>
  <c r="AH174" i="1"/>
  <c r="AH188" i="1"/>
  <c r="AH209" i="1"/>
  <c r="AH215" i="1"/>
  <c r="AH217" i="1"/>
  <c r="AH219" i="1"/>
  <c r="AH177" i="1"/>
  <c r="AH185" i="1"/>
  <c r="AH190" i="1"/>
  <c r="AH201" i="1"/>
  <c r="AH170" i="1"/>
  <c r="AH193" i="1"/>
  <c r="AH197" i="1"/>
  <c r="AH210" i="1"/>
  <c r="AH23" i="1"/>
  <c r="AH61" i="1"/>
  <c r="AH62" i="1"/>
  <c r="AH63" i="1"/>
  <c r="AH70" i="1"/>
  <c r="AH71" i="1"/>
  <c r="AH76" i="1"/>
  <c r="AH77" i="1"/>
  <c r="AH78" i="1"/>
  <c r="AH79" i="1"/>
  <c r="AH84" i="1"/>
  <c r="AH89" i="1"/>
  <c r="AH90" i="1"/>
  <c r="AH101" i="1"/>
  <c r="AH102" i="1"/>
  <c r="AH107" i="1"/>
  <c r="AH108" i="1"/>
  <c r="AH109" i="1"/>
  <c r="AH125" i="1"/>
  <c r="AH142" i="1"/>
  <c r="AH148" i="1"/>
  <c r="AH153" i="1"/>
  <c r="AH154" i="1"/>
  <c r="AH155" i="1"/>
  <c r="AH156" i="1"/>
  <c r="AH157" i="1"/>
  <c r="AH164" i="1"/>
  <c r="AH168" i="1"/>
  <c r="AH169" i="1"/>
  <c r="AH175" i="1"/>
  <c r="AH176" i="1"/>
  <c r="AH184" i="1"/>
  <c r="AH191" i="1"/>
  <c r="AH202" i="1"/>
  <c r="AH195" i="1"/>
  <c r="AH211" i="1"/>
  <c r="J7" i="1"/>
  <c r="AI13" i="1"/>
  <c r="AH13" i="1"/>
  <c r="W13" i="1"/>
  <c r="U13" i="1"/>
  <c r="S13" i="1" s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V5" i="1" l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36" i="4" l="1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3" i="6" s="1"/>
  <c r="G162" i="4"/>
  <c r="H3" i="6" s="1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<sst xmlns="http://schemas.openxmlformats.org/spreadsheetml/2006/main" count="2303" uniqueCount="754">
  <si>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</si>
  <si>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</si>
  <si>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</si>
  <si>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</si>
  <si>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</si>
  <si>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</si>
  <si>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</si>
  <si>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</si>
  <si>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</si>
  <si>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</si>
  <si>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</si>
  <si>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</si>
  <si>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</si>
  <si>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</si>
  <si>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</si>
  <si>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</si>
  <si>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</si>
  <si>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</si>
  <si>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</si>
  <si>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</si>
  <si>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</si>
  <si>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</si>
  <si>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</si>
  <si>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</si>
  <si>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</si>
  <si>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</si>
  <si>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</si>
  <si>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</si>
  <si>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</si>
  <si>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</si>
  <si>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</si>
  <si>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</si>
  <si>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</si>
  <si>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</si>
  <si>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</si>
  <si>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</si>
  <si>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</si>
  <si>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</si>
  <si>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</si>
  <si>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</si>
  <si>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</si>
  <si>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</si>
  <si>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</si>
  <si>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</si>
  <si>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</si>
  <si>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</si>
  <si>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</si>
  <si>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</si>
  <si>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</si>
  <si>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</si>
  <si>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</si>
  <si>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</si>
  <si>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</si>
  <si>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</si>
  <si>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</si>
  <si>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</si>
  <si>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</si>
  <si>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</si>
  <si>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</si>
  <si>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</si>
  <si>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</si>
  <si>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</si>
  <si>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</si>
  <si>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</si>
  <si>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</si>
  <si>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</si>
  <si>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</si>
  <si>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</si>
  <si>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</si>
  <si>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</si>
  <si>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</si>
  <si>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</si>
  <si>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</si>
  <si>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</si>
  <si>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</si>
  <si>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</si>
  <si>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</si>
  <si>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</si>
  <si>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</si>
  <si>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</si>
  <si>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</si>
  <si>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</si>
  <si>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</si>
  <si>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</si>
  <si>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</si>
  <si>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</si>
  <si>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</si>
  <si>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</si>
  <si>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</si>
  <si>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</si>
  <si>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</si>
  <si>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</si>
  <si>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</si>
  <si>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</si>
  <si>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</si>
  <si>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</si>
  <si>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</si>
  <si>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</si>
  <si>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</si>
  <si>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</si>
  <si>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</si>
  <si>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</si>
  <si>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</si>
  <si>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</si>
  <si>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</si>
  <si>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</si>
  <si>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</si>
  <si>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</si>
  <si>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</si>
  <si>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</si>
  <si>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</si>
  <si>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</si>
  <si>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</si>
  <si>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</si>
  <si>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</si>
  <si>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</si>
  <si>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</si>
  <si>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</si>
  <si>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</si>
  <si>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</si>
  <si>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</si>
  <si>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</si>
  <si>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>STAMBAUGH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</si>
  <si>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</si>
  <si>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</si>
  <si>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</si>
  <si>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</si>
  <si>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</si>
  <si>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</si>
  <si>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</si>
  <si>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</si>
  <si>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</si>
  <si>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</si>
  <si>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</si>
  <si>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</si>
  <si>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</si>
  <si>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</si>
  <si>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</si>
  <si>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</si>
  <si>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</si>
  <si>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</si>
  <si>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</si>
  <si>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</si>
  <si>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</si>
  <si>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</si>
  <si>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</si>
  <si>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</si>
  <si>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</si>
  <si>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</si>
  <si>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</si>
  <si>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</si>
  <si>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</si>
  <si>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</si>
  <si>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</si>
  <si>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</si>
  <si>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</si>
  <si>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</si>
  <si>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</si>
  <si>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</si>
  <si>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</si>
  <si>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</si>
  <si>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rtdc.l.rtdc.4019:itc</t>
  </si>
  <si>
    <t>rtdc.l.rtdc.4020:itc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</si>
  <si>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</si>
  <si>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</si>
  <si>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</si>
  <si>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</si>
  <si>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</si>
  <si>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</si>
  <si>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</si>
  <si>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</si>
  <si>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</si>
  <si>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</si>
  <si>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</si>
  <si>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</si>
  <si>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</si>
  <si>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</si>
  <si>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</si>
  <si>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240-07</t>
  </si>
  <si>
    <t>311-07</t>
  </si>
  <si>
    <t>244-07</t>
  </si>
  <si>
    <t>313-07</t>
  </si>
  <si>
    <t>315-07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</si>
  <si>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</si>
  <si>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</si>
  <si>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</si>
  <si>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</si>
  <si>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</si>
  <si>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</si>
  <si>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</si>
  <si>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</si>
  <si>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</si>
  <si>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</si>
  <si>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</si>
  <si>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</si>
  <si>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</si>
  <si>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</si>
  <si>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</si>
  <si>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</si>
  <si>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</si>
  <si>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</si>
  <si>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204:163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</si>
  <si>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</si>
  <si>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</si>
  <si>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</si>
  <si>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</si>
  <si>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</si>
  <si>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</si>
  <si>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</si>
  <si>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</si>
  <si>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204:447</t>
  </si>
  <si>
    <t>204:466</t>
  </si>
  <si>
    <t>204:451</t>
  </si>
  <si>
    <t>204:455</t>
  </si>
  <si>
    <t>204:458</t>
  </si>
  <si>
    <t>204:467</t>
  </si>
  <si>
    <t>204:460</t>
  </si>
  <si>
    <t>human_readable_time</t>
  </si>
  <si>
    <t>204:138</t>
  </si>
  <si>
    <t>204:462</t>
  </si>
  <si>
    <t>rtdc.l.rtdc.4044:itc</t>
  </si>
  <si>
    <t>rtdc.l.rtdc.4043:itc</t>
  </si>
  <si>
    <t>Loco - PTC</t>
  </si>
  <si>
    <t>Power</t>
  </si>
  <si>
    <t>204:233297</t>
  </si>
  <si>
    <t>YANAI</t>
  </si>
  <si>
    <t>204:156</t>
  </si>
  <si>
    <t>rtdc.l.rtdc.4012:itc</t>
  </si>
  <si>
    <t>204:233314</t>
  </si>
  <si>
    <t>CLI Grep</t>
  </si>
  <si>
    <t>204:233295</t>
  </si>
  <si>
    <t>204:145</t>
  </si>
  <si>
    <t>204:233000</t>
  </si>
  <si>
    <t>204:141</t>
  </si>
  <si>
    <t>204:233312</t>
  </si>
  <si>
    <t>Early arrival</t>
  </si>
  <si>
    <t>rtdc.l.rtdc.4014:itc</t>
  </si>
  <si>
    <t>HELVIE</t>
  </si>
  <si>
    <t>204:232998</t>
  </si>
  <si>
    <t>204:446</t>
  </si>
  <si>
    <t>204:233300</t>
  </si>
  <si>
    <t>Time (US/Mountain)</t>
  </si>
  <si>
    <t>Source</t>
  </si>
  <si>
    <t>Employee Identifier</t>
  </si>
  <si>
    <t>Employee Last Name</t>
  </si>
  <si>
    <t>204:464</t>
  </si>
  <si>
    <t>204:232973</t>
  </si>
  <si>
    <t>rtdc.l.rtdc.4029:itc</t>
  </si>
  <si>
    <t>rtdc.l.rtdc.4030:itc</t>
  </si>
  <si>
    <t>204:143</t>
  </si>
  <si>
    <t>204:232977</t>
  </si>
  <si>
    <t>204:438</t>
  </si>
  <si>
    <t>clear-night</t>
  </si>
  <si>
    <t>Clear</t>
  </si>
  <si>
    <t>rtdc.l.rtdc.4017:itc</t>
  </si>
  <si>
    <t>rtdc.l.rtdc.4018:itc</t>
  </si>
  <si>
    <t>BONDS</t>
  </si>
  <si>
    <t>204:233301</t>
  </si>
  <si>
    <t>204:232979</t>
  </si>
  <si>
    <t>204:473</t>
  </si>
  <si>
    <t>204:233305</t>
  </si>
  <si>
    <t>Reactive Warning (1)</t>
  </si>
  <si>
    <t>204:233289</t>
  </si>
  <si>
    <t>204:233315</t>
  </si>
  <si>
    <t>204:444</t>
  </si>
  <si>
    <t>300:23302</t>
  </si>
  <si>
    <t>300:23306</t>
  </si>
  <si>
    <t>YOUNG</t>
  </si>
  <si>
    <t>LEVERE</t>
  </si>
  <si>
    <t>204:233323</t>
  </si>
  <si>
    <t>204:233293</t>
  </si>
  <si>
    <t>204:233307</t>
  </si>
  <si>
    <t>204:232993</t>
  </si>
  <si>
    <t>204:232981</t>
  </si>
  <si>
    <t>204:167</t>
  </si>
  <si>
    <t>204:232983</t>
  </si>
  <si>
    <t>204:172</t>
  </si>
  <si>
    <t>204:232965</t>
  </si>
  <si>
    <t>300:58609</t>
  </si>
  <si>
    <t>rtdc.l.rtdc.4045:itc</t>
  </si>
  <si>
    <t>rtdc.l.rtdc.4013:itc</t>
  </si>
  <si>
    <t>SPECTOR</t>
  </si>
  <si>
    <t>BEAM</t>
  </si>
  <si>
    <t>ROCHA</t>
  </si>
  <si>
    <t>GRASTON</t>
  </si>
  <si>
    <t>STORY</t>
  </si>
  <si>
    <t>rtdc.l.rtdc.4021:itc</t>
  </si>
  <si>
    <t>rtdc.l.rtdc.4005:itc</t>
  </si>
  <si>
    <t>rtdc.l.rtdc.4022:itc</t>
  </si>
  <si>
    <t>rtdc.l.rtdc.4006:itc</t>
  </si>
  <si>
    <t>204:233288</t>
  </si>
  <si>
    <t>204:233310</t>
  </si>
  <si>
    <t>204:431</t>
  </si>
  <si>
    <t>204:232988</t>
  </si>
  <si>
    <t>204:233282</t>
  </si>
  <si>
    <t>204:232991</t>
  </si>
  <si>
    <t>204:233309</t>
  </si>
  <si>
    <t>204:233317</t>
  </si>
  <si>
    <t>204:232963</t>
  </si>
  <si>
    <t>204:435</t>
  </si>
  <si>
    <t>204:440</t>
  </si>
  <si>
    <t>204:722</t>
  </si>
  <si>
    <t>204:1000</t>
  </si>
  <si>
    <t>300:58933</t>
  </si>
  <si>
    <t>204:680</t>
  </si>
  <si>
    <t>:.+((SYSTEM_STATE.+slice.+state.+changed )|(ment ac)|(system.+state.+changed )|(\[timeout)|(PRM\|1\|D)|(kpr)|(kdp)|(\|lc)|(penalty))</t>
  </si>
  <si>
    <t>Onboard in-route failure</t>
  </si>
  <si>
    <t>partly-cloudy-day</t>
  </si>
  <si>
    <t>Partly Cloudy</t>
  </si>
  <si>
    <t>rtdc.l.rtdc.4040:itc</t>
  </si>
  <si>
    <t>MAELZER</t>
  </si>
  <si>
    <t>rtdc.l.rtdc.4001:itc</t>
  </si>
  <si>
    <t>STRICKLAND</t>
  </si>
  <si>
    <t>rtdc.l.rtdc.4002:itc</t>
  </si>
  <si>
    <t>rtdc.l.rtdc.4039:itc</t>
  </si>
  <si>
    <t>MOSES</t>
  </si>
  <si>
    <t>STURGEON</t>
  </si>
  <si>
    <t>242-28</t>
  </si>
  <si>
    <t>311-28</t>
  </si>
  <si>
    <t>244-28</t>
  </si>
  <si>
    <t>313-28</t>
  </si>
  <si>
    <t>315-28</t>
  </si>
  <si>
    <t>204:201</t>
  </si>
  <si>
    <t>204:763</t>
  </si>
  <si>
    <t>204:233302</t>
  </si>
  <si>
    <t>204:427</t>
  </si>
  <si>
    <t>204:232984</t>
  </si>
  <si>
    <t>204:233304</t>
  </si>
  <si>
    <t>204:433</t>
  </si>
  <si>
    <t>204:132</t>
  </si>
  <si>
    <t>204:232982</t>
  </si>
  <si>
    <t>204:139</t>
  </si>
  <si>
    <t>204:233319</t>
  </si>
  <si>
    <t>204:233299</t>
  </si>
  <si>
    <t>204:232959</t>
  </si>
  <si>
    <t>204:232978</t>
  </si>
  <si>
    <t>204:232968</t>
  </si>
  <si>
    <t>204:233328</t>
  </si>
  <si>
    <t>204:233298</t>
  </si>
  <si>
    <t>204:232986</t>
  </si>
  <si>
    <t>204:161</t>
  </si>
  <si>
    <t>204:232990</t>
  </si>
  <si>
    <t>204:477</t>
  </si>
  <si>
    <t>204:437</t>
  </si>
  <si>
    <t>204:475</t>
  </si>
  <si>
    <t>204:233019</t>
  </si>
  <si>
    <t>204:442</t>
  </si>
  <si>
    <t>300:23301</t>
  </si>
  <si>
    <t>204:713</t>
  </si>
  <si>
    <t>204:993</t>
  </si>
  <si>
    <t>204:706</t>
  </si>
  <si>
    <t>300:58687</t>
  </si>
  <si>
    <t>300:58630</t>
  </si>
  <si>
    <t>300:58988</t>
  </si>
  <si>
    <t>204:1011</t>
  </si>
  <si>
    <t>300:58683</t>
  </si>
  <si>
    <t>300:58688</t>
  </si>
  <si>
    <t>300:58641</t>
  </si>
  <si>
    <t>300:58662</t>
  </si>
  <si>
    <t>204:689</t>
  </si>
  <si>
    <t>300:58997</t>
  </si>
  <si>
    <t>s3://rtdc.mdm.uploadarchive.raw</t>
  </si>
  <si>
    <t>40th 4S STOP, cleared afterward</t>
  </si>
  <si>
    <t>Y</t>
  </si>
  <si>
    <t>MP 1.5777 is 40th &amp; Fox PED XING. According to Customer, this XING shouldn't be warning/enforcing?</t>
  </si>
  <si>
    <t>101-29</t>
  </si>
  <si>
    <t>103-29</t>
  </si>
  <si>
    <t>102-29</t>
  </si>
  <si>
    <t>105-29</t>
  </si>
  <si>
    <t>MALAVE</t>
  </si>
  <si>
    <t>107-29</t>
  </si>
  <si>
    <t>310-29</t>
  </si>
  <si>
    <t>104-29</t>
  </si>
  <si>
    <t>109-29</t>
  </si>
  <si>
    <t>111-29</t>
  </si>
  <si>
    <t>800-29</t>
  </si>
  <si>
    <t>YORK</t>
  </si>
  <si>
    <t>106-29</t>
  </si>
  <si>
    <t>113-29</t>
  </si>
  <si>
    <t>108-29</t>
  </si>
  <si>
    <t>115-29</t>
  </si>
  <si>
    <t>BRANNON</t>
  </si>
  <si>
    <t>rtdc.l.rtdc.4011:itc</t>
  </si>
  <si>
    <t>801-29</t>
  </si>
  <si>
    <t>110-29</t>
  </si>
  <si>
    <t>117-29</t>
  </si>
  <si>
    <t>112-29</t>
  </si>
  <si>
    <t>119-29</t>
  </si>
  <si>
    <t>114-29</t>
  </si>
  <si>
    <t>802-29</t>
  </si>
  <si>
    <t>803-29</t>
  </si>
  <si>
    <t>GEBRETEKLE</t>
  </si>
  <si>
    <t>116-29</t>
  </si>
  <si>
    <t>121-29</t>
  </si>
  <si>
    <t>123-29</t>
  </si>
  <si>
    <t>805-29</t>
  </si>
  <si>
    <t>118-29</t>
  </si>
  <si>
    <t>804-29</t>
  </si>
  <si>
    <t>125-29</t>
  </si>
  <si>
    <t>120-29</t>
  </si>
  <si>
    <t>127-29</t>
  </si>
  <si>
    <t>122-29</t>
  </si>
  <si>
    <t>806-29</t>
  </si>
  <si>
    <t>129-29</t>
  </si>
  <si>
    <t>807-29</t>
  </si>
  <si>
    <t>124-29</t>
  </si>
  <si>
    <t>809-29</t>
  </si>
  <si>
    <t>131-29</t>
  </si>
  <si>
    <t>126-29</t>
  </si>
  <si>
    <t>808-29</t>
  </si>
  <si>
    <t>133-29</t>
  </si>
  <si>
    <t>128-29</t>
  </si>
  <si>
    <t>135-29</t>
  </si>
  <si>
    <t>810-29</t>
  </si>
  <si>
    <t>130-29</t>
  </si>
  <si>
    <t>137-29</t>
  </si>
  <si>
    <t>811-29</t>
  </si>
  <si>
    <t>SNYDER</t>
  </si>
  <si>
    <t>132-29</t>
  </si>
  <si>
    <t>139-29</t>
  </si>
  <si>
    <t>903-29</t>
  </si>
  <si>
    <t>134-29</t>
  </si>
  <si>
    <t>812-29</t>
  </si>
  <si>
    <t>141-29</t>
  </si>
  <si>
    <t>136-29</t>
  </si>
  <si>
    <t>143-29</t>
  </si>
  <si>
    <t>138-29</t>
  </si>
  <si>
    <t>145-29</t>
  </si>
  <si>
    <t>813-29</t>
  </si>
  <si>
    <t>140-29</t>
  </si>
  <si>
    <t>147-29</t>
  </si>
  <si>
    <t>142-29</t>
  </si>
  <si>
    <t>814-29</t>
  </si>
  <si>
    <t>149-29</t>
  </si>
  <si>
    <t>144-29</t>
  </si>
  <si>
    <t>151-29</t>
  </si>
  <si>
    <t>146-29</t>
  </si>
  <si>
    <t>153-29</t>
  </si>
  <si>
    <t>815-29</t>
  </si>
  <si>
    <t>148-29</t>
  </si>
  <si>
    <t>155-29</t>
  </si>
  <si>
    <t>50-29</t>
  </si>
  <si>
    <t>ISHMAEL</t>
  </si>
  <si>
    <t>150-29</t>
  </si>
  <si>
    <t>816-29</t>
  </si>
  <si>
    <t>157-29</t>
  </si>
  <si>
    <t>152-29</t>
  </si>
  <si>
    <t>159-29</t>
  </si>
  <si>
    <t>154-29</t>
  </si>
  <si>
    <t>52-29</t>
  </si>
  <si>
    <t>NEWELL</t>
  </si>
  <si>
    <t>156-29</t>
  </si>
  <si>
    <t>161-29</t>
  </si>
  <si>
    <t>SHOOK</t>
  </si>
  <si>
    <t>55-29</t>
  </si>
  <si>
    <t>817-29</t>
  </si>
  <si>
    <t>163-29</t>
  </si>
  <si>
    <t>158-29</t>
  </si>
  <si>
    <t>818-29</t>
  </si>
  <si>
    <t>165-29</t>
  </si>
  <si>
    <t>53-29</t>
  </si>
  <si>
    <t>160-29</t>
  </si>
  <si>
    <t>167-29</t>
  </si>
  <si>
    <t>162-29</t>
  </si>
  <si>
    <t>169-29</t>
  </si>
  <si>
    <t>OUN</t>
  </si>
  <si>
    <t>819-29</t>
  </si>
  <si>
    <t>164-29</t>
  </si>
  <si>
    <t>166-29</t>
  </si>
  <si>
    <t>171-29</t>
  </si>
  <si>
    <t>MATTHEWS</t>
  </si>
  <si>
    <t>820-29</t>
  </si>
  <si>
    <t>173-29</t>
  </si>
  <si>
    <t>168-29</t>
  </si>
  <si>
    <t>175-29</t>
  </si>
  <si>
    <t>170-29</t>
  </si>
  <si>
    <t>177-29</t>
  </si>
  <si>
    <t>821-29</t>
  </si>
  <si>
    <t>172-29</t>
  </si>
  <si>
    <t>179-29</t>
  </si>
  <si>
    <t>174-29</t>
  </si>
  <si>
    <t>822-29</t>
  </si>
  <si>
    <t>181-29</t>
  </si>
  <si>
    <t>176-29</t>
  </si>
  <si>
    <t>54-29</t>
  </si>
  <si>
    <t>POLLOCK</t>
  </si>
  <si>
    <t>183-29</t>
  </si>
  <si>
    <t>178-29</t>
  </si>
  <si>
    <t>823-29</t>
  </si>
  <si>
    <t>180-29</t>
  </si>
  <si>
    <t>185-29</t>
  </si>
  <si>
    <t>187-29</t>
  </si>
  <si>
    <t>182-29</t>
  </si>
  <si>
    <t>824-29</t>
  </si>
  <si>
    <t>189-29</t>
  </si>
  <si>
    <t>184-29</t>
  </si>
  <si>
    <t>191-29</t>
  </si>
  <si>
    <t>186-29</t>
  </si>
  <si>
    <t>193-29</t>
  </si>
  <si>
    <t>825-29</t>
  </si>
  <si>
    <t>904-29</t>
  </si>
  <si>
    <t>BROWN</t>
  </si>
  <si>
    <t>188-29</t>
  </si>
  <si>
    <t>56-29</t>
  </si>
  <si>
    <t>195-29</t>
  </si>
  <si>
    <t>827-29</t>
  </si>
  <si>
    <t>190-29</t>
  </si>
  <si>
    <t>826-29</t>
  </si>
  <si>
    <t>197-29</t>
  </si>
  <si>
    <t>57-29</t>
  </si>
  <si>
    <t>192-29</t>
  </si>
  <si>
    <t>194-29</t>
  </si>
  <si>
    <t>199-29</t>
  </si>
  <si>
    <t>828-29</t>
  </si>
  <si>
    <t>201-29</t>
  </si>
  <si>
    <t>829-29</t>
  </si>
  <si>
    <t>196-29</t>
  </si>
  <si>
    <t>203-29</t>
  </si>
  <si>
    <t>198-29</t>
  </si>
  <si>
    <t>830-29</t>
  </si>
  <si>
    <t>831-29</t>
  </si>
  <si>
    <t>205-29</t>
  </si>
  <si>
    <t>200-29</t>
  </si>
  <si>
    <t>207-29</t>
  </si>
  <si>
    <t>202-29</t>
  </si>
  <si>
    <t>66-29</t>
  </si>
  <si>
    <t>63-29</t>
  </si>
  <si>
    <t>209-29</t>
  </si>
  <si>
    <t>833-29</t>
  </si>
  <si>
    <t>832-29</t>
  </si>
  <si>
    <t>204-29</t>
  </si>
  <si>
    <t>211-29</t>
  </si>
  <si>
    <t>60-29</t>
  </si>
  <si>
    <t>SMITH</t>
  </si>
  <si>
    <t>206-29</t>
  </si>
  <si>
    <t>834-29</t>
  </si>
  <si>
    <t>208-29</t>
  </si>
  <si>
    <t>213-29</t>
  </si>
  <si>
    <t>835-29</t>
  </si>
  <si>
    <t>215-29</t>
  </si>
  <si>
    <t>62-29</t>
  </si>
  <si>
    <t>OSULLIVAN</t>
  </si>
  <si>
    <t>837-29</t>
  </si>
  <si>
    <t>210-29</t>
  </si>
  <si>
    <t>836-29</t>
  </si>
  <si>
    <t>217-29</t>
  </si>
  <si>
    <t>212-29</t>
  </si>
  <si>
    <t>219-29</t>
  </si>
  <si>
    <t>214-29</t>
  </si>
  <si>
    <t>838-29</t>
  </si>
  <si>
    <t>839-29</t>
  </si>
  <si>
    <t>303-29</t>
  </si>
  <si>
    <t>216-29</t>
  </si>
  <si>
    <t>221-29</t>
  </si>
  <si>
    <t>906-29</t>
  </si>
  <si>
    <t>218-29</t>
  </si>
  <si>
    <t>841-29</t>
  </si>
  <si>
    <t>220-29</t>
  </si>
  <si>
    <t>223-29</t>
  </si>
  <si>
    <t>840-29</t>
  </si>
  <si>
    <t>307-29</t>
  </si>
  <si>
    <t>222-29</t>
  </si>
  <si>
    <t>225-29</t>
  </si>
  <si>
    <t>227-29</t>
  </si>
  <si>
    <t>843-29</t>
  </si>
  <si>
    <t>224-29</t>
  </si>
  <si>
    <t>842-29</t>
  </si>
  <si>
    <t>226-29</t>
  </si>
  <si>
    <t>229-29</t>
  </si>
  <si>
    <t>845-29</t>
  </si>
  <si>
    <t>228-29</t>
  </si>
  <si>
    <t>231-29</t>
  </si>
  <si>
    <t>844-29</t>
  </si>
  <si>
    <t>230-29</t>
  </si>
  <si>
    <t>233-29</t>
  </si>
  <si>
    <t>847-29</t>
  </si>
  <si>
    <t>235-29</t>
  </si>
  <si>
    <t>232-29</t>
  </si>
  <si>
    <t>908-29</t>
  </si>
  <si>
    <t>237-29</t>
  </si>
  <si>
    <t>234-29</t>
  </si>
  <si>
    <t>236-29</t>
  </si>
  <si>
    <t>239-29</t>
  </si>
  <si>
    <t>238-29</t>
  </si>
  <si>
    <t>241-29</t>
  </si>
  <si>
    <t>243-29</t>
  </si>
  <si>
    <t>240-29</t>
  </si>
  <si>
    <t>309-29</t>
  </si>
  <si>
    <t>242-29</t>
  </si>
  <si>
    <t>311-29</t>
  </si>
  <si>
    <t>244-29</t>
  </si>
  <si>
    <t>313-29</t>
  </si>
  <si>
    <t>partly-cloudy-night</t>
  </si>
  <si>
    <t>Mostly Cloudy</t>
  </si>
  <si>
    <t>Summary for DUS 2016-09-29: Partly cloudy starting overnight, continuing until evening.</t>
  </si>
  <si>
    <t>204:701</t>
  </si>
  <si>
    <t>204:232689</t>
  </si>
  <si>
    <t>204:211</t>
  </si>
  <si>
    <t>204:232652</t>
  </si>
  <si>
    <t>204:748</t>
  </si>
  <si>
    <t>204:232668</t>
  </si>
  <si>
    <t>204:170</t>
  </si>
  <si>
    <t>204:449</t>
  </si>
  <si>
    <t>204:232980</t>
  </si>
  <si>
    <t>204:123</t>
  </si>
  <si>
    <t>204:232994</t>
  </si>
  <si>
    <t>204:223</t>
  </si>
  <si>
    <t>204:757</t>
  </si>
  <si>
    <t>204:233284</t>
  </si>
  <si>
    <t>204:233212</t>
  </si>
  <si>
    <t>204:232809</t>
  </si>
  <si>
    <t>204:535</t>
  </si>
  <si>
    <t>204:233316</t>
  </si>
  <si>
    <t>204:127</t>
  </si>
  <si>
    <t>204:232985</t>
  </si>
  <si>
    <t>204:233349</t>
  </si>
  <si>
    <t>204:233021</t>
  </si>
  <si>
    <t>204:130</t>
  </si>
  <si>
    <t>204:232996</t>
  </si>
  <si>
    <t>204:233179</t>
  </si>
  <si>
    <t>204:1171</t>
  </si>
  <si>
    <t>204:233263</t>
  </si>
  <si>
    <t>204:233047</t>
  </si>
  <si>
    <t>204:194235</t>
  </si>
  <si>
    <t>204:513</t>
  </si>
  <si>
    <t>204:194</t>
  </si>
  <si>
    <t>204:746</t>
  </si>
  <si>
    <t>204:232923</t>
  </si>
  <si>
    <t>204:107</t>
  </si>
  <si>
    <t>204:484</t>
  </si>
  <si>
    <t>204:233053</t>
  </si>
  <si>
    <t>204:232745</t>
  </si>
  <si>
    <t>204:233360</t>
  </si>
  <si>
    <t>204:233334</t>
  </si>
  <si>
    <t>204:478</t>
  </si>
  <si>
    <t>204:174</t>
  </si>
  <si>
    <t>204:180</t>
  </si>
  <si>
    <t>204:393</t>
  </si>
  <si>
    <t>204:233331</t>
  </si>
  <si>
    <t>204:191</t>
  </si>
  <si>
    <t>204:233329</t>
  </si>
  <si>
    <t>204:233017</t>
  </si>
  <si>
    <t>204:232976</t>
  </si>
  <si>
    <t>204:511</t>
  </si>
  <si>
    <t>204:233338</t>
  </si>
  <si>
    <t>204:233015</t>
  </si>
  <si>
    <t>204:233285</t>
  </si>
  <si>
    <t>204:232970</t>
  </si>
  <si>
    <t>204:127860</t>
  </si>
  <si>
    <t>204:233344</t>
  </si>
  <si>
    <t>204:233010</t>
  </si>
  <si>
    <t>204:165</t>
  </si>
  <si>
    <t>300:22958</t>
  </si>
  <si>
    <t>300:23312</t>
  </si>
  <si>
    <t>300:22837</t>
  </si>
  <si>
    <t>204:488</t>
  </si>
  <si>
    <t>300:24684</t>
  </si>
  <si>
    <t>300:24182</t>
  </si>
  <si>
    <t>300:23202</t>
  </si>
  <si>
    <t>204:893</t>
  </si>
  <si>
    <t>300:23308</t>
  </si>
  <si>
    <t>204:1277</t>
  </si>
  <si>
    <t>204:233374</t>
  </si>
  <si>
    <t>204:155</t>
  </si>
  <si>
    <t>300:22713</t>
  </si>
  <si>
    <t>300:17161</t>
  </si>
  <si>
    <t>300:5284</t>
  </si>
  <si>
    <t>204:233266</t>
  </si>
  <si>
    <t>204:690</t>
  </si>
  <si>
    <t>300:23304</t>
  </si>
  <si>
    <t>300:23349</t>
  </si>
  <si>
    <t>204:917</t>
  </si>
  <si>
    <t>204:1471</t>
  </si>
  <si>
    <t>204:1849</t>
  </si>
  <si>
    <t>204:233074</t>
  </si>
  <si>
    <t>204:1118</t>
  </si>
  <si>
    <t>204:1447</t>
  </si>
  <si>
    <t>300:58613</t>
  </si>
  <si>
    <t>204:764</t>
  </si>
  <si>
    <t>204:1060</t>
  </si>
  <si>
    <t>300:58928</t>
  </si>
  <si>
    <t>204:771</t>
  </si>
  <si>
    <t>204:390</t>
  </si>
  <si>
    <t>300:58666</t>
  </si>
  <si>
    <t>204:708</t>
  </si>
  <si>
    <t>204:1053</t>
  </si>
  <si>
    <t>300:58935</t>
  </si>
  <si>
    <t>300:58608</t>
  </si>
  <si>
    <t>204:783</t>
  </si>
  <si>
    <t>300:58681</t>
  </si>
  <si>
    <t>204:720</t>
  </si>
  <si>
    <t>300:58941</t>
  </si>
  <si>
    <t>300:58626</t>
  </si>
  <si>
    <t>204:782</t>
  </si>
  <si>
    <t>300:58950</t>
  </si>
  <si>
    <t>300:6648</t>
  </si>
  <si>
    <t>300:58632</t>
  </si>
  <si>
    <t>300:59005</t>
  </si>
  <si>
    <t>204:685</t>
  </si>
  <si>
    <t>204:971</t>
  </si>
  <si>
    <t>300:58990</t>
  </si>
  <si>
    <t>300:58679</t>
  </si>
  <si>
    <t>204:978</t>
  </si>
  <si>
    <t>300:58980</t>
  </si>
  <si>
    <t>204:981</t>
  </si>
  <si>
    <t>204:652</t>
  </si>
  <si>
    <t>204:1027</t>
  </si>
  <si>
    <t>300:58624</t>
  </si>
  <si>
    <t>204:736</t>
  </si>
  <si>
    <t>204:983</t>
  </si>
  <si>
    <t>204:743</t>
  </si>
  <si>
    <t>204:1025</t>
  </si>
  <si>
    <t>300:15581</t>
  </si>
  <si>
    <t>300:58952</t>
  </si>
  <si>
    <t>300:58636</t>
  </si>
  <si>
    <t>204:755</t>
  </si>
  <si>
    <t>204:1023</t>
  </si>
  <si>
    <t>300:58956</t>
  </si>
  <si>
    <t>300:58645</t>
  </si>
  <si>
    <t>204:731</t>
  </si>
  <si>
    <t>204:1039</t>
  </si>
  <si>
    <t>300:58628</t>
  </si>
  <si>
    <t>204:1028</t>
  </si>
  <si>
    <t>300:58984</t>
  </si>
  <si>
    <t>204:1051</t>
  </si>
  <si>
    <t>300:59010</t>
  </si>
  <si>
    <t>204:1044</t>
  </si>
  <si>
    <t>300:58954</t>
  </si>
  <si>
    <t>300:24282</t>
  </si>
  <si>
    <t>300:23275</t>
  </si>
  <si>
    <t>300:21782</t>
  </si>
  <si>
    <t>204:232945</t>
  </si>
  <si>
    <t>204:233368</t>
  </si>
  <si>
    <t>204:233038</t>
  </si>
  <si>
    <t>204:232849</t>
  </si>
  <si>
    <t>204:233321</t>
  </si>
  <si>
    <t>204:233353</t>
  </si>
  <si>
    <t>300:58944</t>
  </si>
  <si>
    <t>204:885</t>
  </si>
  <si>
    <t>204:1175</t>
  </si>
  <si>
    <t>300:58948</t>
  </si>
  <si>
    <t>204:738</t>
  </si>
  <si>
    <t>Onboard in-route failure, but recovered and re-initialized</t>
  </si>
  <si>
    <t>Triplex issue - CPU primary changed at 07:37:32.472. Caused init to fail. After re-initing, system went failed around 07:39:45. SYS :2016/09/29 13:37:32.472:SYSTEM_STATE:slice state changed [SECONDARY]-&gt;[PRIMARY]</t>
  </si>
  <si>
    <t>Wi-MAX outage</t>
  </si>
  <si>
    <t>5 minute outage: 4042,0:05:31.680104,2016-09-29 12:09:22.269381-06:00</t>
  </si>
  <si>
    <t>Init'd around 15:55:39, at 15:56:44 received a ton of triplex faults. Tried re-initing at 16:06:33, hit with a bunch of faults again at 16:10:11. Finally was able to re-initialize at 16:17:00 and go their way</t>
  </si>
  <si>
    <t>Bad TRACK OOS bulletin - specifying MAIN 2 in area with only 1 track (11.07 - 12.65)</t>
  </si>
  <si>
    <t>A bad Track OOS bulletin was issued to trip 238-29, causing a sync error state. Seems like it was voided after it was discovered to be causing issues. Was this dispatcher error or a TMDS data issue?</t>
  </si>
  <si>
    <t>Initialized twice, doesn't seem like for any reason</t>
  </si>
  <si>
    <t>At 16:42:17, multiple CPU faults</t>
  </si>
  <si>
    <t>Form C</t>
  </si>
  <si>
    <t>Went active too close to signal</t>
  </si>
  <si>
    <t>Pena 4S STOP, cleared afterward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</si>
</sst>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9"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2"/>
  <sheetViews>
    <sheetView tabSelected="1" topLeftCell="A81" workbookViewId="0">
      <selection activeCell="B105" sqref="B105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710937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42642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42642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COUNTIFS($N$13:$N$9385,"&gt;0",$AG$13:$AG$9385,I1)</f>
        <v>140</v>
      </c>
      <c r="K5" s="46"/>
      <c r="L5" s="46"/>
      <c r="M5" s="47">
        <f>AVERAGEIFS($N$13:$N$9385,$AG$13:$AG$9385,I1)</f>
        <v>39.859404762583189</v>
      </c>
      <c r="N5" s="45">
        <f t="array" ref="N5">MIN(IF($AG$13:$AG$9385=I1,IF(ISNUMBER($N$13:$N$9385),IF($N$13:$N$9385&gt;0,$N$13:$N$9385))))</f>
        <v>34.499999997206032</v>
      </c>
      <c r="O5" s="3">
        <f t="array" ref="O5">MAX(IF($AG$13:$AG$9385=I1,IF(ISNUMBER($N$13:$N$9385),IF($N$13:$N$9385&gt;0,$N$13:$N$9385))))</f>
        <v>48.299999996088445</v>
      </c>
      <c r="P5" s="2"/>
      <c r="R5" s="83" t="s">
        <v>17</v>
      </c>
      <c r="S5" s="57">
        <f>COUNTIFS($N$13:$N$9385,"&gt;0",$AG$13:$AG$9385,R1)</f>
        <v>46</v>
      </c>
      <c r="T5" s="46"/>
      <c r="U5" s="156"/>
      <c r="V5" s="47">
        <f>AVERAGEIFS($N$13:$N$9385,$AG$13:$AG$9385,R1)</f>
        <v>15.057608695604596</v>
      </c>
      <c r="W5" s="45">
        <f t="array" ref="W5">MIN(IF($AG$13:$AG$9385=R1,IF(ISNUMBER($N$13:$N$9385),IF($N$13:$N$9385&gt;0,$N$13:$N$9385))))</f>
        <v>12.550000000046566</v>
      </c>
      <c r="X5" s="161">
        <f t="array" ref="X5">MAX(IF($AG$13:$AG$9385=R1,IF(ISNUMBER($N$13:$N$9385),IF($N$13:$N$9385&gt;0,$N$13:$N$9385))))</f>
        <v>21.066666666883975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COUNT($O$13:$O$157)</f>
        <v>0</v>
      </c>
      <c r="K6" s="46"/>
      <c r="L6" s="46"/>
      <c r="M6" s="47">
        <f>IFERROR(AVERAGE($O$13:$O$157),0)</f>
        <v>0</v>
      </c>
      <c r="N6" s="45">
        <f>MIN($O$13:$O$157)</f>
        <v>0</v>
      </c>
      <c r="O6" s="3">
        <f>MAX($O$13:$O$157)</f>
        <v>0</v>
      </c>
      <c r="P6" s="2"/>
      <c r="R6" s="84" t="s">
        <v>43</v>
      </c>
      <c r="S6" s="57">
        <f>COUNT($O$13:$O$157)</f>
        <v>0</v>
      </c>
      <c r="T6" s="46"/>
      <c r="U6" s="156"/>
      <c r="V6" s="47">
        <f>IFERROR(AVERAGE($O$13:$O$157),0)</f>
        <v>0</v>
      </c>
      <c r="W6" s="45">
        <f>MIN($O$13:$O$157)</f>
        <v>0</v>
      </c>
      <c r="X6" s="161">
        <f>MAX($O$13:$O$157)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COUNTIFS($P$13:$P$9385,"&gt;0",$AG$13:$AG$9385,I1)</f>
        <v>4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COUNTIFS($P$13:$P$9385,"&gt;0",$AG$13:$AG$9385,R1)</f>
        <v>1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140</v>
      </c>
      <c r="K8" s="46"/>
      <c r="L8" s="46"/>
      <c r="M8" s="47">
        <f>M5</f>
        <v>39.859404762583189</v>
      </c>
      <c r="N8" s="45">
        <f>N5</f>
        <v>34.499999997206032</v>
      </c>
      <c r="O8" s="3">
        <f>O5</f>
        <v>48.299999996088445</v>
      </c>
      <c r="P8" s="2"/>
      <c r="R8" s="83" t="s">
        <v>16</v>
      </c>
      <c r="S8" s="57">
        <f>S5</f>
        <v>46</v>
      </c>
      <c r="T8" s="46"/>
      <c r="U8" s="156"/>
      <c r="V8" s="47">
        <f>V5</f>
        <v>15.057608695604596</v>
      </c>
      <c r="W8" s="45">
        <f>W5</f>
        <v>12.550000000046566</v>
      </c>
      <c r="X8" s="161">
        <f>X5</f>
        <v>21.066666666883975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0.97222222222222221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0.97872340425531912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79" t="str">
        <f>"Eagle P3 System Performance - "&amp;TEXT(Variables!A2,"yyyy-mm-dd")</f>
        <v>Eagle P3 System Performance - 2016-09-29</v>
      </c>
      <c r="B11" s="179"/>
      <c r="C11" s="179"/>
      <c r="D11" s="179"/>
      <c r="E11" s="179"/>
      <c r="F11" s="179"/>
      <c r="G11" s="179"/>
      <c r="H11" s="179"/>
      <c r="I11" s="179"/>
      <c r="J11" s="179"/>
      <c r="K11" s="179"/>
      <c r="L11" s="179"/>
      <c r="M11" s="179"/>
      <c r="N11" s="179"/>
      <c r="O11" s="179"/>
      <c r="P11" s="179"/>
      <c r="S11" s="72">
        <f>AVERAGE(S13:S105)</f>
        <v>0.98118279569892475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158</v>
      </c>
      <c r="AJ12" s="53" t="s">
        <v>159</v>
      </c>
      <c r="AK12" s="53" t="s">
        <v>132</v>
      </c>
      <c r="AL12" s="53" t="s">
        <v>160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365</v>
      </c>
      <c r="B13" s="7">
        <v>4042</v>
      </c>
      <c r="C13" s="24" t="s">
        <v>106</v>
      </c>
      <c r="D13" s="24" t="s">
        <v>595</v>
      </c>
      <c r="E13" s="15">
        <v>42642.131249999999</v>
      </c>
      <c r="F13" s="15">
        <v>42642.135798611111</v>
      </c>
      <c r="G13" s="7">
        <v>1</v>
      </c>
      <c r="H13" s="15" t="s">
        <v>337</v>
      </c>
      <c r="I13" s="15">
        <v>42642.162326388891</v>
      </c>
      <c r="J13" s="7">
        <v>0</v>
      </c>
      <c r="K13" s="117" t="str">
        <f t="shared" ref="K13:K44" si="0">IF(ISEVEN(B13),(B13-1)&amp;"/"&amp;B13,B13&amp;"/"&amp;(B13+1))</f>
        <v>4041/4042</v>
      </c>
      <c r="L13" s="24" t="str">
        <f>VLOOKUP(A13,'Trips&amp;Operators'!$C$1:$E$10000,3,FALSE)</f>
        <v>MAELZER</v>
      </c>
      <c r="M13" s="6">
        <f t="shared" ref="M13:M44" si="1">I13-F13</f>
        <v>2.6527777779847383E-2</v>
      </c>
      <c r="N13" s="7">
        <f t="shared" ref="N13:N37" si="2">24*60*SUM($M13:$M13)</f>
        <v>38.200000002980232</v>
      </c>
      <c r="O13" s="7"/>
      <c r="P13" s="7"/>
      <c r="Q13" s="25"/>
      <c r="R13" s="25"/>
      <c r="S13" s="37">
        <f t="shared" ref="S13:S44" si="3">SUM(U13:U13)/IF(AG13="EC",12,1)</f>
        <v>1</v>
      </c>
      <c r="T13" s="52" t="str">
        <f t="shared" ref="T13:T44" si="4"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 t="shared" ref="V13:V44" si="5"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https://search-rtdc-monitor-bjffxe2xuh6vdkpspy63sjmuny.us-east-1.es.amazonaws.com/_plugin/kibana/#/discover/Steve-Slow-Train-Analysis-(2080s-and-2083s)?_g=(refreshInterval:(display:Off,section:0,value:0),time:(from:'2016-09-29 02:09:00-0600',mode:absolute,to:'2016-09-29 04:53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" s="54" t="str">
        <f t="shared" ref="W13:W44" si="6">IF(AA13&lt;IF(AG13="EC",23,5.65),"Y","N")</f>
        <v>N</v>
      </c>
      <c r="X13" s="164" t="e">
        <f t="shared" ref="X13:X36" si="7">VALUE(LEFT(AD13,4))-VALUE(LEFT(AD12,4))</f>
        <v>#VALUE!</v>
      </c>
      <c r="Y13" s="69">
        <f t="shared" ref="Y13:Y44" si="8">RIGHT(D13,LEN(D13)-4)/10000</f>
        <v>7.0099999999999996E-2</v>
      </c>
      <c r="Z13" s="69">
        <f t="shared" ref="Z13:Z44" si="9">RIGHT(H13,LEN(H13)-4)/10000</f>
        <v>23.332799999999999</v>
      </c>
      <c r="AA13" s="69">
        <f t="shared" ref="AA13:AA44" si="10">ABS(Z13-Y13)</f>
        <v>23.262699999999999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 t="shared" ref="AD13:AD44" si="11">IF(LEN(A13)=6,"0"&amp;A13,A13)</f>
        <v>0101-29</v>
      </c>
      <c r="AE13" s="9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3" s="9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/stypes="app*4042*20160929*" /stext=" 09:.+((SYSTEM_STATE.+slice.+state.+changed )|(ment ac)|(system.+state.+changed )|(\[timeout)|(PRM\|1\|D)|(kpr)|(kdp)|(\|lc)|(penalty))" /e /r /s</v>
      </c>
      <c r="AG13" s="1" t="str">
        <f t="shared" ref="AG13:AG44" si="14">IFERROR(IF(VALUE(LEFT(AD13,2))&lt;=2,"EC",IF(OR(VALUE(LEFT(AD13,2))=8,VALUE(LEFT(AD13,2))=18),"NW","Other")),"Other")</f>
        <v>EC</v>
      </c>
      <c r="AH13" s="9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4042 --swversion DE.1.0.7.0 --startMP 204:701 --initTime 2016-09-29T03:09:00 --startdatetime 2016-09-29T03:15:33 --delay 1 --endMP 204:233328 --enddatetime 2016-09-29T03:53:45 --enforcementcount 0 &gt;&gt;C:\Users\stu\Documents\GitHub\eaglep3-reporting\EC\2016-09-29-refined-times.txt</v>
      </c>
      <c r="AI13" s="130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{"issue":{"subject":"","project_id":79,"tracker_id":40,"status_id":1,"priority_id":2,"assigned_to_id":23,"start_date":"2016-09-29","description":"","custom_fields":[{"id":1,"name":"Subdivision","value":"EC"},{"id":4,"name":"Milepost","value":"23.3328"},{"id":17,"name":"Train ID","value":"101-29"},{"id":16,"name":"Locomotive ID","value":"4042"},{"id":130,"name":"Impact","value":""},{"id":150,"name":"Time of Event (Mountain Time)","value":"03:53:45"},{"id":151,"name":"Denver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367</v>
      </c>
      <c r="B14" s="7">
        <v>4001</v>
      </c>
      <c r="C14" s="24" t="s">
        <v>106</v>
      </c>
      <c r="D14" s="24" t="s">
        <v>596</v>
      </c>
      <c r="E14" s="15">
        <v>42642.171412037038</v>
      </c>
      <c r="F14" s="15">
        <v>42642.174571759257</v>
      </c>
      <c r="G14" s="7">
        <v>1</v>
      </c>
      <c r="H14" s="15" t="s">
        <v>597</v>
      </c>
      <c r="I14" s="15">
        <v>42642.201736111114</v>
      </c>
      <c r="J14" s="7">
        <v>0</v>
      </c>
      <c r="K14" s="117" t="str">
        <f t="shared" si="0"/>
        <v>4001/4002</v>
      </c>
      <c r="L14" s="24" t="str">
        <f>VLOOKUP(A14,'Trips&amp;Operators'!$C$1:$E$10000,3,FALSE)</f>
        <v>MAELZER</v>
      </c>
      <c r="M14" s="6">
        <f t="shared" si="1"/>
        <v>2.7164351857209112E-2</v>
      </c>
      <c r="N14" s="7">
        <f t="shared" si="2"/>
        <v>39.116666674381122</v>
      </c>
      <c r="O14" s="7"/>
      <c r="P14" s="7"/>
      <c r="Q14" s="25"/>
      <c r="R14" s="25"/>
      <c r="S14" s="37">
        <f t="shared" si="3"/>
        <v>1</v>
      </c>
      <c r="T14" s="52" t="str">
        <f t="shared" si="4"/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03:06:50-0600',mode:absolute,to:'2016-09-29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4" s="54" t="str">
        <f t="shared" si="6"/>
        <v>N</v>
      </c>
      <c r="X14" s="164">
        <f t="shared" si="7"/>
        <v>1</v>
      </c>
      <c r="Y14" s="69">
        <f t="shared" si="8"/>
        <v>23.268899999999999</v>
      </c>
      <c r="Z14" s="69">
        <f t="shared" si="9"/>
        <v>2.1100000000000001E-2</v>
      </c>
      <c r="AA14" s="69">
        <f t="shared" si="10"/>
        <v>23.247799999999998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 t="shared" si="11"/>
        <v>0102-29</v>
      </c>
      <c r="AE14" s="95" t="str">
        <f t="shared" si="12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14" s="92" t="str">
        <f t="shared" si="13"/>
        <v>"C:\Program Files (x86)\AstroGrep\AstroGrep.exe" /spath="%USERPROFILE%\AppData\Local\Temp\OnboardLogs" /stypes="app*4001*20160929*" /stext=" 10:.+((SYSTEM_STATE.+slice.+state.+changed )|(ment ac)|(system.+state.+changed )|(\[timeout)|(PRM\|1\|D)|(kpr)|(kdp)|(\|lc)|(penalty))" /e /r /s</v>
      </c>
      <c r="AG14" s="1" t="str">
        <f t="shared" si="14"/>
        <v>EC</v>
      </c>
      <c r="AH14" s="96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4001 --swversion DE.1.0.7.0 --startMP 204:232689 --initTime 2016-09-29T04:06:50 --startdatetime 2016-09-29T04:11:23 --delay 1 --endMP 204:211 --enddatetime 2016-09-29T04:50:30 --enforcementcount 0 &gt;&gt;C:\Users\stu\Documents\GitHub\eaglep3-reporting\EC\2016-09-29-refined-times.txt</v>
      </c>
      <c r="AI14" s="130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{"issue":{"subject":"","project_id":79,"tracker_id":40,"status_id":1,"priority_id":2,"assigned_to_id":23,"start_date":"2016-09-29","description":"","custom_fields":[{"id":1,"name":"Subdivision","value":"EC"},{"id":4,"name":"Milepost","value":"0.0211"},{"id":17,"name":"Train ID","value":"102-29"},{"id":16,"name":"Locomotive ID","value":"4001"},{"id":130,"name":"Impact","value":""},{"id":150,"name":"Time of Event (Mountain Time)","value":"04:50:30"},{"id":151,"name":"Denver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366</v>
      </c>
      <c r="B15" s="7">
        <v>4029</v>
      </c>
      <c r="C15" s="24" t="s">
        <v>106</v>
      </c>
      <c r="D15" s="24" t="s">
        <v>348</v>
      </c>
      <c r="E15" s="15">
        <v>42642.152442129627</v>
      </c>
      <c r="F15" s="15">
        <v>42642.156458333331</v>
      </c>
      <c r="G15" s="7">
        <v>1</v>
      </c>
      <c r="H15" s="15" t="s">
        <v>271</v>
      </c>
      <c r="I15" s="15">
        <v>42642.181909722225</v>
      </c>
      <c r="J15" s="7">
        <v>0</v>
      </c>
      <c r="K15" s="117" t="str">
        <f t="shared" si="0"/>
        <v>4029/4030</v>
      </c>
      <c r="L15" s="24" t="str">
        <f>VLOOKUP(A15,'Trips&amp;Operators'!$C$1:$E$10000,3,FALSE)</f>
        <v>SPECTOR</v>
      </c>
      <c r="M15" s="6">
        <f t="shared" si="1"/>
        <v>2.5451388893998228E-2</v>
      </c>
      <c r="N15" s="7">
        <f t="shared" si="2"/>
        <v>36.650000007357448</v>
      </c>
      <c r="O15" s="7"/>
      <c r="P15" s="7"/>
      <c r="Q15" s="25"/>
      <c r="R15" s="25"/>
      <c r="S15" s="37">
        <f t="shared" si="3"/>
        <v>1</v>
      </c>
      <c r="T15" s="52" t="str">
        <f t="shared" si="4"/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02:39:31-0600',mode:absolute,to:'2016-09-29 05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" s="54" t="str">
        <f t="shared" si="6"/>
        <v>N</v>
      </c>
      <c r="X15" s="164">
        <f t="shared" si="7"/>
        <v>1</v>
      </c>
      <c r="Y15" s="69">
        <f t="shared" si="8"/>
        <v>7.1300000000000002E-2</v>
      </c>
      <c r="Z15" s="69">
        <f t="shared" si="9"/>
        <v>23.3307</v>
      </c>
      <c r="AA15" s="69">
        <f t="shared" si="10"/>
        <v>23.259399999999999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 t="shared" si="11"/>
        <v>0103-29</v>
      </c>
      <c r="AE15" s="95" t="str">
        <f t="shared" si="12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5" s="92" t="str">
        <f t="shared" si="13"/>
        <v>"C:\Program Files (x86)\AstroGrep\AstroGrep.exe" /spath="%USERPROFILE%\AppData\Local\Temp\OnboardLogs" /stypes="app*4029*20160929*" /stext=" 10:.+((SYSTEM_STATE.+slice.+state.+changed )|(ment ac)|(system.+state.+changed )|(\[timeout)|(PRM\|1\|D)|(kpr)|(kdp)|(\|lc)|(penalty))" /e /r /s</v>
      </c>
      <c r="AG15" s="1" t="str">
        <f t="shared" si="14"/>
        <v>EC</v>
      </c>
      <c r="AH15" s="96" t="str">
        <f t="shared" si="17"/>
        <v>"%USERPROFILE%\Documents\GitHub\eaglep3\Utilities\RefineRTDCRunTimes.py" --tripid 103-29 --locoid 4029 --swversion DE.1.0.7.0 --startMP 204:713 --initTime 2016-09-29T03:39:31 --startdatetime 2016-09-29T03:45:18 --delay 1 --endMP 204:233307 --enddatetime 2016-09-29T04:21:57 --enforcementcount 0 &gt;&gt;C:\Users\stu\Documents\GitHub\eaglep3-reporting\EC\2016-09-29-refined-times.txt</v>
      </c>
      <c r="AI1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{"issue":{"subject":"","project_id":79,"tracker_id":40,"status_id":1,"priority_id":2,"assigned_to_id":23,"start_date":"2016-09-29","description":"","custom_fields":[{"id":1,"name":"Subdivision","value":"EC"},{"id":4,"name":"Milepost","value":"23.3307"},{"id":17,"name":"Train ID","value":"103-29"},{"id":16,"name":"Locomotive ID","value":"4029"},{"id":130,"name":"Impact","value":""},{"id":150,"name":"Time of Event (Mountain Time)","value":"04:21:57"},{"id":151,"name":"Denver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372</v>
      </c>
      <c r="B16" s="7">
        <v>4026</v>
      </c>
      <c r="C16" s="24" t="s">
        <v>106</v>
      </c>
      <c r="D16" s="24" t="s">
        <v>598</v>
      </c>
      <c r="E16" s="15">
        <v>42642.192094907405</v>
      </c>
      <c r="F16" s="15">
        <v>42642.195335648146</v>
      </c>
      <c r="G16" s="7">
        <v>1</v>
      </c>
      <c r="H16" s="15" t="s">
        <v>204</v>
      </c>
      <c r="I16" s="15">
        <v>42642.224143518521</v>
      </c>
      <c r="J16" s="7">
        <v>0</v>
      </c>
      <c r="K16" s="117" t="str">
        <f t="shared" si="0"/>
        <v>4025/4026</v>
      </c>
      <c r="L16" s="24" t="str">
        <f>VLOOKUP(A16,'Trips&amp;Operators'!$C$1:$E$10000,3,FALSE)</f>
        <v>SPECTOR</v>
      </c>
      <c r="M16" s="6">
        <f t="shared" si="1"/>
        <v>2.8807870374293998E-2</v>
      </c>
      <c r="N16" s="7">
        <f t="shared" si="2"/>
        <v>41.483333338983357</v>
      </c>
      <c r="O16" s="7"/>
      <c r="P16" s="7"/>
      <c r="Q16" s="25"/>
      <c r="R16" s="25"/>
      <c r="S16" s="37">
        <f t="shared" si="3"/>
        <v>1</v>
      </c>
      <c r="T16" s="52" t="str">
        <f t="shared" si="4"/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03:36:37-0600',mode:absolute,to:'2016-09-29 06:22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6" s="54" t="str">
        <f t="shared" si="6"/>
        <v>N</v>
      </c>
      <c r="X16" s="164">
        <f t="shared" si="7"/>
        <v>1</v>
      </c>
      <c r="Y16" s="69">
        <f t="shared" si="8"/>
        <v>23.2652</v>
      </c>
      <c r="Z16" s="69">
        <f t="shared" si="9"/>
        <v>1.47E-2</v>
      </c>
      <c r="AA16" s="69">
        <f t="shared" si="10"/>
        <v>23.250499999999999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 t="shared" si="11"/>
        <v>0104-29</v>
      </c>
      <c r="AE16" s="95" t="str">
        <f t="shared" si="12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16" s="92" t="str">
        <f t="shared" si="13"/>
        <v>"C:\Program Files (x86)\AstroGrep\AstroGrep.exe" /spath="%USERPROFILE%\AppData\Local\Temp\OnboardLogs" /stypes="app*4026*20160929*" /stext=" 11:.+((SYSTEM_STATE.+slice.+state.+changed )|(ment ac)|(system.+state.+changed )|(\[timeout)|(PRM\|1\|D)|(kpr)|(kdp)|(\|lc)|(penalty))" /e /r /s</v>
      </c>
      <c r="AG16" s="1" t="str">
        <f t="shared" si="14"/>
        <v>EC</v>
      </c>
      <c r="AH16" s="96" t="str">
        <f t="shared" si="17"/>
        <v>"%USERPROFILE%\Documents\GitHub\eaglep3\Utilities\RefineRTDCRunTimes.py" --tripid 104-29 --locoid 4026 --swversion DE.1.0.7.0 --startMP 204:232652 --initTime 2016-09-29T04:36:37 --startdatetime 2016-09-29T04:41:17 --delay 1 --endMP 204:147 --enddatetime 2016-09-29T05:22:46 --enforcementcount 0 &gt;&gt;C:\Users\stu\Documents\GitHub\eaglep3-reporting\EC\2016-09-29-refined-times.txt</v>
      </c>
      <c r="AI1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{"issue":{"subject":"","project_id":79,"tracker_id":40,"status_id":1,"priority_id":2,"assigned_to_id":23,"start_date":"2016-09-29","description":"","custom_fields":[{"id":1,"name":"Subdivision","value":"EC"},{"id":4,"name":"Milepost","value":"0.0147"},{"id":17,"name":"Train ID","value":"104-29"},{"id":16,"name":"Locomotive ID","value":"4026"},{"id":130,"name":"Impact","value":""},{"id":150,"name":"Time of Event (Mountain Time)","value":"05:22:46"},{"id":151,"name":"Denver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368</v>
      </c>
      <c r="B17" s="7">
        <v>4046</v>
      </c>
      <c r="C17" s="24" t="s">
        <v>106</v>
      </c>
      <c r="D17" s="24" t="s">
        <v>599</v>
      </c>
      <c r="E17" s="15">
        <v>42642.175694444442</v>
      </c>
      <c r="F17" s="15">
        <v>42642.177349537036</v>
      </c>
      <c r="G17" s="7">
        <v>1</v>
      </c>
      <c r="H17" s="15" t="s">
        <v>240</v>
      </c>
      <c r="I17" s="15">
        <v>42642.203796296293</v>
      </c>
      <c r="J17" s="7">
        <v>0</v>
      </c>
      <c r="K17" s="117" t="str">
        <f t="shared" si="0"/>
        <v>4045/4046</v>
      </c>
      <c r="L17" s="24" t="str">
        <f>VLOOKUP(A17,'Trips&amp;Operators'!$C$1:$E$10000,3,FALSE)</f>
        <v>MALAVE</v>
      </c>
      <c r="M17" s="6">
        <f t="shared" si="1"/>
        <v>2.6446759256941732E-2</v>
      </c>
      <c r="N17" s="7">
        <f t="shared" si="2"/>
        <v>38.083333329996094</v>
      </c>
      <c r="O17" s="7"/>
      <c r="P17" s="7"/>
      <c r="Q17" s="25"/>
      <c r="R17" s="25"/>
      <c r="S17" s="37">
        <f t="shared" si="3"/>
        <v>1</v>
      </c>
      <c r="T17" s="52" t="str">
        <f t="shared" si="4"/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03:13:00-0600',mode:absolute,to:'2016-09-29 05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7" s="54" t="str">
        <f t="shared" si="6"/>
        <v>N</v>
      </c>
      <c r="X17" s="164">
        <f t="shared" si="7"/>
        <v>1</v>
      </c>
      <c r="Y17" s="69">
        <f t="shared" si="8"/>
        <v>7.4800000000000005E-2</v>
      </c>
      <c r="Z17" s="69">
        <f t="shared" si="9"/>
        <v>23.33</v>
      </c>
      <c r="AA17" s="69">
        <f t="shared" si="10"/>
        <v>23.255199999999999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 t="shared" si="11"/>
        <v>0105-29</v>
      </c>
      <c r="AE17" s="95" t="str">
        <f t="shared" si="12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7" s="92" t="str">
        <f t="shared" si="13"/>
        <v>"C:\Program Files (x86)\AstroGrep\AstroGrep.exe" /spath="%USERPROFILE%\AppData\Local\Temp\OnboardLogs" /stypes="app*4046*20160929*" /stext=" 10:.+((SYSTEM_STATE.+slice.+state.+changed )|(ment ac)|(system.+state.+changed )|(\[timeout)|(PRM\|1\|D)|(kpr)|(kdp)|(\|lc)|(penalty))" /e /r /s</v>
      </c>
      <c r="AG17" s="1" t="str">
        <f t="shared" si="14"/>
        <v>EC</v>
      </c>
      <c r="AH17" s="96" t="str">
        <f t="shared" si="17"/>
        <v>"%USERPROFILE%\Documents\GitHub\eaglep3\Utilities\RefineRTDCRunTimes.py" --tripid 105-29 --locoid 4046 --swversion DE.1.0.7.0 --startMP 204:748 --initTime 2016-09-29T04:13:00 --startdatetime 2016-09-29T04:15:23 --delay 1 --endMP 204:233300 --enddatetime 2016-09-29T04:53:28 --enforcementcount 0 &gt;&gt;C:\Users\stu\Documents\GitHub\eaglep3-reporting\EC\2016-09-29-refined-times.txt</v>
      </c>
      <c r="AI17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{"issue":{"subject":"","project_id":79,"tracker_id":40,"status_id":1,"priority_id":2,"assigned_to_id":23,"start_date":"2016-09-29","description":"","custom_fields":[{"id":1,"name":"Subdivision","value":"EC"},{"id":4,"name":"Milepost","value":"23.33"},{"id":17,"name":"Train ID","value":"105-29"},{"id":16,"name":"Locomotive ID","value":"4046"},{"id":130,"name":"Impact","value":""},{"id":150,"name":"Time of Event (Mountain Time)","value":"04:53:28"},{"id":151,"name":"Denver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377</v>
      </c>
      <c r="B18" s="7">
        <v>4043</v>
      </c>
      <c r="C18" s="24" t="s">
        <v>106</v>
      </c>
      <c r="D18" s="24" t="s">
        <v>600</v>
      </c>
      <c r="E18" s="15">
        <v>42642.214594907404</v>
      </c>
      <c r="F18" s="15">
        <v>42642.216284722221</v>
      </c>
      <c r="G18" s="7">
        <v>1</v>
      </c>
      <c r="H18" s="15" t="s">
        <v>226</v>
      </c>
      <c r="I18" s="15">
        <v>42642.244259259256</v>
      </c>
      <c r="J18" s="7">
        <v>0</v>
      </c>
      <c r="K18" s="117" t="str">
        <f t="shared" si="0"/>
        <v>4043/4044</v>
      </c>
      <c r="L18" s="24" t="str">
        <f>VLOOKUP(A18,'Trips&amp;Operators'!$C$1:$E$10000,3,FALSE)</f>
        <v>MALAVE</v>
      </c>
      <c r="M18" s="6">
        <f t="shared" si="1"/>
        <v>2.7974537035333924E-2</v>
      </c>
      <c r="N18" s="7">
        <f t="shared" si="2"/>
        <v>40.283333330880851</v>
      </c>
      <c r="O18" s="7"/>
      <c r="P18" s="7"/>
      <c r="Q18" s="25"/>
      <c r="R18" s="25"/>
      <c r="S18" s="37">
        <f t="shared" si="3"/>
        <v>1</v>
      </c>
      <c r="T18" s="52" t="str">
        <f t="shared" si="4"/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04:09:01-0600',mode:absolute,to:'2016-09-29 06:51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4043%22')),sort:!(Time,asc))</v>
      </c>
      <c r="W18" s="54" t="str">
        <f t="shared" si="6"/>
        <v>N</v>
      </c>
      <c r="X18" s="164">
        <f t="shared" si="7"/>
        <v>1</v>
      </c>
      <c r="Y18" s="69">
        <f t="shared" si="8"/>
        <v>23.2668</v>
      </c>
      <c r="Z18" s="69">
        <f t="shared" si="9"/>
        <v>1.5599999999999999E-2</v>
      </c>
      <c r="AA18" s="69">
        <f t="shared" si="10"/>
        <v>23.251200000000001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 t="shared" si="11"/>
        <v>0106-29</v>
      </c>
      <c r="AE18" s="95" t="str">
        <f t="shared" si="12"/>
        <v>aws s3 cp s3://rtdc.mdm.uploadarchive.raw/RTDC4043/ "%USERPROFILE%\AppData\Local\Temp\OnboardLogs"\RTDC4043\2016-09-29 --exclude "*" --recursive --include "*20160929*" &amp; "%USERPROFILE%\Documents\GitHub\mrs-test-scripts\Headless Mode &amp; Sideloading\WalkAndUnGZ.bat" "%USERPROFILE%\AppData\Local\Temp\OnboardLogs"\RTDC4043\2016-09-29 &amp; aws s3 cp s3://rtdc.mdm.uploadarchive.raw/RTDC4043/ "%USERPROFILE%\AppData\Local\Temp\OnboardLogs"\RTDC4043\2016-09-30 --exclude "*" --recursive --include "*20160930*" &amp; "%USERPROFILE%\Documents\GitHub\mrs-test-scripts\Headless Mode &amp; Sideloading\WalkAndUnGZ.bat" "%USERPROFILE%\AppData\Local\Temp\OnboardLogs"\RTDC4043\2016-09-30</v>
      </c>
      <c r="AF18" s="92" t="str">
        <f t="shared" si="13"/>
        <v>"C:\Program Files (x86)\AstroGrep\AstroGrep.exe" /spath="%USERPROFILE%\AppData\Local\Temp\OnboardLogs" /stypes="app*4043*20160929*" /stext=" 11:.+((SYSTEM_STATE.+slice.+state.+changed )|(ment ac)|(system.+state.+changed )|(\[timeout)|(PRM\|1\|D)|(kpr)|(kdp)|(\|lc)|(penalty))" /e /r /s</v>
      </c>
      <c r="AG18" s="1" t="str">
        <f t="shared" si="14"/>
        <v>EC</v>
      </c>
      <c r="AH18" s="96" t="str">
        <f t="shared" si="17"/>
        <v>"%USERPROFILE%\Documents\GitHub\eaglep3\Utilities\RefineRTDCRunTimes.py" --tripid 106-29 --locoid 4043 --swversion DE.1.0.7.0 --startMP 204:232668 --initTime 2016-09-29T05:09:01 --startdatetime 2016-09-29T05:11:27 --delay 1 --endMP 204:156 --enddatetime 2016-09-29T05:51:44 --enforcementcount 0 &gt;&gt;C:\Users\stu\Documents\GitHub\eaglep3-reporting\EC\2016-09-29-refined-times.txt</v>
      </c>
      <c r="AI18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ID","value":"106-29"},{"id":16,"name":"Locomotive ID","value":"4043"},{"id":130,"name":"Impact","value":""},{"id":150,"name":"Time of Event (Mountain Time)","value":"05:51:44"},{"id":151,"name":"Denver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370</v>
      </c>
      <c r="B19" s="7">
        <v>4040</v>
      </c>
      <c r="C19" s="24" t="s">
        <v>106</v>
      </c>
      <c r="D19" s="24" t="s">
        <v>245</v>
      </c>
      <c r="E19" s="15">
        <v>42642.180520833332</v>
      </c>
      <c r="F19" s="15">
        <v>42642.187743055554</v>
      </c>
      <c r="G19" s="7">
        <v>1</v>
      </c>
      <c r="H19" s="15" t="s">
        <v>257</v>
      </c>
      <c r="I19" s="15">
        <v>42642.215312499997</v>
      </c>
      <c r="J19" s="7">
        <v>0</v>
      </c>
      <c r="K19" s="117" t="str">
        <f t="shared" si="0"/>
        <v>4039/4040</v>
      </c>
      <c r="L19" s="24" t="str">
        <f>VLOOKUP(A19,'Trips&amp;Operators'!$C$1:$E$10000,3,FALSE)</f>
        <v>STRICKLAND</v>
      </c>
      <c r="M19" s="6">
        <f t="shared" si="1"/>
        <v>2.7569444442633539E-2</v>
      </c>
      <c r="N19" s="7">
        <f t="shared" si="2"/>
        <v>39.699999997392297</v>
      </c>
      <c r="O19" s="7"/>
      <c r="P19" s="7"/>
      <c r="Q19" s="25"/>
      <c r="R19" s="25"/>
      <c r="S19" s="37">
        <f t="shared" si="3"/>
        <v>1</v>
      </c>
      <c r="T19" s="52" t="str">
        <f t="shared" si="4"/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03:19:57-0600',mode:absolute,to:'2016-09-29 06:10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9" s="54" t="str">
        <f t="shared" si="6"/>
        <v>N</v>
      </c>
      <c r="X19" s="164">
        <f t="shared" si="7"/>
        <v>1</v>
      </c>
      <c r="Y19" s="69">
        <f t="shared" si="8"/>
        <v>4.6399999999999997E-2</v>
      </c>
      <c r="Z19" s="69">
        <f t="shared" si="9"/>
        <v>23.330100000000002</v>
      </c>
      <c r="AA19" s="69">
        <f t="shared" si="10"/>
        <v>23.283700000000003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 t="shared" si="11"/>
        <v>0107-29</v>
      </c>
      <c r="AE19" s="95" t="str">
        <f t="shared" si="12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9" s="92" t="str">
        <f t="shared" si="13"/>
        <v>"C:\Program Files (x86)\AstroGrep\AstroGrep.exe" /spath="%USERPROFILE%\AppData\Local\Temp\OnboardLogs" /stypes="app*4040*20160929*" /stext=" 11:.+((SYSTEM_STATE.+slice.+state.+changed )|(ment ac)|(system.+state.+changed )|(\[timeout)|(PRM\|1\|D)|(kpr)|(kdp)|(\|lc)|(penalty))" /e /r /s</v>
      </c>
      <c r="AG19" s="1" t="str">
        <f t="shared" si="14"/>
        <v>EC</v>
      </c>
      <c r="AH19" s="96" t="str">
        <f t="shared" si="17"/>
        <v>"%USERPROFILE%\Documents\GitHub\eaglep3\Utilities\RefineRTDCRunTimes.py" --tripid 107-29 --locoid 4040 --swversion DE.1.0.7.0 --startMP 204:464 --initTime 2016-09-29T04:19:57 --startdatetime 2016-09-29T04:30:21 --delay 1 --endMP 204:233301 --enddatetime 2016-09-29T05:10:03 --enforcementcount 0 &gt;&gt;C:\Users\stu\Documents\GitHub\eaglep3-reporting\EC\2016-09-29-refined-times.txt</v>
      </c>
      <c r="AI1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{"issue":{"subject":"","project_id":79,"tracker_id":40,"status_id":1,"priority_id":2,"assigned_to_id":23,"start_date":"2016-09-29","description":"","custom_fields":[{"id":1,"name":"Subdivision","value":"EC"},{"id":4,"name":"Milepost","value":"23.3301"},{"id":17,"name":"Train ID","value":"107-29"},{"id":16,"name":"Locomotive ID","value":"4040"},{"id":130,"name":"Impact","value":""},{"id":150,"name":"Time of Event (Mountain Time)","value":"05:10:03"},{"id":151,"name":"Denver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379</v>
      </c>
      <c r="B20" s="7">
        <v>4039</v>
      </c>
      <c r="C20" s="24" t="s">
        <v>106</v>
      </c>
      <c r="D20" s="24" t="s">
        <v>326</v>
      </c>
      <c r="E20" s="15">
        <v>42642.224074074074</v>
      </c>
      <c r="F20" s="15">
        <v>42642.226597222223</v>
      </c>
      <c r="G20" s="7">
        <v>1</v>
      </c>
      <c r="H20" s="15" t="s">
        <v>601</v>
      </c>
      <c r="I20" s="15">
        <v>42642.256435185183</v>
      </c>
      <c r="J20" s="7">
        <v>0</v>
      </c>
      <c r="K20" s="117" t="str">
        <f t="shared" si="0"/>
        <v>4039/4040</v>
      </c>
      <c r="L20" s="24" t="str">
        <f>VLOOKUP(A20,'Trips&amp;Operators'!$C$1:$E$10000,3,FALSE)</f>
        <v>STRICKLAND</v>
      </c>
      <c r="M20" s="6">
        <f t="shared" si="1"/>
        <v>2.9837962960300501E-2</v>
      </c>
      <c r="N20" s="7">
        <f t="shared" si="2"/>
        <v>42.966666662832722</v>
      </c>
      <c r="O20" s="7"/>
      <c r="P20" s="7"/>
      <c r="Q20" s="25"/>
      <c r="R20" s="25"/>
      <c r="S20" s="37">
        <f t="shared" si="3"/>
        <v>1</v>
      </c>
      <c r="T20" s="52" t="str">
        <f t="shared" si="4"/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04:22:40-0600',mode:absolute,to:'2016-09-29 07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20" s="54" t="str">
        <f t="shared" si="6"/>
        <v>N</v>
      </c>
      <c r="X20" s="164">
        <f t="shared" si="7"/>
        <v>1</v>
      </c>
      <c r="Y20" s="69">
        <f t="shared" si="8"/>
        <v>23.298400000000001</v>
      </c>
      <c r="Z20" s="69">
        <f t="shared" si="9"/>
        <v>1.7000000000000001E-2</v>
      </c>
      <c r="AA20" s="69">
        <f t="shared" si="10"/>
        <v>23.281400000000001</v>
      </c>
      <c r="AB20" s="66" t="str">
        <f>VLOOKUP(A20,Enforcements!$C$7:$K$21,8,0)</f>
        <v>Speed (6)</v>
      </c>
      <c r="AC20" s="62" t="str">
        <f>VLOOKUP(A20,Enforcements!$C$7:$E$21,3,0)</f>
        <v>PERMANENT SPEED RESTRICTION</v>
      </c>
      <c r="AD20" s="63" t="str">
        <f t="shared" si="11"/>
        <v>0108-29</v>
      </c>
      <c r="AE20" s="95" t="str">
        <f t="shared" si="12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20" s="92" t="str">
        <f t="shared" si="13"/>
        <v>"C:\Program Files (x86)\AstroGrep\AstroGrep.exe" /spath="%USERPROFILE%\AppData\Local\Temp\OnboardLogs" /stypes="app*4039*20160929*" /stext=" 12:.+((SYSTEM_STATE.+slice.+state.+changed )|(ment ac)|(system.+state.+changed )|(\[timeout)|(PRM\|1\|D)|(kpr)|(kdp)|(\|lc)|(penalty))" /e /r /s</v>
      </c>
      <c r="AG20" s="1" t="str">
        <f t="shared" si="14"/>
        <v>EC</v>
      </c>
      <c r="AH20" s="96" t="str">
        <f t="shared" si="17"/>
        <v>"%USERPROFILE%\Documents\GitHub\eaglep3\Utilities\RefineRTDCRunTimes.py" --tripid 108-29 --locoid 4039 --swversion DE.1.0.7.0 --startMP 204:232984 --initTime 2016-09-29T05:22:40 --startdatetime 2016-09-29T05:26:18 --delay 1 --endMP 204:170 --enddatetime 2016-09-29T06:09:16 --enforcementcount 0 &gt;&gt;C:\Users\stu\Documents\GitHub\eaglep3-reporting\EC\2016-09-29-refined-times.txt</v>
      </c>
      <c r="AI2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{"issue":{"subject":"","project_id":79,"tracker_id":40,"status_id":1,"priority_id":2,"assigned_to_id":23,"start_date":"2016-09-29","description":"","custom_fields":[{"id":1,"name":"Subdivision","value":"EC"},{"id":4,"name":"Milepost","value":"0.017"},{"id":17,"name":"Train ID","value":"108-29"},{"id":16,"name":"Locomotive ID","value":"4039"},{"id":130,"name":"Impact","value":""},{"id":150,"name":"Time of Event (Mountain Time)","value":"06:09:16"},{"id":151,"name":"Denver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373</v>
      </c>
      <c r="B21" s="7">
        <v>4020</v>
      </c>
      <c r="C21" s="24" t="s">
        <v>106</v>
      </c>
      <c r="D21" s="24" t="s">
        <v>602</v>
      </c>
      <c r="E21" s="15">
        <v>42642.193912037037</v>
      </c>
      <c r="F21" s="15">
        <v>42642.198206018518</v>
      </c>
      <c r="G21" s="7">
        <v>2</v>
      </c>
      <c r="H21" s="15" t="s">
        <v>338</v>
      </c>
      <c r="I21" s="15">
        <v>42642.224652777775</v>
      </c>
      <c r="J21" s="7">
        <v>0</v>
      </c>
      <c r="K21" s="117" t="str">
        <f t="shared" si="0"/>
        <v>4019/4020</v>
      </c>
      <c r="L21" s="24" t="str">
        <f>VLOOKUP(A21,'Trips&amp;Operators'!$C$1:$E$10000,3,FALSE)</f>
        <v>ROCHA</v>
      </c>
      <c r="M21" s="6">
        <f t="shared" si="1"/>
        <v>2.6446759256941732E-2</v>
      </c>
      <c r="N21" s="7">
        <f t="shared" si="2"/>
        <v>38.083333329996094</v>
      </c>
      <c r="O21" s="7"/>
      <c r="P21" s="7"/>
      <c r="Q21" s="25"/>
      <c r="R21" s="25"/>
      <c r="S21" s="37">
        <f t="shared" si="3"/>
        <v>1</v>
      </c>
      <c r="T21" s="52" t="str">
        <f t="shared" si="4"/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03:39:14-0600',mode:absolute,to:'2016-09-29 06:23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1" s="54" t="str">
        <f t="shared" si="6"/>
        <v>N</v>
      </c>
      <c r="X21" s="164">
        <f t="shared" si="7"/>
        <v>1</v>
      </c>
      <c r="Y21" s="69">
        <f t="shared" si="8"/>
        <v>4.4900000000000002E-2</v>
      </c>
      <c r="Z21" s="69">
        <f t="shared" si="9"/>
        <v>23.329799999999999</v>
      </c>
      <c r="AA21" s="69">
        <f t="shared" si="10"/>
        <v>23.2849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 t="shared" si="11"/>
        <v>0109-29</v>
      </c>
      <c r="AE21" s="95" t="str">
        <f t="shared" si="12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21" s="92" t="str">
        <f t="shared" si="13"/>
        <v>"C:\Program Files (x86)\AstroGrep\AstroGrep.exe" /spath="%USERPROFILE%\AppData\Local\Temp\OnboardLogs" /stypes="app*4020*20160929*" /stext=" 11:.+((SYSTEM_STATE.+slice.+state.+changed )|(ment ac)|(system.+state.+changed )|(\[timeout)|(PRM\|1\|D)|(kpr)|(kdp)|(\|lc)|(penalty))" /e /r /s</v>
      </c>
      <c r="AG21" s="1" t="str">
        <f t="shared" si="14"/>
        <v>EC</v>
      </c>
      <c r="AH21" s="96" t="str">
        <f t="shared" si="17"/>
        <v>"%USERPROFILE%\Documents\GitHub\eaglep3\Utilities\RefineRTDCRunTimes.py" --tripid 109-29 --locoid 4020 --swversion DE.1.0.7.0 --startMP 204:449 --initTime 2016-09-29T04:39:14 --startdatetime 2016-09-29T04:45:25 --delay 2 --endMP 204:233298 --enddatetime 2016-09-29T05:23:30 --enforcementcount 0 &gt;&gt;C:\Users\stu\Documents\GitHub\eaglep3-reporting\EC\2016-09-29-refined-times.txt</v>
      </c>
      <c r="AI2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{"issue":{"subject":"","project_id":79,"tracker_id":40,"status_id":1,"priority_id":2,"assigned_to_id":23,"start_date":"2016-09-29","description":"","custom_fields":[{"id":1,"name":"Subdivision","value":"EC"},{"id":4,"name":"Milepost","value":"23.3298"},{"id":17,"name":"Train ID","value":"109-29"},{"id":16,"name":"Locomotive ID","value":"4020"},{"id":130,"name":"Impact","value":""},{"id":150,"name":"Time of Event (Mountain Time)","value":"05:23:30"},{"id":151,"name":"Denver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384</v>
      </c>
      <c r="B22" s="7">
        <v>4019</v>
      </c>
      <c r="C22" s="24" t="s">
        <v>106</v>
      </c>
      <c r="D22" s="24" t="s">
        <v>295</v>
      </c>
      <c r="E22" s="15">
        <v>42642.230451388888</v>
      </c>
      <c r="F22" s="15">
        <v>42642.237002314818</v>
      </c>
      <c r="G22" s="7">
        <v>1</v>
      </c>
      <c r="H22" s="15" t="s">
        <v>203</v>
      </c>
      <c r="I22" s="15">
        <v>42642.264317129629</v>
      </c>
      <c r="J22" s="7">
        <v>0</v>
      </c>
      <c r="K22" s="117" t="str">
        <f t="shared" si="0"/>
        <v>4019/4020</v>
      </c>
      <c r="L22" s="24" t="str">
        <f>VLOOKUP(A22,'Trips&amp;Operators'!$C$1:$E$10000,3,FALSE)</f>
        <v>ROCHA</v>
      </c>
      <c r="M22" s="6">
        <f t="shared" si="1"/>
        <v>2.7314814811688848E-2</v>
      </c>
      <c r="N22" s="7">
        <f t="shared" si="2"/>
        <v>39.333333328831941</v>
      </c>
      <c r="O22" s="7"/>
      <c r="P22" s="7"/>
      <c r="Q22" s="25"/>
      <c r="R22" s="25"/>
      <c r="S22" s="37">
        <f t="shared" si="3"/>
        <v>1</v>
      </c>
      <c r="T22" s="52" t="str">
        <f t="shared" si="4"/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04:31:51-0600',mode:absolute,to:'2016-09-29 07:20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22" s="54" t="str">
        <f t="shared" si="6"/>
        <v>N</v>
      </c>
      <c r="X22" s="164">
        <f t="shared" si="7"/>
        <v>1</v>
      </c>
      <c r="Y22" s="69">
        <f t="shared" si="8"/>
        <v>23.299099999999999</v>
      </c>
      <c r="Z22" s="69">
        <f t="shared" si="9"/>
        <v>1.5800000000000002E-2</v>
      </c>
      <c r="AA22" s="69">
        <f t="shared" si="10"/>
        <v>23.283300000000001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 t="shared" si="11"/>
        <v>0110-29</v>
      </c>
      <c r="AE22" s="95" t="str">
        <f t="shared" si="12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22" s="92" t="str">
        <f t="shared" si="13"/>
        <v>"C:\Program Files (x86)\AstroGrep\AstroGrep.exe" /spath="%USERPROFILE%\AppData\Local\Temp\OnboardLogs" /stypes="app*4019*20160929*" /stext=" 12:.+((SYSTEM_STATE.+slice.+state.+changed )|(ment ac)|(system.+state.+changed )|(\[timeout)|(PRM\|1\|D)|(kpr)|(kdp)|(\|lc)|(penalty))" /e /r /s</v>
      </c>
      <c r="AG22" s="1" t="str">
        <f t="shared" si="14"/>
        <v>EC</v>
      </c>
      <c r="AH22" s="96" t="str">
        <f t="shared" si="17"/>
        <v>"%USERPROFILE%\Documents\GitHub\eaglep3\Utilities\RefineRTDCRunTimes.py" --tripid 110-29 --locoid 4019 --swversion DE.1.0.7.0 --startMP 204:232991 --initTime 2016-09-29T05:31:51 --startdatetime 2016-09-29T05:41:17 --delay 1 --endMP 204:158 --enddatetime 2016-09-29T06:20:37 --enforcementcount 0 &gt;&gt;C:\Users\stu\Documents\GitHub\eaglep3-reporting\EC\2016-09-29-refined-times.txt</v>
      </c>
      <c r="AI2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{"issue":{"subject":"","project_id":79,"tracker_id":40,"status_id":1,"priority_id":2,"assigned_to_id":23,"start_date":"2016-09-29","description":"","custom_fields":[{"id":1,"name":"Subdivision","value":"EC"},{"id":4,"name":"Milepost","value":"0.0158"},{"id":17,"name":"Train ID","value":"110-29"},{"id":16,"name":"Locomotive ID","value":"4019"},{"id":130,"name":"Impact","value":""},{"id":150,"name":"Time of Event (Mountain Time)","value":"06:20:37"},{"id":151,"name":"Denver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374</v>
      </c>
      <c r="B23" s="7">
        <v>4042</v>
      </c>
      <c r="C23" s="24" t="s">
        <v>106</v>
      </c>
      <c r="D23" s="24" t="s">
        <v>323</v>
      </c>
      <c r="E23" s="15">
        <v>42642.206018518518</v>
      </c>
      <c r="F23" s="15">
        <v>42642.20857638889</v>
      </c>
      <c r="G23" s="7">
        <v>1</v>
      </c>
      <c r="H23" s="15" t="s">
        <v>257</v>
      </c>
      <c r="I23" s="15">
        <v>42642.233402777776</v>
      </c>
      <c r="J23" s="7">
        <v>0</v>
      </c>
      <c r="K23" s="117" t="str">
        <f t="shared" si="0"/>
        <v>4041/4042</v>
      </c>
      <c r="L23" s="24" t="str">
        <f>VLOOKUP(A23,'Trips&amp;Operators'!$C$1:$E$10000,3,FALSE)</f>
        <v>BEAM</v>
      </c>
      <c r="M23" s="6">
        <f t="shared" si="1"/>
        <v>2.4826388886140194E-2</v>
      </c>
      <c r="N23" s="7">
        <f t="shared" si="2"/>
        <v>35.749999996041879</v>
      </c>
      <c r="O23" s="7"/>
      <c r="P23" s="7"/>
      <c r="Q23" s="25"/>
      <c r="R23" s="25"/>
      <c r="S23" s="37">
        <f t="shared" si="3"/>
        <v>1</v>
      </c>
      <c r="T23" s="52" t="str">
        <f t="shared" si="4"/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03:56:40-0600',mode:absolute,to:'2016-09-29 06:36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3" s="54" t="str">
        <f t="shared" si="6"/>
        <v>N</v>
      </c>
      <c r="X23" s="164">
        <f t="shared" si="7"/>
        <v>1</v>
      </c>
      <c r="Y23" s="69">
        <f t="shared" si="8"/>
        <v>7.6300000000000007E-2</v>
      </c>
      <c r="Z23" s="69">
        <f t="shared" si="9"/>
        <v>23.330100000000002</v>
      </c>
      <c r="AA23" s="69">
        <f t="shared" si="10"/>
        <v>23.253800000000002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 t="shared" si="11"/>
        <v>0111-29</v>
      </c>
      <c r="AE23" s="95" t="str">
        <f t="shared" si="12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23" s="92" t="str">
        <f t="shared" si="13"/>
        <v>"C:\Program Files (x86)\AstroGrep\AstroGrep.exe" /spath="%USERPROFILE%\AppData\Local\Temp\OnboardLogs" /stypes="app*4042*20160929*" /stext=" 11:.+((SYSTEM_STATE.+slice.+state.+changed )|(ment ac)|(system.+state.+changed )|(\[timeout)|(PRM\|1\|D)|(kpr)|(kdp)|(\|lc)|(penalty))" /e /r /s</v>
      </c>
      <c r="AG23" s="1" t="str">
        <f t="shared" si="14"/>
        <v>EC</v>
      </c>
      <c r="AH23" s="96" t="str">
        <f t="shared" si="17"/>
        <v>"%USERPROFILE%\Documents\GitHub\eaglep3\Utilities\RefineRTDCRunTimes.py" --tripid 111-29 --locoid 4042 --swversion DE.1.0.7.0 --startMP 204:763 --initTime 2016-09-29T04:56:40 --startdatetime 2016-09-29T05:00:21 --delay 1 --endMP 204:233301 --enddatetime 2016-09-29T05:36:06 --enforcementcount 0 &gt;&gt;C:\Users\stu\Documents\GitHub\eaglep3-reporting\EC\2016-09-29-refined-times.txt</v>
      </c>
      <c r="AI2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{"issue":{"subject":"","project_id":79,"tracker_id":40,"status_id":1,"priority_id":2,"assigned_to_id":23,"start_date":"2016-09-29","description":"","custom_fields":[{"id":1,"name":"Subdivision","value":"EC"},{"id":4,"name":"Milepost","value":"23.3301"},{"id":17,"name":"Train ID","value":"111-29"},{"id":16,"name":"Locomotive ID","value":"4042"},{"id":130,"name":"Impact","value":""},{"id":150,"name":"Time of Event (Mountain Time)","value":"05:36:06"},{"id":151,"name":"Denver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386</v>
      </c>
      <c r="B24" s="7">
        <v>4041</v>
      </c>
      <c r="C24" s="24" t="s">
        <v>106</v>
      </c>
      <c r="D24" s="24" t="s">
        <v>603</v>
      </c>
      <c r="E24" s="15">
        <v>42642.240011574075</v>
      </c>
      <c r="F24" s="15">
        <v>42642.247395833336</v>
      </c>
      <c r="G24" s="7">
        <v>1</v>
      </c>
      <c r="H24" s="15" t="s">
        <v>604</v>
      </c>
      <c r="I24" s="15">
        <v>42642.273842592593</v>
      </c>
      <c r="J24" s="7">
        <v>0</v>
      </c>
      <c r="K24" s="117" t="str">
        <f t="shared" si="0"/>
        <v>4041/4042</v>
      </c>
      <c r="L24" s="24" t="str">
        <f>VLOOKUP(A24,'Trips&amp;Operators'!$C$1:$E$10000,3,FALSE)</f>
        <v>BEAM</v>
      </c>
      <c r="M24" s="6">
        <f t="shared" si="1"/>
        <v>2.6446759256941732E-2</v>
      </c>
      <c r="N24" s="7">
        <f t="shared" si="2"/>
        <v>38.083333329996094</v>
      </c>
      <c r="O24" s="7"/>
      <c r="P24" s="7"/>
      <c r="Q24" s="25"/>
      <c r="R24" s="25"/>
      <c r="S24" s="37">
        <f t="shared" si="3"/>
        <v>1</v>
      </c>
      <c r="T24" s="52" t="str">
        <f t="shared" si="4"/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04:45:37-0600',mode:absolute,to:'2016-09-29 07:34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24" s="54" t="str">
        <f t="shared" si="6"/>
        <v>N</v>
      </c>
      <c r="X24" s="164">
        <f t="shared" si="7"/>
        <v>1</v>
      </c>
      <c r="Y24" s="69">
        <f t="shared" si="8"/>
        <v>23.297999999999998</v>
      </c>
      <c r="Z24" s="69">
        <f t="shared" si="9"/>
        <v>1.23E-2</v>
      </c>
      <c r="AA24" s="69">
        <f t="shared" si="10"/>
        <v>23.285699999999999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 t="shared" si="11"/>
        <v>0112-29</v>
      </c>
      <c r="AE24" s="95" t="str">
        <f t="shared" si="12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24" s="92" t="str">
        <f t="shared" si="13"/>
        <v>"C:\Program Files (x86)\AstroGrep\AstroGrep.exe" /spath="%USERPROFILE%\AppData\Local\Temp\OnboardLogs" /stypes="app*4041*20160929*" /stext=" 12:.+((SYSTEM_STATE.+slice.+state.+changed )|(ment ac)|(system.+state.+changed )|(\[timeout)|(PRM\|1\|D)|(kpr)|(kdp)|(\|lc)|(penalty))" /e /r /s</v>
      </c>
      <c r="AG24" s="1" t="str">
        <f t="shared" si="14"/>
        <v>EC</v>
      </c>
      <c r="AH24" s="96" t="str">
        <f t="shared" si="17"/>
        <v>"%USERPROFILE%\Documents\GitHub\eaglep3\Utilities\RefineRTDCRunTimes.py" --tripid 112-29 --locoid 4041 --swversion DE.1.0.7.0 --startMP 204:232980 --initTime 2016-09-29T05:45:37 --startdatetime 2016-09-29T05:56:15 --delay 1 --endMP 204:123 --enddatetime 2016-09-29T06:34:20 --enforcementcount 0 &gt;&gt;C:\Users\stu\Documents\GitHub\eaglep3-reporting\EC\2016-09-29-refined-times.txt</v>
      </c>
      <c r="AI2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{"issue":{"subject":"","project_id":79,"tracker_id":40,"status_id":1,"priority_id":2,"assigned_to_id":23,"start_date":"2016-09-29","description":"","custom_fields":[{"id":1,"name":"Subdivision","value":"EC"},{"id":4,"name":"Milepost","value":"0.0123"},{"id":17,"name":"Train ID","value":"112-29"},{"id":16,"name":"Locomotive ID","value":"4041"},{"id":130,"name":"Impact","value":""},{"id":150,"name":"Time of Event (Mountain Time)","value":"06:34:20"},{"id":151,"name":"Denver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378</v>
      </c>
      <c r="B25" s="7">
        <v>4002</v>
      </c>
      <c r="C25" s="24" t="s">
        <v>106</v>
      </c>
      <c r="D25" s="24" t="s">
        <v>264</v>
      </c>
      <c r="E25" s="15">
        <v>42642.216215277775</v>
      </c>
      <c r="F25" s="15">
        <v>42642.219027777777</v>
      </c>
      <c r="G25" s="7">
        <v>1</v>
      </c>
      <c r="H25" s="15" t="s">
        <v>332</v>
      </c>
      <c r="I25" s="15">
        <v>42642.244513888887</v>
      </c>
      <c r="J25" s="7">
        <v>0</v>
      </c>
      <c r="K25" s="117" t="str">
        <f t="shared" si="0"/>
        <v>4001/4002</v>
      </c>
      <c r="L25" s="24" t="str">
        <f>VLOOKUP(A25,'Trips&amp;Operators'!$C$1:$E$10000,3,FALSE)</f>
        <v>MAELZER</v>
      </c>
      <c r="M25" s="6">
        <f t="shared" si="1"/>
        <v>2.548611110978527E-2</v>
      </c>
      <c r="N25" s="7">
        <f t="shared" si="2"/>
        <v>36.699999998090789</v>
      </c>
      <c r="O25" s="7"/>
      <c r="P25" s="7"/>
      <c r="Q25" s="25"/>
      <c r="R25" s="25"/>
      <c r="S25" s="37">
        <f t="shared" si="3"/>
        <v>1</v>
      </c>
      <c r="T25" s="52" t="str">
        <f t="shared" si="4"/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04:11:21-0600',mode:absolute,to:'2016-09-29 06:52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25" s="54" t="str">
        <f t="shared" si="6"/>
        <v>N</v>
      </c>
      <c r="X25" s="164">
        <f t="shared" si="7"/>
        <v>1</v>
      </c>
      <c r="Y25" s="69">
        <f t="shared" si="8"/>
        <v>4.4400000000000002E-2</v>
      </c>
      <c r="Z25" s="69">
        <f t="shared" si="9"/>
        <v>23.331900000000001</v>
      </c>
      <c r="AA25" s="69">
        <f t="shared" si="10"/>
        <v>23.287500000000001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 t="shared" si="11"/>
        <v>0113-29</v>
      </c>
      <c r="AE25" s="95" t="str">
        <f t="shared" si="12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25" s="92" t="str">
        <f t="shared" si="13"/>
        <v>"C:\Program Files (x86)\AstroGrep\AstroGrep.exe" /spath="%USERPROFILE%\AppData\Local\Temp\OnboardLogs" /stypes="app*4002*20160929*" /stext=" 11:.+((SYSTEM_STATE.+slice.+state.+changed )|(ment ac)|(system.+state.+changed )|(\[timeout)|(PRM\|1\|D)|(kpr)|(kdp)|(\|lc)|(penalty))" /e /r /s</v>
      </c>
      <c r="AG25" s="1" t="str">
        <f t="shared" si="14"/>
        <v>EC</v>
      </c>
      <c r="AH25" s="96" t="str">
        <f t="shared" si="17"/>
        <v>"%USERPROFILE%\Documents\GitHub\eaglep3\Utilities\RefineRTDCRunTimes.py" --tripid 113-29 --locoid 4002 --swversion DE.1.0.7.0 --startMP 204:444 --initTime 2016-09-29T05:11:21 --startdatetime 2016-09-29T05:15:24 --delay 1 --endMP 204:233319 --enddatetime 2016-09-29T05:52:06 --enforcementcount 0 &gt;&gt;C:\Users\stu\Documents\GitHub\eaglep3-reporting\EC\2016-09-29-refined-times.txt</v>
      </c>
      <c r="AI2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{"issue":{"subject":"","project_id":79,"tracker_id":40,"status_id":1,"priority_id":2,"assigned_to_id":23,"start_date":"2016-09-29","description":"","custom_fields":[{"id":1,"name":"Subdivision","value":"EC"},{"id":4,"name":"Milepost","value":"23.3319"},{"id":17,"name":"Train ID","value":"113-29"},{"id":16,"name":"Locomotive ID","value":"4002"},{"id":130,"name":"Impact","value":""},{"id":150,"name":"Time of Event (Mountain Time)","value":"05:52:06"},{"id":151,"name":"Denver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388</v>
      </c>
      <c r="B26" s="7">
        <v>4001</v>
      </c>
      <c r="C26" s="24" t="s">
        <v>106</v>
      </c>
      <c r="D26" s="24" t="s">
        <v>605</v>
      </c>
      <c r="E26" s="15">
        <v>42642.250879629632</v>
      </c>
      <c r="F26" s="15">
        <v>42642.257928240739</v>
      </c>
      <c r="G26" s="7">
        <v>0</v>
      </c>
      <c r="H26" s="15" t="s">
        <v>206</v>
      </c>
      <c r="I26" s="15">
        <v>42642.285439814812</v>
      </c>
      <c r="J26" s="7">
        <v>0</v>
      </c>
      <c r="K26" s="117" t="str">
        <f t="shared" si="0"/>
        <v>4001/4002</v>
      </c>
      <c r="L26" s="24" t="str">
        <f>VLOOKUP(A26,'Trips&amp;Operators'!$C$1:$E$10000,3,FALSE)</f>
        <v>MAELZER</v>
      </c>
      <c r="M26" s="6">
        <f t="shared" si="1"/>
        <v>2.7511574073287193E-2</v>
      </c>
      <c r="N26" s="7">
        <f t="shared" si="2"/>
        <v>39.616666665533558</v>
      </c>
      <c r="O26" s="7"/>
      <c r="P26" s="7"/>
      <c r="Q26" s="25"/>
      <c r="R26" s="25"/>
      <c r="S26" s="37">
        <f t="shared" si="3"/>
        <v>1</v>
      </c>
      <c r="T26" s="52" t="str">
        <f t="shared" si="4"/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05:01:16-0600',mode:absolute,to:'2016-09-29 07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26" s="54" t="str">
        <f t="shared" si="6"/>
        <v>N</v>
      </c>
      <c r="X26" s="164">
        <f t="shared" si="7"/>
        <v>1</v>
      </c>
      <c r="Y26" s="69">
        <f t="shared" si="8"/>
        <v>23.299399999999999</v>
      </c>
      <c r="Z26" s="69">
        <f t="shared" si="9"/>
        <v>1.4999999999999999E-2</v>
      </c>
      <c r="AA26" s="69">
        <f t="shared" si="10"/>
        <v>23.284399999999998</v>
      </c>
      <c r="AB26" s="66" t="e">
        <f>VLOOKUP(A26,Enforcements!$C$7:$K$21,8,0)</f>
        <v>#N/A</v>
      </c>
      <c r="AC26" s="62" t="e">
        <f>VLOOKUP(A26,Enforcements!$C$7:$E$21,3,0)</f>
        <v>#N/A</v>
      </c>
      <c r="AD26" s="63" t="str">
        <f t="shared" si="11"/>
        <v>0114-29</v>
      </c>
      <c r="AE26" s="95" t="str">
        <f t="shared" si="12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26" s="92" t="str">
        <f t="shared" si="13"/>
        <v>"C:\Program Files (x86)\AstroGrep\AstroGrep.exe" /spath="%USERPROFILE%\AppData\Local\Temp\OnboardLogs" /stypes="app*4001*20160929*" /stext=" 12:.+((SYSTEM_STATE.+slice.+state.+changed )|(ment ac)|(system.+state.+changed )|(\[timeout)|(PRM\|1\|D)|(kpr)|(kdp)|(\|lc)|(penalty))" /e /r /s</v>
      </c>
      <c r="AG26" s="1" t="str">
        <f t="shared" si="14"/>
        <v>EC</v>
      </c>
      <c r="AH26" s="96" t="str">
        <f t="shared" si="17"/>
        <v>"%USERPROFILE%\Documents\GitHub\eaglep3\Utilities\RefineRTDCRunTimes.py" --tripid 114-29 --locoid 4001 --swversion DE.1.0.7.0 --startMP 204:232994 --initTime 2016-09-29T06:01:16 --startdatetime 2016-09-29T06:11:25 --delay 0 --endMP 204:150 --enddatetime 2016-09-29T06:51:02 --enforcementcount 0 &gt;&gt;C:\Users\stu\Documents\GitHub\eaglep3-reporting\EC\2016-09-29-refined-times.txt</v>
      </c>
      <c r="AI2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{"issue":{"subject":"","project_id":79,"tracker_id":40,"status_id":1,"priority_id":2,"assigned_to_id":23,"start_date":"2016-09-29","description":"","custom_fields":[{"id":1,"name":"Subdivision","value":"EC"},{"id":4,"name":"Milepost","value":"0.015"},{"id":17,"name":"Train ID","value":"114-29"},{"id":16,"name":"Locomotive ID","value":"4001"},{"id":130,"name":"Impact","value":""},{"id":150,"name":"Time of Event (Mountain Time)","value":"06:51:02"},{"id":151,"name":"Denver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380</v>
      </c>
      <c r="B27" s="7">
        <v>4029</v>
      </c>
      <c r="C27" s="24" t="s">
        <v>106</v>
      </c>
      <c r="D27" s="24" t="s">
        <v>350</v>
      </c>
      <c r="E27" s="15">
        <v>42642.226747685185</v>
      </c>
      <c r="F27" s="15">
        <v>42642.229328703703</v>
      </c>
      <c r="G27" s="7">
        <v>1</v>
      </c>
      <c r="H27" s="15" t="s">
        <v>260</v>
      </c>
      <c r="I27" s="15">
        <v>42642.253981481481</v>
      </c>
      <c r="J27" s="7">
        <v>0</v>
      </c>
      <c r="K27" s="117" t="str">
        <f t="shared" si="0"/>
        <v>4029/4030</v>
      </c>
      <c r="L27" s="24" t="str">
        <f>VLOOKUP(A27,'Trips&amp;Operators'!$C$1:$E$10000,3,FALSE)</f>
        <v>BRANNON</v>
      </c>
      <c r="M27" s="6">
        <f t="shared" si="1"/>
        <v>2.4652777778101154E-2</v>
      </c>
      <c r="N27" s="7">
        <f t="shared" si="2"/>
        <v>35.500000000465661</v>
      </c>
      <c r="O27" s="7"/>
      <c r="P27" s="7"/>
      <c r="Q27" s="25"/>
      <c r="R27" s="25"/>
      <c r="S27" s="37">
        <f t="shared" si="3"/>
        <v>1</v>
      </c>
      <c r="T27" s="52" t="str">
        <f t="shared" si="4"/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04:26:31-0600',mode:absolute,to:'2016-09-29 07:05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7" s="54" t="str">
        <f t="shared" si="6"/>
        <v>N</v>
      </c>
      <c r="X27" s="164">
        <f t="shared" si="7"/>
        <v>1</v>
      </c>
      <c r="Y27" s="69">
        <f t="shared" si="8"/>
        <v>7.0599999999999996E-2</v>
      </c>
      <c r="Z27" s="69">
        <f t="shared" si="9"/>
        <v>23.330500000000001</v>
      </c>
      <c r="AA27" s="69">
        <f t="shared" si="10"/>
        <v>23.259900000000002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 t="shared" si="11"/>
        <v>0115-29</v>
      </c>
      <c r="AE27" s="95" t="str">
        <f t="shared" si="12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27" s="92" t="str">
        <f t="shared" si="13"/>
        <v>"C:\Program Files (x86)\AstroGrep\AstroGrep.exe" /spath="%USERPROFILE%\AppData\Local\Temp\OnboardLogs" /stypes="app*4029*20160929*" /stext=" 12:.+((SYSTEM_STATE.+slice.+state.+changed )|(ment ac)|(system.+state.+changed )|(\[timeout)|(PRM\|1\|D)|(kpr)|(kdp)|(\|lc)|(penalty))" /e /r /s</v>
      </c>
      <c r="AG27" s="1" t="str">
        <f t="shared" si="14"/>
        <v>EC</v>
      </c>
      <c r="AH27" s="96" t="str">
        <f t="shared" si="17"/>
        <v>"%USERPROFILE%\Documents\GitHub\eaglep3\Utilities\RefineRTDCRunTimes.py" --tripid 115-29 --locoid 4029 --swversion DE.1.0.7.0 --startMP 204:706 --initTime 2016-09-29T05:26:31 --startdatetime 2016-09-29T05:30:14 --delay 1 --endMP 204:233305 --enddatetime 2016-09-29T06:05:44 --enforcementcount 0 &gt;&gt;C:\Users\stu\Documents\GitHub\eaglep3-reporting\EC\2016-09-29-refined-times.txt</v>
      </c>
      <c r="AI27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{"issue":{"subject":"","project_id":79,"tracker_id":40,"status_id":1,"priority_id":2,"assigned_to_id":23,"start_date":"2016-09-29","description":"","custom_fields":[{"id":1,"name":"Subdivision","value":"EC"},{"id":4,"name":"Milepost","value":"23.3305"},{"id":17,"name":"Train ID","value":"115-29"},{"id":16,"name":"Locomotive ID","value":"4029"},{"id":130,"name":"Impact","value":""},{"id":150,"name":"Time of Event (Mountain Time)","value":"06:05:44"},{"id":151,"name":"Denver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392</v>
      </c>
      <c r="B28" s="7">
        <v>4030</v>
      </c>
      <c r="C28" s="24" t="s">
        <v>106</v>
      </c>
      <c r="D28" s="24" t="s">
        <v>326</v>
      </c>
      <c r="E28" s="15">
        <v>42642.256724537037</v>
      </c>
      <c r="F28" s="15">
        <v>42642.268229166664</v>
      </c>
      <c r="G28" s="7">
        <v>1</v>
      </c>
      <c r="H28" s="15" t="s">
        <v>249</v>
      </c>
      <c r="I28" s="15">
        <v>42642.296284722222</v>
      </c>
      <c r="J28" s="7">
        <v>0</v>
      </c>
      <c r="K28" s="117" t="str">
        <f t="shared" si="0"/>
        <v>4029/4030</v>
      </c>
      <c r="L28" s="24" t="str">
        <f>VLOOKUP(A28,'Trips&amp;Operators'!$C$1:$E$10000,3,FALSE)</f>
        <v>BRANNON</v>
      </c>
      <c r="M28" s="6">
        <f t="shared" si="1"/>
        <v>2.8055555558239575E-2</v>
      </c>
      <c r="N28" s="7">
        <f t="shared" si="2"/>
        <v>40.400000003864989</v>
      </c>
      <c r="O28" s="7"/>
      <c r="P28" s="7"/>
      <c r="Q28" s="25"/>
      <c r="R28" s="25"/>
      <c r="S28" s="37">
        <f t="shared" si="3"/>
        <v>1</v>
      </c>
      <c r="T28" s="52" t="str">
        <f t="shared" si="4"/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05:09:41-0600',mode:absolute,to:'2016-09-29 08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28" s="54" t="str">
        <f t="shared" si="6"/>
        <v>N</v>
      </c>
      <c r="X28" s="164">
        <f t="shared" si="7"/>
        <v>1</v>
      </c>
      <c r="Y28" s="69">
        <f t="shared" si="8"/>
        <v>23.298400000000001</v>
      </c>
      <c r="Z28" s="69">
        <f t="shared" si="9"/>
        <v>1.43E-2</v>
      </c>
      <c r="AA28" s="69">
        <f t="shared" si="10"/>
        <v>23.284100000000002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 t="shared" si="11"/>
        <v>0116-29</v>
      </c>
      <c r="AE28" s="95" t="str">
        <f t="shared" si="12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28" s="92" t="str">
        <f t="shared" si="13"/>
        <v>"C:\Program Files (x86)\AstroGrep\AstroGrep.exe" /spath="%USERPROFILE%\AppData\Local\Temp\OnboardLogs" /stypes="app*4030*20160929*" /stext=" 13:.+((SYSTEM_STATE.+slice.+state.+changed )|(ment ac)|(system.+state.+changed )|(\[timeout)|(PRM\|1\|D)|(kpr)|(kdp)|(\|lc)|(penalty))" /e /r /s</v>
      </c>
      <c r="AG28" s="1" t="str">
        <f t="shared" si="14"/>
        <v>EC</v>
      </c>
      <c r="AH28" s="96" t="str">
        <f t="shared" si="17"/>
        <v>"%USERPROFILE%\Documents\GitHub\eaglep3\Utilities\RefineRTDCRunTimes.py" --tripid 116-29 --locoid 4030 --swversion DE.1.0.7.0 --startMP 204:232984 --initTime 2016-09-29T06:09:41 --startdatetime 2016-09-29T06:26:15 --delay 1 --endMP 204:143 --enddatetime 2016-09-29T07:06:39 --enforcementcount 0 &gt;&gt;C:\Users\stu\Documents\GitHub\eaglep3-reporting\EC\2016-09-29-refined-times.txt</v>
      </c>
      <c r="AI28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{"issue":{"subject":"","project_id":79,"tracker_id":40,"status_id":1,"priority_id":2,"assigned_to_id":23,"start_date":"2016-09-29","description":"","custom_fields":[{"id":1,"name":"Subdivision","value":"EC"},{"id":4,"name":"Milepost","value":"0.0143"},{"id":17,"name":"Train ID","value":"116-29"},{"id":16,"name":"Locomotive ID","value":"4030"},{"id":130,"name":"Impact","value":""},{"id":150,"name":"Time of Event (Mountain Time)","value":"07:06:39"},{"id":151,"name":"Denver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385</v>
      </c>
      <c r="B29" s="7">
        <v>4025</v>
      </c>
      <c r="C29" s="24" t="s">
        <v>106</v>
      </c>
      <c r="D29" s="24" t="s">
        <v>212</v>
      </c>
      <c r="E29" s="15">
        <v>42642.23133101852</v>
      </c>
      <c r="F29" s="15">
        <v>42642.240833333337</v>
      </c>
      <c r="G29" s="7">
        <v>1</v>
      </c>
      <c r="H29" s="15" t="s">
        <v>291</v>
      </c>
      <c r="I29" s="15">
        <v>42642.266296296293</v>
      </c>
      <c r="J29" s="7">
        <v>0</v>
      </c>
      <c r="K29" s="117" t="str">
        <f t="shared" si="0"/>
        <v>4025/4026</v>
      </c>
      <c r="L29" s="24" t="str">
        <f>VLOOKUP(A29,'Trips&amp;Operators'!$C$1:$E$10000,3,FALSE)</f>
        <v>SPECTOR</v>
      </c>
      <c r="M29" s="6">
        <f t="shared" si="1"/>
        <v>2.5462962956225965E-2</v>
      </c>
      <c r="N29" s="7">
        <f t="shared" si="2"/>
        <v>36.66666665696539</v>
      </c>
      <c r="O29" s="7"/>
      <c r="P29" s="7"/>
      <c r="Q29" s="25"/>
      <c r="R29" s="25"/>
      <c r="S29" s="37">
        <f t="shared" si="3"/>
        <v>1</v>
      </c>
      <c r="T29" s="52" t="str">
        <f t="shared" si="4"/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04:33:07-0600',mode:absolute,to:'2016-09-29 07:23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9" s="54" t="str">
        <f t="shared" si="6"/>
        <v>N</v>
      </c>
      <c r="X29" s="164">
        <f t="shared" si="7"/>
        <v>1</v>
      </c>
      <c r="Y29" s="69">
        <f t="shared" si="8"/>
        <v>4.5100000000000001E-2</v>
      </c>
      <c r="Z29" s="69">
        <f t="shared" si="9"/>
        <v>23.331</v>
      </c>
      <c r="AA29" s="69">
        <f t="shared" si="10"/>
        <v>23.285899999999998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 t="shared" si="11"/>
        <v>0117-29</v>
      </c>
      <c r="AE29" s="95" t="str">
        <f t="shared" si="12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29" s="92" t="str">
        <f t="shared" si="13"/>
        <v>"C:\Program Files (x86)\AstroGrep\AstroGrep.exe" /spath="%USERPROFILE%\AppData\Local\Temp\OnboardLogs" /stypes="app*4025*20160929*" /stext=" 12:.+((SYSTEM_STATE.+slice.+state.+changed )|(ment ac)|(system.+state.+changed )|(\[timeout)|(PRM\|1\|D)|(kpr)|(kdp)|(\|lc)|(penalty))" /e /r /s</v>
      </c>
      <c r="AG29" s="1" t="str">
        <f t="shared" si="14"/>
        <v>EC</v>
      </c>
      <c r="AH29" s="96" t="str">
        <f t="shared" si="17"/>
        <v>"%USERPROFILE%\Documents\GitHub\eaglep3\Utilities\RefineRTDCRunTimes.py" --tripid 117-29 --locoid 4025 --swversion DE.1.0.7.0 --startMP 204:451 --initTime 2016-09-29T05:33:07 --startdatetime 2016-09-29T05:46:48 --delay 1 --endMP 204:233310 --enddatetime 2016-09-29T06:23:28 --enforcementcount 0 &gt;&gt;C:\Users\stu\Documents\GitHub\eaglep3-reporting\EC\2016-09-29-refined-times.txt</v>
      </c>
      <c r="AI2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{"issue":{"subject":"","project_id":79,"tracker_id":40,"status_id":1,"priority_id":2,"assigned_to_id":23,"start_date":"2016-09-29","description":"","custom_fields":[{"id":1,"name":"Subdivision","value":"EC"},{"id":4,"name":"Milepost","value":"23.331"},{"id":17,"name":"Train ID","value":"117-29"},{"id":16,"name":"Locomotive ID","value":"4025"},{"id":130,"name":"Impact","value":""},{"id":150,"name":"Time of Event (Mountain Time)","value":"06:23:28"},{"id":151,"name":"Denver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396</v>
      </c>
      <c r="B30" s="7">
        <v>4026</v>
      </c>
      <c r="C30" s="24" t="s">
        <v>106</v>
      </c>
      <c r="D30" s="24" t="s">
        <v>605</v>
      </c>
      <c r="E30" s="15">
        <v>42642.273287037038</v>
      </c>
      <c r="F30" s="15">
        <v>42642.278784722221</v>
      </c>
      <c r="G30" s="7">
        <v>1</v>
      </c>
      <c r="H30" s="15" t="s">
        <v>606</v>
      </c>
      <c r="I30" s="15">
        <v>42642.307673611111</v>
      </c>
      <c r="J30" s="7">
        <v>0</v>
      </c>
      <c r="K30" s="117" t="str">
        <f t="shared" si="0"/>
        <v>4025/4026</v>
      </c>
      <c r="L30" s="24" t="str">
        <f>VLOOKUP(A30,'Trips&amp;Operators'!$C$1:$E$10000,3,FALSE)</f>
        <v>SPECTOR</v>
      </c>
      <c r="M30" s="6">
        <f t="shared" si="1"/>
        <v>2.8888888889923692E-2</v>
      </c>
      <c r="N30" s="7">
        <f t="shared" si="2"/>
        <v>41.600000001490116</v>
      </c>
      <c r="O30" s="7"/>
      <c r="P30" s="7"/>
      <c r="Q30" s="25"/>
      <c r="R30" s="25"/>
      <c r="S30" s="37">
        <f t="shared" si="3"/>
        <v>1</v>
      </c>
      <c r="T30" s="52" t="str">
        <f t="shared" si="4"/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05:33:32-0600',mode:absolute,to:'2016-09-29 08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30" s="54" t="str">
        <f t="shared" si="6"/>
        <v>N</v>
      </c>
      <c r="X30" s="164">
        <f t="shared" si="7"/>
        <v>1</v>
      </c>
      <c r="Y30" s="69">
        <f t="shared" si="8"/>
        <v>23.299399999999999</v>
      </c>
      <c r="Z30" s="69">
        <f t="shared" si="9"/>
        <v>2.23E-2</v>
      </c>
      <c r="AA30" s="69">
        <f t="shared" si="10"/>
        <v>23.277099999999997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 t="shared" si="11"/>
        <v>0118-29</v>
      </c>
      <c r="AE30" s="95" t="str">
        <f t="shared" si="12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30" s="92" t="str">
        <f t="shared" si="13"/>
        <v>"C:\Program Files (x86)\AstroGrep\AstroGrep.exe" /spath="%USERPROFILE%\AppData\Local\Temp\OnboardLogs" /stypes="app*4026*20160929*" /stext=" 13:.+((SYSTEM_STATE.+slice.+state.+changed )|(ment ac)|(system.+state.+changed )|(\[timeout)|(PRM\|1\|D)|(kpr)|(kdp)|(\|lc)|(penalty))" /e /r /s</v>
      </c>
      <c r="AG30" s="1" t="str">
        <f t="shared" si="14"/>
        <v>EC</v>
      </c>
      <c r="AH30" s="96" t="str">
        <f t="shared" si="17"/>
        <v>"%USERPROFILE%\Documents\GitHub\eaglep3\Utilities\RefineRTDCRunTimes.py" --tripid 118-29 --locoid 4026 --swversion DE.1.0.7.0 --startMP 204:232994 --initTime 2016-09-29T06:33:32 --startdatetime 2016-09-29T06:41:27 --delay 1 --endMP 204:223 --enddatetime 2016-09-29T07:23:03 --enforcementcount 0 &gt;&gt;C:\Users\stu\Documents\GitHub\eaglep3-reporting\EC\2016-09-29-refined-times.txt</v>
      </c>
      <c r="AI3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{"issue":{"subject":"","project_id":79,"tracker_id":40,"status_id":1,"priority_id":2,"assigned_to_id":23,"start_date":"2016-09-29","description":"","custom_fields":[{"id":1,"name":"Subdivision","value":"EC"},{"id":4,"name":"Milepost","value":"0.0223"},{"id":17,"name":"Train ID","value":"118-29"},{"id":16,"name":"Locomotive ID","value":"4026"},{"id":130,"name":"Impact","value":""},{"id":150,"name":"Time of Event (Mountain Time)","value":"07:23:03"},{"id":151,"name":"Denver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387</v>
      </c>
      <c r="B31" s="7">
        <v>4046</v>
      </c>
      <c r="C31" s="24" t="s">
        <v>106</v>
      </c>
      <c r="D31" s="24" t="s">
        <v>607</v>
      </c>
      <c r="E31" s="15">
        <v>42642.247106481482</v>
      </c>
      <c r="F31" s="15">
        <v>42642.250335648147</v>
      </c>
      <c r="G31" s="7">
        <v>1</v>
      </c>
      <c r="H31" s="15" t="s">
        <v>608</v>
      </c>
      <c r="I31" s="15">
        <v>42642.275439814817</v>
      </c>
      <c r="J31" s="7">
        <v>0</v>
      </c>
      <c r="K31" s="117" t="str">
        <f t="shared" si="0"/>
        <v>4045/4046</v>
      </c>
      <c r="L31" s="24" t="str">
        <f>VLOOKUP(A31,'Trips&amp;Operators'!$C$1:$E$10000,3,FALSE)</f>
        <v>MALAVE</v>
      </c>
      <c r="M31" s="6">
        <f t="shared" si="1"/>
        <v>2.510416667064419E-2</v>
      </c>
      <c r="N31" s="7">
        <f t="shared" si="2"/>
        <v>36.150000005727634</v>
      </c>
      <c r="O31" s="7"/>
      <c r="P31" s="7"/>
      <c r="Q31" s="25"/>
      <c r="R31" s="25"/>
      <c r="S31" s="37">
        <f t="shared" si="3"/>
        <v>1</v>
      </c>
      <c r="T31" s="52" t="str">
        <f t="shared" si="4"/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04:55:50-0600',mode:absolute,to:'2016-09-29 07:36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31" s="54" t="str">
        <f t="shared" si="6"/>
        <v>N</v>
      </c>
      <c r="X31" s="164">
        <f t="shared" si="7"/>
        <v>1</v>
      </c>
      <c r="Y31" s="69">
        <f t="shared" si="8"/>
        <v>7.5700000000000003E-2</v>
      </c>
      <c r="Z31" s="69">
        <f t="shared" si="9"/>
        <v>23.328399999999998</v>
      </c>
      <c r="AA31" s="69">
        <f t="shared" si="10"/>
        <v>23.252699999999997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 t="shared" si="11"/>
        <v>0119-29</v>
      </c>
      <c r="AE31" s="95" t="str">
        <f t="shared" si="12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31" s="92" t="str">
        <f t="shared" si="13"/>
        <v>"C:\Program Files (x86)\AstroGrep\AstroGrep.exe" /spath="%USERPROFILE%\AppData\Local\Temp\OnboardLogs" /stypes="app*4046*20160929*" /stext=" 12:.+((SYSTEM_STATE.+slice.+state.+changed )|(ment ac)|(system.+state.+changed )|(\[timeout)|(PRM\|1\|D)|(kpr)|(kdp)|(\|lc)|(penalty))" /e /r /s</v>
      </c>
      <c r="AG31" s="1" t="str">
        <f t="shared" si="14"/>
        <v>EC</v>
      </c>
      <c r="AH31" s="96" t="str">
        <f t="shared" si="17"/>
        <v>"%USERPROFILE%\Documents\GitHub\eaglep3\Utilities\RefineRTDCRunTimes.py" --tripid 119-29 --locoid 4046 --swversion DE.1.0.7.0 --startMP 204:757 --initTime 2016-09-29T05:55:50 --startdatetime 2016-09-29T06:00:29 --delay 1 --endMP 204:233284 --enddatetime 2016-09-29T06:36:38 --enforcementcount 0 &gt;&gt;C:\Users\stu\Documents\GitHub\eaglep3-reporting\EC\2016-09-29-refined-times.txt</v>
      </c>
      <c r="AI3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{"issue":{"subject":"","project_id":79,"tracker_id":40,"status_id":1,"priority_id":2,"assigned_to_id":23,"start_date":"2016-09-29","description":"","custom_fields":[{"id":1,"name":"Subdivision","value":"EC"},{"id":4,"name":"Milepost","value":"23.3284"},{"id":17,"name":"Train ID","value":"119-29"},{"id":16,"name":"Locomotive ID","value":"4046"},{"id":130,"name":"Impact","value":""},{"id":150,"name":"Time of Event (Mountain Time)","value":"06:36:38"},{"id":151,"name":"Denver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399</v>
      </c>
      <c r="B32" s="7">
        <v>4045</v>
      </c>
      <c r="C32" s="24" t="s">
        <v>106</v>
      </c>
      <c r="D32" s="24" t="s">
        <v>334</v>
      </c>
      <c r="E32" s="15">
        <v>42642.287615740737</v>
      </c>
      <c r="F32" s="15">
        <v>42642.289641203701</v>
      </c>
      <c r="G32" s="7">
        <v>1</v>
      </c>
      <c r="H32" s="15" t="s">
        <v>127</v>
      </c>
      <c r="I32" s="15">
        <v>42642.317037037035</v>
      </c>
      <c r="J32" s="7">
        <v>0</v>
      </c>
      <c r="K32" s="117" t="str">
        <f t="shared" si="0"/>
        <v>4045/4046</v>
      </c>
      <c r="L32" s="24" t="str">
        <f>VLOOKUP(A32,'Trips&amp;Operators'!$C$1:$E$10000,3,FALSE)</f>
        <v>MALAVE</v>
      </c>
      <c r="M32" s="6">
        <f t="shared" si="1"/>
        <v>2.7395833334594499E-2</v>
      </c>
      <c r="N32" s="7">
        <f t="shared" si="2"/>
        <v>39.450000001816079</v>
      </c>
      <c r="O32" s="7"/>
      <c r="P32" s="7"/>
      <c r="Q32" s="25"/>
      <c r="R32" s="25"/>
      <c r="S32" s="37">
        <f t="shared" si="3"/>
        <v>1</v>
      </c>
      <c r="T32" s="52" t="str">
        <f t="shared" si="4"/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05:54:10-0600',mode:absolute,to:'2016-09-29 08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32" s="54" t="str">
        <f t="shared" si="6"/>
        <v>N</v>
      </c>
      <c r="X32" s="164">
        <f t="shared" si="7"/>
        <v>1</v>
      </c>
      <c r="Y32" s="69">
        <f t="shared" si="8"/>
        <v>23.2959</v>
      </c>
      <c r="Z32" s="69">
        <f t="shared" si="9"/>
        <v>1.54E-2</v>
      </c>
      <c r="AA32" s="69">
        <f t="shared" si="10"/>
        <v>23.2805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 t="shared" si="11"/>
        <v>0120-29</v>
      </c>
      <c r="AE32" s="95" t="str">
        <f t="shared" si="12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32" s="92" t="str">
        <f t="shared" si="13"/>
        <v>"C:\Program Files (x86)\AstroGrep\AstroGrep.exe" /spath="%USERPROFILE%\AppData\Local\Temp\OnboardLogs" /stypes="app*4045*20160929*" /stext=" 13:.+((SYSTEM_STATE.+slice.+state.+changed )|(ment ac)|(system.+state.+changed )|(\[timeout)|(PRM\|1\|D)|(kpr)|(kdp)|(\|lc)|(penalty))" /e /r /s</v>
      </c>
      <c r="AG32" s="1" t="str">
        <f t="shared" si="14"/>
        <v>EC</v>
      </c>
      <c r="AH32" s="96" t="str">
        <f t="shared" si="17"/>
        <v>"%USERPROFILE%\Documents\GitHub\eaglep3\Utilities\RefineRTDCRunTimes.py" --tripid 120-29 --locoid 4045 --swversion DE.1.0.7.0 --startMP 204:232959 --initTime 2016-09-29T06:54:10 --startdatetime 2016-09-29T06:57:05 --delay 1 --endMP 204:154 --enddatetime 2016-09-29T07:36:32 --enforcementcount 0 &gt;&gt;C:\Users\stu\Documents\GitHub\eaglep3-reporting\EC\2016-09-29-refined-times.txt</v>
      </c>
      <c r="AI3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{"issue":{"subject":"","project_id":79,"tracker_id":40,"status_id":1,"priority_id":2,"assigned_to_id":23,"start_date":"2016-09-29","description":"","custom_fields":[{"id":1,"name":"Subdivision","value":"EC"},{"id":4,"name":"Milepost","value":"0.0154"},{"id":17,"name":"Train ID","value":"120-29"},{"id":16,"name":"Locomotive ID","value":"4045"},{"id":130,"name":"Impact","value":""},{"id":150,"name":"Time of Event (Mountain Time)","value":"07:36:32"},{"id":151,"name":"Denver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393</v>
      </c>
      <c r="B33" s="7">
        <v>4040</v>
      </c>
      <c r="C33" s="24" t="s">
        <v>106</v>
      </c>
      <c r="D33" s="24" t="s">
        <v>344</v>
      </c>
      <c r="E33" s="15">
        <v>42642.257210648146</v>
      </c>
      <c r="F33" s="15">
        <v>42642.260798611111</v>
      </c>
      <c r="G33" s="7">
        <v>1</v>
      </c>
      <c r="H33" s="15" t="s">
        <v>609</v>
      </c>
      <c r="I33" s="15">
        <v>42642.288344907407</v>
      </c>
      <c r="J33" s="7">
        <v>0</v>
      </c>
      <c r="K33" s="117" t="str">
        <f t="shared" si="0"/>
        <v>4039/4040</v>
      </c>
      <c r="L33" s="24" t="str">
        <f>VLOOKUP(A33,'Trips&amp;Operators'!$C$1:$E$10000,3,FALSE)</f>
        <v>STRICKLAND</v>
      </c>
      <c r="M33" s="6">
        <f t="shared" si="1"/>
        <v>2.7546296296350192E-2</v>
      </c>
      <c r="N33" s="7">
        <f t="shared" si="2"/>
        <v>39.666666666744277</v>
      </c>
      <c r="O33" s="7"/>
      <c r="P33" s="7"/>
      <c r="Q33" s="25"/>
      <c r="R33" s="25"/>
      <c r="S33" s="37">
        <f t="shared" si="3"/>
        <v>1</v>
      </c>
      <c r="T33" s="52" t="str">
        <f t="shared" si="4"/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05:10:23-0600',mode:absolute,to:'2016-09-29 07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33" s="54" t="str">
        <f t="shared" si="6"/>
        <v>N</v>
      </c>
      <c r="X33" s="164">
        <f t="shared" si="7"/>
        <v>1</v>
      </c>
      <c r="Y33" s="69">
        <f t="shared" si="8"/>
        <v>4.7500000000000001E-2</v>
      </c>
      <c r="Z33" s="69">
        <f t="shared" si="9"/>
        <v>23.321200000000001</v>
      </c>
      <c r="AA33" s="69">
        <f t="shared" si="10"/>
        <v>23.273700000000002</v>
      </c>
      <c r="AB33" s="66" t="str">
        <f>VLOOKUP(A33,Enforcements!$C$7:$K$21,8,0)</f>
        <v>Speed (6)</v>
      </c>
      <c r="AC33" s="62" t="str">
        <f>VLOOKUP(A33,Enforcements!$C$7:$E$21,3,0)</f>
        <v>PERMANENT SPEED RESTRICTION</v>
      </c>
      <c r="AD33" s="63" t="str">
        <f t="shared" si="11"/>
        <v>0121-29</v>
      </c>
      <c r="AE33" s="95" t="str">
        <f t="shared" si="12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33" s="92" t="str">
        <f t="shared" si="13"/>
        <v>"C:\Program Files (x86)\AstroGrep\AstroGrep.exe" /spath="%USERPROFILE%\AppData\Local\Temp\OnboardLogs" /stypes="app*4040*20160929*" /stext=" 12:.+((SYSTEM_STATE.+slice.+state.+changed )|(ment ac)|(system.+state.+changed )|(\[timeout)|(PRM\|1\|D)|(kpr)|(kdp)|(\|lc)|(penalty))" /e /r /s</v>
      </c>
      <c r="AG33" s="1" t="str">
        <f t="shared" si="14"/>
        <v>EC</v>
      </c>
      <c r="AH33" s="96" t="str">
        <f t="shared" si="17"/>
        <v>"%USERPROFILE%\Documents\GitHub\eaglep3\Utilities\RefineRTDCRunTimes.py" --tripid 121-29 --locoid 4040 --swversion DE.1.0.7.0 --startMP 204:475 --initTime 2016-09-29T06:10:23 --startdatetime 2016-09-29T06:15:33 --delay 1 --endMP 204:233212 --enddatetime 2016-09-29T06:55:13 --enforcementcount 0 &gt;&gt;C:\Users\stu\Documents\GitHub\eaglep3-reporting\EC\2016-09-29-refined-times.txt</v>
      </c>
      <c r="AI3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{"issue":{"subject":"","project_id":79,"tracker_id":40,"status_id":1,"priority_id":2,"assigned_to_id":23,"start_date":"2016-09-29","description":"","custom_fields":[{"id":1,"name":"Subdivision","value":"EC"},{"id":4,"name":"Milepost","value":"23.3212"},{"id":17,"name":"Train ID","value":"121-29"},{"id":16,"name":"Locomotive ID","value":"4040"},{"id":130,"name":"Impact","value":""},{"id":150,"name":"Time of Event (Mountain Time)","value":"06:55:13"},{"id":151,"name":"Denver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401</v>
      </c>
      <c r="B34" s="7">
        <v>4039</v>
      </c>
      <c r="C34" s="24" t="s">
        <v>106</v>
      </c>
      <c r="D34" s="24" t="s">
        <v>258</v>
      </c>
      <c r="E34" s="15">
        <v>42642.295416666668</v>
      </c>
      <c r="F34" s="15">
        <v>42642.299976851849</v>
      </c>
      <c r="G34" s="7">
        <v>1</v>
      </c>
      <c r="H34" s="15" t="s">
        <v>203</v>
      </c>
      <c r="I34" s="15">
        <v>42642.3284375</v>
      </c>
      <c r="J34" s="7">
        <v>0</v>
      </c>
      <c r="K34" s="117" t="str">
        <f t="shared" si="0"/>
        <v>4039/4040</v>
      </c>
      <c r="L34" s="24" t="str">
        <f>VLOOKUP(A34,'Trips&amp;Operators'!$C$1:$E$10000,3,FALSE)</f>
        <v>STRICKLAND</v>
      </c>
      <c r="M34" s="6">
        <f t="shared" si="1"/>
        <v>2.846064815093996E-2</v>
      </c>
      <c r="N34" s="7">
        <f t="shared" si="2"/>
        <v>40.983333337353542</v>
      </c>
      <c r="O34" s="7"/>
      <c r="P34" s="7"/>
      <c r="Q34" s="25"/>
      <c r="R34" s="25"/>
      <c r="S34" s="37">
        <f t="shared" si="3"/>
        <v>1</v>
      </c>
      <c r="T34" s="52" t="str">
        <f t="shared" si="4"/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06:05:24-0600',mode:absolute,to:'2016-09-29 08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34" s="54" t="str">
        <f t="shared" si="6"/>
        <v>N</v>
      </c>
      <c r="X34" s="164">
        <f t="shared" si="7"/>
        <v>1</v>
      </c>
      <c r="Y34" s="69">
        <f t="shared" si="8"/>
        <v>23.297899999999998</v>
      </c>
      <c r="Z34" s="69">
        <f t="shared" si="9"/>
        <v>1.5800000000000002E-2</v>
      </c>
      <c r="AA34" s="69">
        <f t="shared" si="10"/>
        <v>23.2821</v>
      </c>
      <c r="AB34" s="66" t="str">
        <f>VLOOKUP(A34,Enforcements!$C$7:$K$21,8,0)</f>
        <v>Bulletin (2)</v>
      </c>
      <c r="AC34" s="62" t="str">
        <f>VLOOKUP(A34,Enforcements!$C$7:$E$21,3,0)</f>
        <v>GRADE CROSSING</v>
      </c>
      <c r="AD34" s="63" t="str">
        <f t="shared" si="11"/>
        <v>0122-29</v>
      </c>
      <c r="AE34" s="95" t="str">
        <f t="shared" si="12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34" s="92" t="str">
        <f t="shared" si="13"/>
        <v>"C:\Program Files (x86)\AstroGrep\AstroGrep.exe" /spath="%USERPROFILE%\AppData\Local\Temp\OnboardLogs" /stypes="app*4039*20160929*" /stext=" 13:.+((SYSTEM_STATE.+slice.+state.+changed )|(ment ac)|(system.+state.+changed )|(\[timeout)|(PRM\|1\|D)|(kpr)|(kdp)|(\|lc)|(penalty))" /e /r /s</v>
      </c>
      <c r="AG34" s="1" t="str">
        <f t="shared" si="14"/>
        <v>EC</v>
      </c>
      <c r="AH34" s="96" t="str">
        <f t="shared" si="17"/>
        <v>"%USERPROFILE%\Documents\GitHub\eaglep3\Utilities\RefineRTDCRunTimes.py" --tripid 122-29 --locoid 4039 --swversion DE.1.0.7.0 --startMP 204:232979 --initTime 2016-09-29T07:05:24 --startdatetime 2016-09-29T07:11:58 --delay 1 --endMP 204:158 --enddatetime 2016-09-29T07:52:57 --enforcementcount 0 &gt;&gt;C:\Users\stu\Documents\GitHub\eaglep3-reporting\EC\2016-09-29-refined-times.txt</v>
      </c>
      <c r="AI3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{"issue":{"subject":"","project_id":79,"tracker_id":40,"status_id":1,"priority_id":2,"assigned_to_id":23,"start_date":"2016-09-29","description":"","custom_fields":[{"id":1,"name":"Subdivision","value":"EC"},{"id":4,"name":"Milepost","value":"0.0158"},{"id":17,"name":"Train ID","value":"122-29"},{"id":16,"name":"Locomotive ID","value":"4039"},{"id":130,"name":"Impact","value":""},{"id":150,"name":"Time of Event (Mountain Time)","value":"07:52:57"},{"id":151,"name":"Denver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5"/>
      <c r="AK34" s="55"/>
      <c r="AL34" s="55"/>
    </row>
    <row r="35" spans="1:38" s="1" customFormat="1" x14ac:dyDescent="0.25">
      <c r="A35" s="39" t="s">
        <v>394</v>
      </c>
      <c r="B35" s="7">
        <v>4020</v>
      </c>
      <c r="C35" s="24" t="s">
        <v>106</v>
      </c>
      <c r="D35" s="24" t="s">
        <v>219</v>
      </c>
      <c r="E35" s="15">
        <v>42642.267847222225</v>
      </c>
      <c r="F35" s="15">
        <v>42642.271053240744</v>
      </c>
      <c r="G35" s="7">
        <v>1</v>
      </c>
      <c r="H35" s="15" t="s">
        <v>260</v>
      </c>
      <c r="I35" s="15">
        <v>42642.295011574075</v>
      </c>
      <c r="J35" s="7">
        <v>0</v>
      </c>
      <c r="K35" s="117" t="str">
        <f t="shared" si="0"/>
        <v>4019/4020</v>
      </c>
      <c r="L35" s="24" t="str">
        <f>VLOOKUP(A35,'Trips&amp;Operators'!$C$1:$E$10000,3,FALSE)</f>
        <v>ROCHA</v>
      </c>
      <c r="M35" s="6">
        <f t="shared" si="1"/>
        <v>2.3958333331393078E-2</v>
      </c>
      <c r="N35" s="7">
        <f t="shared" si="2"/>
        <v>34.499999997206032</v>
      </c>
      <c r="O35" s="7"/>
      <c r="P35" s="7"/>
      <c r="Q35" s="25"/>
      <c r="R35" s="25"/>
      <c r="S35" s="37">
        <f t="shared" si="3"/>
        <v>1</v>
      </c>
      <c r="T35" s="52" t="str">
        <f t="shared" si="4"/>
        <v>NorthBound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05:25:42-0600',mode:absolute,to:'2016-09-29 08:04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35" s="54" t="str">
        <f t="shared" si="6"/>
        <v>N</v>
      </c>
      <c r="X35" s="164">
        <f t="shared" si="7"/>
        <v>1</v>
      </c>
      <c r="Y35" s="69">
        <f t="shared" si="8"/>
        <v>4.6199999999999998E-2</v>
      </c>
      <c r="Z35" s="69">
        <f t="shared" si="9"/>
        <v>23.330500000000001</v>
      </c>
      <c r="AA35" s="69">
        <f t="shared" si="10"/>
        <v>23.284300000000002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 t="shared" si="11"/>
        <v>0123-29</v>
      </c>
      <c r="AE35" s="95" t="str">
        <f t="shared" si="12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35" s="92" t="str">
        <f t="shared" si="13"/>
        <v>"C:\Program Files (x86)\AstroGrep\AstroGrep.exe" /spath="%USERPROFILE%\AppData\Local\Temp\OnboardLogs" /stypes="app*4020*20160929*" /stext=" 13:.+((SYSTEM_STATE.+slice.+state.+changed )|(ment ac)|(system.+state.+changed )|(\[timeout)|(PRM\|1\|D)|(kpr)|(kdp)|(\|lc)|(penalty))" /e /r /s</v>
      </c>
      <c r="AG35" s="1" t="str">
        <f t="shared" si="14"/>
        <v>EC</v>
      </c>
      <c r="AH35" s="96" t="str">
        <f t="shared" si="17"/>
        <v>"%USERPROFILE%\Documents\GitHub\eaglep3\Utilities\RefineRTDCRunTimes.py" --tripid 123-29 --locoid 4020 --swversion DE.1.0.7.0 --startMP 204:462 --initTime 2016-09-29T06:25:42 --startdatetime 2016-09-29T06:30:19 --delay 1 --endMP 204:233305 --enddatetime 2016-09-29T07:04:49 --enforcementcount 0 &gt;&gt;C:\Users\stu\Documents\GitHub\eaglep3-reporting\EC\2016-09-29-refined-times.txt</v>
      </c>
      <c r="AI3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{"issue":{"subject":"","project_id":79,"tracker_id":40,"status_id":1,"priority_id":2,"assigned_to_id":23,"start_date":"2016-09-29","description":"","custom_fields":[{"id":1,"name":"Subdivision","value":"EC"},{"id":4,"name":"Milepost","value":"23.3305"},{"id":17,"name":"Train ID","value":"123-29"},{"id":16,"name":"Locomotive ID","value":"4020"},{"id":130,"name":"Impact","value":""},{"id":150,"name":"Time of Event (Mountain Time)","value":"07:04:49"},{"id":151,"name":"Denver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405</v>
      </c>
      <c r="B36" s="7">
        <v>4019</v>
      </c>
      <c r="C36" s="24" t="s">
        <v>106</v>
      </c>
      <c r="D36" s="24" t="s">
        <v>277</v>
      </c>
      <c r="E36" s="15">
        <v>42642.308148148149</v>
      </c>
      <c r="F36" s="15">
        <v>42642.309965277775</v>
      </c>
      <c r="G36" s="7">
        <v>1</v>
      </c>
      <c r="H36" s="15" t="s">
        <v>226</v>
      </c>
      <c r="I36" s="15">
        <v>42642.336435185185</v>
      </c>
      <c r="J36" s="7">
        <v>0</v>
      </c>
      <c r="K36" s="117" t="str">
        <f t="shared" si="0"/>
        <v>4019/4020</v>
      </c>
      <c r="L36" s="24" t="str">
        <f>VLOOKUP(A36,'Trips&amp;Operators'!$C$1:$E$10000,3,FALSE)</f>
        <v>ROCHA</v>
      </c>
      <c r="M36" s="6">
        <f t="shared" si="1"/>
        <v>2.6469907410501037E-2</v>
      </c>
      <c r="N36" s="7">
        <f t="shared" si="2"/>
        <v>38.116666671121493</v>
      </c>
      <c r="O36" s="7"/>
      <c r="P36" s="7"/>
      <c r="Q36" s="25"/>
      <c r="R36" s="25"/>
      <c r="S36" s="37">
        <f t="shared" si="3"/>
        <v>1</v>
      </c>
      <c r="T36" s="52" t="str">
        <f t="shared" si="4"/>
        <v>Southbound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06:23:44-0600',mode:absolute,to:'2016-09-29 09:04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36" s="54" t="str">
        <f t="shared" si="6"/>
        <v>N</v>
      </c>
      <c r="X36" s="164">
        <f t="shared" si="7"/>
        <v>1</v>
      </c>
      <c r="Y36" s="69">
        <f t="shared" si="8"/>
        <v>23.296500000000002</v>
      </c>
      <c r="Z36" s="69">
        <f t="shared" si="9"/>
        <v>1.5599999999999999E-2</v>
      </c>
      <c r="AA36" s="69">
        <f t="shared" si="10"/>
        <v>23.280900000000003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 t="shared" si="11"/>
        <v>0124-29</v>
      </c>
      <c r="AE36" s="95" t="str">
        <f t="shared" si="12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36" s="92" t="str">
        <f t="shared" si="13"/>
        <v>"C:\Program Files (x86)\AstroGrep\AstroGrep.exe" /spath="%USERPROFILE%\AppData\Local\Temp\OnboardLogs" /stypes="app*4019*20160929*" /stext=" 14:.+((SYSTEM_STATE.+slice.+state.+changed )|(ment ac)|(system.+state.+changed )|(\[timeout)|(PRM\|1\|D)|(kpr)|(kdp)|(\|lc)|(penalty))" /e /r /s</v>
      </c>
      <c r="AG36" s="1" t="str">
        <f t="shared" si="14"/>
        <v>EC</v>
      </c>
      <c r="AH36" s="96" t="str">
        <f t="shared" si="17"/>
        <v>"%USERPROFILE%\Documents\GitHub\eaglep3\Utilities\RefineRTDCRunTimes.py" --tripid 124-29 --locoid 4019 --swversion DE.1.0.7.0 --startMP 204:232965 --initTime 2016-09-29T07:23:44 --startdatetime 2016-09-29T07:26:21 --delay 1 --endMP 204:156 --enddatetime 2016-09-29T08:04:28 --enforcementcount 0 &gt;&gt;C:\Users\stu\Documents\GitHub\eaglep3-reporting\EC\2016-09-29-refined-times.txt</v>
      </c>
      <c r="AI3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ID","value":"124-29"},{"id":16,"name":"Locomotive ID","value":"4019"},{"id":130,"name":"Impact","value":""},{"id":150,"name":"Time of Event (Mountain Time)","value":"08:04:28"},{"id":151,"name":"Denver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398</v>
      </c>
      <c r="B37" s="7">
        <v>4042</v>
      </c>
      <c r="C37" s="24" t="s">
        <v>106</v>
      </c>
      <c r="D37" s="24" t="s">
        <v>299</v>
      </c>
      <c r="E37" s="15">
        <v>42642.279282407406</v>
      </c>
      <c r="F37" s="15">
        <v>42642.278124999997</v>
      </c>
      <c r="G37" s="7">
        <v>1</v>
      </c>
      <c r="H37" s="15" t="s">
        <v>262</v>
      </c>
      <c r="I37" s="15">
        <v>42642.306284722225</v>
      </c>
      <c r="J37" s="7">
        <v>0</v>
      </c>
      <c r="K37" s="117" t="str">
        <f t="shared" si="0"/>
        <v>4041/4042</v>
      </c>
      <c r="L37" s="24" t="str">
        <f>VLOOKUP(A37,'Trips&amp;Operators'!$C$1:$E$10000,3,FALSE)</f>
        <v>BEAM</v>
      </c>
      <c r="M37" s="6">
        <f t="shared" si="1"/>
        <v>2.8159722227428574E-2</v>
      </c>
      <c r="N37" s="7">
        <f t="shared" si="2"/>
        <v>40.550000007497147</v>
      </c>
      <c r="O37" s="7"/>
      <c r="P37" s="7"/>
      <c r="Q37" s="25"/>
      <c r="R37" s="25" t="s">
        <v>742</v>
      </c>
      <c r="S37" s="37">
        <f t="shared" si="3"/>
        <v>1</v>
      </c>
      <c r="T37" s="52" t="str">
        <f t="shared" si="4"/>
        <v>NorthBound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05:42:10-0600',mode:absolute,to:'2016-09-29 08:21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37" s="54" t="str">
        <f t="shared" si="6"/>
        <v>N</v>
      </c>
      <c r="X37" s="164">
        <f t="shared" ref="X37:X40" si="19">VALUE(LEFT(AD37,4))-VALUE(LEFT(AD36,4))</f>
        <v>1</v>
      </c>
      <c r="Y37" s="69">
        <f t="shared" si="8"/>
        <v>4.3499999999999997E-2</v>
      </c>
      <c r="Z37" s="69">
        <f t="shared" si="9"/>
        <v>23.328900000000001</v>
      </c>
      <c r="AA37" s="69">
        <f t="shared" si="10"/>
        <v>23.285399999999999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 t="shared" si="11"/>
        <v>0125-29</v>
      </c>
      <c r="AE37" s="95" t="str">
        <f t="shared" si="12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37" s="92" t="str">
        <f t="shared" si="13"/>
        <v>"C:\Program Files (x86)\AstroGrep\AstroGrep.exe" /spath="%USERPROFILE%\AppData\Local\Temp\OnboardLogs" /stypes="app*4042*20160929*" /stext=" 13:.+((SYSTEM_STATE.+slice.+state.+changed )|(ment ac)|(system.+state.+changed )|(\[timeout)|(PRM\|1\|D)|(kpr)|(kdp)|(\|lc)|(penalty))" /e /r /s</v>
      </c>
      <c r="AG37" s="1" t="str">
        <f t="shared" si="14"/>
        <v>EC</v>
      </c>
      <c r="AH37" s="96" t="str">
        <f t="shared" si="17"/>
        <v>"%USERPROFILE%\Documents\GitHub\eaglep3\Utilities\RefineRTDCRunTimes.py" --tripid 125-29 --locoid 4042 --swversion DE.1.0.7.0 --startMP 204:435 --initTime 2016-09-29T06:42:10 --startdatetime 2016-09-29T06:40:30 --delay 1 --endMP 204:233289 --enddatetime 2016-09-29T07:21:03 --enforcementcount 0 &gt;&gt;C:\Users\stu\Documents\GitHub\eaglep3-reporting\EC\2016-09-29-refined-times.txt</v>
      </c>
      <c r="AI37" s="130" t="str">
        <f t="shared" si="18"/>
        <v>echo {"issue":{"subject":"Onboard in-route failure, but recovered and re-initialized","project_id":79,"tracker_id":40,"status_id":1,"priority_id":2,"assigned_to_id":23,"start_date":"2016-09-29","description":"","custom_fields":[{"id":1,"name":"Subdivision","value":"EC"},{"id":4,"name":"Milepost","value":"23.3289"},{"id":17,"name":"Train ID","value":"125-29"},{"id":16,"name":"Locomotive ID","value":"4042"},{"id":130,"name":"Impact","value":""},{"id":150,"name":"Time of Event (Mountain Time)","value":"07:21:03"},{"id":151,"name":"Denver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31" customFormat="1" x14ac:dyDescent="0.25">
      <c r="A38" s="39" t="s">
        <v>408</v>
      </c>
      <c r="B38" s="7">
        <v>4041</v>
      </c>
      <c r="C38" s="24" t="s">
        <v>106</v>
      </c>
      <c r="D38" s="24" t="s">
        <v>275</v>
      </c>
      <c r="E38" s="15">
        <v>42642.318148148152</v>
      </c>
      <c r="F38" s="15">
        <v>42642.317511574074</v>
      </c>
      <c r="G38" s="7">
        <v>1</v>
      </c>
      <c r="H38" s="15" t="s">
        <v>273</v>
      </c>
      <c r="I38" s="15">
        <v>42642.319525462961</v>
      </c>
      <c r="J38" s="7">
        <v>0</v>
      </c>
      <c r="K38" s="117" t="str">
        <f t="shared" si="0"/>
        <v>4041/4042</v>
      </c>
      <c r="L38" s="24" t="str">
        <f>VLOOKUP(A38,'Trips&amp;Operators'!$C$1:$E$10000,3,FALSE)</f>
        <v>BEAM</v>
      </c>
      <c r="M38" s="6">
        <f t="shared" si="1"/>
        <v>2.0138888867222704E-3</v>
      </c>
      <c r="N38" s="7"/>
      <c r="O38" s="7"/>
      <c r="P38" s="7">
        <f>24*60*SUM($M38:$M38)</f>
        <v>2.8999999968800694</v>
      </c>
      <c r="Q38" s="25"/>
      <c r="R38" s="25" t="s">
        <v>306</v>
      </c>
      <c r="S38" s="37">
        <f t="shared" si="3"/>
        <v>0</v>
      </c>
      <c r="T38" s="52" t="str">
        <f t="shared" si="4"/>
        <v>Southbound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06:38:08-0600',mode:absolute,to:'2016-09-29 08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38" s="54" t="str">
        <f t="shared" si="6"/>
        <v>Y</v>
      </c>
      <c r="X38" s="164">
        <f t="shared" si="19"/>
        <v>1</v>
      </c>
      <c r="Y38" s="69">
        <f t="shared" si="8"/>
        <v>23.298300000000001</v>
      </c>
      <c r="Z38" s="69">
        <f t="shared" si="9"/>
        <v>23.298100000000002</v>
      </c>
      <c r="AA38" s="69">
        <f t="shared" si="10"/>
        <v>1.9999999999953388E-4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 t="shared" si="11"/>
        <v>0126-29</v>
      </c>
      <c r="AE38" s="95" t="str">
        <f t="shared" si="12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38" s="92" t="str">
        <f t="shared" si="13"/>
        <v>"C:\Program Files (x86)\AstroGrep\AstroGrep.exe" /spath="%USERPROFILE%\AppData\Local\Temp\OnboardLogs" /stypes="app*4041*20160929*" /stext=" 13:.+((SYSTEM_STATE.+slice.+state.+changed )|(ment ac)|(system.+state.+changed )|(\[timeout)|(PRM\|1\|D)|(kpr)|(kdp)|(\|lc)|(penalty))" /e /r /s</v>
      </c>
      <c r="AG38" s="1" t="str">
        <f t="shared" si="14"/>
        <v>EC</v>
      </c>
      <c r="AH38" s="96" t="str">
        <f t="shared" si="17"/>
        <v>"%USERPROFILE%\Documents\GitHub\eaglep3\Utilities\RefineRTDCRunTimes.py" --tripid 126-29 --locoid 4041 --swversion DE.1.0.7.0 --startMP 204:232983 --initTime 2016-09-29T07:38:08 --startdatetime 2016-09-29T07:37:13 --delay 1 --endMP 204:232981 --enddatetime 2016-09-29T07:40:07 --enforcementcount 0 &gt;&gt;C:\Users\stu\Documents\GitHub\eaglep3-reporting\EC\2016-09-29-refined-times.txt</v>
      </c>
      <c r="AI38" s="130" t="str">
        <f t="shared" si="18"/>
        <v>echo {"issue":{"subject":"Onboard in-route failure","project_id":79,"tracker_id":40,"status_id":1,"priority_id":2,"assigned_to_id":23,"start_date":"2016-09-29","description":"Triplex issue - CPU primary changed at 07:37:32.472. Caused init to fail. After re-initing, system went failed around 07:39:45. SYS :2016/09/29 13:37:32.472:SYSTEM_STATE:slice state changed [SECONDARY]-&gt;[PRIMARY]","custom_fields":[{"id":1,"name":"Subdivision","value":"EC"},{"id":4,"name":"Milepost","value":"23.2981"},{"id":17,"name":"Train ID","value":"126-29"},{"id":16,"name":"Locomotive ID","value":"4041"},{"id":130,"name":"Impact","value":"Failed State"},{"id":150,"name":"Time of Event (Mountain Time)","value":"07:40:07"},{"id":151,"name":"Denver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38" s="55" t="s">
        <v>743</v>
      </c>
      <c r="AK38" s="55" t="s">
        <v>138</v>
      </c>
      <c r="AL38" s="55" t="s">
        <v>222</v>
      </c>
    </row>
    <row r="39" spans="1:38" s="1" customFormat="1" x14ac:dyDescent="0.25">
      <c r="A39" s="39" t="s">
        <v>400</v>
      </c>
      <c r="B39" s="7">
        <v>4002</v>
      </c>
      <c r="C39" s="24" t="s">
        <v>106</v>
      </c>
      <c r="D39" s="24" t="s">
        <v>205</v>
      </c>
      <c r="E39" s="15">
        <v>42642.287893518522</v>
      </c>
      <c r="F39" s="15">
        <v>42642.292025462964</v>
      </c>
      <c r="G39" s="7">
        <v>1</v>
      </c>
      <c r="H39" s="15" t="s">
        <v>234</v>
      </c>
      <c r="I39" s="15">
        <v>42642.319803240738</v>
      </c>
      <c r="J39" s="7">
        <v>0</v>
      </c>
      <c r="K39" s="117" t="str">
        <f t="shared" si="0"/>
        <v>4001/4002</v>
      </c>
      <c r="L39" s="24" t="str">
        <f>VLOOKUP(A39,'Trips&amp;Operators'!$C$1:$E$10000,3,FALSE)</f>
        <v>MAELZER</v>
      </c>
      <c r="M39" s="6">
        <f t="shared" si="1"/>
        <v>2.7777777773735579E-2</v>
      </c>
      <c r="N39" s="7">
        <f t="shared" ref="N39:N78" si="20">24*60*SUM($M39:$M39)</f>
        <v>39.999999994179234</v>
      </c>
      <c r="O39" s="7"/>
      <c r="P39" s="7"/>
      <c r="Q39" s="25"/>
      <c r="R39" s="25"/>
      <c r="S39" s="37">
        <f t="shared" si="3"/>
        <v>1</v>
      </c>
      <c r="T39" s="52" t="str">
        <f t="shared" si="4"/>
        <v>NorthBound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05:54:34-0600',mode:absolute,to:'2016-09-29 08:40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39" s="54" t="str">
        <f t="shared" si="6"/>
        <v>N</v>
      </c>
      <c r="X39" s="164">
        <f t="shared" si="19"/>
        <v>1</v>
      </c>
      <c r="Y39" s="69">
        <f t="shared" si="8"/>
        <v>4.53E-2</v>
      </c>
      <c r="Z39" s="69">
        <f t="shared" si="9"/>
        <v>23.331199999999999</v>
      </c>
      <c r="AA39" s="69">
        <f t="shared" si="10"/>
        <v>23.285899999999998</v>
      </c>
      <c r="AB39" s="66" t="e">
        <f>VLOOKUP(A39,Enforcements!$C$7:$K$21,8,0)</f>
        <v>#N/A</v>
      </c>
      <c r="AC39" s="62" t="e">
        <f>VLOOKUP(A39,Enforcements!$C$7:$E$21,3,0)</f>
        <v>#N/A</v>
      </c>
      <c r="AD39" s="63" t="str">
        <f t="shared" si="11"/>
        <v>0127-29</v>
      </c>
      <c r="AE39" s="95" t="str">
        <f t="shared" si="12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39" s="92" t="str">
        <f t="shared" si="13"/>
        <v>"C:\Program Files (x86)\AstroGrep\AstroGrep.exe" /spath="%USERPROFILE%\AppData\Local\Temp\OnboardLogs" /stypes="app*4002*20160929*" /stext=" 13:.+((SYSTEM_STATE.+slice.+state.+changed )|(ment ac)|(system.+state.+changed )|(\[timeout)|(PRM\|1\|D)|(kpr)|(kdp)|(\|lc)|(penalty))" /e /r /s</v>
      </c>
      <c r="AG39" s="1" t="str">
        <f t="shared" si="14"/>
        <v>EC</v>
      </c>
      <c r="AH39" s="96" t="str">
        <f t="shared" si="17"/>
        <v>"%USERPROFILE%\Documents\GitHub\eaglep3\Utilities\RefineRTDCRunTimes.py" --tripid 127-29 --locoid 4002 --swversion DE.1.0.7.0 --startMP 204:453 --initTime 2016-09-29T06:54:34 --startdatetime 2016-09-29T07:00:31 --delay 1 --endMP 204:233312 --enddatetime 2016-09-29T07:40:31 --enforcementcount 0 &gt;&gt;C:\Users\stu\Documents\GitHub\eaglep3-reporting\EC\2016-09-29-refined-times.txt</v>
      </c>
      <c r="AI3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{"issue":{"subject":"","project_id":79,"tracker_id":40,"status_id":1,"priority_id":2,"assigned_to_id":23,"start_date":"2016-09-29","description":"","custom_fields":[{"id":1,"name":"Subdivision","value":"EC"},{"id":4,"name":"Milepost","value":"23.3312"},{"id":17,"name":"Train ID","value":"127-29"},{"id":16,"name":"Locomotive ID","value":"4002"},{"id":130,"name":"Impact","value":""},{"id":150,"name":"Time of Event (Mountain Time)","value":"07:40:31"},{"id":151,"name":"Denver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411</v>
      </c>
      <c r="B40" s="7">
        <v>4001</v>
      </c>
      <c r="C40" s="24" t="s">
        <v>106</v>
      </c>
      <c r="D40" s="24" t="s">
        <v>293</v>
      </c>
      <c r="E40" s="15">
        <v>42642.325092592589</v>
      </c>
      <c r="F40" s="15">
        <v>42642.330879629626</v>
      </c>
      <c r="G40" s="7">
        <v>1</v>
      </c>
      <c r="H40" s="15" t="s">
        <v>208</v>
      </c>
      <c r="I40" s="15">
        <v>42642.358749999999</v>
      </c>
      <c r="J40" s="7">
        <v>0</v>
      </c>
      <c r="K40" s="117" t="str">
        <f t="shared" si="0"/>
        <v>4001/4002</v>
      </c>
      <c r="L40" s="24" t="str">
        <f>VLOOKUP(A40,'Trips&amp;Operators'!$C$1:$E$10000,3,FALSE)</f>
        <v>MAELZER</v>
      </c>
      <c r="M40" s="6">
        <f t="shared" si="1"/>
        <v>2.7870370373420883E-2</v>
      </c>
      <c r="N40" s="7">
        <f t="shared" si="20"/>
        <v>40.133333337726071</v>
      </c>
      <c r="O40" s="7"/>
      <c r="P40" s="7"/>
      <c r="Q40" s="25"/>
      <c r="R40" s="25"/>
      <c r="S40" s="37">
        <f t="shared" si="3"/>
        <v>1</v>
      </c>
      <c r="T40" s="52" t="str">
        <f t="shared" si="4"/>
        <v>Southbound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06:48:08-0600',mode:absolute,to:'2016-09-29 09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40" s="54" t="str">
        <f t="shared" si="6"/>
        <v>N</v>
      </c>
      <c r="X40" s="164">
        <f t="shared" si="19"/>
        <v>1</v>
      </c>
      <c r="Y40" s="69">
        <f t="shared" si="8"/>
        <v>23.2988</v>
      </c>
      <c r="Z40" s="69">
        <f t="shared" si="9"/>
        <v>1.52E-2</v>
      </c>
      <c r="AA40" s="69">
        <f t="shared" si="10"/>
        <v>23.2836</v>
      </c>
      <c r="AB40" s="66" t="str">
        <f>VLOOKUP(A40,Enforcements!$C$7:$K$21,8,0)</f>
        <v>Speed (6)</v>
      </c>
      <c r="AC40" s="62" t="str">
        <f>VLOOKUP(A40,Enforcements!$C$7:$E$21,3,0)</f>
        <v>PERMANENT SPEED RESTRICTION</v>
      </c>
      <c r="AD40" s="63" t="str">
        <f t="shared" si="11"/>
        <v>0128-29</v>
      </c>
      <c r="AE40" s="95" t="str">
        <f t="shared" si="12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40" s="92" t="str">
        <f t="shared" si="13"/>
        <v>"C:\Program Files (x86)\AstroGrep\AstroGrep.exe" /spath="%USERPROFILE%\AppData\Local\Temp\OnboardLogs" /stypes="app*4001*20160929*" /stext=" 14:.+((SYSTEM_STATE.+slice.+state.+changed )|(ment ac)|(system.+state.+changed )|(\[timeout)|(PRM\|1\|D)|(kpr)|(kdp)|(\|lc)|(penalty))" /e /r /s</v>
      </c>
      <c r="AG40" s="1" t="str">
        <f t="shared" si="14"/>
        <v>EC</v>
      </c>
      <c r="AH40" s="96" t="str">
        <f t="shared" si="17"/>
        <v>"%USERPROFILE%\Documents\GitHub\eaglep3\Utilities\RefineRTDCRunTimes.py" --tripid 128-29 --locoid 4001 --swversion DE.1.0.7.0 --startMP 204:232988 --initTime 2016-09-29T07:48:08 --startdatetime 2016-09-29T07:56:28 --delay 1 --endMP 204:152 --enddatetime 2016-09-29T08:36:36 --enforcementcount 0 &gt;&gt;C:\Users\stu\Documents\GitHub\eaglep3-reporting\EC\2016-09-29-refined-times.txt</v>
      </c>
      <c r="AI4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{"issue":{"subject":"","project_id":79,"tracker_id":40,"status_id":1,"priority_id":2,"assigned_to_id":23,"start_date":"2016-09-29","description":"","custom_fields":[{"id":1,"name":"Subdivision","value":"EC"},{"id":4,"name":"Milepost","value":"0.0152"},{"id":17,"name":"Train ID","value":"128-29"},{"id":16,"name":"Locomotive ID","value":"4001"},{"id":130,"name":"Impact","value":""},{"id":150,"name":"Time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403</v>
      </c>
      <c r="B41" s="7">
        <v>4029</v>
      </c>
      <c r="C41" s="24" t="s">
        <v>106</v>
      </c>
      <c r="D41" s="24" t="s">
        <v>214</v>
      </c>
      <c r="E41" s="15">
        <v>42642.297905092593</v>
      </c>
      <c r="F41" s="15">
        <v>42642.302511574075</v>
      </c>
      <c r="G41" s="7">
        <v>1</v>
      </c>
      <c r="H41" s="15" t="s">
        <v>610</v>
      </c>
      <c r="I41" s="15">
        <v>42642.328252314815</v>
      </c>
      <c r="J41" s="7">
        <v>0</v>
      </c>
      <c r="K41" s="117" t="str">
        <f t="shared" si="0"/>
        <v>4029/4030</v>
      </c>
      <c r="L41" s="24" t="str">
        <f>VLOOKUP(A41,'Trips&amp;Operators'!$C$1:$E$10000,3,FALSE)</f>
        <v>BRANNON</v>
      </c>
      <c r="M41" s="6">
        <f t="shared" si="1"/>
        <v>2.5740740740729962E-2</v>
      </c>
      <c r="N41" s="7">
        <f t="shared" si="20"/>
        <v>37.066666666651145</v>
      </c>
      <c r="O41" s="7"/>
      <c r="P41" s="7"/>
      <c r="Q41" s="25"/>
      <c r="R41" s="25"/>
      <c r="S41" s="37">
        <f t="shared" si="3"/>
        <v>1</v>
      </c>
      <c r="T41" s="52" t="str">
        <f t="shared" si="4"/>
        <v>NorthBound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06:08:59-0600',mode:absolute,to:'2016-09-29 08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41" s="54" t="str">
        <f t="shared" si="6"/>
        <v>N</v>
      </c>
      <c r="X41" s="164">
        <f t="shared" ref="X41:X72" si="21">VALUE(LEFT(AD41,4))-VALUE(LEFT(AD40,4))</f>
        <v>1</v>
      </c>
      <c r="Y41" s="69">
        <f t="shared" si="8"/>
        <v>4.58E-2</v>
      </c>
      <c r="Z41" s="69">
        <f t="shared" si="9"/>
        <v>23.280899999999999</v>
      </c>
      <c r="AA41" s="69">
        <f t="shared" si="10"/>
        <v>23.235099999999999</v>
      </c>
      <c r="AB41" s="66" t="e">
        <f>VLOOKUP(A41,Enforcements!$C$7:$K$21,8,0)</f>
        <v>#N/A</v>
      </c>
      <c r="AC41" s="62" t="e">
        <f>VLOOKUP(A41,Enforcements!$C$7:$E$21,3,0)</f>
        <v>#N/A</v>
      </c>
      <c r="AD41" s="63" t="str">
        <f t="shared" si="11"/>
        <v>0129-29</v>
      </c>
      <c r="AE41" s="95" t="str">
        <f t="shared" si="12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41" s="92" t="str">
        <f t="shared" si="13"/>
        <v>"C:\Program Files (x86)\AstroGrep\AstroGrep.exe" /spath="%USERPROFILE%\AppData\Local\Temp\OnboardLogs" /stypes="app*4029*20160929*" /stext=" 13:.+((SYSTEM_STATE.+slice.+state.+changed )|(ment ac)|(system.+state.+changed )|(\[timeout)|(PRM\|1\|D)|(kpr)|(kdp)|(\|lc)|(penalty))" /e /r /s</v>
      </c>
      <c r="AG41" s="1" t="str">
        <f t="shared" si="14"/>
        <v>EC</v>
      </c>
      <c r="AH41" s="96" t="str">
        <f t="shared" si="17"/>
        <v>"%USERPROFILE%\Documents\GitHub\eaglep3\Utilities\RefineRTDCRunTimes.py" --tripid 129-29 --locoid 4029 --swversion DE.1.0.7.0 --startMP 204:458 --initTime 2016-09-29T07:08:59 --startdatetime 2016-09-29T07:15:37 --delay 1 --endMP 204:232809 --enddatetime 2016-09-29T07:52:41 --enforcementcount 0 &gt;&gt;C:\Users\stu\Documents\GitHub\eaglep3-reporting\EC\2016-09-29-refined-times.txt</v>
      </c>
      <c r="AI4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{"issue":{"subject":"","project_id":79,"tracker_id":40,"status_id":1,"priority_id":2,"assigned_to_id":23,"start_date":"2016-09-29","description":"","custom_fields":[{"id":1,"name":"Subdivision","value":"EC"},{"id":4,"name":"Milepost","value":"23.2809"},{"id":17,"name":"Train ID","value":"129-29"},{"id":16,"name":"Locomotive ID","value":"4029"},{"id":130,"name":"Impact","value":""},{"id":150,"name":"Time of Event (Mountain Time)","value":"07:52:41"},{"id":151,"name":"Denver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414</v>
      </c>
      <c r="B42" s="7">
        <v>4030</v>
      </c>
      <c r="C42" s="24" t="s">
        <v>106</v>
      </c>
      <c r="D42" s="24" t="s">
        <v>275</v>
      </c>
      <c r="E42" s="15">
        <v>42642.338043981479</v>
      </c>
      <c r="F42" s="15">
        <v>42642.341319444444</v>
      </c>
      <c r="G42" s="7">
        <v>1</v>
      </c>
      <c r="H42" s="15" t="s">
        <v>331</v>
      </c>
      <c r="I42" s="15">
        <v>42642.368969907409</v>
      </c>
      <c r="J42" s="7">
        <v>0</v>
      </c>
      <c r="K42" s="117" t="str">
        <f t="shared" si="0"/>
        <v>4029/4030</v>
      </c>
      <c r="L42" s="24" t="str">
        <f>VLOOKUP(A42,'Trips&amp;Operators'!$C$1:$E$10000,3,FALSE)</f>
        <v>BRANNON</v>
      </c>
      <c r="M42" s="6">
        <f t="shared" si="1"/>
        <v>2.7650462965539191E-2</v>
      </c>
      <c r="N42" s="7">
        <f t="shared" si="20"/>
        <v>39.816666670376435</v>
      </c>
      <c r="O42" s="7"/>
      <c r="P42" s="7"/>
      <c r="Q42" s="25"/>
      <c r="R42" s="25"/>
      <c r="S42" s="37">
        <f t="shared" si="3"/>
        <v>1</v>
      </c>
      <c r="T42" s="52" t="str">
        <f t="shared" si="4"/>
        <v>Southbound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07:06:47-0600',mode:absolute,to:'2016-09-29 09:51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42" s="54" t="str">
        <f t="shared" si="6"/>
        <v>N</v>
      </c>
      <c r="X42" s="164">
        <f t="shared" si="21"/>
        <v>1</v>
      </c>
      <c r="Y42" s="69">
        <f t="shared" si="8"/>
        <v>23.298300000000001</v>
      </c>
      <c r="Z42" s="69">
        <f t="shared" si="9"/>
        <v>1.3899999999999999E-2</v>
      </c>
      <c r="AA42" s="69">
        <f t="shared" si="10"/>
        <v>23.284400000000002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 t="shared" si="11"/>
        <v>0130-29</v>
      </c>
      <c r="AE42" s="95" t="str">
        <f t="shared" si="12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42" s="92" t="str">
        <f t="shared" si="13"/>
        <v>"C:\Program Files (x86)\AstroGrep\AstroGrep.exe" /spath="%USERPROFILE%\AppData\Local\Temp\OnboardLogs" /stypes="app*4030*20160929*" /stext=" 14:.+((SYSTEM_STATE.+slice.+state.+changed )|(ment ac)|(system.+state.+changed )|(\[timeout)|(PRM\|1\|D)|(kpr)|(kdp)|(\|lc)|(penalty))" /e /r /s</v>
      </c>
      <c r="AG42" s="1" t="str">
        <f t="shared" si="14"/>
        <v>EC</v>
      </c>
      <c r="AH42" s="96" t="str">
        <f t="shared" si="17"/>
        <v>"%USERPROFILE%\Documents\GitHub\eaglep3\Utilities\RefineRTDCRunTimes.py" --tripid 130-29 --locoid 4030 --swversion DE.1.0.7.0 --startMP 204:232983 --initTime 2016-09-29T08:06:47 --startdatetime 2016-09-29T08:11:30 --delay 1 --endMP 204:139 --enddatetime 2016-09-29T08:51:19 --enforcementcount 0 &gt;&gt;C:\Users\stu\Documents\GitHub\eaglep3-reporting\EC\2016-09-29-refined-times.txt</v>
      </c>
      <c r="AI4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{"issue":{"subject":"","project_id":79,"tracker_id":40,"status_id":1,"priority_id":2,"assigned_to_id":23,"start_date":"2016-09-29","description":"","custom_fields":[{"id":1,"name":"Subdivision","value":"EC"},{"id":4,"name":"Milepost","value":"0.0139"},{"id":17,"name":"Train ID","value":"130-29"},{"id":16,"name":"Locomotive ID","value":"4030"},{"id":130,"name":"Impact","value":""},{"id":150,"name":"Time of Event (Mountain Time)","value":"08:51:19"},{"id":151,"name":"Denver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407</v>
      </c>
      <c r="B43" s="7">
        <v>4025</v>
      </c>
      <c r="C43" s="24" t="s">
        <v>106</v>
      </c>
      <c r="D43" s="24" t="s">
        <v>611</v>
      </c>
      <c r="E43" s="15">
        <v>42642.31108796296</v>
      </c>
      <c r="F43" s="15">
        <v>42642.313587962963</v>
      </c>
      <c r="G43" s="7">
        <v>1</v>
      </c>
      <c r="H43" s="15" t="s">
        <v>612</v>
      </c>
      <c r="I43" s="15">
        <v>42642.338923611111</v>
      </c>
      <c r="J43" s="7">
        <v>0</v>
      </c>
      <c r="K43" s="117" t="str">
        <f t="shared" si="0"/>
        <v>4025/4026</v>
      </c>
      <c r="L43" s="24" t="str">
        <f>VLOOKUP(A43,'Trips&amp;Operators'!$C$1:$E$10000,3,FALSE)</f>
        <v>SPECTOR</v>
      </c>
      <c r="M43" s="6">
        <f t="shared" si="1"/>
        <v>2.5335648148029577E-2</v>
      </c>
      <c r="N43" s="7">
        <f t="shared" si="20"/>
        <v>36.483333333162591</v>
      </c>
      <c r="O43" s="7"/>
      <c r="P43" s="7"/>
      <c r="Q43" s="25"/>
      <c r="R43" s="25"/>
      <c r="S43" s="37">
        <f t="shared" si="3"/>
        <v>1</v>
      </c>
      <c r="T43" s="52" t="str">
        <f t="shared" si="4"/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06:27:58-0600',mode:absolute,to:'2016-09-29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43" s="54" t="str">
        <f t="shared" si="6"/>
        <v>N</v>
      </c>
      <c r="X43" s="164">
        <f t="shared" si="21"/>
        <v>1</v>
      </c>
      <c r="Y43" s="69">
        <f t="shared" si="8"/>
        <v>5.3499999999999999E-2</v>
      </c>
      <c r="Z43" s="69">
        <f t="shared" si="9"/>
        <v>23.331600000000002</v>
      </c>
      <c r="AA43" s="69">
        <f t="shared" si="10"/>
        <v>23.278100000000002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 t="shared" si="11"/>
        <v>0131-29</v>
      </c>
      <c r="AE43" s="95" t="str">
        <f t="shared" si="12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43" s="92" t="str">
        <f t="shared" si="13"/>
        <v>"C:\Program Files (x86)\AstroGrep\AstroGrep.exe" /spath="%USERPROFILE%\AppData\Local\Temp\OnboardLogs" /stypes="app*4025*20160929*" /stext=" 14:.+((SYSTEM_STATE.+slice.+state.+changed )|(ment ac)|(system.+state.+changed )|(\[timeout)|(PRM\|1\|D)|(kpr)|(kdp)|(\|lc)|(penalty))" /e /r /s</v>
      </c>
      <c r="AG43" s="1" t="str">
        <f t="shared" si="14"/>
        <v>EC</v>
      </c>
      <c r="AH43" s="96" t="str">
        <f t="shared" si="17"/>
        <v>"%USERPROFILE%\Documents\GitHub\eaglep3\Utilities\RefineRTDCRunTimes.py" --tripid 131-29 --locoid 4025 --swversion DE.1.0.7.0 --startMP 204:535 --initTime 2016-09-29T07:27:58 --startdatetime 2016-09-29T07:31:34 --delay 1 --endMP 204:233316 --enddatetime 2016-09-29T08:08:03 --enforcementcount 0 &gt;&gt;C:\Users\stu\Documents\GitHub\eaglep3-reporting\EC\2016-09-29-refined-times.txt</v>
      </c>
      <c r="AI4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{"issue":{"subject":"","project_id":79,"tracker_id":40,"status_id":1,"priority_id":2,"assigned_to_id":23,"start_date":"2016-09-29","description":"","custom_fields":[{"id":1,"name":"Subdivision","value":"EC"},{"id":4,"name":"Milepost","value":"23.3316"},{"id":17,"name":"Train ID","value":"131-29"},{"id":16,"name":"Locomotive ID","value":"4025"},{"id":130,"name":"Impact","value":""},{"id":150,"name":"Time of Event (Mountain Time)","value":"08:08:03"},{"id":151,"name":"Denver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1" customFormat="1" x14ac:dyDescent="0.25">
      <c r="A44" s="39" t="s">
        <v>418</v>
      </c>
      <c r="B44" s="7">
        <v>4026</v>
      </c>
      <c r="C44" s="24" t="s">
        <v>106</v>
      </c>
      <c r="D44" s="24" t="s">
        <v>605</v>
      </c>
      <c r="E44" s="15">
        <v>42642.348877314813</v>
      </c>
      <c r="F44" s="15">
        <v>42642.351631944446</v>
      </c>
      <c r="G44" s="7">
        <v>1</v>
      </c>
      <c r="H44" s="15" t="s">
        <v>231</v>
      </c>
      <c r="I44" s="15">
        <v>42642.378958333335</v>
      </c>
      <c r="J44" s="7">
        <v>0</v>
      </c>
      <c r="K44" s="117" t="str">
        <f t="shared" si="0"/>
        <v>4025/4026</v>
      </c>
      <c r="L44" s="24" t="str">
        <f>VLOOKUP(A44,'Trips&amp;Operators'!$C$1:$E$10000,3,FALSE)</f>
        <v>SPECTOR</v>
      </c>
      <c r="M44" s="6">
        <f t="shared" si="1"/>
        <v>2.73263888884685E-2</v>
      </c>
      <c r="N44" s="7">
        <f t="shared" si="20"/>
        <v>39.34999999939464</v>
      </c>
      <c r="O44" s="7"/>
      <c r="P44" s="7"/>
      <c r="Q44" s="25"/>
      <c r="R44" s="25"/>
      <c r="S44" s="37">
        <f t="shared" si="3"/>
        <v>1</v>
      </c>
      <c r="T44" s="52" t="str">
        <f t="shared" si="4"/>
        <v>Southbound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02" t="str">
        <f t="shared" si="5"/>
        <v>https://search-rtdc-monitor-bjffxe2xuh6vdkpspy63sjmuny.us-east-1.es.amazonaws.com/_plugin/kibana/#/discover/Steve-Slow-Train-Analysis-(2080s-and-2083s)?_g=(refreshInterval:(display:Off,section:0,value:0),time:(from:'2016-09-29 07:22:23-0600',mode:absolute,to:'2016-09-29 10:05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44" s="54" t="str">
        <f t="shared" si="6"/>
        <v>N</v>
      </c>
      <c r="X44" s="164">
        <f t="shared" si="21"/>
        <v>1</v>
      </c>
      <c r="Y44" s="69">
        <f t="shared" si="8"/>
        <v>23.299399999999999</v>
      </c>
      <c r="Z44" s="69">
        <f t="shared" si="9"/>
        <v>1.4500000000000001E-2</v>
      </c>
      <c r="AA44" s="69">
        <f t="shared" si="10"/>
        <v>23.284899999999997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 t="shared" si="11"/>
        <v>0132-29</v>
      </c>
      <c r="AE44" s="95" t="str">
        <f t="shared" si="12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44" s="92" t="str">
        <f t="shared" si="13"/>
        <v>"C:\Program Files (x86)\AstroGrep\AstroGrep.exe" /spath="%USERPROFILE%\AppData\Local\Temp\OnboardLogs" /stypes="app*4026*20160929*" /stext=" 15:.+((SYSTEM_STATE.+slice.+state.+changed )|(ment ac)|(system.+state.+changed )|(\[timeout)|(PRM\|1\|D)|(kpr)|(kdp)|(\|lc)|(penalty))" /e /r /s</v>
      </c>
      <c r="AG44" s="1" t="str">
        <f t="shared" si="14"/>
        <v>EC</v>
      </c>
      <c r="AH44" s="96" t="str">
        <f t="shared" si="17"/>
        <v>"%USERPROFILE%\Documents\GitHub\eaglep3\Utilities\RefineRTDCRunTimes.py" --tripid 132-29 --locoid 4026 --swversion DE.1.0.7.0 --startMP 204:232994 --initTime 2016-09-29T08:22:23 --startdatetime 2016-09-29T08:26:21 --delay 1 --endMP 204:145 --enddatetime 2016-09-29T09:05:42 --enforcementcount 0 &gt;&gt;C:\Users\stu\Documents\GitHub\eaglep3-reporting\EC\2016-09-29-refined-times.txt</v>
      </c>
      <c r="AI4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{"issue":{"subject":"","project_id":79,"tracker_id":40,"status_id":1,"priority_id":2,"assigned_to_id":23,"start_date":"2016-09-29","description":"","custom_fields":[{"id":1,"name":"Subdivision","value":"EC"},{"id":4,"name":"Milepost","value":"0.0145"},{"id":17,"name":"Train ID","value":"132-29"},{"id":16,"name":"Locomotive ID","value":"4026"},{"id":130,"name":"Impact","value":""},{"id":150,"name":"Time of Event (Mountain Time)","value":"09:05:42"},{"id":151,"name":"Denver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410</v>
      </c>
      <c r="B45" s="7">
        <v>4046</v>
      </c>
      <c r="C45" s="24" t="s">
        <v>106</v>
      </c>
      <c r="D45" s="24" t="s">
        <v>346</v>
      </c>
      <c r="E45" s="15">
        <v>42642.322071759256</v>
      </c>
      <c r="F45" s="15">
        <v>42642.323275462964</v>
      </c>
      <c r="G45" s="7">
        <v>1</v>
      </c>
      <c r="H45" s="15" t="s">
        <v>224</v>
      </c>
      <c r="I45" s="15">
        <v>42642.348969907405</v>
      </c>
      <c r="J45" s="7">
        <v>0</v>
      </c>
      <c r="K45" s="117" t="str">
        <f t="shared" ref="K45:K76" si="22">IF(ISEVEN(B45),(B45-1)&amp;"/"&amp;B45,B45&amp;"/"&amp;(B45+1))</f>
        <v>4045/4046</v>
      </c>
      <c r="L45" s="24" t="str">
        <f>VLOOKUP(A45,'Trips&amp;Operators'!$C$1:$E$10000,3,FALSE)</f>
        <v>MALAVE</v>
      </c>
      <c r="M45" s="6">
        <f t="shared" ref="M45:M76" si="23">I45-F45</f>
        <v>2.569444444088731E-2</v>
      </c>
      <c r="N45" s="7">
        <f t="shared" si="20"/>
        <v>36.999999994877726</v>
      </c>
      <c r="O45" s="7"/>
      <c r="P45" s="7"/>
      <c r="Q45" s="25"/>
      <c r="R45" s="25"/>
      <c r="S45" s="37">
        <f t="shared" ref="S45:S76" si="24">SUM(U45:U45)/IF(AG45="EC",12,1)</f>
        <v>1</v>
      </c>
      <c r="T45" s="52" t="str">
        <f t="shared" ref="T45:T76" si="25">IF(ISEVEN(LEFT(AD45,4)),"Southbound","NorthBound")</f>
        <v>NorthBound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 t="shared" ref="V45:V76" si="26"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https://search-rtdc-monitor-bjffxe2xuh6vdkpspy63sjmuny.us-east-1.es.amazonaws.com/_plugin/kibana/#/discover/Steve-Slow-Train-Analysis-(2080s-and-2083s)?_g=(refreshInterval:(display:Off,section:0,value:0),time:(from:'2016-09-29 06:43:47-0600',mode:absolute,to:'2016-09-29 09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45" s="54" t="str">
        <f t="shared" ref="W45:W76" si="27">IF(AA45&lt;IF(AG45="EC",23,5.65),"Y","N")</f>
        <v>N</v>
      </c>
      <c r="X45" s="164">
        <f t="shared" si="21"/>
        <v>1</v>
      </c>
      <c r="Y45" s="69">
        <f t="shared" ref="Y45:Y76" si="28">RIGHT(D45,LEN(D45)-4)/10000</f>
        <v>4.4200000000000003E-2</v>
      </c>
      <c r="Z45" s="69">
        <f t="shared" ref="Z45:Z78" si="29">RIGHT(H45,LEN(H45)-4)/10000</f>
        <v>23.329699999999999</v>
      </c>
      <c r="AA45" s="69">
        <f t="shared" ref="AA45:AA76" si="30">ABS(Z45-Y45)</f>
        <v>23.285499999999999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 t="shared" ref="AD45:AD76" si="31">IF(LEN(A45)=6,"0"&amp;A45,A45)</f>
        <v>0133-29</v>
      </c>
      <c r="AE45" s="95" t="str">
        <f t="shared" si="12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45" s="92" t="str">
        <f t="shared" si="13"/>
        <v>"C:\Program Files (x86)\AstroGrep\AstroGrep.exe" /spath="%USERPROFILE%\AppData\Local\Temp\OnboardLogs" /stypes="app*4046*20160929*" /stext=" 14:.+((SYSTEM_STATE.+slice.+state.+changed )|(ment ac)|(system.+state.+changed )|(\[timeout)|(PRM\|1\|D)|(kpr)|(kdp)|(\|lc)|(penalty))" /e /r /s</v>
      </c>
      <c r="AG45" s="1" t="str">
        <f t="shared" ref="AG45:AG76" si="32">IFERROR(IF(VALUE(LEFT(AD45,2))&lt;=2,"EC",IF(OR(VALUE(LEFT(AD45,2))=8,VALUE(LEFT(AD45,2))=18),"NW","Other")),"Other")</f>
        <v>EC</v>
      </c>
      <c r="AH45" s="96" t="str">
        <f t="shared" si="17"/>
        <v>"%USERPROFILE%\Documents\GitHub\eaglep3\Utilities\RefineRTDCRunTimes.py" --tripid 133-29 --locoid 4046 --swversion DE.1.0.7.0 --startMP 204:442 --initTime 2016-09-29T07:43:47 --startdatetime 2016-09-29T07:45:31 --delay 1 --endMP 204:233297 --enddatetime 2016-09-29T08:22:31 --enforcementcount 0 &gt;&gt;C:\Users\stu\Documents\GitHub\eaglep3-reporting\EC\2016-09-29-refined-times.txt</v>
      </c>
      <c r="AI4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{"issue":{"subject":"","project_id":79,"tracker_id":40,"status_id":1,"priority_id":2,"assigned_to_id":23,"start_date":"2016-09-29","description":"","custom_fields":[{"id":1,"name":"Subdivision","value":"EC"},{"id":4,"name":"Milepost","value":"23.3297"},{"id":17,"name":"Train ID","value":"133-29"},{"id":16,"name":"Locomotive ID","value":"4046"},{"id":130,"name":"Impact","value":""},{"id":150,"name":"Time of Event (Mountain Time)","value":"08:22:31"},{"id":151,"name":"Denver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421</v>
      </c>
      <c r="B46" s="7">
        <v>4045</v>
      </c>
      <c r="C46" s="24" t="s">
        <v>106</v>
      </c>
      <c r="D46" s="24" t="s">
        <v>336</v>
      </c>
      <c r="E46" s="15">
        <v>42642.3596412037</v>
      </c>
      <c r="F46" s="15">
        <v>42642.362083333333</v>
      </c>
      <c r="G46" s="7">
        <v>3</v>
      </c>
      <c r="H46" s="15" t="s">
        <v>231</v>
      </c>
      <c r="I46" s="15">
        <v>42642.3903125</v>
      </c>
      <c r="J46" s="7">
        <v>0</v>
      </c>
      <c r="K46" s="117" t="str">
        <f t="shared" si="22"/>
        <v>4045/4046</v>
      </c>
      <c r="L46" s="24" t="str">
        <f>VLOOKUP(A46,'Trips&amp;Operators'!$C$1:$E$10000,3,FALSE)</f>
        <v>MALAVE</v>
      </c>
      <c r="M46" s="6">
        <f t="shared" si="23"/>
        <v>2.8229166666278616E-2</v>
      </c>
      <c r="N46" s="7">
        <f t="shared" si="20"/>
        <v>40.649999999441206</v>
      </c>
      <c r="O46" s="7"/>
      <c r="P46" s="7"/>
      <c r="Q46" s="25"/>
      <c r="R46" s="25"/>
      <c r="S46" s="37">
        <f t="shared" si="24"/>
        <v>1</v>
      </c>
      <c r="T46" s="52" t="str">
        <f t="shared" si="25"/>
        <v>Southbound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07:37:53-0600',mode:absolute,to:'2016-09-29 10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46" s="54" t="str">
        <f t="shared" si="27"/>
        <v>N</v>
      </c>
      <c r="X46" s="164">
        <f t="shared" si="21"/>
        <v>1</v>
      </c>
      <c r="Y46" s="69">
        <f t="shared" si="28"/>
        <v>23.296800000000001</v>
      </c>
      <c r="Z46" s="69">
        <f t="shared" si="29"/>
        <v>1.4500000000000001E-2</v>
      </c>
      <c r="AA46" s="69">
        <f t="shared" si="30"/>
        <v>23.282299999999999</v>
      </c>
      <c r="AB46" s="66" t="str">
        <f>VLOOKUP(A46,Enforcements!$C$7:$K$21,8,0)</f>
        <v>Bulletin (2)</v>
      </c>
      <c r="AC46" s="62" t="str">
        <f>VLOOKUP(A46,Enforcements!$C$7:$E$21,3,0)</f>
        <v>GRADE CROSSING</v>
      </c>
      <c r="AD46" s="63" t="str">
        <f t="shared" si="31"/>
        <v>0134-29</v>
      </c>
      <c r="AE46" s="95" t="str">
        <f t="shared" si="12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46" s="92" t="str">
        <f t="shared" si="13"/>
        <v>"C:\Program Files (x86)\AstroGrep\AstroGrep.exe" /spath="%USERPROFILE%\AppData\Local\Temp\OnboardLogs" /stypes="app*4045*20160929*" /stext=" 15:.+((SYSTEM_STATE.+slice.+state.+changed )|(ment ac)|(system.+state.+changed )|(\[timeout)|(PRM\|1\|D)|(kpr)|(kdp)|(\|lc)|(penalty))" /e /r /s</v>
      </c>
      <c r="AG46" s="1" t="str">
        <f t="shared" si="32"/>
        <v>EC</v>
      </c>
      <c r="AH46" s="96" t="str">
        <f t="shared" si="17"/>
        <v>"%USERPROFILE%\Documents\GitHub\eaglep3\Utilities\RefineRTDCRunTimes.py" --tripid 134-29 --locoid 4045 --swversion DE.1.0.7.0 --startMP 204:232968 --initTime 2016-09-29T08:37:53 --startdatetime 2016-09-29T08:41:24 --delay 3 --endMP 204:145 --enddatetime 2016-09-29T09:22:03 --enforcementcount 0 &gt;&gt;C:\Users\stu\Documents\GitHub\eaglep3-reporting\EC\2016-09-29-refined-times.txt</v>
      </c>
      <c r="AI4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{"issue":{"subject":"","project_id":79,"tracker_id":40,"status_id":1,"priority_id":2,"assigned_to_id":23,"start_date":"2016-09-29","description":"","custom_fields":[{"id":1,"name":"Subdivision","value":"EC"},{"id":4,"name":"Milepost","value":"0.0145"},{"id":17,"name":"Train ID","value":"134-29"},{"id":16,"name":"Locomotive ID","value":"4045"},{"id":130,"name":"Impact","value":""},{"id":150,"name":"Time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412</v>
      </c>
      <c r="B47" s="7">
        <v>4040</v>
      </c>
      <c r="C47" s="24" t="s">
        <v>106</v>
      </c>
      <c r="D47" s="24" t="s">
        <v>239</v>
      </c>
      <c r="E47" s="15">
        <v>42642.330312500002</v>
      </c>
      <c r="F47" s="15">
        <v>42642.333645833336</v>
      </c>
      <c r="G47" s="7">
        <v>1</v>
      </c>
      <c r="H47" s="15" t="s">
        <v>207</v>
      </c>
      <c r="I47" s="15">
        <v>42642.359849537039</v>
      </c>
      <c r="J47" s="7">
        <v>0</v>
      </c>
      <c r="K47" s="117" t="str">
        <f t="shared" si="22"/>
        <v>4039/4040</v>
      </c>
      <c r="L47" s="24" t="str">
        <f>VLOOKUP(A47,'Trips&amp;Operators'!$C$1:$E$10000,3,FALSE)</f>
        <v>STRICKLAND</v>
      </c>
      <c r="M47" s="6">
        <f t="shared" si="23"/>
        <v>2.6203703702776693E-2</v>
      </c>
      <c r="N47" s="7">
        <f t="shared" si="20"/>
        <v>37.733333331998438</v>
      </c>
      <c r="O47" s="7"/>
      <c r="P47" s="7"/>
      <c r="Q47" s="25"/>
      <c r="R47" s="25"/>
      <c r="S47" s="37">
        <f t="shared" si="24"/>
        <v>1</v>
      </c>
      <c r="T47" s="52" t="str">
        <f t="shared" si="25"/>
        <v>NorthBound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06:55:39-0600',mode:absolute,to:'2016-09-29 09:38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47" s="54" t="str">
        <f t="shared" si="27"/>
        <v>N</v>
      </c>
      <c r="X47" s="164">
        <f t="shared" si="21"/>
        <v>1</v>
      </c>
      <c r="Y47" s="69">
        <f t="shared" si="28"/>
        <v>4.4600000000000001E-2</v>
      </c>
      <c r="Z47" s="69">
        <f t="shared" si="29"/>
        <v>23.3291</v>
      </c>
      <c r="AA47" s="69">
        <f t="shared" si="30"/>
        <v>23.284500000000001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 t="shared" si="31"/>
        <v>0135-29</v>
      </c>
      <c r="AE47" s="95" t="str">
        <f t="shared" si="12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47" s="92" t="str">
        <f t="shared" si="13"/>
        <v>"C:\Program Files (x86)\AstroGrep\AstroGrep.exe" /spath="%USERPROFILE%\AppData\Local\Temp\OnboardLogs" /stypes="app*4040*20160929*" /stext=" 14:.+((SYSTEM_STATE.+slice.+state.+changed )|(ment ac)|(system.+state.+changed )|(\[timeout)|(PRM\|1\|D)|(kpr)|(kdp)|(\|lc)|(penalty))" /e /r /s</v>
      </c>
      <c r="AG47" s="1" t="str">
        <f t="shared" si="32"/>
        <v>EC</v>
      </c>
      <c r="AH47" s="96" t="str">
        <f t="shared" si="17"/>
        <v>"%USERPROFILE%\Documents\GitHub\eaglep3\Utilities\RefineRTDCRunTimes.py" --tripid 135-29 --locoid 4040 --swversion DE.1.0.7.0 --startMP 204:446 --initTime 2016-09-29T07:55:39 --startdatetime 2016-09-29T08:00:27 --delay 1 --endMP 204:233291 --enddatetime 2016-09-29T08:38:11 --enforcementcount 0 &gt;&gt;C:\Users\stu\Documents\GitHub\eaglep3-reporting\EC\2016-09-29-refined-times.txt</v>
      </c>
      <c r="AI47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{"issue":{"subject":"","project_id":79,"tracker_id":40,"status_id":1,"priority_id":2,"assigned_to_id":23,"start_date":"2016-09-29","description":"","custom_fields":[{"id":1,"name":"Subdivision","value":"EC"},{"id":4,"name":"Milepost","value":"23.3291"},{"id":17,"name":"Train ID","value":"135-29"},{"id":16,"name":"Locomotive ID","value":"4040"},{"id":130,"name":"Impact","value":""},{"id":150,"name":"Time of Event (Mountain Time)","value":"08:38:11"},{"id":151,"name":"Denver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424</v>
      </c>
      <c r="B48" s="7">
        <v>4039</v>
      </c>
      <c r="C48" s="24" t="s">
        <v>106</v>
      </c>
      <c r="D48" s="24" t="s">
        <v>341</v>
      </c>
      <c r="E48" s="15">
        <v>42642.369155092594</v>
      </c>
      <c r="F48" s="15">
        <v>42642.372523148151</v>
      </c>
      <c r="G48" s="7">
        <v>1</v>
      </c>
      <c r="H48" s="15" t="s">
        <v>226</v>
      </c>
      <c r="I48" s="15">
        <v>42642.401250000003</v>
      </c>
      <c r="J48" s="7">
        <v>0</v>
      </c>
      <c r="K48" s="117" t="str">
        <f t="shared" si="22"/>
        <v>4039/4040</v>
      </c>
      <c r="L48" s="24" t="str">
        <f>VLOOKUP(A48,'Trips&amp;Operators'!$C$1:$E$10000,3,FALSE)</f>
        <v>STRICKLAND</v>
      </c>
      <c r="M48" s="6">
        <f t="shared" si="23"/>
        <v>2.8726851851388346E-2</v>
      </c>
      <c r="N48" s="7">
        <f t="shared" si="20"/>
        <v>41.366666665999219</v>
      </c>
      <c r="O48" s="7"/>
      <c r="P48" s="7"/>
      <c r="Q48" s="25"/>
      <c r="R48" s="25"/>
      <c r="S48" s="37">
        <f t="shared" si="24"/>
        <v>1</v>
      </c>
      <c r="T48" s="52" t="str">
        <f t="shared" si="25"/>
        <v>Southbound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07:51:35-0600',mode:absolute,to:'2016-09-29 10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48" s="54" t="str">
        <f t="shared" si="27"/>
        <v>N</v>
      </c>
      <c r="X48" s="164">
        <f t="shared" si="21"/>
        <v>1</v>
      </c>
      <c r="Y48" s="69">
        <f t="shared" si="28"/>
        <v>23.298999999999999</v>
      </c>
      <c r="Z48" s="69">
        <f t="shared" si="29"/>
        <v>1.5599999999999999E-2</v>
      </c>
      <c r="AA48" s="69">
        <f t="shared" si="30"/>
        <v>23.2834</v>
      </c>
      <c r="AB48" s="66" t="str">
        <f>VLOOKUP(A48,Enforcements!$C$7:$K$21,8,0)</f>
        <v>Bulletin (2)</v>
      </c>
      <c r="AC48" s="62" t="str">
        <f>VLOOKUP(A48,Enforcements!$C$7:$E$21,3,0)</f>
        <v>GRADE CROSSING</v>
      </c>
      <c r="AD48" s="63" t="str">
        <f t="shared" si="31"/>
        <v>0136-29</v>
      </c>
      <c r="AE48" s="95" t="str">
        <f t="shared" si="12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48" s="92" t="str">
        <f t="shared" si="13"/>
        <v>"C:\Program Files (x86)\AstroGrep\AstroGrep.exe" /spath="%USERPROFILE%\AppData\Local\Temp\OnboardLogs" /stypes="app*4039*20160929*" /stext=" 15:.+((SYSTEM_STATE.+slice.+state.+changed )|(ment ac)|(system.+state.+changed )|(\[timeout)|(PRM\|1\|D)|(kpr)|(kdp)|(\|lc)|(penalty))" /e /r /s</v>
      </c>
      <c r="AG48" s="1" t="str">
        <f t="shared" si="32"/>
        <v>EC</v>
      </c>
      <c r="AH48" s="96" t="str">
        <f t="shared" si="17"/>
        <v>"%USERPROFILE%\Documents\GitHub\eaglep3\Utilities\RefineRTDCRunTimes.py" --tripid 136-29 --locoid 4039 --swversion DE.1.0.7.0 --startMP 204:232990 --initTime 2016-09-29T08:51:35 --startdatetime 2016-09-29T08:56:26 --delay 1 --endMP 204:156 --enddatetime 2016-09-29T09:37:48 --enforcementcount 0 &gt;&gt;C:\Users\stu\Documents\GitHub\eaglep3-reporting\EC\2016-09-29-refined-times.txt</v>
      </c>
      <c r="AI48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ID","value":"136-29"},{"id":16,"name":"Locomotive ID","value":"4039"},{"id":130,"name":"Impact","value":""},{"id":150,"name":"Time of Event (Mountain Time)","value":"09:37:48"},{"id":151,"name":"Denver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415</v>
      </c>
      <c r="B49" s="7">
        <v>4020</v>
      </c>
      <c r="C49" s="24" t="s">
        <v>106</v>
      </c>
      <c r="D49" s="24" t="s">
        <v>602</v>
      </c>
      <c r="E49" s="15">
        <v>42642.338576388887</v>
      </c>
      <c r="F49" s="15">
        <v>42642.3440162037</v>
      </c>
      <c r="G49" s="7">
        <v>1</v>
      </c>
      <c r="H49" s="15" t="s">
        <v>240</v>
      </c>
      <c r="I49" s="15">
        <v>42642.370046296295</v>
      </c>
      <c r="J49" s="7">
        <v>0</v>
      </c>
      <c r="K49" s="117" t="str">
        <f t="shared" si="22"/>
        <v>4019/4020</v>
      </c>
      <c r="L49" s="24" t="str">
        <f>VLOOKUP(A49,'Trips&amp;Operators'!$C$1:$E$10000,3,FALSE)</f>
        <v>ROCHA</v>
      </c>
      <c r="M49" s="6">
        <f t="shared" si="23"/>
        <v>2.6030092594737653E-2</v>
      </c>
      <c r="N49" s="7">
        <f t="shared" si="20"/>
        <v>37.48333333642222</v>
      </c>
      <c r="O49" s="7"/>
      <c r="P49" s="7"/>
      <c r="Q49" s="25"/>
      <c r="R49" s="25"/>
      <c r="S49" s="37">
        <f t="shared" si="24"/>
        <v>1</v>
      </c>
      <c r="T49" s="52" t="str">
        <f t="shared" si="25"/>
        <v>NorthBound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07:07:33-0600',mode:absolute,to:'2016-09-29 09:52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49" s="54" t="str">
        <f t="shared" si="27"/>
        <v>N</v>
      </c>
      <c r="X49" s="164">
        <f t="shared" si="21"/>
        <v>1</v>
      </c>
      <c r="Y49" s="69">
        <f t="shared" si="28"/>
        <v>4.4900000000000002E-2</v>
      </c>
      <c r="Z49" s="69">
        <f t="shared" si="29"/>
        <v>23.33</v>
      </c>
      <c r="AA49" s="69">
        <f t="shared" si="30"/>
        <v>23.2851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 t="shared" si="31"/>
        <v>0137-29</v>
      </c>
      <c r="AE49" s="95" t="str">
        <f t="shared" si="12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49" s="92" t="str">
        <f t="shared" si="13"/>
        <v>"C:\Program Files (x86)\AstroGrep\AstroGrep.exe" /spath="%USERPROFILE%\AppData\Local\Temp\OnboardLogs" /stypes="app*4020*20160929*" /stext=" 14:.+((SYSTEM_STATE.+slice.+state.+changed )|(ment ac)|(system.+state.+changed )|(\[timeout)|(PRM\|1\|D)|(kpr)|(kdp)|(\|lc)|(penalty))" /e /r /s</v>
      </c>
      <c r="AG49" s="1" t="str">
        <f t="shared" si="32"/>
        <v>EC</v>
      </c>
      <c r="AH49" s="96" t="str">
        <f t="shared" si="17"/>
        <v>"%USERPROFILE%\Documents\GitHub\eaglep3\Utilities\RefineRTDCRunTimes.py" --tripid 137-29 --locoid 4020 --swversion DE.1.0.7.0 --startMP 204:449 --initTime 2016-09-29T08:07:33 --startdatetime 2016-09-29T08:15:23 --delay 1 --endMP 204:233300 --enddatetime 2016-09-29T08:52:52 --enforcementcount 0 &gt;&gt;C:\Users\stu\Documents\GitHub\eaglep3-reporting\EC\2016-09-29-refined-times.txt</v>
      </c>
      <c r="AI4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{"issue":{"subject":"","project_id":79,"tracker_id":40,"status_id":1,"priority_id":2,"assigned_to_id":23,"start_date":"2016-09-29","description":"","custom_fields":[{"id":1,"name":"Subdivision","value":"EC"},{"id":4,"name":"Milepost","value":"23.33"},{"id":17,"name":"Train ID","value":"137-29"},{"id":16,"name":"Locomotive ID","value":"4020"},{"id":130,"name":"Impact","value":""},{"id":150,"name":"Time of Event (Mountain Time)","value":"08:52:52"},{"id":151,"name":"Denver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426</v>
      </c>
      <c r="B50" s="7">
        <v>4019</v>
      </c>
      <c r="C50" s="24" t="s">
        <v>106</v>
      </c>
      <c r="D50" s="24" t="s">
        <v>275</v>
      </c>
      <c r="E50" s="15">
        <v>42642.376331018517</v>
      </c>
      <c r="F50" s="15">
        <v>42642.382824074077</v>
      </c>
      <c r="G50" s="7">
        <v>1</v>
      </c>
      <c r="H50" s="15" t="s">
        <v>613</v>
      </c>
      <c r="I50" s="15">
        <v>42642.409942129627</v>
      </c>
      <c r="J50" s="7">
        <v>0</v>
      </c>
      <c r="K50" s="117" t="str">
        <f t="shared" si="22"/>
        <v>4019/4020</v>
      </c>
      <c r="L50" s="24" t="str">
        <f>VLOOKUP(A50,'Trips&amp;Operators'!$C$1:$E$10000,3,FALSE)</f>
        <v>ROCHA</v>
      </c>
      <c r="M50" s="6">
        <f t="shared" si="23"/>
        <v>2.7118055550090503E-2</v>
      </c>
      <c r="N50" s="7">
        <f t="shared" si="20"/>
        <v>39.049999992130324</v>
      </c>
      <c r="O50" s="7"/>
      <c r="P50" s="7"/>
      <c r="Q50" s="25"/>
      <c r="R50" s="25"/>
      <c r="S50" s="37">
        <f t="shared" si="24"/>
        <v>1</v>
      </c>
      <c r="T50" s="52" t="str">
        <f t="shared" si="25"/>
        <v>Southbound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08:01:55-0600',mode:absolute,to:'2016-09-29 10:50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50" s="54" t="str">
        <f t="shared" si="27"/>
        <v>N</v>
      </c>
      <c r="X50" s="164">
        <f t="shared" si="21"/>
        <v>1</v>
      </c>
      <c r="Y50" s="69">
        <f t="shared" si="28"/>
        <v>23.298300000000001</v>
      </c>
      <c r="Z50" s="69">
        <f t="shared" si="29"/>
        <v>1.2699999999999999E-2</v>
      </c>
      <c r="AA50" s="69">
        <f t="shared" si="30"/>
        <v>23.285600000000002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 t="shared" si="31"/>
        <v>0138-29</v>
      </c>
      <c r="AE50" s="95" t="str">
        <f t="shared" si="12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50" s="92" t="str">
        <f t="shared" si="13"/>
        <v>"C:\Program Files (x86)\AstroGrep\AstroGrep.exe" /spath="%USERPROFILE%\AppData\Local\Temp\OnboardLogs" /stypes="app*4019*20160929*" /stext=" 15:.+((SYSTEM_STATE.+slice.+state.+changed )|(ment ac)|(system.+state.+changed )|(\[timeout)|(PRM\|1\|D)|(kpr)|(kdp)|(\|lc)|(penalty))" /e /r /s</v>
      </c>
      <c r="AG50" s="1" t="str">
        <f t="shared" si="32"/>
        <v>EC</v>
      </c>
      <c r="AH50" s="96" t="str">
        <f t="shared" si="17"/>
        <v>"%USERPROFILE%\Documents\GitHub\eaglep3\Utilities\RefineRTDCRunTimes.py" --tripid 138-29 --locoid 4019 --swversion DE.1.0.7.0 --startMP 204:232983 --initTime 2016-09-29T09:01:55 --startdatetime 2016-09-29T09:11:16 --delay 1 --endMP 204:127 --enddatetime 2016-09-29T09:50:19 --enforcementcount 0 &gt;&gt;C:\Users\stu\Documents\GitHub\eaglep3-reporting\EC\2016-09-29-refined-times.txt</v>
      </c>
      <c r="AI5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{"issue":{"subject":"","project_id":79,"tracker_id":40,"status_id":1,"priority_id":2,"assigned_to_id":23,"start_date":"2016-09-29","description":"","custom_fields":[{"id":1,"name":"Subdivision","value":"EC"},{"id":4,"name":"Milepost","value":"0.0127"},{"id":17,"name":"Train ID","value":"138-29"},{"id":16,"name":"Locomotive ID","value":"4019"},{"id":130,"name":"Impact","value":""},{"id":150,"name":"Time of Event (Mountain Time)","value":"09:50:19"},{"id":151,"name":"Denver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419</v>
      </c>
      <c r="B51" s="7">
        <v>4042</v>
      </c>
      <c r="C51" s="24" t="s">
        <v>106</v>
      </c>
      <c r="D51" s="24" t="s">
        <v>300</v>
      </c>
      <c r="E51" s="15">
        <v>42642.349918981483</v>
      </c>
      <c r="F51" s="15">
        <v>42642.354398148149</v>
      </c>
      <c r="G51" s="7">
        <v>1</v>
      </c>
      <c r="H51" s="15" t="s">
        <v>262</v>
      </c>
      <c r="I51" s="15">
        <v>42642.379548611112</v>
      </c>
      <c r="J51" s="7">
        <v>0</v>
      </c>
      <c r="K51" s="117" t="str">
        <f t="shared" si="22"/>
        <v>4041/4042</v>
      </c>
      <c r="L51" s="24" t="str">
        <f>VLOOKUP(A51,'Trips&amp;Operators'!$C$1:$E$10000,3,FALSE)</f>
        <v>BEAM</v>
      </c>
      <c r="M51" s="6">
        <f t="shared" si="23"/>
        <v>2.5150462963210884E-2</v>
      </c>
      <c r="N51" s="7">
        <f t="shared" si="20"/>
        <v>36.216666667023674</v>
      </c>
      <c r="O51" s="7"/>
      <c r="P51" s="7"/>
      <c r="Q51" s="25"/>
      <c r="R51" s="25"/>
      <c r="S51" s="37">
        <f t="shared" si="24"/>
        <v>1</v>
      </c>
      <c r="T51" s="52" t="str">
        <f t="shared" si="25"/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07:23:53-0600',mode:absolute,to:'2016-09-29 10:06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51" s="54" t="str">
        <f t="shared" si="27"/>
        <v>N</v>
      </c>
      <c r="X51" s="164">
        <f t="shared" si="21"/>
        <v>1</v>
      </c>
      <c r="Y51" s="69">
        <f t="shared" si="28"/>
        <v>4.3999999999999997E-2</v>
      </c>
      <c r="Z51" s="69">
        <f t="shared" si="29"/>
        <v>23.328900000000001</v>
      </c>
      <c r="AA51" s="69">
        <f t="shared" si="30"/>
        <v>23.2849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 t="shared" si="31"/>
        <v>0139-29</v>
      </c>
      <c r="AE51" s="95" t="str">
        <f t="shared" si="12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51" s="92" t="str">
        <f t="shared" si="13"/>
        <v>"C:\Program Files (x86)\AstroGrep\AstroGrep.exe" /spath="%USERPROFILE%\AppData\Local\Temp\OnboardLogs" /stypes="app*4042*20160929*" /stext=" 15:.+((SYSTEM_STATE.+slice.+state.+changed )|(ment ac)|(system.+state.+changed )|(\[timeout)|(PRM\|1\|D)|(kpr)|(kdp)|(\|lc)|(penalty))" /e /r /s</v>
      </c>
      <c r="AG51" s="1" t="str">
        <f t="shared" si="32"/>
        <v>EC</v>
      </c>
      <c r="AH51" s="96" t="str">
        <f t="shared" si="17"/>
        <v>"%USERPROFILE%\Documents\GitHub\eaglep3\Utilities\RefineRTDCRunTimes.py" --tripid 139-29 --locoid 4042 --swversion DE.1.0.7.0 --startMP 204:440 --initTime 2016-09-29T08:23:53 --startdatetime 2016-09-29T08:30:20 --delay 1 --endMP 204:233289 --enddatetime 2016-09-29T09:06:33 --enforcementcount 0 &gt;&gt;C:\Users\stu\Documents\GitHub\eaglep3-reporting\EC\2016-09-29-refined-times.txt</v>
      </c>
      <c r="AI5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{"issue":{"subject":"","project_id":79,"tracker_id":40,"status_id":1,"priority_id":2,"assigned_to_id":23,"start_date":"2016-09-29","description":"","custom_fields":[{"id":1,"name":"Subdivision","value":"EC"},{"id":4,"name":"Milepost","value":"23.3289"},{"id":17,"name":"Train ID","value":"139-29"},{"id":16,"name":"Locomotive ID","value":"4042"},{"id":130,"name":"Impact","value":""},{"id":150,"name":"Time of Event (Mountain Time)","value":"09:06:33"},{"id":151,"name":"Denver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429</v>
      </c>
      <c r="B52" s="7">
        <v>4041</v>
      </c>
      <c r="C52" s="24" t="s">
        <v>106</v>
      </c>
      <c r="D52" s="24" t="s">
        <v>605</v>
      </c>
      <c r="E52" s="15">
        <v>42642.390277777777</v>
      </c>
      <c r="F52" s="15">
        <v>42642.393645833334</v>
      </c>
      <c r="G52" s="7">
        <v>1</v>
      </c>
      <c r="H52" s="15" t="s">
        <v>218</v>
      </c>
      <c r="I52" s="15">
        <v>42642.420590277776</v>
      </c>
      <c r="J52" s="7">
        <v>0</v>
      </c>
      <c r="K52" s="117" t="str">
        <f t="shared" si="22"/>
        <v>4041/4042</v>
      </c>
      <c r="L52" s="24" t="str">
        <f>VLOOKUP(A52,'Trips&amp;Operators'!$C$1:$E$10000,3,FALSE)</f>
        <v>BEAM</v>
      </c>
      <c r="M52" s="6">
        <f t="shared" si="23"/>
        <v>2.6944444442051463E-2</v>
      </c>
      <c r="N52" s="7">
        <f t="shared" si="20"/>
        <v>38.799999996554106</v>
      </c>
      <c r="O52" s="7"/>
      <c r="P52" s="7"/>
      <c r="Q52" s="25"/>
      <c r="R52" s="25"/>
      <c r="S52" s="37">
        <f t="shared" si="24"/>
        <v>1</v>
      </c>
      <c r="T52" s="52" t="str">
        <f t="shared" si="25"/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08:22:00-0600',mode:absolute,to:'2016-09-29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52" s="54" t="str">
        <f t="shared" si="27"/>
        <v>N</v>
      </c>
      <c r="X52" s="164">
        <f t="shared" si="21"/>
        <v>1</v>
      </c>
      <c r="Y52" s="69">
        <f t="shared" si="28"/>
        <v>23.299399999999999</v>
      </c>
      <c r="Z52" s="69">
        <f t="shared" si="29"/>
        <v>1.38E-2</v>
      </c>
      <c r="AA52" s="69">
        <f t="shared" si="30"/>
        <v>23.285599999999999</v>
      </c>
      <c r="AB52" s="66" t="str">
        <f>VLOOKUP(A52,Enforcements!$C$7:$K$21,8,0)</f>
        <v>Speed (6)</v>
      </c>
      <c r="AC52" s="62" t="str">
        <f>VLOOKUP(A52,Enforcements!$C$7:$E$21,3,0)</f>
        <v>PERMANENT SPEED RESTRICTION</v>
      </c>
      <c r="AD52" s="63" t="str">
        <f t="shared" si="31"/>
        <v>0140-29</v>
      </c>
      <c r="AE52" s="95" t="str">
        <f t="shared" si="12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52" s="92" t="str">
        <f t="shared" si="13"/>
        <v>"C:\Program Files (x86)\AstroGrep\AstroGrep.exe" /spath="%USERPROFILE%\AppData\Local\Temp\OnboardLogs" /stypes="app*4041*20160929*" /stext=" 16:.+((SYSTEM_STATE.+slice.+state.+changed )|(ment ac)|(system.+state.+changed )|(\[timeout)|(PRM\|1\|D)|(kpr)|(kdp)|(\|lc)|(penalty))" /e /r /s</v>
      </c>
      <c r="AG52" s="1" t="str">
        <f t="shared" si="32"/>
        <v>EC</v>
      </c>
      <c r="AH52" s="96" t="str">
        <f t="shared" si="17"/>
        <v>"%USERPROFILE%\Documents\GitHub\eaglep3\Utilities\RefineRTDCRunTimes.py" --tripid 140-29 --locoid 4041 --swversion DE.1.0.7.0 --startMP 204:232994 --initTime 2016-09-29T09:22:00 --startdatetime 2016-09-29T09:26:51 --delay 1 --endMP 204:138 --enddatetime 2016-09-29T10:05:39 --enforcementcount 0 &gt;&gt;C:\Users\stu\Documents\GitHub\eaglep3-reporting\EC\2016-09-29-refined-times.txt</v>
      </c>
      <c r="AI5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{"issue":{"subject":"","project_id":79,"tracker_id":40,"status_id":1,"priority_id":2,"assigned_to_id":23,"start_date":"2016-09-29","description":"","custom_fields":[{"id":1,"name":"Subdivision","value":"EC"},{"id":4,"name":"Milepost","value":"0.0138"},{"id":17,"name":"Train ID","value":"140-29"},{"id":16,"name":"Locomotive ID","value":"4041"},{"id":130,"name":"Impact","value":""},{"id":150,"name":"Time of Event (Mountain Time)","value":"10:05:39"},{"id":151,"name":"Denver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423</v>
      </c>
      <c r="B53" s="7">
        <v>4002</v>
      </c>
      <c r="C53" s="24" t="s">
        <v>106</v>
      </c>
      <c r="D53" s="24" t="s">
        <v>212</v>
      </c>
      <c r="E53" s="15">
        <v>42642.361354166664</v>
      </c>
      <c r="F53" s="15">
        <v>42642.364861111113</v>
      </c>
      <c r="G53" s="7">
        <v>1</v>
      </c>
      <c r="H53" s="15" t="s">
        <v>327</v>
      </c>
      <c r="I53" s="15">
        <v>42642.390150462961</v>
      </c>
      <c r="J53" s="7">
        <v>0</v>
      </c>
      <c r="K53" s="117" t="str">
        <f t="shared" si="22"/>
        <v>4001/4002</v>
      </c>
      <c r="L53" s="24" t="str">
        <f>VLOOKUP(A53,'Trips&amp;Operators'!$C$1:$E$10000,3,FALSE)</f>
        <v>MAELZER</v>
      </c>
      <c r="M53" s="6">
        <f t="shared" si="23"/>
        <v>2.5289351848186925E-2</v>
      </c>
      <c r="N53" s="7">
        <f t="shared" si="20"/>
        <v>36.416666661389172</v>
      </c>
      <c r="O53" s="7"/>
      <c r="P53" s="7"/>
      <c r="Q53" s="25"/>
      <c r="R53" s="25"/>
      <c r="S53" s="37">
        <f t="shared" si="24"/>
        <v>1</v>
      </c>
      <c r="T53" s="52" t="str">
        <f t="shared" si="25"/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07:40:21-0600',mode:absolute,to:'2016-09-29 10:21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53" s="54" t="str">
        <f t="shared" si="27"/>
        <v>N</v>
      </c>
      <c r="X53" s="164">
        <f t="shared" si="21"/>
        <v>1</v>
      </c>
      <c r="Y53" s="69">
        <f t="shared" si="28"/>
        <v>4.5100000000000001E-2</v>
      </c>
      <c r="Z53" s="69">
        <f t="shared" si="29"/>
        <v>23.330400000000001</v>
      </c>
      <c r="AA53" s="69">
        <f t="shared" si="30"/>
        <v>23.285299999999999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 t="shared" si="31"/>
        <v>0141-29</v>
      </c>
      <c r="AE53" s="95" t="str">
        <f t="shared" si="12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53" s="92" t="str">
        <f t="shared" si="13"/>
        <v>"C:\Program Files (x86)\AstroGrep\AstroGrep.exe" /spath="%USERPROFILE%\AppData\Local\Temp\OnboardLogs" /stypes="app*4002*20160929*" /stext=" 15:.+((SYSTEM_STATE.+slice.+state.+changed )|(ment ac)|(system.+state.+changed )|(\[timeout)|(PRM\|1\|D)|(kpr)|(kdp)|(\|lc)|(penalty))" /e /r /s</v>
      </c>
      <c r="AG53" s="1" t="str">
        <f t="shared" si="32"/>
        <v>EC</v>
      </c>
      <c r="AH53" s="96" t="str">
        <f t="shared" si="17"/>
        <v>"%USERPROFILE%\Documents\GitHub\eaglep3\Utilities\RefineRTDCRunTimes.py" --tripid 141-29 --locoid 4002 --swversion DE.1.0.7.0 --startMP 204:451 --initTime 2016-09-29T08:40:21 --startdatetime 2016-09-29T08:45:24 --delay 1 --endMP 204:233304 --enddatetime 2016-09-29T09:21:49 --enforcementcount 0 &gt;&gt;C:\Users\stu\Documents\GitHub\eaglep3-reporting\EC\2016-09-29-refined-times.txt</v>
      </c>
      <c r="AI5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{"issue":{"subject":"","project_id":79,"tracker_id":40,"status_id":1,"priority_id":2,"assigned_to_id":23,"start_date":"2016-09-29","description":"","custom_fields":[{"id":1,"name":"Subdivision","value":"EC"},{"id":4,"name":"Milepost","value":"23.3304"},{"id":17,"name":"Train ID","value":"141-29"},{"id":16,"name":"Locomotive ID","value":"4002"},{"id":130,"name":"Impact","value":""},{"id":150,"name":"Time of Event (Mountain Time)","value":"09:21:49"},{"id":151,"name":"Denver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431</v>
      </c>
      <c r="B54" s="7">
        <v>4001</v>
      </c>
      <c r="C54" s="24" t="s">
        <v>106</v>
      </c>
      <c r="D54" s="24" t="s">
        <v>614</v>
      </c>
      <c r="E54" s="15">
        <v>42642.397870370369</v>
      </c>
      <c r="F54" s="15">
        <v>42642.403749999998</v>
      </c>
      <c r="G54" s="7">
        <v>1</v>
      </c>
      <c r="H54" s="15" t="s">
        <v>204</v>
      </c>
      <c r="I54" s="15">
        <v>42642.431377314817</v>
      </c>
      <c r="J54" s="7">
        <v>0</v>
      </c>
      <c r="K54" s="117" t="str">
        <f t="shared" si="22"/>
        <v>4001/4002</v>
      </c>
      <c r="L54" s="24" t="str">
        <f>VLOOKUP(A54,'Trips&amp;Operators'!$C$1:$E$10000,3,FALSE)</f>
        <v>MAELZER</v>
      </c>
      <c r="M54" s="6">
        <f t="shared" si="23"/>
        <v>2.7627314819255844E-2</v>
      </c>
      <c r="N54" s="7">
        <f t="shared" si="20"/>
        <v>39.783333339728415</v>
      </c>
      <c r="O54" s="7"/>
      <c r="P54" s="7"/>
      <c r="Q54" s="25"/>
      <c r="R54" s="25"/>
      <c r="S54" s="37">
        <f t="shared" si="24"/>
        <v>1</v>
      </c>
      <c r="T54" s="52" t="str">
        <f t="shared" si="25"/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08:32:56-0600',mode:absolute,to:'2016-09-29 11:21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54" s="54" t="str">
        <f t="shared" si="27"/>
        <v>N</v>
      </c>
      <c r="X54" s="164">
        <f t="shared" si="21"/>
        <v>1</v>
      </c>
      <c r="Y54" s="69">
        <f t="shared" si="28"/>
        <v>23.298500000000001</v>
      </c>
      <c r="Z54" s="69">
        <f t="shared" si="29"/>
        <v>1.47E-2</v>
      </c>
      <c r="AA54" s="69">
        <f t="shared" si="30"/>
        <v>23.283799999999999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 t="shared" si="31"/>
        <v>0142-29</v>
      </c>
      <c r="AE54" s="95" t="str">
        <f t="shared" si="12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54" s="92" t="str">
        <f t="shared" si="13"/>
        <v>"C:\Program Files (x86)\AstroGrep\AstroGrep.exe" /spath="%USERPROFILE%\AppData\Local\Temp\OnboardLogs" /stypes="app*4001*20160929*" /stext=" 16:.+((SYSTEM_STATE.+slice.+state.+changed )|(ment ac)|(system.+state.+changed )|(\[timeout)|(PRM\|1\|D)|(kpr)|(kdp)|(\|lc)|(penalty))" /e /r /s</v>
      </c>
      <c r="AG54" s="1" t="str">
        <f t="shared" si="32"/>
        <v>EC</v>
      </c>
      <c r="AH54" s="96" t="str">
        <f t="shared" si="17"/>
        <v>"%USERPROFILE%\Documents\GitHub\eaglep3\Utilities\RefineRTDCRunTimes.py" --tripid 142-29 --locoid 4001 --swversion DE.1.0.7.0 --startMP 204:232985 --initTime 2016-09-29T09:32:56 --startdatetime 2016-09-29T09:41:24 --delay 1 --endMP 204:147 --enddatetime 2016-09-29T10:21:11 --enforcementcount 0 &gt;&gt;C:\Users\stu\Documents\GitHub\eaglep3-reporting\EC\2016-09-29-refined-times.txt</v>
      </c>
      <c r="AI5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{"issue":{"subject":"","project_id":79,"tracker_id":40,"status_id":1,"priority_id":2,"assigned_to_id":23,"start_date":"2016-09-29","description":"","custom_fields":[{"id":1,"name":"Subdivision","value":"EC"},{"id":4,"name":"Milepost","value":"0.0147"},{"id":17,"name":"Train ID","value":"142-29"},{"id":16,"name":"Locomotive ID","value":"4001"},{"id":130,"name":"Impact","value":""},{"id":150,"name":"Time of Event (Mountain Time)","value":"10:21:11"},{"id":151,"name":"Denver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425</v>
      </c>
      <c r="B55" s="7">
        <v>4029</v>
      </c>
      <c r="C55" s="24" t="s">
        <v>106</v>
      </c>
      <c r="D55" s="24" t="s">
        <v>325</v>
      </c>
      <c r="E55" s="15">
        <v>42642.370081018518</v>
      </c>
      <c r="F55" s="15">
        <v>42642.375196759262</v>
      </c>
      <c r="G55" s="7">
        <v>1</v>
      </c>
      <c r="H55" s="15" t="s">
        <v>270</v>
      </c>
      <c r="I55" s="15">
        <v>42642.400717592594</v>
      </c>
      <c r="J55" s="7">
        <v>0</v>
      </c>
      <c r="K55" s="117" t="str">
        <f t="shared" si="22"/>
        <v>4029/4030</v>
      </c>
      <c r="L55" s="24" t="str">
        <f>VLOOKUP(A55,'Trips&amp;Operators'!$C$1:$E$10000,3,FALSE)</f>
        <v>BRANNON</v>
      </c>
      <c r="M55" s="6">
        <f t="shared" si="23"/>
        <v>2.5520833332848269E-2</v>
      </c>
      <c r="N55" s="7">
        <f t="shared" si="20"/>
        <v>36.749999999301508</v>
      </c>
      <c r="O55" s="7"/>
      <c r="P55" s="7"/>
      <c r="Q55" s="25"/>
      <c r="R55" s="25"/>
      <c r="S55" s="37">
        <f t="shared" si="24"/>
        <v>1</v>
      </c>
      <c r="T55" s="52" t="str">
        <f t="shared" si="25"/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07:52:55-0600',mode:absolute,to:'2016-09-29 10:37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55" s="54" t="str">
        <f t="shared" si="27"/>
        <v>N</v>
      </c>
      <c r="X55" s="164">
        <f t="shared" si="21"/>
        <v>1</v>
      </c>
      <c r="Y55" s="69">
        <f t="shared" si="28"/>
        <v>4.2700000000000002E-2</v>
      </c>
      <c r="Z55" s="69">
        <f t="shared" si="29"/>
        <v>23.3293</v>
      </c>
      <c r="AA55" s="69">
        <f t="shared" si="30"/>
        <v>23.2866</v>
      </c>
      <c r="AB55" s="66" t="e">
        <f>VLOOKUP(A55,Enforcements!$C$7:$K$21,8,0)</f>
        <v>#N/A</v>
      </c>
      <c r="AC55" s="62" t="e">
        <f>VLOOKUP(A55,Enforcements!$C$7:$E$21,3,0)</f>
        <v>#N/A</v>
      </c>
      <c r="AD55" s="63" t="str">
        <f t="shared" si="31"/>
        <v>0143-29</v>
      </c>
      <c r="AE55" s="95" t="str">
        <f t="shared" si="12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55" s="92" t="str">
        <f t="shared" si="13"/>
        <v>"C:\Program Files (x86)\AstroGrep\AstroGrep.exe" /spath="%USERPROFILE%\AppData\Local\Temp\OnboardLogs" /stypes="app*4029*20160929*" /stext=" 15:.+((SYSTEM_STATE.+slice.+state.+changed )|(ment ac)|(system.+state.+changed )|(\[timeout)|(PRM\|1\|D)|(kpr)|(kdp)|(\|lc)|(penalty))" /e /r /s</v>
      </c>
      <c r="AG55" s="1" t="str">
        <f t="shared" si="32"/>
        <v>EC</v>
      </c>
      <c r="AH55" s="96" t="str">
        <f t="shared" si="17"/>
        <v>"%USERPROFILE%\Documents\GitHub\eaglep3\Utilities\RefineRTDCRunTimes.py" --tripid 143-29 --locoid 4029 --swversion DE.1.0.7.0 --startMP 204:427 --initTime 2016-09-29T08:52:55 --startdatetime 2016-09-29T09:00:17 --delay 1 --endMP 204:233293 --enddatetime 2016-09-29T09:37:02 --enforcementcount 0 &gt;&gt;C:\Users\stu\Documents\GitHub\eaglep3-reporting\EC\2016-09-29-refined-times.txt</v>
      </c>
      <c r="AI5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{"issue":{"subject":"","project_id":79,"tracker_id":40,"status_id":1,"priority_id":2,"assigned_to_id":23,"start_date":"2016-09-29","description":"","custom_fields":[{"id":1,"name":"Subdivision","value":"EC"},{"id":4,"name":"Milepost","value":"23.3293"},{"id":17,"name":"Train ID","value":"143-29"},{"id":16,"name":"Locomotive ID","value":"4029"},{"id":130,"name":"Impact","value":""},{"id":150,"name":"Time of Event (Mountain Time)","value":"09:37:02"},{"id":151,"name":"Denver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434</v>
      </c>
      <c r="B56" s="7">
        <v>4030</v>
      </c>
      <c r="C56" s="24" t="s">
        <v>106</v>
      </c>
      <c r="D56" s="24" t="s">
        <v>603</v>
      </c>
      <c r="E56" s="15">
        <v>42642.408668981479</v>
      </c>
      <c r="F56" s="15">
        <v>42642.414085648146</v>
      </c>
      <c r="G56" s="7">
        <v>1</v>
      </c>
      <c r="H56" s="15" t="s">
        <v>249</v>
      </c>
      <c r="I56" s="15">
        <v>42642.444074074076</v>
      </c>
      <c r="J56" s="7">
        <v>0</v>
      </c>
      <c r="K56" s="117" t="str">
        <f t="shared" si="22"/>
        <v>4029/4030</v>
      </c>
      <c r="L56" s="24" t="str">
        <f>VLOOKUP(A56,'Trips&amp;Operators'!$C$1:$E$10000,3,FALSE)</f>
        <v>BRANNON</v>
      </c>
      <c r="M56" s="6">
        <f t="shared" si="23"/>
        <v>2.9988425929332152E-2</v>
      </c>
      <c r="N56" s="7">
        <f t="shared" si="20"/>
        <v>43.183333338238299</v>
      </c>
      <c r="O56" s="7"/>
      <c r="P56" s="7"/>
      <c r="Q56" s="25"/>
      <c r="R56" s="25"/>
      <c r="S56" s="37">
        <f t="shared" si="24"/>
        <v>1</v>
      </c>
      <c r="T56" s="52" t="str">
        <f t="shared" si="25"/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08:48:29-0600',mode:absolute,to:'2016-09-29 11:39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56" s="54" t="str">
        <f t="shared" si="27"/>
        <v>N</v>
      </c>
      <c r="X56" s="164">
        <f t="shared" si="21"/>
        <v>1</v>
      </c>
      <c r="Y56" s="69">
        <f t="shared" si="28"/>
        <v>23.297999999999998</v>
      </c>
      <c r="Z56" s="69">
        <f t="shared" si="29"/>
        <v>1.43E-2</v>
      </c>
      <c r="AA56" s="69">
        <f t="shared" si="30"/>
        <v>23.2837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 t="shared" si="31"/>
        <v>0144-29</v>
      </c>
      <c r="AE56" s="95" t="str">
        <f t="shared" si="12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56" s="92" t="str">
        <f t="shared" si="13"/>
        <v>"C:\Program Files (x86)\AstroGrep\AstroGrep.exe" /spath="%USERPROFILE%\AppData\Local\Temp\OnboardLogs" /stypes="app*4030*20160929*" /stext=" 16:.+((SYSTEM_STATE.+slice.+state.+changed )|(ment ac)|(system.+state.+changed )|(\[timeout)|(PRM\|1\|D)|(kpr)|(kdp)|(\|lc)|(penalty))" /e /r /s</v>
      </c>
      <c r="AG56" s="1" t="str">
        <f t="shared" si="32"/>
        <v>EC</v>
      </c>
      <c r="AH56" s="96" t="str">
        <f t="shared" si="17"/>
        <v>"%USERPROFILE%\Documents\GitHub\eaglep3\Utilities\RefineRTDCRunTimes.py" --tripid 144-29 --locoid 4030 --swversion DE.1.0.7.0 --startMP 204:232980 --initTime 2016-09-29T09:48:29 --startdatetime 2016-09-29T09:56:17 --delay 1 --endMP 204:143 --enddatetime 2016-09-29T10:39:28 --enforcementcount 0 &gt;&gt;C:\Users\stu\Documents\GitHub\eaglep3-reporting\EC\2016-09-29-refined-times.txt</v>
      </c>
      <c r="AI5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{"issue":{"subject":"","project_id":79,"tracker_id":40,"status_id":1,"priority_id":2,"assigned_to_id":23,"start_date":"2016-09-29","description":"","custom_fields":[{"id":1,"name":"Subdivision","value":"EC"},{"id":4,"name":"Milepost","value":"0.0143"},{"id":17,"name":"Train ID","value":"144-29"},{"id":16,"name":"Locomotive ID","value":"4030"},{"id":130,"name":"Impact","value":""},{"id":150,"name":"Time of Event (Mountain Time)","value":"10:39:28"},{"id":151,"name":"Denver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427</v>
      </c>
      <c r="B57" s="7">
        <v>4025</v>
      </c>
      <c r="C57" s="24" t="s">
        <v>106</v>
      </c>
      <c r="D57" s="24" t="s">
        <v>300</v>
      </c>
      <c r="E57" s="15">
        <v>42642.382523148146</v>
      </c>
      <c r="F57" s="15">
        <v>42642.385636574072</v>
      </c>
      <c r="G57" s="7">
        <v>1</v>
      </c>
      <c r="H57" s="15" t="s">
        <v>297</v>
      </c>
      <c r="I57" s="15">
        <v>42642.410324074073</v>
      </c>
      <c r="J57" s="7">
        <v>0</v>
      </c>
      <c r="K57" s="117" t="str">
        <f t="shared" si="22"/>
        <v>4025/4026</v>
      </c>
      <c r="L57" s="24" t="str">
        <f>VLOOKUP(A57,'Trips&amp;Operators'!$C$1:$E$10000,3,FALSE)</f>
        <v>SPECTOR</v>
      </c>
      <c r="M57" s="6">
        <f t="shared" si="23"/>
        <v>2.4687500001164153E-2</v>
      </c>
      <c r="N57" s="7">
        <f t="shared" si="20"/>
        <v>35.550000001676381</v>
      </c>
      <c r="O57" s="7"/>
      <c r="P57" s="7"/>
      <c r="Q57" s="25"/>
      <c r="R57" s="25"/>
      <c r="S57" s="37">
        <f t="shared" si="24"/>
        <v>1</v>
      </c>
      <c r="T57" s="52" t="str">
        <f t="shared" si="25"/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08:10:50-0600',mode:absolute,to:'2016-09-29 10:50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57" s="54" t="str">
        <f t="shared" si="27"/>
        <v>N</v>
      </c>
      <c r="X57" s="164">
        <f t="shared" si="21"/>
        <v>1</v>
      </c>
      <c r="Y57" s="69">
        <f t="shared" si="28"/>
        <v>4.3999999999999997E-2</v>
      </c>
      <c r="Z57" s="69">
        <f t="shared" si="29"/>
        <v>23.331700000000001</v>
      </c>
      <c r="AA57" s="69">
        <f t="shared" si="30"/>
        <v>23.287700000000001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 t="shared" si="31"/>
        <v>0145-29</v>
      </c>
      <c r="AE57" s="95" t="str">
        <f t="shared" si="12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57" s="92" t="str">
        <f t="shared" si="13"/>
        <v>"C:\Program Files (x86)\AstroGrep\AstroGrep.exe" /spath="%USERPROFILE%\AppData\Local\Temp\OnboardLogs" /stypes="app*4025*20160929*" /stext=" 15:.+((SYSTEM_STATE.+slice.+state.+changed )|(ment ac)|(system.+state.+changed )|(\[timeout)|(PRM\|1\|D)|(kpr)|(kdp)|(\|lc)|(penalty))" /e /r /s</v>
      </c>
      <c r="AG57" s="1" t="str">
        <f t="shared" si="32"/>
        <v>EC</v>
      </c>
      <c r="AH57" s="96" t="str">
        <f t="shared" si="17"/>
        <v>"%USERPROFILE%\Documents\GitHub\eaglep3\Utilities\RefineRTDCRunTimes.py" --tripid 145-29 --locoid 4025 --swversion DE.1.0.7.0 --startMP 204:440 --initTime 2016-09-29T09:10:50 --startdatetime 2016-09-29T09:15:19 --delay 1 --endMP 204:233317 --enddatetime 2016-09-29T09:50:52 --enforcementcount 0 &gt;&gt;C:\Users\stu\Documents\GitHub\eaglep3-reporting\EC\2016-09-29-refined-times.txt</v>
      </c>
      <c r="AI57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{"issue":{"subject":"","project_id":79,"tracker_id":40,"status_id":1,"priority_id":2,"assigned_to_id":23,"start_date":"2016-09-29","description":"","custom_fields":[{"id":1,"name":"Subdivision","value":"EC"},{"id":4,"name":"Milepost","value":"23.3317"},{"id":17,"name":"Train ID","value":"145-29"},{"id":16,"name":"Locomotive ID","value":"4025"},{"id":130,"name":"Impact","value":""},{"id":150,"name":"Time of Event (Mountain Time)","value":"09:50:52"},{"id":151,"name":"Denver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436</v>
      </c>
      <c r="B58" s="7">
        <v>4026</v>
      </c>
      <c r="C58" s="24" t="s">
        <v>106</v>
      </c>
      <c r="D58" s="24" t="s">
        <v>238</v>
      </c>
      <c r="E58" s="15">
        <v>42642.419537037036</v>
      </c>
      <c r="F58" s="15">
        <v>42642.424479166664</v>
      </c>
      <c r="G58" s="7">
        <v>1</v>
      </c>
      <c r="H58" s="15" t="s">
        <v>233</v>
      </c>
      <c r="I58" s="15">
        <v>42642.451770833337</v>
      </c>
      <c r="J58" s="7">
        <v>0</v>
      </c>
      <c r="K58" s="117" t="str">
        <f t="shared" si="22"/>
        <v>4025/4026</v>
      </c>
      <c r="L58" s="24" t="str">
        <f>VLOOKUP(A58,'Trips&amp;Operators'!$C$1:$E$10000,3,FALSE)</f>
        <v>SPECTOR</v>
      </c>
      <c r="M58" s="6">
        <f t="shared" si="23"/>
        <v>2.7291666672681458E-2</v>
      </c>
      <c r="N58" s="7">
        <f t="shared" si="20"/>
        <v>39.3000000086613</v>
      </c>
      <c r="O58" s="7"/>
      <c r="P58" s="7"/>
      <c r="Q58" s="25"/>
      <c r="R58" s="25"/>
      <c r="S58" s="37">
        <f t="shared" si="24"/>
        <v>1</v>
      </c>
      <c r="T58" s="52" t="str">
        <f t="shared" si="25"/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09:04:08-0600',mode:absolute,to:'2016-09-29 11:50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58" s="54" t="str">
        <f t="shared" si="27"/>
        <v>N</v>
      </c>
      <c r="X58" s="164">
        <f t="shared" si="21"/>
        <v>1</v>
      </c>
      <c r="Y58" s="69">
        <f t="shared" si="28"/>
        <v>23.299800000000001</v>
      </c>
      <c r="Z58" s="69">
        <f t="shared" si="29"/>
        <v>1.41E-2</v>
      </c>
      <c r="AA58" s="69">
        <f t="shared" si="30"/>
        <v>23.285700000000002</v>
      </c>
      <c r="AB58" s="66" t="e">
        <f>VLOOKUP(A58,Enforcements!$C$7:$K$21,8,0)</f>
        <v>#N/A</v>
      </c>
      <c r="AC58" s="62" t="e">
        <f>VLOOKUP(A58,Enforcements!$C$7:$E$21,3,0)</f>
        <v>#N/A</v>
      </c>
      <c r="AD58" s="63" t="str">
        <f t="shared" si="31"/>
        <v>0146-29</v>
      </c>
      <c r="AE58" s="95" t="str">
        <f t="shared" si="12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58" s="92" t="str">
        <f t="shared" si="13"/>
        <v>"C:\Program Files (x86)\AstroGrep\AstroGrep.exe" /spath="%USERPROFILE%\AppData\Local\Temp\OnboardLogs" /stypes="app*4026*20160929*" /stext=" 16:.+((SYSTEM_STATE.+slice.+state.+changed )|(ment ac)|(system.+state.+changed )|(\[timeout)|(PRM\|1\|D)|(kpr)|(kdp)|(\|lc)|(penalty))" /e /r /s</v>
      </c>
      <c r="AG58" s="1" t="str">
        <f t="shared" si="32"/>
        <v>EC</v>
      </c>
      <c r="AH58" s="96" t="str">
        <f t="shared" si="17"/>
        <v>"%USERPROFILE%\Documents\GitHub\eaglep3\Utilities\RefineRTDCRunTimes.py" --tripid 146-29 --locoid 4026 --swversion DE.1.0.7.0 --startMP 204:232998 --initTime 2016-09-29T10:04:08 --startdatetime 2016-09-29T10:11:15 --delay 1 --endMP 204:141 --enddatetime 2016-09-29T10:50:33 --enforcementcount 0 &gt;&gt;C:\Users\stu\Documents\GitHub\eaglep3-reporting\EC\2016-09-29-refined-times.txt</v>
      </c>
      <c r="AI58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{"issue":{"subject":"","project_id":79,"tracker_id":40,"status_id":1,"priority_id":2,"assigned_to_id":23,"start_date":"2016-09-29","description":"","custom_fields":[{"id":1,"name":"Subdivision","value":"EC"},{"id":4,"name":"Milepost","value":"0.0141"},{"id":17,"name":"Train ID","value":"146-29"},{"id":16,"name":"Locomotive ID","value":"4026"},{"id":130,"name":"Impact","value":""},{"id":150,"name":"Time of Event (Mountain Time)","value":"10:50:33"},{"id":151,"name":"Denver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430</v>
      </c>
      <c r="B59" s="7">
        <v>4046</v>
      </c>
      <c r="C59" s="24" t="s">
        <v>106</v>
      </c>
      <c r="D59" s="24" t="s">
        <v>245</v>
      </c>
      <c r="E59" s="15">
        <v>42642.392812500002</v>
      </c>
      <c r="F59" s="15">
        <v>42642.396782407406</v>
      </c>
      <c r="G59" s="7">
        <v>5</v>
      </c>
      <c r="H59" s="15" t="s">
        <v>271</v>
      </c>
      <c r="I59" s="15">
        <v>42642.42396990741</v>
      </c>
      <c r="J59" s="7">
        <v>0</v>
      </c>
      <c r="K59" s="117" t="str">
        <f t="shared" si="22"/>
        <v>4045/4046</v>
      </c>
      <c r="L59" s="24" t="str">
        <f>VLOOKUP(A59,'Trips&amp;Operators'!$C$1:$E$10000,3,FALSE)</f>
        <v>SNYDER</v>
      </c>
      <c r="M59" s="6">
        <f t="shared" si="23"/>
        <v>2.718750000349246E-2</v>
      </c>
      <c r="N59" s="7">
        <f t="shared" si="20"/>
        <v>39.150000005029142</v>
      </c>
      <c r="O59" s="7"/>
      <c r="P59" s="7"/>
      <c r="Q59" s="25"/>
      <c r="R59" s="25"/>
      <c r="S59" s="37">
        <f t="shared" si="24"/>
        <v>1</v>
      </c>
      <c r="T59" s="52" t="str">
        <f t="shared" si="25"/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08:25:39-0600',mode:absolute,to:'2016-09-29 11:10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59" s="54" t="str">
        <f t="shared" si="27"/>
        <v>N</v>
      </c>
      <c r="X59" s="164">
        <f t="shared" si="21"/>
        <v>1</v>
      </c>
      <c r="Y59" s="69">
        <f t="shared" si="28"/>
        <v>4.6399999999999997E-2</v>
      </c>
      <c r="Z59" s="69">
        <f t="shared" si="29"/>
        <v>23.3307</v>
      </c>
      <c r="AA59" s="69">
        <f t="shared" si="30"/>
        <v>23.284300000000002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 t="shared" si="31"/>
        <v>0147-29</v>
      </c>
      <c r="AE59" s="95" t="str">
        <f t="shared" si="12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59" s="92" t="str">
        <f t="shared" si="13"/>
        <v>"C:\Program Files (x86)\AstroGrep\AstroGrep.exe" /spath="%USERPROFILE%\AppData\Local\Temp\OnboardLogs" /stypes="app*4046*20160929*" /stext=" 16:.+((SYSTEM_STATE.+slice.+state.+changed )|(ment ac)|(system.+state.+changed )|(\[timeout)|(PRM\|1\|D)|(kpr)|(kdp)|(\|lc)|(penalty))" /e /r /s</v>
      </c>
      <c r="AG59" s="1" t="str">
        <f t="shared" si="32"/>
        <v>EC</v>
      </c>
      <c r="AH59" s="96" t="str">
        <f t="shared" si="17"/>
        <v>"%USERPROFILE%\Documents\GitHub\eaglep3\Utilities\RefineRTDCRunTimes.py" --tripid 147-29 --locoid 4046 --swversion DE.1.0.7.0 --startMP 204:464 --initTime 2016-09-29T09:25:39 --startdatetime 2016-09-29T09:31:22 --delay 5 --endMP 204:233307 --enddatetime 2016-09-29T10:10:31 --enforcementcount 0 &gt;&gt;C:\Users\stu\Documents\GitHub\eaglep3-reporting\EC\2016-09-29-refined-times.txt</v>
      </c>
      <c r="AI5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{"issue":{"subject":"","project_id":79,"tracker_id":40,"status_id":1,"priority_id":2,"assigned_to_id":23,"start_date":"2016-09-29","description":"","custom_fields":[{"id":1,"name":"Subdivision","value":"EC"},{"id":4,"name":"Milepost","value":"23.3307"},{"id":17,"name":"Train ID","value":"147-29"},{"id":16,"name":"Locomotive ID","value":"4046"},{"id":130,"name":"Impact","value":""},{"id":150,"name":"Time of Event (Mountain Time)","value":"10:10:31"},{"id":151,"name":"Denver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439</v>
      </c>
      <c r="B60" s="7">
        <v>4045</v>
      </c>
      <c r="C60" s="24" t="s">
        <v>106</v>
      </c>
      <c r="D60" s="24" t="s">
        <v>330</v>
      </c>
      <c r="E60" s="15">
        <v>42642.429618055554</v>
      </c>
      <c r="F60" s="15">
        <v>42642.435219907406</v>
      </c>
      <c r="G60" s="7">
        <v>1</v>
      </c>
      <c r="H60" s="15" t="s">
        <v>340</v>
      </c>
      <c r="I60" s="15">
        <v>42642.462118055555</v>
      </c>
      <c r="J60" s="7">
        <v>0</v>
      </c>
      <c r="K60" s="117" t="str">
        <f t="shared" si="22"/>
        <v>4045/4046</v>
      </c>
      <c r="L60" s="24" t="str">
        <f>VLOOKUP(A60,'Trips&amp;Operators'!$C$1:$E$10000,3,FALSE)</f>
        <v>SNYDER</v>
      </c>
      <c r="M60" s="6">
        <f t="shared" si="23"/>
        <v>2.6898148149484769E-2</v>
      </c>
      <c r="N60" s="7">
        <f t="shared" si="20"/>
        <v>38.733333335258067</v>
      </c>
      <c r="O60" s="7"/>
      <c r="P60" s="7"/>
      <c r="Q60" s="25"/>
      <c r="R60" s="25"/>
      <c r="S60" s="37">
        <f t="shared" si="24"/>
        <v>1</v>
      </c>
      <c r="T60" s="52" t="str">
        <f t="shared" si="25"/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09:18:39-0600',mode:absolute,to:'2016-09-29 12:05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60" s="54" t="str">
        <f t="shared" si="27"/>
        <v>N</v>
      </c>
      <c r="X60" s="164">
        <f t="shared" si="21"/>
        <v>1</v>
      </c>
      <c r="Y60" s="69">
        <f t="shared" si="28"/>
        <v>23.298200000000001</v>
      </c>
      <c r="Z60" s="69">
        <f t="shared" si="29"/>
        <v>1.61E-2</v>
      </c>
      <c r="AA60" s="69">
        <f t="shared" si="30"/>
        <v>23.2821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 t="shared" si="31"/>
        <v>0148-29</v>
      </c>
      <c r="AE60" s="95" t="str">
        <f t="shared" si="12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60" s="92" t="str">
        <f t="shared" si="13"/>
        <v>"C:\Program Files (x86)\AstroGrep\AstroGrep.exe" /spath="%USERPROFILE%\AppData\Local\Temp\OnboardLogs" /stypes="app*4045*20160929*" /stext=" 17:.+((SYSTEM_STATE.+slice.+state.+changed )|(ment ac)|(system.+state.+changed )|(\[timeout)|(PRM\|1\|D)|(kpr)|(kdp)|(\|lc)|(penalty))" /e /r /s</v>
      </c>
      <c r="AG60" s="1" t="str">
        <f t="shared" si="32"/>
        <v>EC</v>
      </c>
      <c r="AH60" s="96" t="str">
        <f t="shared" si="17"/>
        <v>"%USERPROFILE%\Documents\GitHub\eaglep3\Utilities\RefineRTDCRunTimes.py" --tripid 148-29 --locoid 4045 --swversion DE.1.0.7.0 --startMP 204:232982 --initTime 2016-09-29T10:18:39 --startdatetime 2016-09-29T10:26:43 --delay 1 --endMP 204:161 --enddatetime 2016-09-29T11:05:27 --enforcementcount 0 &gt;&gt;C:\Users\stu\Documents\GitHub\eaglep3-reporting\EC\2016-09-29-refined-times.txt</v>
      </c>
      <c r="AI6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{"issue":{"subject":"","project_id":79,"tracker_id":40,"status_id":1,"priority_id":2,"assigned_to_id":23,"start_date":"2016-09-29","description":"","custom_fields":[{"id":1,"name":"Subdivision","value":"EC"},{"id":4,"name":"Milepost","value":"0.0161"},{"id":17,"name":"Train ID","value":"148-29"},{"id":16,"name":"Locomotive ID","value":"4045"},{"id":130,"name":"Impact","value":""},{"id":150,"name":"Time of Event (Mountain Time)","value":"11:05:27"},{"id":151,"name":"Denver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433</v>
      </c>
      <c r="B61" s="7">
        <v>4040</v>
      </c>
      <c r="C61" s="24" t="s">
        <v>106</v>
      </c>
      <c r="D61" s="24" t="s">
        <v>213</v>
      </c>
      <c r="E61" s="15">
        <v>42642.403148148151</v>
      </c>
      <c r="F61" s="15">
        <v>42642.406481481485</v>
      </c>
      <c r="G61" s="7">
        <v>1</v>
      </c>
      <c r="H61" s="15" t="s">
        <v>324</v>
      </c>
      <c r="I61" s="15">
        <v>42642.43340277778</v>
      </c>
      <c r="J61" s="7">
        <v>0</v>
      </c>
      <c r="K61" s="117" t="str">
        <f t="shared" si="22"/>
        <v>4039/4040</v>
      </c>
      <c r="L61" s="24" t="str">
        <f>VLOOKUP(A61,'Trips&amp;Operators'!$C$1:$E$10000,3,FALSE)</f>
        <v>STRICKLAND</v>
      </c>
      <c r="M61" s="6">
        <f t="shared" si="23"/>
        <v>2.6921296295768116E-2</v>
      </c>
      <c r="N61" s="7">
        <f t="shared" si="20"/>
        <v>38.766666665906087</v>
      </c>
      <c r="O61" s="7"/>
      <c r="P61" s="7"/>
      <c r="Q61" s="25"/>
      <c r="R61" s="25"/>
      <c r="S61" s="37">
        <f t="shared" si="24"/>
        <v>1</v>
      </c>
      <c r="T61" s="52" t="str">
        <f t="shared" si="25"/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08:40:32-0600',mode:absolute,to:'2016-09-29 11:24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61" s="54" t="str">
        <f t="shared" si="27"/>
        <v>N</v>
      </c>
      <c r="X61" s="164">
        <f t="shared" si="21"/>
        <v>1</v>
      </c>
      <c r="Y61" s="69">
        <f t="shared" si="28"/>
        <v>4.5499999999999999E-2</v>
      </c>
      <c r="Z61" s="69">
        <f t="shared" si="29"/>
        <v>23.330200000000001</v>
      </c>
      <c r="AA61" s="69">
        <f t="shared" si="30"/>
        <v>23.284700000000001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 t="shared" si="31"/>
        <v>0149-29</v>
      </c>
      <c r="AE61" s="95" t="str">
        <f t="shared" si="12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61" s="92" t="str">
        <f t="shared" si="13"/>
        <v>"C:\Program Files (x86)\AstroGrep\AstroGrep.exe" /spath="%USERPROFILE%\AppData\Local\Temp\OnboardLogs" /stypes="app*4040*20160929*" /stext=" 16:.+((SYSTEM_STATE.+slice.+state.+changed )|(ment ac)|(system.+state.+changed )|(\[timeout)|(PRM\|1\|D)|(kpr)|(kdp)|(\|lc)|(penalty))" /e /r /s</v>
      </c>
      <c r="AG61" s="1" t="str">
        <f t="shared" si="32"/>
        <v>EC</v>
      </c>
      <c r="AH61" s="96" t="str">
        <f t="shared" si="17"/>
        <v>"%USERPROFILE%\Documents\GitHub\eaglep3\Utilities\RefineRTDCRunTimes.py" --tripid 149-29 --locoid 4040 --swversion DE.1.0.7.0 --startMP 204:455 --initTime 2016-09-29T09:40:32 --startdatetime 2016-09-29T09:45:20 --delay 1 --endMP 204:233302 --enddatetime 2016-09-29T10:24:06 --enforcementcount 0 &gt;&gt;C:\Users\stu\Documents\GitHub\eaglep3-reporting\EC\2016-09-29-refined-times.txt</v>
      </c>
      <c r="AI6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{"issue":{"subject":"","project_id":79,"tracker_id":40,"status_id":1,"priority_id":2,"assigned_to_id":23,"start_date":"2016-09-29","description":"","custom_fields":[{"id":1,"name":"Subdivision","value":"EC"},{"id":4,"name":"Milepost","value":"23.3302"},{"id":17,"name":"Train ID","value":"149-29"},{"id":16,"name":"Locomotive ID","value":"4040"},{"id":130,"name":"Impact","value":""},{"id":150,"name":"Time of Event (Mountain Time)","value":"10:24:06"},{"id":151,"name":"Denver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443</v>
      </c>
      <c r="B62" s="7">
        <v>4039</v>
      </c>
      <c r="C62" s="24" t="s">
        <v>106</v>
      </c>
      <c r="D62" s="24" t="s">
        <v>605</v>
      </c>
      <c r="E62" s="15">
        <v>42642.441504629627</v>
      </c>
      <c r="F62" s="15">
        <v>42642.446273148147</v>
      </c>
      <c r="G62" s="7">
        <v>1</v>
      </c>
      <c r="H62" s="15" t="s">
        <v>200</v>
      </c>
      <c r="I62" s="15">
        <v>42642.472939814812</v>
      </c>
      <c r="J62" s="7">
        <v>0</v>
      </c>
      <c r="K62" s="117" t="str">
        <f t="shared" si="22"/>
        <v>4039/4040</v>
      </c>
      <c r="L62" s="24" t="str">
        <f>VLOOKUP(A62,'Trips&amp;Operators'!$C$1:$E$10000,3,FALSE)</f>
        <v>STRICKLAND</v>
      </c>
      <c r="M62" s="6">
        <f t="shared" si="23"/>
        <v>2.6666666664823424E-2</v>
      </c>
      <c r="N62" s="7">
        <f t="shared" si="20"/>
        <v>38.399999997345731</v>
      </c>
      <c r="O62" s="7"/>
      <c r="P62" s="7"/>
      <c r="Q62" s="25"/>
      <c r="R62" s="25"/>
      <c r="S62" s="37">
        <f t="shared" si="24"/>
        <v>1</v>
      </c>
      <c r="T62" s="52" t="str">
        <f t="shared" si="25"/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09:35:46-0600',mode:absolute,to:'2016-09-29 12:21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62" s="54" t="str">
        <f t="shared" si="27"/>
        <v>N</v>
      </c>
      <c r="X62" s="164">
        <f t="shared" si="21"/>
        <v>1</v>
      </c>
      <c r="Y62" s="69">
        <f t="shared" si="28"/>
        <v>23.299399999999999</v>
      </c>
      <c r="Z62" s="69">
        <f t="shared" si="29"/>
        <v>1.6E-2</v>
      </c>
      <c r="AA62" s="69">
        <f t="shared" si="30"/>
        <v>23.2834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 t="shared" si="31"/>
        <v>0150-29</v>
      </c>
      <c r="AE62" s="95" t="str">
        <f t="shared" si="12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62" s="92" t="str">
        <f t="shared" si="13"/>
        <v>"C:\Program Files (x86)\AstroGrep\AstroGrep.exe" /spath="%USERPROFILE%\AppData\Local\Temp\OnboardLogs" /stypes="app*4039*20160929*" /stext=" 17:.+((SYSTEM_STATE.+slice.+state.+changed )|(ment ac)|(system.+state.+changed )|(\[timeout)|(PRM\|1\|D)|(kpr)|(kdp)|(\|lc)|(penalty))" /e /r /s</v>
      </c>
      <c r="AG62" s="1" t="str">
        <f t="shared" si="32"/>
        <v>EC</v>
      </c>
      <c r="AH62" s="96" t="str">
        <f t="shared" si="17"/>
        <v>"%USERPROFILE%\Documents\GitHub\eaglep3\Utilities\RefineRTDCRunTimes.py" --tripid 150-29 --locoid 4039 --swversion DE.1.0.7.0 --startMP 204:232994 --initTime 2016-09-29T10:35:46 --startdatetime 2016-09-29T10:42:38 --delay 1 --endMP 204:160 --enddatetime 2016-09-29T11:21:02 --enforcementcount 0 &gt;&gt;C:\Users\stu\Documents\GitHub\eaglep3-reporting\EC\2016-09-29-refined-times.txt</v>
      </c>
      <c r="AI6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{"issue":{"subject":"","project_id":79,"tracker_id":40,"status_id":1,"priority_id":2,"assigned_to_id":23,"start_date":"2016-09-29","description":"","custom_fields":[{"id":1,"name":"Subdivision","value":"EC"},{"id":4,"name":"Milepost","value":"0.016"},{"id":17,"name":"Train ID","value":"150-29"},{"id":16,"name":"Locomotive ID","value":"4039"},{"id":130,"name":"Impact","value":""},{"id":150,"name":"Time of Event (Mountain Time)","value":"11:21:02"},{"id":151,"name":"Denver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435</v>
      </c>
      <c r="B63" s="7">
        <v>4020</v>
      </c>
      <c r="C63" s="24" t="s">
        <v>106</v>
      </c>
      <c r="D63" s="24" t="s">
        <v>292</v>
      </c>
      <c r="E63" s="15">
        <v>42642.413726851853</v>
      </c>
      <c r="F63" s="15">
        <v>42642.41684027778</v>
      </c>
      <c r="G63" s="7">
        <v>2</v>
      </c>
      <c r="H63" s="15" t="s">
        <v>296</v>
      </c>
      <c r="I63" s="15">
        <v>42642.441053240742</v>
      </c>
      <c r="J63" s="7">
        <v>0</v>
      </c>
      <c r="K63" s="117" t="str">
        <f t="shared" si="22"/>
        <v>4019/4020</v>
      </c>
      <c r="L63" s="24" t="str">
        <f>VLOOKUP(A63,'Trips&amp;Operators'!$C$1:$E$10000,3,FALSE)</f>
        <v>ROCHA</v>
      </c>
      <c r="M63" s="6">
        <f t="shared" si="23"/>
        <v>2.421296296233777E-2</v>
      </c>
      <c r="N63" s="7">
        <f t="shared" si="20"/>
        <v>34.866666665766388</v>
      </c>
      <c r="O63" s="7"/>
      <c r="P63" s="7"/>
      <c r="Q63" s="25"/>
      <c r="R63" s="25"/>
      <c r="S63" s="37">
        <f t="shared" si="24"/>
        <v>1</v>
      </c>
      <c r="T63" s="52" t="str">
        <f t="shared" si="25"/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08:55:46-0600',mode:absolute,to:'2016-09-29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63" s="54" t="str">
        <f t="shared" si="27"/>
        <v>N</v>
      </c>
      <c r="X63" s="164">
        <f t="shared" si="21"/>
        <v>1</v>
      </c>
      <c r="Y63" s="69">
        <f t="shared" si="28"/>
        <v>4.3099999999999999E-2</v>
      </c>
      <c r="Z63" s="69">
        <f t="shared" si="29"/>
        <v>23.3309</v>
      </c>
      <c r="AA63" s="69">
        <f t="shared" si="30"/>
        <v>23.287800000000001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 t="shared" si="31"/>
        <v>0151-29</v>
      </c>
      <c r="AE63" s="95" t="str">
        <f t="shared" si="12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63" s="92" t="str">
        <f t="shared" si="13"/>
        <v>"C:\Program Files (x86)\AstroGrep\AstroGrep.exe" /spath="%USERPROFILE%\AppData\Local\Temp\OnboardLogs" /stypes="app*4020*20160929*" /stext=" 16:.+((SYSTEM_STATE.+slice.+state.+changed )|(ment ac)|(system.+state.+changed )|(\[timeout)|(PRM\|1\|D)|(kpr)|(kdp)|(\|lc)|(penalty))" /e /r /s</v>
      </c>
      <c r="AG63" s="1" t="str">
        <f t="shared" si="32"/>
        <v>EC</v>
      </c>
      <c r="AH63" s="96" t="str">
        <f t="shared" si="17"/>
        <v>"%USERPROFILE%\Documents\GitHub\eaglep3\Utilities\RefineRTDCRunTimes.py" --tripid 151-29 --locoid 4020 --swversion DE.1.0.7.0 --startMP 204:431 --initTime 2016-09-29T09:55:46 --startdatetime 2016-09-29T10:00:15 --delay 2 --endMP 204:233309 --enddatetime 2016-09-29T10:35:07 --enforcementcount 0 &gt;&gt;C:\Users\stu\Documents\GitHub\eaglep3-reporting\EC\2016-09-29-refined-times.txt</v>
      </c>
      <c r="AI6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{"issue":{"subject":"","project_id":79,"tracker_id":40,"status_id":1,"priority_id":2,"assigned_to_id":23,"start_date":"2016-09-29","description":"","custom_fields":[{"id":1,"name":"Subdivision","value":"EC"},{"id":4,"name":"Milepost","value":"23.3309"},{"id":17,"name":"Train ID","value":"151-29"},{"id":16,"name":"Locomotive ID","value":"4020"},{"id":130,"name":"Impact","value":""},{"id":150,"name":"Time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446</v>
      </c>
      <c r="B64" s="7">
        <v>4019</v>
      </c>
      <c r="C64" s="24" t="s">
        <v>106</v>
      </c>
      <c r="D64" s="24" t="s">
        <v>330</v>
      </c>
      <c r="E64" s="15">
        <v>42642.454074074078</v>
      </c>
      <c r="F64" s="15">
        <v>42642.455775462964</v>
      </c>
      <c r="G64" s="7">
        <v>1</v>
      </c>
      <c r="H64" s="15" t="s">
        <v>226</v>
      </c>
      <c r="I64" s="15">
        <v>42642.48128472222</v>
      </c>
      <c r="J64" s="7">
        <v>0</v>
      </c>
      <c r="K64" s="117" t="str">
        <f t="shared" si="22"/>
        <v>4019/4020</v>
      </c>
      <c r="L64" s="24" t="str">
        <f>VLOOKUP(A64,'Trips&amp;Operators'!$C$1:$E$10000,3,FALSE)</f>
        <v>ROCHA</v>
      </c>
      <c r="M64" s="6">
        <f t="shared" si="23"/>
        <v>2.5509259256068617E-2</v>
      </c>
      <c r="N64" s="7">
        <f t="shared" si="20"/>
        <v>36.733333328738809</v>
      </c>
      <c r="O64" s="7"/>
      <c r="P64" s="7"/>
      <c r="Q64" s="25"/>
      <c r="R64" s="25"/>
      <c r="S64" s="37">
        <f t="shared" si="24"/>
        <v>1</v>
      </c>
      <c r="T64" s="52" t="str">
        <f t="shared" si="25"/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09:53:52-0600',mode:absolute,to:'2016-09-29 12:33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64" s="54" t="str">
        <f t="shared" si="27"/>
        <v>N</v>
      </c>
      <c r="X64" s="164">
        <f t="shared" si="21"/>
        <v>1</v>
      </c>
      <c r="Y64" s="69">
        <f t="shared" si="28"/>
        <v>23.298200000000001</v>
      </c>
      <c r="Z64" s="69">
        <f t="shared" si="29"/>
        <v>1.5599999999999999E-2</v>
      </c>
      <c r="AA64" s="69">
        <f t="shared" si="30"/>
        <v>23.282600000000002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 t="shared" si="31"/>
        <v>0152-29</v>
      </c>
      <c r="AE64" s="95" t="str">
        <f t="shared" si="12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64" s="92" t="str">
        <f t="shared" si="13"/>
        <v>"C:\Program Files (x86)\AstroGrep\AstroGrep.exe" /spath="%USERPROFILE%\AppData\Local\Temp\OnboardLogs" /stypes="app*4019*20160929*" /stext=" 17:.+((SYSTEM_STATE.+slice.+state.+changed )|(ment ac)|(system.+state.+changed )|(\[timeout)|(PRM\|1\|D)|(kpr)|(kdp)|(\|lc)|(penalty))" /e /r /s</v>
      </c>
      <c r="AG64" s="1" t="str">
        <f t="shared" si="32"/>
        <v>EC</v>
      </c>
      <c r="AH64" s="96" t="str">
        <f t="shared" si="17"/>
        <v>"%USERPROFILE%\Documents\GitHub\eaglep3\Utilities\RefineRTDCRunTimes.py" --tripid 152-29 --locoid 4019 --swversion DE.1.0.7.0 --startMP 204:232982 --initTime 2016-09-29T10:53:52 --startdatetime 2016-09-29T10:56:19 --delay 1 --endMP 204:156 --enddatetime 2016-09-29T11:33:03 --enforcementcount 0 &gt;&gt;C:\Users\stu\Documents\GitHub\eaglep3-reporting\EC\2016-09-29-refined-times.txt</v>
      </c>
      <c r="AI6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ID","value":"152-29"},{"id":16,"name":"Locomotive ID","value":"4019"},{"id":130,"name":"Impact","value":""},{"id":150,"name":"Time of Event (Mountain Time)","value":"11:33:03"},{"id":151,"name":"Denver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437</v>
      </c>
      <c r="B65" s="7">
        <v>4042</v>
      </c>
      <c r="C65" s="24" t="s">
        <v>106</v>
      </c>
      <c r="D65" s="24" t="s">
        <v>216</v>
      </c>
      <c r="E65" s="15">
        <v>42642.424375000002</v>
      </c>
      <c r="F65" s="15">
        <v>42642.427777777775</v>
      </c>
      <c r="G65" s="7">
        <v>1</v>
      </c>
      <c r="H65" s="15" t="s">
        <v>327</v>
      </c>
      <c r="I65" s="15">
        <v>42642.452523148146</v>
      </c>
      <c r="J65" s="7">
        <v>0</v>
      </c>
      <c r="K65" s="117" t="str">
        <f t="shared" si="22"/>
        <v>4041/4042</v>
      </c>
      <c r="L65" s="24" t="str">
        <f>VLOOKUP(A65,'Trips&amp;Operators'!$C$1:$E$10000,3,FALSE)</f>
        <v>BEAM</v>
      </c>
      <c r="M65" s="6">
        <f t="shared" si="23"/>
        <v>2.47453703705105E-2</v>
      </c>
      <c r="N65" s="7">
        <f t="shared" si="20"/>
        <v>35.63333333353512</v>
      </c>
      <c r="O65" s="7"/>
      <c r="P65" s="7"/>
      <c r="Q65" s="25"/>
      <c r="R65" s="25"/>
      <c r="S65" s="37">
        <f t="shared" si="24"/>
        <v>1</v>
      </c>
      <c r="T65" s="52" t="str">
        <f t="shared" si="25"/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09:11:06-0600',mode:absolute,to:'2016-09-29 11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65" s="54" t="str">
        <f t="shared" si="27"/>
        <v>N</v>
      </c>
      <c r="X65" s="164">
        <f t="shared" si="21"/>
        <v>1</v>
      </c>
      <c r="Y65" s="69">
        <f t="shared" si="28"/>
        <v>4.5999999999999999E-2</v>
      </c>
      <c r="Z65" s="69">
        <f t="shared" si="29"/>
        <v>23.330400000000001</v>
      </c>
      <c r="AA65" s="69">
        <f t="shared" si="30"/>
        <v>23.284400000000002</v>
      </c>
      <c r="AB65" s="66" t="e">
        <f>VLOOKUP(A65,Enforcements!$C$7:$K$21,8,0)</f>
        <v>#N/A</v>
      </c>
      <c r="AC65" s="62" t="e">
        <f>VLOOKUP(A65,Enforcements!$C$7:$E$21,3,0)</f>
        <v>#N/A</v>
      </c>
      <c r="AD65" s="63" t="str">
        <f t="shared" si="31"/>
        <v>0153-29</v>
      </c>
      <c r="AE65" s="95" t="str">
        <f t="shared" si="12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65" s="92" t="str">
        <f t="shared" si="13"/>
        <v>"C:\Program Files (x86)\AstroGrep\AstroGrep.exe" /spath="%USERPROFILE%\AppData\Local\Temp\OnboardLogs" /stypes="app*4042*20160929*" /stext=" 16:.+((SYSTEM_STATE.+slice.+state.+changed )|(ment ac)|(system.+state.+changed )|(\[timeout)|(PRM\|1\|D)|(kpr)|(kdp)|(\|lc)|(penalty))" /e /r /s</v>
      </c>
      <c r="AG65" s="1" t="str">
        <f t="shared" si="32"/>
        <v>EC</v>
      </c>
      <c r="AH65" s="96" t="str">
        <f t="shared" si="17"/>
        <v>"%USERPROFILE%\Documents\GitHub\eaglep3\Utilities\RefineRTDCRunTimes.py" --tripid 153-29 --locoid 4042 --swversion DE.1.0.7.0 --startMP 204:460 --initTime 2016-09-29T10:11:06 --startdatetime 2016-09-29T10:16:00 --delay 1 --endMP 204:233304 --enddatetime 2016-09-29T10:51:38 --enforcementcount 0 &gt;&gt;C:\Users\stu\Documents\GitHub\eaglep3-reporting\EC\2016-09-29-refined-times.txt</v>
      </c>
      <c r="AI6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{"issue":{"subject":"","project_id":79,"tracker_id":40,"status_id":1,"priority_id":2,"assigned_to_id":23,"start_date":"2016-09-29","description":"","custom_fields":[{"id":1,"name":"Subdivision","value":"EC"},{"id":4,"name":"Milepost","value":"23.3304"},{"id":17,"name":"Train ID","value":"153-29"},{"id":16,"name":"Locomotive ID","value":"4042"},{"id":130,"name":"Impact","value":""},{"id":150,"name":"Time of Event (Mountain Time)","value":"10:51:38"},{"id":151,"name":"Denver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448</v>
      </c>
      <c r="B66" s="7">
        <v>4041</v>
      </c>
      <c r="C66" s="24" t="s">
        <v>106</v>
      </c>
      <c r="D66" s="24" t="s">
        <v>272</v>
      </c>
      <c r="E66" s="15">
        <v>42642.461875000001</v>
      </c>
      <c r="F66" s="15">
        <v>42642.466145833336</v>
      </c>
      <c r="G66" s="7">
        <v>0</v>
      </c>
      <c r="H66" s="15" t="s">
        <v>127</v>
      </c>
      <c r="I66" s="15">
        <v>42642.492974537039</v>
      </c>
      <c r="J66" s="7">
        <v>0</v>
      </c>
      <c r="K66" s="117" t="str">
        <f t="shared" si="22"/>
        <v>4041/4042</v>
      </c>
      <c r="L66" s="24" t="str">
        <f>VLOOKUP(A66,'Trips&amp;Operators'!$C$1:$E$10000,3,FALSE)</f>
        <v>BEAM</v>
      </c>
      <c r="M66" s="6">
        <f t="shared" si="23"/>
        <v>2.6828703703358769E-2</v>
      </c>
      <c r="N66" s="7">
        <f t="shared" si="20"/>
        <v>38.633333332836628</v>
      </c>
      <c r="O66" s="7"/>
      <c r="P66" s="7"/>
      <c r="Q66" s="25"/>
      <c r="R66" s="25"/>
      <c r="S66" s="37">
        <f t="shared" si="24"/>
        <v>1</v>
      </c>
      <c r="T66" s="52" t="str">
        <f t="shared" si="25"/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10:05:06-0600',mode:absolute,to:'2016-09-29 12:49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66" s="54" t="str">
        <f t="shared" si="27"/>
        <v>N</v>
      </c>
      <c r="X66" s="164">
        <f t="shared" si="21"/>
        <v>1</v>
      </c>
      <c r="Y66" s="69">
        <f t="shared" si="28"/>
        <v>23.299299999999999</v>
      </c>
      <c r="Z66" s="69">
        <f t="shared" si="29"/>
        <v>1.54E-2</v>
      </c>
      <c r="AA66" s="69">
        <f t="shared" si="30"/>
        <v>23.283899999999999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 t="shared" si="31"/>
        <v>0154-29</v>
      </c>
      <c r="AE66" s="95" t="str">
        <f t="shared" si="12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66" s="92" t="str">
        <f t="shared" si="13"/>
        <v>"C:\Program Files (x86)\AstroGrep\AstroGrep.exe" /spath="%USERPROFILE%\AppData\Local\Temp\OnboardLogs" /stypes="app*4041*20160929*" /stext=" 17:.+((SYSTEM_STATE.+slice.+state.+changed )|(ment ac)|(system.+state.+changed )|(\[timeout)|(PRM\|1\|D)|(kpr)|(kdp)|(\|lc)|(penalty))" /e /r /s</v>
      </c>
      <c r="AG66" s="1" t="str">
        <f t="shared" si="32"/>
        <v>EC</v>
      </c>
      <c r="AH66" s="96" t="str">
        <f t="shared" si="17"/>
        <v>"%USERPROFILE%\Documents\GitHub\eaglep3\Utilities\RefineRTDCRunTimes.py" --tripid 154-29 --locoid 4041 --swversion DE.1.0.7.0 --startMP 204:232993 --initTime 2016-09-29T11:05:06 --startdatetime 2016-09-29T11:11:15 --delay 0 --endMP 204:154 --enddatetime 2016-09-29T11:49:53 --enforcementcount 0 &gt;&gt;C:\Users\stu\Documents\GitHub\eaglep3-reporting\EC\2016-09-29-refined-times.txt</v>
      </c>
      <c r="AI6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{"issue":{"subject":"","project_id":79,"tracker_id":40,"status_id":1,"priority_id":2,"assigned_to_id":23,"start_date":"2016-09-29","description":"","custom_fields":[{"id":1,"name":"Subdivision","value":"EC"},{"id":4,"name":"Milepost","value":"0.0154"},{"id":17,"name":"Train ID","value":"154-29"},{"id":16,"name":"Locomotive ID","value":"4041"},{"id":130,"name":"Impact","value":""},{"id":150,"name":"Time of Event (Mountain Time)","value":"11:49:53"},{"id":151,"name":"Denver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440</v>
      </c>
      <c r="B67" s="7">
        <v>4002</v>
      </c>
      <c r="C67" s="24" t="s">
        <v>106</v>
      </c>
      <c r="D67" s="24" t="s">
        <v>346</v>
      </c>
      <c r="E67" s="15">
        <v>42642.433668981481</v>
      </c>
      <c r="F67" s="15">
        <v>42642.437673611108</v>
      </c>
      <c r="G67" s="7">
        <v>1</v>
      </c>
      <c r="H67" s="15" t="s">
        <v>290</v>
      </c>
      <c r="I67" s="15">
        <v>42642.461782407408</v>
      </c>
      <c r="J67" s="7">
        <v>0</v>
      </c>
      <c r="K67" s="117" t="str">
        <f t="shared" si="22"/>
        <v>4001/4002</v>
      </c>
      <c r="L67" s="24" t="str">
        <f>VLOOKUP(A67,'Trips&amp;Operators'!$C$1:$E$10000,3,FALSE)</f>
        <v>YORK</v>
      </c>
      <c r="M67" s="6">
        <f t="shared" si="23"/>
        <v>2.4108796300424729E-2</v>
      </c>
      <c r="N67" s="7">
        <f t="shared" si="20"/>
        <v>34.716666672611609</v>
      </c>
      <c r="O67" s="7"/>
      <c r="P67" s="7"/>
      <c r="Q67" s="25"/>
      <c r="R67" s="25"/>
      <c r="S67" s="37">
        <f t="shared" si="24"/>
        <v>1</v>
      </c>
      <c r="T67" s="52" t="str">
        <f t="shared" si="25"/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09:24:29-0600',mode:absolute,to:'2016-09-29 12:04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67" s="54" t="str">
        <f t="shared" si="27"/>
        <v>N</v>
      </c>
      <c r="X67" s="164">
        <f t="shared" si="21"/>
        <v>1</v>
      </c>
      <c r="Y67" s="69">
        <f t="shared" si="28"/>
        <v>4.4200000000000003E-2</v>
      </c>
      <c r="Z67" s="69">
        <f t="shared" si="29"/>
        <v>23.328800000000001</v>
      </c>
      <c r="AA67" s="69">
        <f t="shared" si="30"/>
        <v>23.284600000000001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 t="shared" si="31"/>
        <v>0155-29</v>
      </c>
      <c r="AE67" s="95" t="str">
        <f t="shared" si="12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67" s="92" t="str">
        <f t="shared" si="13"/>
        <v>"C:\Program Files (x86)\AstroGrep\AstroGrep.exe" /spath="%USERPROFILE%\AppData\Local\Temp\OnboardLogs" /stypes="app*4002*20160929*" /stext=" 17:.+((SYSTEM_STATE.+slice.+state.+changed )|(ment ac)|(system.+state.+changed )|(\[timeout)|(PRM\|1\|D)|(kpr)|(kdp)|(\|lc)|(penalty))" /e /r /s</v>
      </c>
      <c r="AG67" s="1" t="str">
        <f t="shared" si="32"/>
        <v>EC</v>
      </c>
      <c r="AH67" s="96" t="str">
        <f t="shared" si="17"/>
        <v>"%USERPROFILE%\Documents\GitHub\eaglep3\Utilities\RefineRTDCRunTimes.py" --tripid 155-29 --locoid 4002 --swversion DE.1.0.7.0 --startMP 204:442 --initTime 2016-09-29T10:24:29 --startdatetime 2016-09-29T10:30:15 --delay 1 --endMP 204:233288 --enddatetime 2016-09-29T11:04:58 --enforcementcount 0 &gt;&gt;C:\Users\stu\Documents\GitHub\eaglep3-reporting\EC\2016-09-29-refined-times.txt</v>
      </c>
      <c r="AI67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{"issue":{"subject":"","project_id":79,"tracker_id":40,"status_id":1,"priority_id":2,"assigned_to_id":23,"start_date":"2016-09-29","description":"","custom_fields":[{"id":1,"name":"Subdivision","value":"EC"},{"id":4,"name":"Milepost","value":"23.3288"},{"id":17,"name":"Train ID","value":"155-29"},{"id":16,"name":"Locomotive ID","value":"4002"},{"id":130,"name":"Impact","value":""},{"id":150,"name":"Time of Event (Mountain Time)","value":"11:04:58"},{"id":151,"name":"Denver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451</v>
      </c>
      <c r="B68" s="7">
        <v>4001</v>
      </c>
      <c r="C68" s="24" t="s">
        <v>106</v>
      </c>
      <c r="D68" s="24" t="s">
        <v>246</v>
      </c>
      <c r="E68" s="15">
        <v>42642.463113425925</v>
      </c>
      <c r="F68" s="15">
        <v>42642.476747685185</v>
      </c>
      <c r="G68" s="7">
        <v>1</v>
      </c>
      <c r="H68" s="15" t="s">
        <v>208</v>
      </c>
      <c r="I68" s="15">
        <v>42642.50509259259</v>
      </c>
      <c r="J68" s="7">
        <v>0</v>
      </c>
      <c r="K68" s="117" t="str">
        <f t="shared" si="22"/>
        <v>4001/4002</v>
      </c>
      <c r="L68" s="24" t="str">
        <f>VLOOKUP(A68,'Trips&amp;Operators'!$C$1:$E$10000,3,FALSE)</f>
        <v>YORK</v>
      </c>
      <c r="M68" s="6">
        <f t="shared" si="23"/>
        <v>2.8344907404971309E-2</v>
      </c>
      <c r="N68" s="7">
        <f t="shared" si="20"/>
        <v>40.816666663158685</v>
      </c>
      <c r="O68" s="7"/>
      <c r="P68" s="7"/>
      <c r="Q68" s="25"/>
      <c r="R68" s="25"/>
      <c r="S68" s="37">
        <f t="shared" si="24"/>
        <v>1</v>
      </c>
      <c r="T68" s="52" t="str">
        <f t="shared" si="25"/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10:06:53-0600',mode:absolute,to:'2016-09-29 13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68" s="54" t="str">
        <f t="shared" si="27"/>
        <v>N</v>
      </c>
      <c r="X68" s="164">
        <f t="shared" si="21"/>
        <v>1</v>
      </c>
      <c r="Y68" s="69">
        <f t="shared" si="28"/>
        <v>23.2973</v>
      </c>
      <c r="Z68" s="69">
        <f t="shared" si="29"/>
        <v>1.52E-2</v>
      </c>
      <c r="AA68" s="69">
        <f t="shared" si="30"/>
        <v>23.2821</v>
      </c>
      <c r="AB68" s="66" t="str">
        <f>VLOOKUP(A68,Enforcements!$C$7:$K$21,8,0)</f>
        <v>Bulletin (2)</v>
      </c>
      <c r="AC68" s="62" t="str">
        <f>VLOOKUP(A68,Enforcements!$C$7:$E$21,3,0)</f>
        <v>GRADE CROSSING</v>
      </c>
      <c r="AD68" s="63" t="str">
        <f t="shared" si="31"/>
        <v>0156-29</v>
      </c>
      <c r="AE68" s="95" t="str">
        <f t="shared" si="12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68" s="92" t="str">
        <f t="shared" si="13"/>
        <v>"C:\Program Files (x86)\AstroGrep\AstroGrep.exe" /spath="%USERPROFILE%\AppData\Local\Temp\OnboardLogs" /stypes="app*4001*20160929*" /stext=" 18:.+((SYSTEM_STATE.+slice.+state.+changed )|(ment ac)|(system.+state.+changed )|(\[timeout)|(PRM\|1\|D)|(kpr)|(kdp)|(\|lc)|(penalty))" /e /r /s</v>
      </c>
      <c r="AG68" s="1" t="str">
        <f t="shared" si="32"/>
        <v>EC</v>
      </c>
      <c r="AH68" s="96" t="str">
        <f t="shared" si="17"/>
        <v>"%USERPROFILE%\Documents\GitHub\eaglep3\Utilities\RefineRTDCRunTimes.py" --tripid 156-29 --locoid 4001 --swversion DE.1.0.7.0 --startMP 204:232973 --initTime 2016-09-29T11:06:53 --startdatetime 2016-09-29T11:26:31 --delay 1 --endMP 204:152 --enddatetime 2016-09-29T12:07:20 --enforcementcount 0 &gt;&gt;C:\Users\stu\Documents\GitHub\eaglep3-reporting\EC\2016-09-29-refined-times.txt</v>
      </c>
      <c r="AI68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{"issue":{"subject":"","project_id":79,"tracker_id":40,"status_id":1,"priority_id":2,"assigned_to_id":23,"start_date":"2016-09-29","description":"","custom_fields":[{"id":1,"name":"Subdivision","value":"EC"},{"id":4,"name":"Milepost","value":"0.0152"},{"id":17,"name":"Train ID","value":"156-29"},{"id":16,"name":"Locomotive ID","value":"4001"},{"id":130,"name":"Impact","value":""},{"id":150,"name":"Time of Event (Mountain Time)","value":"12:07:20"},{"id":151,"name":"Denver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445</v>
      </c>
      <c r="B69" s="7">
        <v>4029</v>
      </c>
      <c r="C69" s="24" t="s">
        <v>106</v>
      </c>
      <c r="D69" s="24" t="s">
        <v>210</v>
      </c>
      <c r="E69" s="15">
        <v>42642.446400462963</v>
      </c>
      <c r="F69" s="15">
        <v>42642.448379629626</v>
      </c>
      <c r="G69" s="7">
        <v>1</v>
      </c>
      <c r="H69" s="15" t="s">
        <v>228</v>
      </c>
      <c r="I69" s="15">
        <v>42642.474108796298</v>
      </c>
      <c r="J69" s="7">
        <v>0</v>
      </c>
      <c r="K69" s="117" t="str">
        <f t="shared" si="22"/>
        <v>4029/4030</v>
      </c>
      <c r="L69" s="24" t="str">
        <f>VLOOKUP(A69,'Trips&amp;Operators'!$C$1:$E$10000,3,FALSE)</f>
        <v>BRANNON</v>
      </c>
      <c r="M69" s="6">
        <f t="shared" si="23"/>
        <v>2.5729166671226267E-2</v>
      </c>
      <c r="N69" s="7">
        <f t="shared" si="20"/>
        <v>37.050000006565824</v>
      </c>
      <c r="O69" s="7"/>
      <c r="P69" s="7"/>
      <c r="Q69" s="25"/>
      <c r="R69" s="25"/>
      <c r="S69" s="37">
        <f t="shared" si="24"/>
        <v>1</v>
      </c>
      <c r="T69" s="52" t="str">
        <f t="shared" si="25"/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09:42:49-0600',mode:absolute,to:'2016-09-29 12:22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69" s="54" t="str">
        <f t="shared" si="27"/>
        <v>N</v>
      </c>
      <c r="X69" s="164">
        <f t="shared" si="21"/>
        <v>1</v>
      </c>
      <c r="Y69" s="69">
        <f t="shared" si="28"/>
        <v>4.4699999999999997E-2</v>
      </c>
      <c r="Z69" s="69">
        <f t="shared" si="29"/>
        <v>23.331399999999999</v>
      </c>
      <c r="AA69" s="69">
        <f t="shared" si="30"/>
        <v>23.2867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 t="shared" si="31"/>
        <v>0157-29</v>
      </c>
      <c r="AE69" s="95" t="str">
        <f t="shared" si="12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69" s="92" t="str">
        <f t="shared" si="13"/>
        <v>"C:\Program Files (x86)\AstroGrep\AstroGrep.exe" /spath="%USERPROFILE%\AppData\Local\Temp\OnboardLogs" /stypes="app*4029*20160929*" /stext=" 17:.+((SYSTEM_STATE.+slice.+state.+changed )|(ment ac)|(system.+state.+changed )|(\[timeout)|(PRM\|1\|D)|(kpr)|(kdp)|(\|lc)|(penalty))" /e /r /s</v>
      </c>
      <c r="AG69" s="1" t="str">
        <f t="shared" si="32"/>
        <v>EC</v>
      </c>
      <c r="AH69" s="96" t="str">
        <f t="shared" si="17"/>
        <v>"%USERPROFILE%\Documents\GitHub\eaglep3\Utilities\RefineRTDCRunTimes.py" --tripid 157-29 --locoid 4029 --swversion DE.1.0.7.0 --startMP 204:447 --initTime 2016-09-29T10:42:49 --startdatetime 2016-09-29T10:45:40 --delay 1 --endMP 204:233314 --enddatetime 2016-09-29T11:22:43 --enforcementcount 0 &gt;&gt;C:\Users\stu\Documents\GitHub\eaglep3-reporting\EC\2016-09-29-refined-times.txt</v>
      </c>
      <c r="AI69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{"issue":{"subject":"","project_id":79,"tracker_id":40,"status_id":1,"priority_id":2,"assigned_to_id":23,"start_date":"2016-09-29","description":"","custom_fields":[{"id":1,"name":"Subdivision","value":"EC"},{"id":4,"name":"Milepost","value":"23.3314"},{"id":17,"name":"Train ID","value":"157-29"},{"id":16,"name":"Locomotive ID","value":"4029"},{"id":130,"name":"Impact","value":""},{"id":150,"name":"Time of Event (Mountain Time)","value":"11:22:43"},{"id":151,"name":"Denver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457</v>
      </c>
      <c r="B70" s="7">
        <v>4030</v>
      </c>
      <c r="C70" s="24" t="s">
        <v>106</v>
      </c>
      <c r="D70" s="24" t="s">
        <v>232</v>
      </c>
      <c r="E70" s="15">
        <v>42642.482314814813</v>
      </c>
      <c r="F70" s="15">
        <v>42642.487013888887</v>
      </c>
      <c r="G70" s="7">
        <v>1</v>
      </c>
      <c r="H70" s="15" t="s">
        <v>249</v>
      </c>
      <c r="I70" s="15">
        <v>42642.518900462965</v>
      </c>
      <c r="J70" s="7">
        <v>0</v>
      </c>
      <c r="K70" s="117" t="str">
        <f t="shared" si="22"/>
        <v>4029/4030</v>
      </c>
      <c r="L70" s="24" t="str">
        <f>VLOOKUP(A70,'Trips&amp;Operators'!$C$1:$E$10000,3,FALSE)</f>
        <v>BRANNON</v>
      </c>
      <c r="M70" s="6">
        <f t="shared" si="23"/>
        <v>3.1886574077361729E-2</v>
      </c>
      <c r="N70" s="7">
        <f t="shared" si="20"/>
        <v>45.91666667140089</v>
      </c>
      <c r="O70" s="7"/>
      <c r="P70" s="7"/>
      <c r="Q70" s="25"/>
      <c r="R70" s="25"/>
      <c r="S70" s="37">
        <f t="shared" si="24"/>
        <v>1</v>
      </c>
      <c r="T70" s="52" t="str">
        <f t="shared" si="25"/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10:34:32-0600',mode:absolute,to:'2016-09-29 13:27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70" s="54" t="str">
        <f t="shared" si="27"/>
        <v>N</v>
      </c>
      <c r="X70" s="164">
        <f t="shared" si="21"/>
        <v>1</v>
      </c>
      <c r="Y70" s="69">
        <f t="shared" si="28"/>
        <v>23.3</v>
      </c>
      <c r="Z70" s="69">
        <f t="shared" si="29"/>
        <v>1.43E-2</v>
      </c>
      <c r="AA70" s="69">
        <f t="shared" si="30"/>
        <v>23.285700000000002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 t="shared" si="31"/>
        <v>0158-29</v>
      </c>
      <c r="AE70" s="95" t="str">
        <f t="shared" si="12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70" s="92" t="str">
        <f t="shared" si="13"/>
        <v>"C:\Program Files (x86)\AstroGrep\AstroGrep.exe" /spath="%USERPROFILE%\AppData\Local\Temp\OnboardLogs" /stypes="app*4030*20160929*" /stext=" 18:.+((SYSTEM_STATE.+slice.+state.+changed )|(ment ac)|(system.+state.+changed )|(\[timeout)|(PRM\|1\|D)|(kpr)|(kdp)|(\|lc)|(penalty))" /e /r /s</v>
      </c>
      <c r="AG70" s="1" t="str">
        <f t="shared" si="32"/>
        <v>EC</v>
      </c>
      <c r="AH70" s="96" t="str">
        <f t="shared" si="17"/>
        <v>"%USERPROFILE%\Documents\GitHub\eaglep3\Utilities\RefineRTDCRunTimes.py" --tripid 158-29 --locoid 4030 --swversion DE.1.0.7.0 --startMP 204:233000 --initTime 2016-09-29T11:34:32 --startdatetime 2016-09-29T11:41:18 --delay 1 --endMP 204:143 --enddatetime 2016-09-29T12:27:13 --enforcementcount 0 &gt;&gt;C:\Users\stu\Documents\GitHub\eaglep3-reporting\EC\2016-09-29-refined-times.txt</v>
      </c>
      <c r="AI70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{"issue":{"subject":"","project_id":79,"tracker_id":40,"status_id":1,"priority_id":2,"assigned_to_id":23,"start_date":"2016-09-29","description":"","custom_fields":[{"id":1,"name":"Subdivision","value":"EC"},{"id":4,"name":"Milepost","value":"0.0143"},{"id":17,"name":"Train ID","value":"158-29"},{"id":16,"name":"Locomotive ID","value":"4030"},{"id":130,"name":"Impact","value":""},{"id":150,"name":"Time of Event (Mountain Time)","value":"12:27:13"},{"id":151,"name":"Denver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447</v>
      </c>
      <c r="B71" s="7">
        <v>4025</v>
      </c>
      <c r="C71" s="24" t="s">
        <v>106</v>
      </c>
      <c r="D71" s="24" t="s">
        <v>216</v>
      </c>
      <c r="E71" s="15">
        <v>42642.455752314818</v>
      </c>
      <c r="F71" s="15">
        <v>42642.458622685182</v>
      </c>
      <c r="G71" s="7">
        <v>1</v>
      </c>
      <c r="H71" s="15" t="s">
        <v>333</v>
      </c>
      <c r="I71" s="15">
        <v>42642.484664351854</v>
      </c>
      <c r="J71" s="7">
        <v>0</v>
      </c>
      <c r="K71" s="117" t="str">
        <f t="shared" si="22"/>
        <v>4025/4026</v>
      </c>
      <c r="L71" s="24" t="str">
        <f>VLOOKUP(A71,'Trips&amp;Operators'!$C$1:$E$10000,3,FALSE)</f>
        <v>BONDS</v>
      </c>
      <c r="M71" s="6">
        <f t="shared" si="23"/>
        <v>2.6041666671517305E-2</v>
      </c>
      <c r="N71" s="7">
        <f t="shared" si="20"/>
        <v>37.500000006984919</v>
      </c>
      <c r="O71" s="7"/>
      <c r="P71" s="7"/>
      <c r="Q71" s="25"/>
      <c r="R71" s="25"/>
      <c r="S71" s="37">
        <f t="shared" si="24"/>
        <v>1</v>
      </c>
      <c r="T71" s="52" t="str">
        <f t="shared" si="25"/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09:56:17-0600',mode:absolute,to:'2016-09-29 12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71" s="54" t="str">
        <f t="shared" si="27"/>
        <v>N</v>
      </c>
      <c r="X71" s="164">
        <f t="shared" si="21"/>
        <v>1</v>
      </c>
      <c r="Y71" s="69">
        <f t="shared" si="28"/>
        <v>4.5999999999999999E-2</v>
      </c>
      <c r="Z71" s="69">
        <f t="shared" si="29"/>
        <v>23.329899999999999</v>
      </c>
      <c r="AA71" s="69">
        <f t="shared" si="30"/>
        <v>23.283899999999999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 t="shared" si="31"/>
        <v>0159-29</v>
      </c>
      <c r="AE71" s="95" t="str">
        <f t="shared" si="12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71" s="92" t="str">
        <f t="shared" si="13"/>
        <v>"C:\Program Files (x86)\AstroGrep\AstroGrep.exe" /spath="%USERPROFILE%\AppData\Local\Temp\OnboardLogs" /stypes="app*4025*20160929*" /stext=" 17:.+((SYSTEM_STATE.+slice.+state.+changed )|(ment ac)|(system.+state.+changed )|(\[timeout)|(PRM\|1\|D)|(kpr)|(kdp)|(\|lc)|(penalty))" /e /r /s</v>
      </c>
      <c r="AG71" s="1" t="str">
        <f t="shared" si="32"/>
        <v>EC</v>
      </c>
      <c r="AH71" s="96" t="str">
        <f t="shared" si="17"/>
        <v>"%USERPROFILE%\Documents\GitHub\eaglep3\Utilities\RefineRTDCRunTimes.py" --tripid 159-29 --locoid 4025 --swversion DE.1.0.7.0 --startMP 204:460 --initTime 2016-09-29T10:56:17 --startdatetime 2016-09-29T11:00:25 --delay 1 --endMP 204:233299 --enddatetime 2016-09-29T11:37:55 --enforcementcount 0 &gt;&gt;C:\Users\stu\Documents\GitHub\eaglep3-reporting\EC\2016-09-29-refined-times.txt</v>
      </c>
      <c r="AI71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{"issue":{"subject":"","project_id":79,"tracker_id":40,"status_id":1,"priority_id":2,"assigned_to_id":23,"start_date":"2016-09-29","description":"","custom_fields":[{"id":1,"name":"Subdivision","value":"EC"},{"id":4,"name":"Milepost","value":"23.3299"},{"id":17,"name":"Train ID","value":"159-29"},{"id":16,"name":"Locomotive ID","value":"4025"},{"id":130,"name":"Impact","value":""},{"id":150,"name":"Time of Event (Mountain Time)","value":"11:37:55"},{"id":151,"name":"Denver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461</v>
      </c>
      <c r="B72" s="7">
        <v>4026</v>
      </c>
      <c r="C72" s="24" t="s">
        <v>106</v>
      </c>
      <c r="D72" s="24" t="s">
        <v>293</v>
      </c>
      <c r="E72" s="15">
        <v>42642.489525462966</v>
      </c>
      <c r="F72" s="15">
        <v>42642.497395833336</v>
      </c>
      <c r="G72" s="7">
        <v>1</v>
      </c>
      <c r="H72" s="15" t="s">
        <v>199</v>
      </c>
      <c r="I72" s="15">
        <v>42642.528067129628</v>
      </c>
      <c r="J72" s="7">
        <v>0</v>
      </c>
      <c r="K72" s="117" t="str">
        <f t="shared" si="22"/>
        <v>4025/4026</v>
      </c>
      <c r="L72" s="24" t="str">
        <f>VLOOKUP(A72,'Trips&amp;Operators'!$C$1:$E$10000,3,FALSE)</f>
        <v>BONDS</v>
      </c>
      <c r="M72" s="6">
        <f t="shared" si="23"/>
        <v>3.0671296291984618E-2</v>
      </c>
      <c r="N72" s="7">
        <f t="shared" si="20"/>
        <v>44.16666666045785</v>
      </c>
      <c r="O72" s="7"/>
      <c r="P72" s="7"/>
      <c r="Q72" s="25"/>
      <c r="R72" s="25"/>
      <c r="S72" s="37">
        <f t="shared" si="24"/>
        <v>1</v>
      </c>
      <c r="T72" s="52" t="str">
        <f t="shared" si="25"/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10:44:55-0600',mode:absolute,to:'2016-09-29 13:40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72" s="54" t="str">
        <f t="shared" si="27"/>
        <v>N</v>
      </c>
      <c r="X72" s="164">
        <f t="shared" si="21"/>
        <v>1</v>
      </c>
      <c r="Y72" s="69">
        <f t="shared" si="28"/>
        <v>23.2988</v>
      </c>
      <c r="Z72" s="69">
        <f t="shared" si="29"/>
        <v>1.49E-2</v>
      </c>
      <c r="AA72" s="69">
        <f t="shared" si="30"/>
        <v>23.283899999999999</v>
      </c>
      <c r="AB72" s="66" t="str">
        <f>VLOOKUP(A72,Enforcements!$C$7:$K$21,8,0)</f>
        <v>Bulletin (2)</v>
      </c>
      <c r="AC72" s="62" t="str">
        <f>VLOOKUP(A72,Enforcements!$C$7:$E$21,3,0)</f>
        <v>GRADE CROSSING</v>
      </c>
      <c r="AD72" s="63" t="str">
        <f t="shared" si="31"/>
        <v>0160-29</v>
      </c>
      <c r="AE72" s="95" t="str">
        <f t="shared" si="12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72" s="92" t="str">
        <f t="shared" si="13"/>
        <v>"C:\Program Files (x86)\AstroGrep\AstroGrep.exe" /spath="%USERPROFILE%\AppData\Local\Temp\OnboardLogs" /stypes="app*4026*20160929*" /stext=" 18:.+((SYSTEM_STATE.+slice.+state.+changed )|(ment ac)|(system.+state.+changed )|(\[timeout)|(PRM\|1\|D)|(kpr)|(kdp)|(\|lc)|(penalty))" /e /r /s</v>
      </c>
      <c r="AG72" s="1" t="str">
        <f t="shared" si="32"/>
        <v>EC</v>
      </c>
      <c r="AH72" s="96" t="str">
        <f t="shared" si="17"/>
        <v>"%USERPROFILE%\Documents\GitHub\eaglep3\Utilities\RefineRTDCRunTimes.py" --tripid 160-29 --locoid 4026 --swversion DE.1.0.7.0 --startMP 204:232988 --initTime 2016-09-29T11:44:55 --startdatetime 2016-09-29T11:56:15 --delay 1 --endMP 204:149 --enddatetime 2016-09-29T12:40:25 --enforcementcount 0 &gt;&gt;C:\Users\stu\Documents\GitHub\eaglep3-reporting\EC\2016-09-29-refined-times.txt</v>
      </c>
      <c r="AI72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{"issue":{"subject":"","project_id":79,"tracker_id":40,"status_id":1,"priority_id":2,"assigned_to_id":23,"start_date":"2016-09-29","description":"","custom_fields":[{"id":1,"name":"Subdivision","value":"EC"},{"id":4,"name":"Milepost","value":"0.0149"},{"id":17,"name":"Train ID","value":"160-29"},{"id":16,"name":"Locomotive ID","value":"4026"},{"id":130,"name":"Impact","value":""},{"id":150,"name":"Time of Event (Mountain Time)","value":"12:40:25"},{"id":151,"name":"Denver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452</v>
      </c>
      <c r="B73" s="7">
        <v>4046</v>
      </c>
      <c r="C73" s="24" t="s">
        <v>106</v>
      </c>
      <c r="D73" s="24" t="s">
        <v>209</v>
      </c>
      <c r="E73" s="15">
        <v>42642.463819444441</v>
      </c>
      <c r="F73" s="15">
        <v>42642.468993055554</v>
      </c>
      <c r="G73" s="7">
        <v>2</v>
      </c>
      <c r="H73" s="15" t="s">
        <v>615</v>
      </c>
      <c r="I73" s="15">
        <v>42642.497164351851</v>
      </c>
      <c r="J73" s="7">
        <v>0</v>
      </c>
      <c r="K73" s="117" t="str">
        <f t="shared" si="22"/>
        <v>4045/4046</v>
      </c>
      <c r="L73" s="24" t="str">
        <f>VLOOKUP(A73,'Trips&amp;Operators'!$C$1:$E$10000,3,FALSE)</f>
        <v>SHOOK</v>
      </c>
      <c r="M73" s="6">
        <f t="shared" si="23"/>
        <v>2.8171296296932269E-2</v>
      </c>
      <c r="N73" s="7">
        <f t="shared" si="20"/>
        <v>40.566666667582467</v>
      </c>
      <c r="O73" s="7"/>
      <c r="P73" s="7"/>
      <c r="Q73" s="25"/>
      <c r="R73" s="25"/>
      <c r="S73" s="37">
        <f t="shared" si="24"/>
        <v>1</v>
      </c>
      <c r="T73" s="52" t="str">
        <f t="shared" si="25"/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10:07:54-0600',mode:absolute,to:'2016-09-29 12:55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73" s="54" t="str">
        <f t="shared" si="27"/>
        <v>N</v>
      </c>
      <c r="X73" s="164">
        <f t="shared" ref="X73:X104" si="33">VALUE(LEFT(AD73,4))-VALUE(LEFT(AD72,4))</f>
        <v>1</v>
      </c>
      <c r="Y73" s="69">
        <f t="shared" si="28"/>
        <v>4.5699999999999998E-2</v>
      </c>
      <c r="Z73" s="69">
        <f t="shared" si="29"/>
        <v>23.334900000000001</v>
      </c>
      <c r="AA73" s="69">
        <f t="shared" si="30"/>
        <v>23.289200000000001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 t="shared" si="31"/>
        <v>0161-29</v>
      </c>
      <c r="AE73" s="95" t="str">
        <f t="shared" si="12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73" s="92" t="str">
        <f t="shared" si="13"/>
        <v>"C:\Program Files (x86)\AstroGrep\AstroGrep.exe" /spath="%USERPROFILE%\AppData\Local\Temp\OnboardLogs" /stypes="app*4046*20160929*" /stext=" 17:.+((SYSTEM_STATE.+slice.+state.+changed )|(ment ac)|(system.+state.+changed )|(\[timeout)|(PRM\|1\|D)|(kpr)|(kdp)|(\|lc)|(penalty))" /e /r /s</v>
      </c>
      <c r="AG73" s="1" t="str">
        <f t="shared" si="32"/>
        <v>EC</v>
      </c>
      <c r="AH73" s="96" t="str">
        <f t="shared" si="17"/>
        <v>"%USERPROFILE%\Documents\GitHub\eaglep3\Utilities\RefineRTDCRunTimes.py" --tripid 161-29 --locoid 4046 --swversion DE.1.0.7.0 --startMP 204:457 --initTime 2016-09-29T11:07:54 --startdatetime 2016-09-29T11:15:21 --delay 2 --endMP 204:233349 --enddatetime 2016-09-29T11:55:55 --enforcementcount 0 &gt;&gt;C:\Users\stu\Documents\GitHub\eaglep3-reporting\EC\2016-09-29-refined-times.txt</v>
      </c>
      <c r="AI73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{"issue":{"subject":"","project_id":79,"tracker_id":40,"status_id":1,"priority_id":2,"assigned_to_id":23,"start_date":"2016-09-29","description":"","custom_fields":[{"id":1,"name":"Subdivision","value":"EC"},{"id":4,"name":"Milepost","value":"23.3349"},{"id":17,"name":"Train ID","value":"161-29"},{"id":16,"name":"Locomotive ID","value":"4046"},{"id":130,"name":"Impact","value":""},{"id":150,"name":"Time of Event (Mountain Time)","value":"11:55:55"},{"id":151,"name":"Denver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463</v>
      </c>
      <c r="B74" s="7">
        <v>4045</v>
      </c>
      <c r="C74" s="24" t="s">
        <v>106</v>
      </c>
      <c r="D74" s="24" t="s">
        <v>616</v>
      </c>
      <c r="E74" s="15">
        <v>42642.504166666666</v>
      </c>
      <c r="F74" s="15">
        <v>42642.507928240739</v>
      </c>
      <c r="G74" s="7">
        <v>1</v>
      </c>
      <c r="H74" s="15" t="s">
        <v>203</v>
      </c>
      <c r="I74" s="15">
        <v>42642.538668981484</v>
      </c>
      <c r="J74" s="7">
        <v>0</v>
      </c>
      <c r="K74" s="117" t="str">
        <f t="shared" si="22"/>
        <v>4045/4046</v>
      </c>
      <c r="L74" s="24" t="str">
        <f>VLOOKUP(A74,'Trips&amp;Operators'!$C$1:$E$10000,3,FALSE)</f>
        <v>SHOOK</v>
      </c>
      <c r="M74" s="6">
        <f t="shared" si="23"/>
        <v>3.0740740745386574E-2</v>
      </c>
      <c r="N74" s="7">
        <f t="shared" si="20"/>
        <v>44.266666673356667</v>
      </c>
      <c r="O74" s="7"/>
      <c r="P74" s="7"/>
      <c r="Q74" s="25"/>
      <c r="R74" s="25"/>
      <c r="S74" s="37">
        <f t="shared" si="24"/>
        <v>1</v>
      </c>
      <c r="T74" s="52" t="str">
        <f t="shared" si="25"/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11:06:00-0600',mode:absolute,to:'2016-09-29 13:55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74" s="54" t="str">
        <f t="shared" si="27"/>
        <v>N</v>
      </c>
      <c r="X74" s="164">
        <f t="shared" si="33"/>
        <v>1</v>
      </c>
      <c r="Y74" s="69">
        <f t="shared" si="28"/>
        <v>23.302099999999999</v>
      </c>
      <c r="Z74" s="69">
        <f t="shared" si="29"/>
        <v>1.5800000000000002E-2</v>
      </c>
      <c r="AA74" s="69">
        <f t="shared" si="30"/>
        <v>23.286300000000001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 t="shared" si="31"/>
        <v>0162-29</v>
      </c>
      <c r="AE74" s="95" t="str">
        <f t="shared" si="12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74" s="92" t="str">
        <f t="shared" si="13"/>
        <v>"C:\Program Files (x86)\AstroGrep\AstroGrep.exe" /spath="%USERPROFILE%\AppData\Local\Temp\OnboardLogs" /stypes="app*4045*20160929*" /stext=" 18:.+((SYSTEM_STATE.+slice.+state.+changed )|(ment ac)|(system.+state.+changed )|(\[timeout)|(PRM\|1\|D)|(kpr)|(kdp)|(\|lc)|(penalty))" /e /r /s</v>
      </c>
      <c r="AG74" s="1" t="str">
        <f t="shared" si="32"/>
        <v>EC</v>
      </c>
      <c r="AH74" s="96" t="str">
        <f t="shared" si="17"/>
        <v>"%USERPROFILE%\Documents\GitHub\eaglep3\Utilities\RefineRTDCRunTimes.py" --tripid 162-29 --locoid 4045 --swversion DE.1.0.7.0 --startMP 204:233021 --initTime 2016-09-29T12:06:00 --startdatetime 2016-09-29T12:11:25 --delay 1 --endMP 204:158 --enddatetime 2016-09-29T12:55:41 --enforcementcount 0 &gt;&gt;C:\Users\stu\Documents\GitHub\eaglep3-reporting\EC\2016-09-29-refined-times.txt</v>
      </c>
      <c r="AI74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{"issue":{"subject":"","project_id":79,"tracker_id":40,"status_id":1,"priority_id":2,"assigned_to_id":23,"start_date":"2016-09-29","description":"","custom_fields":[{"id":1,"name":"Subdivision","value":"EC"},{"id":4,"name":"Milepost","value":"0.0158"},{"id":17,"name":"Train ID","value":"162-29"},{"id":16,"name":"Locomotive ID","value":"4045"},{"id":130,"name":"Impact","value":""},{"id":150,"name":"Time of Event (Mountain Time)","value":"12:55:41"},{"id":151,"name":"Denver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456</v>
      </c>
      <c r="B75" s="7">
        <v>4040</v>
      </c>
      <c r="C75" s="24" t="s">
        <v>106</v>
      </c>
      <c r="D75" s="24" t="s">
        <v>245</v>
      </c>
      <c r="E75" s="15">
        <v>42642.476898148147</v>
      </c>
      <c r="F75" s="15">
        <v>42642.479664351849</v>
      </c>
      <c r="G75" s="7">
        <v>2</v>
      </c>
      <c r="H75" s="15" t="s">
        <v>271</v>
      </c>
      <c r="I75" s="15">
        <v>42642.508136574077</v>
      </c>
      <c r="J75" s="7">
        <v>0</v>
      </c>
      <c r="K75" s="117" t="str">
        <f t="shared" si="22"/>
        <v>4039/4040</v>
      </c>
      <c r="L75" s="24" t="str">
        <f>VLOOKUP(A75,'Trips&amp;Operators'!$C$1:$E$10000,3,FALSE)</f>
        <v>MOSES</v>
      </c>
      <c r="M75" s="6">
        <f t="shared" si="23"/>
        <v>2.8472222227719612E-2</v>
      </c>
      <c r="N75" s="7">
        <f t="shared" si="20"/>
        <v>41.000000007916242</v>
      </c>
      <c r="O75" s="7"/>
      <c r="P75" s="7"/>
      <c r="Q75" s="25"/>
      <c r="R75" s="25"/>
      <c r="S75" s="37">
        <f t="shared" si="24"/>
        <v>1</v>
      </c>
      <c r="T75" s="52" t="str">
        <f t="shared" si="25"/>
        <v>NorthBound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10:26:44-0600',mode:absolute,to:'2016-09-29 13:11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75" s="54" t="str">
        <f t="shared" si="27"/>
        <v>N</v>
      </c>
      <c r="X75" s="164">
        <f t="shared" si="33"/>
        <v>1</v>
      </c>
      <c r="Y75" s="69">
        <f t="shared" si="28"/>
        <v>4.6399999999999997E-2</v>
      </c>
      <c r="Z75" s="69">
        <f t="shared" si="29"/>
        <v>23.3307</v>
      </c>
      <c r="AA75" s="69">
        <f t="shared" si="30"/>
        <v>23.284300000000002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 t="shared" si="31"/>
        <v>0163-29</v>
      </c>
      <c r="AE75" s="95" t="str">
        <f t="shared" si="12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75" s="92" t="str">
        <f t="shared" si="13"/>
        <v>"C:\Program Files (x86)\AstroGrep\AstroGrep.exe" /spath="%USERPROFILE%\AppData\Local\Temp\OnboardLogs" /stypes="app*4040*20160929*" /stext=" 18:.+((SYSTEM_STATE.+slice.+state.+changed )|(ment ac)|(system.+state.+changed )|(\[timeout)|(PRM\|1\|D)|(kpr)|(kdp)|(\|lc)|(penalty))" /e /r /s</v>
      </c>
      <c r="AG75" s="1" t="str">
        <f t="shared" si="32"/>
        <v>EC</v>
      </c>
      <c r="AH75" s="96" t="str">
        <f t="shared" si="17"/>
        <v>"%USERPROFILE%\Documents\GitHub\eaglep3\Utilities\RefineRTDCRunTimes.py" --tripid 163-29 --locoid 4040 --swversion DE.1.0.7.0 --startMP 204:464 --initTime 2016-09-29T11:26:44 --startdatetime 2016-09-29T11:30:43 --delay 2 --endMP 204:233307 --enddatetime 2016-09-29T12:11:43 --enforcementcount 0 &gt;&gt;C:\Users\stu\Documents\GitHub\eaglep3-reporting\EC\2016-09-29-refined-times.txt</v>
      </c>
      <c r="AI75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{"issue":{"subject":"","project_id":79,"tracker_id":40,"status_id":1,"priority_id":2,"assigned_to_id":23,"start_date":"2016-09-29","description":"","custom_fields":[{"id":1,"name":"Subdivision","value":"EC"},{"id":4,"name":"Milepost","value":"23.3307"},{"id":17,"name":"Train ID","value":"163-29"},{"id":16,"name":"Locomotive ID","value":"4040"},{"id":130,"name":"Impact","value":""},{"id":150,"name":"Time of Event (Mountain Time)","value":"12:11:43"},{"id":151,"name":"Denver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467</v>
      </c>
      <c r="B76" s="7">
        <v>4039</v>
      </c>
      <c r="C76" s="24" t="s">
        <v>106</v>
      </c>
      <c r="D76" s="24" t="s">
        <v>335</v>
      </c>
      <c r="E76" s="15">
        <v>42642.513020833336</v>
      </c>
      <c r="F76" s="15">
        <v>42642.518414351849</v>
      </c>
      <c r="G76" s="7">
        <v>2</v>
      </c>
      <c r="H76" s="15" t="s">
        <v>617</v>
      </c>
      <c r="I76" s="15">
        <v>42642.548530092594</v>
      </c>
      <c r="J76" s="7">
        <v>0</v>
      </c>
      <c r="K76" s="117" t="str">
        <f t="shared" si="22"/>
        <v>4039/4040</v>
      </c>
      <c r="L76" s="24" t="str">
        <f>VLOOKUP(A76,'Trips&amp;Operators'!$C$1:$E$10000,3,FALSE)</f>
        <v>MOSES</v>
      </c>
      <c r="M76" s="6">
        <f t="shared" si="23"/>
        <v>3.0115740744804498E-2</v>
      </c>
      <c r="N76" s="7">
        <f t="shared" si="20"/>
        <v>43.366666672518477</v>
      </c>
      <c r="O76" s="7"/>
      <c r="P76" s="7"/>
      <c r="Q76" s="25"/>
      <c r="R76" s="25"/>
      <c r="S76" s="37">
        <f t="shared" si="24"/>
        <v>1</v>
      </c>
      <c r="T76" s="52" t="str">
        <f t="shared" si="25"/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 t="shared" si="26"/>
        <v>https://search-rtdc-monitor-bjffxe2xuh6vdkpspy63sjmuny.us-east-1.es.amazonaws.com/_plugin/kibana/#/discover/Steve-Slow-Train-Analysis-(2080s-and-2083s)?_g=(refreshInterval:(display:Off,section:0,value:0),time:(from:'2016-09-29 11:18:45-0600',mode:absolute,to:'2016-09-29 14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76" s="54" t="str">
        <f t="shared" si="27"/>
        <v>N</v>
      </c>
      <c r="X76" s="164">
        <f t="shared" si="33"/>
        <v>1</v>
      </c>
      <c r="Y76" s="69">
        <f t="shared" si="28"/>
        <v>23.297799999999999</v>
      </c>
      <c r="Z76" s="69">
        <f t="shared" si="29"/>
        <v>1.2999999999999999E-2</v>
      </c>
      <c r="AA76" s="69">
        <f t="shared" si="30"/>
        <v>23.284799999999997</v>
      </c>
      <c r="AB76" s="66" t="str">
        <f>VLOOKUP(A76,Enforcements!$C$7:$K$21,8,0)</f>
        <v>Bulletin (2)</v>
      </c>
      <c r="AC76" s="62" t="str">
        <f>VLOOKUP(A76,Enforcements!$C$7:$E$21,3,0)</f>
        <v>GRADE CROSSING</v>
      </c>
      <c r="AD76" s="63" t="str">
        <f t="shared" si="31"/>
        <v>0164-29</v>
      </c>
      <c r="AE76" s="95" t="str">
        <f t="shared" si="12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76" s="92" t="str">
        <f t="shared" si="13"/>
        <v>"C:\Program Files (x86)\AstroGrep\AstroGrep.exe" /spath="%USERPROFILE%\AppData\Local\Temp\OnboardLogs" /stypes="app*4039*20160929*" /stext=" 19:.+((SYSTEM_STATE.+slice.+state.+changed )|(ment ac)|(system.+state.+changed )|(\[timeout)|(PRM\|1\|D)|(kpr)|(kdp)|(\|lc)|(penalty))" /e /r /s</v>
      </c>
      <c r="AG76" s="1" t="str">
        <f t="shared" si="32"/>
        <v>EC</v>
      </c>
      <c r="AH76" s="96" t="str">
        <f t="shared" si="17"/>
        <v>"%USERPROFILE%\Documents\GitHub\eaglep3\Utilities\RefineRTDCRunTimes.py" --tripid 164-29 --locoid 4039 --swversion DE.1.0.7.0 --startMP 204:232978 --initTime 2016-09-29T12:18:45 --startdatetime 2016-09-29T12:26:31 --delay 2 --endMP 204:130 --enddatetime 2016-09-29T13:09:53 --enforcementcount 0 &gt;&gt;C:\Users\stu\Documents\GitHub\eaglep3-reporting\EC\2016-09-29-refined-times.txt</v>
      </c>
      <c r="AI76" s="130" t="str">
        <f t="shared" si="18"/>
        <v>echo {"issue":{"subject":"","project_id":79,"tracker_id":40,"status_id":1,"priority_id":2,"assigned_to_id":23,"start_date":"2016-09-29","description":"","custom_fields":[{"id":1,"name":"Subdivision","value":"EC"},{"id":4,"name":"Milepost","value":"0.013"},{"id":17,"name":"Train ID","value":"164-29"},{"id":16,"name":"Locomotive ID","value":"4039"},{"id":130,"name":"Impact","value":""},{"id":150,"name":"Time of Event (Mountain Time)","value":"13:09:53"},{"id":151,"name":"Denver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459</v>
      </c>
      <c r="B77" s="7">
        <v>4020</v>
      </c>
      <c r="C77" s="24" t="s">
        <v>106</v>
      </c>
      <c r="D77" s="24" t="s">
        <v>205</v>
      </c>
      <c r="E77" s="15">
        <v>42642.485625000001</v>
      </c>
      <c r="F77" s="15">
        <v>42642.490208333336</v>
      </c>
      <c r="G77" s="7">
        <v>1</v>
      </c>
      <c r="H77" s="15" t="s">
        <v>234</v>
      </c>
      <c r="I77" s="15">
        <v>42642.518275462964</v>
      </c>
      <c r="J77" s="7">
        <v>0</v>
      </c>
      <c r="K77" s="117" t="str">
        <f t="shared" ref="K77:K108" si="34">IF(ISEVEN(B77),(B77-1)&amp;"/"&amp;B77,B77&amp;"/"&amp;(B77+1))</f>
        <v>4019/4020</v>
      </c>
      <c r="L77" s="24" t="str">
        <f>VLOOKUP(A77,'Trips&amp;Operators'!$C$1:$E$10000,3,FALSE)</f>
        <v>NEWELL</v>
      </c>
      <c r="M77" s="6">
        <f t="shared" ref="M77:M108" si="35">I77-F77</f>
        <v>2.806712962774327E-2</v>
      </c>
      <c r="N77" s="7">
        <f t="shared" si="20"/>
        <v>40.416666663950309</v>
      </c>
      <c r="O77" s="7"/>
      <c r="P77" s="7"/>
      <c r="Q77" s="25"/>
      <c r="R77" s="25"/>
      <c r="S77" s="37">
        <f t="shared" ref="S77:S108" si="36">SUM(U77:U77)/IF(AG77="EC",12,1)</f>
        <v>1</v>
      </c>
      <c r="T77" s="52" t="str">
        <f t="shared" ref="T77:T108" si="37"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 t="shared" ref="V77:V108" si="38"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https://search-rtdc-monitor-bjffxe2xuh6vdkpspy63sjmuny.us-east-1.es.amazonaws.com/_plugin/kibana/#/discover/Steve-Slow-Train-Analysis-(2080s-and-2083s)?_g=(refreshInterval:(display:Off,section:0,value:0),time:(from:'2016-09-29 10:39:18-0600',mode:absolute,to:'2016-09-29 13:26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77" s="54" t="str">
        <f t="shared" ref="W77:W108" si="39">IF(AA77&lt;IF(AG77="EC",23,5.65),"Y","N")</f>
        <v>N</v>
      </c>
      <c r="X77" s="164">
        <f t="shared" si="33"/>
        <v>1</v>
      </c>
      <c r="Y77" s="69">
        <f t="shared" ref="Y77:Y108" si="40">RIGHT(D77,LEN(D77)-4)/10000</f>
        <v>4.53E-2</v>
      </c>
      <c r="Z77" s="69">
        <f t="shared" si="29"/>
        <v>23.331199999999999</v>
      </c>
      <c r="AA77" s="69">
        <f t="shared" ref="AA77:AA108" si="41">ABS(Z77-Y77)</f>
        <v>23.285899999999998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 t="shared" ref="AD77:AD108" si="42">IF(LEN(A77)=6,"0"&amp;A77,A77)</f>
        <v>0165-29</v>
      </c>
      <c r="AE77" s="95" t="str">
        <f t="shared" ref="AE77:AE140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77" s="92" t="str">
        <f t="shared" ref="AF77:AF140" si="4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/stypes="app*4020*20160929*" /stext=" 18:.+((SYSTEM_STATE.+slice.+state.+changed )|(ment ac)|(system.+state.+changed )|(\[timeout)|(PRM\|1\|D)|(kpr)|(kdp)|(\|lc)|(penalty))" /e /r /s</v>
      </c>
      <c r="AG77" s="1" t="str">
        <f t="shared" ref="AG77:AG108" si="45">IFERROR(IF(VALUE(LEFT(AD77,2))&lt;=2,"EC",IF(OR(VALUE(LEFT(AD77,2))=8,VALUE(LEFT(AD77,2))=18),"NW","Other")),"Other")</f>
        <v>EC</v>
      </c>
      <c r="AH77" s="96" t="str">
        <f t="shared" ref="AH77:AH138" si="4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165-29 --locoid 4020 --swversion DE.1.0.7.0 --startMP 204:453 --initTime 2016-09-29T11:39:18 --startdatetime 2016-09-29T11:45:54 --delay 1 --endMP 204:233312 --enddatetime 2016-09-29T12:26:19 --enforcementcount 0 &gt;&gt;C:\Users\stu\Documents\GitHub\eaglep3-reporting\EC\2016-09-29-refined-times.txt</v>
      </c>
      <c r="AI77" s="130" t="str">
        <f t="shared" ref="AI77:AI138" si="4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{"issue":{"subject":"","project_id":79,"tracker_id":40,"status_id":1,"priority_id":2,"assigned_to_id":23,"start_date":"2016-09-29","description":"","custom_fields":[{"id":1,"name":"Subdivision","value":"EC"},{"id":4,"name":"Milepost","value":"23.3312"},{"id":17,"name":"Train ID","value":"165-29"},{"id":16,"name":"Locomotive ID","value":"4020"},{"id":130,"name":"Impact","value":""},{"id":150,"name":"Time of Event (Mountain Time)","value":"12:26:19"},{"id":151,"name":"Denver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468</v>
      </c>
      <c r="B78" s="7">
        <v>4019</v>
      </c>
      <c r="C78" s="24" t="s">
        <v>106</v>
      </c>
      <c r="D78" s="24" t="s">
        <v>618</v>
      </c>
      <c r="E78" s="15">
        <v>42642.521145833336</v>
      </c>
      <c r="F78" s="15">
        <v>42642.528807870367</v>
      </c>
      <c r="G78" s="7">
        <v>1</v>
      </c>
      <c r="H78" s="15" t="s">
        <v>231</v>
      </c>
      <c r="I78" s="15">
        <v>42642.561238425929</v>
      </c>
      <c r="J78" s="7">
        <v>0</v>
      </c>
      <c r="K78" s="117" t="str">
        <f t="shared" si="34"/>
        <v>4019/4020</v>
      </c>
      <c r="L78" s="24" t="str">
        <f>VLOOKUP(A78,'Trips&amp;Operators'!$C$1:$E$10000,3,FALSE)</f>
        <v>NEWELL</v>
      </c>
      <c r="M78" s="6">
        <f t="shared" si="35"/>
        <v>3.2430555562314112E-2</v>
      </c>
      <c r="N78" s="7">
        <f t="shared" si="20"/>
        <v>46.700000009732321</v>
      </c>
      <c r="O78" s="7"/>
      <c r="P78" s="7"/>
      <c r="Q78" s="25"/>
      <c r="R78" s="25"/>
      <c r="S78" s="37">
        <f t="shared" si="36"/>
        <v>1</v>
      </c>
      <c r="T78" s="52" t="str">
        <f t="shared" si="37"/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11:30:27-0600',mode:absolute,to:'2016-09-29 14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78" s="54" t="str">
        <f t="shared" si="39"/>
        <v>N</v>
      </c>
      <c r="X78" s="164">
        <f t="shared" si="33"/>
        <v>1</v>
      </c>
      <c r="Y78" s="69">
        <f t="shared" si="40"/>
        <v>23.299600000000002</v>
      </c>
      <c r="Z78" s="69">
        <f t="shared" si="29"/>
        <v>1.4500000000000001E-2</v>
      </c>
      <c r="AA78" s="69">
        <f t="shared" si="41"/>
        <v>23.2851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 t="shared" si="42"/>
        <v>0166-29</v>
      </c>
      <c r="AE78" s="95" t="str">
        <f t="shared" si="43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78" s="92" t="str">
        <f t="shared" si="44"/>
        <v>"C:\Program Files (x86)\AstroGrep\AstroGrep.exe" /spath="%USERPROFILE%\AppData\Local\Temp\OnboardLogs" /stypes="app*4019*20160929*" /stext=" 19:.+((SYSTEM_STATE.+slice.+state.+changed )|(ment ac)|(system.+state.+changed )|(\[timeout)|(PRM\|1\|D)|(kpr)|(kdp)|(\|lc)|(penalty))" /e /r /s</v>
      </c>
      <c r="AG78" s="1" t="str">
        <f t="shared" si="45"/>
        <v>EC</v>
      </c>
      <c r="AH78" s="96" t="str">
        <f t="shared" si="46"/>
        <v>"%USERPROFILE%\Documents\GitHub\eaglep3\Utilities\RefineRTDCRunTimes.py" --tripid 166-29 --locoid 4019 --swversion DE.1.0.7.0 --startMP 204:232996 --initTime 2016-09-29T12:30:27 --startdatetime 2016-09-29T12:41:29 --delay 1 --endMP 204:145 --enddatetime 2016-09-29T13:28:11 --enforcementcount 0 &gt;&gt;C:\Users\stu\Documents\GitHub\eaglep3-reporting\EC\2016-09-29-refined-times.txt</v>
      </c>
      <c r="AI7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{"issue":{"subject":"","project_id":79,"tracker_id":40,"status_id":1,"priority_id":2,"assigned_to_id":23,"start_date":"2016-09-29","description":"","custom_fields":[{"id":1,"name":"Subdivision","value":"EC"},{"id":4,"name":"Milepost","value":"0.0145"},{"id":17,"name":"Train ID","value":"166-29"},{"id":16,"name":"Locomotive ID","value":"4019"},{"id":130,"name":"Impact","value":""},{"id":150,"name":"Time of Event (Mountain Time)","value":"13:28:11"},{"id":151,"name":"Denver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462</v>
      </c>
      <c r="B79" s="7">
        <v>4042</v>
      </c>
      <c r="C79" s="24" t="s">
        <v>106</v>
      </c>
      <c r="D79" s="24" t="s">
        <v>343</v>
      </c>
      <c r="E79" s="15">
        <v>42642.49560185185</v>
      </c>
      <c r="F79" s="15">
        <v>42642.500185185185</v>
      </c>
      <c r="G79" s="7">
        <v>1</v>
      </c>
      <c r="H79" s="15" t="s">
        <v>619</v>
      </c>
      <c r="I79" s="15">
        <v>42642.506840277776</v>
      </c>
      <c r="J79" s="7">
        <v>0</v>
      </c>
      <c r="K79" s="117" t="str">
        <f t="shared" si="34"/>
        <v>4041/4042</v>
      </c>
      <c r="L79" s="24" t="str">
        <f>VLOOKUP(A79,'Trips&amp;Operators'!$C$1:$E$10000,3,FALSE)</f>
        <v>YOUNG</v>
      </c>
      <c r="M79" s="6">
        <f t="shared" si="35"/>
        <v>6.655092591245193E-3</v>
      </c>
      <c r="N79" s="7"/>
      <c r="O79" s="7"/>
      <c r="P79" s="7">
        <f>24*60*SUM($M79:$M79)</f>
        <v>9.583333331393078</v>
      </c>
      <c r="Q79" s="25"/>
      <c r="R79" s="25" t="s">
        <v>744</v>
      </c>
      <c r="S79" s="37">
        <f t="shared" si="36"/>
        <v>0.25</v>
      </c>
      <c r="T79" s="52" t="str">
        <f t="shared" si="37"/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3</v>
      </c>
      <c r="V79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10:53:40-0600',mode:absolute,to:'2016-09-29 13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79" s="54" t="str">
        <f t="shared" si="39"/>
        <v>Y</v>
      </c>
      <c r="X79" s="164">
        <f t="shared" si="33"/>
        <v>1</v>
      </c>
      <c r="Y79" s="69">
        <f t="shared" si="40"/>
        <v>4.3700000000000003E-2</v>
      </c>
      <c r="Z79" s="69">
        <v>3.67</v>
      </c>
      <c r="AA79" s="69">
        <f t="shared" si="41"/>
        <v>3.6263000000000001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 t="shared" si="42"/>
        <v>0167-29</v>
      </c>
      <c r="AE79" s="95" t="str">
        <f t="shared" si="43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79" s="92" t="str">
        <f t="shared" si="44"/>
        <v>"C:\Program Files (x86)\AstroGrep\AstroGrep.exe" /spath="%USERPROFILE%\AppData\Local\Temp\OnboardLogs" /stypes="app*4042*20160929*" /stext=" 18:.+((SYSTEM_STATE.+slice.+state.+changed )|(ment ac)|(system.+state.+changed )|(\[timeout)|(PRM\|1\|D)|(kpr)|(kdp)|(\|lc)|(penalty))" /e /r /s</v>
      </c>
      <c r="AG79" s="1" t="str">
        <f t="shared" si="45"/>
        <v>EC</v>
      </c>
      <c r="AH79" s="96" t="str">
        <f t="shared" si="46"/>
        <v>"%USERPROFILE%\Documents\GitHub\eaglep3\Utilities\RefineRTDCRunTimes.py" --tripid 167-29 --locoid 4042 --swversion DE.1.0.7.0 --startMP 204:437 --initTime 2016-09-29T11:53:40 --startdatetime 2016-09-29T12:00:16 --delay 1 --endMP 204:233179 --enddatetime 2016-09-29T12:09:51 --enforcementcount 0 &gt;&gt;C:\Users\stu\Documents\GitHub\eaglep3-reporting\EC\2016-09-29-refined-times.txt</v>
      </c>
      <c r="AI79" s="130" t="str">
        <f t="shared" si="47"/>
        <v>echo {"issue":{"subject":"Wi-MAX outage","project_id":79,"tracker_id":40,"status_id":1,"priority_id":2,"assigned_to_id":23,"start_date":"2016-09-29","description":"","custom_fields":[{"id":1,"name":"Subdivision","value":"EC"},{"id":4,"name":"Milepost","value":"3.67"},{"id":17,"name":"Train ID","value":"167-29"},{"id":16,"name":"Locomotive ID","value":"4042"},{"id":130,"name":"Impact","value":""},{"id":150,"name":"Time of Event (Mountain Time)","value":"12:09:51"},{"id":151,"name":"Denver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473</v>
      </c>
      <c r="B80" s="7">
        <v>4041</v>
      </c>
      <c r="C80" s="24" t="s">
        <v>106</v>
      </c>
      <c r="D80" s="24" t="s">
        <v>326</v>
      </c>
      <c r="E80" s="15">
        <v>42642.534699074073</v>
      </c>
      <c r="F80" s="15">
        <v>42642.539351851854</v>
      </c>
      <c r="G80" s="7">
        <v>1</v>
      </c>
      <c r="H80" s="15" t="s">
        <v>276</v>
      </c>
      <c r="I80" s="15">
        <v>42642.570925925924</v>
      </c>
      <c r="J80" s="7">
        <v>0</v>
      </c>
      <c r="K80" s="117" t="str">
        <f t="shared" si="34"/>
        <v>4041/4042</v>
      </c>
      <c r="L80" s="24" t="str">
        <f>VLOOKUP(A80,'Trips&amp;Operators'!$C$1:$E$10000,3,FALSE)</f>
        <v>YOUNG</v>
      </c>
      <c r="M80" s="6">
        <f t="shared" si="35"/>
        <v>3.1574074069794733E-2</v>
      </c>
      <c r="N80" s="7">
        <f t="shared" ref="N80:N105" si="48">24*60*SUM($M80:$M80)</f>
        <v>45.466666660504416</v>
      </c>
      <c r="O80" s="7"/>
      <c r="P80" s="7"/>
      <c r="Q80" s="25"/>
      <c r="R80" s="25"/>
      <c r="S80" s="37">
        <f t="shared" si="36"/>
        <v>1</v>
      </c>
      <c r="T80" s="52" t="str">
        <f t="shared" si="37"/>
        <v>Southbound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11:49:58-0600',mode:absolute,to:'2016-09-29 14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80" s="54" t="str">
        <f t="shared" si="39"/>
        <v>N</v>
      </c>
      <c r="X80" s="164">
        <f t="shared" si="33"/>
        <v>1</v>
      </c>
      <c r="Y80" s="69">
        <f t="shared" si="40"/>
        <v>23.298400000000001</v>
      </c>
      <c r="Z80" s="69">
        <f t="shared" ref="Z80:Z110" si="49">RIGHT(H80,LEN(H80)-4)/10000</f>
        <v>1.72E-2</v>
      </c>
      <c r="AA80" s="69">
        <f t="shared" si="41"/>
        <v>23.281200000000002</v>
      </c>
      <c r="AB80" s="66" t="str">
        <f>VLOOKUP(A80,Enforcements!$C$7:$K$21,8,0)</f>
        <v>Speed (6)</v>
      </c>
      <c r="AC80" s="62" t="str">
        <f>VLOOKUP(A80,Enforcements!$C$7:$E$21,3,0)</f>
        <v>PERMANENT SPEED RESTRICTION</v>
      </c>
      <c r="AD80" s="63" t="str">
        <f t="shared" si="42"/>
        <v>0168-29</v>
      </c>
      <c r="AE80" s="95" t="str">
        <f t="shared" si="43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80" s="92" t="str">
        <f t="shared" si="44"/>
        <v>"C:\Program Files (x86)\AstroGrep\AstroGrep.exe" /spath="%USERPROFILE%\AppData\Local\Temp\OnboardLogs" /stypes="app*4041*20160929*" /stext=" 19:.+((SYSTEM_STATE.+slice.+state.+changed )|(ment ac)|(system.+state.+changed )|(\[timeout)|(PRM\|1\|D)|(kpr)|(kdp)|(\|lc)|(penalty))" /e /r /s</v>
      </c>
      <c r="AG80" s="1" t="str">
        <f t="shared" si="45"/>
        <v>EC</v>
      </c>
      <c r="AH80" s="96" t="str">
        <f t="shared" si="46"/>
        <v>"%USERPROFILE%\Documents\GitHub\eaglep3\Utilities\RefineRTDCRunTimes.py" --tripid 168-29 --locoid 4041 --swversion DE.1.0.7.0 --startMP 204:232984 --initTime 2016-09-29T12:49:58 --startdatetime 2016-09-29T12:56:40 --delay 1 --endMP 204:172 --enddatetime 2016-09-29T13:42:08 --enforcementcount 0 &gt;&gt;C:\Users\stu\Documents\GitHub\eaglep3-reporting\EC\2016-09-29-refined-times.txt</v>
      </c>
      <c r="AI8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{"issue":{"subject":"","project_id":79,"tracker_id":40,"status_id":1,"priority_id":2,"assigned_to_id":23,"start_date":"2016-09-29","description":"","custom_fields":[{"id":1,"name":"Subdivision","value":"EC"},{"id":4,"name":"Milepost","value":"0.0172"},{"id":17,"name":"Train ID","value":"168-29"},{"id":16,"name":"Locomotive ID","value":"4041"},{"id":130,"name":"Impact","value":""},{"id":150,"name":"Time of Event (Mountain Time)","value":"13:42:08"},{"id":151,"name":"Denver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464</v>
      </c>
      <c r="B81" s="7">
        <v>4002</v>
      </c>
      <c r="C81" s="24" t="s">
        <v>106</v>
      </c>
      <c r="D81" s="24" t="s">
        <v>245</v>
      </c>
      <c r="E81" s="15">
        <v>42642.507256944446</v>
      </c>
      <c r="F81" s="15">
        <v>42642.510879629626</v>
      </c>
      <c r="G81" s="7">
        <v>1</v>
      </c>
      <c r="H81" s="15" t="s">
        <v>263</v>
      </c>
      <c r="I81" s="15">
        <v>42642.538194444445</v>
      </c>
      <c r="J81" s="7">
        <v>0</v>
      </c>
      <c r="K81" s="117" t="str">
        <f t="shared" si="34"/>
        <v>4001/4002</v>
      </c>
      <c r="L81" s="24" t="str">
        <f>VLOOKUP(A81,'Trips&amp;Operators'!$C$1:$E$10000,3,FALSE)</f>
        <v>OUN</v>
      </c>
      <c r="M81" s="6">
        <f t="shared" si="35"/>
        <v>2.7314814818964805E-2</v>
      </c>
      <c r="N81" s="7">
        <f t="shared" si="48"/>
        <v>39.33333333930932</v>
      </c>
      <c r="O81" s="7"/>
      <c r="P81" s="7"/>
      <c r="Q81" s="25"/>
      <c r="R81" s="25"/>
      <c r="S81" s="37">
        <f t="shared" si="36"/>
        <v>1</v>
      </c>
      <c r="T81" s="52" t="str">
        <f t="shared" si="37"/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11:10:27-0600',mode:absolute,to:'2016-09-29 13:55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81" s="54" t="str">
        <f t="shared" si="39"/>
        <v>N</v>
      </c>
      <c r="X81" s="164">
        <f t="shared" si="33"/>
        <v>1</v>
      </c>
      <c r="Y81" s="69">
        <f t="shared" si="40"/>
        <v>4.6399999999999997E-2</v>
      </c>
      <c r="Z81" s="69">
        <f t="shared" si="49"/>
        <v>23.331499999999998</v>
      </c>
      <c r="AA81" s="69">
        <f t="shared" si="41"/>
        <v>23.2851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 t="shared" si="42"/>
        <v>0169-29</v>
      </c>
      <c r="AE81" s="95" t="str">
        <f t="shared" si="43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81" s="92" t="str">
        <f t="shared" si="44"/>
        <v>"C:\Program Files (x86)\AstroGrep\AstroGrep.exe" /spath="%USERPROFILE%\AppData\Local\Temp\OnboardLogs" /stypes="app*4002*20160929*" /stext=" 18:.+((SYSTEM_STATE.+slice.+state.+changed )|(ment ac)|(system.+state.+changed )|(\[timeout)|(PRM\|1\|D)|(kpr)|(kdp)|(\|lc)|(penalty))" /e /r /s</v>
      </c>
      <c r="AG81" s="1" t="str">
        <f t="shared" si="45"/>
        <v>EC</v>
      </c>
      <c r="AH81" s="96" t="str">
        <f t="shared" si="46"/>
        <v>"%USERPROFILE%\Documents\GitHub\eaglep3\Utilities\RefineRTDCRunTimes.py" --tripid 169-29 --locoid 4002 --swversion DE.1.0.7.0 --startMP 204:464 --initTime 2016-09-29T12:10:27 --startdatetime 2016-09-29T12:15:40 --delay 1 --endMP 204:233315 --enddatetime 2016-09-29T12:55:00 --enforcementcount 0 &gt;&gt;C:\Users\stu\Documents\GitHub\eaglep3-reporting\EC\2016-09-29-refined-times.txt</v>
      </c>
      <c r="AI8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{"issue":{"subject":"","project_id":79,"tracker_id":40,"status_id":1,"priority_id":2,"assigned_to_id":23,"start_date":"2016-09-29","description":"","custom_fields":[{"id":1,"name":"Subdivision","value":"EC"},{"id":4,"name":"Milepost","value":"23.3315"},{"id":17,"name":"Train ID","value":"169-29"},{"id":16,"name":"Locomotive ID","value":"4002"},{"id":130,"name":"Impact","value":""},{"id":150,"name":"Time of Event (Mountain Time)","value":"12:55:00"},{"id":151,"name":"Denver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475</v>
      </c>
      <c r="B82" s="7">
        <v>4001</v>
      </c>
      <c r="C82" s="24" t="s">
        <v>106</v>
      </c>
      <c r="D82" s="24" t="s">
        <v>605</v>
      </c>
      <c r="E82" s="15">
        <v>42642.546458333331</v>
      </c>
      <c r="F82" s="15">
        <v>42642.54954861111</v>
      </c>
      <c r="G82" s="7">
        <v>1</v>
      </c>
      <c r="H82" s="15" t="s">
        <v>206</v>
      </c>
      <c r="I82" s="15">
        <v>42642.580567129633</v>
      </c>
      <c r="J82" s="7">
        <v>0</v>
      </c>
      <c r="K82" s="117" t="str">
        <f t="shared" si="34"/>
        <v>4001/4002</v>
      </c>
      <c r="L82" s="24" t="str">
        <f>VLOOKUP(A82,'Trips&amp;Operators'!$C$1:$E$10000,3,FALSE)</f>
        <v>OUN</v>
      </c>
      <c r="M82" s="6">
        <f t="shared" si="35"/>
        <v>3.1018518522614613E-2</v>
      </c>
      <c r="N82" s="7">
        <f t="shared" si="48"/>
        <v>44.666666672565043</v>
      </c>
      <c r="O82" s="7"/>
      <c r="P82" s="7"/>
      <c r="Q82" s="25"/>
      <c r="R82" s="25"/>
      <c r="S82" s="37">
        <f t="shared" si="36"/>
        <v>1</v>
      </c>
      <c r="T82" s="52" t="str">
        <f t="shared" si="37"/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12:06:54-0600',mode:absolute,to:'2016-09-29 14:56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82" s="54" t="str">
        <f t="shared" si="39"/>
        <v>N</v>
      </c>
      <c r="X82" s="164">
        <f t="shared" si="33"/>
        <v>1</v>
      </c>
      <c r="Y82" s="69">
        <f t="shared" si="40"/>
        <v>23.299399999999999</v>
      </c>
      <c r="Z82" s="69">
        <f t="shared" si="49"/>
        <v>1.4999999999999999E-2</v>
      </c>
      <c r="AA82" s="69">
        <f t="shared" si="41"/>
        <v>23.284399999999998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 t="shared" si="42"/>
        <v>0170-29</v>
      </c>
      <c r="AE82" s="95" t="str">
        <f t="shared" si="43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82" s="92" t="str">
        <f t="shared" si="44"/>
        <v>"C:\Program Files (x86)\AstroGrep\AstroGrep.exe" /spath="%USERPROFILE%\AppData\Local\Temp\OnboardLogs" /stypes="app*4001*20160929*" /stext=" 19:.+((SYSTEM_STATE.+slice.+state.+changed )|(ment ac)|(system.+state.+changed )|(\[timeout)|(PRM\|1\|D)|(kpr)|(kdp)|(\|lc)|(penalty))" /e /r /s</v>
      </c>
      <c r="AG82" s="1" t="str">
        <f t="shared" si="45"/>
        <v>EC</v>
      </c>
      <c r="AH82" s="96" t="str">
        <f t="shared" si="46"/>
        <v>"%USERPROFILE%\Documents\GitHub\eaglep3\Utilities\RefineRTDCRunTimes.py" --tripid 170-29 --locoid 4001 --swversion DE.1.0.7.0 --startMP 204:232994 --initTime 2016-09-29T13:06:54 --startdatetime 2016-09-29T13:11:21 --delay 1 --endMP 204:150 --enddatetime 2016-09-29T13:56:01 --enforcementcount 0 &gt;&gt;C:\Users\stu\Documents\GitHub\eaglep3-reporting\EC\2016-09-29-refined-times.txt</v>
      </c>
      <c r="AI8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{"issue":{"subject":"","project_id":79,"tracker_id":40,"status_id":1,"priority_id":2,"assigned_to_id":23,"start_date":"2016-09-29","description":"","custom_fields":[{"id":1,"name":"Subdivision","value":"EC"},{"id":4,"name":"Milepost","value":"0.015"},{"id":17,"name":"Train ID","value":"170-29"},{"id":16,"name":"Locomotive ID","value":"4001"},{"id":130,"name":"Impact","value":""},{"id":150,"name":"Time of Event (Mountain Time)","value":"13:56:01"},{"id":151,"name":"Denver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469</v>
      </c>
      <c r="B83" s="7">
        <v>4029</v>
      </c>
      <c r="C83" s="24" t="s">
        <v>106</v>
      </c>
      <c r="D83" s="24" t="s">
        <v>620</v>
      </c>
      <c r="E83" s="15">
        <v>42642.521898148145</v>
      </c>
      <c r="F83" s="15">
        <v>42642.524328703701</v>
      </c>
      <c r="G83" s="7">
        <v>3</v>
      </c>
      <c r="H83" s="15" t="s">
        <v>270</v>
      </c>
      <c r="I83" s="15">
        <v>42642.553368055553</v>
      </c>
      <c r="J83" s="7">
        <v>0</v>
      </c>
      <c r="K83" s="117" t="str">
        <f t="shared" si="34"/>
        <v>4029/4030</v>
      </c>
      <c r="L83" s="24" t="str">
        <f>VLOOKUP(A83,'Trips&amp;Operators'!$C$1:$E$10000,3,FALSE)</f>
        <v>MATTHEWS</v>
      </c>
      <c r="M83" s="6">
        <f t="shared" si="35"/>
        <v>2.9039351851679385E-2</v>
      </c>
      <c r="N83" s="7">
        <f t="shared" si="48"/>
        <v>41.816666666418314</v>
      </c>
      <c r="O83" s="7"/>
      <c r="P83" s="7"/>
      <c r="Q83" s="25"/>
      <c r="R83" s="25"/>
      <c r="S83" s="37">
        <f t="shared" si="36"/>
        <v>1</v>
      </c>
      <c r="T83" s="52" t="str">
        <f t="shared" si="37"/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11:31:32-0600',mode:absolute,to:'2016-09-29 14:16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83" s="54" t="str">
        <f t="shared" si="39"/>
        <v>N</v>
      </c>
      <c r="X83" s="164">
        <f t="shared" si="33"/>
        <v>1</v>
      </c>
      <c r="Y83" s="69">
        <f t="shared" si="40"/>
        <v>0.1171</v>
      </c>
      <c r="Z83" s="69">
        <f t="shared" si="49"/>
        <v>23.3293</v>
      </c>
      <c r="AA83" s="69">
        <f t="shared" si="41"/>
        <v>23.212199999999999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 t="shared" si="42"/>
        <v>0171-29</v>
      </c>
      <c r="AE83" s="95" t="str">
        <f t="shared" si="43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83" s="92" t="str">
        <f t="shared" si="44"/>
        <v>"C:\Program Files (x86)\AstroGrep\AstroGrep.exe" /spath="%USERPROFILE%\AppData\Local\Temp\OnboardLogs" /stypes="app*4029*20160929*" /stext=" 19:.+((SYSTEM_STATE.+slice.+state.+changed )|(ment ac)|(system.+state.+changed )|(\[timeout)|(PRM\|1\|D)|(kpr)|(kdp)|(\|lc)|(penalty))" /e /r /s</v>
      </c>
      <c r="AG83" s="1" t="str">
        <f t="shared" si="45"/>
        <v>EC</v>
      </c>
      <c r="AH83" s="96" t="str">
        <f t="shared" si="46"/>
        <v>"%USERPROFILE%\Documents\GitHub\eaglep3\Utilities\RefineRTDCRunTimes.py" --tripid 171-29 --locoid 4029 --swversion DE.1.0.7.0 --startMP 204:1171 --initTime 2016-09-29T12:31:32 --startdatetime 2016-09-29T12:35:02 --delay 3 --endMP 204:233293 --enddatetime 2016-09-29T13:16:51 --enforcementcount 0 &gt;&gt;C:\Users\stu\Documents\GitHub\eaglep3-reporting\EC\2016-09-29-refined-times.txt</v>
      </c>
      <c r="AI8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{"issue":{"subject":"","project_id":79,"tracker_id":40,"status_id":1,"priority_id":2,"assigned_to_id":23,"start_date":"2016-09-29","description":"","custom_fields":[{"id":1,"name":"Subdivision","value":"EC"},{"id":4,"name":"Milepost","value":"23.3293"},{"id":17,"name":"Train ID","value":"171-29"},{"id":16,"name":"Locomotive ID","value":"4029"},{"id":130,"name":"Impact","value":""},{"id":150,"name":"Time of Event (Mountain Time)","value":"13:16:51"},{"id":151,"name":"Denver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478</v>
      </c>
      <c r="B84" s="7">
        <v>4030</v>
      </c>
      <c r="C84" s="24" t="s">
        <v>106</v>
      </c>
      <c r="D84" s="24" t="s">
        <v>603</v>
      </c>
      <c r="E84" s="15">
        <v>42642.555104166669</v>
      </c>
      <c r="F84" s="15">
        <v>42642.559907407405</v>
      </c>
      <c r="G84" s="7">
        <v>3</v>
      </c>
      <c r="H84" s="15" t="s">
        <v>651</v>
      </c>
      <c r="I84" s="15">
        <v>42642.589826388888</v>
      </c>
      <c r="J84" s="7">
        <v>0</v>
      </c>
      <c r="K84" s="117" t="str">
        <f t="shared" si="34"/>
        <v>4029/4030</v>
      </c>
      <c r="L84" s="24" t="str">
        <f>VLOOKUP(A84,'Trips&amp;Operators'!$C$1:$E$10000,3,FALSE)</f>
        <v>MATTHEWS</v>
      </c>
      <c r="M84" s="6">
        <f t="shared" si="35"/>
        <v>2.9918981483206153E-2</v>
      </c>
      <c r="N84" s="7">
        <f t="shared" si="48"/>
        <v>43.08333333581686</v>
      </c>
      <c r="O84" s="7"/>
      <c r="P84" s="7"/>
      <c r="Q84" s="25"/>
      <c r="R84" s="25"/>
      <c r="S84" s="37">
        <f t="shared" si="36"/>
        <v>1</v>
      </c>
      <c r="T84" s="52" t="str">
        <f t="shared" si="37"/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12:19:21-0600',mode:absolute,to:'2016-09-29 15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84" s="54" t="str">
        <f t="shared" si="39"/>
        <v>N</v>
      </c>
      <c r="X84" s="164">
        <f t="shared" si="33"/>
        <v>1</v>
      </c>
      <c r="Y84" s="69">
        <f t="shared" si="40"/>
        <v>23.297999999999998</v>
      </c>
      <c r="Z84" s="69">
        <f t="shared" si="49"/>
        <v>1.6500000000000001E-2</v>
      </c>
      <c r="AA84" s="69">
        <f t="shared" si="41"/>
        <v>23.281499999999998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 t="shared" si="42"/>
        <v>0172-29</v>
      </c>
      <c r="AE84" s="95" t="str">
        <f t="shared" si="43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84" s="92" t="str">
        <f t="shared" si="44"/>
        <v>"C:\Program Files (x86)\AstroGrep\AstroGrep.exe" /spath="%USERPROFILE%\AppData\Local\Temp\OnboardLogs" /stypes="app*4030*20160929*" /stext=" 20:.+((SYSTEM_STATE.+slice.+state.+changed )|(ment ac)|(system.+state.+changed )|(\[timeout)|(PRM\|1\|D)|(kpr)|(kdp)|(\|lc)|(penalty))" /e /r /s</v>
      </c>
      <c r="AG84" s="1" t="str">
        <f t="shared" si="45"/>
        <v>EC</v>
      </c>
      <c r="AH84" s="96" t="str">
        <f t="shared" si="46"/>
        <v>"%USERPROFILE%\Documents\GitHub\eaglep3\Utilities\RefineRTDCRunTimes.py" --tripid 172-29 --locoid 4030 --swversion DE.1.0.7.0 --startMP 204:232980 --initTime 2016-09-29T13:19:21 --startdatetime 2016-09-29T13:26:16 --delay 3 --endMP 204:165 --enddatetime 2016-09-29T14:09:21 --enforcementcount 0 &gt;&gt;C:\Users\stu\Documents\GitHub\eaglep3-reporting\EC\2016-09-29-refined-times.txt</v>
      </c>
      <c r="AI8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{"issue":{"subject":"","project_id":79,"tracker_id":40,"status_id":1,"priority_id":2,"assigned_to_id":23,"start_date":"2016-09-29","description":"","custom_fields":[{"id":1,"name":"Subdivision","value":"EC"},{"id":4,"name":"Milepost","value":"0.0165"},{"id":17,"name":"Train ID","value":"172-29"},{"id":16,"name":"Locomotive ID","value":"4030"},{"id":130,"name":"Impact","value":""},{"id":150,"name":"Time of Event (Mountain Time)","value":"14:09:21"},{"id":151,"name":"Denver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472</v>
      </c>
      <c r="B85" s="7">
        <v>4025</v>
      </c>
      <c r="C85" s="24" t="s">
        <v>106</v>
      </c>
      <c r="D85" s="24" t="s">
        <v>328</v>
      </c>
      <c r="E85" s="15">
        <v>42642.529062499998</v>
      </c>
      <c r="F85" s="15">
        <v>42642.531527777777</v>
      </c>
      <c r="G85" s="7">
        <v>1</v>
      </c>
      <c r="H85" s="15" t="s">
        <v>621</v>
      </c>
      <c r="I85" s="15">
        <v>42642.563032407408</v>
      </c>
      <c r="J85" s="7">
        <v>0</v>
      </c>
      <c r="K85" s="117" t="str">
        <f t="shared" si="34"/>
        <v>4025/4026</v>
      </c>
      <c r="L85" s="24" t="str">
        <f>VLOOKUP(A85,'Trips&amp;Operators'!$C$1:$E$10000,3,FALSE)</f>
        <v>BONDS</v>
      </c>
      <c r="M85" s="6">
        <f t="shared" si="35"/>
        <v>3.1504629630944692E-2</v>
      </c>
      <c r="N85" s="7">
        <f t="shared" si="48"/>
        <v>45.366666668560356</v>
      </c>
      <c r="O85" s="7"/>
      <c r="P85" s="7"/>
      <c r="Q85" s="25"/>
      <c r="R85" s="25"/>
      <c r="S85" s="37">
        <f t="shared" si="36"/>
        <v>1</v>
      </c>
      <c r="T85" s="52" t="str">
        <f t="shared" si="37"/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11:41:51-0600',mode:absolute,to:'2016-09-29 14:30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85" s="54" t="str">
        <f t="shared" si="39"/>
        <v>N</v>
      </c>
      <c r="X85" s="164">
        <f t="shared" si="33"/>
        <v>1</v>
      </c>
      <c r="Y85" s="69">
        <f t="shared" si="40"/>
        <v>4.3299999999999998E-2</v>
      </c>
      <c r="Z85" s="69">
        <f t="shared" si="49"/>
        <v>23.3263</v>
      </c>
      <c r="AA85" s="69">
        <f t="shared" si="41"/>
        <v>23.283000000000001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 t="shared" si="42"/>
        <v>0173-29</v>
      </c>
      <c r="AE85" s="95" t="str">
        <f t="shared" si="43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85" s="92" t="str">
        <f t="shared" si="44"/>
        <v>"C:\Program Files (x86)\AstroGrep\AstroGrep.exe" /spath="%USERPROFILE%\AppData\Local\Temp\OnboardLogs" /stypes="app*4025*20160929*" /stext=" 19:.+((SYSTEM_STATE.+slice.+state.+changed )|(ment ac)|(system.+state.+changed )|(\[timeout)|(PRM\|1\|D)|(kpr)|(kdp)|(\|lc)|(penalty))" /e /r /s</v>
      </c>
      <c r="AG85" s="1" t="str">
        <f t="shared" si="45"/>
        <v>EC</v>
      </c>
      <c r="AH85" s="96" t="str">
        <f t="shared" si="46"/>
        <v>"%USERPROFILE%\Documents\GitHub\eaglep3\Utilities\RefineRTDCRunTimes.py" --tripid 173-29 --locoid 4025 --swversion DE.1.0.7.0 --startMP 204:433 --initTime 2016-09-29T12:41:51 --startdatetime 2016-09-29T12:45:24 --delay 1 --endMP 204:233263 --enddatetime 2016-09-29T13:30:46 --enforcementcount 0 &gt;&gt;C:\Users\stu\Documents\GitHub\eaglep3-reporting\EC\2016-09-29-refined-times.txt</v>
      </c>
      <c r="AI8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{"issue":{"subject":"","project_id":79,"tracker_id":40,"status_id":1,"priority_id":2,"assigned_to_id":23,"start_date":"2016-09-29","description":"","custom_fields":[{"id":1,"name":"Subdivision","value":"EC"},{"id":4,"name":"Milepost","value":"23.3263"},{"id":17,"name":"Train ID","value":"173-29"},{"id":16,"name":"Locomotive ID","value":"4025"},{"id":130,"name":"Impact","value":""},{"id":150,"name":"Time of Event (Mountain Time)","value":"13:30:46"},{"id":151,"name":"Denver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480</v>
      </c>
      <c r="B86" s="7">
        <v>4026</v>
      </c>
      <c r="C86" s="24" t="s">
        <v>106</v>
      </c>
      <c r="D86" s="24" t="s">
        <v>731</v>
      </c>
      <c r="E86" s="15">
        <v>42642.566736111112</v>
      </c>
      <c r="F86" s="15">
        <v>42642.570324074077</v>
      </c>
      <c r="G86" s="7">
        <v>1</v>
      </c>
      <c r="H86" s="15" t="s">
        <v>218</v>
      </c>
      <c r="I86" s="15">
        <v>42642.599490740744</v>
      </c>
      <c r="J86" s="7">
        <v>0</v>
      </c>
      <c r="K86" s="117" t="str">
        <f t="shared" si="34"/>
        <v>4025/4026</v>
      </c>
      <c r="L86" s="24" t="str">
        <f>VLOOKUP(A86,'Trips&amp;Operators'!$C$1:$E$10000,3,FALSE)</f>
        <v>BONDS</v>
      </c>
      <c r="M86" s="6">
        <f t="shared" si="35"/>
        <v>2.9166666667151731E-2</v>
      </c>
      <c r="N86" s="7">
        <f t="shared" si="48"/>
        <v>42.000000000698492</v>
      </c>
      <c r="O86" s="7"/>
      <c r="P86" s="7"/>
      <c r="Q86" s="25"/>
      <c r="R86" s="25"/>
      <c r="S86" s="37">
        <f t="shared" si="36"/>
        <v>1</v>
      </c>
      <c r="T86" s="52" t="str">
        <f t="shared" si="37"/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12:36:06-0600',mode:absolute,to:'2016-09-29 15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86" s="54" t="str">
        <f t="shared" si="39"/>
        <v>N</v>
      </c>
      <c r="X86" s="164">
        <f t="shared" si="33"/>
        <v>1</v>
      </c>
      <c r="Y86" s="69">
        <f t="shared" si="40"/>
        <v>23.294499999999999</v>
      </c>
      <c r="Z86" s="69">
        <f t="shared" si="49"/>
        <v>1.38E-2</v>
      </c>
      <c r="AA86" s="69">
        <f t="shared" si="41"/>
        <v>23.2807</v>
      </c>
      <c r="AB86" s="66" t="str">
        <f>VLOOKUP(A86,Enforcements!$C$7:$K$21,8,0)</f>
        <v>Bulletin (2)</v>
      </c>
      <c r="AC86" s="62" t="str">
        <f>VLOOKUP(A86,Enforcements!$C$7:$E$21,3,0)</f>
        <v>GRADE CROSSING</v>
      </c>
      <c r="AD86" s="63" t="str">
        <f t="shared" si="42"/>
        <v>0174-29</v>
      </c>
      <c r="AE86" s="95" t="str">
        <f t="shared" si="43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86" s="92" t="str">
        <f t="shared" si="44"/>
        <v>"C:\Program Files (x86)\AstroGrep\AstroGrep.exe" /spath="%USERPROFILE%\AppData\Local\Temp\OnboardLogs" /stypes="app*4026*20160929*" /stext=" 20:.+((SYSTEM_STATE.+slice.+state.+changed )|(ment ac)|(system.+state.+changed )|(\[timeout)|(PRM\|1\|D)|(kpr)|(kdp)|(\|lc)|(penalty))" /e /r /s</v>
      </c>
      <c r="AG86" s="1" t="str">
        <f t="shared" si="45"/>
        <v>EC</v>
      </c>
      <c r="AH86" s="96" t="str">
        <f t="shared" si="46"/>
        <v>"%USERPROFILE%\Documents\GitHub\eaglep3\Utilities\RefineRTDCRunTimes.py" --tripid 174-29 --locoid 4026 --swversion DE.1.0.7.0 --startMP 204:232945 --initTime 2016-09-29T13:36:06 --startdatetime 2016-09-29T13:41:16 --delay 1 --endMP 204:138 --enddatetime 2016-09-29T14:23:16 --enforcementcount 0 &gt;&gt;C:\Users\stu\Documents\GitHub\eaglep3-reporting\EC\2016-09-29-refined-times.txt</v>
      </c>
      <c r="AI86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{"issue":{"subject":"","project_id":79,"tracker_id":40,"status_id":1,"priority_id":2,"assigned_to_id":23,"start_date":"2016-09-29","description":"","custom_fields":[{"id":1,"name":"Subdivision","value":"EC"},{"id":4,"name":"Milepost","value":"0.0138"},{"id":17,"name":"Train ID","value":"174-29"},{"id":16,"name":"Locomotive ID","value":"4026"},{"id":130,"name":"Impact","value":""},{"id":150,"name":"Time of Event (Mountain Time)","value":"14:23:16"},{"id":151,"name":"Denver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474</v>
      </c>
      <c r="B87" s="7">
        <v>4046</v>
      </c>
      <c r="C87" s="24" t="s">
        <v>106</v>
      </c>
      <c r="D87" s="24" t="s">
        <v>209</v>
      </c>
      <c r="E87" s="15">
        <v>42642.539837962962</v>
      </c>
      <c r="F87" s="15">
        <v>42642.542013888888</v>
      </c>
      <c r="G87" s="7">
        <v>1</v>
      </c>
      <c r="H87" s="15" t="s">
        <v>732</v>
      </c>
      <c r="I87" s="15">
        <v>42642.568773148145</v>
      </c>
      <c r="J87" s="7">
        <v>0</v>
      </c>
      <c r="K87" s="117" t="str">
        <f t="shared" si="34"/>
        <v>4045/4046</v>
      </c>
      <c r="L87" s="24" t="str">
        <f>VLOOKUP(A87,'Trips&amp;Operators'!$C$1:$E$10000,3,FALSE)</f>
        <v>SHOOK</v>
      </c>
      <c r="M87" s="6">
        <f t="shared" si="35"/>
        <v>2.675925925723277E-2</v>
      </c>
      <c r="N87" s="7">
        <f t="shared" si="48"/>
        <v>38.533333330415189</v>
      </c>
      <c r="O87" s="7"/>
      <c r="P87" s="7"/>
      <c r="Q87" s="25"/>
      <c r="R87" s="25"/>
      <c r="S87" s="37">
        <f t="shared" si="36"/>
        <v>1</v>
      </c>
      <c r="T87" s="52" t="str">
        <f t="shared" si="37"/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11:57:22-0600',mode:absolute,to:'2016-09-29 14:39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87" s="54" t="str">
        <f t="shared" si="39"/>
        <v>N</v>
      </c>
      <c r="X87" s="164">
        <f t="shared" si="33"/>
        <v>1</v>
      </c>
      <c r="Y87" s="69">
        <f t="shared" si="40"/>
        <v>4.5699999999999998E-2</v>
      </c>
      <c r="Z87" s="69">
        <f t="shared" si="49"/>
        <v>23.3368</v>
      </c>
      <c r="AA87" s="69">
        <f t="shared" si="41"/>
        <v>23.2911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 t="shared" si="42"/>
        <v>0175-29</v>
      </c>
      <c r="AE87" s="95" t="str">
        <f t="shared" si="43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87" s="92" t="str">
        <f t="shared" si="44"/>
        <v>"C:\Program Files (x86)\AstroGrep\AstroGrep.exe" /spath="%USERPROFILE%\AppData\Local\Temp\OnboardLogs" /stypes="app*4046*20160929*" /stext=" 19:.+((SYSTEM_STATE.+slice.+state.+changed )|(ment ac)|(system.+state.+changed )|(\[timeout)|(PRM\|1\|D)|(kpr)|(kdp)|(\|lc)|(penalty))" /e /r /s</v>
      </c>
      <c r="AG87" s="1" t="str">
        <f t="shared" si="45"/>
        <v>EC</v>
      </c>
      <c r="AH87" s="96" t="str">
        <f t="shared" si="46"/>
        <v>"%USERPROFILE%\Documents\GitHub\eaglep3\Utilities\RefineRTDCRunTimes.py" --tripid 175-29 --locoid 4046 --swversion DE.1.0.7.0 --startMP 204:457 --initTime 2016-09-29T12:57:22 --startdatetime 2016-09-29T13:00:30 --delay 1 --endMP 204:233368 --enddatetime 2016-09-29T13:39:02 --enforcementcount 0 &gt;&gt;C:\Users\stu\Documents\GitHub\eaglep3-reporting\EC\2016-09-29-refined-times.txt</v>
      </c>
      <c r="AI8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{"issue":{"subject":"","project_id":79,"tracker_id":40,"status_id":1,"priority_id":2,"assigned_to_id":23,"start_date":"2016-09-29","description":"","custom_fields":[{"id":1,"name":"Subdivision","value":"EC"},{"id":4,"name":"Milepost","value":"23.3368"},{"id":17,"name":"Train ID","value":"175-29"},{"id":16,"name":"Locomotive ID","value":"4046"},{"id":130,"name":"Impact","value":""},{"id":150,"name":"Time of Event (Mountain Time)","value":"13:39:02"},{"id":151,"name":"Denver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23" customFormat="1" x14ac:dyDescent="0.25">
      <c r="A88" s="39" t="s">
        <v>483</v>
      </c>
      <c r="B88" s="7">
        <v>4045</v>
      </c>
      <c r="C88" s="24" t="s">
        <v>106</v>
      </c>
      <c r="D88" s="24" t="s">
        <v>733</v>
      </c>
      <c r="E88" s="15">
        <v>42642.576666666668</v>
      </c>
      <c r="F88" s="15">
        <v>42642.580810185187</v>
      </c>
      <c r="G88" s="7">
        <v>1</v>
      </c>
      <c r="H88" s="15" t="s">
        <v>340</v>
      </c>
      <c r="I88" s="15">
        <v>42642.613043981481</v>
      </c>
      <c r="J88" s="7">
        <v>0</v>
      </c>
      <c r="K88" s="117" t="str">
        <f t="shared" si="34"/>
        <v>4045/4046</v>
      </c>
      <c r="L88" s="24" t="str">
        <f>VLOOKUP(A88,'Trips&amp;Operators'!$C$1:$E$10000,3,FALSE)</f>
        <v>SHOOK</v>
      </c>
      <c r="M88" s="6">
        <f t="shared" si="35"/>
        <v>3.2233796293439809E-2</v>
      </c>
      <c r="N88" s="7">
        <f t="shared" si="48"/>
        <v>46.416666662553325</v>
      </c>
      <c r="O88" s="7"/>
      <c r="P88" s="7"/>
      <c r="Q88" s="25"/>
      <c r="R88" s="25"/>
      <c r="S88" s="37">
        <f t="shared" si="36"/>
        <v>1</v>
      </c>
      <c r="T88" s="52" t="str">
        <f t="shared" si="37"/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12:50:24-0600',mode:absolute,to:'2016-09-29 15:42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88" s="54" t="str">
        <f t="shared" si="39"/>
        <v>N</v>
      </c>
      <c r="X88" s="164">
        <f t="shared" si="33"/>
        <v>1</v>
      </c>
      <c r="Y88" s="69">
        <f t="shared" si="40"/>
        <v>23.303799999999999</v>
      </c>
      <c r="Z88" s="69">
        <f t="shared" si="49"/>
        <v>1.61E-2</v>
      </c>
      <c r="AA88" s="69">
        <f t="shared" si="41"/>
        <v>23.287699999999997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 t="shared" si="42"/>
        <v>0176-29</v>
      </c>
      <c r="AE88" s="95" t="str">
        <f t="shared" si="43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88" s="92" t="str">
        <f t="shared" si="44"/>
        <v>"C:\Program Files (x86)\AstroGrep\AstroGrep.exe" /spath="%USERPROFILE%\AppData\Local\Temp\OnboardLogs" /stypes="app*4045*20160929*" /stext=" 20:.+((SYSTEM_STATE.+slice.+state.+changed )|(ment ac)|(system.+state.+changed )|(\[timeout)|(PRM\|1\|D)|(kpr)|(kdp)|(\|lc)|(penalty))" /e /r /s</v>
      </c>
      <c r="AG88" s="1" t="str">
        <f t="shared" si="45"/>
        <v>EC</v>
      </c>
      <c r="AH88" s="96" t="str">
        <f t="shared" si="46"/>
        <v>"%USERPROFILE%\Documents\GitHub\eaglep3\Utilities\RefineRTDCRunTimes.py" --tripid 176-29 --locoid 4045 --swversion DE.1.0.7.0 --startMP 204:233038 --initTime 2016-09-29T13:50:24 --startdatetime 2016-09-29T13:56:22 --delay 1 --endMP 204:161 --enddatetime 2016-09-29T14:42:47 --enforcementcount 0 &gt;&gt;C:\Users\stu\Documents\GitHub\eaglep3-reporting\EC\2016-09-29-refined-times.txt</v>
      </c>
      <c r="AI8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{"issue":{"subject":"","project_id":79,"tracker_id":40,"status_id":1,"priority_id":2,"assigned_to_id":23,"start_date":"2016-09-29","description":"","custom_fields":[{"id":1,"name":"Subdivision","value":"EC"},{"id":4,"name":"Milepost","value":"0.0161"},{"id":17,"name":"Train ID","value":"176-29"},{"id":16,"name":"Locomotive ID","value":"4045"},{"id":130,"name":"Impact","value":""},{"id":150,"name":"Time of Event (Mountain Time)","value":"14:42:47"},{"id":151,"name":"Denver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23" customFormat="1" x14ac:dyDescent="0.25">
      <c r="A89" s="39" t="s">
        <v>476</v>
      </c>
      <c r="B89" s="7">
        <v>4040</v>
      </c>
      <c r="C89" s="24" t="s">
        <v>106</v>
      </c>
      <c r="D89" s="24" t="s">
        <v>214</v>
      </c>
      <c r="E89" s="15">
        <v>42642.549872685187</v>
      </c>
      <c r="F89" s="15">
        <v>42642.552303240744</v>
      </c>
      <c r="G89" s="7">
        <v>1</v>
      </c>
      <c r="H89" s="15" t="s">
        <v>633</v>
      </c>
      <c r="I89" s="15">
        <v>42642.579259259262</v>
      </c>
      <c r="J89" s="7">
        <v>0</v>
      </c>
      <c r="K89" s="117" t="str">
        <f t="shared" si="34"/>
        <v>4039/4040</v>
      </c>
      <c r="L89" s="24" t="str">
        <f>VLOOKUP(A89,'Trips&amp;Operators'!$C$1:$E$10000,3,FALSE)</f>
        <v>MOSES</v>
      </c>
      <c r="M89" s="6">
        <f t="shared" si="35"/>
        <v>2.6956018518831115E-2</v>
      </c>
      <c r="N89" s="7">
        <f t="shared" si="48"/>
        <v>38.816666667116806</v>
      </c>
      <c r="O89" s="7"/>
      <c r="P89" s="7"/>
      <c r="Q89" s="25"/>
      <c r="R89" s="25"/>
      <c r="S89" s="37">
        <f t="shared" si="36"/>
        <v>1</v>
      </c>
      <c r="T89" s="52" t="str">
        <f t="shared" si="37"/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12:11:49-0600',mode:absolute,to:'2016-09-29 14:54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89" s="54" t="str">
        <f t="shared" si="39"/>
        <v>N</v>
      </c>
      <c r="X89" s="164">
        <f t="shared" si="33"/>
        <v>1</v>
      </c>
      <c r="Y89" s="69">
        <f t="shared" si="40"/>
        <v>4.58E-2</v>
      </c>
      <c r="Z89" s="69">
        <f t="shared" si="49"/>
        <v>23.333400000000001</v>
      </c>
      <c r="AA89" s="69">
        <f t="shared" si="41"/>
        <v>23.287600000000001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 t="shared" si="42"/>
        <v>0177-29</v>
      </c>
      <c r="AE89" s="95" t="str">
        <f t="shared" si="43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89" s="92" t="str">
        <f t="shared" si="44"/>
        <v>"C:\Program Files (x86)\AstroGrep\AstroGrep.exe" /spath="%USERPROFILE%\AppData\Local\Temp\OnboardLogs" /stypes="app*4040*20160929*" /stext=" 19:.+((SYSTEM_STATE.+slice.+state.+changed )|(ment ac)|(system.+state.+changed )|(\[timeout)|(PRM\|1\|D)|(kpr)|(kdp)|(\|lc)|(penalty))" /e /r /s</v>
      </c>
      <c r="AG89" s="1" t="str">
        <f t="shared" si="45"/>
        <v>EC</v>
      </c>
      <c r="AH89" s="96" t="str">
        <f t="shared" si="46"/>
        <v>"%USERPROFILE%\Documents\GitHub\eaglep3\Utilities\RefineRTDCRunTimes.py" --tripid 177-29 --locoid 4040 --swversion DE.1.0.7.0 --startMP 204:458 --initTime 2016-09-29T13:11:49 --startdatetime 2016-09-29T13:15:19 --delay 1 --endMP 204:233334 --enddatetime 2016-09-29T13:54:08 --enforcementcount 0 &gt;&gt;C:\Users\stu\Documents\GitHub\eaglep3-reporting\EC\2016-09-29-refined-times.txt</v>
      </c>
      <c r="AI89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{"issue":{"subject":"","project_id":79,"tracker_id":40,"status_id":1,"priority_id":2,"assigned_to_id":23,"start_date":"2016-09-29","description":"","custom_fields":[{"id":1,"name":"Subdivision","value":"EC"},{"id":4,"name":"Milepost","value":"23.3334"},{"id":17,"name":"Train ID","value":"177-29"},{"id":16,"name":"Locomotive ID","value":"4040"},{"id":130,"name":"Impact","value":""},{"id":150,"name":"Time of Event (Mountain Time)","value":"13:54:08"},{"id":151,"name":"Denver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x14ac:dyDescent="0.25">
      <c r="A90" s="39" t="s">
        <v>487</v>
      </c>
      <c r="B90" s="7">
        <v>4039</v>
      </c>
      <c r="C90" s="24" t="s">
        <v>106</v>
      </c>
      <c r="D90" s="24" t="s">
        <v>641</v>
      </c>
      <c r="E90" s="15">
        <v>42642.587638888886</v>
      </c>
      <c r="F90" s="15">
        <v>42642.591909722221</v>
      </c>
      <c r="G90" s="7">
        <v>1</v>
      </c>
      <c r="H90" s="15" t="s">
        <v>651</v>
      </c>
      <c r="I90" s="15">
        <v>42642.625451388885</v>
      </c>
      <c r="J90" s="7">
        <v>0</v>
      </c>
      <c r="K90" s="117" t="str">
        <f t="shared" si="34"/>
        <v>4039/4040</v>
      </c>
      <c r="L90" s="24" t="str">
        <f>VLOOKUP(A90,'Trips&amp;Operators'!$C$1:$E$10000,3,FALSE)</f>
        <v>MOSES</v>
      </c>
      <c r="M90" s="6">
        <f t="shared" si="35"/>
        <v>3.3541666663950309E-2</v>
      </c>
      <c r="N90" s="7">
        <f t="shared" si="48"/>
        <v>48.299999996088445</v>
      </c>
      <c r="O90" s="7"/>
      <c r="P90" s="7"/>
      <c r="Q90" s="25"/>
      <c r="R90" s="25"/>
      <c r="S90" s="37">
        <f t="shared" si="36"/>
        <v>1</v>
      </c>
      <c r="T90" s="52" t="str">
        <f t="shared" si="37"/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13:06:12-0600',mode:absolute,to:'2016-09-29 16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90" s="54" t="str">
        <f t="shared" si="39"/>
        <v>N</v>
      </c>
      <c r="X90" s="164">
        <f t="shared" si="33"/>
        <v>1</v>
      </c>
      <c r="Y90" s="69">
        <f t="shared" si="40"/>
        <v>23.3017</v>
      </c>
      <c r="Z90" s="69">
        <f t="shared" si="49"/>
        <v>1.6500000000000001E-2</v>
      </c>
      <c r="AA90" s="69">
        <f t="shared" si="41"/>
        <v>23.2852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 t="shared" si="42"/>
        <v>0178-29</v>
      </c>
      <c r="AE90" s="95" t="str">
        <f t="shared" si="43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90" s="92" t="str">
        <f t="shared" si="44"/>
        <v>"C:\Program Files (x86)\AstroGrep\AstroGrep.exe" /spath="%USERPROFILE%\AppData\Local\Temp\OnboardLogs" /stypes="app*4039*20160929*" /stext=" 21:.+((SYSTEM_STATE.+slice.+state.+changed )|(ment ac)|(system.+state.+changed )|(\[timeout)|(PRM\|1\|D)|(kpr)|(kdp)|(\|lc)|(penalty))" /e /r /s</v>
      </c>
      <c r="AG90" s="1" t="str">
        <f t="shared" si="45"/>
        <v>EC</v>
      </c>
      <c r="AH90" s="96" t="str">
        <f t="shared" si="46"/>
        <v>"%USERPROFILE%\Documents\GitHub\eaglep3\Utilities\RefineRTDCRunTimes.py" --tripid 178-29 --locoid 4039 --swversion DE.1.0.7.0 --startMP 204:233017 --initTime 2016-09-29T14:06:12 --startdatetime 2016-09-29T14:12:21 --delay 1 --endMP 204:165 --enddatetime 2016-09-29T15:00:39 --enforcementcount 0 &gt;&gt;C:\Users\stu\Documents\GitHub\eaglep3-reporting\EC\2016-09-29-refined-times.txt</v>
      </c>
      <c r="AI9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{"issue":{"subject":"","project_id":79,"tracker_id":40,"status_id":1,"priority_id":2,"assigned_to_id":23,"start_date":"2016-09-29","description":"","custom_fields":[{"id":1,"name":"Subdivision","value":"EC"},{"id":4,"name":"Milepost","value":"0.0165"},{"id":17,"name":"Train ID","value":"178-29"},{"id":16,"name":"Locomotive ID","value":"4039"},{"id":130,"name":"Impact","value":""},{"id":150,"name":"Time of Event (Mountain Time)","value":"15:00:39"},{"id":151,"name":"Denver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5"/>
      <c r="AK90" s="55"/>
      <c r="AL90" s="55"/>
    </row>
    <row r="91" spans="1:38" s="23" customFormat="1" x14ac:dyDescent="0.25">
      <c r="A91" s="39" t="s">
        <v>479</v>
      </c>
      <c r="B91" s="7">
        <v>4020</v>
      </c>
      <c r="C91" s="24" t="s">
        <v>106</v>
      </c>
      <c r="D91" s="24" t="s">
        <v>219</v>
      </c>
      <c r="E91" s="15">
        <v>42642.562638888892</v>
      </c>
      <c r="F91" s="15">
        <v>42642.564143518517</v>
      </c>
      <c r="G91" s="7">
        <v>0</v>
      </c>
      <c r="H91" s="15" t="s">
        <v>271</v>
      </c>
      <c r="I91" s="15">
        <v>42642.589629629627</v>
      </c>
      <c r="J91" s="7">
        <v>0</v>
      </c>
      <c r="K91" s="117" t="str">
        <f t="shared" si="34"/>
        <v>4019/4020</v>
      </c>
      <c r="L91" s="24" t="str">
        <f>VLOOKUP(A91,'Trips&amp;Operators'!$C$1:$E$10000,3,FALSE)</f>
        <v>NEWELL</v>
      </c>
      <c r="M91" s="6">
        <f t="shared" si="35"/>
        <v>2.548611110978527E-2</v>
      </c>
      <c r="N91" s="7">
        <f t="shared" si="48"/>
        <v>36.699999998090789</v>
      </c>
      <c r="O91" s="7"/>
      <c r="P91" s="7"/>
      <c r="Q91" s="25"/>
      <c r="R91" s="25"/>
      <c r="S91" s="37">
        <f t="shared" si="36"/>
        <v>1</v>
      </c>
      <c r="T91" s="52" t="str">
        <f t="shared" si="37"/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12:30:12-0600',mode:absolute,to:'2016-09-29 15:09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91" s="54" t="str">
        <f t="shared" si="39"/>
        <v>N</v>
      </c>
      <c r="X91" s="164">
        <f t="shared" si="33"/>
        <v>1</v>
      </c>
      <c r="Y91" s="69">
        <f t="shared" si="40"/>
        <v>4.6199999999999998E-2</v>
      </c>
      <c r="Z91" s="69">
        <f t="shared" si="49"/>
        <v>23.3307</v>
      </c>
      <c r="AA91" s="69">
        <f t="shared" si="41"/>
        <v>23.284500000000001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 t="shared" si="42"/>
        <v>0179-29</v>
      </c>
      <c r="AE91" s="95" t="str">
        <f t="shared" si="43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91" s="92" t="str">
        <f t="shared" si="44"/>
        <v>"C:\Program Files (x86)\AstroGrep\AstroGrep.exe" /spath="%USERPROFILE%\AppData\Local\Temp\OnboardLogs" /stypes="app*4020*20160929*" /stext=" 20:.+((SYSTEM_STATE.+slice.+state.+changed )|(ment ac)|(system.+state.+changed )|(\[timeout)|(PRM\|1\|D)|(kpr)|(kdp)|(\|lc)|(penalty))" /e /r /s</v>
      </c>
      <c r="AG91" s="1" t="str">
        <f t="shared" si="45"/>
        <v>EC</v>
      </c>
      <c r="AH91" s="96" t="str">
        <f t="shared" si="46"/>
        <v>"%USERPROFILE%\Documents\GitHub\eaglep3\Utilities\RefineRTDCRunTimes.py" --tripid 179-29 --locoid 4020 --swversion DE.1.0.7.0 --startMP 204:462 --initTime 2016-09-29T13:30:12 --startdatetime 2016-09-29T13:32:22 --delay 0 --endMP 204:233307 --enddatetime 2016-09-29T14:09:04 --enforcementcount 0 &gt;&gt;C:\Users\stu\Documents\GitHub\eaglep3-reporting\EC\2016-09-29-refined-times.txt</v>
      </c>
      <c r="AI9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{"issue":{"subject":"","project_id":79,"tracker_id":40,"status_id":1,"priority_id":2,"assigned_to_id":23,"start_date":"2016-09-29","description":"","custom_fields":[{"id":1,"name":"Subdivision","value":"EC"},{"id":4,"name":"Milepost","value":"23.3307"},{"id":17,"name":"Train ID","value":"179-29"},{"id":16,"name":"Locomotive ID","value":"4020"},{"id":130,"name":"Impact","value":""},{"id":150,"name":"Time of Event (Mountain Time)","value":"14:09:04"},{"id":151,"name":"Denver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23" customFormat="1" x14ac:dyDescent="0.25">
      <c r="A92" s="39" t="s">
        <v>489</v>
      </c>
      <c r="B92" s="7">
        <v>4019</v>
      </c>
      <c r="C92" s="24" t="s">
        <v>106</v>
      </c>
      <c r="D92" s="24" t="s">
        <v>339</v>
      </c>
      <c r="E92" s="15">
        <v>42642.591504629629</v>
      </c>
      <c r="F92" s="15">
        <v>42642.601539351854</v>
      </c>
      <c r="G92" s="7">
        <v>1</v>
      </c>
      <c r="H92" s="15" t="s">
        <v>331</v>
      </c>
      <c r="I92" s="15">
        <v>42642.631550925929</v>
      </c>
      <c r="J92" s="7">
        <v>0</v>
      </c>
      <c r="K92" s="117" t="str">
        <f t="shared" si="34"/>
        <v>4019/4020</v>
      </c>
      <c r="L92" s="24" t="str">
        <f>VLOOKUP(A92,'Trips&amp;Operators'!$C$1:$E$10000,3,FALSE)</f>
        <v>NEWELL</v>
      </c>
      <c r="M92" s="6">
        <f t="shared" si="35"/>
        <v>3.0011574075615499E-2</v>
      </c>
      <c r="N92" s="7">
        <f t="shared" si="48"/>
        <v>43.216666668886319</v>
      </c>
      <c r="O92" s="7"/>
      <c r="P92" s="7"/>
      <c r="Q92" s="25"/>
      <c r="R92" s="25"/>
      <c r="S92" s="37">
        <f t="shared" si="36"/>
        <v>1</v>
      </c>
      <c r="T92" s="52" t="str">
        <f t="shared" si="37"/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13:11:46-0600',mode:absolute,to:'2016-09-29 16:09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92" s="54" t="str">
        <f t="shared" si="39"/>
        <v>N</v>
      </c>
      <c r="X92" s="164">
        <f t="shared" si="33"/>
        <v>1</v>
      </c>
      <c r="Y92" s="69">
        <f t="shared" si="40"/>
        <v>23.2986</v>
      </c>
      <c r="Z92" s="69">
        <f t="shared" si="49"/>
        <v>1.3899999999999999E-2</v>
      </c>
      <c r="AA92" s="69">
        <f t="shared" si="41"/>
        <v>23.284700000000001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 t="shared" si="42"/>
        <v>0180-29</v>
      </c>
      <c r="AE92" s="95" t="str">
        <f t="shared" si="43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92" s="92" t="str">
        <f t="shared" si="44"/>
        <v>"C:\Program Files (x86)\AstroGrep\AstroGrep.exe" /spath="%USERPROFILE%\AppData\Local\Temp\OnboardLogs" /stypes="app*4019*20160929*" /stext=" 21:.+((SYSTEM_STATE.+slice.+state.+changed )|(ment ac)|(system.+state.+changed )|(\[timeout)|(PRM\|1\|D)|(kpr)|(kdp)|(\|lc)|(penalty))" /e /r /s</v>
      </c>
      <c r="AG92" s="1" t="str">
        <f t="shared" si="45"/>
        <v>EC</v>
      </c>
      <c r="AH92" s="96" t="str">
        <f t="shared" si="46"/>
        <v>"%USERPROFILE%\Documents\GitHub\eaglep3\Utilities\RefineRTDCRunTimes.py" --tripid 180-29 --locoid 4019 --swversion DE.1.0.7.0 --startMP 204:232986 --initTime 2016-09-29T14:11:46 --startdatetime 2016-09-29T14:26:13 --delay 1 --endMP 204:139 --enddatetime 2016-09-29T15:09:26 --enforcementcount 0 &gt;&gt;C:\Users\stu\Documents\GitHub\eaglep3-reporting\EC\2016-09-29-refined-times.txt</v>
      </c>
      <c r="AI9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{"issue":{"subject":"","project_id":79,"tracker_id":40,"status_id":1,"priority_id":2,"assigned_to_id":23,"start_date":"2016-09-29","description":"","custom_fields":[{"id":1,"name":"Subdivision","value":"EC"},{"id":4,"name":"Milepost","value":"0.0139"},{"id":17,"name":"Train ID","value":"180-29"},{"id":16,"name":"Locomotive ID","value":"4019"},{"id":130,"name":"Impact","value":""},{"id":150,"name":"Time of Event (Mountain Time)","value":"15:09:26"},{"id":151,"name":"Denver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23" customFormat="1" x14ac:dyDescent="0.25">
      <c r="A93" s="39" t="s">
        <v>482</v>
      </c>
      <c r="B93" s="7">
        <v>4042</v>
      </c>
      <c r="C93" s="24" t="s">
        <v>106</v>
      </c>
      <c r="D93" s="24" t="s">
        <v>634</v>
      </c>
      <c r="E93" s="15">
        <v>42642.572546296295</v>
      </c>
      <c r="F93" s="15">
        <v>42642.57402777778</v>
      </c>
      <c r="G93" s="7">
        <v>1</v>
      </c>
      <c r="H93" s="15" t="s">
        <v>619</v>
      </c>
      <c r="I93" s="15">
        <v>42642.602384259262</v>
      </c>
      <c r="J93" s="7">
        <v>0</v>
      </c>
      <c r="K93" s="117" t="str">
        <f t="shared" si="34"/>
        <v>4041/4042</v>
      </c>
      <c r="L93" s="24" t="str">
        <f>VLOOKUP(A93,'Trips&amp;Operators'!$C$1:$E$10000,3,FALSE)</f>
        <v>YOUNG</v>
      </c>
      <c r="M93" s="6">
        <f t="shared" si="35"/>
        <v>2.8356481481750961E-2</v>
      </c>
      <c r="N93" s="7">
        <f t="shared" si="48"/>
        <v>40.833333333721384</v>
      </c>
      <c r="O93" s="7"/>
      <c r="P93" s="7"/>
      <c r="Q93" s="25"/>
      <c r="R93" s="25"/>
      <c r="S93" s="37">
        <f t="shared" si="36"/>
        <v>1</v>
      </c>
      <c r="T93" s="52" t="str">
        <f t="shared" si="37"/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12:44:28-0600',mode:absolute,to:'2016-09-29 15:27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93" s="54" t="str">
        <f t="shared" si="39"/>
        <v>N</v>
      </c>
      <c r="X93" s="164">
        <f t="shared" si="33"/>
        <v>1</v>
      </c>
      <c r="Y93" s="69">
        <f t="shared" si="40"/>
        <v>4.7800000000000002E-2</v>
      </c>
      <c r="Z93" s="69">
        <f t="shared" si="49"/>
        <v>23.317900000000002</v>
      </c>
      <c r="AA93" s="69">
        <f t="shared" si="41"/>
        <v>23.270100000000003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 t="shared" si="42"/>
        <v>0181-29</v>
      </c>
      <c r="AE93" s="95" t="str">
        <f t="shared" si="43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93" s="92" t="str">
        <f t="shared" si="44"/>
        <v>"C:\Program Files (x86)\AstroGrep\AstroGrep.exe" /spath="%USERPROFILE%\AppData\Local\Temp\OnboardLogs" /stypes="app*4042*20160929*" /stext=" 20:.+((SYSTEM_STATE.+slice.+state.+changed )|(ment ac)|(system.+state.+changed )|(\[timeout)|(PRM\|1\|D)|(kpr)|(kdp)|(\|lc)|(penalty))" /e /r /s</v>
      </c>
      <c r="AG93" s="1" t="str">
        <f t="shared" si="45"/>
        <v>EC</v>
      </c>
      <c r="AH93" s="96" t="str">
        <f t="shared" si="46"/>
        <v>"%USERPROFILE%\Documents\GitHub\eaglep3\Utilities\RefineRTDCRunTimes.py" --tripid 181-29 --locoid 4042 --swversion DE.1.0.7.0 --startMP 204:478 --initTime 2016-09-29T13:44:28 --startdatetime 2016-09-29T13:46:36 --delay 1 --endMP 204:233179 --enddatetime 2016-09-29T14:27:26 --enforcementcount 0 &gt;&gt;C:\Users\stu\Documents\GitHub\eaglep3-reporting\EC\2016-09-29-refined-times.txt</v>
      </c>
      <c r="AI9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{"issue":{"subject":"","project_id":79,"tracker_id":40,"status_id":1,"priority_id":2,"assigned_to_id":23,"start_date":"2016-09-29","description":"","custom_fields":[{"id":1,"name":"Subdivision","value":"EC"},{"id":4,"name":"Milepost","value":"23.3179"},{"id":17,"name":"Train ID","value":"181-29"},{"id":16,"name":"Locomotive ID","value":"4042"},{"id":130,"name":"Impact","value":""},{"id":150,"name":"Time of Event (Mountain Time)","value":"14:27:26"},{"id":151,"name":"Denver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492</v>
      </c>
      <c r="B94" s="7">
        <v>4041</v>
      </c>
      <c r="C94" s="24" t="s">
        <v>106</v>
      </c>
      <c r="D94" s="24" t="s">
        <v>734</v>
      </c>
      <c r="E94" s="15">
        <v>42642.605497685188</v>
      </c>
      <c r="F94" s="15">
        <v>42642.61209490741</v>
      </c>
      <c r="G94" s="7">
        <v>1</v>
      </c>
      <c r="H94" s="15" t="s">
        <v>322</v>
      </c>
      <c r="I94" s="15">
        <v>42642.645277777781</v>
      </c>
      <c r="J94" s="7">
        <v>0</v>
      </c>
      <c r="K94" s="117" t="str">
        <f t="shared" si="34"/>
        <v>4041/4042</v>
      </c>
      <c r="L94" s="24" t="str">
        <f>VLOOKUP(A94,'Trips&amp;Operators'!$C$1:$E$10000,3,FALSE)</f>
        <v>YOUNG</v>
      </c>
      <c r="M94" s="6">
        <f t="shared" si="35"/>
        <v>3.3182870371092577E-2</v>
      </c>
      <c r="N94" s="7">
        <f t="shared" si="48"/>
        <v>47.78333333437331</v>
      </c>
      <c r="O94" s="7"/>
      <c r="P94" s="7"/>
      <c r="Q94" s="25"/>
      <c r="R94" s="25"/>
      <c r="S94" s="37">
        <f t="shared" si="36"/>
        <v>1</v>
      </c>
      <c r="T94" s="52" t="str">
        <f t="shared" si="37"/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13:31:55-0600',mode:absolute,to:'2016-09-29 16:29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94" s="54" t="str">
        <f t="shared" si="39"/>
        <v>N</v>
      </c>
      <c r="X94" s="164">
        <f t="shared" si="33"/>
        <v>1</v>
      </c>
      <c r="Y94" s="69">
        <f t="shared" si="40"/>
        <v>23.2849</v>
      </c>
      <c r="Z94" s="69">
        <f t="shared" si="49"/>
        <v>2.01E-2</v>
      </c>
      <c r="AA94" s="69">
        <f t="shared" si="41"/>
        <v>23.264800000000001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 t="shared" si="42"/>
        <v>0182-29</v>
      </c>
      <c r="AE94" s="95" t="str">
        <f t="shared" si="43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94" s="92" t="str">
        <f t="shared" si="44"/>
        <v>"C:\Program Files (x86)\AstroGrep\AstroGrep.exe" /spath="%USERPROFILE%\AppData\Local\Temp\OnboardLogs" /stypes="app*4041*20160929*" /stext=" 21:.+((SYSTEM_STATE.+slice.+state.+changed )|(ment ac)|(system.+state.+changed )|(\[timeout)|(PRM\|1\|D)|(kpr)|(kdp)|(\|lc)|(penalty))" /e /r /s</v>
      </c>
      <c r="AG94" s="1" t="str">
        <f t="shared" si="45"/>
        <v>EC</v>
      </c>
      <c r="AH94" s="96" t="str">
        <f t="shared" si="46"/>
        <v>"%USERPROFILE%\Documents\GitHub\eaglep3\Utilities\RefineRTDCRunTimes.py" --tripid 182-29 --locoid 4041 --swversion DE.1.0.7.0 --startMP 204:232849 --initTime 2016-09-29T14:31:55 --startdatetime 2016-09-29T14:41:25 --delay 1 --endMP 204:201 --enddatetime 2016-09-29T15:29:12 --enforcementcount 0 &gt;&gt;C:\Users\stu\Documents\GitHub\eaglep3-reporting\EC\2016-09-29-refined-times.txt</v>
      </c>
      <c r="AI9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{"issue":{"subject":"","project_id":79,"tracker_id":40,"status_id":1,"priority_id":2,"assigned_to_id":23,"start_date":"2016-09-29","description":"","custom_fields":[{"id":1,"name":"Subdivision","value":"EC"},{"id":4,"name":"Milepost","value":"0.0201"},{"id":17,"name":"Train ID","value":"182-29"},{"id":16,"name":"Locomotive ID","value":"4041"},{"id":130,"name":"Impact","value":""},{"id":150,"name":"Time of Event (Mountain Time)","value":"15:29:12"},{"id":151,"name":"Denver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486</v>
      </c>
      <c r="B95" s="7">
        <v>4002</v>
      </c>
      <c r="C95" s="24" t="s">
        <v>106</v>
      </c>
      <c r="D95" s="24" t="s">
        <v>239</v>
      </c>
      <c r="E95" s="15">
        <v>42642.582152777781</v>
      </c>
      <c r="F95" s="15">
        <v>42642.583645833336</v>
      </c>
      <c r="G95" s="7">
        <v>1</v>
      </c>
      <c r="H95" s="15" t="s">
        <v>612</v>
      </c>
      <c r="I95" s="15">
        <v>42642.610358796293</v>
      </c>
      <c r="J95" s="7">
        <v>0</v>
      </c>
      <c r="K95" s="117" t="str">
        <f t="shared" si="34"/>
        <v>4001/4002</v>
      </c>
      <c r="L95" s="24" t="str">
        <f>VLOOKUP(A95,'Trips&amp;Operators'!$C$1:$E$10000,3,FALSE)</f>
        <v>OUN</v>
      </c>
      <c r="M95" s="6">
        <f t="shared" si="35"/>
        <v>2.6712962957390118E-2</v>
      </c>
      <c r="N95" s="7">
        <f t="shared" si="48"/>
        <v>38.46666665864177</v>
      </c>
      <c r="O95" s="7"/>
      <c r="P95" s="7"/>
      <c r="Q95" s="25"/>
      <c r="R95" s="25"/>
      <c r="S95" s="37">
        <f t="shared" si="36"/>
        <v>1</v>
      </c>
      <c r="T95" s="52" t="str">
        <f t="shared" si="37"/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12:58:18-0600',mode:absolute,to:'2016-09-29 15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95" s="54" t="str">
        <f t="shared" si="39"/>
        <v>N</v>
      </c>
      <c r="X95" s="164">
        <f t="shared" si="33"/>
        <v>1</v>
      </c>
      <c r="Y95" s="69">
        <f t="shared" si="40"/>
        <v>4.4600000000000001E-2</v>
      </c>
      <c r="Z95" s="69">
        <f t="shared" si="49"/>
        <v>23.331600000000002</v>
      </c>
      <c r="AA95" s="69">
        <f t="shared" si="41"/>
        <v>23.287000000000003</v>
      </c>
      <c r="AB95" s="66" t="str">
        <f>VLOOKUP(A95,Enforcements!$C$7:$K$21,8,0)</f>
        <v>Bulletin (2)</v>
      </c>
      <c r="AC95" s="62" t="str">
        <f>VLOOKUP(A95,Enforcements!$C$7:$E$21,3,0)</f>
        <v>GRADE CROSSING</v>
      </c>
      <c r="AD95" s="63" t="str">
        <f t="shared" si="42"/>
        <v>0183-29</v>
      </c>
      <c r="AE95" s="95" t="str">
        <f t="shared" si="43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95" s="92" t="str">
        <f t="shared" si="44"/>
        <v>"C:\Program Files (x86)\AstroGrep\AstroGrep.exe" /spath="%USERPROFILE%\AppData\Local\Temp\OnboardLogs" /stypes="app*4002*20160929*" /stext=" 20:.+((SYSTEM_STATE.+slice.+state.+changed )|(ment ac)|(system.+state.+changed )|(\[timeout)|(PRM\|1\|D)|(kpr)|(kdp)|(\|lc)|(penalty))" /e /r /s</v>
      </c>
      <c r="AG95" s="1" t="str">
        <f t="shared" si="45"/>
        <v>EC</v>
      </c>
      <c r="AH95" s="96" t="str">
        <f t="shared" si="46"/>
        <v>"%USERPROFILE%\Documents\GitHub\eaglep3\Utilities\RefineRTDCRunTimes.py" --tripid 183-29 --locoid 4002 --swversion DE.1.0.7.0 --startMP 204:446 --initTime 2016-09-29T13:58:18 --startdatetime 2016-09-29T14:00:27 --delay 1 --endMP 204:233316 --enddatetime 2016-09-29T14:38:55 --enforcementcount 0 &gt;&gt;C:\Users\stu\Documents\GitHub\eaglep3-reporting\EC\2016-09-29-refined-times.txt</v>
      </c>
      <c r="AI9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{"issue":{"subject":"","project_id":79,"tracker_id":40,"status_id":1,"priority_id":2,"assigned_to_id":23,"start_date":"2016-09-29","description":"","custom_fields":[{"id":1,"name":"Subdivision","value":"EC"},{"id":4,"name":"Milepost","value":"23.3316"},{"id":17,"name":"Train ID","value":"183-29"},{"id":16,"name":"Locomotive ID","value":"4002"},{"id":130,"name":"Impact","value":""},{"id":150,"name":"Time of Event (Mountain Time)","value":"14:38:55"},{"id":151,"name":"Denver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495</v>
      </c>
      <c r="B96" s="7">
        <v>4001</v>
      </c>
      <c r="C96" s="24" t="s">
        <v>106</v>
      </c>
      <c r="D96" s="24" t="s">
        <v>326</v>
      </c>
      <c r="E96" s="15">
        <v>42642.617465277777</v>
      </c>
      <c r="F96" s="15">
        <v>42642.622465277775</v>
      </c>
      <c r="G96" s="7">
        <v>1</v>
      </c>
      <c r="H96" s="15" t="s">
        <v>249</v>
      </c>
      <c r="I96" s="15">
        <v>42642.653715277775</v>
      </c>
      <c r="J96" s="7">
        <v>0</v>
      </c>
      <c r="K96" s="117" t="str">
        <f t="shared" si="34"/>
        <v>4001/4002</v>
      </c>
      <c r="L96" s="24" t="str">
        <f>VLOOKUP(A96,'Trips&amp;Operators'!$C$1:$E$10000,3,FALSE)</f>
        <v>OUN</v>
      </c>
      <c r="M96" s="6">
        <f t="shared" si="35"/>
        <v>3.125E-2</v>
      </c>
      <c r="N96" s="7">
        <f t="shared" si="48"/>
        <v>45</v>
      </c>
      <c r="O96" s="7"/>
      <c r="P96" s="7"/>
      <c r="Q96" s="25"/>
      <c r="R96" s="25"/>
      <c r="S96" s="37">
        <f t="shared" si="36"/>
        <v>1</v>
      </c>
      <c r="T96" s="52" t="str">
        <f t="shared" si="37"/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13:49:09-0600',mode:absolute,to:'2016-09-29 16:41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96" s="54" t="str">
        <f t="shared" si="39"/>
        <v>N</v>
      </c>
      <c r="X96" s="164">
        <f t="shared" si="33"/>
        <v>1</v>
      </c>
      <c r="Y96" s="69">
        <f t="shared" si="40"/>
        <v>23.298400000000001</v>
      </c>
      <c r="Z96" s="69">
        <f t="shared" si="49"/>
        <v>1.43E-2</v>
      </c>
      <c r="AA96" s="69">
        <f t="shared" si="41"/>
        <v>23.284100000000002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 t="shared" si="42"/>
        <v>0184-29</v>
      </c>
      <c r="AE96" s="95" t="str">
        <f t="shared" si="43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96" s="92" t="str">
        <f t="shared" si="44"/>
        <v>"C:\Program Files (x86)\AstroGrep\AstroGrep.exe" /spath="%USERPROFILE%\AppData\Local\Temp\OnboardLogs" /stypes="app*4001*20160929*" /stext=" 21:.+((SYSTEM_STATE.+slice.+state.+changed )|(ment ac)|(system.+state.+changed )|(\[timeout)|(PRM\|1\|D)|(kpr)|(kdp)|(\|lc)|(penalty))" /e /r /s</v>
      </c>
      <c r="AG96" s="1" t="str">
        <f t="shared" si="45"/>
        <v>EC</v>
      </c>
      <c r="AH96" s="96" t="str">
        <f t="shared" si="46"/>
        <v>"%USERPROFILE%\Documents\GitHub\eaglep3\Utilities\RefineRTDCRunTimes.py" --tripid 184-29 --locoid 4001 --swversion DE.1.0.7.0 --startMP 204:232984 --initTime 2016-09-29T14:49:09 --startdatetime 2016-09-29T14:56:21 --delay 1 --endMP 204:143 --enddatetime 2016-09-29T15:41:21 --enforcementcount 0 &gt;&gt;C:\Users\stu\Documents\GitHub\eaglep3-reporting\EC\2016-09-29-refined-times.txt</v>
      </c>
      <c r="AI96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{"issue":{"subject":"","project_id":79,"tracker_id":40,"status_id":1,"priority_id":2,"assigned_to_id":23,"start_date":"2016-09-29","description":"","custom_fields":[{"id":1,"name":"Subdivision","value":"EC"},{"id":4,"name":"Milepost","value":"0.0143"},{"id":17,"name":"Train ID","value":"184-29"},{"id":16,"name":"Locomotive ID","value":"4001"},{"id":130,"name":"Impact","value":""},{"id":150,"name":"Time of Event (Mountain Time)","value":"15:41:21"},{"id":151,"name":"Denver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x14ac:dyDescent="0.25">
      <c r="A97" s="39" t="s">
        <v>490</v>
      </c>
      <c r="B97" s="7">
        <v>4029</v>
      </c>
      <c r="C97" s="24" t="s">
        <v>106</v>
      </c>
      <c r="D97" s="24" t="s">
        <v>216</v>
      </c>
      <c r="E97" s="15">
        <v>42642.590613425928</v>
      </c>
      <c r="F97" s="15">
        <v>42642.594467592593</v>
      </c>
      <c r="G97" s="7">
        <v>5</v>
      </c>
      <c r="H97" s="15" t="s">
        <v>735</v>
      </c>
      <c r="I97" s="15">
        <v>42642.621018518519</v>
      </c>
      <c r="J97" s="7">
        <v>0</v>
      </c>
      <c r="K97" s="117" t="str">
        <f t="shared" si="34"/>
        <v>4029/4030</v>
      </c>
      <c r="L97" s="24" t="str">
        <f>VLOOKUP(A97,'Trips&amp;Operators'!$C$1:$E$10000,3,FALSE)</f>
        <v>STORY</v>
      </c>
      <c r="M97" s="6">
        <f t="shared" si="35"/>
        <v>2.6550925926130731E-2</v>
      </c>
      <c r="N97" s="7">
        <f t="shared" si="48"/>
        <v>38.233333333628252</v>
      </c>
      <c r="O97" s="7"/>
      <c r="P97" s="7"/>
      <c r="Q97" s="25"/>
      <c r="R97" s="25"/>
      <c r="S97" s="37">
        <f t="shared" si="36"/>
        <v>1</v>
      </c>
      <c r="T97" s="52" t="str">
        <f t="shared" si="37"/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13:10:29-0600',mode:absolute,to:'2016-09-29 15:54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97" s="54" t="str">
        <f t="shared" si="39"/>
        <v>N</v>
      </c>
      <c r="X97" s="164">
        <f t="shared" si="33"/>
        <v>1</v>
      </c>
      <c r="Y97" s="69">
        <f t="shared" si="40"/>
        <v>4.5999999999999999E-2</v>
      </c>
      <c r="Z97" s="69">
        <f t="shared" si="49"/>
        <v>23.332100000000001</v>
      </c>
      <c r="AA97" s="69">
        <f t="shared" si="41"/>
        <v>23.286100000000001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 t="shared" si="42"/>
        <v>0185-29</v>
      </c>
      <c r="AE97" s="95" t="str">
        <f t="shared" si="43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97" s="92" t="str">
        <f t="shared" si="44"/>
        <v>"C:\Program Files (x86)\AstroGrep\AstroGrep.exe" /spath="%USERPROFILE%\AppData\Local\Temp\OnboardLogs" /stypes="app*4029*20160929*" /stext=" 20:.+((SYSTEM_STATE.+slice.+state.+changed )|(ment ac)|(system.+state.+changed )|(\[timeout)|(PRM\|1\|D)|(kpr)|(kdp)|(\|lc)|(penalty))" /e /r /s</v>
      </c>
      <c r="AG97" s="1" t="str">
        <f t="shared" si="45"/>
        <v>EC</v>
      </c>
      <c r="AH97" s="96" t="str">
        <f t="shared" si="46"/>
        <v>"%USERPROFILE%\Documents\GitHub\eaglep3\Utilities\RefineRTDCRunTimes.py" --tripid 185-29 --locoid 4029 --swversion DE.1.0.7.0 --startMP 204:460 --initTime 2016-09-29T14:10:29 --startdatetime 2016-09-29T14:16:02 --delay 5 --endMP 204:233321 --enddatetime 2016-09-29T14:54:16 --enforcementcount 0 &gt;&gt;C:\Users\stu\Documents\GitHub\eaglep3-reporting\EC\2016-09-29-refined-times.txt</v>
      </c>
      <c r="AI9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{"issue":{"subject":"","project_id":79,"tracker_id":40,"status_id":1,"priority_id":2,"assigned_to_id":23,"start_date":"2016-09-29","description":"","custom_fields":[{"id":1,"name":"Subdivision","value":"EC"},{"id":4,"name":"Milepost","value":"23.3321"},{"id":17,"name":"Train ID","value":"185-29"},{"id":16,"name":"Locomotive ID","value":"4029"},{"id":130,"name":"Impact","value":""},{"id":150,"name":"Time of Event (Mountain Time)","value":"14:54:16"},{"id":151,"name":"Denver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497</v>
      </c>
      <c r="B98" s="7">
        <v>4030</v>
      </c>
      <c r="C98" s="24" t="s">
        <v>106</v>
      </c>
      <c r="D98" s="24" t="s">
        <v>232</v>
      </c>
      <c r="E98" s="15">
        <v>42642.626481481479</v>
      </c>
      <c r="F98" s="15">
        <v>42642.633101851854</v>
      </c>
      <c r="G98" s="7">
        <v>2</v>
      </c>
      <c r="H98" s="15" t="s">
        <v>249</v>
      </c>
      <c r="I98" s="15">
        <v>42642.664837962962</v>
      </c>
      <c r="J98" s="7">
        <v>0</v>
      </c>
      <c r="K98" s="117" t="str">
        <f t="shared" si="34"/>
        <v>4029/4030</v>
      </c>
      <c r="L98" s="24" t="str">
        <f>VLOOKUP(A98,'Trips&amp;Operators'!$C$1:$E$10000,3,FALSE)</f>
        <v>STORY</v>
      </c>
      <c r="M98" s="6">
        <f t="shared" si="35"/>
        <v>3.1736111108330078E-2</v>
      </c>
      <c r="N98" s="7">
        <f t="shared" si="48"/>
        <v>45.699999995995313</v>
      </c>
      <c r="O98" s="7"/>
      <c r="P98" s="7"/>
      <c r="Q98" s="25"/>
      <c r="R98" s="25"/>
      <c r="S98" s="37">
        <f t="shared" si="36"/>
        <v>1</v>
      </c>
      <c r="T98" s="52" t="str">
        <f t="shared" si="37"/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14:02:08-0600',mode:absolute,to:'2016-09-29 16:57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98" s="54" t="str">
        <f t="shared" si="39"/>
        <v>N</v>
      </c>
      <c r="X98" s="164">
        <f t="shared" si="33"/>
        <v>1</v>
      </c>
      <c r="Y98" s="69">
        <f t="shared" si="40"/>
        <v>23.3</v>
      </c>
      <c r="Z98" s="69">
        <f t="shared" si="49"/>
        <v>1.43E-2</v>
      </c>
      <c r="AA98" s="69">
        <f t="shared" si="41"/>
        <v>23.285700000000002</v>
      </c>
      <c r="AB98" s="66" t="e">
        <f>VLOOKUP(A98,Enforcements!$C$7:$K$21,8,0)</f>
        <v>#N/A</v>
      </c>
      <c r="AC98" s="62" t="e">
        <f>VLOOKUP(A98,Enforcements!$C$7:$E$21,3,0)</f>
        <v>#N/A</v>
      </c>
      <c r="AD98" s="63" t="str">
        <f t="shared" si="42"/>
        <v>0186-29</v>
      </c>
      <c r="AE98" s="95" t="str">
        <f t="shared" si="43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98" s="92" t="str">
        <f t="shared" si="44"/>
        <v>"C:\Program Files (x86)\AstroGrep\AstroGrep.exe" /spath="%USERPROFILE%\AppData\Local\Temp\OnboardLogs" /stypes="app*4030*20160929*" /stext=" 21:.+((SYSTEM_STATE.+slice.+state.+changed )|(ment ac)|(system.+state.+changed )|(\[timeout)|(PRM\|1\|D)|(kpr)|(kdp)|(\|lc)|(penalty))" /e /r /s</v>
      </c>
      <c r="AG98" s="1" t="str">
        <f t="shared" si="45"/>
        <v>EC</v>
      </c>
      <c r="AH98" s="96" t="str">
        <f t="shared" si="46"/>
        <v>"%USERPROFILE%\Documents\GitHub\eaglep3\Utilities\RefineRTDCRunTimes.py" --tripid 186-29 --locoid 4030 --swversion DE.1.0.7.0 --startMP 204:233000 --initTime 2016-09-29T15:02:08 --startdatetime 2016-09-29T15:11:40 --delay 2 --endMP 204:143 --enddatetime 2016-09-29T15:57:22 --enforcementcount 0 &gt;&gt;C:\Users\stu\Documents\GitHub\eaglep3-reporting\EC\2016-09-29-refined-times.txt</v>
      </c>
      <c r="AI9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{"issue":{"subject":"","project_id":79,"tracker_id":40,"status_id":1,"priority_id":2,"assigned_to_id":23,"start_date":"2016-09-29","description":"","custom_fields":[{"id":1,"name":"Subdivision","value":"EC"},{"id":4,"name":"Milepost","value":"0.0143"},{"id":17,"name":"Train ID","value":"186-29"},{"id":16,"name":"Locomotive ID","value":"4030"},{"id":130,"name":"Impact","value":""},{"id":150,"name":"Time of Event (Mountain Time)","value":"15:57:22"},{"id":151,"name":"Denver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x14ac:dyDescent="0.25">
      <c r="A99" s="39" t="s">
        <v>491</v>
      </c>
      <c r="B99" s="7">
        <v>4025</v>
      </c>
      <c r="C99" s="24" t="s">
        <v>106</v>
      </c>
      <c r="D99" s="24" t="s">
        <v>239</v>
      </c>
      <c r="E99" s="15">
        <v>42642.600821759261</v>
      </c>
      <c r="F99" s="15">
        <v>42642.604548611111</v>
      </c>
      <c r="G99" s="7">
        <v>1</v>
      </c>
      <c r="H99" s="15" t="s">
        <v>207</v>
      </c>
      <c r="I99" s="15">
        <v>42642.632164351853</v>
      </c>
      <c r="J99" s="7">
        <v>0</v>
      </c>
      <c r="K99" s="117" t="str">
        <f t="shared" si="34"/>
        <v>4025/4026</v>
      </c>
      <c r="L99" s="24" t="str">
        <f>VLOOKUP(A99,'Trips&amp;Operators'!$C$1:$E$10000,3,FALSE)</f>
        <v>BONDS</v>
      </c>
      <c r="M99" s="6">
        <f t="shared" si="35"/>
        <v>2.7615740742476191E-2</v>
      </c>
      <c r="N99" s="7">
        <f t="shared" si="48"/>
        <v>39.766666669165716</v>
      </c>
      <c r="O99" s="7"/>
      <c r="P99" s="7"/>
      <c r="Q99" s="25"/>
      <c r="R99" s="25"/>
      <c r="S99" s="37">
        <f t="shared" si="36"/>
        <v>1</v>
      </c>
      <c r="T99" s="52" t="str">
        <f t="shared" si="37"/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13:25:11-0600',mode:absolute,to:'2016-09-29 16:10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99" s="54" t="str">
        <f t="shared" si="39"/>
        <v>N</v>
      </c>
      <c r="X99" s="164">
        <f t="shared" si="33"/>
        <v>1</v>
      </c>
      <c r="Y99" s="69">
        <f t="shared" si="40"/>
        <v>4.4600000000000001E-2</v>
      </c>
      <c r="Z99" s="69">
        <f t="shared" si="49"/>
        <v>23.3291</v>
      </c>
      <c r="AA99" s="69">
        <f t="shared" si="41"/>
        <v>23.284500000000001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 t="shared" si="42"/>
        <v>0187-29</v>
      </c>
      <c r="AE99" s="95" t="str">
        <f t="shared" si="43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99" s="92" t="str">
        <f t="shared" si="44"/>
        <v>"C:\Program Files (x86)\AstroGrep\AstroGrep.exe" /spath="%USERPROFILE%\AppData\Local\Temp\OnboardLogs" /stypes="app*4025*20160929*" /stext=" 21:.+((SYSTEM_STATE.+slice.+state.+changed )|(ment ac)|(system.+state.+changed )|(\[timeout)|(PRM\|1\|D)|(kpr)|(kdp)|(\|lc)|(penalty))" /e /r /s</v>
      </c>
      <c r="AG99" s="1" t="str">
        <f t="shared" si="45"/>
        <v>EC</v>
      </c>
      <c r="AH99" s="96" t="str">
        <f t="shared" si="46"/>
        <v>"%USERPROFILE%\Documents\GitHub\eaglep3\Utilities\RefineRTDCRunTimes.py" --tripid 187-29 --locoid 4025 --swversion DE.1.0.7.0 --startMP 204:446 --initTime 2016-09-29T14:25:11 --startdatetime 2016-09-29T14:30:33 --delay 1 --endMP 204:233291 --enddatetime 2016-09-29T15:10:19 --enforcementcount 0 &gt;&gt;C:\Users\stu\Documents\GitHub\eaglep3-reporting\EC\2016-09-29-refined-times.txt</v>
      </c>
      <c r="AI99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{"issue":{"subject":"","project_id":79,"tracker_id":40,"status_id":1,"priority_id":2,"assigned_to_id":23,"start_date":"2016-09-29","description":"","custom_fields":[{"id":1,"name":"Subdivision","value":"EC"},{"id":4,"name":"Milepost","value":"23.3291"},{"id":17,"name":"Train ID","value":"187-29"},{"id":16,"name":"Locomotive ID","value":"4025"},{"id":130,"name":"Impact","value":""},{"id":150,"name":"Time of Event (Mountain Time)","value":"15:10:19"},{"id":151,"name":"Denver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x14ac:dyDescent="0.25">
      <c r="A100" s="39" t="s">
        <v>502</v>
      </c>
      <c r="B100" s="7">
        <v>4026</v>
      </c>
      <c r="C100" s="24" t="s">
        <v>106</v>
      </c>
      <c r="D100" s="24" t="s">
        <v>326</v>
      </c>
      <c r="E100" s="15">
        <v>42642.637037037035</v>
      </c>
      <c r="F100" s="15">
        <v>42642.643240740741</v>
      </c>
      <c r="G100" s="7">
        <v>1</v>
      </c>
      <c r="H100" s="15" t="s">
        <v>651</v>
      </c>
      <c r="I100" s="15">
        <v>42642.672048611108</v>
      </c>
      <c r="J100" s="7">
        <v>0</v>
      </c>
      <c r="K100" s="117" t="str">
        <f t="shared" si="34"/>
        <v>4025/4026</v>
      </c>
      <c r="L100" s="24" t="str">
        <f>VLOOKUP(A100,'Trips&amp;Operators'!$C$1:$E$10000,3,FALSE)</f>
        <v>BONDS</v>
      </c>
      <c r="M100" s="6">
        <f t="shared" si="35"/>
        <v>2.880787036701804E-2</v>
      </c>
      <c r="N100" s="7">
        <f t="shared" si="48"/>
        <v>41.483333328505978</v>
      </c>
      <c r="O100" s="7"/>
      <c r="P100" s="7"/>
      <c r="Q100" s="25"/>
      <c r="R100" s="25"/>
      <c r="S100" s="37">
        <f t="shared" si="36"/>
        <v>1</v>
      </c>
      <c r="T100" s="52" t="str">
        <f t="shared" si="37"/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14:17:20-0600',mode:absolute,to:'2016-09-29 17:07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00" s="54" t="str">
        <f t="shared" si="39"/>
        <v>N</v>
      </c>
      <c r="X100" s="164">
        <f t="shared" si="33"/>
        <v>1</v>
      </c>
      <c r="Y100" s="69">
        <f t="shared" si="40"/>
        <v>23.298400000000001</v>
      </c>
      <c r="Z100" s="69">
        <f t="shared" si="49"/>
        <v>1.6500000000000001E-2</v>
      </c>
      <c r="AA100" s="69">
        <f t="shared" si="41"/>
        <v>23.2819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 t="shared" si="42"/>
        <v>0188-29</v>
      </c>
      <c r="AE100" s="95" t="str">
        <f t="shared" si="43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100" s="92" t="str">
        <f t="shared" si="44"/>
        <v>"C:\Program Files (x86)\AstroGrep\AstroGrep.exe" /spath="%USERPROFILE%\AppData\Local\Temp\OnboardLogs" /stypes="app*4026*20160929*" /stext=" 22:.+((SYSTEM_STATE.+slice.+state.+changed )|(ment ac)|(system.+state.+changed )|(\[timeout)|(PRM\|1\|D)|(kpr)|(kdp)|(\|lc)|(penalty))" /e /r /s</v>
      </c>
      <c r="AG100" s="1" t="str">
        <f t="shared" si="45"/>
        <v>EC</v>
      </c>
      <c r="AH100" s="96" t="str">
        <f t="shared" si="46"/>
        <v>"%USERPROFILE%\Documents\GitHub\eaglep3\Utilities\RefineRTDCRunTimes.py" --tripid 188-29 --locoid 4026 --swversion DE.1.0.7.0 --startMP 204:232984 --initTime 2016-09-29T15:17:20 --startdatetime 2016-09-29T15:26:16 --delay 1 --endMP 204:165 --enddatetime 2016-09-29T16:07:45 --enforcementcount 0 &gt;&gt;C:\Users\stu\Documents\GitHub\eaglep3-reporting\EC\2016-09-29-refined-times.txt</v>
      </c>
      <c r="AI10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{"issue":{"subject":"","project_id":79,"tracker_id":40,"status_id":1,"priority_id":2,"assigned_to_id":23,"start_date":"2016-09-29","description":"","custom_fields":[{"id":1,"name":"Subdivision","value":"EC"},{"id":4,"name":"Milepost","value":"0.0165"},{"id":17,"name":"Train ID","value":"188-29"},{"id":16,"name":"Locomotive ID","value":"4026"},{"id":130,"name":"Impact","value":""},{"id":150,"name":"Time of Event (Mountain Time)","value":"16:07:45"},{"id":151,"name":"Denver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494</v>
      </c>
      <c r="B101" s="7">
        <v>4046</v>
      </c>
      <c r="C101" s="24" t="s">
        <v>106</v>
      </c>
      <c r="D101" s="24" t="s">
        <v>215</v>
      </c>
      <c r="E101" s="15">
        <v>42642.614317129628</v>
      </c>
      <c r="F101" s="15">
        <v>42642.615868055553</v>
      </c>
      <c r="G101" s="7">
        <v>1</v>
      </c>
      <c r="H101" s="15" t="s">
        <v>736</v>
      </c>
      <c r="I101" s="15">
        <v>42642.642939814818</v>
      </c>
      <c r="J101" s="7">
        <v>0</v>
      </c>
      <c r="K101" s="117" t="str">
        <f t="shared" si="34"/>
        <v>4045/4046</v>
      </c>
      <c r="L101" s="24" t="str">
        <f>VLOOKUP(A101,'Trips&amp;Operators'!$C$1:$E$10000,3,FALSE)</f>
        <v>SHOOK</v>
      </c>
      <c r="M101" s="6">
        <f t="shared" si="35"/>
        <v>2.7071759264799766E-2</v>
      </c>
      <c r="N101" s="7">
        <f t="shared" si="48"/>
        <v>38.983333341311663</v>
      </c>
      <c r="O101" s="7"/>
      <c r="P101" s="7"/>
      <c r="Q101" s="25"/>
      <c r="R101" s="25"/>
      <c r="S101" s="37">
        <f t="shared" si="36"/>
        <v>1</v>
      </c>
      <c r="T101" s="52" t="str">
        <f t="shared" si="37"/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13:44:37-0600',mode:absolute,to:'2016-09-29 16:25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01" s="54" t="str">
        <f t="shared" si="39"/>
        <v>N</v>
      </c>
      <c r="X101" s="164">
        <f t="shared" si="33"/>
        <v>1</v>
      </c>
      <c r="Y101" s="69">
        <f t="shared" si="40"/>
        <v>4.6699999999999998E-2</v>
      </c>
      <c r="Z101" s="69">
        <f t="shared" si="49"/>
        <v>23.3353</v>
      </c>
      <c r="AA101" s="69">
        <f t="shared" si="41"/>
        <v>23.288599999999999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 t="shared" si="42"/>
        <v>0189-29</v>
      </c>
      <c r="AE101" s="95" t="str">
        <f t="shared" si="43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01" s="92" t="str">
        <f t="shared" si="44"/>
        <v>"C:\Program Files (x86)\AstroGrep\AstroGrep.exe" /spath="%USERPROFILE%\AppData\Local\Temp\OnboardLogs" /stypes="app*4046*20160929*" /stext=" 21:.+((SYSTEM_STATE.+slice.+state.+changed )|(ment ac)|(system.+state.+changed )|(\[timeout)|(PRM\|1\|D)|(kpr)|(kdp)|(\|lc)|(penalty))" /e /r /s</v>
      </c>
      <c r="AG101" s="1" t="str">
        <f t="shared" si="45"/>
        <v>EC</v>
      </c>
      <c r="AH101" s="96" t="str">
        <f t="shared" si="46"/>
        <v>"%USERPROFILE%\Documents\GitHub\eaglep3\Utilities\RefineRTDCRunTimes.py" --tripid 189-29 --locoid 4046 --swversion DE.1.0.7.0 --startMP 204:467 --initTime 2016-09-29T14:44:37 --startdatetime 2016-09-29T14:46:51 --delay 1 --endMP 204:233353 --enddatetime 2016-09-29T15:25:50 --enforcementcount 0 &gt;&gt;C:\Users\stu\Documents\GitHub\eaglep3-reporting\EC\2016-09-29-refined-times.txt</v>
      </c>
      <c r="AI10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{"issue":{"subject":"","project_id":79,"tracker_id":40,"status_id":1,"priority_id":2,"assigned_to_id":23,"start_date":"2016-09-29","description":"","custom_fields":[{"id":1,"name":"Subdivision","value":"EC"},{"id":4,"name":"Milepost","value":"23.3353"},{"id":17,"name":"Train ID","value":"189-29"},{"id":16,"name":"Locomotive ID","value":"4046"},{"id":130,"name":"Impact","value":""},{"id":150,"name":"Time of Event (Mountain Time)","value":"15:25:50"},{"id":151,"name":"Denver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s="23" customFormat="1" x14ac:dyDescent="0.25">
      <c r="A102" s="39" t="s">
        <v>506</v>
      </c>
      <c r="B102" s="7">
        <v>4045</v>
      </c>
      <c r="C102" s="24" t="s">
        <v>106</v>
      </c>
      <c r="D102" s="24" t="s">
        <v>622</v>
      </c>
      <c r="E102" s="15">
        <v>42642.647743055553</v>
      </c>
      <c r="F102" s="15">
        <v>42642.653668981482</v>
      </c>
      <c r="G102" s="7">
        <v>1</v>
      </c>
      <c r="H102" s="15" t="s">
        <v>340</v>
      </c>
      <c r="I102" s="15">
        <v>42642.684560185182</v>
      </c>
      <c r="J102" s="7">
        <v>0</v>
      </c>
      <c r="K102" s="117" t="str">
        <f t="shared" si="34"/>
        <v>4045/4046</v>
      </c>
      <c r="L102" s="24" t="str">
        <f>VLOOKUP(A102,'Trips&amp;Operators'!$C$1:$E$10000,3,FALSE)</f>
        <v>SHOOK</v>
      </c>
      <c r="M102" s="6">
        <f t="shared" si="35"/>
        <v>3.089120369986631E-2</v>
      </c>
      <c r="N102" s="7">
        <f t="shared" si="48"/>
        <v>44.483333327807486</v>
      </c>
      <c r="O102" s="7"/>
      <c r="P102" s="7"/>
      <c r="Q102" s="25"/>
      <c r="R102" s="25"/>
      <c r="S102" s="37">
        <f t="shared" si="36"/>
        <v>1</v>
      </c>
      <c r="T102" s="52" t="str">
        <f t="shared" si="37"/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14:32:45-0600',mode:absolute,to:'2016-09-29 17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02" s="54" t="str">
        <f t="shared" si="39"/>
        <v>N</v>
      </c>
      <c r="X102" s="164">
        <f t="shared" si="33"/>
        <v>1</v>
      </c>
      <c r="Y102" s="69">
        <f t="shared" si="40"/>
        <v>23.3047</v>
      </c>
      <c r="Z102" s="69">
        <f t="shared" si="49"/>
        <v>1.61E-2</v>
      </c>
      <c r="AA102" s="69">
        <f t="shared" si="41"/>
        <v>23.288599999999999</v>
      </c>
      <c r="AB102" s="66" t="e">
        <f>VLOOKUP(A102,Enforcements!$C$7:$K$21,8,0)</f>
        <v>#N/A</v>
      </c>
      <c r="AC102" s="62" t="e">
        <f>VLOOKUP(A102,Enforcements!$C$7:$E$21,3,0)</f>
        <v>#N/A</v>
      </c>
      <c r="AD102" s="63" t="str">
        <f t="shared" si="42"/>
        <v>0190-29</v>
      </c>
      <c r="AE102" s="95" t="str">
        <f t="shared" si="43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102" s="92" t="str">
        <f t="shared" si="44"/>
        <v>"C:\Program Files (x86)\AstroGrep\AstroGrep.exe" /spath="%USERPROFILE%\AppData\Local\Temp\OnboardLogs" /stypes="app*4045*20160929*" /stext=" 22:.+((SYSTEM_STATE.+slice.+state.+changed )|(ment ac)|(system.+state.+changed )|(\[timeout)|(PRM\|1\|D)|(kpr)|(kdp)|(\|lc)|(penalty))" /e /r /s</v>
      </c>
      <c r="AG102" s="1" t="str">
        <f t="shared" si="45"/>
        <v>EC</v>
      </c>
      <c r="AH102" s="96" t="str">
        <f t="shared" si="46"/>
        <v>"%USERPROFILE%\Documents\GitHub\eaglep3\Utilities\RefineRTDCRunTimes.py" --tripid 190-29 --locoid 4045 --swversion DE.1.0.7.0 --startMP 204:233047 --initTime 2016-09-29T15:32:45 --startdatetime 2016-09-29T15:41:17 --delay 1 --endMP 204:161 --enddatetime 2016-09-29T16:25:46 --enforcementcount 0 &gt;&gt;C:\Users\stu\Documents\GitHub\eaglep3-reporting\EC\2016-09-29-refined-times.txt</v>
      </c>
      <c r="AI10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{"issue":{"subject":"","project_id":79,"tracker_id":40,"status_id":1,"priority_id":2,"assigned_to_id":23,"start_date":"2016-09-29","description":"","custom_fields":[{"id":1,"name":"Subdivision","value":"EC"},{"id":4,"name":"Milepost","value":"0.0161"},{"id":17,"name":"Train ID","value":"190-29"},{"id":16,"name":"Locomotive ID","value":"4045"},{"id":130,"name":"Impact","value":""},{"id":150,"name":"Time of Event (Mountain Time)","value":"16:25:46"},{"id":151,"name":"Denver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s="23" customFormat="1" x14ac:dyDescent="0.25">
      <c r="A103" s="39" t="s">
        <v>496</v>
      </c>
      <c r="B103" s="7">
        <v>4040</v>
      </c>
      <c r="C103" s="24" t="s">
        <v>106</v>
      </c>
      <c r="D103" s="24" t="s">
        <v>211</v>
      </c>
      <c r="E103" s="15">
        <v>42642.627002314817</v>
      </c>
      <c r="F103" s="15">
        <v>42642.629027777781</v>
      </c>
      <c r="G103" s="7">
        <v>1</v>
      </c>
      <c r="H103" s="15" t="s">
        <v>257</v>
      </c>
      <c r="I103" s="15">
        <v>42642.656574074077</v>
      </c>
      <c r="J103" s="7">
        <v>0</v>
      </c>
      <c r="K103" s="117" t="str">
        <f t="shared" si="34"/>
        <v>4039/4040</v>
      </c>
      <c r="L103" s="24" t="str">
        <f>VLOOKUP(A103,'Trips&amp;Operators'!$C$1:$E$10000,3,FALSE)</f>
        <v>MOSES</v>
      </c>
      <c r="M103" s="6">
        <f t="shared" si="35"/>
        <v>2.7546296296350192E-2</v>
      </c>
      <c r="N103" s="7">
        <f t="shared" si="48"/>
        <v>39.666666666744277</v>
      </c>
      <c r="O103" s="7"/>
      <c r="P103" s="7"/>
      <c r="Q103" s="25"/>
      <c r="R103" s="25"/>
      <c r="S103" s="37">
        <f t="shared" si="36"/>
        <v>1</v>
      </c>
      <c r="T103" s="52" t="str">
        <f t="shared" si="37"/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14:02:53-0600',mode:absolute,to:'2016-09-29 16:45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03" s="54" t="str">
        <f t="shared" si="39"/>
        <v>N</v>
      </c>
      <c r="X103" s="164">
        <f t="shared" si="33"/>
        <v>1</v>
      </c>
      <c r="Y103" s="69">
        <f t="shared" si="40"/>
        <v>4.6600000000000003E-2</v>
      </c>
      <c r="Z103" s="69">
        <f t="shared" si="49"/>
        <v>23.330100000000002</v>
      </c>
      <c r="AA103" s="69">
        <f t="shared" si="41"/>
        <v>23.2835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 t="shared" si="42"/>
        <v>0191-29</v>
      </c>
      <c r="AE103" s="95" t="str">
        <f t="shared" si="43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03" s="92" t="str">
        <f t="shared" si="44"/>
        <v>"C:\Program Files (x86)\AstroGrep\AstroGrep.exe" /spath="%USERPROFILE%\AppData\Local\Temp\OnboardLogs" /stypes="app*4040*20160929*" /stext=" 21:.+((SYSTEM_STATE.+slice.+state.+changed )|(ment ac)|(system.+state.+changed )|(\[timeout)|(PRM\|1\|D)|(kpr)|(kdp)|(\|lc)|(penalty))" /e /r /s</v>
      </c>
      <c r="AG103" s="1" t="str">
        <f t="shared" si="45"/>
        <v>EC</v>
      </c>
      <c r="AH103" s="96" t="str">
        <f t="shared" si="46"/>
        <v>"%USERPROFILE%\Documents\GitHub\eaglep3\Utilities\RefineRTDCRunTimes.py" --tripid 191-29 --locoid 4040 --swversion DE.1.0.7.0 --startMP 204:466 --initTime 2016-09-29T15:02:53 --startdatetime 2016-09-29T15:05:48 --delay 1 --endMP 204:233301 --enddatetime 2016-09-29T15:45:28 --enforcementcount 0 &gt;&gt;C:\Users\stu\Documents\GitHub\eaglep3-reporting\EC\2016-09-29-refined-times.txt</v>
      </c>
      <c r="AI10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{"issue":{"subject":"","project_id":79,"tracker_id":40,"status_id":1,"priority_id":2,"assigned_to_id":23,"start_date":"2016-09-29","description":"","custom_fields":[{"id":1,"name":"Subdivision","value":"EC"},{"id":4,"name":"Milepost","value":"23.3301"},{"id":17,"name":"Train ID","value":"191-29"},{"id":16,"name":"Locomotive ID","value":"4040"},{"id":130,"name":"Impact","value":""},{"id":150,"name":"Time of Event (Mountain Time)","value":"15:45:28"},{"id":151,"name":"Denver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510</v>
      </c>
      <c r="B104" s="7">
        <v>4039</v>
      </c>
      <c r="C104" s="24" t="s">
        <v>106</v>
      </c>
      <c r="D104" s="24" t="s">
        <v>339</v>
      </c>
      <c r="E104" s="15">
        <v>42642.661516203705</v>
      </c>
      <c r="F104" s="15">
        <v>42642.664363425924</v>
      </c>
      <c r="G104" s="7">
        <v>1</v>
      </c>
      <c r="H104" s="15" t="s">
        <v>231</v>
      </c>
      <c r="I104" s="15">
        <v>42642.69253472222</v>
      </c>
      <c r="J104" s="7">
        <v>0</v>
      </c>
      <c r="K104" s="117" t="str">
        <f t="shared" si="34"/>
        <v>4039/4040</v>
      </c>
      <c r="L104" s="24" t="str">
        <f>VLOOKUP(A104,'Trips&amp;Operators'!$C$1:$E$10000,3,FALSE)</f>
        <v>MOSES</v>
      </c>
      <c r="M104" s="6">
        <f t="shared" si="35"/>
        <v>2.8171296296932269E-2</v>
      </c>
      <c r="N104" s="7">
        <f t="shared" si="48"/>
        <v>40.566666667582467</v>
      </c>
      <c r="O104" s="7"/>
      <c r="P104" s="7"/>
      <c r="Q104" s="25"/>
      <c r="R104" s="25"/>
      <c r="S104" s="37">
        <f t="shared" si="36"/>
        <v>1</v>
      </c>
      <c r="T104" s="52" t="str">
        <f t="shared" si="37"/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14:52:35-0600',mode:absolute,to:'2016-09-29 17:37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04" s="54" t="str">
        <f t="shared" si="39"/>
        <v>N</v>
      </c>
      <c r="X104" s="164">
        <f t="shared" si="33"/>
        <v>1</v>
      </c>
      <c r="Y104" s="69">
        <f t="shared" si="40"/>
        <v>23.2986</v>
      </c>
      <c r="Z104" s="69">
        <f t="shared" si="49"/>
        <v>1.4500000000000001E-2</v>
      </c>
      <c r="AA104" s="69">
        <f t="shared" si="41"/>
        <v>23.284099999999999</v>
      </c>
      <c r="AB104" s="66" t="e">
        <f>VLOOKUP(A104,Enforcements!$C$7:$K$21,8,0)</f>
        <v>#N/A</v>
      </c>
      <c r="AC104" s="62" t="e">
        <f>VLOOKUP(A104,Enforcements!$C$7:$E$21,3,0)</f>
        <v>#N/A</v>
      </c>
      <c r="AD104" s="63" t="str">
        <f t="shared" si="42"/>
        <v>0192-29</v>
      </c>
      <c r="AE104" s="95" t="str">
        <f t="shared" si="43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104" s="92" t="str">
        <f t="shared" si="44"/>
        <v>"C:\Program Files (x86)\AstroGrep\AstroGrep.exe" /spath="%USERPROFILE%\AppData\Local\Temp\OnboardLogs" /stypes="app*4039*20160929*" /stext=" 22:.+((SYSTEM_STATE.+slice.+state.+changed )|(ment ac)|(system.+state.+changed )|(\[timeout)|(PRM\|1\|D)|(kpr)|(kdp)|(\|lc)|(penalty))" /e /r /s</v>
      </c>
      <c r="AG104" s="1" t="str">
        <f t="shared" si="45"/>
        <v>EC</v>
      </c>
      <c r="AH104" s="96" t="str">
        <f t="shared" si="46"/>
        <v>"%USERPROFILE%\Documents\GitHub\eaglep3\Utilities\RefineRTDCRunTimes.py" --tripid 192-29 --locoid 4039 --swversion DE.1.0.7.0 --startMP 204:232986 --initTime 2016-09-29T15:52:35 --startdatetime 2016-09-29T15:56:41 --delay 1 --endMP 204:145 --enddatetime 2016-09-29T16:37:15 --enforcementcount 0 &gt;&gt;C:\Users\stu\Documents\GitHub\eaglep3-reporting\EC\2016-09-29-refined-times.txt</v>
      </c>
      <c r="AI10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{"issue":{"subject":"","project_id":79,"tracker_id":40,"status_id":1,"priority_id":2,"assigned_to_id":23,"start_date":"2016-09-29","description":"","custom_fields":[{"id":1,"name":"Subdivision","value":"EC"},{"id":4,"name":"Milepost","value":"0.0145"},{"id":17,"name":"Train ID","value":"192-29"},{"id":16,"name":"Locomotive ID","value":"4039"},{"id":130,"name":"Impact","value":""},{"id":150,"name":"Time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498</v>
      </c>
      <c r="B105" s="7">
        <v>4020</v>
      </c>
      <c r="C105" s="24" t="s">
        <v>106</v>
      </c>
      <c r="D105" s="24" t="s">
        <v>205</v>
      </c>
      <c r="E105" s="15">
        <v>42642.632962962962</v>
      </c>
      <c r="F105" s="15">
        <v>42642.635636574072</v>
      </c>
      <c r="G105" s="7">
        <v>1</v>
      </c>
      <c r="H105" s="15" t="s">
        <v>228</v>
      </c>
      <c r="I105" s="15">
        <v>42642.661273148151</v>
      </c>
      <c r="J105" s="7">
        <v>0</v>
      </c>
      <c r="K105" s="117" t="str">
        <f t="shared" si="34"/>
        <v>4019/4020</v>
      </c>
      <c r="L105" s="24" t="str">
        <f>VLOOKUP(A105,'Trips&amp;Operators'!$C$1:$E$10000,3,FALSE)</f>
        <v>NEWELL</v>
      </c>
      <c r="M105" s="6">
        <f t="shared" si="35"/>
        <v>2.5636574078816921E-2</v>
      </c>
      <c r="N105" s="7">
        <f t="shared" si="48"/>
        <v>36.916666673496366</v>
      </c>
      <c r="O105" s="7"/>
      <c r="P105" s="7"/>
      <c r="Q105" s="25"/>
      <c r="R105" s="25"/>
      <c r="S105" s="37">
        <f t="shared" si="36"/>
        <v>1</v>
      </c>
      <c r="T105" s="52" t="str">
        <f t="shared" si="37"/>
        <v>NorthBound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14:11:28-0600',mode:absolute,to:'2016-09-29 16:52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05" s="54" t="str">
        <f t="shared" si="39"/>
        <v>N</v>
      </c>
      <c r="X105" s="164">
        <f t="shared" ref="X105:X109" si="50">VALUE(LEFT(AD105,4))-VALUE(LEFT(AD104,4))</f>
        <v>1</v>
      </c>
      <c r="Y105" s="69">
        <f t="shared" si="40"/>
        <v>4.53E-2</v>
      </c>
      <c r="Z105" s="69">
        <f t="shared" si="49"/>
        <v>23.331399999999999</v>
      </c>
      <c r="AA105" s="69">
        <f t="shared" si="41"/>
        <v>23.286099999999998</v>
      </c>
      <c r="AB105" s="66" t="e">
        <f>VLOOKUP(A105,Enforcements!$C$7:$K$21,8,0)</f>
        <v>#N/A</v>
      </c>
      <c r="AC105" s="62" t="e">
        <f>VLOOKUP(A105,Enforcements!$C$7:$E$21,3,0)</f>
        <v>#N/A</v>
      </c>
      <c r="AD105" s="63" t="str">
        <f t="shared" si="42"/>
        <v>0193-29</v>
      </c>
      <c r="AE105" s="95" t="str">
        <f t="shared" si="43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105" s="92" t="str">
        <f t="shared" si="44"/>
        <v>"C:\Program Files (x86)\AstroGrep\AstroGrep.exe" /spath="%USERPROFILE%\AppData\Local\Temp\OnboardLogs" /stypes="app*4020*20160929*" /stext=" 21:.+((SYSTEM_STATE.+slice.+state.+changed )|(ment ac)|(system.+state.+changed )|(\[timeout)|(PRM\|1\|D)|(kpr)|(kdp)|(\|lc)|(penalty))" /e /r /s</v>
      </c>
      <c r="AG105" s="1" t="str">
        <f t="shared" si="45"/>
        <v>EC</v>
      </c>
      <c r="AH105" s="96" t="str">
        <f t="shared" si="46"/>
        <v>"%USERPROFILE%\Documents\GitHub\eaglep3\Utilities\RefineRTDCRunTimes.py" --tripid 193-29 --locoid 4020 --swversion DE.1.0.7.0 --startMP 204:453 --initTime 2016-09-29T15:11:28 --startdatetime 2016-09-29T15:15:19 --delay 1 --endMP 204:233314 --enddatetime 2016-09-29T15:52:14 --enforcementcount 0 &gt;&gt;C:\Users\stu\Documents\GitHub\eaglep3-reporting\EC\2016-09-29-refined-times.txt</v>
      </c>
      <c r="AI10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{"issue":{"subject":"","project_id":79,"tracker_id":40,"status_id":1,"priority_id":2,"assigned_to_id":23,"start_date":"2016-09-29","description":"","custom_fields":[{"id":1,"name":"Subdivision","value":"EC"},{"id":4,"name":"Milepost","value":"23.3314"},{"id":17,"name":"Train ID","value":"193-29"},{"id":16,"name":"Locomotive ID","value":"4020"},{"id":130,"name":"Impact","value":""},{"id":150,"name":"Time of Event (Mountain Time)","value":"15:52:14"},{"id":151,"name":"Denver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s="23" customFormat="1" x14ac:dyDescent="0.25">
      <c r="A106" s="39" t="s">
        <v>511</v>
      </c>
      <c r="B106" s="7">
        <v>4019</v>
      </c>
      <c r="C106" s="24" t="s">
        <v>106</v>
      </c>
      <c r="D106" s="24" t="s">
        <v>623</v>
      </c>
      <c r="E106" s="15">
        <v>42642.678587962961</v>
      </c>
      <c r="F106" s="15">
        <v>42642.679675925923</v>
      </c>
      <c r="G106" s="7">
        <v>0</v>
      </c>
      <c r="H106" s="15" t="s">
        <v>206</v>
      </c>
      <c r="I106" s="15">
        <v>42642.705474537041</v>
      </c>
      <c r="J106" s="7">
        <v>0</v>
      </c>
      <c r="K106" s="117" t="str">
        <f t="shared" si="34"/>
        <v>4019/4020</v>
      </c>
      <c r="L106" s="24" t="str">
        <f>VLOOKUP(A106,'Trips&amp;Operators'!$C$1:$E$10000,3,FALSE)</f>
        <v>NEWELL</v>
      </c>
      <c r="M106" s="6">
        <f t="shared" si="35"/>
        <v>2.5798611117352266E-2</v>
      </c>
      <c r="N106" s="7"/>
      <c r="O106" s="7"/>
      <c r="P106" s="7">
        <f>24*60*SUM($M106:$M106)</f>
        <v>37.150000008987263</v>
      </c>
      <c r="Q106" s="25"/>
      <c r="R106" s="25" t="s">
        <v>306</v>
      </c>
      <c r="S106" s="37">
        <f t="shared" si="36"/>
        <v>1</v>
      </c>
      <c r="T106" s="52" t="str">
        <f t="shared" si="37"/>
        <v>Southbound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15:17:10-0600',mode:absolute,to:'2016-09-29 17:55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06" s="54" t="str">
        <f t="shared" si="39"/>
        <v>Y</v>
      </c>
      <c r="X106" s="164">
        <f t="shared" si="50"/>
        <v>1</v>
      </c>
      <c r="Y106" s="69">
        <f t="shared" si="40"/>
        <v>19.423500000000001</v>
      </c>
      <c r="Z106" s="69">
        <f t="shared" si="49"/>
        <v>1.4999999999999999E-2</v>
      </c>
      <c r="AA106" s="69">
        <f t="shared" si="41"/>
        <v>19.4085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 t="shared" si="42"/>
        <v>0194-29</v>
      </c>
      <c r="AE106" s="95" t="str">
        <f t="shared" si="43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106" s="92" t="str">
        <f t="shared" si="44"/>
        <v>"C:\Program Files (x86)\AstroGrep\AstroGrep.exe" /spath="%USERPROFILE%\AppData\Local\Temp\OnboardLogs" /stypes="app*4019*20160929*" /stext=" 22:.+((SYSTEM_STATE.+slice.+state.+changed )|(ment ac)|(system.+state.+changed )|(\[timeout)|(PRM\|1\|D)|(kpr)|(kdp)|(\|lc)|(penalty))" /e /r /s</v>
      </c>
      <c r="AG106" s="1" t="str">
        <f t="shared" si="45"/>
        <v>EC</v>
      </c>
      <c r="AH106" s="96" t="str">
        <f t="shared" si="46"/>
        <v>"%USERPROFILE%\Documents\GitHub\eaglep3\Utilities\RefineRTDCRunTimes.py" --tripid 194-29 --locoid 4019 --swversion DE.1.0.7.0 --startMP 204:194235 --initTime 2016-09-29T16:17:10 --startdatetime 2016-09-29T16:18:44 --delay 0 --endMP 204:150 --enddatetime 2016-09-29T16:55:53 --enforcementcount 0 &gt;&gt;C:\Users\stu\Documents\GitHub\eaglep3-reporting\EC\2016-09-29-refined-times.txt</v>
      </c>
      <c r="AI106" s="130" t="str">
        <f t="shared" si="47"/>
        <v>echo {"issue":{"subject":"Onboard in-route failure","project_id":79,"tracker_id":40,"status_id":1,"priority_id":2,"assigned_to_id":23,"start_date":"2016-09-29","description":"Init'd around 15:55:39, at 15:56:44 received a ton of triplex faults. Tried re-initing at 16:06:33, hit with a bunch of faults again at 16:10:11. Finally was able to re-initialize at 16:17:00 and go their way","custom_fields":[{"id":1,"name":"Subdivision","value":"EC"},{"id":4,"name":"Milepost","value":"0.015"},{"id":17,"name":"Train ID","value":"194-29"},{"id":16,"name":"Locomotive ID","value":"4019"},{"id":130,"name":"Impact","value":"Failed State"},{"id":150,"name":"Time of Event (Mountain Time)","value":"16:55:53"},{"id":151,"name":"Denver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06" s="55" t="s">
        <v>746</v>
      </c>
      <c r="AK106" s="55" t="s">
        <v>138</v>
      </c>
      <c r="AL106" s="55" t="s">
        <v>222</v>
      </c>
    </row>
    <row r="107" spans="1:38" s="23" customFormat="1" x14ac:dyDescent="0.25">
      <c r="A107" s="39" t="s">
        <v>504</v>
      </c>
      <c r="B107" s="7">
        <v>4042</v>
      </c>
      <c r="C107" s="24" t="s">
        <v>106</v>
      </c>
      <c r="D107" s="24" t="s">
        <v>624</v>
      </c>
      <c r="E107" s="15">
        <v>42642.64738425926</v>
      </c>
      <c r="F107" s="15">
        <v>42642.648969907408</v>
      </c>
      <c r="G107" s="7">
        <v>1</v>
      </c>
      <c r="H107" s="15" t="s">
        <v>230</v>
      </c>
      <c r="I107" s="15">
        <v>42642.678101851852</v>
      </c>
      <c r="J107" s="7">
        <v>0</v>
      </c>
      <c r="K107" s="117" t="str">
        <f t="shared" si="34"/>
        <v>4041/4042</v>
      </c>
      <c r="L107" s="24" t="str">
        <f>VLOOKUP(A107,'Trips&amp;Operators'!$C$1:$E$10000,3,FALSE)</f>
        <v>YOUNG</v>
      </c>
      <c r="M107" s="6">
        <f t="shared" si="35"/>
        <v>2.9131944444088731E-2</v>
      </c>
      <c r="N107" s="7">
        <f t="shared" ref="N107:N149" si="51">24*60*SUM($M107:$M107)</f>
        <v>41.949999999487773</v>
      </c>
      <c r="O107" s="7"/>
      <c r="P107" s="7"/>
      <c r="Q107" s="25"/>
      <c r="R107" s="25"/>
      <c r="S107" s="37">
        <f t="shared" si="36"/>
        <v>1</v>
      </c>
      <c r="T107" s="52" t="str">
        <f t="shared" si="37"/>
        <v>NorthBound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14:32:14-0600',mode:absolute,to:'2016-09-29 17:16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07" s="54" t="str">
        <f t="shared" si="39"/>
        <v>N</v>
      </c>
      <c r="X107" s="164">
        <f t="shared" si="50"/>
        <v>1</v>
      </c>
      <c r="Y107" s="69">
        <f t="shared" si="40"/>
        <v>5.1299999999999998E-2</v>
      </c>
      <c r="Z107" s="69">
        <f t="shared" si="49"/>
        <v>23.329499999999999</v>
      </c>
      <c r="AA107" s="69">
        <f t="shared" si="41"/>
        <v>23.278199999999998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 t="shared" si="42"/>
        <v>0195-29</v>
      </c>
      <c r="AE107" s="95" t="str">
        <f t="shared" si="43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07" s="92" t="str">
        <f t="shared" si="44"/>
        <v>"C:\Program Files (x86)\AstroGrep\AstroGrep.exe" /spath="%USERPROFILE%\AppData\Local\Temp\OnboardLogs" /stypes="app*4042*20160929*" /stext=" 22:.+((SYSTEM_STATE.+slice.+state.+changed )|(ment ac)|(system.+state.+changed )|(\[timeout)|(PRM\|1\|D)|(kpr)|(kdp)|(\|lc)|(penalty))" /e /r /s</v>
      </c>
      <c r="AG107" s="1" t="str">
        <f t="shared" si="45"/>
        <v>EC</v>
      </c>
      <c r="AH107" s="96" t="str">
        <f t="shared" si="46"/>
        <v>"%USERPROFILE%\Documents\GitHub\eaglep3\Utilities\RefineRTDCRunTimes.py" --tripid 195-29 --locoid 4042 --swversion DE.1.0.7.0 --startMP 204:513 --initTime 2016-09-29T15:32:14 --startdatetime 2016-09-29T15:34:31 --delay 1 --endMP 204:233295 --enddatetime 2016-09-29T16:16:28 --enforcementcount 0 &gt;&gt;C:\Users\stu\Documents\GitHub\eaglep3-reporting\EC\2016-09-29-refined-times.txt</v>
      </c>
      <c r="AI10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{"issue":{"subject":"","project_id":79,"tracker_id":40,"status_id":1,"priority_id":2,"assigned_to_id":23,"start_date":"2016-09-29","description":"","custom_fields":[{"id":1,"name":"Subdivision","value":"EC"},{"id":4,"name":"Milepost","value":"23.3295"},{"id":17,"name":"Train ID","value":"195-29"},{"id":16,"name":"Locomotive ID","value":"4042"},{"id":130,"name":"Impact","value":""},{"id":150,"name":"Time of Event (Mountain Time)","value":"16:16:28"},{"id":151,"name":"Denver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516</v>
      </c>
      <c r="B108" s="7">
        <v>4041</v>
      </c>
      <c r="C108" s="24" t="s">
        <v>106</v>
      </c>
      <c r="D108" s="24" t="s">
        <v>250</v>
      </c>
      <c r="E108" s="15">
        <v>42642.68304398148</v>
      </c>
      <c r="F108" s="15">
        <v>42642.68550925926</v>
      </c>
      <c r="G108" s="7">
        <v>1</v>
      </c>
      <c r="H108" s="15" t="s">
        <v>201</v>
      </c>
      <c r="I108" s="15">
        <v>42642.716041666667</v>
      </c>
      <c r="J108" s="7">
        <v>0</v>
      </c>
      <c r="K108" s="117" t="str">
        <f t="shared" si="34"/>
        <v>4041/4042</v>
      </c>
      <c r="L108" s="24" t="str">
        <f>VLOOKUP(A108,'Trips&amp;Operators'!$C$1:$E$10000,3,FALSE)</f>
        <v>YOUNG</v>
      </c>
      <c r="M108" s="6">
        <f t="shared" si="35"/>
        <v>3.0532407407008577E-2</v>
      </c>
      <c r="N108" s="7">
        <f t="shared" si="51"/>
        <v>43.966666666092351</v>
      </c>
      <c r="O108" s="7"/>
      <c r="P108" s="7"/>
      <c r="Q108" s="25"/>
      <c r="R108" s="25"/>
      <c r="S108" s="37">
        <f t="shared" si="36"/>
        <v>1</v>
      </c>
      <c r="T108" s="52" t="str">
        <f t="shared" si="37"/>
        <v>Southbound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 t="shared" si="38"/>
        <v>https://search-rtdc-monitor-bjffxe2xuh6vdkpspy63sjmuny.us-east-1.es.amazonaws.com/_plugin/kibana/#/discover/Steve-Slow-Train-Analysis-(2080s-and-2083s)?_g=(refreshInterval:(display:Off,section:0,value:0),time:(from:'2016-09-29 15:23:35-0600',mode:absolute,to:'2016-09-29 18:11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08" s="54" t="str">
        <f t="shared" si="39"/>
        <v>N</v>
      </c>
      <c r="X108" s="164">
        <f t="shared" si="50"/>
        <v>1</v>
      </c>
      <c r="Y108" s="69">
        <f t="shared" si="40"/>
        <v>23.297699999999999</v>
      </c>
      <c r="Z108" s="69">
        <f t="shared" si="49"/>
        <v>1.6299999999999999E-2</v>
      </c>
      <c r="AA108" s="69">
        <f t="shared" si="41"/>
        <v>23.281399999999998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 t="shared" si="42"/>
        <v>0196-29</v>
      </c>
      <c r="AE108" s="95" t="str">
        <f t="shared" si="43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108" s="92" t="str">
        <f t="shared" si="44"/>
        <v>"C:\Program Files (x86)\AstroGrep\AstroGrep.exe" /spath="%USERPROFILE%\AppData\Local\Temp\OnboardLogs" /stypes="app*4041*20160929*" /stext=" 23:.+((SYSTEM_STATE.+slice.+state.+changed )|(ment ac)|(system.+state.+changed )|(\[timeout)|(PRM\|1\|D)|(kpr)|(kdp)|(\|lc)|(penalty))" /e /r /s</v>
      </c>
      <c r="AG108" s="1" t="str">
        <f t="shared" si="45"/>
        <v>EC</v>
      </c>
      <c r="AH108" s="96" t="str">
        <f t="shared" si="46"/>
        <v>"%USERPROFILE%\Documents\GitHub\eaglep3\Utilities\RefineRTDCRunTimes.py" --tripid 196-29 --locoid 4041 --swversion DE.1.0.7.0 --startMP 204:232977 --initTime 2016-09-29T16:23:35 --startdatetime 2016-09-29T16:27:08 --delay 1 --endMP 204:163 --enddatetime 2016-09-29T17:11:06 --enforcementcount 0 &gt;&gt;C:\Users\stu\Documents\GitHub\eaglep3-reporting\EC\2016-09-29-refined-times.txt</v>
      </c>
      <c r="AI10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{"issue":{"subject":"","project_id":79,"tracker_id":40,"status_id":1,"priority_id":2,"assigned_to_id":23,"start_date":"2016-09-29","description":"","custom_fields":[{"id":1,"name":"Subdivision","value":"EC"},{"id":4,"name":"Milepost","value":"0.0163"},{"id":17,"name":"Train ID","value":"196-29"},{"id":16,"name":"Locomotive ID","value":"4041"},{"id":130,"name":"Impact","value":""},{"id":150,"name":"Time of Event (Mountain Time)","value":"17:11:06"},{"id":151,"name":"Denver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x14ac:dyDescent="0.25">
      <c r="A109" s="39" t="s">
        <v>508</v>
      </c>
      <c r="B109" s="7">
        <v>4002</v>
      </c>
      <c r="C109" s="24" t="s">
        <v>106</v>
      </c>
      <c r="D109" s="24" t="s">
        <v>239</v>
      </c>
      <c r="E109" s="15">
        <v>42642.655462962961</v>
      </c>
      <c r="F109" s="15">
        <v>42642.656805555554</v>
      </c>
      <c r="G109" s="7">
        <v>1</v>
      </c>
      <c r="H109" s="15" t="s">
        <v>228</v>
      </c>
      <c r="I109" s="15">
        <v>42642.682696759257</v>
      </c>
      <c r="J109" s="7">
        <v>0</v>
      </c>
      <c r="K109" s="117" t="str">
        <f t="shared" ref="K109:K140" si="52">IF(ISEVEN(B109),(B109-1)&amp;"/"&amp;B109,B109&amp;"/"&amp;(B109+1))</f>
        <v>4001/4002</v>
      </c>
      <c r="L109" s="24" t="str">
        <f>VLOOKUP(A109,'Trips&amp;Operators'!$C$1:$E$10000,3,FALSE)</f>
        <v>OUN</v>
      </c>
      <c r="M109" s="6">
        <f t="shared" ref="M109:M140" si="53">I109-F109</f>
        <v>2.5891203702485655E-2</v>
      </c>
      <c r="N109" s="7">
        <f t="shared" si="51"/>
        <v>37.283333331579342</v>
      </c>
      <c r="O109" s="7"/>
      <c r="P109" s="7"/>
      <c r="Q109" s="25"/>
      <c r="R109" s="25"/>
      <c r="S109" s="37">
        <f t="shared" ref="S109:S140" si="54">SUM(U109:U109)/IF(AG109="EC",12,1)</f>
        <v>1</v>
      </c>
      <c r="T109" s="52" t="str">
        <f t="shared" ref="T109:T140" si="55">IF(ISEVEN(LEFT(AD109,4)),"Southbound","NorthBound")</f>
        <v>NorthBound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 t="shared" ref="V109:V140" si="56"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https://search-rtdc-monitor-bjffxe2xuh6vdkpspy63sjmuny.us-east-1.es.amazonaws.com/_plugin/kibana/#/discover/Steve-Slow-Train-Analysis-(2080s-and-2083s)?_g=(refreshInterval:(display:Off,section:0,value:0),time:(from:'2016-09-29 14:43:52-0600',mode:absolute,to:'2016-09-29 17:23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09" s="54" t="str">
        <f t="shared" ref="W109:W140" si="57">IF(AA109&lt;IF(AG109="EC",23,5.65),"Y","N")</f>
        <v>N</v>
      </c>
      <c r="X109" s="164">
        <f t="shared" si="50"/>
        <v>1</v>
      </c>
      <c r="Y109" s="69">
        <f t="shared" ref="Y109:Y140" si="58">RIGHT(D109,LEN(D109)-4)/10000</f>
        <v>4.4600000000000001E-2</v>
      </c>
      <c r="Z109" s="69">
        <f t="shared" si="49"/>
        <v>23.331399999999999</v>
      </c>
      <c r="AA109" s="69">
        <f t="shared" ref="AA109:AA140" si="59">ABS(Z109-Y109)</f>
        <v>23.286799999999999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 t="shared" ref="AD109:AD140" si="60">IF(LEN(A109)=6,"0"&amp;A109,A109)</f>
        <v>0197-29</v>
      </c>
      <c r="AE109" s="95" t="str">
        <f t="shared" si="43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109" s="92" t="str">
        <f t="shared" si="44"/>
        <v>"C:\Program Files (x86)\AstroGrep\AstroGrep.exe" /spath="%USERPROFILE%\AppData\Local\Temp\OnboardLogs" /stypes="app*4002*20160929*" /stext=" 22:.+((SYSTEM_STATE.+slice.+state.+changed )|(ment ac)|(system.+state.+changed )|(\[timeout)|(PRM\|1\|D)|(kpr)|(kdp)|(\|lc)|(penalty))" /e /r /s</v>
      </c>
      <c r="AG109" s="1" t="str">
        <f t="shared" ref="AG109:AG140" si="61">IFERROR(IF(VALUE(LEFT(AD109,2))&lt;=2,"EC",IF(OR(VALUE(LEFT(AD109,2))=8,VALUE(LEFT(AD109,2))=18),"NW","Other")),"Other")</f>
        <v>EC</v>
      </c>
      <c r="AH109" s="96" t="str">
        <f t="shared" si="46"/>
        <v>"%USERPROFILE%\Documents\GitHub\eaglep3\Utilities\RefineRTDCRunTimes.py" --tripid 197-29 --locoid 4002 --swversion DE.1.0.7.0 --startMP 204:446 --initTime 2016-09-29T15:43:52 --startdatetime 2016-09-29T15:45:48 --delay 1 --endMP 204:233314 --enddatetime 2016-09-29T16:23:05 --enforcementcount 0 &gt;&gt;C:\Users\stu\Documents\GitHub\eaglep3-reporting\EC\2016-09-29-refined-times.txt</v>
      </c>
      <c r="AI109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{"issue":{"subject":"","project_id":79,"tracker_id":40,"status_id":1,"priority_id":2,"assigned_to_id":23,"start_date":"2016-09-29","description":"","custom_fields":[{"id":1,"name":"Subdivision","value":"EC"},{"id":4,"name":"Milepost","value":"23.3314"},{"id":17,"name":"Train ID","value":"197-29"},{"id":16,"name":"Locomotive ID","value":"4002"},{"id":130,"name":"Impact","value":""},{"id":150,"name":"Time of Event (Mountain Time)","value":"16:23:05"},{"id":151,"name":"Denver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518</v>
      </c>
      <c r="B110" s="7">
        <v>4001</v>
      </c>
      <c r="C110" s="24" t="s">
        <v>106</v>
      </c>
      <c r="D110" s="24" t="s">
        <v>614</v>
      </c>
      <c r="E110" s="15">
        <v>42642.69054398148</v>
      </c>
      <c r="F110" s="15">
        <v>42642.695405092592</v>
      </c>
      <c r="G110" s="7">
        <v>1</v>
      </c>
      <c r="H110" s="15" t="s">
        <v>625</v>
      </c>
      <c r="I110" s="15">
        <v>42642.7265625</v>
      </c>
      <c r="J110" s="7">
        <v>0</v>
      </c>
      <c r="K110" s="117" t="str">
        <f t="shared" si="52"/>
        <v>4001/4002</v>
      </c>
      <c r="L110" s="24" t="str">
        <f>VLOOKUP(A110,'Trips&amp;Operators'!$C$1:$E$10000,3,FALSE)</f>
        <v>OUN</v>
      </c>
      <c r="M110" s="6">
        <f t="shared" si="53"/>
        <v>3.1157407407590654E-2</v>
      </c>
      <c r="N110" s="7">
        <f t="shared" si="51"/>
        <v>44.866666666930541</v>
      </c>
      <c r="O110" s="7"/>
      <c r="P110" s="7"/>
      <c r="Q110" s="25"/>
      <c r="R110" s="25"/>
      <c r="S110" s="37">
        <f t="shared" si="54"/>
        <v>1</v>
      </c>
      <c r="T110" s="52" t="str">
        <f t="shared" si="55"/>
        <v>Southbound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15:34:23-0600',mode:absolute,to:'2016-09-29 18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10" s="54" t="str">
        <f t="shared" si="57"/>
        <v>N</v>
      </c>
      <c r="X110" s="164">
        <f t="shared" ref="X110:X149" si="62">VALUE(LEFT(AD110,4))-VALUE(LEFT(AD109,4))</f>
        <v>1</v>
      </c>
      <c r="Y110" s="69">
        <f t="shared" si="58"/>
        <v>23.298500000000001</v>
      </c>
      <c r="Z110" s="69">
        <f t="shared" si="49"/>
        <v>1.9400000000000001E-2</v>
      </c>
      <c r="AA110" s="69">
        <f t="shared" si="59"/>
        <v>23.2791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 t="shared" si="60"/>
        <v>0198-29</v>
      </c>
      <c r="AE110" s="95" t="str">
        <f t="shared" si="43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110" s="92" t="str">
        <f t="shared" si="44"/>
        <v>"C:\Program Files (x86)\AstroGrep\AstroGrep.exe" /spath="%USERPROFILE%\AppData\Local\Temp\OnboardLogs" /stypes="app*4001*20160929*" /stext=" 23:.+((SYSTEM_STATE.+slice.+state.+changed )|(ment ac)|(system.+state.+changed )|(\[timeout)|(PRM\|1\|D)|(kpr)|(kdp)|(\|lc)|(penalty))" /e /r /s</v>
      </c>
      <c r="AG110" s="1" t="str">
        <f t="shared" si="61"/>
        <v>EC</v>
      </c>
      <c r="AH110" s="96" t="str">
        <f t="shared" si="46"/>
        <v>"%USERPROFILE%\Documents\GitHub\eaglep3\Utilities\RefineRTDCRunTimes.py" --tripid 198-29 --locoid 4001 --swversion DE.1.0.7.0 --startMP 204:232985 --initTime 2016-09-29T16:34:23 --startdatetime 2016-09-29T16:41:23 --delay 1 --endMP 204:194 --enddatetime 2016-09-29T17:26:15 --enforcementcount 0 &gt;&gt;C:\Users\stu\Documents\GitHub\eaglep3-reporting\EC\2016-09-29-refined-times.txt</v>
      </c>
      <c r="AI11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{"issue":{"subject":"","project_id":79,"tracker_id":40,"status_id":1,"priority_id":2,"assigned_to_id":23,"start_date":"2016-09-29","description":"","custom_fields":[{"id":1,"name":"Subdivision","value":"EC"},{"id":4,"name":"Milepost","value":"0.0194"},{"id":17,"name":"Train ID","value":"198-29"},{"id":16,"name":"Locomotive ID","value":"4001"},{"id":130,"name":"Impact","value":""},{"id":150,"name":"Time of Event (Mountain Time)","value":"17:26:15"},{"id":151,"name":"Denver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512</v>
      </c>
      <c r="B111" s="7">
        <v>4029</v>
      </c>
      <c r="C111" s="24" t="s">
        <v>106</v>
      </c>
      <c r="D111" s="24" t="s">
        <v>205</v>
      </c>
      <c r="E111" s="15">
        <v>42642.665821759256</v>
      </c>
      <c r="F111" s="15">
        <v>42642.667500000003</v>
      </c>
      <c r="G111" s="7">
        <v>1</v>
      </c>
      <c r="H111" s="15" t="s">
        <v>626</v>
      </c>
      <c r="I111" s="15">
        <v>42642.692511574074</v>
      </c>
      <c r="J111" s="7">
        <v>0</v>
      </c>
      <c r="K111" s="117" t="str">
        <f t="shared" si="52"/>
        <v>4029/4030</v>
      </c>
      <c r="L111" s="24" t="str">
        <f>VLOOKUP(A111,'Trips&amp;Operators'!$C$1:$E$10000,3,FALSE)</f>
        <v>STORY</v>
      </c>
      <c r="M111" s="6">
        <f t="shared" si="53"/>
        <v>2.5011574070958886E-2</v>
      </c>
      <c r="N111" s="7">
        <f t="shared" si="51"/>
        <v>36.016666662180796</v>
      </c>
      <c r="O111" s="7"/>
      <c r="P111" s="7"/>
      <c r="Q111" s="25"/>
      <c r="R111" s="25"/>
      <c r="S111" s="37">
        <f t="shared" si="54"/>
        <v>1</v>
      </c>
      <c r="T111" s="52" t="str">
        <f t="shared" si="55"/>
        <v>NorthBound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14:58:47-0600',mode:absolute,to:'2016-09-29 17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11" s="54" t="str">
        <f t="shared" si="57"/>
        <v>N</v>
      </c>
      <c r="X111" s="164">
        <f t="shared" si="62"/>
        <v>1</v>
      </c>
      <c r="Y111" s="69">
        <f t="shared" si="58"/>
        <v>4.53E-2</v>
      </c>
      <c r="Z111" s="69">
        <f>233241/10000</f>
        <v>23.324100000000001</v>
      </c>
      <c r="AA111" s="69">
        <f t="shared" si="59"/>
        <v>23.2788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 t="shared" si="60"/>
        <v>0199-29</v>
      </c>
      <c r="AE111" s="95" t="str">
        <f t="shared" si="43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11" s="92" t="str">
        <f t="shared" si="44"/>
        <v>"C:\Program Files (x86)\AstroGrep\AstroGrep.exe" /spath="%USERPROFILE%\AppData\Local\Temp\OnboardLogs" /stypes="app*4029*20160929*" /stext=" 22:.+((SYSTEM_STATE.+slice.+state.+changed )|(ment ac)|(system.+state.+changed )|(\[timeout)|(PRM\|1\|D)|(kpr)|(kdp)|(\|lc)|(penalty))" /e /r /s</v>
      </c>
      <c r="AG111" s="1" t="str">
        <f t="shared" si="61"/>
        <v>EC</v>
      </c>
      <c r="AH111" s="96" t="str">
        <f t="shared" si="46"/>
        <v>"%USERPROFILE%\Documents\GitHub\eaglep3\Utilities\RefineRTDCRunTimes.py" --tripid 199-29 --locoid 4029 --swversion DE.1.0.7.0 --startMP 204:453 --initTime 2016-09-29T15:58:47 --startdatetime 2016-09-29T16:01:12 --delay 1 --endMP 204:746 --enddatetime 2016-09-29T16:37:13 --enforcementcount 0 &gt;&gt;C:\Users\stu\Documents\GitHub\eaglep3-reporting\EC\2016-09-29-refined-times.txt</v>
      </c>
      <c r="AI11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{"issue":{"subject":"","project_id":79,"tracker_id":40,"status_id":1,"priority_id":2,"assigned_to_id":23,"start_date":"2016-09-29","description":"","custom_fields":[{"id":1,"name":"Subdivision","value":"EC"},{"id":4,"name":"Milepost","value":"23.3241"},{"id":17,"name":"Train ID","value":"199-29"},{"id":16,"name":"Locomotive ID","value":"4029"},{"id":130,"name":"Impact","value":""},{"id":150,"name":"Time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522</v>
      </c>
      <c r="B112" s="7">
        <v>4030</v>
      </c>
      <c r="C112" s="24" t="s">
        <v>106</v>
      </c>
      <c r="D112" s="24" t="s">
        <v>627</v>
      </c>
      <c r="E112" s="15">
        <v>42642.69803240741</v>
      </c>
      <c r="F112" s="15">
        <v>42642.707337962966</v>
      </c>
      <c r="G112" s="7">
        <v>1</v>
      </c>
      <c r="H112" s="15" t="s">
        <v>628</v>
      </c>
      <c r="I112" s="15">
        <v>42642.733541666668</v>
      </c>
      <c r="J112" s="7">
        <v>0</v>
      </c>
      <c r="K112" s="117" t="str">
        <f t="shared" si="52"/>
        <v>4029/4030</v>
      </c>
      <c r="L112" s="24" t="str">
        <f>VLOOKUP(A112,'Trips&amp;Operators'!$C$1:$E$10000,3,FALSE)</f>
        <v>STORY</v>
      </c>
      <c r="M112" s="6">
        <f t="shared" si="53"/>
        <v>2.6203703702776693E-2</v>
      </c>
      <c r="N112" s="7">
        <f t="shared" si="51"/>
        <v>37.733333331998438</v>
      </c>
      <c r="O112" s="7"/>
      <c r="P112" s="7"/>
      <c r="Q112" s="25"/>
      <c r="R112" s="25"/>
      <c r="S112" s="37">
        <f t="shared" si="54"/>
        <v>1</v>
      </c>
      <c r="T112" s="52" t="str">
        <f t="shared" si="55"/>
        <v>Southbound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15:45:10-0600',mode:absolute,to:'2016-09-29 18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12" s="54" t="str">
        <f t="shared" si="57"/>
        <v>N</v>
      </c>
      <c r="X112" s="164">
        <f t="shared" si="62"/>
        <v>1</v>
      </c>
      <c r="Y112" s="69">
        <f t="shared" si="58"/>
        <v>23.292300000000001</v>
      </c>
      <c r="Z112" s="69">
        <f t="shared" ref="Z112:Z143" si="63">RIGHT(H112,LEN(H112)-4)/10000</f>
        <v>1.0699999999999999E-2</v>
      </c>
      <c r="AA112" s="69">
        <f t="shared" si="59"/>
        <v>23.281600000000001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 t="shared" si="60"/>
        <v>0200-29</v>
      </c>
      <c r="AE112" s="95" t="str">
        <f t="shared" si="43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112" s="92" t="str">
        <f t="shared" si="44"/>
        <v>"C:\Program Files (x86)\AstroGrep\AstroGrep.exe" /spath="%USERPROFILE%\AppData\Local\Temp\OnboardLogs" /stypes="app*4030*20160929*" /stext=" 23:.+((SYSTEM_STATE.+slice.+state.+changed )|(ment ac)|(system.+state.+changed )|(\[timeout)|(PRM\|1\|D)|(kpr)|(kdp)|(\|lc)|(penalty))" /e /r /s</v>
      </c>
      <c r="AG112" s="1" t="str">
        <f t="shared" si="61"/>
        <v>EC</v>
      </c>
      <c r="AH112" s="96" t="str">
        <f t="shared" si="46"/>
        <v>"%USERPROFILE%\Documents\GitHub\eaglep3\Utilities\RefineRTDCRunTimes.py" --tripid 200-29 --locoid 4030 --swversion DE.1.0.7.0 --startMP 204:232923 --initTime 2016-09-29T16:45:10 --startdatetime 2016-09-29T16:58:34 --delay 1 --endMP 204:107 --enddatetime 2016-09-29T17:36:18 --enforcementcount 0 &gt;&gt;C:\Users\stu\Documents\GitHub\eaglep3-reporting\EC\2016-09-29-refined-times.txt</v>
      </c>
      <c r="AI11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{"issue":{"subject":"","project_id":79,"tracker_id":40,"status_id":1,"priority_id":2,"assigned_to_id":23,"start_date":"2016-09-29","description":"","custom_fields":[{"id":1,"name":"Subdivision","value":"EC"},{"id":4,"name":"Milepost","value":"0.0107"},{"id":17,"name":"Train ID","value":"200-29"},{"id":16,"name":"Locomotive ID","value":"4030"},{"id":130,"name":"Impact","value":""},{"id":150,"name":"Time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514</v>
      </c>
      <c r="B113" s="7">
        <v>4025</v>
      </c>
      <c r="C113" s="24" t="s">
        <v>106</v>
      </c>
      <c r="D113" s="24" t="s">
        <v>629</v>
      </c>
      <c r="E113" s="15">
        <v>42642.673900462964</v>
      </c>
      <c r="F113" s="15">
        <v>42642.677303240744</v>
      </c>
      <c r="G113" s="7">
        <v>1</v>
      </c>
      <c r="H113" s="15" t="s">
        <v>630</v>
      </c>
      <c r="I113" s="15">
        <v>42642.707256944443</v>
      </c>
      <c r="J113" s="7">
        <v>0</v>
      </c>
      <c r="K113" s="117" t="str">
        <f t="shared" si="52"/>
        <v>4025/4026</v>
      </c>
      <c r="L113" s="24" t="str">
        <f>VLOOKUP(A113,'Trips&amp;Operators'!$C$1:$E$10000,3,FALSE)</f>
        <v>BONDS</v>
      </c>
      <c r="M113" s="6">
        <f t="shared" si="53"/>
        <v>2.9953703698993195E-2</v>
      </c>
      <c r="N113" s="7">
        <f t="shared" si="51"/>
        <v>43.133333326550201</v>
      </c>
      <c r="O113" s="7"/>
      <c r="P113" s="7"/>
      <c r="Q113" s="25"/>
      <c r="R113" s="25"/>
      <c r="S113" s="37">
        <f t="shared" si="54"/>
        <v>1</v>
      </c>
      <c r="T113" s="52" t="str">
        <f t="shared" si="55"/>
        <v>NorthBound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15:10:25-0600',mode:absolute,to:'2016-09-29 17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13" s="54" t="str">
        <f t="shared" si="57"/>
        <v>N</v>
      </c>
      <c r="X113" s="164">
        <f t="shared" si="62"/>
        <v>1</v>
      </c>
      <c r="Y113" s="69">
        <f t="shared" si="58"/>
        <v>4.8399999999999999E-2</v>
      </c>
      <c r="Z113" s="69">
        <f t="shared" si="63"/>
        <v>23.305299999999999</v>
      </c>
      <c r="AA113" s="69">
        <f t="shared" si="59"/>
        <v>23.256899999999998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 t="shared" si="60"/>
        <v>0201-29</v>
      </c>
      <c r="AE113" s="95" t="str">
        <f t="shared" si="43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113" s="92" t="str">
        <f t="shared" si="44"/>
        <v>"C:\Program Files (x86)\AstroGrep\AstroGrep.exe" /spath="%USERPROFILE%\AppData\Local\Temp\OnboardLogs" /stypes="app*4025*20160929*" /stext=" 22:.+((SYSTEM_STATE.+slice.+state.+changed )|(ment ac)|(system.+state.+changed )|(\[timeout)|(PRM\|1\|D)|(kpr)|(kdp)|(\|lc)|(penalty))" /e /r /s</v>
      </c>
      <c r="AG113" s="1" t="str">
        <f t="shared" si="61"/>
        <v>EC</v>
      </c>
      <c r="AH113" s="96" t="str">
        <f t="shared" si="46"/>
        <v>"%USERPROFILE%\Documents\GitHub\eaglep3\Utilities\RefineRTDCRunTimes.py" --tripid 201-29 --locoid 4025 --swversion DE.1.0.7.0 --startMP 204:484 --initTime 2016-09-29T16:10:25 --startdatetime 2016-09-29T16:15:19 --delay 1 --endMP 204:233053 --enddatetime 2016-09-29T16:58:27 --enforcementcount 0 &gt;&gt;C:\Users\stu\Documents\GitHub\eaglep3-reporting\EC\2016-09-29-refined-times.txt</v>
      </c>
      <c r="AI11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{"issue":{"subject":"","project_id":79,"tracker_id":40,"status_id":1,"priority_id":2,"assigned_to_id":23,"start_date":"2016-09-29","description":"","custom_fields":[{"id":1,"name":"Subdivision","value":"EC"},{"id":4,"name":"Milepost","value":"23.3053"},{"id":17,"name":"Train ID","value":"201-29"},{"id":16,"name":"Locomotive ID","value":"4025"},{"id":130,"name":"Impact","value":""},{"id":150,"name":"Time of Event (Mountain Time)","value":"16:58:27"},{"id":151,"name":"Denver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524</v>
      </c>
      <c r="B114" s="7">
        <v>4026</v>
      </c>
      <c r="C114" s="24" t="s">
        <v>106</v>
      </c>
      <c r="D114" s="24" t="s">
        <v>631</v>
      </c>
      <c r="E114" s="15">
        <v>42642.708564814813</v>
      </c>
      <c r="F114" s="15">
        <v>42642.716365740744</v>
      </c>
      <c r="G114" s="7">
        <v>1</v>
      </c>
      <c r="H114" s="15" t="s">
        <v>226</v>
      </c>
      <c r="I114" s="15">
        <v>42642.74486111111</v>
      </c>
      <c r="J114" s="7">
        <v>0</v>
      </c>
      <c r="K114" s="117" t="str">
        <f t="shared" si="52"/>
        <v>4025/4026</v>
      </c>
      <c r="L114" s="24" t="str">
        <f>VLOOKUP(A114,'Trips&amp;Operators'!$C$1:$E$10000,3,FALSE)</f>
        <v>BONDS</v>
      </c>
      <c r="M114" s="6">
        <f t="shared" si="53"/>
        <v>2.8495370366727002E-2</v>
      </c>
      <c r="N114" s="7">
        <f t="shared" si="51"/>
        <v>41.033333328086883</v>
      </c>
      <c r="O114" s="7"/>
      <c r="P114" s="7"/>
      <c r="Q114" s="25"/>
      <c r="R114" s="25"/>
      <c r="S114" s="37">
        <f t="shared" si="54"/>
        <v>1</v>
      </c>
      <c r="T114" s="52" t="str">
        <f t="shared" si="55"/>
        <v>Southbound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16:00:20-0600',mode:absolute,to:'2016-09-29 18:52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14" s="54" t="str">
        <f t="shared" si="57"/>
        <v>N</v>
      </c>
      <c r="X114" s="164">
        <f t="shared" si="62"/>
        <v>1</v>
      </c>
      <c r="Y114" s="69">
        <f t="shared" si="58"/>
        <v>23.2745</v>
      </c>
      <c r="Z114" s="69">
        <f t="shared" si="63"/>
        <v>1.5599999999999999E-2</v>
      </c>
      <c r="AA114" s="69">
        <f t="shared" si="59"/>
        <v>23.258900000000001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 t="shared" si="60"/>
        <v>0202-29</v>
      </c>
      <c r="AE114" s="95" t="str">
        <f t="shared" si="43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114" s="92" t="str">
        <f t="shared" si="44"/>
        <v>"C:\Program Files (x86)\AstroGrep\AstroGrep.exe" /spath="%USERPROFILE%\AppData\Local\Temp\OnboardLogs" /stypes="app*4026*20160929*" /stext=" 23:.+((SYSTEM_STATE.+slice.+state.+changed )|(ment ac)|(system.+state.+changed )|(\[timeout)|(PRM\|1\|D)|(kpr)|(kdp)|(\|lc)|(penalty))" /e /r /s</v>
      </c>
      <c r="AG114" s="1" t="str">
        <f t="shared" si="61"/>
        <v>EC</v>
      </c>
      <c r="AH114" s="96" t="str">
        <f t="shared" si="46"/>
        <v>"%USERPROFILE%\Documents\GitHub\eaglep3\Utilities\RefineRTDCRunTimes.py" --tripid 202-29 --locoid 4026 --swversion DE.1.0.7.0 --startMP 204:232745 --initTime 2016-09-29T17:00:20 --startdatetime 2016-09-29T17:11:34 --delay 1 --endMP 204:156 --enddatetime 2016-09-29T17:52:36 --enforcementcount 0 &gt;&gt;C:\Users\stu\Documents\GitHub\eaglep3-reporting\EC\2016-09-29-refined-times.txt</v>
      </c>
      <c r="AI11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{"issue":{"subject":"","project_id":79,"tracker_id":40,"status_id":1,"priority_id":2,"assigned_to_id":23,"start_date":"2016-09-29","description":"","custom_fields":[{"id":1,"name":"Subdivision","value":"EC"},{"id":4,"name":"Milepost","value":"0.0156"},{"id":17,"name":"Train ID","value":"202-29"},{"id":16,"name":"Locomotive ID","value":"4026"},{"id":130,"name":"Impact","value":""},{"id":150,"name":"Time of Event (Mountain Time)","value":"17:52:36"},{"id":151,"name":"Denver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517</v>
      </c>
      <c r="B115" s="7">
        <v>4046</v>
      </c>
      <c r="C115" s="24" t="s">
        <v>106</v>
      </c>
      <c r="D115" s="24" t="s">
        <v>209</v>
      </c>
      <c r="E115" s="15">
        <v>42642.685925925929</v>
      </c>
      <c r="F115" s="15">
        <v>42642.687800925924</v>
      </c>
      <c r="G115" s="7">
        <v>1</v>
      </c>
      <c r="H115" s="15" t="s">
        <v>632</v>
      </c>
      <c r="I115" s="15">
        <v>42642.714097222219</v>
      </c>
      <c r="J115" s="7">
        <v>0</v>
      </c>
      <c r="K115" s="117" t="str">
        <f t="shared" si="52"/>
        <v>4045/4046</v>
      </c>
      <c r="L115" s="24" t="str">
        <f>VLOOKUP(A115,'Trips&amp;Operators'!$C$1:$E$10000,3,FALSE)</f>
        <v>SHOOK</v>
      </c>
      <c r="M115" s="6">
        <f t="shared" si="53"/>
        <v>2.6296296295186039E-2</v>
      </c>
      <c r="N115" s="7">
        <f t="shared" si="51"/>
        <v>37.866666665067896</v>
      </c>
      <c r="O115" s="7"/>
      <c r="P115" s="7"/>
      <c r="Q115" s="25"/>
      <c r="R115" s="25"/>
      <c r="S115" s="37">
        <f t="shared" si="54"/>
        <v>1</v>
      </c>
      <c r="T115" s="52" t="str">
        <f t="shared" si="55"/>
        <v>NorthBound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15:27:44-0600',mode:absolute,to:'2016-09-29 18:08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15" s="54" t="str">
        <f t="shared" si="57"/>
        <v>N</v>
      </c>
      <c r="X115" s="164">
        <f t="shared" si="62"/>
        <v>1</v>
      </c>
      <c r="Y115" s="69">
        <f t="shared" si="58"/>
        <v>4.5699999999999998E-2</v>
      </c>
      <c r="Z115" s="69">
        <f t="shared" si="63"/>
        <v>23.335999999999999</v>
      </c>
      <c r="AA115" s="69">
        <f t="shared" si="59"/>
        <v>23.290299999999998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 t="shared" si="60"/>
        <v>0203-29</v>
      </c>
      <c r="AE115" s="95" t="str">
        <f t="shared" si="43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15" s="92" t="str">
        <f t="shared" si="44"/>
        <v>"C:\Program Files (x86)\AstroGrep\AstroGrep.exe" /spath="%USERPROFILE%\AppData\Local\Temp\OnboardLogs" /stypes="app*4046*20160929*" /stext=" 23:.+((SYSTEM_STATE.+slice.+state.+changed )|(ment ac)|(system.+state.+changed )|(\[timeout)|(PRM\|1\|D)|(kpr)|(kdp)|(\|lc)|(penalty))" /e /r /s</v>
      </c>
      <c r="AG115" s="1" t="str">
        <f t="shared" si="61"/>
        <v>EC</v>
      </c>
      <c r="AH115" s="96" t="str">
        <f t="shared" si="46"/>
        <v>"%USERPROFILE%\Documents\GitHub\eaglep3\Utilities\RefineRTDCRunTimes.py" --tripid 203-29 --locoid 4046 --swversion DE.1.0.7.0 --startMP 204:457 --initTime 2016-09-29T16:27:44 --startdatetime 2016-09-29T16:30:26 --delay 1 --endMP 204:233360 --enddatetime 2016-09-29T17:08:18 --enforcementcount 0 &gt;&gt;C:\Users\stu\Documents\GitHub\eaglep3-reporting\EC\2016-09-29-refined-times.txt</v>
      </c>
      <c r="AI11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{"issue":{"subject":"","project_id":79,"tracker_id":40,"status_id":1,"priority_id":2,"assigned_to_id":23,"start_date":"2016-09-29","description":"","custom_fields":[{"id":1,"name":"Subdivision","value":"EC"},{"id":4,"name":"Milepost","value":"23.336"},{"id":17,"name":"Train ID","value":"203-29"},{"id":16,"name":"Locomotive ID","value":"4046"},{"id":130,"name":"Impact","value":""},{"id":150,"name":"Time of Event (Mountain Time)","value":"17:08:18"},{"id":151,"name":"Denver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530</v>
      </c>
      <c r="B116" s="7">
        <v>4045</v>
      </c>
      <c r="C116" s="24" t="s">
        <v>106</v>
      </c>
      <c r="D116" s="24" t="s">
        <v>616</v>
      </c>
      <c r="E116" s="15">
        <v>42642.721967592595</v>
      </c>
      <c r="F116" s="15">
        <v>42642.726620370369</v>
      </c>
      <c r="G116" s="7">
        <v>1</v>
      </c>
      <c r="H116" s="15" t="s">
        <v>199</v>
      </c>
      <c r="I116" s="15">
        <v>42642.755462962959</v>
      </c>
      <c r="J116" s="7">
        <v>0</v>
      </c>
      <c r="K116" s="117" t="str">
        <f t="shared" si="52"/>
        <v>4045/4046</v>
      </c>
      <c r="L116" s="24" t="str">
        <f>VLOOKUP(A116,'Trips&amp;Operators'!$C$1:$E$10000,3,FALSE)</f>
        <v>SHOOK</v>
      </c>
      <c r="M116" s="6">
        <f t="shared" si="53"/>
        <v>2.884259259008104E-2</v>
      </c>
      <c r="N116" s="7">
        <f t="shared" si="51"/>
        <v>41.533333329716697</v>
      </c>
      <c r="O116" s="7"/>
      <c r="P116" s="7"/>
      <c r="Q116" s="25"/>
      <c r="R116" s="25"/>
      <c r="S116" s="37">
        <f t="shared" si="54"/>
        <v>1</v>
      </c>
      <c r="T116" s="52" t="str">
        <f t="shared" si="55"/>
        <v>Southbound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16:19:38-0600',mode:absolute,to:'2016-09-29 19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16" s="54" t="str">
        <f t="shared" si="57"/>
        <v>N</v>
      </c>
      <c r="X116" s="164">
        <f t="shared" si="62"/>
        <v>1</v>
      </c>
      <c r="Y116" s="69">
        <f t="shared" si="58"/>
        <v>23.302099999999999</v>
      </c>
      <c r="Z116" s="69">
        <f t="shared" si="63"/>
        <v>1.49E-2</v>
      </c>
      <c r="AA116" s="69">
        <f t="shared" si="59"/>
        <v>23.287199999999999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 t="shared" si="60"/>
        <v>0204-29</v>
      </c>
      <c r="AE116" s="95" t="str">
        <f t="shared" si="43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116" s="92" t="str">
        <f t="shared" si="44"/>
        <v>"C:\Program Files (x86)\AstroGrep\AstroGrep.exe" /spath="%USERPROFILE%\AppData\Local\Temp\OnboardLogs" /stypes="app*4045*20160930*" /stext=" 00:.+((SYSTEM_STATE.+slice.+state.+changed )|(ment ac)|(system.+state.+changed )|(\[timeout)|(PRM\|1\|D)|(kpr)|(kdp)|(\|lc)|(penalty))" /e /r /s</v>
      </c>
      <c r="AG116" s="1" t="str">
        <f t="shared" si="61"/>
        <v>EC</v>
      </c>
      <c r="AH116" s="96" t="str">
        <f t="shared" si="46"/>
        <v>"%USERPROFILE%\Documents\GitHub\eaglep3\Utilities\RefineRTDCRunTimes.py" --tripid 204-29 --locoid 4045 --swversion DE.1.0.7.0 --startMP 204:233021 --initTime 2016-09-29T17:19:38 --startdatetime 2016-09-29T17:26:20 --delay 1 --endMP 204:149 --enddatetime 2016-09-29T18:07:52 --enforcementcount 0 &gt;&gt;C:\Users\stu\Documents\GitHub\eaglep3-reporting\EC\2016-09-29-refined-times.txt</v>
      </c>
      <c r="AI116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{"issue":{"subject":"","project_id":79,"tracker_id":40,"status_id":1,"priority_id":2,"assigned_to_id":23,"start_date":"2016-09-29","description":"","custom_fields":[{"id":1,"name":"Subdivision","value":"EC"},{"id":4,"name":"Milepost","value":"0.0149"},{"id":17,"name":"Train ID","value":"204-29"},{"id":16,"name":"Locomotive ID","value":"4045"},{"id":130,"name":"Impact","value":""},{"id":150,"name":"Time of Event (Mountain Time)","value":"18:07:52"},{"id":151,"name":"Denver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521</v>
      </c>
      <c r="B117" s="7">
        <v>4040</v>
      </c>
      <c r="C117" s="24" t="s">
        <v>106</v>
      </c>
      <c r="D117" s="24" t="s">
        <v>205</v>
      </c>
      <c r="E117" s="15">
        <v>42642.695729166669</v>
      </c>
      <c r="F117" s="15">
        <v>42642.698171296295</v>
      </c>
      <c r="G117" s="7">
        <v>2</v>
      </c>
      <c r="H117" s="15" t="s">
        <v>633</v>
      </c>
      <c r="I117" s="15">
        <v>42642.724421296298</v>
      </c>
      <c r="J117" s="7">
        <v>0</v>
      </c>
      <c r="K117" s="117" t="str">
        <f t="shared" si="52"/>
        <v>4039/4040</v>
      </c>
      <c r="L117" s="24" t="str">
        <f>VLOOKUP(A117,'Trips&amp;Operators'!$C$1:$E$10000,3,FALSE)</f>
        <v>MOSES</v>
      </c>
      <c r="M117" s="6">
        <f t="shared" si="53"/>
        <v>2.6250000002619345E-2</v>
      </c>
      <c r="N117" s="7">
        <f t="shared" si="51"/>
        <v>37.800000003771856</v>
      </c>
      <c r="O117" s="7"/>
      <c r="P117" s="7"/>
      <c r="Q117" s="25"/>
      <c r="R117" s="25"/>
      <c r="S117" s="37">
        <f t="shared" si="54"/>
        <v>1</v>
      </c>
      <c r="T117" s="52" t="str">
        <f t="shared" si="55"/>
        <v>NorthBound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15:41:51-0600',mode:absolute,to:'2016-09-29 18:23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17" s="54" t="str">
        <f t="shared" si="57"/>
        <v>N</v>
      </c>
      <c r="X117" s="164">
        <f t="shared" si="62"/>
        <v>1</v>
      </c>
      <c r="Y117" s="69">
        <f t="shared" si="58"/>
        <v>4.53E-2</v>
      </c>
      <c r="Z117" s="69">
        <f t="shared" si="63"/>
        <v>23.333400000000001</v>
      </c>
      <c r="AA117" s="69">
        <f t="shared" si="59"/>
        <v>23.2881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 t="shared" si="60"/>
        <v>0205-29</v>
      </c>
      <c r="AE117" s="95" t="str">
        <f t="shared" si="43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17" s="92" t="str">
        <f t="shared" si="44"/>
        <v>"C:\Program Files (x86)\AstroGrep\AstroGrep.exe" /spath="%USERPROFILE%\AppData\Local\Temp\OnboardLogs" /stypes="app*4040*20160929*" /stext=" 23:.+((SYSTEM_STATE.+slice.+state.+changed )|(ment ac)|(system.+state.+changed )|(\[timeout)|(PRM\|1\|D)|(kpr)|(kdp)|(\|lc)|(penalty))" /e /r /s</v>
      </c>
      <c r="AG117" s="1" t="str">
        <f t="shared" si="61"/>
        <v>EC</v>
      </c>
      <c r="AH117" s="96" t="str">
        <f t="shared" si="46"/>
        <v>"%USERPROFILE%\Documents\GitHub\eaglep3\Utilities\RefineRTDCRunTimes.py" --tripid 205-29 --locoid 4040 --swversion DE.1.0.7.0 --startMP 204:453 --initTime 2016-09-29T16:41:51 --startdatetime 2016-09-29T16:45:22 --delay 2 --endMP 204:233334 --enddatetime 2016-09-29T17:23:10 --enforcementcount 0 &gt;&gt;C:\Users\stu\Documents\GitHub\eaglep3-reporting\EC\2016-09-29-refined-times.txt</v>
      </c>
      <c r="AI11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{"issue":{"subject":"","project_id":79,"tracker_id":40,"status_id":1,"priority_id":2,"assigned_to_id":23,"start_date":"2016-09-29","description":"","custom_fields":[{"id":1,"name":"Subdivision","value":"EC"},{"id":4,"name":"Milepost","value":"23.3334"},{"id":17,"name":"Train ID","value":"205-29"},{"id":16,"name":"Locomotive ID","value":"4040"},{"id":130,"name":"Impact","value":""},{"id":150,"name":"Time of Event (Mountain Time)","value":"17:23:10"},{"id":151,"name":"Denver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s="23" customFormat="1" x14ac:dyDescent="0.25">
      <c r="A118" s="39" t="s">
        <v>534</v>
      </c>
      <c r="B118" s="7">
        <v>4039</v>
      </c>
      <c r="C118" s="24" t="s">
        <v>106</v>
      </c>
      <c r="D118" s="24" t="s">
        <v>605</v>
      </c>
      <c r="E118" s="15">
        <v>42642.731550925928</v>
      </c>
      <c r="F118" s="15">
        <v>42642.737025462964</v>
      </c>
      <c r="G118" s="7">
        <v>1</v>
      </c>
      <c r="H118" s="15" t="s">
        <v>231</v>
      </c>
      <c r="I118" s="15">
        <v>42642.767731481479</v>
      </c>
      <c r="J118" s="7">
        <v>0</v>
      </c>
      <c r="K118" s="117" t="str">
        <f t="shared" si="52"/>
        <v>4039/4040</v>
      </c>
      <c r="L118" s="24" t="str">
        <f>VLOOKUP(A118,'Trips&amp;Operators'!$C$1:$E$10000,3,FALSE)</f>
        <v>MOSES</v>
      </c>
      <c r="M118" s="6">
        <f t="shared" si="53"/>
        <v>3.0706018515047617E-2</v>
      </c>
      <c r="N118" s="7">
        <f t="shared" si="51"/>
        <v>44.216666661668569</v>
      </c>
      <c r="O118" s="7"/>
      <c r="P118" s="7"/>
      <c r="Q118" s="25"/>
      <c r="R118" s="25"/>
      <c r="S118" s="37">
        <f t="shared" si="54"/>
        <v>1</v>
      </c>
      <c r="T118" s="52" t="str">
        <f t="shared" si="55"/>
        <v>Southbound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16:33:26-0600',mode:absolute,to:'2016-09-29 19:25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18" s="54" t="str">
        <f t="shared" si="57"/>
        <v>N</v>
      </c>
      <c r="X118" s="164">
        <f t="shared" si="62"/>
        <v>1</v>
      </c>
      <c r="Y118" s="69">
        <f t="shared" si="58"/>
        <v>23.299399999999999</v>
      </c>
      <c r="Z118" s="69">
        <f t="shared" si="63"/>
        <v>1.4500000000000001E-2</v>
      </c>
      <c r="AA118" s="69">
        <f t="shared" si="59"/>
        <v>23.284899999999997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 t="shared" si="60"/>
        <v>0206-29</v>
      </c>
      <c r="AE118" s="95" t="str">
        <f t="shared" si="43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118" s="92" t="str">
        <f t="shared" si="44"/>
        <v>"C:\Program Files (x86)\AstroGrep\AstroGrep.exe" /spath="%USERPROFILE%\AppData\Local\Temp\OnboardLogs" /stypes="app*4039*20160930*" /stext=" 00:.+((SYSTEM_STATE.+slice.+state.+changed )|(ment ac)|(system.+state.+changed )|(\[timeout)|(PRM\|1\|D)|(kpr)|(kdp)|(\|lc)|(penalty))" /e /r /s</v>
      </c>
      <c r="AG118" s="1" t="str">
        <f t="shared" si="61"/>
        <v>EC</v>
      </c>
      <c r="AH118" s="96" t="str">
        <f t="shared" si="46"/>
        <v>"%USERPROFILE%\Documents\GitHub\eaglep3\Utilities\RefineRTDCRunTimes.py" --tripid 206-29 --locoid 4039 --swversion DE.1.0.7.0 --startMP 204:232994 --initTime 2016-09-29T17:33:26 --startdatetime 2016-09-29T17:41:19 --delay 1 --endMP 204:145 --enddatetime 2016-09-29T18:25:32 --enforcementcount 0 &gt;&gt;C:\Users\stu\Documents\GitHub\eaglep3-reporting\EC\2016-09-29-refined-times.txt</v>
      </c>
      <c r="AI11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{"issue":{"subject":"","project_id":79,"tracker_id":40,"status_id":1,"priority_id":2,"assigned_to_id":23,"start_date":"2016-09-29","description":"","custom_fields":[{"id":1,"name":"Subdivision","value":"EC"},{"id":4,"name":"Milepost","value":"0.0145"},{"id":17,"name":"Train ID","value":"206-29"},{"id":16,"name":"Locomotive ID","value":"4039"},{"id":130,"name":"Impact","value":""},{"id":150,"name":"Time of Event (Mountain Time)","value":"18:25:32"},{"id":151,"name":"Denver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523</v>
      </c>
      <c r="B119" s="7">
        <v>4020</v>
      </c>
      <c r="C119" s="24" t="s">
        <v>106</v>
      </c>
      <c r="D119" s="24" t="s">
        <v>212</v>
      </c>
      <c r="E119" s="15">
        <v>42642.706504629627</v>
      </c>
      <c r="F119" s="15">
        <v>42642.708495370367</v>
      </c>
      <c r="G119" s="7">
        <v>1</v>
      </c>
      <c r="H119" s="15" t="s">
        <v>260</v>
      </c>
      <c r="I119" s="15">
        <v>42642.733090277776</v>
      </c>
      <c r="J119" s="7">
        <v>0</v>
      </c>
      <c r="K119" s="117" t="str">
        <f t="shared" si="52"/>
        <v>4019/4020</v>
      </c>
      <c r="L119" s="24" t="str">
        <f>VLOOKUP(A119,'Trips&amp;Operators'!$C$1:$E$10000,3,FALSE)</f>
        <v>NEWELL</v>
      </c>
      <c r="M119" s="6">
        <f t="shared" si="53"/>
        <v>2.4594907408754807E-2</v>
      </c>
      <c r="N119" s="7">
        <f t="shared" si="51"/>
        <v>35.416666668606922</v>
      </c>
      <c r="O119" s="7"/>
      <c r="P119" s="7"/>
      <c r="Q119" s="25"/>
      <c r="R119" s="25"/>
      <c r="S119" s="37">
        <f t="shared" si="54"/>
        <v>1</v>
      </c>
      <c r="T119" s="52" t="str">
        <f t="shared" si="55"/>
        <v>NorthBound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15:57:22-0600',mode:absolute,to:'2016-09-29 18:35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119" s="54" t="str">
        <f t="shared" si="57"/>
        <v>N</v>
      </c>
      <c r="X119" s="164">
        <f t="shared" si="62"/>
        <v>1</v>
      </c>
      <c r="Y119" s="69">
        <f t="shared" si="58"/>
        <v>4.5100000000000001E-2</v>
      </c>
      <c r="Z119" s="69">
        <f t="shared" si="63"/>
        <v>23.330500000000001</v>
      </c>
      <c r="AA119" s="69">
        <f t="shared" si="59"/>
        <v>23.285399999999999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 t="shared" si="60"/>
        <v>0207-29</v>
      </c>
      <c r="AE119" s="95" t="str">
        <f t="shared" si="43"/>
        <v>aws s3 cp s3://rtdc.mdm.uploadarchive.raw/RTDC4020/ "%USERPROFILE%\AppData\Local\Temp\OnboardLogs"\RTDC4020\2016-09-29 --exclude "*" --recursive --include "*20160929*" &amp; "%USERPROFILE%\Documents\GitHub\mrs-test-scripts\Headless Mode &amp; Sideloading\WalkAndUnGZ.bat" "%USERPROFILE%\AppData\Local\Temp\OnboardLogs"\RTDC4020\2016-09-29 &amp; aws s3 cp s3://rtdc.mdm.uploadarchive.raw/RTDC4020/ "%USERPROFILE%\AppData\Local\Temp\OnboardLogs"\RTDC4020\2016-09-30 --exclude "*" --recursive --include "*20160930*" &amp; "%USERPROFILE%\Documents\GitHub\mrs-test-scripts\Headless Mode &amp; Sideloading\WalkAndUnGZ.bat" "%USERPROFILE%\AppData\Local\Temp\OnboardLogs"\RTDC4020\2016-09-30</v>
      </c>
      <c r="AF119" s="92" t="str">
        <f t="shared" si="44"/>
        <v>"C:\Program Files (x86)\AstroGrep\AstroGrep.exe" /spath="%USERPROFILE%\AppData\Local\Temp\OnboardLogs" /stypes="app*4020*20160929*" /stext=" 23:.+((SYSTEM_STATE.+slice.+state.+changed )|(ment ac)|(system.+state.+changed )|(\[timeout)|(PRM\|1\|D)|(kpr)|(kdp)|(\|lc)|(penalty))" /e /r /s</v>
      </c>
      <c r="AG119" s="1" t="str">
        <f t="shared" si="61"/>
        <v>EC</v>
      </c>
      <c r="AH119" s="96" t="str">
        <f t="shared" si="46"/>
        <v>"%USERPROFILE%\Documents\GitHub\eaglep3\Utilities\RefineRTDCRunTimes.py" --tripid 207-29 --locoid 4020 --swversion DE.1.0.7.0 --startMP 204:451 --initTime 2016-09-29T16:57:22 --startdatetime 2016-09-29T17:00:14 --delay 1 --endMP 204:233305 --enddatetime 2016-09-29T17:35:39 --enforcementcount 0 &gt;&gt;C:\Users\stu\Documents\GitHub\eaglep3-reporting\EC\2016-09-29-refined-times.txt</v>
      </c>
      <c r="AI119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{"issue":{"subject":"","project_id":79,"tracker_id":40,"status_id":1,"priority_id":2,"assigned_to_id":23,"start_date":"2016-09-29","description":"","custom_fields":[{"id":1,"name":"Subdivision","value":"EC"},{"id":4,"name":"Milepost","value":"23.3305"},{"id":17,"name":"Train ID","value":"207-29"},{"id":16,"name":"Locomotive ID","value":"4020"},{"id":130,"name":"Impact","value":""},{"id":150,"name":"Time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536</v>
      </c>
      <c r="B120" s="7">
        <v>4019</v>
      </c>
      <c r="C120" s="24" t="s">
        <v>106</v>
      </c>
      <c r="D120" s="24" t="s">
        <v>293</v>
      </c>
      <c r="E120" s="15">
        <v>42642.734849537039</v>
      </c>
      <c r="F120" s="15">
        <v>42642.747372685182</v>
      </c>
      <c r="G120" s="7">
        <v>1</v>
      </c>
      <c r="H120" s="15" t="s">
        <v>218</v>
      </c>
      <c r="I120" s="15">
        <v>42642.778148148151</v>
      </c>
      <c r="J120" s="7">
        <v>0</v>
      </c>
      <c r="K120" s="117" t="str">
        <f t="shared" si="52"/>
        <v>4019/4020</v>
      </c>
      <c r="L120" s="24" t="str">
        <f>VLOOKUP(A120,'Trips&amp;Operators'!$C$1:$E$10000,3,FALSE)</f>
        <v>NEWELL</v>
      </c>
      <c r="M120" s="6">
        <f t="shared" si="53"/>
        <v>3.0775462968449574E-2</v>
      </c>
      <c r="N120" s="7">
        <f t="shared" si="51"/>
        <v>44.316666674567387</v>
      </c>
      <c r="O120" s="7"/>
      <c r="P120" s="7"/>
      <c r="Q120" s="25"/>
      <c r="R120" s="25"/>
      <c r="S120" s="37">
        <f t="shared" si="54"/>
        <v>1</v>
      </c>
      <c r="T120" s="52" t="str">
        <f t="shared" si="55"/>
        <v>Southbound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16:38:11-0600',mode:absolute,to:'2016-09-29 19:40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W120" s="54" t="str">
        <f t="shared" si="57"/>
        <v>N</v>
      </c>
      <c r="X120" s="164">
        <f t="shared" si="62"/>
        <v>1</v>
      </c>
      <c r="Y120" s="69">
        <f t="shared" si="58"/>
        <v>23.2988</v>
      </c>
      <c r="Z120" s="69">
        <f t="shared" si="63"/>
        <v>1.38E-2</v>
      </c>
      <c r="AA120" s="69">
        <f t="shared" si="59"/>
        <v>23.285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 t="shared" si="60"/>
        <v>0208-29</v>
      </c>
      <c r="AE120" s="95" t="str">
        <f t="shared" si="43"/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AF120" s="92" t="str">
        <f t="shared" si="44"/>
        <v>"C:\Program Files (x86)\AstroGrep\AstroGrep.exe" /spath="%USERPROFILE%\AppData\Local\Temp\OnboardLogs" /stypes="app*4019*20160930*" /stext=" 00:.+((SYSTEM_STATE.+slice.+state.+changed )|(ment ac)|(system.+state.+changed )|(\[timeout)|(PRM\|1\|D)|(kpr)|(kdp)|(\|lc)|(penalty))" /e /r /s</v>
      </c>
      <c r="AG120" s="1" t="str">
        <f t="shared" si="61"/>
        <v>EC</v>
      </c>
      <c r="AH120" s="96" t="str">
        <f t="shared" si="46"/>
        <v>"%USERPROFILE%\Documents\GitHub\eaglep3\Utilities\RefineRTDCRunTimes.py" --tripid 208-29 --locoid 4019 --swversion DE.1.0.7.0 --startMP 204:232988 --initTime 2016-09-29T17:38:11 --startdatetime 2016-09-29T17:56:13 --delay 1 --endMP 204:138 --enddatetime 2016-09-29T18:40:32 --enforcementcount 0 &gt;&gt;C:\Users\stu\Documents\GitHub\eaglep3-reporting\EC\2016-09-29-refined-times.txt</v>
      </c>
      <c r="AI12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{"issue":{"subject":"","project_id":79,"tracker_id":40,"status_id":1,"priority_id":2,"assigned_to_id":23,"start_date":"2016-09-29","description":"","custom_fields":[{"id":1,"name":"Subdivision","value":"EC"},{"id":4,"name":"Milepost","value":"0.0138"},{"id":17,"name":"Train ID","value":"208-29"},{"id":16,"name":"Locomotive ID","value":"4019"},{"id":130,"name":"Impact","value":""},{"id":150,"name":"Time of Event (Mountain Time)","value":"18:40:32"},{"id":151,"name":"Denver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x14ac:dyDescent="0.25">
      <c r="A121" s="39" t="s">
        <v>527</v>
      </c>
      <c r="B121" s="7">
        <v>4042</v>
      </c>
      <c r="C121" s="24" t="s">
        <v>106</v>
      </c>
      <c r="D121" s="24" t="s">
        <v>634</v>
      </c>
      <c r="E121" s="15">
        <v>42642.718275462961</v>
      </c>
      <c r="F121" s="15">
        <v>42642.72011574074</v>
      </c>
      <c r="G121" s="7">
        <v>1</v>
      </c>
      <c r="H121" s="15" t="s">
        <v>240</v>
      </c>
      <c r="I121" s="15">
        <v>42642.746550925927</v>
      </c>
      <c r="J121" s="7">
        <v>0</v>
      </c>
      <c r="K121" s="117" t="str">
        <f t="shared" si="52"/>
        <v>4041/4042</v>
      </c>
      <c r="L121" s="24" t="str">
        <f>VLOOKUP(A121,'Trips&amp;Operators'!$C$1:$E$10000,3,FALSE)</f>
        <v>LEVERE</v>
      </c>
      <c r="M121" s="6">
        <f t="shared" si="53"/>
        <v>2.6435185187438037E-2</v>
      </c>
      <c r="N121" s="7">
        <f t="shared" si="51"/>
        <v>38.066666669910774</v>
      </c>
      <c r="O121" s="7"/>
      <c r="P121" s="7"/>
      <c r="Q121" s="25"/>
      <c r="R121" s="25"/>
      <c r="S121" s="37">
        <f t="shared" si="54"/>
        <v>1</v>
      </c>
      <c r="T121" s="52" t="str">
        <f t="shared" si="55"/>
        <v>NorthBound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16:14:19-0600',mode:absolute,to:'2016-09-29 18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21" s="54" t="str">
        <f t="shared" si="57"/>
        <v>N</v>
      </c>
      <c r="X121" s="164">
        <f t="shared" si="62"/>
        <v>1</v>
      </c>
      <c r="Y121" s="69">
        <f t="shared" si="58"/>
        <v>4.7800000000000002E-2</v>
      </c>
      <c r="Z121" s="69">
        <f t="shared" si="63"/>
        <v>23.33</v>
      </c>
      <c r="AA121" s="69">
        <f t="shared" si="59"/>
        <v>23.2822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 t="shared" si="60"/>
        <v>0209-29</v>
      </c>
      <c r="AE121" s="95" t="str">
        <f t="shared" si="43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21" s="92" t="str">
        <f t="shared" si="44"/>
        <v>"C:\Program Files (x86)\AstroGrep\AstroGrep.exe" /spath="%USERPROFILE%\AppData\Local\Temp\OnboardLogs" /stypes="app*4042*20160929*" /stext=" 23:.+((SYSTEM_STATE.+slice.+state.+changed )|(ment ac)|(system.+state.+changed )|(\[timeout)|(PRM\|1\|D)|(kpr)|(kdp)|(\|lc)|(penalty))" /e /r /s</v>
      </c>
      <c r="AG121" s="1" t="str">
        <f t="shared" si="61"/>
        <v>EC</v>
      </c>
      <c r="AH121" s="96" t="str">
        <f t="shared" si="46"/>
        <v>"%USERPROFILE%\Documents\GitHub\eaglep3\Utilities\RefineRTDCRunTimes.py" --tripid 209-29 --locoid 4042 --swversion DE.1.0.7.0 --startMP 204:478 --initTime 2016-09-29T17:14:19 --startdatetime 2016-09-29T17:16:58 --delay 1 --endMP 204:233300 --enddatetime 2016-09-29T17:55:02 --enforcementcount 0 &gt;&gt;C:\Users\stu\Documents\GitHub\eaglep3-reporting\EC\2016-09-29-refined-times.txt</v>
      </c>
      <c r="AI12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{"issue":{"subject":"","project_id":79,"tracker_id":40,"status_id":1,"priority_id":2,"assigned_to_id":23,"start_date":"2016-09-29","description":"","custom_fields":[{"id":1,"name":"Subdivision","value":"EC"},{"id":4,"name":"Milepost","value":"23.33"},{"id":17,"name":"Train ID","value":"209-29"},{"id":16,"name":"Locomotive ID","value":"4042"},{"id":130,"name":"Impact","value":""},{"id":150,"name":"Time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543</v>
      </c>
      <c r="B122" s="7">
        <v>4041</v>
      </c>
      <c r="C122" s="24" t="s">
        <v>106</v>
      </c>
      <c r="D122" s="24" t="s">
        <v>272</v>
      </c>
      <c r="E122" s="15">
        <v>42642.752569444441</v>
      </c>
      <c r="F122" s="15">
        <v>42642.757928240739</v>
      </c>
      <c r="G122" s="7">
        <v>1</v>
      </c>
      <c r="H122" s="15" t="s">
        <v>635</v>
      </c>
      <c r="I122" s="15">
        <v>42642.78564814815</v>
      </c>
      <c r="J122" s="7">
        <v>0</v>
      </c>
      <c r="K122" s="117" t="str">
        <f t="shared" si="52"/>
        <v>4041/4042</v>
      </c>
      <c r="L122" s="24" t="str">
        <f>VLOOKUP(A122,'Trips&amp;Operators'!$C$1:$E$10000,3,FALSE)</f>
        <v>LEVERE</v>
      </c>
      <c r="M122" s="6">
        <f t="shared" si="53"/>
        <v>2.771990741166519E-2</v>
      </c>
      <c r="N122" s="7">
        <f t="shared" si="51"/>
        <v>39.916666672797874</v>
      </c>
      <c r="O122" s="7"/>
      <c r="P122" s="7"/>
      <c r="Q122" s="25"/>
      <c r="R122" s="25"/>
      <c r="S122" s="37">
        <f t="shared" si="54"/>
        <v>1</v>
      </c>
      <c r="T122" s="52" t="str">
        <f t="shared" si="55"/>
        <v>Southbound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17:03:42-0600',mode:absolute,to:'2016-09-29 19:51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22" s="54" t="str">
        <f t="shared" si="57"/>
        <v>N</v>
      </c>
      <c r="X122" s="164">
        <f t="shared" si="62"/>
        <v>1</v>
      </c>
      <c r="Y122" s="69">
        <f t="shared" si="58"/>
        <v>23.299299999999999</v>
      </c>
      <c r="Z122" s="69">
        <f t="shared" si="63"/>
        <v>1.7399999999999999E-2</v>
      </c>
      <c r="AA122" s="69">
        <f t="shared" si="59"/>
        <v>23.2819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 t="shared" si="60"/>
        <v>0210-29</v>
      </c>
      <c r="AE122" s="95" t="str">
        <f t="shared" si="43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122" s="92" t="str">
        <f t="shared" si="44"/>
        <v>"C:\Program Files (x86)\AstroGrep\AstroGrep.exe" /spath="%USERPROFILE%\AppData\Local\Temp\OnboardLogs" /stypes="app*4041*20160930*" /stext=" 00:.+((SYSTEM_STATE.+slice.+state.+changed )|(ment ac)|(system.+state.+changed )|(\[timeout)|(PRM\|1\|D)|(kpr)|(kdp)|(\|lc)|(penalty))" /e /r /s</v>
      </c>
      <c r="AG122" s="1" t="str">
        <f t="shared" si="61"/>
        <v>EC</v>
      </c>
      <c r="AH122" s="96" t="str">
        <f t="shared" si="46"/>
        <v>"%USERPROFILE%\Documents\GitHub\eaglep3\Utilities\RefineRTDCRunTimes.py" --tripid 210-29 --locoid 4041 --swversion DE.1.0.7.0 --startMP 204:232993 --initTime 2016-09-29T18:03:42 --startdatetime 2016-09-29T18:11:25 --delay 1 --endMP 204:174 --enddatetime 2016-09-29T18:51:20 --enforcementcount 0 &gt;&gt;C:\Users\stu\Documents\GitHub\eaglep3-reporting\EC\2016-09-29-refined-times.txt</v>
      </c>
      <c r="AI12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{"issue":{"subject":"","project_id":79,"tracker_id":40,"status_id":1,"priority_id":2,"assigned_to_id":23,"start_date":"2016-09-29","description":"","custom_fields":[{"id":1,"name":"Subdivision","value":"EC"},{"id":4,"name":"Milepost","value":"0.0174"},{"id":17,"name":"Train ID","value":"210-29"},{"id":16,"name":"Locomotive ID","value":"4041"},{"id":130,"name":"Impact","value":""},{"id":150,"name":"Time of Event (Mountain Time)","value":"18:51:20"},{"id":151,"name":"Denver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x14ac:dyDescent="0.25">
      <c r="A123" s="39" t="s">
        <v>531</v>
      </c>
      <c r="B123" s="7">
        <v>4002</v>
      </c>
      <c r="C123" s="24" t="s">
        <v>106</v>
      </c>
      <c r="D123" s="24" t="s">
        <v>634</v>
      </c>
      <c r="E123" s="15">
        <v>42642.729456018518</v>
      </c>
      <c r="F123" s="15">
        <v>42642.731354166666</v>
      </c>
      <c r="G123" s="7">
        <v>1</v>
      </c>
      <c r="H123" s="15" t="s">
        <v>207</v>
      </c>
      <c r="I123" s="15">
        <v>42642.75990740741</v>
      </c>
      <c r="J123" s="7">
        <v>0</v>
      </c>
      <c r="K123" s="117" t="str">
        <f t="shared" si="52"/>
        <v>4001/4002</v>
      </c>
      <c r="L123" s="24" t="str">
        <f>VLOOKUP(A123,'Trips&amp;Operators'!$C$1:$E$10000,3,FALSE)</f>
        <v>YOUNG</v>
      </c>
      <c r="M123" s="6">
        <f t="shared" si="53"/>
        <v>2.8553240743349306E-2</v>
      </c>
      <c r="N123" s="7">
        <f t="shared" si="51"/>
        <v>41.116666670423001</v>
      </c>
      <c r="O123" s="7"/>
      <c r="P123" s="7"/>
      <c r="Q123" s="25"/>
      <c r="R123" s="25"/>
      <c r="S123" s="37">
        <f t="shared" si="54"/>
        <v>1</v>
      </c>
      <c r="T123" s="52" t="str">
        <f t="shared" si="55"/>
        <v>NorthBound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16:30:25-0600',mode:absolute,to:'2016-09-29 19:14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W123" s="54" t="str">
        <f t="shared" si="57"/>
        <v>N</v>
      </c>
      <c r="X123" s="164">
        <f t="shared" si="62"/>
        <v>1</v>
      </c>
      <c r="Y123" s="69">
        <f t="shared" si="58"/>
        <v>4.7800000000000002E-2</v>
      </c>
      <c r="Z123" s="69">
        <f t="shared" si="63"/>
        <v>23.3291</v>
      </c>
      <c r="AA123" s="69">
        <f t="shared" si="59"/>
        <v>23.281300000000002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 t="shared" si="60"/>
        <v>0211-29</v>
      </c>
      <c r="AE123" s="95" t="str">
        <f t="shared" si="43"/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AF123" s="92" t="str">
        <f t="shared" si="44"/>
        <v>"C:\Program Files (x86)\AstroGrep\AstroGrep.exe" /spath="%USERPROFILE%\AppData\Local\Temp\OnboardLogs" /stypes="app*4002*20160930*" /stext=" 00:.+((SYSTEM_STATE.+slice.+state.+changed )|(ment ac)|(system.+state.+changed )|(\[timeout)|(PRM\|1\|D)|(kpr)|(kdp)|(\|lc)|(penalty))" /e /r /s</v>
      </c>
      <c r="AG123" s="1" t="str">
        <f t="shared" si="61"/>
        <v>EC</v>
      </c>
      <c r="AH123" s="96" t="str">
        <f t="shared" si="46"/>
        <v>"%USERPROFILE%\Documents\GitHub\eaglep3\Utilities\RefineRTDCRunTimes.py" --tripid 211-29 --locoid 4002 --swversion DE.1.0.7.0 --startMP 204:478 --initTime 2016-09-29T17:30:25 --startdatetime 2016-09-29T17:33:09 --delay 1 --endMP 204:233291 --enddatetime 2016-09-29T18:14:16 --enforcementcount 0 &gt;&gt;C:\Users\stu\Documents\GitHub\eaglep3-reporting\EC\2016-09-29-refined-times.txt</v>
      </c>
      <c r="AI12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{"issue":{"subject":"","project_id":79,"tracker_id":40,"status_id":1,"priority_id":2,"assigned_to_id":23,"start_date":"2016-09-29","description":"","custom_fields":[{"id":1,"name":"Subdivision","value":"EC"},{"id":4,"name":"Milepost","value":"23.3291"},{"id":17,"name":"Train ID","value":"211-29"},{"id":16,"name":"Locomotive ID","value":"4002"},{"id":130,"name":"Impact","value":""},{"id":150,"name":"Time of Event (Mountain Time)","value":"18:14:16"},{"id":151,"name":"Denver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546</v>
      </c>
      <c r="B124" s="7">
        <v>4001</v>
      </c>
      <c r="C124" s="24" t="s">
        <v>106</v>
      </c>
      <c r="D124" s="24" t="s">
        <v>326</v>
      </c>
      <c r="E124" s="15">
        <v>42642.763310185182</v>
      </c>
      <c r="F124" s="15">
        <v>42642.768252314818</v>
      </c>
      <c r="G124" s="7">
        <v>2</v>
      </c>
      <c r="H124" s="15" t="s">
        <v>636</v>
      </c>
      <c r="I124" s="15">
        <v>42642.796886574077</v>
      </c>
      <c r="J124" s="7">
        <v>0</v>
      </c>
      <c r="K124" s="117" t="str">
        <f t="shared" si="52"/>
        <v>4001/4002</v>
      </c>
      <c r="L124" s="24" t="str">
        <f>VLOOKUP(A124,'Trips&amp;Operators'!$C$1:$E$10000,3,FALSE)</f>
        <v>YOUNG</v>
      </c>
      <c r="M124" s="6">
        <f t="shared" si="53"/>
        <v>2.8634259258979E-2</v>
      </c>
      <c r="N124" s="7">
        <f t="shared" si="51"/>
        <v>41.23333333292976</v>
      </c>
      <c r="O124" s="7"/>
      <c r="P124" s="7"/>
      <c r="Q124" s="25"/>
      <c r="R124" s="25"/>
      <c r="S124" s="37">
        <f t="shared" si="54"/>
        <v>1</v>
      </c>
      <c r="T124" s="52" t="str">
        <f t="shared" si="55"/>
        <v>Southbound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17:19:10-0600',mode:absolute,to:'2016-09-29 20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W124" s="54" t="str">
        <f t="shared" si="57"/>
        <v>N</v>
      </c>
      <c r="X124" s="164">
        <f t="shared" si="62"/>
        <v>1</v>
      </c>
      <c r="Y124" s="69">
        <f t="shared" si="58"/>
        <v>23.298400000000001</v>
      </c>
      <c r="Z124" s="69">
        <f t="shared" si="63"/>
        <v>1.7999999999999999E-2</v>
      </c>
      <c r="AA124" s="69">
        <f t="shared" si="59"/>
        <v>23.2804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 t="shared" si="60"/>
        <v>0212-29</v>
      </c>
      <c r="AE124" s="95" t="str">
        <f t="shared" si="43"/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AF124" s="92" t="str">
        <f t="shared" si="44"/>
        <v>"C:\Program Files (x86)\AstroGrep\AstroGrep.exe" /spath="%USERPROFILE%\AppData\Local\Temp\OnboardLogs" /stypes="app*4001*20160930*" /stext=" 01:.+((SYSTEM_STATE.+slice.+state.+changed )|(ment ac)|(system.+state.+changed )|(\[timeout)|(PRM\|1\|D)|(kpr)|(kdp)|(\|lc)|(penalty))" /e /r /s</v>
      </c>
      <c r="AG124" s="1" t="str">
        <f t="shared" si="61"/>
        <v>EC</v>
      </c>
      <c r="AH124" s="96" t="str">
        <f t="shared" si="46"/>
        <v>"%USERPROFILE%\Documents\GitHub\eaglep3\Utilities\RefineRTDCRunTimes.py" --tripid 212-29 --locoid 4001 --swversion DE.1.0.7.0 --startMP 204:232984 --initTime 2016-09-29T18:19:10 --startdatetime 2016-09-29T18:26:17 --delay 2 --endMP 204:180 --enddatetime 2016-09-29T19:07:31 --enforcementcount 0 &gt;&gt;C:\Users\stu\Documents\GitHub\eaglep3-reporting\EC\2016-09-29-refined-times.txt</v>
      </c>
      <c r="AI12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{"issue":{"subject":"","project_id":79,"tracker_id":40,"status_id":1,"priority_id":2,"assigned_to_id":23,"start_date":"2016-09-29","description":"","custom_fields":[{"id":1,"name":"Subdivision","value":"EC"},{"id":4,"name":"Milepost","value":"0.018"},{"id":17,"name":"Train ID","value":"212-29"},{"id":16,"name":"Locomotive ID","value":"4001"},{"id":130,"name":"Impact","value":""},{"id":150,"name":"Time of Event (Mountain Time)","value":"19:07:31"},{"id":151,"name":"Denver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537</v>
      </c>
      <c r="B125" s="7">
        <v>4029</v>
      </c>
      <c r="C125" s="24" t="s">
        <v>106</v>
      </c>
      <c r="D125" s="24" t="s">
        <v>637</v>
      </c>
      <c r="E125" s="15">
        <v>42642.736215277779</v>
      </c>
      <c r="F125" s="15">
        <v>42642.739884259259</v>
      </c>
      <c r="G125" s="7">
        <v>1</v>
      </c>
      <c r="H125" s="15" t="s">
        <v>638</v>
      </c>
      <c r="I125" s="15">
        <v>42642.765856481485</v>
      </c>
      <c r="J125" s="7">
        <v>0</v>
      </c>
      <c r="K125" s="117" t="str">
        <f t="shared" si="52"/>
        <v>4029/4030</v>
      </c>
      <c r="L125" s="24" t="str">
        <f>VLOOKUP(A125,'Trips&amp;Operators'!$C$1:$E$10000,3,FALSE)</f>
        <v>COOLAHAN</v>
      </c>
      <c r="M125" s="6">
        <f t="shared" si="53"/>
        <v>2.5972222225391306E-2</v>
      </c>
      <c r="N125" s="7">
        <f t="shared" si="51"/>
        <v>37.400000004563481</v>
      </c>
      <c r="O125" s="7"/>
      <c r="P125" s="7"/>
      <c r="Q125" s="25"/>
      <c r="R125" s="25"/>
      <c r="S125" s="37">
        <f t="shared" si="54"/>
        <v>1</v>
      </c>
      <c r="T125" s="52" t="str">
        <f t="shared" si="55"/>
        <v>NorthBound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16:40:09-0600',mode:absolute,to:'2016-09-29 19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25" s="54" t="str">
        <f t="shared" si="57"/>
        <v>N</v>
      </c>
      <c r="X125" s="164">
        <f t="shared" si="62"/>
        <v>1</v>
      </c>
      <c r="Y125" s="69">
        <f t="shared" si="58"/>
        <v>3.9300000000000002E-2</v>
      </c>
      <c r="Z125" s="69">
        <f t="shared" si="63"/>
        <v>23.333100000000002</v>
      </c>
      <c r="AA125" s="69">
        <f t="shared" si="59"/>
        <v>23.293800000000001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 t="shared" si="60"/>
        <v>0213-29</v>
      </c>
      <c r="AE125" s="95" t="str">
        <f t="shared" si="43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25" s="92" t="str">
        <f t="shared" si="44"/>
        <v>"C:\Program Files (x86)\AstroGrep\AstroGrep.exe" /spath="%USERPROFILE%\AppData\Local\Temp\OnboardLogs" /stypes="app*4029*20160930*" /stext=" 00:.+((SYSTEM_STATE.+slice.+state.+changed )|(ment ac)|(system.+state.+changed )|(\[timeout)|(PRM\|1\|D)|(kpr)|(kdp)|(\|lc)|(penalty))" /e /r /s</v>
      </c>
      <c r="AG125" s="1" t="str">
        <f t="shared" si="61"/>
        <v>EC</v>
      </c>
      <c r="AH125" s="96" t="str">
        <f t="shared" si="46"/>
        <v>"%USERPROFILE%\Documents\GitHub\eaglep3\Utilities\RefineRTDCRunTimes.py" --tripid 213-29 --locoid 4029 --swversion DE.1.0.7.0 --startMP 204:393 --initTime 2016-09-29T17:40:09 --startdatetime 2016-09-29T17:45:26 --delay 1 --endMP 204:233331 --enddatetime 2016-09-29T18:22:50 --enforcementcount 0 &gt;&gt;C:\Users\stu\Documents\GitHub\eaglep3-reporting\EC\2016-09-29-refined-times.txt</v>
      </c>
      <c r="AI12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{"issue":{"subject":"","project_id":79,"tracker_id":40,"status_id":1,"priority_id":2,"assigned_to_id":23,"start_date":"2016-09-29","description":"","custom_fields":[{"id":1,"name":"Subdivision","value":"EC"},{"id":4,"name":"Milepost","value":"23.3331"},{"id":17,"name":"Train ID","value":"213-29"},{"id":16,"name":"Locomotive ID","value":"4029"},{"id":130,"name":"Impact","value":""},{"id":150,"name":"Time of Event (Mountain Time)","value":"18:22:50"},{"id":151,"name":"Denver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548</v>
      </c>
      <c r="B126" s="7">
        <v>4030</v>
      </c>
      <c r="C126" s="24" t="s">
        <v>106</v>
      </c>
      <c r="D126" s="24" t="s">
        <v>232</v>
      </c>
      <c r="E126" s="15">
        <v>42642.774212962962</v>
      </c>
      <c r="F126" s="15">
        <v>42642.778692129628</v>
      </c>
      <c r="G126" s="7">
        <v>6</v>
      </c>
      <c r="H126" s="15" t="s">
        <v>639</v>
      </c>
      <c r="I126" s="15">
        <v>42642.807187500002</v>
      </c>
      <c r="J126" s="7">
        <v>0</v>
      </c>
      <c r="K126" s="117" t="str">
        <f t="shared" si="52"/>
        <v>4029/4030</v>
      </c>
      <c r="L126" s="24" t="str">
        <f>VLOOKUP(A126,'Trips&amp;Operators'!$C$1:$E$10000,3,FALSE)</f>
        <v>COOLAHAN</v>
      </c>
      <c r="M126" s="6">
        <f t="shared" si="53"/>
        <v>2.849537037400296E-2</v>
      </c>
      <c r="N126" s="7">
        <f t="shared" si="51"/>
        <v>41.033333338564262</v>
      </c>
      <c r="O126" s="7"/>
      <c r="P126" s="7"/>
      <c r="Q126" s="25"/>
      <c r="R126" s="25"/>
      <c r="S126" s="37">
        <f t="shared" si="54"/>
        <v>1</v>
      </c>
      <c r="T126" s="52" t="str">
        <f t="shared" si="55"/>
        <v>Southbound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17:34:52-0600',mode:absolute,to:'2016-09-29 20:22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26" s="54" t="str">
        <f t="shared" si="57"/>
        <v>N</v>
      </c>
      <c r="X126" s="164">
        <f t="shared" si="62"/>
        <v>1</v>
      </c>
      <c r="Y126" s="69">
        <f t="shared" si="58"/>
        <v>23.3</v>
      </c>
      <c r="Z126" s="69">
        <f t="shared" si="63"/>
        <v>1.9099999999999999E-2</v>
      </c>
      <c r="AA126" s="69">
        <f t="shared" si="59"/>
        <v>23.280899999999999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 t="shared" si="60"/>
        <v>0214-29</v>
      </c>
      <c r="AE126" s="95" t="str">
        <f t="shared" si="43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126" s="92" t="str">
        <f t="shared" si="44"/>
        <v>"C:\Program Files (x86)\AstroGrep\AstroGrep.exe" /spath="%USERPROFILE%\AppData\Local\Temp\OnboardLogs" /stypes="app*4030*20160930*" /stext=" 01:.+((SYSTEM_STATE.+slice.+state.+changed )|(ment ac)|(system.+state.+changed )|(\[timeout)|(PRM\|1\|D)|(kpr)|(kdp)|(\|lc)|(penalty))" /e /r /s</v>
      </c>
      <c r="AG126" s="1" t="str">
        <f t="shared" si="61"/>
        <v>EC</v>
      </c>
      <c r="AH126" s="96" t="str">
        <f t="shared" si="46"/>
        <v>"%USERPROFILE%\Documents\GitHub\eaglep3\Utilities\RefineRTDCRunTimes.py" --tripid 214-29 --locoid 4030 --swversion DE.1.0.7.0 --startMP 204:233000 --initTime 2016-09-29T18:34:52 --startdatetime 2016-09-29T18:41:19 --delay 6 --endMP 204:191 --enddatetime 2016-09-29T19:22:21 --enforcementcount 0 &gt;&gt;C:\Users\stu\Documents\GitHub\eaglep3-reporting\EC\2016-09-29-refined-times.txt</v>
      </c>
      <c r="AI126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{"issue":{"subject":"","project_id":79,"tracker_id":40,"status_id":1,"priority_id":2,"assigned_to_id":23,"start_date":"2016-09-29","description":"","custom_fields":[{"id":1,"name":"Subdivision","value":"EC"},{"id":4,"name":"Milepost","value":"0.0191"},{"id":17,"name":"Train ID","value":"214-29"},{"id":16,"name":"Locomotive ID","value":"4030"},{"id":130,"name":"Impact","value":""},{"id":150,"name":"Time of Event (Mountain Time)","value":"19:22:21"},{"id":151,"name":"Denver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x14ac:dyDescent="0.25">
      <c r="A127" s="39" t="s">
        <v>539</v>
      </c>
      <c r="B127" s="7">
        <v>4025</v>
      </c>
      <c r="C127" s="24" t="s">
        <v>106</v>
      </c>
      <c r="D127" s="24" t="s">
        <v>209</v>
      </c>
      <c r="E127" s="15">
        <v>42642.746886574074</v>
      </c>
      <c r="F127" s="15">
        <v>42642.750567129631</v>
      </c>
      <c r="G127" s="7">
        <v>1</v>
      </c>
      <c r="H127" s="15" t="s">
        <v>337</v>
      </c>
      <c r="I127" s="15">
        <v>42642.77615740741</v>
      </c>
      <c r="J127" s="7">
        <v>0</v>
      </c>
      <c r="K127" s="117" t="str">
        <f t="shared" si="52"/>
        <v>4025/4026</v>
      </c>
      <c r="L127" s="24" t="str">
        <f>VLOOKUP(A127,'Trips&amp;Operators'!$C$1:$E$10000,3,FALSE)</f>
        <v>STORY</v>
      </c>
      <c r="M127" s="6">
        <f t="shared" si="53"/>
        <v>2.5590277778974269E-2</v>
      </c>
      <c r="N127" s="7">
        <f t="shared" si="51"/>
        <v>36.850000001722947</v>
      </c>
      <c r="O127" s="7"/>
      <c r="P127" s="7"/>
      <c r="Q127" s="25"/>
      <c r="R127" s="25"/>
      <c r="S127" s="37">
        <f t="shared" si="54"/>
        <v>1</v>
      </c>
      <c r="T127" s="52" t="str">
        <f t="shared" si="55"/>
        <v>NorthBound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16:55:31-0600',mode:absolute,to:'2016-09-29 19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127" s="54" t="str">
        <f t="shared" si="57"/>
        <v>N</v>
      </c>
      <c r="X127" s="164">
        <f t="shared" si="62"/>
        <v>1</v>
      </c>
      <c r="Y127" s="69">
        <f t="shared" si="58"/>
        <v>4.5699999999999998E-2</v>
      </c>
      <c r="Z127" s="69">
        <f t="shared" si="63"/>
        <v>23.332799999999999</v>
      </c>
      <c r="AA127" s="69">
        <f t="shared" si="59"/>
        <v>23.287099999999999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 t="shared" si="60"/>
        <v>0215-29</v>
      </c>
      <c r="AE127" s="95" t="str">
        <f t="shared" si="43"/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AF127" s="92" t="str">
        <f t="shared" si="44"/>
        <v>"C:\Program Files (x86)\AstroGrep\AstroGrep.exe" /spath="%USERPROFILE%\AppData\Local\Temp\OnboardLogs" /stypes="app*4025*20160930*" /stext=" 00:.+((SYSTEM_STATE.+slice.+state.+changed )|(ment ac)|(system.+state.+changed )|(\[timeout)|(PRM\|1\|D)|(kpr)|(kdp)|(\|lc)|(penalty))" /e /r /s</v>
      </c>
      <c r="AG127" s="1" t="str">
        <f t="shared" si="61"/>
        <v>EC</v>
      </c>
      <c r="AH127" s="96" t="str">
        <f t="shared" si="46"/>
        <v>"%USERPROFILE%\Documents\GitHub\eaglep3\Utilities\RefineRTDCRunTimes.py" --tripid 215-29 --locoid 4025 --swversion DE.1.0.7.0 --startMP 204:457 --initTime 2016-09-29T17:55:31 --startdatetime 2016-09-29T18:00:49 --delay 1 --endMP 204:233328 --enddatetime 2016-09-29T18:37:40 --enforcementcount 0 &gt;&gt;C:\Users\stu\Documents\GitHub\eaglep3-reporting\EC\2016-09-29-refined-times.txt</v>
      </c>
      <c r="AI12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{"issue":{"subject":"","project_id":79,"tracker_id":40,"status_id":1,"priority_id":2,"assigned_to_id":23,"start_date":"2016-09-29","description":"","custom_fields":[{"id":1,"name":"Subdivision","value":"EC"},{"id":4,"name":"Milepost","value":"23.3328"},{"id":17,"name":"Train ID","value":"215-29"},{"id":16,"name":"Locomotive ID","value":"4025"},{"id":130,"name":"Impact","value":""},{"id":150,"name":"Time of Event (Mountain Time)","value":"18:37:40"},{"id":151,"name":"Denver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552</v>
      </c>
      <c r="B128" s="7">
        <v>4026</v>
      </c>
      <c r="C128" s="24" t="s">
        <v>106</v>
      </c>
      <c r="D128" s="24" t="s">
        <v>232</v>
      </c>
      <c r="E128" s="15">
        <v>42642.784236111111</v>
      </c>
      <c r="F128" s="15">
        <v>42642.789212962962</v>
      </c>
      <c r="G128" s="7">
        <v>1</v>
      </c>
      <c r="H128" s="15" t="s">
        <v>199</v>
      </c>
      <c r="I128" s="15">
        <v>42642.820393518516</v>
      </c>
      <c r="J128" s="7">
        <v>0</v>
      </c>
      <c r="K128" s="117" t="str">
        <f t="shared" si="52"/>
        <v>4025/4026</v>
      </c>
      <c r="L128" s="24" t="str">
        <f>VLOOKUP(A128,'Trips&amp;Operators'!$C$1:$E$10000,3,FALSE)</f>
        <v>STORY</v>
      </c>
      <c r="M128" s="6">
        <f t="shared" si="53"/>
        <v>3.1180555553874001E-2</v>
      </c>
      <c r="N128" s="7">
        <f t="shared" si="51"/>
        <v>44.899999997578561</v>
      </c>
      <c r="O128" s="7"/>
      <c r="P128" s="7"/>
      <c r="Q128" s="25"/>
      <c r="R128" s="25"/>
      <c r="S128" s="37">
        <f t="shared" si="54"/>
        <v>1</v>
      </c>
      <c r="T128" s="52" t="str">
        <f t="shared" si="55"/>
        <v>Southbound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17:49:18-0600',mode:absolute,to:'2016-09-29 20:41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W128" s="54" t="str">
        <f t="shared" si="57"/>
        <v>N</v>
      </c>
      <c r="X128" s="164">
        <f t="shared" si="62"/>
        <v>1</v>
      </c>
      <c r="Y128" s="69">
        <f t="shared" si="58"/>
        <v>23.3</v>
      </c>
      <c r="Z128" s="69">
        <f t="shared" si="63"/>
        <v>1.49E-2</v>
      </c>
      <c r="AA128" s="69">
        <f t="shared" si="59"/>
        <v>23.2851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 t="shared" si="60"/>
        <v>0216-29</v>
      </c>
      <c r="AE128" s="95" t="str">
        <f t="shared" si="43"/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AF128" s="92" t="str">
        <f t="shared" si="44"/>
        <v>"C:\Program Files (x86)\AstroGrep\AstroGrep.exe" /spath="%USERPROFILE%\AppData\Local\Temp\OnboardLogs" /stypes="app*4026*20160930*" /stext=" 01:.+((SYSTEM_STATE.+slice.+state.+changed )|(ment ac)|(system.+state.+changed )|(\[timeout)|(PRM\|1\|D)|(kpr)|(kdp)|(\|lc)|(penalty))" /e /r /s</v>
      </c>
      <c r="AG128" s="1" t="str">
        <f t="shared" si="61"/>
        <v>EC</v>
      </c>
      <c r="AH128" s="96" t="str">
        <f t="shared" si="46"/>
        <v>"%USERPROFILE%\Documents\GitHub\eaglep3\Utilities\RefineRTDCRunTimes.py" --tripid 216-29 --locoid 4026 --swversion DE.1.0.7.0 --startMP 204:233000 --initTime 2016-09-29T18:49:18 --startdatetime 2016-09-29T18:56:28 --delay 1 --endMP 204:149 --enddatetime 2016-09-29T19:41:22 --enforcementcount 0 &gt;&gt;C:\Users\stu\Documents\GitHub\eaglep3-reporting\EC\2016-09-29-refined-times.txt</v>
      </c>
      <c r="AI12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{"issue":{"subject":"","project_id":79,"tracker_id":40,"status_id":1,"priority_id":2,"assigned_to_id":23,"start_date":"2016-09-29","description":"","custom_fields":[{"id":1,"name":"Subdivision","value":"EC"},{"id":4,"name":"Milepost","value":"0.0149"},{"id":17,"name":"Train ID","value":"216-29"},{"id":16,"name":"Locomotive ID","value":"4026"},{"id":130,"name":"Impact","value":""},{"id":150,"name":"Time of Event (Mountain Time)","value":"19:41:22"},{"id":151,"name":"Denver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545</v>
      </c>
      <c r="B129" s="7">
        <v>4046</v>
      </c>
      <c r="C129" s="24" t="s">
        <v>106</v>
      </c>
      <c r="D129" s="24" t="s">
        <v>211</v>
      </c>
      <c r="E129" s="15">
        <v>42642.758750000001</v>
      </c>
      <c r="F129" s="15">
        <v>42642.760578703703</v>
      </c>
      <c r="G129" s="7">
        <v>1</v>
      </c>
      <c r="H129" s="15" t="s">
        <v>640</v>
      </c>
      <c r="I129" s="15">
        <v>42642.784930555557</v>
      </c>
      <c r="J129" s="7">
        <v>0</v>
      </c>
      <c r="K129" s="117" t="str">
        <f t="shared" si="52"/>
        <v>4045/4046</v>
      </c>
      <c r="L129" s="24" t="str">
        <f>VLOOKUP(A129,'Trips&amp;Operators'!$C$1:$E$10000,3,FALSE)</f>
        <v>LEVIN</v>
      </c>
      <c r="M129" s="6">
        <f t="shared" si="53"/>
        <v>2.4351851854589768E-2</v>
      </c>
      <c r="N129" s="7">
        <f t="shared" si="51"/>
        <v>35.066666670609266</v>
      </c>
      <c r="O129" s="7"/>
      <c r="P129" s="7"/>
      <c r="Q129" s="25"/>
      <c r="R129" s="25"/>
      <c r="S129" s="37">
        <f t="shared" si="54"/>
        <v>1</v>
      </c>
      <c r="T129" s="52" t="str">
        <f t="shared" si="55"/>
        <v>NorthBound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17:12:36-0600',mode:absolute,to:'2016-09-29 19:50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29" s="54" t="str">
        <f t="shared" si="57"/>
        <v>N</v>
      </c>
      <c r="X129" s="164">
        <f t="shared" si="62"/>
        <v>1</v>
      </c>
      <c r="Y129" s="69">
        <f t="shared" si="58"/>
        <v>4.6600000000000003E-2</v>
      </c>
      <c r="Z129" s="69">
        <f t="shared" si="63"/>
        <v>23.332899999999999</v>
      </c>
      <c r="AA129" s="69">
        <f t="shared" si="59"/>
        <v>23.286299999999997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 t="shared" si="60"/>
        <v>0217-29</v>
      </c>
      <c r="AE129" s="95" t="str">
        <f t="shared" si="43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29" s="92" t="str">
        <f t="shared" si="44"/>
        <v>"C:\Program Files (x86)\AstroGrep\AstroGrep.exe" /spath="%USERPROFILE%\AppData\Local\Temp\OnboardLogs" /stypes="app*4046*20160930*" /stext=" 00:.+((SYSTEM_STATE.+slice.+state.+changed )|(ment ac)|(system.+state.+changed )|(\[timeout)|(PRM\|1\|D)|(kpr)|(kdp)|(\|lc)|(penalty))" /e /r /s</v>
      </c>
      <c r="AG129" s="1" t="str">
        <f t="shared" si="61"/>
        <v>EC</v>
      </c>
      <c r="AH129" s="96" t="str">
        <f t="shared" si="46"/>
        <v>"%USERPROFILE%\Documents\GitHub\eaglep3\Utilities\RefineRTDCRunTimes.py" --tripid 217-29 --locoid 4046 --swversion DE.1.0.7.0 --startMP 204:466 --initTime 2016-09-29T18:12:36 --startdatetime 2016-09-29T18:15:14 --delay 1 --endMP 204:233329 --enddatetime 2016-09-29T18:50:18 --enforcementcount 0 &gt;&gt;C:\Users\stu\Documents\GitHub\eaglep3-reporting\EC\2016-09-29-refined-times.txt</v>
      </c>
      <c r="AI129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{"issue":{"subject":"","project_id":79,"tracker_id":40,"status_id":1,"priority_id":2,"assigned_to_id":23,"start_date":"2016-09-29","description":"","custom_fields":[{"id":1,"name":"Subdivision","value":"EC"},{"id":4,"name":"Milepost","value":"23.3329"},{"id":17,"name":"Train ID","value":"217-29"},{"id":16,"name":"Locomotive ID","value":"4046"},{"id":130,"name":"Impact","value":""},{"id":150,"name":"Time of Event (Mountain Time)","value":"18:50:18"},{"id":151,"name":"Denver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5"/>
      <c r="AK129" s="55"/>
      <c r="AL129" s="55"/>
    </row>
    <row r="130" spans="1:38" s="23" customFormat="1" x14ac:dyDescent="0.25">
      <c r="A130" s="39" t="s">
        <v>555</v>
      </c>
      <c r="B130" s="7">
        <v>4045</v>
      </c>
      <c r="C130" s="24" t="s">
        <v>106</v>
      </c>
      <c r="D130" s="24" t="s">
        <v>641</v>
      </c>
      <c r="E130" s="15">
        <v>42642.799085648148</v>
      </c>
      <c r="F130" s="15">
        <v>42642.800520833334</v>
      </c>
      <c r="G130" s="7">
        <v>1</v>
      </c>
      <c r="H130" s="15" t="s">
        <v>208</v>
      </c>
      <c r="I130" s="15">
        <v>42642.828101851854</v>
      </c>
      <c r="J130" s="7">
        <v>0</v>
      </c>
      <c r="K130" s="117" t="str">
        <f t="shared" si="52"/>
        <v>4045/4046</v>
      </c>
      <c r="L130" s="24" t="str">
        <f>VLOOKUP(A130,'Trips&amp;Operators'!$C$1:$E$10000,3,FALSE)</f>
        <v>LEVIN</v>
      </c>
      <c r="M130" s="6">
        <f t="shared" si="53"/>
        <v>2.7581018519413192E-2</v>
      </c>
      <c r="N130" s="7">
        <f t="shared" si="51"/>
        <v>39.716666667954996</v>
      </c>
      <c r="O130" s="7"/>
      <c r="P130" s="7"/>
      <c r="Q130" s="25"/>
      <c r="R130" s="25"/>
      <c r="S130" s="37">
        <f t="shared" si="54"/>
        <v>1</v>
      </c>
      <c r="T130" s="52" t="str">
        <f t="shared" si="55"/>
        <v>Southbound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18:10:41-0600',mode:absolute,to:'2016-09-29 20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0" s="54" t="str">
        <f t="shared" si="57"/>
        <v>N</v>
      </c>
      <c r="X130" s="164">
        <f t="shared" si="62"/>
        <v>1</v>
      </c>
      <c r="Y130" s="69">
        <f t="shared" si="58"/>
        <v>23.3017</v>
      </c>
      <c r="Z130" s="69">
        <f t="shared" si="63"/>
        <v>1.52E-2</v>
      </c>
      <c r="AA130" s="69">
        <f t="shared" si="59"/>
        <v>23.2865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 t="shared" si="60"/>
        <v>0218-29</v>
      </c>
      <c r="AE130" s="95" t="str">
        <f t="shared" si="43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130" s="92" t="str">
        <f t="shared" si="44"/>
        <v>"C:\Program Files (x86)\AstroGrep\AstroGrep.exe" /spath="%USERPROFILE%\AppData\Local\Temp\OnboardLogs" /stypes="app*4045*20160930*" /stext=" 01:.+((SYSTEM_STATE.+slice.+state.+changed )|(ment ac)|(system.+state.+changed )|(\[timeout)|(PRM\|1\|D)|(kpr)|(kdp)|(\|lc)|(penalty))" /e /r /s</v>
      </c>
      <c r="AG130" s="1" t="str">
        <f t="shared" si="61"/>
        <v>EC</v>
      </c>
      <c r="AH130" s="96" t="str">
        <f t="shared" si="46"/>
        <v>"%USERPROFILE%\Documents\GitHub\eaglep3\Utilities\RefineRTDCRunTimes.py" --tripid 218-29 --locoid 4045 --swversion DE.1.0.7.0 --startMP 204:233017 --initTime 2016-09-29T19:10:41 --startdatetime 2016-09-29T19:12:45 --delay 1 --endMP 204:152 --enddatetime 2016-09-29T19:52:28 --enforcementcount 0 &gt;&gt;C:\Users\stu\Documents\GitHub\eaglep3-reporting\EC\2016-09-29-refined-times.txt</v>
      </c>
      <c r="AI130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{"issue":{"subject":"","project_id":79,"tracker_id":40,"status_id":1,"priority_id":2,"assigned_to_id":23,"start_date":"2016-09-29","description":"","custom_fields":[{"id":1,"name":"Subdivision","value":"EC"},{"id":4,"name":"Milepost","value":"0.0152"},{"id":17,"name":"Train ID","value":"218-29"},{"id":16,"name":"Locomotive ID","value":"4045"},{"id":130,"name":"Impact","value":""},{"id":150,"name":"Time of Event (Mountain Time)","value":"19:52:28"},{"id":151,"name":"Denver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s="23" customFormat="1" x14ac:dyDescent="0.25">
      <c r="A131" s="39" t="s">
        <v>547</v>
      </c>
      <c r="B131" s="7">
        <v>4040</v>
      </c>
      <c r="C131" s="24" t="s">
        <v>106</v>
      </c>
      <c r="D131" s="24" t="s">
        <v>210</v>
      </c>
      <c r="E131" s="15">
        <v>42642.770775462966</v>
      </c>
      <c r="F131" s="15">
        <v>42642.772696759261</v>
      </c>
      <c r="G131" s="7">
        <v>1</v>
      </c>
      <c r="H131" s="15" t="s">
        <v>294</v>
      </c>
      <c r="I131" s="15">
        <v>42642.798831018517</v>
      </c>
      <c r="J131" s="7">
        <v>0</v>
      </c>
      <c r="K131" s="117" t="str">
        <f t="shared" si="52"/>
        <v>4039/4040</v>
      </c>
      <c r="L131" s="24" t="str">
        <f>VLOOKUP(A131,'Trips&amp;Operators'!$C$1:$E$10000,3,FALSE)</f>
        <v>STURGEON</v>
      </c>
      <c r="M131" s="6">
        <f t="shared" si="53"/>
        <v>2.6134259256650694E-2</v>
      </c>
      <c r="N131" s="7">
        <f t="shared" si="51"/>
        <v>37.633333329576999</v>
      </c>
      <c r="O131" s="7"/>
      <c r="P131" s="7"/>
      <c r="Q131" s="25"/>
      <c r="R131" s="25"/>
      <c r="S131" s="37">
        <f t="shared" si="54"/>
        <v>1</v>
      </c>
      <c r="T131" s="52" t="str">
        <f t="shared" si="55"/>
        <v>NorthBound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17:29:55-0600',mode:absolute,to:'2016-09-29 20:10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1" s="54" t="str">
        <f t="shared" si="57"/>
        <v>N</v>
      </c>
      <c r="X131" s="164">
        <f t="shared" si="62"/>
        <v>1</v>
      </c>
      <c r="Y131" s="69">
        <f t="shared" si="58"/>
        <v>4.4699999999999997E-2</v>
      </c>
      <c r="Z131" s="69">
        <f t="shared" si="63"/>
        <v>23.328199999999999</v>
      </c>
      <c r="AA131" s="69">
        <f t="shared" si="59"/>
        <v>23.2835</v>
      </c>
      <c r="AB131" s="66" t="str">
        <f>VLOOKUP(A131,Enforcements!$C$7:$K$21,8,0)</f>
        <v>Speed (6)</v>
      </c>
      <c r="AC131" s="62" t="str">
        <f>VLOOKUP(A131,Enforcements!$C$7:$E$21,3,0)</f>
        <v>PERMANENT SPEED RESTRICTION</v>
      </c>
      <c r="AD131" s="63" t="str">
        <f t="shared" si="60"/>
        <v>0219-29</v>
      </c>
      <c r="AE131" s="95" t="str">
        <f t="shared" si="43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31" s="92" t="str">
        <f t="shared" si="44"/>
        <v>"C:\Program Files (x86)\AstroGrep\AstroGrep.exe" /spath="%USERPROFILE%\AppData\Local\Temp\OnboardLogs" /stypes="app*4040*20160930*" /stext=" 01:.+((SYSTEM_STATE.+slice.+state.+changed )|(ment ac)|(system.+state.+changed )|(\[timeout)|(PRM\|1\|D)|(kpr)|(kdp)|(\|lc)|(penalty))" /e /r /s</v>
      </c>
      <c r="AG131" s="1" t="str">
        <f t="shared" si="61"/>
        <v>EC</v>
      </c>
      <c r="AH131" s="96" t="str">
        <f t="shared" si="46"/>
        <v>"%USERPROFILE%\Documents\GitHub\eaglep3\Utilities\RefineRTDCRunTimes.py" --tripid 219-29 --locoid 4040 --swversion DE.1.0.7.0 --startMP 204:447 --initTime 2016-09-29T18:29:55 --startdatetime 2016-09-29T18:32:41 --delay 1 --endMP 204:233282 --enddatetime 2016-09-29T19:10:19 --enforcementcount 0 &gt;&gt;C:\Users\stu\Documents\GitHub\eaglep3-reporting\EC\2016-09-29-refined-times.txt</v>
      </c>
      <c r="AI131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{"issue":{"subject":"","project_id":79,"tracker_id":40,"status_id":1,"priority_id":2,"assigned_to_id":23,"start_date":"2016-09-29","description":"","custom_fields":[{"id":1,"name":"Subdivision","value":"EC"},{"id":4,"name":"Milepost","value":"23.3282"},{"id":17,"name":"Train ID","value":"219-29"},{"id":16,"name":"Locomotive ID","value":"4040"},{"id":130,"name":"Impact","value":""},{"id":150,"name":"Time of Event (Mountain Time)","value":"19:10:19"},{"id":151,"name":"Denver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s="23" customFormat="1" x14ac:dyDescent="0.25">
      <c r="A132" s="39" t="s">
        <v>557</v>
      </c>
      <c r="B132" s="7">
        <v>4039</v>
      </c>
      <c r="C132" s="24" t="s">
        <v>106</v>
      </c>
      <c r="D132" s="24" t="s">
        <v>335</v>
      </c>
      <c r="E132" s="15">
        <v>42642.803576388891</v>
      </c>
      <c r="F132" s="15">
        <v>42642.809918981482</v>
      </c>
      <c r="G132" s="7">
        <v>1</v>
      </c>
      <c r="H132" s="15" t="s">
        <v>127</v>
      </c>
      <c r="I132" s="15">
        <v>42642.841793981483</v>
      </c>
      <c r="J132" s="7">
        <v>0</v>
      </c>
      <c r="K132" s="117" t="str">
        <f t="shared" si="52"/>
        <v>4039/4040</v>
      </c>
      <c r="L132" s="24" t="str">
        <f>VLOOKUP(A132,'Trips&amp;Operators'!$C$1:$E$10000,3,FALSE)</f>
        <v>STURGEON</v>
      </c>
      <c r="M132" s="6">
        <f t="shared" si="53"/>
        <v>3.1875000000582077E-2</v>
      </c>
      <c r="N132" s="7">
        <f t="shared" si="51"/>
        <v>45.90000000083819</v>
      </c>
      <c r="O132" s="7"/>
      <c r="P132" s="7"/>
      <c r="Q132" s="25"/>
      <c r="R132" s="25"/>
      <c r="S132" s="37">
        <f t="shared" si="54"/>
        <v>1</v>
      </c>
      <c r="T132" s="52" t="str">
        <f t="shared" si="55"/>
        <v>Southbound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18:17:09-0600',mode:absolute,to:'2016-09-29 21:12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32" s="54" t="str">
        <f t="shared" si="57"/>
        <v>N</v>
      </c>
      <c r="X132" s="164">
        <f t="shared" si="62"/>
        <v>1</v>
      </c>
      <c r="Y132" s="69">
        <f t="shared" si="58"/>
        <v>23.297799999999999</v>
      </c>
      <c r="Z132" s="69">
        <f t="shared" si="63"/>
        <v>1.54E-2</v>
      </c>
      <c r="AA132" s="69">
        <f t="shared" si="59"/>
        <v>23.282399999999999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 t="shared" si="60"/>
        <v>0220-29</v>
      </c>
      <c r="AE132" s="95" t="str">
        <f t="shared" si="43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132" s="92" t="str">
        <f t="shared" si="44"/>
        <v>"C:\Program Files (x86)\AstroGrep\AstroGrep.exe" /spath="%USERPROFILE%\AppData\Local\Temp\OnboardLogs" /stypes="app*4039*20160930*" /stext=" 02:.+((SYSTEM_STATE.+slice.+state.+changed )|(ment ac)|(system.+state.+changed )|(\[timeout)|(PRM\|1\|D)|(kpr)|(kdp)|(\|lc)|(penalty))" /e /r /s</v>
      </c>
      <c r="AG132" s="1" t="str">
        <f t="shared" si="61"/>
        <v>EC</v>
      </c>
      <c r="AH132" s="96" t="str">
        <f t="shared" si="46"/>
        <v>"%USERPROFILE%\Documents\GitHub\eaglep3\Utilities\RefineRTDCRunTimes.py" --tripid 220-29 --locoid 4039 --swversion DE.1.0.7.0 --startMP 204:232978 --initTime 2016-09-29T19:17:09 --startdatetime 2016-09-29T19:26:17 --delay 1 --endMP 204:154 --enddatetime 2016-09-29T20:12:11 --enforcementcount 0 &gt;&gt;C:\Users\stu\Documents\GitHub\eaglep3-reporting\EC\2016-09-29-refined-times.txt</v>
      </c>
      <c r="AI132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{"issue":{"subject":"","project_id":79,"tracker_id":40,"status_id":1,"priority_id":2,"assigned_to_id":23,"start_date":"2016-09-29","description":"","custom_fields":[{"id":1,"name":"Subdivision","value":"EC"},{"id":4,"name":"Milepost","value":"0.0154"},{"id":17,"name":"Train ID","value":"220-29"},{"id":16,"name":"Locomotive ID","value":"4039"},{"id":130,"name":"Impact","value":""},{"id":150,"name":"Time of Event (Mountain Time)","value":"20:12:11"},{"id":151,"name":"Denver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s="23" customFormat="1" x14ac:dyDescent="0.25">
      <c r="A133" s="39" t="s">
        <v>553</v>
      </c>
      <c r="B133" s="7">
        <v>4042</v>
      </c>
      <c r="C133" s="24" t="s">
        <v>106</v>
      </c>
      <c r="D133" s="24" t="s">
        <v>202</v>
      </c>
      <c r="E133" s="15">
        <v>42642.787453703706</v>
      </c>
      <c r="F133" s="15">
        <v>42642.791851851849</v>
      </c>
      <c r="G133" s="7">
        <v>1</v>
      </c>
      <c r="H133" s="15" t="s">
        <v>230</v>
      </c>
      <c r="I133" s="15">
        <v>42642.821238425924</v>
      </c>
      <c r="J133" s="7">
        <v>0</v>
      </c>
      <c r="K133" s="117" t="str">
        <f t="shared" si="52"/>
        <v>4041/4042</v>
      </c>
      <c r="L133" s="24" t="str">
        <f>VLOOKUP(A133,'Trips&amp;Operators'!$C$1:$E$10000,3,FALSE)</f>
        <v>LEVERE</v>
      </c>
      <c r="M133" s="6">
        <f t="shared" si="53"/>
        <v>2.9386574075033423E-2</v>
      </c>
      <c r="N133" s="7">
        <f t="shared" si="51"/>
        <v>42.316666668048128</v>
      </c>
      <c r="O133" s="7"/>
      <c r="P133" s="7"/>
      <c r="Q133" s="25"/>
      <c r="R133" s="25"/>
      <c r="S133" s="37">
        <f t="shared" si="54"/>
        <v>1</v>
      </c>
      <c r="T133" s="52" t="str">
        <f t="shared" si="55"/>
        <v>NorthBound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17:53:56-0600',mode:absolute,to:'2016-09-29 20:42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33" s="54" t="str">
        <f t="shared" si="57"/>
        <v>N</v>
      </c>
      <c r="X133" s="164">
        <f t="shared" si="62"/>
        <v>1</v>
      </c>
      <c r="Y133" s="69">
        <f t="shared" si="58"/>
        <v>4.7100000000000003E-2</v>
      </c>
      <c r="Z133" s="69">
        <f t="shared" si="63"/>
        <v>23.329499999999999</v>
      </c>
      <c r="AA133" s="69">
        <f t="shared" si="59"/>
        <v>23.282399999999999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 t="shared" si="60"/>
        <v>0221-29</v>
      </c>
      <c r="AE133" s="95" t="str">
        <f t="shared" si="43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33" s="92" t="str">
        <f t="shared" si="44"/>
        <v>"C:\Program Files (x86)\AstroGrep\AstroGrep.exe" /spath="%USERPROFILE%\AppData\Local\Temp\OnboardLogs" /stypes="app*4042*20160930*" /stext=" 01:.+((SYSTEM_STATE.+slice.+state.+changed )|(ment ac)|(system.+state.+changed )|(\[timeout)|(PRM\|1\|D)|(kpr)|(kdp)|(\|lc)|(penalty))" /e /r /s</v>
      </c>
      <c r="AG133" s="1" t="str">
        <f t="shared" si="61"/>
        <v>EC</v>
      </c>
      <c r="AH133" s="96" t="str">
        <f t="shared" si="46"/>
        <v>"%USERPROFILE%\Documents\GitHub\eaglep3\Utilities\RefineRTDCRunTimes.py" --tripid 221-29 --locoid 4042 --swversion DE.1.0.7.0 --startMP 204:471 --initTime 2016-09-29T18:53:56 --startdatetime 2016-09-29T19:00:16 --delay 1 --endMP 204:233295 --enddatetime 2016-09-29T19:42:35 --enforcementcount 0 &gt;&gt;C:\Users\stu\Documents\GitHub\eaglep3-reporting\EC\2016-09-29-refined-times.txt</v>
      </c>
      <c r="AI133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{"issue":{"subject":"","project_id":79,"tracker_id":40,"status_id":1,"priority_id":2,"assigned_to_id":23,"start_date":"2016-09-29","description":"","custom_fields":[{"id":1,"name":"Subdivision","value":"EC"},{"id":4,"name":"Milepost","value":"23.3295"},{"id":17,"name":"Train ID","value":"221-29"},{"id":16,"name":"Locomotive ID","value":"4042"},{"id":130,"name":"Impact","value":""},{"id":150,"name":"Time of Event (Mountain Time)","value":"19:42:35"},{"id":151,"name":"Denver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x14ac:dyDescent="0.25">
      <c r="A134" s="39" t="s">
        <v>561</v>
      </c>
      <c r="B134" s="7">
        <v>4041</v>
      </c>
      <c r="C134" s="24" t="s">
        <v>106</v>
      </c>
      <c r="D134" s="24" t="s">
        <v>642</v>
      </c>
      <c r="E134" s="15">
        <v>42642.824826388889</v>
      </c>
      <c r="F134" s="15">
        <v>42642.83084490741</v>
      </c>
      <c r="G134" s="7">
        <v>1</v>
      </c>
      <c r="H134" s="15" t="s">
        <v>206</v>
      </c>
      <c r="I134" s="15">
        <v>42642.859594907408</v>
      </c>
      <c r="J134" s="7">
        <v>0</v>
      </c>
      <c r="K134" s="117" t="str">
        <f t="shared" si="52"/>
        <v>4041/4042</v>
      </c>
      <c r="L134" s="24" t="str">
        <f>VLOOKUP(A134,'Trips&amp;Operators'!$C$1:$E$10000,3,FALSE)</f>
        <v>LEVERE</v>
      </c>
      <c r="M134" s="6">
        <f t="shared" si="53"/>
        <v>2.8749999997671694E-2</v>
      </c>
      <c r="N134" s="7">
        <f t="shared" si="51"/>
        <v>41.399999996647239</v>
      </c>
      <c r="O134" s="7"/>
      <c r="P134" s="7"/>
      <c r="Q134" s="25"/>
      <c r="R134" s="25"/>
      <c r="S134" s="37">
        <f t="shared" si="54"/>
        <v>1</v>
      </c>
      <c r="T134" s="52" t="str">
        <f t="shared" si="55"/>
        <v>Southbound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18:47:45-0600',mode:absolute,to:'2016-09-29 21:37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34" s="54" t="str">
        <f t="shared" si="57"/>
        <v>N</v>
      </c>
      <c r="X134" s="164">
        <f t="shared" si="62"/>
        <v>1</v>
      </c>
      <c r="Y134" s="69">
        <f t="shared" si="58"/>
        <v>23.297599999999999</v>
      </c>
      <c r="Z134" s="69">
        <f t="shared" si="63"/>
        <v>1.4999999999999999E-2</v>
      </c>
      <c r="AA134" s="69">
        <f t="shared" si="59"/>
        <v>23.282599999999999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 t="shared" si="60"/>
        <v>0222-29</v>
      </c>
      <c r="AE134" s="95" t="str">
        <f t="shared" si="43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134" s="92" t="str">
        <f t="shared" si="44"/>
        <v>"C:\Program Files (x86)\AstroGrep\AstroGrep.exe" /spath="%USERPROFILE%\AppData\Local\Temp\OnboardLogs" /stypes="app*4041*20160930*" /stext=" 02:.+((SYSTEM_STATE.+slice.+state.+changed )|(ment ac)|(system.+state.+changed )|(\[timeout)|(PRM\|1\|D)|(kpr)|(kdp)|(\|lc)|(penalty))" /e /r /s</v>
      </c>
      <c r="AG134" s="1" t="str">
        <f t="shared" si="61"/>
        <v>EC</v>
      </c>
      <c r="AH134" s="96" t="str">
        <f t="shared" si="46"/>
        <v>"%USERPROFILE%\Documents\GitHub\eaglep3\Utilities\RefineRTDCRunTimes.py" --tripid 222-29 --locoid 4041 --swversion DE.1.0.7.0 --startMP 204:232976 --initTime 2016-09-29T19:47:45 --startdatetime 2016-09-29T19:56:25 --delay 1 --endMP 204:150 --enddatetime 2016-09-29T20:37:49 --enforcementcount 0 &gt;&gt;C:\Users\stu\Documents\GitHub\eaglep3-reporting\EC\2016-09-29-refined-times.txt</v>
      </c>
      <c r="AI134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{"issue":{"subject":"","project_id":79,"tracker_id":40,"status_id":1,"priority_id":2,"assigned_to_id":23,"start_date":"2016-09-29","description":"","custom_fields":[{"id":1,"name":"Subdivision","value":"EC"},{"id":4,"name":"Milepost","value":"0.015"},{"id":17,"name":"Train ID","value":"222-29"},{"id":16,"name":"Locomotive ID","value":"4041"},{"id":130,"name":"Impact","value":""},{"id":150,"name":"Time of Event (Mountain Time)","value":"20:37:49"},{"id":151,"name":"Denver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x14ac:dyDescent="0.25">
      <c r="A135" s="39" t="s">
        <v>558</v>
      </c>
      <c r="B135" s="7">
        <v>4029</v>
      </c>
      <c r="C135" s="24" t="s">
        <v>106</v>
      </c>
      <c r="D135" s="24" t="s">
        <v>643</v>
      </c>
      <c r="E135" s="15">
        <v>42642.808715277781</v>
      </c>
      <c r="F135" s="15">
        <v>42642.812962962962</v>
      </c>
      <c r="G135" s="7">
        <v>1</v>
      </c>
      <c r="H135" s="15" t="s">
        <v>644</v>
      </c>
      <c r="I135" s="15">
        <v>42642.838043981479</v>
      </c>
      <c r="J135" s="7">
        <v>0</v>
      </c>
      <c r="K135" s="117" t="str">
        <f t="shared" si="52"/>
        <v>4029/4030</v>
      </c>
      <c r="L135" s="24" t="str">
        <f>VLOOKUP(A135,'Trips&amp;Operators'!$C$1:$E$10000,3,FALSE)</f>
        <v>COOLAHAN</v>
      </c>
      <c r="M135" s="6">
        <f t="shared" si="53"/>
        <v>2.5081018517084885E-2</v>
      </c>
      <c r="N135" s="7">
        <f t="shared" si="51"/>
        <v>36.116666664602235</v>
      </c>
      <c r="O135" s="7"/>
      <c r="P135" s="7"/>
      <c r="Q135" s="25"/>
      <c r="R135" s="25"/>
      <c r="S135" s="37">
        <f t="shared" si="54"/>
        <v>1</v>
      </c>
      <c r="T135" s="52" t="str">
        <f t="shared" si="55"/>
        <v>NorthBound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18:24:33-0600',mode:absolute,to:'2016-09-29 21:06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35" s="54" t="str">
        <f t="shared" si="57"/>
        <v>N</v>
      </c>
      <c r="X135" s="164">
        <f t="shared" si="62"/>
        <v>1</v>
      </c>
      <c r="Y135" s="69">
        <f t="shared" si="58"/>
        <v>5.11E-2</v>
      </c>
      <c r="Z135" s="69">
        <f t="shared" si="63"/>
        <v>23.3338</v>
      </c>
      <c r="AA135" s="69">
        <f t="shared" si="59"/>
        <v>23.282699999999998</v>
      </c>
      <c r="AB135" s="66" t="e">
        <f>VLOOKUP(A135,Enforcements!$C$7:$K$21,8,0)</f>
        <v>#N/A</v>
      </c>
      <c r="AC135" s="62" t="e">
        <f>VLOOKUP(A135,Enforcements!$C$7:$E$21,3,0)</f>
        <v>#N/A</v>
      </c>
      <c r="AD135" s="63" t="str">
        <f t="shared" si="60"/>
        <v>0223-29</v>
      </c>
      <c r="AE135" s="95" t="str">
        <f t="shared" si="43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35" s="92" t="str">
        <f t="shared" si="44"/>
        <v>"C:\Program Files (x86)\AstroGrep\AstroGrep.exe" /spath="%USERPROFILE%\AppData\Local\Temp\OnboardLogs" /stypes="app*4029*20160930*" /stext=" 02:.+((SYSTEM_STATE.+slice.+state.+changed )|(ment ac)|(system.+state.+changed )|(\[timeout)|(PRM\|1\|D)|(kpr)|(kdp)|(\|lc)|(penalty))" /e /r /s</v>
      </c>
      <c r="AG135" s="1" t="str">
        <f t="shared" si="61"/>
        <v>EC</v>
      </c>
      <c r="AH135" s="96" t="str">
        <f t="shared" si="46"/>
        <v>"%USERPROFILE%\Documents\GitHub\eaglep3\Utilities\RefineRTDCRunTimes.py" --tripid 223-29 --locoid 4029 --swversion DE.1.0.7.0 --startMP 204:511 --initTime 2016-09-29T19:24:33 --startdatetime 2016-09-29T19:30:40 --delay 1 --endMP 204:233338 --enddatetime 2016-09-29T20:06:47 --enforcementcount 0 &gt;&gt;C:\Users\stu\Documents\GitHub\eaglep3-reporting\EC\2016-09-29-refined-times.txt</v>
      </c>
      <c r="AI135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{"issue":{"subject":"","project_id":79,"tracker_id":40,"status_id":1,"priority_id":2,"assigned_to_id":23,"start_date":"2016-09-29","description":"","custom_fields":[{"id":1,"name":"Subdivision","value":"EC"},{"id":4,"name":"Milepost","value":"23.3338"},{"id":17,"name":"Train ID","value":"223-29"},{"id":16,"name":"Locomotive ID","value":"4029"},{"id":130,"name":"Impact","value":""},{"id":150,"name":"Time of Event (Mountain Time)","value":"20:06:47"},{"id":151,"name":"Denver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565</v>
      </c>
      <c r="B136" s="7">
        <v>4030</v>
      </c>
      <c r="C136" s="24" t="s">
        <v>106</v>
      </c>
      <c r="D136" s="24" t="s">
        <v>645</v>
      </c>
      <c r="E136" s="15">
        <v>42642.844756944447</v>
      </c>
      <c r="F136" s="15">
        <v>42642.851666666669</v>
      </c>
      <c r="G136" s="7">
        <v>1</v>
      </c>
      <c r="H136" s="15" t="s">
        <v>208</v>
      </c>
      <c r="I136" s="15">
        <v>42642.878182870372</v>
      </c>
      <c r="J136" s="7">
        <v>0</v>
      </c>
      <c r="K136" s="117" t="str">
        <f t="shared" si="52"/>
        <v>4029/4030</v>
      </c>
      <c r="L136" s="24" t="str">
        <f>VLOOKUP(A136,'Trips&amp;Operators'!$C$1:$E$10000,3,FALSE)</f>
        <v>COOLAHAN</v>
      </c>
      <c r="M136" s="6">
        <f t="shared" si="53"/>
        <v>2.6516203703067731E-2</v>
      </c>
      <c r="N136" s="7">
        <f t="shared" si="51"/>
        <v>38.183333332417533</v>
      </c>
      <c r="O136" s="7"/>
      <c r="P136" s="7"/>
      <c r="Q136" s="25"/>
      <c r="R136" s="25"/>
      <c r="S136" s="37">
        <f t="shared" si="54"/>
        <v>1</v>
      </c>
      <c r="T136" s="52" t="str">
        <f t="shared" si="55"/>
        <v>Southbound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19:16:27-0600',mode:absolute,to:'2016-09-29 22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36" s="54" t="str">
        <f t="shared" si="57"/>
        <v>N</v>
      </c>
      <c r="X136" s="164">
        <f t="shared" si="62"/>
        <v>1</v>
      </c>
      <c r="Y136" s="69">
        <f t="shared" si="58"/>
        <v>23.301500000000001</v>
      </c>
      <c r="Z136" s="69">
        <f t="shared" si="63"/>
        <v>1.52E-2</v>
      </c>
      <c r="AA136" s="69">
        <f t="shared" si="59"/>
        <v>23.286300000000001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 t="shared" si="60"/>
        <v>0224-29</v>
      </c>
      <c r="AE136" s="95" t="str">
        <f t="shared" si="43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136" s="92" t="str">
        <f t="shared" si="44"/>
        <v>"C:\Program Files (x86)\AstroGrep\AstroGrep.exe" /spath="%USERPROFILE%\AppData\Local\Temp\OnboardLogs" /stypes="app*4030*20160930*" /stext=" 03:.+((SYSTEM_STATE.+slice.+state.+changed )|(ment ac)|(system.+state.+changed )|(\[timeout)|(PRM\|1\|D)|(kpr)|(kdp)|(\|lc)|(penalty))" /e /r /s</v>
      </c>
      <c r="AG136" s="1" t="str">
        <f t="shared" si="61"/>
        <v>EC</v>
      </c>
      <c r="AH136" s="96" t="str">
        <f t="shared" si="46"/>
        <v>"%USERPROFILE%\Documents\GitHub\eaglep3\Utilities\RefineRTDCRunTimes.py" --tripid 224-29 --locoid 4030 --swversion DE.1.0.7.0 --startMP 204:233015 --initTime 2016-09-29T20:16:27 --startdatetime 2016-09-29T20:26:24 --delay 1 --endMP 204:152 --enddatetime 2016-09-29T21:04:35 --enforcementcount 0 &gt;&gt;C:\Users\stu\Documents\GitHub\eaglep3-reporting\EC\2016-09-29-refined-times.txt</v>
      </c>
      <c r="AI136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{"issue":{"subject":"","project_id":79,"tracker_id":40,"status_id":1,"priority_id":2,"assigned_to_id":23,"start_date":"2016-09-29","description":"","custom_fields":[{"id":1,"name":"Subdivision","value":"EC"},{"id":4,"name":"Milepost","value":"0.0152"},{"id":17,"name":"Train ID","value":"224-29"},{"id":16,"name":"Locomotive ID","value":"4030"},{"id":130,"name":"Impact","value":""},{"id":150,"name":"Time of Event (Mountain Time)","value":"21:04:35"},{"id":151,"name":"Denver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x14ac:dyDescent="0.25">
      <c r="A137" s="39" t="s">
        <v>562</v>
      </c>
      <c r="B137" s="7">
        <v>4046</v>
      </c>
      <c r="C137" s="24" t="s">
        <v>106</v>
      </c>
      <c r="D137" s="24" t="s">
        <v>214</v>
      </c>
      <c r="E137" s="15">
        <v>42642.829722222225</v>
      </c>
      <c r="F137" s="15">
        <v>42642.83353009259</v>
      </c>
      <c r="G137" s="7">
        <v>1</v>
      </c>
      <c r="H137" s="15" t="s">
        <v>615</v>
      </c>
      <c r="I137" s="15">
        <v>42642.858703703707</v>
      </c>
      <c r="J137" s="7">
        <v>0</v>
      </c>
      <c r="K137" s="117" t="str">
        <f t="shared" si="52"/>
        <v>4045/4046</v>
      </c>
      <c r="L137" s="24" t="str">
        <f>VLOOKUP(A137,'Trips&amp;Operators'!$C$1:$E$10000,3,FALSE)</f>
        <v>LEVIN</v>
      </c>
      <c r="M137" s="6">
        <f t="shared" si="53"/>
        <v>2.5173611116770189E-2</v>
      </c>
      <c r="N137" s="7">
        <f t="shared" si="51"/>
        <v>36.250000008149073</v>
      </c>
      <c r="O137" s="7"/>
      <c r="P137" s="7"/>
      <c r="Q137" s="25"/>
      <c r="R137" s="25"/>
      <c r="S137" s="37">
        <f t="shared" si="54"/>
        <v>1</v>
      </c>
      <c r="T137" s="52" t="str">
        <f t="shared" si="55"/>
        <v>NorthBound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18:54:48-0600',mode:absolute,to:'2016-09-29 21:36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37" s="54" t="str">
        <f t="shared" si="57"/>
        <v>N</v>
      </c>
      <c r="X137" s="164">
        <f t="shared" si="62"/>
        <v>1</v>
      </c>
      <c r="Y137" s="69">
        <f t="shared" si="58"/>
        <v>4.58E-2</v>
      </c>
      <c r="Z137" s="69">
        <f t="shared" si="63"/>
        <v>23.334900000000001</v>
      </c>
      <c r="AA137" s="69">
        <f t="shared" si="59"/>
        <v>23.289100000000001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 t="shared" si="60"/>
        <v>0225-29</v>
      </c>
      <c r="AE137" s="95" t="str">
        <f t="shared" si="43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37" s="92" t="str">
        <f t="shared" si="44"/>
        <v>"C:\Program Files (x86)\AstroGrep\AstroGrep.exe" /spath="%USERPROFILE%\AppData\Local\Temp\OnboardLogs" /stypes="app*4046*20160930*" /stext=" 02:.+((SYSTEM_STATE.+slice.+state.+changed )|(ment ac)|(system.+state.+changed )|(\[timeout)|(PRM\|1\|D)|(kpr)|(kdp)|(\|lc)|(penalty))" /e /r /s</v>
      </c>
      <c r="AG137" s="1" t="str">
        <f t="shared" si="61"/>
        <v>EC</v>
      </c>
      <c r="AH137" s="96" t="str">
        <f t="shared" si="46"/>
        <v>"%USERPROFILE%\Documents\GitHub\eaglep3\Utilities\RefineRTDCRunTimes.py" --tripid 225-29 --locoid 4046 --swversion DE.1.0.7.0 --startMP 204:458 --initTime 2016-09-29T19:54:48 --startdatetime 2016-09-29T20:00:17 --delay 1 --endMP 204:233349 --enddatetime 2016-09-29T20:36:32 --enforcementcount 0 &gt;&gt;C:\Users\stu\Documents\GitHub\eaglep3-reporting\EC\2016-09-29-refined-times.txt</v>
      </c>
      <c r="AI137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{"issue":{"subject":"","project_id":79,"tracker_id":40,"status_id":1,"priority_id":2,"assigned_to_id":23,"start_date":"2016-09-29","description":"","custom_fields":[{"id":1,"name":"Subdivision","value":"EC"},{"id":4,"name":"Milepost","value":"23.3349"},{"id":17,"name":"Train ID","value":"225-29"},{"id":16,"name":"Locomotive ID","value":"4046"},{"id":130,"name":"Impact","value":""},{"id":150,"name":"Time of Event (Mountain Time)","value":"20:36:32"},{"id":151,"name":"Denver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x14ac:dyDescent="0.25">
      <c r="A138" s="39" t="s">
        <v>567</v>
      </c>
      <c r="B138" s="7">
        <v>4045</v>
      </c>
      <c r="C138" s="24" t="s">
        <v>106</v>
      </c>
      <c r="D138" s="24" t="s">
        <v>641</v>
      </c>
      <c r="E138" s="15">
        <v>42642.866967592592</v>
      </c>
      <c r="F138" s="15">
        <v>42642.872384259259</v>
      </c>
      <c r="G138" s="7">
        <v>1</v>
      </c>
      <c r="H138" s="15" t="s">
        <v>218</v>
      </c>
      <c r="I138" s="15">
        <v>42642.901620370372</v>
      </c>
      <c r="J138" s="7">
        <v>0</v>
      </c>
      <c r="K138" s="117" t="str">
        <f t="shared" si="52"/>
        <v>4045/4046</v>
      </c>
      <c r="L138" s="24" t="str">
        <f>VLOOKUP(A138,'Trips&amp;Operators'!$C$1:$E$10000,3,FALSE)</f>
        <v>LEVIN</v>
      </c>
      <c r="M138" s="6">
        <f t="shared" si="53"/>
        <v>2.923611111327773E-2</v>
      </c>
      <c r="N138" s="7">
        <f t="shared" si="51"/>
        <v>42.100000003119931</v>
      </c>
      <c r="O138" s="7"/>
      <c r="P138" s="7"/>
      <c r="Q138" s="25"/>
      <c r="R138" s="25"/>
      <c r="S138" s="37">
        <f t="shared" si="54"/>
        <v>1</v>
      </c>
      <c r="T138" s="52" t="str">
        <f t="shared" si="55"/>
        <v>Southbound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19:48:26-0600',mode:absolute,to:'2016-09-29 22:38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38" s="54" t="str">
        <f t="shared" si="57"/>
        <v>N</v>
      </c>
      <c r="X138" s="164">
        <f t="shared" si="62"/>
        <v>1</v>
      </c>
      <c r="Y138" s="69">
        <f t="shared" si="58"/>
        <v>23.3017</v>
      </c>
      <c r="Z138" s="69">
        <f t="shared" si="63"/>
        <v>1.38E-2</v>
      </c>
      <c r="AA138" s="69">
        <f t="shared" si="59"/>
        <v>23.2879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 t="shared" si="60"/>
        <v>0226-29</v>
      </c>
      <c r="AE138" s="95" t="str">
        <f t="shared" si="43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138" s="92" t="str">
        <f t="shared" si="44"/>
        <v>"C:\Program Files (x86)\AstroGrep\AstroGrep.exe" /spath="%USERPROFILE%\AppData\Local\Temp\OnboardLogs" /stypes="app*4045*20160930*" /stext=" 03:.+((SYSTEM_STATE.+slice.+state.+changed )|(ment ac)|(system.+state.+changed )|(\[timeout)|(PRM\|1\|D)|(kpr)|(kdp)|(\|lc)|(penalty))" /e /r /s</v>
      </c>
      <c r="AG138" s="1" t="str">
        <f t="shared" si="61"/>
        <v>EC</v>
      </c>
      <c r="AH138" s="96" t="str">
        <f t="shared" si="46"/>
        <v>"%USERPROFILE%\Documents\GitHub\eaglep3\Utilities\RefineRTDCRunTimes.py" --tripid 226-29 --locoid 4045 --swversion DE.1.0.7.0 --startMP 204:233017 --initTime 2016-09-29T20:48:26 --startdatetime 2016-09-29T20:56:14 --delay 1 --endMP 204:138 --enddatetime 2016-09-29T21:38:20 --enforcementcount 0 &gt;&gt;C:\Users\stu\Documents\GitHub\eaglep3-reporting\EC\2016-09-29-refined-times.txt</v>
      </c>
      <c r="AI138" s="130" t="str">
        <f t="shared" si="47"/>
        <v>echo {"issue":{"subject":"","project_id":79,"tracker_id":40,"status_id":1,"priority_id":2,"assigned_to_id":23,"start_date":"2016-09-29","description":"","custom_fields":[{"id":1,"name":"Subdivision","value":"EC"},{"id":4,"name":"Milepost","value":"0.0138"},{"id":17,"name":"Train ID","value":"226-29"},{"id":16,"name":"Locomotive ID","value":"4045"},{"id":130,"name":"Impact","value":""},{"id":150,"name":"Time of Event (Mountain Time)","value":"21:38:20"},{"id":151,"name":"Denver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563</v>
      </c>
      <c r="B139" s="7">
        <v>4040</v>
      </c>
      <c r="C139" s="24" t="s">
        <v>106</v>
      </c>
      <c r="D139" s="24" t="s">
        <v>300</v>
      </c>
      <c r="E139" s="15">
        <v>42642.843738425923</v>
      </c>
      <c r="F139" s="15">
        <v>42642.854375000003</v>
      </c>
      <c r="G139" s="7">
        <v>1</v>
      </c>
      <c r="H139" s="15" t="s">
        <v>240</v>
      </c>
      <c r="I139" s="15">
        <v>42642.882256944446</v>
      </c>
      <c r="J139" s="7">
        <v>0</v>
      </c>
      <c r="K139" s="117" t="str">
        <f t="shared" si="52"/>
        <v>4039/4040</v>
      </c>
      <c r="L139" s="24" t="str">
        <f>VLOOKUP(A139,'Trips&amp;Operators'!$C$1:$E$10000,3,FALSE)</f>
        <v>STURGEON</v>
      </c>
      <c r="M139" s="6">
        <f t="shared" si="53"/>
        <v>2.7881944442924578E-2</v>
      </c>
      <c r="N139" s="7">
        <f t="shared" si="51"/>
        <v>40.149999997811392</v>
      </c>
      <c r="O139" s="7"/>
      <c r="P139" s="7"/>
      <c r="Q139" s="25"/>
      <c r="R139" s="25"/>
      <c r="S139" s="37">
        <f t="shared" si="54"/>
        <v>1</v>
      </c>
      <c r="T139" s="52" t="str">
        <f t="shared" si="55"/>
        <v>NorthBound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19:14:59-0600',mode:absolute,to:'2016-09-29 22:10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39" s="54" t="str">
        <f t="shared" si="57"/>
        <v>N</v>
      </c>
      <c r="X139" s="164">
        <f t="shared" si="62"/>
        <v>1</v>
      </c>
      <c r="Y139" s="69">
        <f t="shared" si="58"/>
        <v>4.3999999999999997E-2</v>
      </c>
      <c r="Z139" s="69">
        <f t="shared" si="63"/>
        <v>23.33</v>
      </c>
      <c r="AA139" s="69">
        <f t="shared" si="59"/>
        <v>23.285999999999998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 t="shared" si="60"/>
        <v>0227-29</v>
      </c>
      <c r="AE139" s="95" t="str">
        <f t="shared" si="43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39" s="92" t="str">
        <f t="shared" si="44"/>
        <v>"C:\Program Files (x86)\AstroGrep\AstroGrep.exe" /spath="%USERPROFILE%\AppData\Local\Temp\OnboardLogs" /stypes="app*4040*20160930*" /stext=" 03:.+((SYSTEM_STATE.+slice.+state.+changed )|(ment ac)|(system.+state.+changed )|(\[timeout)|(PRM\|1\|D)|(kpr)|(kdp)|(\|lc)|(penalty))" /e /r /s</v>
      </c>
      <c r="AG139" s="1" t="str">
        <f t="shared" si="61"/>
        <v>EC</v>
      </c>
      <c r="AH139" s="96" t="str">
        <f t="shared" ref="AH139:AH205" si="64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227-29 --locoid 4040 --swversion DE.1.0.7.0 --startMP 204:440 --initTime 2016-09-29T20:14:59 --startdatetime 2016-09-29T20:30:18 --delay 1 --endMP 204:233300 --enddatetime 2016-09-29T21:10:27 --enforcementcount 0 &gt;&gt;C:\Users\stu\Documents\GitHub\eaglep3-reporting\EC\2016-09-29-refined-times.txt</v>
      </c>
      <c r="AI139" s="130" t="str">
        <f t="shared" ref="AI139:AI205" si="65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{"issue":{"subject":"","project_id":79,"tracker_id":40,"status_id":1,"priority_id":2,"assigned_to_id":23,"start_date":"2016-09-29","description":"","custom_fields":[{"id":1,"name":"Subdivision","value":"EC"},{"id":4,"name":"Milepost","value":"23.33"},{"id":17,"name":"Train ID","value":"227-29"},{"id":16,"name":"Locomotive ID","value":"4040"},{"id":130,"name":"Impact","value":""},{"id":150,"name":"Time of Event (Mountain Time)","value":"21:10:27"},{"id":151,"name":"Denver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x14ac:dyDescent="0.25">
      <c r="A140" s="39" t="s">
        <v>570</v>
      </c>
      <c r="B140" s="7">
        <v>4039</v>
      </c>
      <c r="C140" s="24" t="s">
        <v>106</v>
      </c>
      <c r="D140" s="24" t="s">
        <v>273</v>
      </c>
      <c r="E140" s="15">
        <v>42642.887488425928</v>
      </c>
      <c r="F140" s="15">
        <v>42642.893240740741</v>
      </c>
      <c r="G140" s="7">
        <v>1</v>
      </c>
      <c r="H140" s="15" t="s">
        <v>127</v>
      </c>
      <c r="I140" s="15">
        <v>42642.922384259262</v>
      </c>
      <c r="J140" s="7">
        <v>0</v>
      </c>
      <c r="K140" s="117" t="str">
        <f t="shared" si="52"/>
        <v>4039/4040</v>
      </c>
      <c r="L140" s="24" t="str">
        <f>VLOOKUP(A140,'Trips&amp;Operators'!$C$1:$E$10000,3,FALSE)</f>
        <v>STURGEON</v>
      </c>
      <c r="M140" s="6">
        <f t="shared" si="53"/>
        <v>2.9143518520868383E-2</v>
      </c>
      <c r="N140" s="7">
        <f t="shared" si="51"/>
        <v>41.966666670050472</v>
      </c>
      <c r="O140" s="7"/>
      <c r="P140" s="7"/>
      <c r="Q140" s="25"/>
      <c r="R140" s="25"/>
      <c r="S140" s="37">
        <f t="shared" si="54"/>
        <v>1</v>
      </c>
      <c r="T140" s="52" t="str">
        <f t="shared" si="55"/>
        <v>Southbound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 t="shared" si="56"/>
        <v>https://search-rtdc-monitor-bjffxe2xuh6vdkpspy63sjmuny.us-east-1.es.amazonaws.com/_plugin/kibana/#/discover/Steve-Slow-Train-Analysis-(2080s-and-2083s)?_g=(refreshInterval:(display:Off,section:0,value:0),time:(from:'2016-09-29 20:17:59-0600',mode:absolute,to:'2016-09-29 23:08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0" s="54" t="str">
        <f t="shared" si="57"/>
        <v>N</v>
      </c>
      <c r="X140" s="164">
        <f t="shared" si="62"/>
        <v>1</v>
      </c>
      <c r="Y140" s="69">
        <f t="shared" si="58"/>
        <v>23.298100000000002</v>
      </c>
      <c r="Z140" s="69">
        <f t="shared" si="63"/>
        <v>1.54E-2</v>
      </c>
      <c r="AA140" s="69">
        <f t="shared" si="59"/>
        <v>23.282700000000002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 t="shared" si="60"/>
        <v>0228-29</v>
      </c>
      <c r="AE140" s="95" t="str">
        <f t="shared" si="43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140" s="92" t="str">
        <f t="shared" si="44"/>
        <v>"C:\Program Files (x86)\AstroGrep\AstroGrep.exe" /spath="%USERPROFILE%\AppData\Local\Temp\OnboardLogs" /stypes="app*4039*20160930*" /stext=" 04:.+((SYSTEM_STATE.+slice.+state.+changed )|(ment ac)|(system.+state.+changed )|(\[timeout)|(PRM\|1\|D)|(kpr)|(kdp)|(\|lc)|(penalty))" /e /r /s</v>
      </c>
      <c r="AG140" s="1" t="str">
        <f t="shared" si="61"/>
        <v>EC</v>
      </c>
      <c r="AH140" s="96" t="str">
        <f t="shared" si="64"/>
        <v>"%USERPROFILE%\Documents\GitHub\eaglep3\Utilities\RefineRTDCRunTimes.py" --tripid 228-29 --locoid 4039 --swversion DE.1.0.7.0 --startMP 204:232981 --initTime 2016-09-29T21:17:59 --startdatetime 2016-09-29T21:26:16 --delay 1 --endMP 204:154 --enddatetime 2016-09-29T22:08:14 --enforcementcount 0 &gt;&gt;C:\Users\stu\Documents\GitHub\eaglep3-reporting\EC\2016-09-29-refined-times.txt</v>
      </c>
      <c r="AI140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{"issue":{"subject":"","project_id":79,"tracker_id":40,"status_id":1,"priority_id":2,"assigned_to_id":23,"start_date":"2016-09-29","description":"","custom_fields":[{"id":1,"name":"Subdivision","value":"EC"},{"id":4,"name":"Milepost","value":"0.0154"},{"id":17,"name":"Train ID","value":"228-29"},{"id":16,"name":"Locomotive ID","value":"4039"},{"id":130,"name":"Impact","value":""},{"id":150,"name":"Time of Event (Mountain Time)","value":"22:08:14"},{"id":151,"name":"Denver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s="23" customFormat="1" x14ac:dyDescent="0.25">
      <c r="A141" s="39" t="s">
        <v>568</v>
      </c>
      <c r="B141" s="7">
        <v>4042</v>
      </c>
      <c r="C141" s="24" t="s">
        <v>106</v>
      </c>
      <c r="D141" s="24" t="s">
        <v>205</v>
      </c>
      <c r="E141" s="15">
        <v>42642.869525462964</v>
      </c>
      <c r="F141" s="15">
        <v>42642.875289351854</v>
      </c>
      <c r="G141" s="7">
        <v>1</v>
      </c>
      <c r="H141" s="15" t="s">
        <v>224</v>
      </c>
      <c r="I141" s="15">
        <v>42642.907870370371</v>
      </c>
      <c r="J141" s="7">
        <v>0</v>
      </c>
      <c r="K141" s="117" t="str">
        <f t="shared" ref="K141:K177" si="66">IF(ISEVEN(B141),(B141-1)&amp;"/"&amp;B141,B141&amp;"/"&amp;(B141+1))</f>
        <v>4041/4042</v>
      </c>
      <c r="L141" s="24" t="str">
        <f>VLOOKUP(A141,'Trips&amp;Operators'!$C$1:$E$10000,3,FALSE)</f>
        <v>LEVERE</v>
      </c>
      <c r="M141" s="6">
        <f t="shared" ref="M141:M177" si="67">I141-F141</f>
        <v>3.2581018516793847E-2</v>
      </c>
      <c r="N141" s="7">
        <f t="shared" si="51"/>
        <v>46.91666666418314</v>
      </c>
      <c r="O141" s="7"/>
      <c r="P141" s="7"/>
      <c r="Q141" s="25"/>
      <c r="R141" s="25"/>
      <c r="S141" s="37">
        <f t="shared" ref="S141:S177" si="68">SUM(U141:U141)/IF(AG141="EC",12,1)</f>
        <v>1</v>
      </c>
      <c r="T141" s="52" t="str">
        <f t="shared" ref="T141:T177" si="69">IF(ISEVEN(LEFT(AD141,4)),"Southbound","NorthBound")</f>
        <v>NorthBound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 t="shared" ref="V141:V177" si="70"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https://search-rtdc-monitor-bjffxe2xuh6vdkpspy63sjmuny.us-east-1.es.amazonaws.com/_plugin/kibana/#/discover/Steve-Slow-Train-Analysis-(2080s-and-2083s)?_g=(refreshInterval:(display:Off,section:0,value:0),time:(from:'2016-09-29 19:52:07-0600',mode:absolute,to:'2016-09-29 22:47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1" s="54" t="str">
        <f t="shared" ref="W141:W177" si="71">IF(AA141&lt;IF(AG141="EC",23,5.65),"Y","N")</f>
        <v>N</v>
      </c>
      <c r="X141" s="164">
        <f t="shared" si="62"/>
        <v>1</v>
      </c>
      <c r="Y141" s="69">
        <f t="shared" ref="Y141:Y177" si="72">RIGHT(D141,LEN(D141)-4)/10000</f>
        <v>4.53E-2</v>
      </c>
      <c r="Z141" s="69">
        <f t="shared" si="63"/>
        <v>23.329699999999999</v>
      </c>
      <c r="AA141" s="69">
        <f t="shared" ref="AA141:AA172" si="73">ABS(Z141-Y141)</f>
        <v>23.284399999999998</v>
      </c>
      <c r="AB141" s="66" t="e">
        <f>VLOOKUP(A141,Enforcements!$C$7:$K$21,8,0)</f>
        <v>#N/A</v>
      </c>
      <c r="AC141" s="62" t="e">
        <f>VLOOKUP(A141,Enforcements!$C$7:$E$21,3,0)</f>
        <v>#N/A</v>
      </c>
      <c r="AD141" s="63" t="str">
        <f t="shared" ref="AD141:AD177" si="74">IF(LEN(A141)=6,"0"&amp;A141,A141)</f>
        <v>0229-29</v>
      </c>
      <c r="AE141" s="95" t="str">
        <f t="shared" ref="AE141:AE204" si="7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41" s="92" t="str">
        <f t="shared" ref="AF141:AF204" si="76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/stypes="app*4042*20160930*" /stext=" 03:.+((SYSTEM_STATE.+slice.+state.+changed )|(ment ac)|(system.+state.+changed )|(\[timeout)|(PRM\|1\|D)|(kpr)|(kdp)|(\|lc)|(penalty))" /e /r /s</v>
      </c>
      <c r="AG141" s="1" t="str">
        <f t="shared" ref="AG141:AG177" si="77">IFERROR(IF(VALUE(LEFT(AD141,2))&lt;=2,"EC",IF(OR(VALUE(LEFT(AD141,2))=8,VALUE(LEFT(AD141,2))=18),"NW","Other")),"Other")</f>
        <v>EC</v>
      </c>
      <c r="AH141" s="96" t="str">
        <f t="shared" si="64"/>
        <v>"%USERPROFILE%\Documents\GitHub\eaglep3\Utilities\RefineRTDCRunTimes.py" --tripid 229-29 --locoid 4042 --swversion DE.1.0.7.0 --startMP 204:453 --initTime 2016-09-29T20:52:07 --startdatetime 2016-09-29T21:00:25 --delay 1 --endMP 204:233297 --enddatetime 2016-09-29T21:47:20 --enforcementcount 0 &gt;&gt;C:\Users\stu\Documents\GitHub\eaglep3-reporting\EC\2016-09-29-refined-times.txt</v>
      </c>
      <c r="AI141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{"issue":{"subject":"","project_id":79,"tracker_id":40,"status_id":1,"priority_id":2,"assigned_to_id":23,"start_date":"2016-09-29","description":"","custom_fields":[{"id":1,"name":"Subdivision","value":"EC"},{"id":4,"name":"Milepost","value":"23.3297"},{"id":17,"name":"Train ID","value":"229-29"},{"id":16,"name":"Locomotive ID","value":"4042"},{"id":130,"name":"Impact","value":""},{"id":150,"name":"Time of Event (Mountain Time)","value":"21:47:20"},{"id":151,"name":"Denver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573</v>
      </c>
      <c r="B142" s="7">
        <v>4041</v>
      </c>
      <c r="C142" s="24" t="s">
        <v>106</v>
      </c>
      <c r="D142" s="24" t="s">
        <v>250</v>
      </c>
      <c r="E142" s="15">
        <v>42642.911481481482</v>
      </c>
      <c r="F142" s="15">
        <v>42642.914120370369</v>
      </c>
      <c r="G142" s="7">
        <v>1</v>
      </c>
      <c r="H142" s="15" t="s">
        <v>201</v>
      </c>
      <c r="I142" s="15">
        <v>42642.942824074074</v>
      </c>
      <c r="J142" s="7">
        <v>0</v>
      </c>
      <c r="K142" s="117" t="str">
        <f t="shared" si="66"/>
        <v>4041/4042</v>
      </c>
      <c r="L142" s="24" t="str">
        <f>VLOOKUP(A142,'Trips&amp;Operators'!$C$1:$E$10000,3,FALSE)</f>
        <v>LEVERE</v>
      </c>
      <c r="M142" s="6">
        <f t="shared" si="67"/>
        <v>2.8703703705104999E-2</v>
      </c>
      <c r="N142" s="7">
        <f t="shared" si="51"/>
        <v>41.333333335351199</v>
      </c>
      <c r="O142" s="7"/>
      <c r="P142" s="7"/>
      <c r="Q142" s="25"/>
      <c r="R142" s="25"/>
      <c r="S142" s="37">
        <f t="shared" si="68"/>
        <v>1</v>
      </c>
      <c r="T142" s="52" t="str">
        <f t="shared" si="69"/>
        <v>Southbound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20:52:32-0600',mode:absolute,to:'2016-09-29 23:37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42" s="54" t="str">
        <f t="shared" si="71"/>
        <v>N</v>
      </c>
      <c r="X142" s="164">
        <f t="shared" si="62"/>
        <v>1</v>
      </c>
      <c r="Y142" s="69">
        <f t="shared" si="72"/>
        <v>23.297699999999999</v>
      </c>
      <c r="Z142" s="69">
        <f t="shared" si="63"/>
        <v>1.6299999999999999E-2</v>
      </c>
      <c r="AA142" s="69">
        <f t="shared" si="73"/>
        <v>23.281399999999998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 t="shared" si="74"/>
        <v>0230-29</v>
      </c>
      <c r="AE142" s="95" t="str">
        <f t="shared" si="75"/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AF142" s="92" t="str">
        <f t="shared" si="76"/>
        <v>"C:\Program Files (x86)\AstroGrep\AstroGrep.exe" /spath="%USERPROFILE%\AppData\Local\Temp\OnboardLogs" /stypes="app*4041*20160930*" /stext=" 04:.+((SYSTEM_STATE.+slice.+state.+changed )|(ment ac)|(system.+state.+changed )|(\[timeout)|(PRM\|1\|D)|(kpr)|(kdp)|(\|lc)|(penalty))" /e /r /s</v>
      </c>
      <c r="AG142" s="1" t="str">
        <f t="shared" si="77"/>
        <v>EC</v>
      </c>
      <c r="AH142" s="96" t="str">
        <f t="shared" si="64"/>
        <v>"%USERPROFILE%\Documents\GitHub\eaglep3\Utilities\RefineRTDCRunTimes.py" --tripid 230-29 --locoid 4041 --swversion DE.1.0.7.0 --startMP 204:232977 --initTime 2016-09-29T21:52:32 --startdatetime 2016-09-29T21:56:20 --delay 1 --endMP 204:163 --enddatetime 2016-09-29T22:37:40 --enforcementcount 0 &gt;&gt;C:\Users\stu\Documents\GitHub\eaglep3-reporting\EC\2016-09-29-refined-times.txt</v>
      </c>
      <c r="AI142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{"issue":{"subject":"","project_id":79,"tracker_id":40,"status_id":1,"priority_id":2,"assigned_to_id":23,"start_date":"2016-09-29","description":"","custom_fields":[{"id":1,"name":"Subdivision","value":"EC"},{"id":4,"name":"Milepost","value":"0.0163"},{"id":17,"name":"Train ID","value":"230-29"},{"id":16,"name":"Locomotive ID","value":"4041"},{"id":130,"name":"Impact","value":""},{"id":150,"name":"Time of Event (Mountain Time)","value":"22:37:40"},{"id":151,"name":"Denver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s="23" customFormat="1" x14ac:dyDescent="0.25">
      <c r="A143" s="39" t="s">
        <v>571</v>
      </c>
      <c r="B143" s="7">
        <v>4029</v>
      </c>
      <c r="C143" s="24" t="s">
        <v>106</v>
      </c>
      <c r="D143" s="24" t="s">
        <v>328</v>
      </c>
      <c r="E143" s="15">
        <v>42642.891365740739</v>
      </c>
      <c r="F143" s="15">
        <v>42642.896006944444</v>
      </c>
      <c r="G143" s="7">
        <v>1</v>
      </c>
      <c r="H143" s="15" t="s">
        <v>640</v>
      </c>
      <c r="I143" s="15">
        <v>42642.921469907407</v>
      </c>
      <c r="J143" s="7">
        <v>0</v>
      </c>
      <c r="K143" s="117" t="str">
        <f t="shared" si="66"/>
        <v>4029/4030</v>
      </c>
      <c r="L143" s="24" t="str">
        <f>VLOOKUP(A143,'Trips&amp;Operators'!$C$1:$E$10000,3,FALSE)</f>
        <v>COOLAHAN</v>
      </c>
      <c r="M143" s="6">
        <f t="shared" si="67"/>
        <v>2.5462962963501923E-2</v>
      </c>
      <c r="N143" s="7">
        <f t="shared" si="51"/>
        <v>36.666666667442769</v>
      </c>
      <c r="O143" s="7"/>
      <c r="P143" s="7"/>
      <c r="Q143" s="25"/>
      <c r="R143" s="25"/>
      <c r="S143" s="37">
        <f t="shared" si="68"/>
        <v>1</v>
      </c>
      <c r="T143" s="52" t="str">
        <f t="shared" si="69"/>
        <v>NorthBound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20:23:34-0600',mode:absolute,to:'2016-09-29 23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43" s="54" t="str">
        <f t="shared" si="71"/>
        <v>N</v>
      </c>
      <c r="X143" s="164">
        <f t="shared" si="62"/>
        <v>1</v>
      </c>
      <c r="Y143" s="69">
        <f t="shared" si="72"/>
        <v>4.3299999999999998E-2</v>
      </c>
      <c r="Z143" s="69">
        <f t="shared" si="63"/>
        <v>23.332899999999999</v>
      </c>
      <c r="AA143" s="69">
        <f t="shared" si="73"/>
        <v>23.2896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 t="shared" si="74"/>
        <v>0231-29</v>
      </c>
      <c r="AE143" s="95" t="str">
        <f t="shared" si="75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43" s="92" t="str">
        <f t="shared" si="76"/>
        <v>"C:\Program Files (x86)\AstroGrep\AstroGrep.exe" /spath="%USERPROFILE%\AppData\Local\Temp\OnboardLogs" /stypes="app*4029*20160930*" /stext=" 04:.+((SYSTEM_STATE.+slice.+state.+changed )|(ment ac)|(system.+state.+changed )|(\[timeout)|(PRM\|1\|D)|(kpr)|(kdp)|(\|lc)|(penalty))" /e /r /s</v>
      </c>
      <c r="AG143" s="1" t="str">
        <f t="shared" si="77"/>
        <v>EC</v>
      </c>
      <c r="AH143" s="96" t="str">
        <f t="shared" si="64"/>
        <v>"%USERPROFILE%\Documents\GitHub\eaglep3\Utilities\RefineRTDCRunTimes.py" --tripid 231-29 --locoid 4029 --swversion DE.1.0.7.0 --startMP 204:433 --initTime 2016-09-29T21:23:34 --startdatetime 2016-09-29T21:30:15 --delay 1 --endMP 204:233329 --enddatetime 2016-09-29T22:06:55 --enforcementcount 0 &gt;&gt;C:\Users\stu\Documents\GitHub\eaglep3-reporting\EC\2016-09-29-refined-times.txt</v>
      </c>
      <c r="AI143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{"issue":{"subject":"","project_id":79,"tracker_id":40,"status_id":1,"priority_id":2,"assigned_to_id":23,"start_date":"2016-09-29","description":"","custom_fields":[{"id":1,"name":"Subdivision","value":"EC"},{"id":4,"name":"Milepost","value":"23.3329"},{"id":17,"name":"Train ID","value":"231-29"},{"id":16,"name":"Locomotive ID","value":"4029"},{"id":130,"name":"Impact","value":""},{"id":150,"name":"Time of Event (Mountain Time)","value":"22:06:55"},{"id":151,"name":"Denver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577</v>
      </c>
      <c r="B144" s="7">
        <v>4030</v>
      </c>
      <c r="C144" s="24" t="s">
        <v>106</v>
      </c>
      <c r="D144" s="24" t="s">
        <v>645</v>
      </c>
      <c r="E144" s="15">
        <v>42642.930162037039</v>
      </c>
      <c r="F144" s="15">
        <v>42642.935011574074</v>
      </c>
      <c r="G144" s="7">
        <v>6</v>
      </c>
      <c r="H144" s="15" t="s">
        <v>127</v>
      </c>
      <c r="I144" s="15">
        <v>42642.963125000002</v>
      </c>
      <c r="J144" s="7">
        <v>0</v>
      </c>
      <c r="K144" s="117" t="str">
        <f t="shared" si="66"/>
        <v>4029/4030</v>
      </c>
      <c r="L144" s="24" t="str">
        <f>VLOOKUP(A144,'Trips&amp;Operators'!$C$1:$E$10000,3,FALSE)</f>
        <v>COOLAHAN</v>
      </c>
      <c r="M144" s="6">
        <f t="shared" si="67"/>
        <v>2.8113425927585922E-2</v>
      </c>
      <c r="N144" s="7">
        <f t="shared" si="51"/>
        <v>40.483333335723728</v>
      </c>
      <c r="O144" s="7"/>
      <c r="P144" s="7"/>
      <c r="Q144" s="25"/>
      <c r="R144" s="25"/>
      <c r="S144" s="37">
        <f t="shared" si="68"/>
        <v>1</v>
      </c>
      <c r="T144" s="52" t="str">
        <f t="shared" si="69"/>
        <v>Southbound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21:19:26-0600',mode:absolute,to:'2016-09-30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44" s="54" t="str">
        <f t="shared" si="71"/>
        <v>N</v>
      </c>
      <c r="X144" s="164">
        <f t="shared" si="62"/>
        <v>1</v>
      </c>
      <c r="Y144" s="69">
        <f t="shared" si="72"/>
        <v>23.301500000000001</v>
      </c>
      <c r="Z144" s="69">
        <f t="shared" ref="Z144:Z168" si="78">RIGHT(H144,LEN(H144)-4)/10000</f>
        <v>1.54E-2</v>
      </c>
      <c r="AA144" s="69">
        <f t="shared" si="73"/>
        <v>23.286100000000001</v>
      </c>
      <c r="AB144" s="66" t="str">
        <f>VLOOKUP(A144,Enforcements!$C$7:$K$21,8,0)</f>
        <v>Bulletin (2)</v>
      </c>
      <c r="AC144" s="62" t="str">
        <f>VLOOKUP(A144,Enforcements!$C$7:$E$21,3,0)</f>
        <v>GRADE CROSSING</v>
      </c>
      <c r="AD144" s="63" t="str">
        <f t="shared" si="74"/>
        <v>0232-29</v>
      </c>
      <c r="AE144" s="95" t="str">
        <f t="shared" si="75"/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AF144" s="92" t="str">
        <f t="shared" si="76"/>
        <v>"C:\Program Files (x86)\AstroGrep\AstroGrep.exe" /spath="%USERPROFILE%\AppData\Local\Temp\OnboardLogs" /stypes="app*4030*20160930*" /stext=" 05:.+((SYSTEM_STATE.+slice.+state.+changed )|(ment ac)|(system.+state.+changed )|(\[timeout)|(PRM\|1\|D)|(kpr)|(kdp)|(\|lc)|(penalty))" /e /r /s</v>
      </c>
      <c r="AG144" s="1" t="str">
        <f t="shared" si="77"/>
        <v>EC</v>
      </c>
      <c r="AH144" s="96" t="str">
        <f t="shared" si="64"/>
        <v>"%USERPROFILE%\Documents\GitHub\eaglep3\Utilities\RefineRTDCRunTimes.py" --tripid 232-29 --locoid 4030 --swversion DE.1.0.7.0 --startMP 204:233015 --initTime 2016-09-29T22:19:26 --startdatetime 2016-09-29T22:26:25 --delay 6 --endMP 204:154 --enddatetime 2016-09-29T23:06:54 --enforcementcount 0 &gt;&gt;C:\Users\stu\Documents\GitHub\eaglep3-reporting\EC\2016-09-29-refined-times.txt</v>
      </c>
      <c r="AI144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{"issue":{"subject":"","project_id":79,"tracker_id":40,"status_id":1,"priority_id":2,"assigned_to_id":23,"start_date":"2016-09-29","description":"","custom_fields":[{"id":1,"name":"Subdivision","value":"EC"},{"id":4,"name":"Milepost","value":"0.0154"},{"id":17,"name":"Train ID","value":"232-29"},{"id":16,"name":"Locomotive ID","value":"4030"},{"id":130,"name":"Impact","value":""},{"id":150,"name":"Time of Event (Mountain Time)","value":"23:06:54"},{"id":151,"name":"Denver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574</v>
      </c>
      <c r="B145" s="7">
        <v>4046</v>
      </c>
      <c r="C145" s="24" t="s">
        <v>106</v>
      </c>
      <c r="D145" s="24" t="s">
        <v>205</v>
      </c>
      <c r="E145" s="15">
        <v>42642.915011574078</v>
      </c>
      <c r="F145" s="15">
        <v>42642.916863425926</v>
      </c>
      <c r="G145" s="7">
        <v>1</v>
      </c>
      <c r="H145" s="15" t="s">
        <v>234</v>
      </c>
      <c r="I145" s="15">
        <v>42642.941990740743</v>
      </c>
      <c r="J145" s="7">
        <v>0</v>
      </c>
      <c r="K145" s="117" t="str">
        <f t="shared" si="66"/>
        <v>4045/4046</v>
      </c>
      <c r="L145" s="24" t="str">
        <f>VLOOKUP(A145,'Trips&amp;Operators'!$C$1:$E$10000,3,FALSE)</f>
        <v>LEVIN</v>
      </c>
      <c r="M145" s="6">
        <f t="shared" si="67"/>
        <v>2.5127314816927537E-2</v>
      </c>
      <c r="N145" s="7">
        <f t="shared" si="51"/>
        <v>36.183333336375654</v>
      </c>
      <c r="O145" s="7"/>
      <c r="P145" s="7"/>
      <c r="Q145" s="25"/>
      <c r="R145" s="25"/>
      <c r="S145" s="37">
        <f t="shared" si="68"/>
        <v>1</v>
      </c>
      <c r="T145" s="52" t="str">
        <f t="shared" si="69"/>
        <v>NorthBound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20:57:37-0600',mode:absolute,to:'2016-09-29 23:36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45" s="54" t="str">
        <f t="shared" si="71"/>
        <v>N</v>
      </c>
      <c r="X145" s="164">
        <f t="shared" si="62"/>
        <v>1</v>
      </c>
      <c r="Y145" s="69">
        <f t="shared" si="72"/>
        <v>4.53E-2</v>
      </c>
      <c r="Z145" s="69">
        <f t="shared" si="78"/>
        <v>23.331199999999999</v>
      </c>
      <c r="AA145" s="69">
        <f t="shared" si="73"/>
        <v>23.285899999999998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 t="shared" si="74"/>
        <v>0233-29</v>
      </c>
      <c r="AE145" s="95" t="str">
        <f t="shared" si="75"/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AF145" s="92" t="str">
        <f t="shared" si="76"/>
        <v>"C:\Program Files (x86)\AstroGrep\AstroGrep.exe" /spath="%USERPROFILE%\AppData\Local\Temp\OnboardLogs" /stypes="app*4046*20160930*" /stext=" 04:.+((SYSTEM_STATE.+slice.+state.+changed )|(ment ac)|(system.+state.+changed )|(\[timeout)|(PRM\|1\|D)|(kpr)|(kdp)|(\|lc)|(penalty))" /e /r /s</v>
      </c>
      <c r="AG145" s="1" t="str">
        <f t="shared" si="77"/>
        <v>EC</v>
      </c>
      <c r="AH145" s="96" t="str">
        <f t="shared" si="64"/>
        <v>"%USERPROFILE%\Documents\GitHub\eaglep3\Utilities\RefineRTDCRunTimes.py" --tripid 233-29 --locoid 4046 --swversion DE.1.0.7.0 --startMP 204:453 --initTime 2016-09-29T21:57:37 --startdatetime 2016-09-29T22:00:17 --delay 1 --endMP 204:233312 --enddatetime 2016-09-29T22:36:28 --enforcementcount 0 &gt;&gt;C:\Users\stu\Documents\GitHub\eaglep3-reporting\EC\2016-09-29-refined-times.txt</v>
      </c>
      <c r="AI145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{"issue":{"subject":"","project_id":79,"tracker_id":40,"status_id":1,"priority_id":2,"assigned_to_id":23,"start_date":"2016-09-29","description":"","custom_fields":[{"id":1,"name":"Subdivision","value":"EC"},{"id":4,"name":"Milepost","value":"23.3312"},{"id":17,"name":"Train ID","value":"233-29"},{"id":16,"name":"Locomotive ID","value":"4046"},{"id":130,"name":"Impact","value":""},{"id":150,"name":"Time of Event (Mountain Time)","value":"22:36:28"},{"id":151,"name":"Denver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580</v>
      </c>
      <c r="B146" s="7">
        <v>4045</v>
      </c>
      <c r="C146" s="24" t="s">
        <v>106</v>
      </c>
      <c r="D146" s="24" t="s">
        <v>275</v>
      </c>
      <c r="E146" s="15">
        <v>42642.953252314815</v>
      </c>
      <c r="F146" s="15">
        <v>42642.955787037034</v>
      </c>
      <c r="G146" s="7">
        <v>0</v>
      </c>
      <c r="H146" s="15" t="s">
        <v>329</v>
      </c>
      <c r="I146" s="15">
        <v>42642.984837962962</v>
      </c>
      <c r="J146" s="7">
        <v>0</v>
      </c>
      <c r="K146" s="117" t="str">
        <f t="shared" si="66"/>
        <v>4045/4046</v>
      </c>
      <c r="L146" s="24" t="str">
        <f>VLOOKUP(A146,'Trips&amp;Operators'!$C$1:$E$10000,3,FALSE)</f>
        <v>LEVIN</v>
      </c>
      <c r="M146" s="6">
        <f t="shared" si="67"/>
        <v>2.9050925928459037E-2</v>
      </c>
      <c r="N146" s="7">
        <f t="shared" si="51"/>
        <v>41.833333336981013</v>
      </c>
      <c r="O146" s="7"/>
      <c r="P146" s="7"/>
      <c r="Q146" s="25"/>
      <c r="R146" s="25"/>
      <c r="S146" s="37">
        <f t="shared" si="68"/>
        <v>1</v>
      </c>
      <c r="T146" s="52" t="str">
        <f t="shared" si="69"/>
        <v>Southbound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21:52:41-0600',mode:absolute,to:'2016-09-30 00:38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46" s="54" t="str">
        <f t="shared" si="71"/>
        <v>N</v>
      </c>
      <c r="X146" s="164">
        <f t="shared" si="62"/>
        <v>1</v>
      </c>
      <c r="Y146" s="69">
        <f t="shared" si="72"/>
        <v>23.298300000000001</v>
      </c>
      <c r="Z146" s="69">
        <f t="shared" si="78"/>
        <v>1.32E-2</v>
      </c>
      <c r="AA146" s="69">
        <f t="shared" si="73"/>
        <v>23.2851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 t="shared" si="74"/>
        <v>0234-29</v>
      </c>
      <c r="AE146" s="95" t="str">
        <f t="shared" si="75"/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AF146" s="92" t="str">
        <f t="shared" si="76"/>
        <v>"C:\Program Files (x86)\AstroGrep\AstroGrep.exe" /spath="%USERPROFILE%\AppData\Local\Temp\OnboardLogs" /stypes="app*4045*20160930*" /stext=" 05:.+((SYSTEM_STATE.+slice.+state.+changed )|(ment ac)|(system.+state.+changed )|(\[timeout)|(PRM\|1\|D)|(kpr)|(kdp)|(\|lc)|(penalty))" /e /r /s</v>
      </c>
      <c r="AG146" s="1" t="str">
        <f t="shared" si="77"/>
        <v>EC</v>
      </c>
      <c r="AH146" s="96" t="str">
        <f t="shared" si="64"/>
        <v>"%USERPROFILE%\Documents\GitHub\eaglep3\Utilities\RefineRTDCRunTimes.py" --tripid 234-29 --locoid 4045 --swversion DE.1.0.7.0 --startMP 204:232983 --initTime 2016-09-29T22:52:41 --startdatetime 2016-09-29T22:56:20 --delay 0 --endMP 204:132 --enddatetime 2016-09-29T23:38:10 --enforcementcount 0 &gt;&gt;C:\Users\stu\Documents\GitHub\eaglep3-reporting\EC\2016-09-29-refined-times.txt</v>
      </c>
      <c r="AI146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{"issue":{"subject":"","project_id":79,"tracker_id":40,"status_id":1,"priority_id":2,"assigned_to_id":23,"start_date":"2016-09-29","description":"","custom_fields":[{"id":1,"name":"Subdivision","value":"EC"},{"id":4,"name":"Milepost","value":"0.0132"},{"id":17,"name":"Train ID","value":"234-29"},{"id":16,"name":"Locomotive ID","value":"4045"},{"id":130,"name":"Impact","value":""},{"id":150,"name":"Time of Event (Mountain Time)","value":"23:38:10"},{"id":151,"name":"Denver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x14ac:dyDescent="0.25">
      <c r="A147" s="39" t="s">
        <v>576</v>
      </c>
      <c r="B147" s="7">
        <v>4040</v>
      </c>
      <c r="C147" s="24" t="s">
        <v>106</v>
      </c>
      <c r="D147" s="24" t="s">
        <v>215</v>
      </c>
      <c r="E147" s="15">
        <v>42642.926817129628</v>
      </c>
      <c r="F147" s="15">
        <v>42642.937719907408</v>
      </c>
      <c r="G147" s="7">
        <v>2</v>
      </c>
      <c r="H147" s="15" t="s">
        <v>646</v>
      </c>
      <c r="I147" s="15">
        <v>42642.965532407405</v>
      </c>
      <c r="J147" s="7">
        <v>0</v>
      </c>
      <c r="K147" s="117" t="str">
        <f t="shared" si="66"/>
        <v>4039/4040</v>
      </c>
      <c r="L147" s="24" t="str">
        <f>VLOOKUP(A147,'Trips&amp;Operators'!$C$1:$E$10000,3,FALSE)</f>
        <v>STURGEON</v>
      </c>
      <c r="M147" s="6">
        <f t="shared" si="67"/>
        <v>2.7812499996798579E-2</v>
      </c>
      <c r="N147" s="7">
        <f t="shared" si="51"/>
        <v>40.049999995389953</v>
      </c>
      <c r="O147" s="7"/>
      <c r="P147" s="7"/>
      <c r="Q147" s="25"/>
      <c r="R147" s="25"/>
      <c r="S147" s="37">
        <f t="shared" si="68"/>
        <v>1</v>
      </c>
      <c r="T147" s="52" t="str">
        <f t="shared" si="69"/>
        <v>NorthBound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21:14:37-0600',mode:absolute,to:'2016-09-30 00:10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47" s="54" t="str">
        <f t="shared" si="71"/>
        <v>N</v>
      </c>
      <c r="X147" s="164">
        <f t="shared" si="62"/>
        <v>1</v>
      </c>
      <c r="Y147" s="69">
        <f t="shared" si="72"/>
        <v>4.6699999999999998E-2</v>
      </c>
      <c r="Z147" s="69">
        <f t="shared" si="78"/>
        <v>23.328499999999998</v>
      </c>
      <c r="AA147" s="69">
        <f t="shared" si="73"/>
        <v>23.281799999999997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 t="shared" si="74"/>
        <v>0235-29</v>
      </c>
      <c r="AE147" s="95" t="str">
        <f t="shared" si="75"/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AF147" s="92" t="str">
        <f t="shared" si="76"/>
        <v>"C:\Program Files (x86)\AstroGrep\AstroGrep.exe" /spath="%USERPROFILE%\AppData\Local\Temp\OnboardLogs" /stypes="app*4040*20160930*" /stext=" 05:.+((SYSTEM_STATE.+slice.+state.+changed )|(ment ac)|(system.+state.+changed )|(\[timeout)|(PRM\|1\|D)|(kpr)|(kdp)|(\|lc)|(penalty))" /e /r /s</v>
      </c>
      <c r="AG147" s="1" t="str">
        <f t="shared" si="77"/>
        <v>EC</v>
      </c>
      <c r="AH147" s="96" t="str">
        <f t="shared" si="64"/>
        <v>"%USERPROFILE%\Documents\GitHub\eaglep3\Utilities\RefineRTDCRunTimes.py" --tripid 235-29 --locoid 4040 --swversion DE.1.0.7.0 --startMP 204:467 --initTime 2016-09-29T22:14:37 --startdatetime 2016-09-29T22:30:19 --delay 2 --endMP 204:233285 --enddatetime 2016-09-29T23:10:22 --enforcementcount 0 &gt;&gt;C:\Users\stu\Documents\GitHub\eaglep3-reporting\EC\2016-09-29-refined-times.txt</v>
      </c>
      <c r="AI147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{"issue":{"subject":"","project_id":79,"tracker_id":40,"status_id":1,"priority_id":2,"assigned_to_id":23,"start_date":"2016-09-29","description":"","custom_fields":[{"id":1,"name":"Subdivision","value":"EC"},{"id":4,"name":"Milepost","value":"23.3285"},{"id":17,"name":"Train ID","value":"235-29"},{"id":16,"name":"Locomotive ID","value":"4040"},{"id":130,"name":"Impact","value":""},{"id":150,"name":"Time of Event (Mountain Time)","value":"23:10:22"},{"id":151,"name":"Denver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581</v>
      </c>
      <c r="B148" s="7">
        <v>4039</v>
      </c>
      <c r="C148" s="24" t="s">
        <v>106</v>
      </c>
      <c r="D148" s="24" t="s">
        <v>647</v>
      </c>
      <c r="E148" s="15">
        <v>42642.970497685186</v>
      </c>
      <c r="F148" s="15">
        <v>42642.976712962962</v>
      </c>
      <c r="G148" s="7">
        <v>2</v>
      </c>
      <c r="H148" s="15" t="s">
        <v>226</v>
      </c>
      <c r="I148" s="15">
        <v>42643.006990740738</v>
      </c>
      <c r="J148" s="7">
        <v>0</v>
      </c>
      <c r="K148" s="117" t="str">
        <f t="shared" si="66"/>
        <v>4039/4040</v>
      </c>
      <c r="L148" s="24" t="str">
        <f>VLOOKUP(A148,'Trips&amp;Operators'!$C$1:$E$10000,3,FALSE)</f>
        <v>STURGEON</v>
      </c>
      <c r="M148" s="6">
        <f t="shared" si="67"/>
        <v>3.0277777776063886E-2</v>
      </c>
      <c r="N148" s="7">
        <f t="shared" si="51"/>
        <v>43.599999997531995</v>
      </c>
      <c r="O148" s="7"/>
      <c r="P148" s="7"/>
      <c r="Q148" s="25"/>
      <c r="R148" s="25"/>
      <c r="S148" s="37">
        <f t="shared" si="68"/>
        <v>1</v>
      </c>
      <c r="T148" s="52" t="str">
        <f t="shared" si="69"/>
        <v>Southbound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22:17:31-0600',mode:absolute,to:'2016-09-30 01:10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48" s="54" t="str">
        <f t="shared" si="71"/>
        <v>N</v>
      </c>
      <c r="X148" s="164">
        <f t="shared" si="62"/>
        <v>1</v>
      </c>
      <c r="Y148" s="69">
        <f t="shared" si="72"/>
        <v>23.297000000000001</v>
      </c>
      <c r="Z148" s="69">
        <f t="shared" si="78"/>
        <v>1.5599999999999999E-2</v>
      </c>
      <c r="AA148" s="69">
        <f t="shared" si="73"/>
        <v>23.281400000000001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 t="shared" si="74"/>
        <v>0236-29</v>
      </c>
      <c r="AE148" s="95" t="str">
        <f t="shared" si="75"/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AF148" s="92" t="str">
        <f t="shared" si="76"/>
        <v>"C:\Program Files (x86)\AstroGrep\AstroGrep.exe" /spath="%USERPROFILE%\AppData\Local\Temp\OnboardLogs" /stypes="app*4039*20160930*" /stext=" 06:.+((SYSTEM_STATE.+slice.+state.+changed )|(ment ac)|(system.+state.+changed )|(\[timeout)|(PRM\|1\|D)|(kpr)|(kdp)|(\|lc)|(penalty))" /e /r /s</v>
      </c>
      <c r="AG148" s="1" t="str">
        <f t="shared" si="77"/>
        <v>EC</v>
      </c>
      <c r="AH148" s="96" t="str">
        <f t="shared" si="64"/>
        <v>"%USERPROFILE%\Documents\GitHub\eaglep3\Utilities\RefineRTDCRunTimes.py" --tripid 236-29 --locoid 4039 --swversion DE.1.0.7.0 --startMP 204:232970 --initTime 2016-09-29T23:17:31 --startdatetime 2016-09-29T23:26:28 --delay 2 --endMP 204:156 --enddatetime 2016-09-30T00:10:04 --enforcementcount 0 &gt;&gt;C:\Users\stu\Documents\GitHub\eaglep3-reporting\EC\2016-09-29-refined-times.txt</v>
      </c>
      <c r="AI148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{"issue":{"subject":"","project_id":79,"tracker_id":40,"status_id":1,"priority_id":2,"assigned_to_id":23,"start_date":"2016-09-30","description":"","custom_fields":[{"id":1,"name":"Subdivision","value":"EC"},{"id":4,"name":"Milepost","value":"0.0156"},{"id":17,"name":"Train ID","value":"236-29"},{"id":16,"name":"Locomotive ID","value":"4039"},{"id":130,"name":"Impact","value":""},{"id":150,"name":"Time of Event (Mountain Time)","value":"00:10:04"},{"id":151,"name":"Denver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579</v>
      </c>
      <c r="B149" s="7">
        <v>4042</v>
      </c>
      <c r="C149" s="24" t="s">
        <v>106</v>
      </c>
      <c r="D149" s="24" t="s">
        <v>342</v>
      </c>
      <c r="E149" s="15">
        <v>42642.951273148145</v>
      </c>
      <c r="F149" s="15">
        <v>42642.958784722221</v>
      </c>
      <c r="G149" s="7">
        <v>1</v>
      </c>
      <c r="H149" s="15" t="s">
        <v>327</v>
      </c>
      <c r="I149" s="15">
        <v>42642.986192129632</v>
      </c>
      <c r="J149" s="7">
        <v>0</v>
      </c>
      <c r="K149" s="117" t="str">
        <f t="shared" si="66"/>
        <v>4041/4042</v>
      </c>
      <c r="L149" s="24" t="str">
        <f>VLOOKUP(A149,'Trips&amp;Operators'!$C$1:$E$10000,3,FALSE)</f>
        <v>LEVERE</v>
      </c>
      <c r="M149" s="6">
        <f t="shared" si="67"/>
        <v>2.7407407411374152E-2</v>
      </c>
      <c r="N149" s="7">
        <f t="shared" si="51"/>
        <v>39.466666672378778</v>
      </c>
      <c r="O149" s="7"/>
      <c r="P149" s="7"/>
      <c r="Q149" s="25"/>
      <c r="R149" s="25"/>
      <c r="S149" s="37">
        <f t="shared" si="68"/>
        <v>1</v>
      </c>
      <c r="T149" s="52" t="str">
        <f t="shared" si="69"/>
        <v>NorthBound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21:49:50-0600',mode:absolute,to:'2016-09-30 00:40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149" s="54" t="str">
        <f t="shared" si="71"/>
        <v>N</v>
      </c>
      <c r="X149" s="164">
        <f t="shared" si="62"/>
        <v>1</v>
      </c>
      <c r="Y149" s="69">
        <f t="shared" si="72"/>
        <v>4.7699999999999999E-2</v>
      </c>
      <c r="Z149" s="69">
        <f t="shared" si="78"/>
        <v>23.330400000000001</v>
      </c>
      <c r="AA149" s="69">
        <f t="shared" si="73"/>
        <v>23.282700000000002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 t="shared" si="74"/>
        <v>0237-29</v>
      </c>
      <c r="AE149" s="95" t="str">
        <f t="shared" si="75"/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AF149" s="92" t="str">
        <f t="shared" si="76"/>
        <v>"C:\Program Files (x86)\AstroGrep\AstroGrep.exe" /spath="%USERPROFILE%\AppData\Local\Temp\OnboardLogs" /stypes="app*4042*20160930*" /stext=" 05:.+((SYSTEM_STATE.+slice.+state.+changed )|(ment ac)|(system.+state.+changed )|(\[timeout)|(PRM\|1\|D)|(kpr)|(kdp)|(\|lc)|(penalty))" /e /r /s</v>
      </c>
      <c r="AG149" s="1" t="str">
        <f t="shared" si="77"/>
        <v>EC</v>
      </c>
      <c r="AH149" s="96" t="str">
        <f t="shared" si="64"/>
        <v>"%USERPROFILE%\Documents\GitHub\eaglep3\Utilities\RefineRTDCRunTimes.py" --tripid 237-29 --locoid 4042 --swversion DE.1.0.7.0 --startMP 204:477 --initTime 2016-09-29T22:49:50 --startdatetime 2016-09-29T23:00:39 --delay 1 --endMP 204:233304 --enddatetime 2016-09-29T23:40:07 --enforcementcount 0 &gt;&gt;C:\Users\stu\Documents\GitHub\eaglep3-reporting\EC\2016-09-29-refined-times.txt</v>
      </c>
      <c r="AI149" s="130" t="str">
        <f t="shared" si="65"/>
        <v>echo {"issue":{"subject":"","project_id":79,"tracker_id":40,"status_id":1,"priority_id":2,"assigned_to_id":23,"start_date":"2016-09-29","description":"","custom_fields":[{"id":1,"name":"Subdivision","value":"EC"},{"id":4,"name":"Milepost","value":"23.3304"},{"id":17,"name":"Train ID","value":"237-29"},{"id":16,"name":"Locomotive ID","value":"4042"},{"id":130,"name":"Impact","value":""},{"id":150,"name":"Time of Event (Mountain Time)","value":"23:40:07"},{"id":151,"name":"Denver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583</v>
      </c>
      <c r="B150" s="7">
        <v>4041</v>
      </c>
      <c r="C150" s="24" t="s">
        <v>106</v>
      </c>
      <c r="D150" s="24" t="s">
        <v>648</v>
      </c>
      <c r="E150" s="15">
        <v>42643.008356481485</v>
      </c>
      <c r="F150" s="15">
        <v>42643.009594907409</v>
      </c>
      <c r="G150" s="7">
        <v>1</v>
      </c>
      <c r="H150" s="15" t="s">
        <v>199</v>
      </c>
      <c r="I150" s="15">
        <v>42643.028321759259</v>
      </c>
      <c r="J150" s="7">
        <v>0</v>
      </c>
      <c r="K150" s="117" t="str">
        <f t="shared" si="66"/>
        <v>4041/4042</v>
      </c>
      <c r="L150" s="24" t="str">
        <f>VLOOKUP(A150,'Trips&amp;Operators'!$C$1:$E$10000,3,FALSE)</f>
        <v>LEVERE</v>
      </c>
      <c r="M150" s="6">
        <f t="shared" si="67"/>
        <v>1.8726851849351078E-2</v>
      </c>
      <c r="N150" s="7"/>
      <c r="O150" s="7"/>
      <c r="P150" s="7">
        <f>24*60*SUM($M150:$M150)</f>
        <v>26.966666663065553</v>
      </c>
      <c r="Q150" s="25"/>
      <c r="R150" s="25" t="s">
        <v>747</v>
      </c>
      <c r="S150" s="37">
        <f t="shared" si="68"/>
        <v>1</v>
      </c>
      <c r="T150" s="52" t="str">
        <f t="shared" si="69"/>
        <v>Southbound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23:12:02-0600',mode:absolute,to:'2016-09-30 01:40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W150" s="54" t="str">
        <f t="shared" si="71"/>
        <v>Y</v>
      </c>
      <c r="X150" s="164">
        <f t="shared" ref="X150:X152" si="79">VALUE(LEFT(AD150,4))-VALUE(LEFT(AD149,4))</f>
        <v>1</v>
      </c>
      <c r="Y150" s="69">
        <f t="shared" si="72"/>
        <v>12.786</v>
      </c>
      <c r="Z150" s="69">
        <f t="shared" si="78"/>
        <v>1.49E-2</v>
      </c>
      <c r="AA150" s="69">
        <f t="shared" si="73"/>
        <v>12.771099999999999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 t="shared" si="74"/>
        <v>0238-29</v>
      </c>
      <c r="AE150" s="95" t="str">
        <f t="shared" si="75"/>
        <v>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 &amp; aws s3 cp s3://rtdc.mdm.uploadarchive.raw/RTDC4041/ "%USERPROFILE%\AppData\Local\Temp\OnboardLogs"\RTDC4041\2016-10-01 --exclude "*" --recursive --include "*20161001*" &amp; "%USERPROFILE%\Documents\GitHub\mrs-test-scripts\Headless Mode &amp; Sideloading\WalkAndUnGZ.bat" "%USERPROFILE%\AppData\Local\Temp\OnboardLogs"\RTDC4041\2016-10-01</v>
      </c>
      <c r="AF150" s="92" t="str">
        <f t="shared" si="76"/>
        <v>"C:\Program Files (x86)\AstroGrep\AstroGrep.exe" /spath="%USERPROFILE%\AppData\Local\Temp\OnboardLogs" /stypes="app*4041*20160930*" /stext=" 06:.+((SYSTEM_STATE.+slice.+state.+changed )|(ment ac)|(system.+state.+changed )|(\[timeout)|(PRM\|1\|D)|(kpr)|(kdp)|(\|lc)|(penalty))" /e /r /s</v>
      </c>
      <c r="AG150" s="1" t="str">
        <f t="shared" si="77"/>
        <v>EC</v>
      </c>
      <c r="AH150" s="96" t="str">
        <f t="shared" si="64"/>
        <v>"%USERPROFILE%\Documents\GitHub\eaglep3\Utilities\RefineRTDCRunTimes.py" --tripid 238-29 --locoid 4041 --swversion DE.1.0.7.0 --startMP 204:127860 --initTime 2016-09-30T00:12:02 --startdatetime 2016-09-30T00:13:49 --delay 1 --endMP 204:149 --enddatetime 2016-09-30T00:40:47 --enforcementcount 0 &gt;&gt;C:\Users\stu\Documents\GitHub\eaglep3-reporting\EC\2016-09-29-refined-times.txt</v>
      </c>
      <c r="AI150" s="130" t="str">
        <f t="shared" si="65"/>
        <v>echo {"issue":{"subject":"Bad TRACK OOS bulletin - specifying MAIN 2 in area with only 1 track (11.07 - 12.65)","project_id":79,"tracker_id":40,"status_id":1,"priority_id":2,"assigned_to_id":23,"start_date":"2016-09-30","description":"A bad Track OOS bulletin was issued to trip 238-29, causing a sync error state. Seems like it was voided after it was discovered to be causing issues. Was this dispatcher error or a TMDS data issue?","custom_fields":[{"id":1,"name":"Subdivision","value":"EC"},{"id":4,"name":"Milepost","value":"0.0149"},{"id":17,"name":"Train ID","value":"238-29"},{"id":16,"name":"Locomotive ID","value":"4041"},{"id":130,"name":"Impact","value":"Unexpected Cut-Out or Disengaged"},{"id":150,"name":"Time of Event (Mountain Time)","value":"00:40:47"},{"id":151,"name":"Denver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AJ150" s="55" t="s">
        <v>748</v>
      </c>
      <c r="AK150" s="55" t="s">
        <v>141</v>
      </c>
      <c r="AL150" s="55" t="s">
        <v>144</v>
      </c>
    </row>
    <row r="151" spans="1:38" s="23" customFormat="1" x14ac:dyDescent="0.25">
      <c r="A151" s="39" t="s">
        <v>582</v>
      </c>
      <c r="B151" s="7">
        <v>4029</v>
      </c>
      <c r="C151" s="24" t="s">
        <v>106</v>
      </c>
      <c r="D151" s="24" t="s">
        <v>214</v>
      </c>
      <c r="E151" s="15">
        <v>42642.97457175926</v>
      </c>
      <c r="F151" s="15">
        <v>42642.979386574072</v>
      </c>
      <c r="G151" s="7">
        <v>2</v>
      </c>
      <c r="H151" s="15" t="s">
        <v>649</v>
      </c>
      <c r="I151" s="15">
        <v>42643.004120370373</v>
      </c>
      <c r="J151" s="7">
        <v>0</v>
      </c>
      <c r="K151" s="117" t="str">
        <f t="shared" si="66"/>
        <v>4029/4030</v>
      </c>
      <c r="L151" s="24" t="str">
        <f>VLOOKUP(A151,'Trips&amp;Operators'!$C$1:$E$10000,3,FALSE)</f>
        <v>COOLAHAN</v>
      </c>
      <c r="M151" s="6">
        <f t="shared" si="67"/>
        <v>2.4733796301006805E-2</v>
      </c>
      <c r="N151" s="7">
        <f t="shared" ref="N151:N177" si="80">24*60*SUM($M151:$M151)</f>
        <v>35.616666673449799</v>
      </c>
      <c r="O151" s="7"/>
      <c r="P151" s="7"/>
      <c r="Q151" s="25"/>
      <c r="R151" s="25"/>
      <c r="S151" s="37">
        <f t="shared" si="68"/>
        <v>1</v>
      </c>
      <c r="T151" s="52" t="str">
        <f t="shared" si="69"/>
        <v>NorthBound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22:23:23-0600',mode:absolute,to:'2016-09-30 01:05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151" s="54" t="str">
        <f t="shared" si="71"/>
        <v>N</v>
      </c>
      <c r="X151" s="164">
        <f t="shared" si="79"/>
        <v>1</v>
      </c>
      <c r="Y151" s="69">
        <f t="shared" si="72"/>
        <v>4.58E-2</v>
      </c>
      <c r="Z151" s="69">
        <f t="shared" si="78"/>
        <v>23.334399999999999</v>
      </c>
      <c r="AA151" s="69">
        <f t="shared" si="73"/>
        <v>23.288599999999999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 t="shared" si="74"/>
        <v>0239-29</v>
      </c>
      <c r="AE151" s="95" t="str">
        <f t="shared" si="75"/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AF151" s="92" t="str">
        <f t="shared" si="76"/>
        <v>"C:\Program Files (x86)\AstroGrep\AstroGrep.exe" /spath="%USERPROFILE%\AppData\Local\Temp\OnboardLogs" /stypes="app*4029*20160930*" /stext=" 06:.+((SYSTEM_STATE.+slice.+state.+changed )|(ment ac)|(system.+state.+changed )|(\[timeout)|(PRM\|1\|D)|(kpr)|(kdp)|(\|lc)|(penalty))" /e /r /s</v>
      </c>
      <c r="AG151" s="1" t="str">
        <f t="shared" si="77"/>
        <v>EC</v>
      </c>
      <c r="AH151" s="96" t="str">
        <f t="shared" si="64"/>
        <v>"%USERPROFILE%\Documents\GitHub\eaglep3\Utilities\RefineRTDCRunTimes.py" --tripid 239-29 --locoid 4029 --swversion DE.1.0.7.0 --startMP 204:458 --initTime 2016-09-29T23:23:23 --startdatetime 2016-09-29T23:30:19 --delay 2 --endMP 204:233344 --enddatetime 2016-09-30T00:05:56 --enforcementcount 0 &gt;&gt;C:\Users\stu\Documents\GitHub\eaglep3-reporting\EC\2016-09-29-refined-times.txt</v>
      </c>
      <c r="AI151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{"issue":{"subject":"","project_id":79,"tracker_id":40,"status_id":1,"priority_id":2,"assigned_to_id":23,"start_date":"2016-09-30","description":"","custom_fields":[{"id":1,"name":"Subdivision","value":"EC"},{"id":4,"name":"Milepost","value":"23.3344"},{"id":17,"name":"Train ID","value":"239-29"},{"id":16,"name":"Locomotive ID","value":"4029"},{"id":130,"name":"Impact","value":""},{"id":150,"name":"Time of Event (Mountain Time)","value":"00:05:56"},{"id":151,"name":"Denver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s="23" customFormat="1" x14ac:dyDescent="0.25">
      <c r="A152" s="39" t="s">
        <v>586</v>
      </c>
      <c r="B152" s="7">
        <v>4030</v>
      </c>
      <c r="C152" s="24" t="s">
        <v>106</v>
      </c>
      <c r="D152" s="24" t="s">
        <v>345</v>
      </c>
      <c r="E152" s="15">
        <v>42643.013692129629</v>
      </c>
      <c r="F152" s="15">
        <v>42643.018379629626</v>
      </c>
      <c r="G152" s="7">
        <v>6</v>
      </c>
      <c r="H152" s="15" t="s">
        <v>274</v>
      </c>
      <c r="I152" s="15">
        <v>42643.044039351851</v>
      </c>
      <c r="J152" s="7">
        <v>0</v>
      </c>
      <c r="K152" s="117" t="str">
        <f t="shared" si="66"/>
        <v>4029/4030</v>
      </c>
      <c r="L152" s="24" t="str">
        <f>VLOOKUP(A152,'Trips&amp;Operators'!$C$1:$E$10000,3,FALSE)</f>
        <v>COOLAHAN</v>
      </c>
      <c r="M152" s="6">
        <f t="shared" si="67"/>
        <v>2.5659722225100268E-2</v>
      </c>
      <c r="N152" s="7">
        <f t="shared" si="80"/>
        <v>36.950000004144385</v>
      </c>
      <c r="O152" s="7"/>
      <c r="P152" s="7"/>
      <c r="Q152" s="25"/>
      <c r="R152" s="25"/>
      <c r="S152" s="37">
        <f t="shared" si="68"/>
        <v>1</v>
      </c>
      <c r="T152" s="52" t="str">
        <f t="shared" si="69"/>
        <v>Southbound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23:19:43-0600',mode:absolute,to:'2016-09-30 02:03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W152" s="54" t="str">
        <f t="shared" si="71"/>
        <v>N</v>
      </c>
      <c r="X152" s="164">
        <f t="shared" si="79"/>
        <v>1</v>
      </c>
      <c r="Y152" s="69">
        <f t="shared" si="72"/>
        <v>23.3019</v>
      </c>
      <c r="Z152" s="69">
        <f t="shared" si="78"/>
        <v>1.67E-2</v>
      </c>
      <c r="AA152" s="69">
        <f t="shared" si="73"/>
        <v>23.2852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 t="shared" si="74"/>
        <v>0240-29</v>
      </c>
      <c r="AE152" s="95" t="str">
        <f t="shared" si="75"/>
        <v>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 &amp; aws s3 cp s3://rtdc.mdm.uploadarchive.raw/RTDC4030/ "%USERPROFILE%\AppData\Local\Temp\OnboardLogs"\RTDC4030\2016-10-01 --exclude "*" --recursive --include "*20161001*" &amp; "%USERPROFILE%\Documents\GitHub\mrs-test-scripts\Headless Mode &amp; Sideloading\WalkAndUnGZ.bat" "%USERPROFILE%\AppData\Local\Temp\OnboardLogs"\RTDC4030\2016-10-01</v>
      </c>
      <c r="AF152" s="92" t="str">
        <f t="shared" si="76"/>
        <v>"C:\Program Files (x86)\AstroGrep\AstroGrep.exe" /spath="%USERPROFILE%\AppData\Local\Temp\OnboardLogs" /stypes="app*4030*20160930*" /stext=" 07:.+((SYSTEM_STATE.+slice.+state.+changed )|(ment ac)|(system.+state.+changed )|(\[timeout)|(PRM\|1\|D)|(kpr)|(kdp)|(\|lc)|(penalty))" /e /r /s</v>
      </c>
      <c r="AG152" s="1" t="str">
        <f t="shared" si="77"/>
        <v>EC</v>
      </c>
      <c r="AH152" s="96" t="str">
        <f t="shared" si="64"/>
        <v>"%USERPROFILE%\Documents\GitHub\eaglep3\Utilities\RefineRTDCRunTimes.py" --tripid 240-29 --locoid 4030 --swversion DE.1.0.7.0 --startMP 204:233019 --initTime 2016-09-30T00:19:43 --startdatetime 2016-09-30T00:26:28 --delay 6 --endMP 204:167 --enddatetime 2016-09-30T01:03:25 --enforcementcount 0 &gt;&gt;C:\Users\stu\Documents\GitHub\eaglep3-reporting\EC\2016-09-29-refined-times.txt</v>
      </c>
      <c r="AI152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{"issue":{"subject":"","project_id":79,"tracker_id":40,"status_id":1,"priority_id":2,"assigned_to_id":23,"start_date":"2016-09-30","description":"","custom_fields":[{"id":1,"name":"Subdivision","value":"EC"},{"id":4,"name":"Milepost","value":"0.0167"},{"id":17,"name":"Train ID","value":"240-29"},{"id":16,"name":"Locomotive ID","value":"4030"},{"id":130,"name":"Impact","value":""},{"id":150,"name":"Time of Event (Mountain Time)","value":"01:03:25"},{"id":151,"name":"Denver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s="23" customFormat="1" x14ac:dyDescent="0.25">
      <c r="A153" s="39" t="s">
        <v>584</v>
      </c>
      <c r="B153" s="7">
        <v>4046</v>
      </c>
      <c r="C153" s="24" t="s">
        <v>106</v>
      </c>
      <c r="D153" s="24" t="s">
        <v>213</v>
      </c>
      <c r="E153" s="15">
        <v>42642.997476851851</v>
      </c>
      <c r="F153" s="15">
        <v>42643.000173611108</v>
      </c>
      <c r="G153" s="7">
        <v>1</v>
      </c>
      <c r="H153" s="15" t="s">
        <v>269</v>
      </c>
      <c r="I153" s="15">
        <v>42643.024907407409</v>
      </c>
      <c r="J153" s="7">
        <v>0</v>
      </c>
      <c r="K153" s="117" t="str">
        <f t="shared" si="66"/>
        <v>4045/4046</v>
      </c>
      <c r="L153" s="24" t="str">
        <f>VLOOKUP(A153,'Trips&amp;Operators'!$C$1:$E$10000,3,FALSE)</f>
        <v>LEVIN</v>
      </c>
      <c r="M153" s="6">
        <f t="shared" si="67"/>
        <v>2.4733796301006805E-2</v>
      </c>
      <c r="N153" s="7">
        <f t="shared" si="80"/>
        <v>35.616666673449799</v>
      </c>
      <c r="O153" s="7"/>
      <c r="P153" s="7"/>
      <c r="Q153" s="25"/>
      <c r="R153" s="25"/>
      <c r="S153" s="37">
        <f t="shared" si="68"/>
        <v>1</v>
      </c>
      <c r="T153" s="52" t="str">
        <f t="shared" si="69"/>
        <v>NorthBound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22:56:22-0600',mode:absolute,to:'2016-09-30 01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153" s="54" t="str">
        <f t="shared" si="71"/>
        <v>N</v>
      </c>
      <c r="X153" s="164">
        <f t="shared" ref="X153:X168" si="81">VALUE(LEFT(AD153,4))-VALUE(LEFT(AD152,4))</f>
        <v>1</v>
      </c>
      <c r="Y153" s="69">
        <f t="shared" si="72"/>
        <v>4.5499999999999999E-2</v>
      </c>
      <c r="Z153" s="69">
        <f t="shared" si="78"/>
        <v>23.3323</v>
      </c>
      <c r="AA153" s="69">
        <f t="shared" si="73"/>
        <v>23.286799999999999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 t="shared" si="74"/>
        <v>0241-29</v>
      </c>
      <c r="AE153" s="95" t="str">
        <f t="shared" si="75"/>
        <v>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 &amp; aws s3 cp s3://rtdc.mdm.uploadarchive.raw/RTDC4046/ "%USERPROFILE%\AppData\Local\Temp\OnboardLogs"\RTDC4046\2016-10-01 --exclude "*" --recursive --include "*20161001*" &amp; "%USERPROFILE%\Documents\GitHub\mrs-test-scripts\Headless Mode &amp; Sideloading\WalkAndUnGZ.bat" "%USERPROFILE%\AppData\Local\Temp\OnboardLogs"\RTDC4046\2016-10-01</v>
      </c>
      <c r="AF153" s="92" t="str">
        <f t="shared" si="76"/>
        <v>"C:\Program Files (x86)\AstroGrep\AstroGrep.exe" /spath="%USERPROFILE%\AppData\Local\Temp\OnboardLogs" /stypes="app*4046*20160930*" /stext=" 06:.+((SYSTEM_STATE.+slice.+state.+changed )|(ment ac)|(system.+state.+changed )|(\[timeout)|(PRM\|1\|D)|(kpr)|(kdp)|(\|lc)|(penalty))" /e /r /s</v>
      </c>
      <c r="AG153" s="1" t="str">
        <f t="shared" si="77"/>
        <v>EC</v>
      </c>
      <c r="AH153" s="96" t="str">
        <f t="shared" si="64"/>
        <v>"%USERPROFILE%\Documents\GitHub\eaglep3\Utilities\RefineRTDCRunTimes.py" --tripid 241-29 --locoid 4046 --swversion DE.1.0.7.0 --startMP 204:455 --initTime 2016-09-29T23:56:22 --startdatetime 2016-09-30T00:00:15 --delay 1 --endMP 204:233323 --enddatetime 2016-09-30T00:35:52 --enforcementcount 0 &gt;&gt;C:\Users\stu\Documents\GitHub\eaglep3-reporting\EC\2016-09-29-refined-times.txt</v>
      </c>
      <c r="AI153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{"issue":{"subject":"","project_id":79,"tracker_id":40,"status_id":1,"priority_id":2,"assigned_to_id":23,"start_date":"2016-09-30","description":"","custom_fields":[{"id":1,"name":"Subdivision","value":"EC"},{"id":4,"name":"Milepost","value":"23.3323"},{"id":17,"name":"Train ID","value":"241-29"},{"id":16,"name":"Locomotive ID","value":"4046"},{"id":130,"name":"Impact","value":""},{"id":150,"name":"Time of Event (Mountain Time)","value":"00:35:52"},{"id":151,"name":"Denver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588</v>
      </c>
      <c r="B154" s="7">
        <v>4045</v>
      </c>
      <c r="C154" s="24" t="s">
        <v>106</v>
      </c>
      <c r="D154" s="24" t="s">
        <v>650</v>
      </c>
      <c r="E154" s="15">
        <v>42643.033877314818</v>
      </c>
      <c r="F154" s="15">
        <v>42643.0390625</v>
      </c>
      <c r="G154" s="7">
        <v>1</v>
      </c>
      <c r="H154" s="15" t="s">
        <v>201</v>
      </c>
      <c r="I154" s="15">
        <v>42643.065127314818</v>
      </c>
      <c r="J154" s="7">
        <v>0</v>
      </c>
      <c r="K154" s="117" t="str">
        <f t="shared" si="66"/>
        <v>4045/4046</v>
      </c>
      <c r="L154" s="24" t="str">
        <f>VLOOKUP(A154,'Trips&amp;Operators'!$C$1:$E$10000,3,FALSE)</f>
        <v>LEVIN</v>
      </c>
      <c r="M154" s="6">
        <f t="shared" si="67"/>
        <v>2.6064814817800652E-2</v>
      </c>
      <c r="N154" s="7">
        <f t="shared" si="80"/>
        <v>37.533333337632939</v>
      </c>
      <c r="O154" s="7"/>
      <c r="P154" s="7"/>
      <c r="Q154" s="25"/>
      <c r="R154" s="25"/>
      <c r="S154" s="37">
        <f t="shared" si="68"/>
        <v>1</v>
      </c>
      <c r="T154" s="52" t="str">
        <f t="shared" si="69"/>
        <v>Southbound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23:48:47-0600',mode:absolute,to:'2016-09-30 02:33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W154" s="54" t="str">
        <f t="shared" si="71"/>
        <v>N</v>
      </c>
      <c r="X154" s="164">
        <f t="shared" si="81"/>
        <v>1</v>
      </c>
      <c r="Y154" s="69">
        <f t="shared" si="72"/>
        <v>23.300999999999998</v>
      </c>
      <c r="Z154" s="69">
        <f t="shared" si="78"/>
        <v>1.6299999999999999E-2</v>
      </c>
      <c r="AA154" s="69">
        <f t="shared" si="73"/>
        <v>23.284699999999997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 t="shared" si="74"/>
        <v>0242-29</v>
      </c>
      <c r="AE154" s="95" t="str">
        <f t="shared" si="75"/>
        <v>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 &amp; aws s3 cp s3://rtdc.mdm.uploadarchive.raw/RTDC4045/ "%USERPROFILE%\AppData\Local\Temp\OnboardLogs"\RTDC4045\2016-10-01 --exclude "*" --recursive --include "*20161001*" &amp; "%USERPROFILE%\Documents\GitHub\mrs-test-scripts\Headless Mode &amp; Sideloading\WalkAndUnGZ.bat" "%USERPROFILE%\AppData\Local\Temp\OnboardLogs"\RTDC4045\2016-10-01</v>
      </c>
      <c r="AF154" s="92" t="str">
        <f t="shared" si="76"/>
        <v>"C:\Program Files (x86)\AstroGrep\AstroGrep.exe" /spath="%USERPROFILE%\AppData\Local\Temp\OnboardLogs" /stypes="app*4045*20160930*" /stext=" 07:.+((SYSTEM_STATE.+slice.+state.+changed )|(ment ac)|(system.+state.+changed )|(\[timeout)|(PRM\|1\|D)|(kpr)|(kdp)|(\|lc)|(penalty))" /e /r /s</v>
      </c>
      <c r="AG154" s="1" t="str">
        <f t="shared" si="77"/>
        <v>EC</v>
      </c>
      <c r="AH154" s="96" t="str">
        <f t="shared" si="64"/>
        <v>"%USERPROFILE%\Documents\GitHub\eaglep3\Utilities\RefineRTDCRunTimes.py" --tripid 242-29 --locoid 4045 --swversion DE.1.0.7.0 --startMP 204:233010 --initTime 2016-09-30T00:48:47 --startdatetime 2016-09-30T00:56:15 --delay 1 --endMP 204:163 --enddatetime 2016-09-30T01:33:47 --enforcementcount 0 &gt;&gt;C:\Users\stu\Documents\GitHub\eaglep3-reporting\EC\2016-09-29-refined-times.txt</v>
      </c>
      <c r="AI154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{"issue":{"subject":"","project_id":79,"tracker_id":40,"status_id":1,"priority_id":2,"assigned_to_id":23,"start_date":"2016-09-30","description":"","custom_fields":[{"id":1,"name":"Subdivision","value":"EC"},{"id":4,"name":"Milepost","value":"0.0163"},{"id":17,"name":"Train ID","value":"242-29"},{"id":16,"name":"Locomotive ID","value":"4045"},{"id":130,"name":"Impact","value":""},{"id":150,"name":"Time of Event (Mountain Time)","value":"01:33:47"},{"id":151,"name":"Denver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585</v>
      </c>
      <c r="B155" s="7">
        <v>4040</v>
      </c>
      <c r="C155" s="24" t="s">
        <v>106</v>
      </c>
      <c r="D155" s="24" t="s">
        <v>259</v>
      </c>
      <c r="E155" s="15">
        <v>42643.012430555558</v>
      </c>
      <c r="F155" s="15">
        <v>42643.021134259259</v>
      </c>
      <c r="G155" s="7">
        <v>1</v>
      </c>
      <c r="H155" s="15" t="s">
        <v>262</v>
      </c>
      <c r="I155" s="15">
        <v>42643.046365740738</v>
      </c>
      <c r="J155" s="7">
        <v>0</v>
      </c>
      <c r="K155" s="117" t="str">
        <f t="shared" si="66"/>
        <v>4039/4040</v>
      </c>
      <c r="L155" s="24" t="str">
        <f>VLOOKUP(A155,'Trips&amp;Operators'!$C$1:$E$10000,3,FALSE)</f>
        <v>STURGEON</v>
      </c>
      <c r="M155" s="6">
        <f t="shared" si="67"/>
        <v>2.5231481478840578E-2</v>
      </c>
      <c r="N155" s="7">
        <f t="shared" si="80"/>
        <v>36.333333329530433</v>
      </c>
      <c r="O155" s="7"/>
      <c r="P155" s="7"/>
      <c r="Q155" s="25"/>
      <c r="R155" s="25"/>
      <c r="S155" s="37">
        <f t="shared" si="68"/>
        <v>1</v>
      </c>
      <c r="T155" s="52" t="str">
        <f t="shared" si="69"/>
        <v>NorthBound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23:17:54-0600',mode:absolute,to:'2016-09-30 02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W155" s="54" t="str">
        <f t="shared" si="71"/>
        <v>N</v>
      </c>
      <c r="X155" s="164">
        <f t="shared" si="81"/>
        <v>1</v>
      </c>
      <c r="Y155" s="69">
        <f t="shared" si="72"/>
        <v>4.7300000000000002E-2</v>
      </c>
      <c r="Z155" s="69">
        <f t="shared" si="78"/>
        <v>23.328900000000001</v>
      </c>
      <c r="AA155" s="69">
        <f t="shared" si="73"/>
        <v>23.281600000000001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 t="shared" si="74"/>
        <v>0243-29</v>
      </c>
      <c r="AE155" s="95" t="str">
        <f t="shared" si="75"/>
        <v>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 &amp; aws s3 cp s3://rtdc.mdm.uploadarchive.raw/RTDC4040/ "%USERPROFILE%\AppData\Local\Temp\OnboardLogs"\RTDC4040\2016-10-01 --exclude "*" --recursive --include "*20161001*" &amp; "%USERPROFILE%\Documents\GitHub\mrs-test-scripts\Headless Mode &amp; Sideloading\WalkAndUnGZ.bat" "%USERPROFILE%\AppData\Local\Temp\OnboardLogs"\RTDC4040\2016-10-01</v>
      </c>
      <c r="AF155" s="92" t="str">
        <f t="shared" si="76"/>
        <v>"C:\Program Files (x86)\AstroGrep\AstroGrep.exe" /spath="%USERPROFILE%\AppData\Local\Temp\OnboardLogs" /stypes="app*4040*20160930*" /stext=" 07:.+((SYSTEM_STATE.+slice.+state.+changed )|(ment ac)|(system.+state.+changed )|(\[timeout)|(PRM\|1\|D)|(kpr)|(kdp)|(\|lc)|(penalty))" /e /r /s</v>
      </c>
      <c r="AG155" s="1" t="str">
        <f t="shared" si="77"/>
        <v>EC</v>
      </c>
      <c r="AH155" s="96" t="str">
        <f t="shared" si="64"/>
        <v>"%USERPROFILE%\Documents\GitHub\eaglep3\Utilities\RefineRTDCRunTimes.py" --tripid 243-29 --locoid 4040 --swversion DE.1.0.7.0 --startMP 204:473 --initTime 2016-09-30T00:17:54 --startdatetime 2016-09-30T00:30:26 --delay 1 --endMP 204:233289 --enddatetime 2016-09-30T01:06:46 --enforcementcount 0 &gt;&gt;C:\Users\stu\Documents\GitHub\eaglep3-reporting\EC\2016-09-29-refined-times.txt</v>
      </c>
      <c r="AI155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{"issue":{"subject":"","project_id":79,"tracker_id":40,"status_id":1,"priority_id":2,"assigned_to_id":23,"start_date":"2016-09-30","description":"","custom_fields":[{"id":1,"name":"Subdivision","value":"EC"},{"id":4,"name":"Milepost","value":"23.3289"},{"id":17,"name":"Train ID","value":"243-29"},{"id":16,"name":"Locomotive ID","value":"4040"},{"id":130,"name":"Impact","value":""},{"id":150,"name":"Time of Event (Mountain Time)","value":"01:06:46"},{"id":151,"name":"Denver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590</v>
      </c>
      <c r="B156" s="7">
        <v>4039</v>
      </c>
      <c r="C156" s="24" t="s">
        <v>106</v>
      </c>
      <c r="D156" s="24" t="s">
        <v>277</v>
      </c>
      <c r="E156" s="15">
        <v>42643.05059027778</v>
      </c>
      <c r="F156" s="15">
        <v>42643.059907407405</v>
      </c>
      <c r="G156" s="7">
        <v>1</v>
      </c>
      <c r="H156" s="15" t="s">
        <v>651</v>
      </c>
      <c r="I156" s="15">
        <v>42643.086655092593</v>
      </c>
      <c r="J156" s="7">
        <v>0</v>
      </c>
      <c r="K156" s="117" t="str">
        <f t="shared" si="66"/>
        <v>4039/4040</v>
      </c>
      <c r="L156" s="24" t="str">
        <f>VLOOKUP(A156,'Trips&amp;Operators'!$C$1:$E$10000,3,FALSE)</f>
        <v>STURGEON</v>
      </c>
      <c r="M156" s="6">
        <f t="shared" si="67"/>
        <v>2.6747685187729076E-2</v>
      </c>
      <c r="N156" s="7">
        <f t="shared" si="80"/>
        <v>38.516666670329869</v>
      </c>
      <c r="O156" s="7"/>
      <c r="P156" s="7"/>
      <c r="Q156" s="25"/>
      <c r="R156" s="25"/>
      <c r="S156" s="37">
        <f t="shared" si="68"/>
        <v>1</v>
      </c>
      <c r="T156" s="52" t="str">
        <f t="shared" si="69"/>
        <v>Southbound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https://search-rtdc-monitor-bjffxe2xuh6vdkpspy63sjmuny.us-east-1.es.amazonaws.com/_plugin/kibana/#/discover/Steve-Slow-Train-Analysis-(2080s-and-2083s)?_g=(refreshInterval:(display:Off,section:0,value:0),time:(from:'2016-09-30 00:12:51-0600',mode:absolute,to:'2016-09-30 03:04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W156" s="54" t="str">
        <f t="shared" si="71"/>
        <v>N</v>
      </c>
      <c r="X156" s="164">
        <f t="shared" si="81"/>
        <v>1</v>
      </c>
      <c r="Y156" s="69">
        <f t="shared" si="72"/>
        <v>23.296500000000002</v>
      </c>
      <c r="Z156" s="69">
        <f t="shared" si="78"/>
        <v>1.6500000000000001E-2</v>
      </c>
      <c r="AA156" s="69">
        <f t="shared" si="73"/>
        <v>23.28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 t="shared" si="74"/>
        <v>0244-29</v>
      </c>
      <c r="AE156" s="95" t="str">
        <f t="shared" si="75"/>
        <v>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 &amp; aws s3 cp s3://rtdc.mdm.uploadarchive.raw/RTDC4039/ "%USERPROFILE%\AppData\Local\Temp\OnboardLogs"\RTDC4039\2016-10-01 --exclude "*" --recursive --include "*20161001*" &amp; "%USERPROFILE%\Documents\GitHub\mrs-test-scripts\Headless Mode &amp; Sideloading\WalkAndUnGZ.bat" "%USERPROFILE%\AppData\Local\Temp\OnboardLogs"\RTDC4039\2016-10-01</v>
      </c>
      <c r="AF156" s="92" t="str">
        <f t="shared" si="76"/>
        <v>"C:\Program Files (x86)\AstroGrep\AstroGrep.exe" /spath="%USERPROFILE%\AppData\Local\Temp\OnboardLogs" /stypes="app*4039*20160930*" /stext=" 08:.+((SYSTEM_STATE.+slice.+state.+changed )|(ment ac)|(system.+state.+changed )|(\[timeout)|(PRM\|1\|D)|(kpr)|(kdp)|(\|lc)|(penalty))" /e /r /s</v>
      </c>
      <c r="AG156" s="1" t="str">
        <f t="shared" si="77"/>
        <v>EC</v>
      </c>
      <c r="AH156" s="96" t="str">
        <f t="shared" si="64"/>
        <v>"%USERPROFILE%\Documents\GitHub\eaglep3\Utilities\RefineRTDCRunTimes.py" --tripid 244-29 --locoid 4039 --swversion DE.1.0.7.0 --startMP 204:232965 --initTime 2016-09-30T01:12:51 --startdatetime 2016-09-30T01:26:16 --delay 1 --endMP 204:165 --enddatetime 2016-09-30T02:04:47 --enforcementcount 0 &gt;&gt;C:\Users\stu\Documents\GitHub\eaglep3-reporting\EC\2016-09-29-refined-times.txt</v>
      </c>
      <c r="AI156" s="130" t="str">
        <f t="shared" si="65"/>
        <v>echo {"issue":{"subject":"","project_id":79,"tracker_id":40,"status_id":1,"priority_id":2,"assigned_to_id":23,"start_date":"2016-09-30","description":"","custom_fields":[{"id":1,"name":"Subdivision","value":"EC"},{"id":4,"name":"Milepost","value":"0.0165"},{"id":17,"name":"Train ID","value":"244-29"},{"id":16,"name":"Locomotive ID","value":"4039"},{"id":130,"name":"Impact","value":""},{"id":150,"name":"Time of Event (Mountain Time)","value":"02:04:47"},{"id":151,"name":"Denver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375</v>
      </c>
      <c r="B157" s="7">
        <v>4012</v>
      </c>
      <c r="C157" s="24" t="s">
        <v>106</v>
      </c>
      <c r="D157" s="24" t="s">
        <v>677</v>
      </c>
      <c r="E157" s="15">
        <v>42642.21197916667</v>
      </c>
      <c r="F157" s="15">
        <v>42642.215046296296</v>
      </c>
      <c r="G157" s="7">
        <v>1</v>
      </c>
      <c r="H157" s="15" t="s">
        <v>678</v>
      </c>
      <c r="I157" s="15">
        <v>42642.225069444445</v>
      </c>
      <c r="J157" s="7">
        <v>0</v>
      </c>
      <c r="K157" s="117" t="str">
        <f t="shared" si="66"/>
        <v>4011/4012</v>
      </c>
      <c r="L157" s="24" t="str">
        <f>VLOOKUP(A157,'Trips&amp;Operators'!$C$1:$E$10000,3,FALSE)</f>
        <v>YORK</v>
      </c>
      <c r="M157" s="6">
        <f t="shared" si="67"/>
        <v>1.0023148148320615E-2</v>
      </c>
      <c r="N157" s="7">
        <f t="shared" si="80"/>
        <v>14.433333333581686</v>
      </c>
      <c r="O157" s="7"/>
      <c r="P157" s="7"/>
      <c r="Q157" s="25"/>
      <c r="R157" s="25"/>
      <c r="S157" s="37">
        <f t="shared" si="68"/>
        <v>1</v>
      </c>
      <c r="T157" s="52" t="str">
        <f t="shared" si="69"/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04:05:15-0600',mode:absolute,to:'2016-09-29 06:24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7" s="54" t="str">
        <f t="shared" si="71"/>
        <v>N</v>
      </c>
      <c r="X157" s="164">
        <f t="shared" si="81"/>
        <v>556</v>
      </c>
      <c r="Y157" s="69">
        <f t="shared" si="72"/>
        <v>5.8613</v>
      </c>
      <c r="Z157" s="69">
        <f t="shared" si="78"/>
        <v>7.6399999999999996E-2</v>
      </c>
      <c r="AA157" s="69">
        <f t="shared" si="73"/>
        <v>5.7849000000000004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 t="shared" si="74"/>
        <v>0800-29</v>
      </c>
      <c r="AE157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57" s="92" t="str">
        <f t="shared" si="76"/>
        <v>"C:\Program Files (x86)\AstroGrep\AstroGrep.exe" /spath="%USERPROFILE%\AppData\Local\Temp\OnboardLogs" /stypes="app*4012*20160929*" /stext=" 11:.+((SYSTEM_STATE.+slice.+state.+changed )|(ment ac)|(system.+state.+changed )|(\[timeout)|(PRM\|1\|D)|(kpr)|(kdp)|(\|lc)|(penalty))" /e /r /s</v>
      </c>
      <c r="AG157" s="1" t="str">
        <f t="shared" si="77"/>
        <v>NW</v>
      </c>
      <c r="AH157" s="96" t="str">
        <f t="shared" si="64"/>
        <v>"%USERPROFILE%\Documents\GitHub\eaglep3\Utilities\RefineRTDCRunTimes.py" --tripid 800-29 --locoid 4012 --swversion DE.1.0.7.0 --startMP 300:58613 --initTime 2016-09-29T05:05:15 --startdatetime 2016-09-29T05:09:40 --delay 1 --endMP 204:764 --enddatetime 2016-09-29T05:24:06 --enforcementcount 0 &gt;&gt;C:\Users\stu\Documents\GitHub\eaglep3-reporting\EC\2016-09-29-refined-times.txt</v>
      </c>
      <c r="AI157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{"issue":{"subject":"","project_id":79,"tracker_id":40,"status_id":1,"priority_id":2,"assigned_to_id":23,"start_date":"2016-09-29","description":"","custom_fields":[{"id":1,"name":"Subdivision","value":"NW"},{"id":4,"name":"Milepost","value":"0.0764"},{"id":17,"name":"Train ID","value":"800-29"},{"id":16,"name":"Locomotive ID","value":"4012"},{"id":130,"name":"Impact","value":""},{"id":150,"name":"Time of Event (Mountain Time)","value":"05:24:06"},{"id":151,"name":"Denver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s="23" customFormat="1" x14ac:dyDescent="0.25">
      <c r="A158" s="39" t="s">
        <v>383</v>
      </c>
      <c r="B158" s="7">
        <v>4011</v>
      </c>
      <c r="C158" s="24" t="s">
        <v>106</v>
      </c>
      <c r="D158" s="24" t="s">
        <v>679</v>
      </c>
      <c r="E158" s="15">
        <v>42642.226585648146</v>
      </c>
      <c r="F158" s="15">
        <v>42642.24422453704</v>
      </c>
      <c r="G158" s="7">
        <v>1</v>
      </c>
      <c r="H158" s="15" t="s">
        <v>680</v>
      </c>
      <c r="I158" s="15">
        <v>42642.253217592595</v>
      </c>
      <c r="J158" s="7">
        <v>0</v>
      </c>
      <c r="K158" s="117" t="str">
        <f t="shared" si="66"/>
        <v>4011/4012</v>
      </c>
      <c r="L158" s="24" t="str">
        <f>VLOOKUP(A158,'Trips&amp;Operators'!$C$1:$E$10000,3,FALSE)</f>
        <v>YORK</v>
      </c>
      <c r="M158" s="6">
        <f t="shared" si="67"/>
        <v>8.9930555550381541E-3</v>
      </c>
      <c r="N158" s="7">
        <f t="shared" si="80"/>
        <v>12.949999999254942</v>
      </c>
      <c r="O158" s="7"/>
      <c r="P158" s="7"/>
      <c r="Q158" s="25"/>
      <c r="R158" s="25"/>
      <c r="S158" s="37">
        <f t="shared" si="68"/>
        <v>1</v>
      </c>
      <c r="T158" s="52" t="str">
        <f t="shared" si="69"/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04:26:17-0600',mode:absolute,to:'2016-09-29 07:04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58" s="54" t="str">
        <f t="shared" si="71"/>
        <v>N</v>
      </c>
      <c r="X158" s="164">
        <f t="shared" si="81"/>
        <v>1</v>
      </c>
      <c r="Y158" s="69">
        <f t="shared" si="72"/>
        <v>0.106</v>
      </c>
      <c r="Z158" s="69">
        <f t="shared" si="78"/>
        <v>5.8928000000000003</v>
      </c>
      <c r="AA158" s="69">
        <f t="shared" si="73"/>
        <v>5.7868000000000004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 t="shared" si="74"/>
        <v>0801-29</v>
      </c>
      <c r="AE158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58" s="92" t="str">
        <f t="shared" si="76"/>
        <v>"C:\Program Files (x86)\AstroGrep\AstroGrep.exe" /spath="%USERPROFILE%\AppData\Local\Temp\OnboardLogs" /stypes="app*4011*20160929*" /stext=" 12:.+((SYSTEM_STATE.+slice.+state.+changed )|(ment ac)|(system.+state.+changed )|(\[timeout)|(PRM\|1\|D)|(kpr)|(kdp)|(\|lc)|(penalty))" /e /r /s</v>
      </c>
      <c r="AG158" s="1" t="str">
        <f t="shared" si="77"/>
        <v>NW</v>
      </c>
      <c r="AH158" s="96" t="str">
        <f t="shared" si="64"/>
        <v>"%USERPROFILE%\Documents\GitHub\eaglep3\Utilities\RefineRTDCRunTimes.py" --tripid 801-29 --locoid 4011 --swversion DE.1.0.7.0 --startMP 204:1060 --initTime 2016-09-29T05:26:17 --startdatetime 2016-09-29T05:51:41 --delay 1 --endMP 300:58928 --enddatetime 2016-09-29T06:04:38 --enforcementcount 0 &gt;&gt;C:\Users\stu\Documents\GitHub\eaglep3-reporting\EC\2016-09-29-refined-times.txt</v>
      </c>
      <c r="AI158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{"issue":{"subject":"","project_id":79,"tracker_id":40,"status_id":1,"priority_id":2,"assigned_to_id":23,"start_date":"2016-09-29","description":"","custom_fields":[{"id":1,"name":"Subdivision","value":"NW"},{"id":4,"name":"Milepost","value":"5.8928"},{"id":17,"name":"Train ID","value":"801-29"},{"id":16,"name":"Locomotive ID","value":"4011"},{"id":130,"name":"Impact","value":""},{"id":150,"name":"Time of Event (Mountain Time)","value":"06:04:38"},{"id":151,"name":"Denver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389</v>
      </c>
      <c r="B159" s="7">
        <v>4012</v>
      </c>
      <c r="C159" s="24" t="s">
        <v>106</v>
      </c>
      <c r="D159" s="24" t="s">
        <v>677</v>
      </c>
      <c r="E159" s="15">
        <v>42642.254664351851</v>
      </c>
      <c r="F159" s="15">
        <v>42642.255844907406</v>
      </c>
      <c r="G159" s="7">
        <v>1</v>
      </c>
      <c r="H159" s="15" t="s">
        <v>681</v>
      </c>
      <c r="I159" s="15">
        <v>42642.267627314817</v>
      </c>
      <c r="J159" s="7">
        <v>0</v>
      </c>
      <c r="K159" s="117" t="str">
        <f t="shared" si="66"/>
        <v>4011/4012</v>
      </c>
      <c r="L159" s="24" t="str">
        <f>VLOOKUP(A159,'Trips&amp;Operators'!$C$1:$E$10000,3,FALSE)</f>
        <v>YORK</v>
      </c>
      <c r="M159" s="6">
        <f t="shared" si="67"/>
        <v>1.1782407411374152E-2</v>
      </c>
      <c r="N159" s="7">
        <f t="shared" si="80"/>
        <v>16.966666672378778</v>
      </c>
      <c r="O159" s="7"/>
      <c r="P159" s="7"/>
      <c r="Q159" s="25"/>
      <c r="R159" s="25"/>
      <c r="S159" s="37">
        <f t="shared" si="68"/>
        <v>1</v>
      </c>
      <c r="T159" s="52" t="str">
        <f t="shared" si="69"/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05:06:43-0600',mode:absolute,to:'2016-09-29 07:25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59" s="54" t="str">
        <f t="shared" si="71"/>
        <v>N</v>
      </c>
      <c r="X159" s="164">
        <f t="shared" si="81"/>
        <v>1</v>
      </c>
      <c r="Y159" s="69">
        <f t="shared" si="72"/>
        <v>5.8613</v>
      </c>
      <c r="Z159" s="69">
        <f t="shared" si="78"/>
        <v>7.7100000000000002E-2</v>
      </c>
      <c r="AA159" s="69">
        <f t="shared" si="73"/>
        <v>5.7842000000000002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 t="shared" si="74"/>
        <v>0802-29</v>
      </c>
      <c r="AE159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59" s="92" t="str">
        <f t="shared" si="76"/>
        <v>"C:\Program Files (x86)\AstroGrep\AstroGrep.exe" /spath="%USERPROFILE%\AppData\Local\Temp\OnboardLogs" /stypes="app*4012*20160929*" /stext=" 12:.+((SYSTEM_STATE.+slice.+state.+changed )|(ment ac)|(system.+state.+changed )|(\[timeout)|(PRM\|1\|D)|(kpr)|(kdp)|(\|lc)|(penalty))" /e /r /s</v>
      </c>
      <c r="AG159" s="1" t="str">
        <f t="shared" si="77"/>
        <v>NW</v>
      </c>
      <c r="AH159" s="96" t="str">
        <f t="shared" si="64"/>
        <v>"%USERPROFILE%\Documents\GitHub\eaglep3\Utilities\RefineRTDCRunTimes.py" --tripid 802-29 --locoid 4012 --swversion DE.1.0.7.0 --startMP 300:58613 --initTime 2016-09-29T06:06:43 --startdatetime 2016-09-29T06:08:25 --delay 1 --endMP 204:771 --enddatetime 2016-09-29T06:25:23 --enforcementcount 0 &gt;&gt;C:\Users\stu\Documents\GitHub\eaglep3-reporting\EC\2016-09-29-refined-times.txt</v>
      </c>
      <c r="AI159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{"issue":{"subject":"","project_id":79,"tracker_id":40,"status_id":1,"priority_id":2,"assigned_to_id":23,"start_date":"2016-09-29","description":"","custom_fields":[{"id":1,"name":"Subdivision","value":"NW"},{"id":4,"name":"Milepost","value":"0.0771"},{"id":17,"name":"Train ID","value":"802-29"},{"id":16,"name":"Locomotive ID","value":"4012"},{"id":130,"name":"Impact","value":""},{"id":150,"name":"Time of Event (Mountain Time)","value":"06:25:23"},{"id":151,"name":"Denver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5"/>
      <c r="AK159" s="55"/>
      <c r="AL159" s="55"/>
    </row>
    <row r="160" spans="1:38" s="23" customFormat="1" x14ac:dyDescent="0.25">
      <c r="A160" s="39" t="s">
        <v>390</v>
      </c>
      <c r="B160" s="7">
        <v>4014</v>
      </c>
      <c r="C160" s="24" t="s">
        <v>106</v>
      </c>
      <c r="D160" s="24" t="s">
        <v>682</v>
      </c>
      <c r="E160" s="15">
        <v>42642.256493055553</v>
      </c>
      <c r="F160" s="15">
        <v>42642.264768518522</v>
      </c>
      <c r="G160" s="7">
        <v>2</v>
      </c>
      <c r="H160" s="15" t="s">
        <v>353</v>
      </c>
      <c r="I160" s="15">
        <v>42642.274236111109</v>
      </c>
      <c r="J160" s="7">
        <v>0</v>
      </c>
      <c r="K160" s="117" t="str">
        <f t="shared" si="66"/>
        <v>4013/4014</v>
      </c>
      <c r="L160" s="24" t="str">
        <f>VLOOKUP(A160,'Trips&amp;Operators'!$C$1:$E$10000,3,FALSE)</f>
        <v>GEBRETEKLE</v>
      </c>
      <c r="M160" s="6">
        <f t="shared" si="67"/>
        <v>9.4675925865885802E-3</v>
      </c>
      <c r="N160" s="7">
        <f t="shared" si="80"/>
        <v>13.633333324687555</v>
      </c>
      <c r="O160" s="7"/>
      <c r="P160" s="7"/>
      <c r="Q160" s="25"/>
      <c r="R160" s="25"/>
      <c r="S160" s="37">
        <f t="shared" si="68"/>
        <v>1</v>
      </c>
      <c r="T160" s="52" t="str">
        <f t="shared" si="69"/>
        <v>NorthBound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05:09:21-0600',mode:absolute,to:'2016-09-29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0" s="54" t="str">
        <f t="shared" si="71"/>
        <v>N</v>
      </c>
      <c r="X160" s="164">
        <f t="shared" si="81"/>
        <v>1</v>
      </c>
      <c r="Y160" s="69">
        <f t="shared" si="72"/>
        <v>3.9E-2</v>
      </c>
      <c r="Z160" s="69">
        <f t="shared" si="78"/>
        <v>5.8987999999999996</v>
      </c>
      <c r="AA160" s="69">
        <f t="shared" si="73"/>
        <v>5.8597999999999999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 t="shared" si="74"/>
        <v>0803-29</v>
      </c>
      <c r="AE160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60" s="92" t="str">
        <f t="shared" si="76"/>
        <v>"C:\Program Files (x86)\AstroGrep\AstroGrep.exe" /spath="%USERPROFILE%\AppData\Local\Temp\OnboardLogs" /stypes="app*4014*20160929*" /stext=" 12:.+((SYSTEM_STATE.+slice.+state.+changed )|(ment ac)|(system.+state.+changed )|(\[timeout)|(PRM\|1\|D)|(kpr)|(kdp)|(\|lc)|(penalty))" /e /r /s</v>
      </c>
      <c r="AG160" s="1" t="str">
        <f t="shared" si="77"/>
        <v>NW</v>
      </c>
      <c r="AH160" s="96" t="str">
        <f t="shared" si="64"/>
        <v>"%USERPROFILE%\Documents\GitHub\eaglep3\Utilities\RefineRTDCRunTimes.py" --tripid 803-29 --locoid 4014 --swversion DE.1.0.7.0 --startMP 204:390 --initTime 2016-09-29T06:09:21 --startdatetime 2016-09-29T06:21:16 --delay 2 --endMP 300:58988 --enddatetime 2016-09-29T06:34:54 --enforcementcount 0 &gt;&gt;C:\Users\stu\Documents\GitHub\eaglep3-reporting\EC\2016-09-29-refined-times.txt</v>
      </c>
      <c r="AI160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{"issue":{"subject":"","project_id":79,"tracker_id":40,"status_id":1,"priority_id":2,"assigned_to_id":23,"start_date":"2016-09-29","description":"","custom_fields":[{"id":1,"name":"Subdivision","value":"NW"},{"id":4,"name":"Milepost","value":"5.8988"},{"id":17,"name":"Train ID","value":"803-29"},{"id":16,"name":"Locomotive ID","value":"4014"},{"id":130,"name":"Impact","value":""},{"id":150,"name":"Time of Event (Mountain Time)","value":"06:34:54"},{"id":151,"name":"Denver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397</v>
      </c>
      <c r="B161" s="7">
        <v>4013</v>
      </c>
      <c r="C161" s="24" t="s">
        <v>106</v>
      </c>
      <c r="D161" s="24" t="s">
        <v>683</v>
      </c>
      <c r="E161" s="15">
        <v>42642.27616898148</v>
      </c>
      <c r="F161" s="15">
        <v>42642.278171296297</v>
      </c>
      <c r="G161" s="7">
        <v>1</v>
      </c>
      <c r="H161" s="15" t="s">
        <v>684</v>
      </c>
      <c r="I161" s="15">
        <v>42642.288958333331</v>
      </c>
      <c r="J161" s="7">
        <v>0</v>
      </c>
      <c r="K161" s="117" t="str">
        <f t="shared" si="66"/>
        <v>4013/4014</v>
      </c>
      <c r="L161" s="24" t="str">
        <f>VLOOKUP(A161,'Trips&amp;Operators'!$C$1:$E$10000,3,FALSE)</f>
        <v>GEBRETEKLE</v>
      </c>
      <c r="M161" s="6">
        <f t="shared" si="67"/>
        <v>1.0787037033878732E-2</v>
      </c>
      <c r="N161" s="7">
        <f t="shared" si="80"/>
        <v>15.533333328785375</v>
      </c>
      <c r="O161" s="7"/>
      <c r="P161" s="7"/>
      <c r="Q161" s="25"/>
      <c r="R161" s="25"/>
      <c r="S161" s="37">
        <f t="shared" si="68"/>
        <v>1</v>
      </c>
      <c r="T161" s="52" t="str">
        <f t="shared" si="69"/>
        <v>Southbound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05:37:41-0600',mode:absolute,to:'2016-09-29 07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1" s="54" t="str">
        <f t="shared" si="71"/>
        <v>N</v>
      </c>
      <c r="X161" s="164">
        <f t="shared" si="81"/>
        <v>1</v>
      </c>
      <c r="Y161" s="69">
        <f t="shared" si="72"/>
        <v>5.8666</v>
      </c>
      <c r="Z161" s="69">
        <f t="shared" si="78"/>
        <v>7.0800000000000002E-2</v>
      </c>
      <c r="AA161" s="69">
        <f t="shared" si="73"/>
        <v>5.7957999999999998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 t="shared" si="74"/>
        <v>0804-29</v>
      </c>
      <c r="AE161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61" s="92" t="str">
        <f t="shared" si="76"/>
        <v>"C:\Program Files (x86)\AstroGrep\AstroGrep.exe" /spath="%USERPROFILE%\AppData\Local\Temp\OnboardLogs" /stypes="app*4013*20160929*" /stext=" 12:.+((SYSTEM_STATE.+slice.+state.+changed )|(ment ac)|(system.+state.+changed )|(\[timeout)|(PRM\|1\|D)|(kpr)|(kdp)|(\|lc)|(penalty))" /e /r /s</v>
      </c>
      <c r="AG161" s="1" t="str">
        <f t="shared" si="77"/>
        <v>NW</v>
      </c>
      <c r="AH161" s="96" t="str">
        <f t="shared" si="64"/>
        <v>"%USERPROFILE%\Documents\GitHub\eaglep3\Utilities\RefineRTDCRunTimes.py" --tripid 804-29 --locoid 4013 --swversion DE.1.0.7.0 --startMP 300:58666 --initTime 2016-09-29T06:37:41 --startdatetime 2016-09-29T06:40:34 --delay 1 --endMP 204:708 --enddatetime 2016-09-29T06:56:06 --enforcementcount 0 &gt;&gt;C:\Users\stu\Documents\GitHub\eaglep3-reporting\EC\2016-09-29-refined-times.txt</v>
      </c>
      <c r="AI161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{"issue":{"subject":"","project_id":79,"tracker_id":40,"status_id":1,"priority_id":2,"assigned_to_id":23,"start_date":"2016-09-29","description":"","custom_fields":[{"id":1,"name":"Subdivision","value":"NW"},{"id":4,"name":"Milepost","value":"0.0708"},{"id":17,"name":"Train ID","value":"804-29"},{"id":16,"name":"Locomotive ID","value":"4013"},{"id":130,"name":"Impact","value":""},{"id":150,"name":"Time of Event (Mountain Time)","value":"06:56:06"},{"id":151,"name":"Denver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395</v>
      </c>
      <c r="B162" s="7">
        <v>4011</v>
      </c>
      <c r="C162" s="24" t="s">
        <v>106</v>
      </c>
      <c r="D162" s="24" t="s">
        <v>685</v>
      </c>
      <c r="E162" s="15">
        <v>42642.268888888888</v>
      </c>
      <c r="F162" s="15">
        <v>42642.285983796297</v>
      </c>
      <c r="G162" s="7">
        <v>1</v>
      </c>
      <c r="H162" s="15" t="s">
        <v>686</v>
      </c>
      <c r="I162" s="15">
        <v>42642.294699074075</v>
      </c>
      <c r="J162" s="7">
        <v>0</v>
      </c>
      <c r="K162" s="117" t="str">
        <f t="shared" si="66"/>
        <v>4011/4012</v>
      </c>
      <c r="L162" s="24" t="str">
        <f>VLOOKUP(A162,'Trips&amp;Operators'!$C$1:$E$10000,3,FALSE)</f>
        <v>YORK</v>
      </c>
      <c r="M162" s="6">
        <f t="shared" si="67"/>
        <v>8.7152777778101154E-3</v>
      </c>
      <c r="N162" s="7">
        <f t="shared" si="80"/>
        <v>12.550000000046566</v>
      </c>
      <c r="O162" s="7"/>
      <c r="P162" s="7"/>
      <c r="Q162" s="25"/>
      <c r="R162" s="25"/>
      <c r="S162" s="37">
        <f t="shared" si="68"/>
        <v>1</v>
      </c>
      <c r="T162" s="52" t="str">
        <f t="shared" si="69"/>
        <v>NorthBound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05:27:12-0600',mode:absolute,to:'2016-09-29 08:04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2" s="54" t="str">
        <f t="shared" si="71"/>
        <v>N</v>
      </c>
      <c r="X162" s="164">
        <f t="shared" si="81"/>
        <v>1</v>
      </c>
      <c r="Y162" s="69">
        <f t="shared" si="72"/>
        <v>0.1053</v>
      </c>
      <c r="Z162" s="69">
        <f t="shared" si="78"/>
        <v>5.8935000000000004</v>
      </c>
      <c r="AA162" s="69">
        <f t="shared" si="73"/>
        <v>5.7882000000000007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 t="shared" si="74"/>
        <v>0805-29</v>
      </c>
      <c r="AE162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62" s="92" t="str">
        <f t="shared" si="76"/>
        <v>"C:\Program Files (x86)\AstroGrep\AstroGrep.exe" /spath="%USERPROFILE%\AppData\Local\Temp\OnboardLogs" /stypes="app*4011*20160929*" /stext=" 13:.+((SYSTEM_STATE.+slice.+state.+changed )|(ment ac)|(system.+state.+changed )|(\[timeout)|(PRM\|1\|D)|(kpr)|(kdp)|(\|lc)|(penalty))" /e /r /s</v>
      </c>
      <c r="AG162" s="1" t="str">
        <f t="shared" si="77"/>
        <v>NW</v>
      </c>
      <c r="AH162" s="96" t="str">
        <f t="shared" si="64"/>
        <v>"%USERPROFILE%\Documents\GitHub\eaglep3\Utilities\RefineRTDCRunTimes.py" --tripid 805-29 --locoid 4011 --swversion DE.1.0.7.0 --startMP 204:1053 --initTime 2016-09-29T06:27:12 --startdatetime 2016-09-29T06:51:49 --delay 1 --endMP 300:58935 --enddatetime 2016-09-29T07:04:22 --enforcementcount 0 &gt;&gt;C:\Users\stu\Documents\GitHub\eaglep3-reporting\EC\2016-09-29-refined-times.txt</v>
      </c>
      <c r="AI162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{"issue":{"subject":"","project_id":79,"tracker_id":40,"status_id":1,"priority_id":2,"assigned_to_id":23,"start_date":"2016-09-29","description":"","custom_fields":[{"id":1,"name":"Subdivision","value":"NW"},{"id":4,"name":"Milepost","value":"5.8935"},{"id":17,"name":"Train ID","value":"805-29"},{"id":16,"name":"Locomotive ID","value":"4011"},{"id":130,"name":"Impact","value":""},{"id":150,"name":"Time of Event (Mountain Time)","value":"07:04:22"},{"id":151,"name":"Denver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402</v>
      </c>
      <c r="B163" s="7">
        <v>4012</v>
      </c>
      <c r="C163" s="24" t="s">
        <v>106</v>
      </c>
      <c r="D163" s="24" t="s">
        <v>687</v>
      </c>
      <c r="E163" s="15">
        <v>42642.296273148146</v>
      </c>
      <c r="F163" s="15">
        <v>42642.297546296293</v>
      </c>
      <c r="G163" s="7">
        <v>1</v>
      </c>
      <c r="H163" s="15" t="s">
        <v>688</v>
      </c>
      <c r="I163" s="15">
        <v>42642.309108796297</v>
      </c>
      <c r="J163" s="7">
        <v>0</v>
      </c>
      <c r="K163" s="117" t="str">
        <f t="shared" si="66"/>
        <v>4011/4012</v>
      </c>
      <c r="L163" s="24" t="str">
        <f>VLOOKUP(A163,'Trips&amp;Operators'!$C$1:$E$10000,3,FALSE)</f>
        <v>YORK</v>
      </c>
      <c r="M163" s="6">
        <f t="shared" si="67"/>
        <v>1.156250000349246E-2</v>
      </c>
      <c r="N163" s="7">
        <f t="shared" si="80"/>
        <v>16.650000005029142</v>
      </c>
      <c r="O163" s="7"/>
      <c r="P163" s="7"/>
      <c r="Q163" s="25"/>
      <c r="R163" s="25"/>
      <c r="S163" s="37">
        <f t="shared" si="68"/>
        <v>1</v>
      </c>
      <c r="T163" s="52" t="str">
        <f t="shared" si="69"/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06:06:38-0600',mode:absolute,to:'2016-09-29 08:25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3" s="54" t="str">
        <f t="shared" si="71"/>
        <v>N</v>
      </c>
      <c r="X163" s="164">
        <f t="shared" si="81"/>
        <v>1</v>
      </c>
      <c r="Y163" s="69">
        <f t="shared" si="72"/>
        <v>5.8608000000000002</v>
      </c>
      <c r="Z163" s="69">
        <f t="shared" si="78"/>
        <v>7.8299999999999995E-2</v>
      </c>
      <c r="AA163" s="69">
        <f t="shared" si="73"/>
        <v>5.7825000000000006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 t="shared" si="74"/>
        <v>0806-29</v>
      </c>
      <c r="AE163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63" s="92" t="str">
        <f t="shared" si="76"/>
        <v>"C:\Program Files (x86)\AstroGrep\AstroGrep.exe" /spath="%USERPROFILE%\AppData\Local\Temp\OnboardLogs" /stypes="app*4012*20160929*" /stext=" 13:.+((SYSTEM_STATE.+slice.+state.+changed )|(ment ac)|(system.+state.+changed )|(\[timeout)|(PRM\|1\|D)|(kpr)|(kdp)|(\|lc)|(penalty))" /e /r /s</v>
      </c>
      <c r="AG163" s="1" t="str">
        <f t="shared" si="77"/>
        <v>NW</v>
      </c>
      <c r="AH163" s="96" t="str">
        <f t="shared" si="64"/>
        <v>"%USERPROFILE%\Documents\GitHub\eaglep3\Utilities\RefineRTDCRunTimes.py" --tripid 806-29 --locoid 4012 --swversion DE.1.0.7.0 --startMP 300:58608 --initTime 2016-09-29T07:06:38 --startdatetime 2016-09-29T07:08:28 --delay 1 --endMP 204:783 --enddatetime 2016-09-29T07:25:07 --enforcementcount 0 &gt;&gt;C:\Users\stu\Documents\GitHub\eaglep3-reporting\EC\2016-09-29-refined-times.txt</v>
      </c>
      <c r="AI163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{"issue":{"subject":"","project_id":79,"tracker_id":40,"status_id":1,"priority_id":2,"assigned_to_id":23,"start_date":"2016-09-29","description":"","custom_fields":[{"id":1,"name":"Subdivision","value":"NW"},{"id":4,"name":"Milepost","value":"0.0783"},{"id":17,"name":"Train ID","value":"806-29"},{"id":16,"name":"Locomotive ID","value":"4012"},{"id":130,"name":"Impact","value":""},{"id":150,"name":"Time of Event (Mountain Time)","value":"07:25:07"},{"id":151,"name":"Denver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x14ac:dyDescent="0.25">
      <c r="A164" s="39" t="s">
        <v>404</v>
      </c>
      <c r="B164" s="7">
        <v>4014</v>
      </c>
      <c r="C164" s="24" t="s">
        <v>106</v>
      </c>
      <c r="D164" s="24" t="s">
        <v>349</v>
      </c>
      <c r="E164" s="15">
        <v>42642.303657407407</v>
      </c>
      <c r="F164" s="15">
        <v>42642.306504629632</v>
      </c>
      <c r="G164" s="7">
        <v>1</v>
      </c>
      <c r="H164" s="15" t="s">
        <v>360</v>
      </c>
      <c r="I164" s="15">
        <v>42642.315682870372</v>
      </c>
      <c r="J164" s="7">
        <v>0</v>
      </c>
      <c r="K164" s="117" t="str">
        <f t="shared" si="66"/>
        <v>4013/4014</v>
      </c>
      <c r="L164" s="24" t="str">
        <f>VLOOKUP(A164,'Trips&amp;Operators'!$C$1:$E$10000,3,FALSE)</f>
        <v>GEBRETEKLE</v>
      </c>
      <c r="M164" s="6">
        <f t="shared" si="67"/>
        <v>9.1782407398568466E-3</v>
      </c>
      <c r="N164" s="7">
        <f t="shared" si="80"/>
        <v>13.216666665393859</v>
      </c>
      <c r="O164" s="7"/>
      <c r="P164" s="7"/>
      <c r="Q164" s="25"/>
      <c r="R164" s="25"/>
      <c r="S164" s="37">
        <f t="shared" si="68"/>
        <v>1</v>
      </c>
      <c r="T164" s="52" t="str">
        <f t="shared" si="69"/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06:17:16-0600',mode:absolute,to:'2016-09-29 08:34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4" s="54" t="str">
        <f t="shared" si="71"/>
        <v>N</v>
      </c>
      <c r="X164" s="164">
        <f t="shared" si="81"/>
        <v>1</v>
      </c>
      <c r="Y164" s="69">
        <f t="shared" si="72"/>
        <v>9.9299999999999999E-2</v>
      </c>
      <c r="Z164" s="69">
        <f t="shared" si="78"/>
        <v>5.8997000000000002</v>
      </c>
      <c r="AA164" s="69">
        <f t="shared" si="73"/>
        <v>5.8003999999999998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 t="shared" si="74"/>
        <v>0807-29</v>
      </c>
      <c r="AE164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64" s="92" t="str">
        <f t="shared" si="76"/>
        <v>"C:\Program Files (x86)\AstroGrep\AstroGrep.exe" /spath="%USERPROFILE%\AppData\Local\Temp\OnboardLogs" /stypes="app*4014*20160929*" /stext=" 13:.+((SYSTEM_STATE.+slice.+state.+changed )|(ment ac)|(system.+state.+changed )|(\[timeout)|(PRM\|1\|D)|(kpr)|(kdp)|(\|lc)|(penalty))" /e /r /s</v>
      </c>
      <c r="AG164" s="1" t="str">
        <f t="shared" si="77"/>
        <v>NW</v>
      </c>
      <c r="AH164" s="96" t="str">
        <f t="shared" si="64"/>
        <v>"%USERPROFILE%\Documents\GitHub\eaglep3\Utilities\RefineRTDCRunTimes.py" --tripid 807-29 --locoid 4014 --swversion DE.1.0.7.0 --startMP 204:993 --initTime 2016-09-29T07:17:16 --startdatetime 2016-09-29T07:21:22 --delay 1 --endMP 300:58997 --enddatetime 2016-09-29T07:34:35 --enforcementcount 0 &gt;&gt;C:\Users\stu\Documents\GitHub\eaglep3-reporting\EC\2016-09-29-refined-times.txt</v>
      </c>
      <c r="AI164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{"issue":{"subject":"","project_id":79,"tracker_id":40,"status_id":1,"priority_id":2,"assigned_to_id":23,"start_date":"2016-09-29","description":"","custom_fields":[{"id":1,"name":"Subdivision","value":"NW"},{"id":4,"name":"Milepost","value":"5.8997"},{"id":17,"name":"Train ID","value":"807-29"},{"id":16,"name":"Locomotive ID","value":"4014"},{"id":130,"name":"Impact","value":""},{"id":150,"name":"Time of Event (Mountain Time)","value":"07:34:35"},{"id":151,"name":"Denver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x14ac:dyDescent="0.25">
      <c r="A165" s="39" t="s">
        <v>409</v>
      </c>
      <c r="B165" s="7">
        <v>4013</v>
      </c>
      <c r="C165" s="24" t="s">
        <v>106</v>
      </c>
      <c r="D165" s="24" t="s">
        <v>689</v>
      </c>
      <c r="E165" s="15">
        <v>42642.317187499997</v>
      </c>
      <c r="F165" s="15">
        <v>42642.318969907406</v>
      </c>
      <c r="G165" s="7">
        <v>1</v>
      </c>
      <c r="H165" s="15" t="s">
        <v>690</v>
      </c>
      <c r="I165" s="15">
        <v>42642.330520833333</v>
      </c>
      <c r="J165" s="7">
        <v>0</v>
      </c>
      <c r="K165" s="117" t="str">
        <f t="shared" si="66"/>
        <v>4013/4014</v>
      </c>
      <c r="L165" s="24" t="str">
        <f>VLOOKUP(A165,'Trips&amp;Operators'!$C$1:$E$10000,3,FALSE)</f>
        <v>GEBRETEKLE</v>
      </c>
      <c r="M165" s="6">
        <f t="shared" si="67"/>
        <v>1.1550925926712807E-2</v>
      </c>
      <c r="N165" s="7">
        <f t="shared" si="80"/>
        <v>16.633333334466442</v>
      </c>
      <c r="O165" s="7"/>
      <c r="P165" s="7"/>
      <c r="Q165" s="25"/>
      <c r="R165" s="25"/>
      <c r="S165" s="37">
        <f t="shared" si="68"/>
        <v>1</v>
      </c>
      <c r="T165" s="52" t="str">
        <f t="shared" si="69"/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06:36:45-0600',mode:absolute,to:'2016-09-29 08:55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5" s="54" t="str">
        <f t="shared" si="71"/>
        <v>N</v>
      </c>
      <c r="X165" s="164">
        <f t="shared" si="81"/>
        <v>1</v>
      </c>
      <c r="Y165" s="69">
        <f t="shared" si="72"/>
        <v>5.8681000000000001</v>
      </c>
      <c r="Z165" s="69">
        <f t="shared" si="78"/>
        <v>7.1999999999999995E-2</v>
      </c>
      <c r="AA165" s="69">
        <f t="shared" si="73"/>
        <v>5.7961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 t="shared" si="74"/>
        <v>0808-29</v>
      </c>
      <c r="AE165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65" s="92" t="str">
        <f t="shared" si="76"/>
        <v>"C:\Program Files (x86)\AstroGrep\AstroGrep.exe" /spath="%USERPROFILE%\AppData\Local\Temp\OnboardLogs" /stypes="app*4013*20160929*" /stext=" 13:.+((SYSTEM_STATE.+slice.+state.+changed )|(ment ac)|(system.+state.+changed )|(\[timeout)|(PRM\|1\|D)|(kpr)|(kdp)|(\|lc)|(penalty))" /e /r /s</v>
      </c>
      <c r="AG165" s="1" t="str">
        <f t="shared" si="77"/>
        <v>NW</v>
      </c>
      <c r="AH165" s="96" t="str">
        <f t="shared" si="64"/>
        <v>"%USERPROFILE%\Documents\GitHub\eaglep3\Utilities\RefineRTDCRunTimes.py" --tripid 808-29 --locoid 4013 --swversion DE.1.0.7.0 --startMP 300:58681 --initTime 2016-09-29T07:36:45 --startdatetime 2016-09-29T07:39:19 --delay 1 --endMP 204:720 --enddatetime 2016-09-29T07:55:57 --enforcementcount 0 &gt;&gt;C:\Users\stu\Documents\GitHub\eaglep3-reporting\EC\2016-09-29-refined-times.txt</v>
      </c>
      <c r="AI165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{"issue":{"subject":"","project_id":79,"tracker_id":40,"status_id":1,"priority_id":2,"assigned_to_id":23,"start_date":"2016-09-29","description":"","custom_fields":[{"id":1,"name":"Subdivision","value":"NW"},{"id":4,"name":"Milepost","value":"0.072"},{"id":17,"name":"Train ID","value":"808-29"},{"id":16,"name":"Locomotive ID","value":"4013"},{"id":130,"name":"Impact","value":""},{"id":150,"name":"Time of Event (Mountain Time)","value":"07:55:57"},{"id":151,"name":"Denver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406</v>
      </c>
      <c r="B166" s="7">
        <v>4011</v>
      </c>
      <c r="C166" s="24" t="s">
        <v>106</v>
      </c>
      <c r="D166" s="24" t="s">
        <v>685</v>
      </c>
      <c r="E166" s="15">
        <v>42642.310763888891</v>
      </c>
      <c r="F166" s="15">
        <v>42642.327546296299</v>
      </c>
      <c r="G166" s="7">
        <v>0</v>
      </c>
      <c r="H166" s="15" t="s">
        <v>691</v>
      </c>
      <c r="I166" s="15">
        <v>42642.336284722223</v>
      </c>
      <c r="J166" s="7">
        <v>0</v>
      </c>
      <c r="K166" s="117" t="str">
        <f t="shared" si="66"/>
        <v>4011/4012</v>
      </c>
      <c r="L166" s="24" t="str">
        <f>VLOOKUP(A166,'Trips&amp;Operators'!$C$1:$E$10000,3,FALSE)</f>
        <v>YORK</v>
      </c>
      <c r="M166" s="6">
        <f t="shared" si="67"/>
        <v>8.7384259240934625E-3</v>
      </c>
      <c r="N166" s="7">
        <f t="shared" si="80"/>
        <v>12.583333330694586</v>
      </c>
      <c r="O166" s="7"/>
      <c r="P166" s="7"/>
      <c r="Q166" s="25"/>
      <c r="R166" s="25"/>
      <c r="S166" s="37">
        <f t="shared" si="68"/>
        <v>1</v>
      </c>
      <c r="T166" s="52" t="str">
        <f t="shared" si="69"/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06:27:30-0600',mode:absolute,to:'2016-09-29 09:04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66" s="54" t="str">
        <f t="shared" si="71"/>
        <v>N</v>
      </c>
      <c r="X166" s="164">
        <f t="shared" si="81"/>
        <v>1</v>
      </c>
      <c r="Y166" s="69">
        <f t="shared" si="72"/>
        <v>0.1053</v>
      </c>
      <c r="Z166" s="69">
        <f t="shared" si="78"/>
        <v>5.8940999999999999</v>
      </c>
      <c r="AA166" s="69">
        <f t="shared" si="73"/>
        <v>5.7888000000000002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 t="shared" si="74"/>
        <v>0809-29</v>
      </c>
      <c r="AE166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66" s="92" t="str">
        <f t="shared" si="76"/>
        <v>"C:\Program Files (x86)\AstroGrep\AstroGrep.exe" /spath="%USERPROFILE%\AppData\Local\Temp\OnboardLogs" /stypes="app*4011*20160929*" /stext=" 14:.+((SYSTEM_STATE.+slice.+state.+changed )|(ment ac)|(system.+state.+changed )|(\[timeout)|(PRM\|1\|D)|(kpr)|(kdp)|(\|lc)|(penalty))" /e /r /s</v>
      </c>
      <c r="AG166" s="1" t="str">
        <f t="shared" si="77"/>
        <v>NW</v>
      </c>
      <c r="AH166" s="96" t="str">
        <f t="shared" si="64"/>
        <v>"%USERPROFILE%\Documents\GitHub\eaglep3\Utilities\RefineRTDCRunTimes.py" --tripid 809-29 --locoid 4011 --swversion DE.1.0.7.0 --startMP 204:1053 --initTime 2016-09-29T07:27:30 --startdatetime 2016-09-29T07:51:40 --delay 0 --endMP 300:58941 --enddatetime 2016-09-29T08:04:15 --enforcementcount 0 &gt;&gt;C:\Users\stu\Documents\GitHub\eaglep3-reporting\EC\2016-09-29-refined-times.txt</v>
      </c>
      <c r="AI166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{"issue":{"subject":"","project_id":79,"tracker_id":40,"status_id":1,"priority_id":2,"assigned_to_id":23,"start_date":"2016-09-29","description":"","custom_fields":[{"id":1,"name":"Subdivision","value":"NW"},{"id":4,"name":"Milepost","value":"5.8941"},{"id":17,"name":"Train ID","value":"809-29"},{"id":16,"name":"Locomotive ID","value":"4011"},{"id":130,"name":"Impact","value":""},{"id":150,"name":"Time of Event (Mountain Time)","value":"08:04:15"},{"id":151,"name":"Denver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s="23" customFormat="1" x14ac:dyDescent="0.25">
      <c r="A167" s="39" t="s">
        <v>413</v>
      </c>
      <c r="B167" s="7">
        <v>4012</v>
      </c>
      <c r="C167" s="24" t="s">
        <v>106</v>
      </c>
      <c r="D167" s="24" t="s">
        <v>692</v>
      </c>
      <c r="E167" s="15">
        <v>42642.337256944447</v>
      </c>
      <c r="F167" s="15">
        <v>42642.340671296297</v>
      </c>
      <c r="G167" s="7">
        <v>1</v>
      </c>
      <c r="H167" s="15" t="s">
        <v>693</v>
      </c>
      <c r="I167" s="15">
        <v>42642.350821759261</v>
      </c>
      <c r="J167" s="7">
        <v>0</v>
      </c>
      <c r="K167" s="117" t="str">
        <f t="shared" si="66"/>
        <v>4011/4012</v>
      </c>
      <c r="L167" s="24" t="str">
        <f>VLOOKUP(A167,'Trips&amp;Operators'!$C$1:$E$10000,3,FALSE)</f>
        <v>YORK</v>
      </c>
      <c r="M167" s="6">
        <f t="shared" si="67"/>
        <v>1.0150462963792961E-2</v>
      </c>
      <c r="N167" s="7">
        <f t="shared" si="80"/>
        <v>14.616666667861864</v>
      </c>
      <c r="O167" s="7"/>
      <c r="P167" s="7"/>
      <c r="Q167" s="25"/>
      <c r="R167" s="25"/>
      <c r="S167" s="37">
        <f t="shared" si="68"/>
        <v>1</v>
      </c>
      <c r="T167" s="52" t="str">
        <f t="shared" si="69"/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07:05:39-0600',mode:absolute,to:'2016-09-29 09:25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67" s="54" t="str">
        <f t="shared" si="71"/>
        <v>N</v>
      </c>
      <c r="X167" s="164">
        <f t="shared" si="81"/>
        <v>1</v>
      </c>
      <c r="Y167" s="69">
        <f t="shared" si="72"/>
        <v>5.8625999999999996</v>
      </c>
      <c r="Z167" s="69">
        <f t="shared" si="78"/>
        <v>7.8200000000000006E-2</v>
      </c>
      <c r="AA167" s="69">
        <f t="shared" si="73"/>
        <v>5.7843999999999998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 t="shared" si="74"/>
        <v>0810-29</v>
      </c>
      <c r="AE167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67" s="92" t="str">
        <f t="shared" si="76"/>
        <v>"C:\Program Files (x86)\AstroGrep\AstroGrep.exe" /spath="%USERPROFILE%\AppData\Local\Temp\OnboardLogs" /stypes="app*4012*20160929*" /stext=" 14:.+((SYSTEM_STATE.+slice.+state.+changed )|(ment ac)|(system.+state.+changed )|(\[timeout)|(PRM\|1\|D)|(kpr)|(kdp)|(\|lc)|(penalty))" /e /r /s</v>
      </c>
      <c r="AG167" s="1" t="str">
        <f t="shared" si="77"/>
        <v>NW</v>
      </c>
      <c r="AH167" s="96" t="str">
        <f t="shared" si="64"/>
        <v>"%USERPROFILE%\Documents\GitHub\eaglep3\Utilities\RefineRTDCRunTimes.py" --tripid 810-29 --locoid 4012 --swversion DE.1.0.7.0 --startMP 300:58626 --initTime 2016-09-29T08:05:39 --startdatetime 2016-09-29T08:10:34 --delay 1 --endMP 204:782 --enddatetime 2016-09-29T08:25:11 --enforcementcount 0 &gt;&gt;C:\Users\stu\Documents\GitHub\eaglep3-reporting\EC\2016-09-29-refined-times.txt</v>
      </c>
      <c r="AI167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{"issue":{"subject":"","project_id":79,"tracker_id":40,"status_id":1,"priority_id":2,"assigned_to_id":23,"start_date":"2016-09-29","description":"","custom_fields":[{"id":1,"name":"Subdivision","value":"NW"},{"id":4,"name":"Milepost","value":"0.0782"},{"id":17,"name":"Train ID","value":"810-29"},{"id":16,"name":"Locomotive ID","value":"4012"},{"id":130,"name":"Impact","value":""},{"id":150,"name":"Time of Event (Mountain Time)","value":"08:25:11"},{"id":151,"name":"Denver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416</v>
      </c>
      <c r="B168" s="7">
        <v>4014</v>
      </c>
      <c r="C168" s="24" t="s">
        <v>106</v>
      </c>
      <c r="D168" s="24" t="s">
        <v>354</v>
      </c>
      <c r="E168" s="15">
        <v>42642.343726851854</v>
      </c>
      <c r="F168" s="15">
        <v>42642.348263888889</v>
      </c>
      <c r="G168" s="7">
        <v>4</v>
      </c>
      <c r="H168" s="15" t="s">
        <v>694</v>
      </c>
      <c r="I168" s="15">
        <v>42642.359131944446</v>
      </c>
      <c r="J168" s="7">
        <v>0</v>
      </c>
      <c r="K168" s="117" t="str">
        <f t="shared" si="66"/>
        <v>4013/4014</v>
      </c>
      <c r="L168" s="24" t="str">
        <f>VLOOKUP(A168,'Trips&amp;Operators'!$C$1:$E$10000,3,FALSE)</f>
        <v>SNYDER</v>
      </c>
      <c r="M168" s="6">
        <f t="shared" si="67"/>
        <v>1.0868055556784384E-2</v>
      </c>
      <c r="N168" s="7">
        <f t="shared" si="80"/>
        <v>15.650000001769513</v>
      </c>
      <c r="O168" s="7"/>
      <c r="P168" s="7"/>
      <c r="Q168" s="25"/>
      <c r="R168" s="25"/>
      <c r="S168" s="37">
        <f t="shared" si="68"/>
        <v>1</v>
      </c>
      <c r="T168" s="52" t="str">
        <f t="shared" si="69"/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07:14:58-0600',mode:absolute,to:'2016-09-29 09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68" s="54" t="str">
        <f t="shared" si="71"/>
        <v>N</v>
      </c>
      <c r="X168" s="164">
        <f t="shared" si="81"/>
        <v>1</v>
      </c>
      <c r="Y168" s="69">
        <f t="shared" si="72"/>
        <v>0.1011</v>
      </c>
      <c r="Z168" s="69">
        <f t="shared" si="78"/>
        <v>5.8949999999999996</v>
      </c>
      <c r="AA168" s="69">
        <f t="shared" si="73"/>
        <v>5.7938999999999998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 t="shared" si="74"/>
        <v>0811-29</v>
      </c>
      <c r="AE168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68" s="92" t="str">
        <f t="shared" si="76"/>
        <v>"C:\Program Files (x86)\AstroGrep\AstroGrep.exe" /spath="%USERPROFILE%\AppData\Local\Temp\OnboardLogs" /stypes="app*4014*20160929*" /stext=" 14:.+((SYSTEM_STATE.+slice.+state.+changed )|(ment ac)|(system.+state.+changed )|(\[timeout)|(PRM\|1\|D)|(kpr)|(kdp)|(\|lc)|(penalty))" /e /r /s</v>
      </c>
      <c r="AG168" s="1" t="str">
        <f t="shared" si="77"/>
        <v>NW</v>
      </c>
      <c r="AH168" s="96" t="str">
        <f t="shared" si="64"/>
        <v>"%USERPROFILE%\Documents\GitHub\eaglep3\Utilities\RefineRTDCRunTimes.py" --tripid 811-29 --locoid 4014 --swversion DE.1.0.7.0 --startMP 204:1011 --initTime 2016-09-29T08:14:58 --startdatetime 2016-09-29T08:21:30 --delay 4 --endMP 300:58950 --enddatetime 2016-09-29T08:37:09 --enforcementcount 0 &gt;&gt;C:\Users\stu\Documents\GitHub\eaglep3-reporting\EC\2016-09-29-refined-times.txt</v>
      </c>
      <c r="AI168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{"issue":{"subject":"","project_id":79,"tracker_id":40,"status_id":1,"priority_id":2,"assigned_to_id":23,"start_date":"2016-09-29","description":"","custom_fields":[{"id":1,"name":"Subdivision","value":"NW"},{"id":4,"name":"Milepost","value":"5.895"},{"id":17,"name":"Train ID","value":"811-29"},{"id":16,"name":"Locomotive ID","value":"4014"},{"id":130,"name":"Impact","value":""},{"id":150,"name":"Time of Event (Mountain Time)","value":"08:37:09"},{"id":151,"name":"Denver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x14ac:dyDescent="0.25">
      <c r="A169" s="39" t="s">
        <v>422</v>
      </c>
      <c r="B169" s="7">
        <v>4013</v>
      </c>
      <c r="C169" s="24" t="s">
        <v>106</v>
      </c>
      <c r="D169" s="24" t="s">
        <v>696</v>
      </c>
      <c r="E169" s="15">
        <v>42642.362685185188</v>
      </c>
      <c r="F169" s="15">
        <v>42642.364282407405</v>
      </c>
      <c r="G169" s="7">
        <v>1</v>
      </c>
      <c r="H169" s="15" t="s">
        <v>695</v>
      </c>
      <c r="I169" s="15">
        <v>42642.373923611114</v>
      </c>
      <c r="J169" s="7">
        <v>0</v>
      </c>
      <c r="K169" s="117" t="str">
        <f t="shared" si="66"/>
        <v>4013/4014</v>
      </c>
      <c r="L169" s="24" t="str">
        <f>VLOOKUP(A169,'Trips&amp;Operators'!$C$1:$E$10000,3,FALSE)</f>
        <v>GEBRETEKLE</v>
      </c>
      <c r="M169" s="6">
        <f t="shared" si="67"/>
        <v>9.6412037091795355E-3</v>
      </c>
      <c r="N169" s="7">
        <f t="shared" si="80"/>
        <v>13.883333341218531</v>
      </c>
      <c r="O169" s="7"/>
      <c r="P169" s="7"/>
      <c r="Q169" s="25"/>
      <c r="R169" s="25" t="s">
        <v>749</v>
      </c>
      <c r="S169" s="37">
        <f t="shared" si="68"/>
        <v>1</v>
      </c>
      <c r="T169" s="52" t="str">
        <f t="shared" si="69"/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07:42:16-0600',mode:absolute,to:'2016-09-29 09:58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69" s="54" t="str">
        <f t="shared" si="71"/>
        <v>N</v>
      </c>
      <c r="X169" s="164">
        <f t="shared" ref="X169:X171" si="82">VALUE(LEFT(AD169,4))-VALUE(LEFT(AD168,4))</f>
        <v>1</v>
      </c>
      <c r="Y169" s="69">
        <f t="shared" si="72"/>
        <v>5.8632</v>
      </c>
      <c r="Z169" s="69">
        <v>7.0000000000000007E-2</v>
      </c>
      <c r="AA169" s="69">
        <f t="shared" si="73"/>
        <v>5.7931999999999997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 t="shared" si="74"/>
        <v>0812-29</v>
      </c>
      <c r="AE169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69" s="92" t="str">
        <f t="shared" si="76"/>
        <v>"C:\Program Files (x86)\AstroGrep\AstroGrep.exe" /spath="%USERPROFILE%\AppData\Local\Temp\OnboardLogs" /stypes="app*4013*20160929*" /stext=" 14:.+((SYSTEM_STATE.+slice.+state.+changed )|(ment ac)|(system.+state.+changed )|(\[timeout)|(PRM\|1\|D)|(kpr)|(kdp)|(\|lc)|(penalty))" /e /r /s</v>
      </c>
      <c r="AG169" s="1" t="str">
        <f t="shared" si="77"/>
        <v>NW</v>
      </c>
      <c r="AH169" s="96" t="str">
        <f t="shared" si="64"/>
        <v>"%USERPROFILE%\Documents\GitHub\eaglep3\Utilities\RefineRTDCRunTimes.py" --tripid 812-29 --locoid 4013 --swversion DE.1.0.7.0 --startMP 300:58632 --initTime 2016-09-29T08:42:16 --startdatetime 2016-09-29T08:44:34 --delay 1 --endMP 300:6648 --enddatetime 2016-09-29T08:58:27 --enforcementcount 0 &gt;&gt;C:\Users\stu\Documents\GitHub\eaglep3-reporting\EC\2016-09-29-refined-times.txt</v>
      </c>
      <c r="AI169" s="130" t="str">
        <f t="shared" si="65"/>
        <v>echo {"issue":{"subject":"Initialized twice, doesn't seem like for any reason","project_id":79,"tracker_id":40,"status_id":1,"priority_id":2,"assigned_to_id":23,"start_date":"2016-09-29","description":"","custom_fields":[{"id":1,"name":"Subdivision","value":"NW"},{"id":4,"name":"Milepost","value":"0.07"},{"id":17,"name":"Train ID","value":"812-29"},{"id":16,"name":"Locomotive ID","value":"4013"},{"id":130,"name":"Impact","value":""},{"id":150,"name":"Time of Event (Mountain Time)","value":"08:58:27"},{"id":151,"name":"Denver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428</v>
      </c>
      <c r="B170" s="7">
        <v>4014</v>
      </c>
      <c r="C170" s="24" t="s">
        <v>106</v>
      </c>
      <c r="D170" s="24" t="s">
        <v>302</v>
      </c>
      <c r="E170" s="15">
        <v>42642.387592592589</v>
      </c>
      <c r="F170" s="15">
        <v>42642.389814814815</v>
      </c>
      <c r="G170" s="7">
        <v>2</v>
      </c>
      <c r="H170" s="15" t="s">
        <v>697</v>
      </c>
      <c r="I170" s="15">
        <v>42642.399027777778</v>
      </c>
      <c r="J170" s="7">
        <v>0</v>
      </c>
      <c r="K170" s="117" t="str">
        <f t="shared" si="66"/>
        <v>4013/4014</v>
      </c>
      <c r="L170" s="24" t="str">
        <f>VLOOKUP(A170,'Trips&amp;Operators'!$C$1:$E$10000,3,FALSE)</f>
        <v>GEBRETEKLE</v>
      </c>
      <c r="M170" s="6">
        <f t="shared" si="67"/>
        <v>9.2129629629198462E-3</v>
      </c>
      <c r="N170" s="7">
        <f t="shared" si="80"/>
        <v>13.266666666604578</v>
      </c>
      <c r="O170" s="7"/>
      <c r="P170" s="7"/>
      <c r="Q170" s="25"/>
      <c r="R170" s="25"/>
      <c r="S170" s="37">
        <f t="shared" si="68"/>
        <v>1</v>
      </c>
      <c r="T170" s="52" t="str">
        <f t="shared" si="69"/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08:18:08-0600',mode:absolute,to:'2016-09-29 10:34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0" s="54" t="str">
        <f t="shared" si="71"/>
        <v>N</v>
      </c>
      <c r="X170" s="164">
        <f t="shared" si="82"/>
        <v>1</v>
      </c>
      <c r="Y170" s="69">
        <f t="shared" si="72"/>
        <v>0.1</v>
      </c>
      <c r="Z170" s="69">
        <f t="shared" ref="Z170:Z177" si="83">RIGHT(H170,LEN(H170)-4)/10000</f>
        <v>5.9005000000000001</v>
      </c>
      <c r="AA170" s="69">
        <f t="shared" si="73"/>
        <v>5.8005000000000004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 t="shared" si="74"/>
        <v>0813-29</v>
      </c>
      <c r="AE170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70" s="92" t="str">
        <f t="shared" si="76"/>
        <v>"C:\Program Files (x86)\AstroGrep\AstroGrep.exe" /spath="%USERPROFILE%\AppData\Local\Temp\OnboardLogs" /stypes="app*4014*20160929*" /stext=" 15:.+((SYSTEM_STATE.+slice.+state.+changed )|(ment ac)|(system.+state.+changed )|(\[timeout)|(PRM\|1\|D)|(kpr)|(kdp)|(\|lc)|(penalty))" /e /r /s</v>
      </c>
      <c r="AG170" s="1" t="str">
        <f t="shared" si="77"/>
        <v>NW</v>
      </c>
      <c r="AH170" s="96" t="str">
        <f t="shared" si="64"/>
        <v>"%USERPROFILE%\Documents\GitHub\eaglep3\Utilities\RefineRTDCRunTimes.py" --tripid 813-29 --locoid 4014 --swversion DE.1.0.7.0 --startMP 204:1000 --initTime 2016-09-29T09:18:08 --startdatetime 2016-09-29T09:21:20 --delay 2 --endMP 300:59005 --enddatetime 2016-09-29T09:34:36 --enforcementcount 0 &gt;&gt;C:\Users\stu\Documents\GitHub\eaglep3-reporting\EC\2016-09-29-refined-times.txt</v>
      </c>
      <c r="AI170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{"issue":{"subject":"","project_id":79,"tracker_id":40,"status_id":1,"priority_id":2,"assigned_to_id":23,"start_date":"2016-09-29","description":"","custom_fields":[{"id":1,"name":"Subdivision","value":"NW"},{"id":4,"name":"Milepost","value":"5.9005"},{"id":17,"name":"Train ID","value":"813-29"},{"id":16,"name":"Locomotive ID","value":"4014"},{"id":130,"name":"Impact","value":""},{"id":150,"name":"Time of Event (Mountain Time)","value":"09:34:36"},{"id":151,"name":"Denver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s="23" customFormat="1" x14ac:dyDescent="0.25">
      <c r="A171" s="39" t="s">
        <v>432</v>
      </c>
      <c r="B171" s="7">
        <v>4013</v>
      </c>
      <c r="C171" s="24" t="s">
        <v>106</v>
      </c>
      <c r="D171" s="24" t="s">
        <v>355</v>
      </c>
      <c r="E171" s="15">
        <v>42642.400601851848</v>
      </c>
      <c r="F171" s="15">
        <v>42642.402673611112</v>
      </c>
      <c r="G171" s="7">
        <v>2</v>
      </c>
      <c r="H171" s="15" t="s">
        <v>698</v>
      </c>
      <c r="I171" s="15">
        <v>42642.412928240738</v>
      </c>
      <c r="J171" s="7">
        <v>0</v>
      </c>
      <c r="K171" s="117" t="str">
        <f t="shared" si="66"/>
        <v>4013/4014</v>
      </c>
      <c r="L171" s="24" t="str">
        <f>VLOOKUP(A171,'Trips&amp;Operators'!$C$1:$E$10000,3,FALSE)</f>
        <v>GEBRETEKLE</v>
      </c>
      <c r="M171" s="6">
        <f t="shared" si="67"/>
        <v>1.0254629625706002E-2</v>
      </c>
      <c r="N171" s="7">
        <f t="shared" si="80"/>
        <v>14.766666661016643</v>
      </c>
      <c r="O171" s="7"/>
      <c r="P171" s="7"/>
      <c r="Q171" s="25"/>
      <c r="R171" s="25"/>
      <c r="S171" s="37">
        <f t="shared" si="68"/>
        <v>1</v>
      </c>
      <c r="T171" s="52" t="str">
        <f t="shared" si="69"/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08:36:52-0600',mode:absolute,to:'2016-09-29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1" s="54" t="str">
        <f t="shared" si="71"/>
        <v>N</v>
      </c>
      <c r="X171" s="164">
        <f t="shared" si="82"/>
        <v>1</v>
      </c>
      <c r="Y171" s="69">
        <f t="shared" si="72"/>
        <v>5.8682999999999996</v>
      </c>
      <c r="Z171" s="69">
        <f t="shared" si="83"/>
        <v>6.8500000000000005E-2</v>
      </c>
      <c r="AA171" s="69">
        <f t="shared" si="73"/>
        <v>5.7997999999999994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 t="shared" si="74"/>
        <v>0814-29</v>
      </c>
      <c r="AE171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71" s="92" t="str">
        <f t="shared" si="76"/>
        <v>"C:\Program Files (x86)\AstroGrep\AstroGrep.exe" /spath="%USERPROFILE%\AppData\Local\Temp\OnboardLogs" /stypes="app*4013*20160929*" /stext=" 15:.+((SYSTEM_STATE.+slice.+state.+changed )|(ment ac)|(system.+state.+changed )|(\[timeout)|(PRM\|1\|D)|(kpr)|(kdp)|(\|lc)|(penalty))" /e /r /s</v>
      </c>
      <c r="AG171" s="1" t="str">
        <f t="shared" si="77"/>
        <v>NW</v>
      </c>
      <c r="AH171" s="96" t="str">
        <f t="shared" si="64"/>
        <v>"%USERPROFILE%\Documents\GitHub\eaglep3\Utilities\RefineRTDCRunTimes.py" --tripid 814-29 --locoid 4013 --swversion DE.1.0.7.0 --startMP 300:58683 --initTime 2016-09-29T09:36:52 --startdatetime 2016-09-29T09:39:51 --delay 2 --endMP 204:685 --enddatetime 2016-09-29T09:54:37 --enforcementcount 0 &gt;&gt;C:\Users\stu\Documents\GitHub\eaglep3-reporting\EC\2016-09-29-refined-times.txt</v>
      </c>
      <c r="AI171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{"issue":{"subject":"","project_id":79,"tracker_id":40,"status_id":1,"priority_id":2,"assigned_to_id":23,"start_date":"2016-09-29","description":"","custom_fields":[{"id":1,"name":"Subdivision","value":"NW"},{"id":4,"name":"Milepost","value":"0.0685"},{"id":17,"name":"Train ID","value":"814-29"},{"id":16,"name":"Locomotive ID","value":"4013"},{"id":130,"name":"Impact","value":""},{"id":150,"name":"Time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x14ac:dyDescent="0.25">
      <c r="A172" s="39" t="s">
        <v>438</v>
      </c>
      <c r="B172" s="7">
        <v>4014</v>
      </c>
      <c r="C172" s="24" t="s">
        <v>106</v>
      </c>
      <c r="D172" s="24" t="s">
        <v>699</v>
      </c>
      <c r="E172" s="15">
        <v>42642.4296412037</v>
      </c>
      <c r="F172" s="15">
        <v>42642.431469907409</v>
      </c>
      <c r="G172" s="7">
        <v>1</v>
      </c>
      <c r="H172" s="15" t="s">
        <v>700</v>
      </c>
      <c r="I172" s="15">
        <v>42642.440497685187</v>
      </c>
      <c r="J172" s="7">
        <v>0</v>
      </c>
      <c r="K172" s="117" t="str">
        <f t="shared" si="66"/>
        <v>4013/4014</v>
      </c>
      <c r="L172" s="24" t="str">
        <f>VLOOKUP(A172,'Trips&amp;Operators'!$C$1:$E$10000,3,FALSE)</f>
        <v>GEBRETEKLE</v>
      </c>
      <c r="M172" s="6">
        <f t="shared" si="67"/>
        <v>9.0277777781011537E-3</v>
      </c>
      <c r="N172" s="7">
        <f t="shared" si="80"/>
        <v>13.000000000465661</v>
      </c>
      <c r="O172" s="7"/>
      <c r="P172" s="7"/>
      <c r="Q172" s="25"/>
      <c r="R172" s="25"/>
      <c r="S172" s="37">
        <f t="shared" si="68"/>
        <v>1</v>
      </c>
      <c r="T172" s="52" t="str">
        <f t="shared" si="69"/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09:18:41-0600',mode:absolute,to:'2016-09-29 11:34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2" s="54" t="str">
        <f t="shared" si="71"/>
        <v>N</v>
      </c>
      <c r="X172" s="164">
        <f t="shared" ref="X172:X177" si="84">VALUE(LEFT(AD172,4))-VALUE(LEFT(AD171,4))</f>
        <v>1</v>
      </c>
      <c r="Y172" s="69">
        <f t="shared" si="72"/>
        <v>9.7100000000000006E-2</v>
      </c>
      <c r="Z172" s="69">
        <f t="shared" si="83"/>
        <v>5.899</v>
      </c>
      <c r="AA172" s="69">
        <f t="shared" si="73"/>
        <v>5.8018999999999998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 t="shared" si="74"/>
        <v>0815-29</v>
      </c>
      <c r="AE172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72" s="92" t="str">
        <f t="shared" si="76"/>
        <v>"C:\Program Files (x86)\AstroGrep\AstroGrep.exe" /spath="%USERPROFILE%\AppData\Local\Temp\OnboardLogs" /stypes="app*4014*20160929*" /stext=" 16:.+((SYSTEM_STATE.+slice.+state.+changed )|(ment ac)|(system.+state.+changed )|(\[timeout)|(PRM\|1\|D)|(kpr)|(kdp)|(\|lc)|(penalty))" /e /r /s</v>
      </c>
      <c r="AG172" s="1" t="str">
        <f t="shared" si="77"/>
        <v>NW</v>
      </c>
      <c r="AH172" s="96" t="str">
        <f t="shared" si="64"/>
        <v>"%USERPROFILE%\Documents\GitHub\eaglep3\Utilities\RefineRTDCRunTimes.py" --tripid 815-29 --locoid 4014 --swversion DE.1.0.7.0 --startMP 204:971 --initTime 2016-09-29T10:18:41 --startdatetime 2016-09-29T10:21:19 --delay 1 --endMP 300:58990 --enddatetime 2016-09-29T10:34:19 --enforcementcount 0 &gt;&gt;C:\Users\stu\Documents\GitHub\eaglep3-reporting\EC\2016-09-29-refined-times.txt</v>
      </c>
      <c r="AI172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{"issue":{"subject":"","project_id":79,"tracker_id":40,"status_id":1,"priority_id":2,"assigned_to_id":23,"start_date":"2016-09-29","description":"","custom_fields":[{"id":1,"name":"Subdivision","value":"NW"},{"id":4,"name":"Milepost","value":"5.899"},{"id":17,"name":"Train ID","value":"815-29"},{"id":16,"name":"Locomotive ID","value":"4014"},{"id":130,"name":"Impact","value":""},{"id":150,"name":"Time of Event (Mountain Time)","value":"10:34:19"},{"id":151,"name":"Denver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444</v>
      </c>
      <c r="B173" s="7">
        <v>4013</v>
      </c>
      <c r="C173" s="24" t="s">
        <v>106</v>
      </c>
      <c r="D173" s="24" t="s">
        <v>701</v>
      </c>
      <c r="E173" s="15">
        <v>42642.44158564815</v>
      </c>
      <c r="F173" s="15">
        <v>42642.44295138889</v>
      </c>
      <c r="G173" s="7">
        <v>1</v>
      </c>
      <c r="H173" s="15" t="s">
        <v>359</v>
      </c>
      <c r="I173" s="15">
        <v>42642.454583333332</v>
      </c>
      <c r="J173" s="7">
        <v>0</v>
      </c>
      <c r="K173" s="117" t="str">
        <f t="shared" si="66"/>
        <v>4013/4014</v>
      </c>
      <c r="L173" s="24" t="str">
        <f>VLOOKUP(A173,'Trips&amp;Operators'!$C$1:$E$10000,3,FALSE)</f>
        <v>GEBRETEKLE</v>
      </c>
      <c r="M173" s="6">
        <f t="shared" si="67"/>
        <v>1.1631944442342501E-2</v>
      </c>
      <c r="N173" s="7">
        <f t="shared" si="80"/>
        <v>16.749999996973202</v>
      </c>
      <c r="O173" s="7"/>
      <c r="P173" s="7"/>
      <c r="Q173" s="25"/>
      <c r="R173" s="25"/>
      <c r="S173" s="37">
        <f t="shared" si="68"/>
        <v>1</v>
      </c>
      <c r="T173" s="52" t="str">
        <f t="shared" si="69"/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09:35:53-0600',mode:absolute,to:'2016-09-29 11:54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3" s="54" t="str">
        <f t="shared" si="71"/>
        <v>N</v>
      </c>
      <c r="X173" s="164">
        <f t="shared" si="84"/>
        <v>1</v>
      </c>
      <c r="Y173" s="69">
        <f t="shared" si="72"/>
        <v>5.8678999999999997</v>
      </c>
      <c r="Z173" s="69">
        <f t="shared" si="83"/>
        <v>6.8900000000000003E-2</v>
      </c>
      <c r="AA173" s="69">
        <f t="shared" ref="AA173:AA204" si="85">ABS(Z173-Y173)</f>
        <v>5.7989999999999995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 t="shared" si="74"/>
        <v>0816-29</v>
      </c>
      <c r="AE173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73" s="92" t="str">
        <f t="shared" si="76"/>
        <v>"C:\Program Files (x86)\AstroGrep\AstroGrep.exe" /spath="%USERPROFILE%\AppData\Local\Temp\OnboardLogs" /stypes="app*4013*20160929*" /stext=" 16:.+((SYSTEM_STATE.+slice.+state.+changed )|(ment ac)|(system.+state.+changed )|(\[timeout)|(PRM\|1\|D)|(kpr)|(kdp)|(\|lc)|(penalty))" /e /r /s</v>
      </c>
      <c r="AG173" s="1" t="str">
        <f t="shared" si="77"/>
        <v>NW</v>
      </c>
      <c r="AH173" s="96" t="str">
        <f t="shared" si="64"/>
        <v>"%USERPROFILE%\Documents\GitHub\eaglep3\Utilities\RefineRTDCRunTimes.py" --tripid 816-29 --locoid 4013 --swversion DE.1.0.7.0 --startMP 300:58679 --initTime 2016-09-29T10:35:53 --startdatetime 2016-09-29T10:37:51 --delay 1 --endMP 204:689 --enddatetime 2016-09-29T10:54:36 --enforcementcount 0 &gt;&gt;C:\Users\stu\Documents\GitHub\eaglep3-reporting\EC\2016-09-29-refined-times.txt</v>
      </c>
      <c r="AI173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{"issue":{"subject":"","project_id":79,"tracker_id":40,"status_id":1,"priority_id":2,"assigned_to_id":23,"start_date":"2016-09-29","description":"","custom_fields":[{"id":1,"name":"Subdivision","value":"NW"},{"id":4,"name":"Milepost","value":"0.0689"},{"id":17,"name":"Train ID","value":"816-29"},{"id":16,"name":"Locomotive ID","value":"4013"},{"id":130,"name":"Impact","value":""},{"id":150,"name":"Time of Event (Mountain Time)","value":"10:54:36"},{"id":151,"name":"Denver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455</v>
      </c>
      <c r="B174" s="7">
        <v>4014</v>
      </c>
      <c r="C174" s="24" t="s">
        <v>106</v>
      </c>
      <c r="D174" s="24" t="s">
        <v>702</v>
      </c>
      <c r="E174" s="15">
        <v>42642.47078703704</v>
      </c>
      <c r="F174" s="15">
        <v>42642.473090277781</v>
      </c>
      <c r="G174" s="7">
        <v>1</v>
      </c>
      <c r="H174" s="15" t="s">
        <v>703</v>
      </c>
      <c r="I174" s="15">
        <v>42642.482152777775</v>
      </c>
      <c r="J174" s="7">
        <v>0</v>
      </c>
      <c r="K174" s="117" t="str">
        <f t="shared" si="66"/>
        <v>4013/4014</v>
      </c>
      <c r="L174" s="24" t="str">
        <f>VLOOKUP(A174,'Trips&amp;Operators'!$C$1:$E$10000,3,FALSE)</f>
        <v>GEBRETEKLE</v>
      </c>
      <c r="M174" s="6">
        <f t="shared" si="67"/>
        <v>9.0624999938881956E-3</v>
      </c>
      <c r="N174" s="7">
        <f t="shared" si="80"/>
        <v>13.049999991199002</v>
      </c>
      <c r="O174" s="7"/>
      <c r="P174" s="7"/>
      <c r="Q174" s="25"/>
      <c r="R174" s="25"/>
      <c r="S174" s="37">
        <f t="shared" si="68"/>
        <v>1</v>
      </c>
      <c r="T174" s="52" t="str">
        <f t="shared" si="69"/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10:17:56-0600',mode:absolute,to:'2016-09-29 12:34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4" s="54" t="str">
        <f t="shared" si="71"/>
        <v>N</v>
      </c>
      <c r="X174" s="164">
        <f t="shared" si="84"/>
        <v>1</v>
      </c>
      <c r="Y174" s="69">
        <f t="shared" si="72"/>
        <v>9.7799999999999998E-2</v>
      </c>
      <c r="Z174" s="69">
        <f t="shared" si="83"/>
        <v>5.8979999999999997</v>
      </c>
      <c r="AA174" s="69">
        <f t="shared" si="85"/>
        <v>5.8001999999999994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 t="shared" si="74"/>
        <v>0817-29</v>
      </c>
      <c r="AE174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74" s="92" t="str">
        <f t="shared" si="76"/>
        <v>"C:\Program Files (x86)\AstroGrep\AstroGrep.exe" /spath="%USERPROFILE%\AppData\Local\Temp\OnboardLogs" /stypes="app*4014*20160929*" /stext=" 17:.+((SYSTEM_STATE.+slice.+state.+changed )|(ment ac)|(system.+state.+changed )|(\[timeout)|(PRM\|1\|D)|(kpr)|(kdp)|(\|lc)|(penalty))" /e /r /s</v>
      </c>
      <c r="AG174" s="1" t="str">
        <f t="shared" si="77"/>
        <v>NW</v>
      </c>
      <c r="AH174" s="96" t="str">
        <f t="shared" si="64"/>
        <v>"%USERPROFILE%\Documents\GitHub\eaglep3\Utilities\RefineRTDCRunTimes.py" --tripid 817-29 --locoid 4014 --swversion DE.1.0.7.0 --startMP 204:978 --initTime 2016-09-29T11:17:56 --startdatetime 2016-09-29T11:21:15 --delay 1 --endMP 300:58980 --enddatetime 2016-09-29T11:34:18 --enforcementcount 0 &gt;&gt;C:\Users\stu\Documents\GitHub\eaglep3-reporting\EC\2016-09-29-refined-times.txt</v>
      </c>
      <c r="AI174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{"issue":{"subject":"","project_id":79,"tracker_id":40,"status_id":1,"priority_id":2,"assigned_to_id":23,"start_date":"2016-09-29","description":"","custom_fields":[{"id":1,"name":"Subdivision","value":"NW"},{"id":4,"name":"Milepost","value":"5.898"},{"id":17,"name":"Train ID","value":"817-29"},{"id":16,"name":"Locomotive ID","value":"4014"},{"id":130,"name":"Impact","value":""},{"id":150,"name":"Time of Event (Mountain Time)","value":"11:34:18"},{"id":151,"name":"Denver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458</v>
      </c>
      <c r="B175" s="7">
        <v>4013</v>
      </c>
      <c r="C175" s="24" t="s">
        <v>106</v>
      </c>
      <c r="D175" s="24" t="s">
        <v>358</v>
      </c>
      <c r="E175" s="15">
        <v>42642.483287037037</v>
      </c>
      <c r="F175" s="15">
        <v>42642.48474537037</v>
      </c>
      <c r="G175" s="7">
        <v>1</v>
      </c>
      <c r="H175" s="15" t="s">
        <v>304</v>
      </c>
      <c r="I175" s="15">
        <v>42642.496770833335</v>
      </c>
      <c r="J175" s="7">
        <v>0</v>
      </c>
      <c r="K175" s="117" t="str">
        <f t="shared" si="66"/>
        <v>4013/4014</v>
      </c>
      <c r="L175" s="24" t="str">
        <f>VLOOKUP(A175,'Trips&amp;Operators'!$C$1:$E$10000,3,FALSE)</f>
        <v>GEBRETEKLE</v>
      </c>
      <c r="M175" s="6">
        <f t="shared" si="67"/>
        <v>1.2025462965539191E-2</v>
      </c>
      <c r="N175" s="7">
        <f t="shared" si="80"/>
        <v>17.316666670376435</v>
      </c>
      <c r="O175" s="7"/>
      <c r="P175" s="7"/>
      <c r="Q175" s="25"/>
      <c r="R175" s="25"/>
      <c r="S175" s="37">
        <f t="shared" si="68"/>
        <v>1</v>
      </c>
      <c r="T175" s="52" t="str">
        <f t="shared" si="69"/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10:35:56-0600',mode:absolute,to:'2016-09-29 12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5" s="54" t="str">
        <f t="shared" si="71"/>
        <v>N</v>
      </c>
      <c r="X175" s="164">
        <f t="shared" si="84"/>
        <v>1</v>
      </c>
      <c r="Y175" s="69">
        <f t="shared" si="72"/>
        <v>5.8662000000000001</v>
      </c>
      <c r="Z175" s="69">
        <f t="shared" si="83"/>
        <v>6.8000000000000005E-2</v>
      </c>
      <c r="AA175" s="69">
        <f t="shared" si="85"/>
        <v>5.7982000000000005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 t="shared" si="74"/>
        <v>0818-29</v>
      </c>
      <c r="AE175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75" s="92" t="str">
        <f t="shared" si="76"/>
        <v>"C:\Program Files (x86)\AstroGrep\AstroGrep.exe" /spath="%USERPROFILE%\AppData\Local\Temp\OnboardLogs" /stypes="app*4013*20160929*" /stext=" 17:.+((SYSTEM_STATE.+slice.+state.+changed )|(ment ac)|(system.+state.+changed )|(\[timeout)|(PRM\|1\|D)|(kpr)|(kdp)|(\|lc)|(penalty))" /e /r /s</v>
      </c>
      <c r="AG175" s="1" t="str">
        <f t="shared" si="77"/>
        <v>NW</v>
      </c>
      <c r="AH175" s="96" t="str">
        <f t="shared" si="64"/>
        <v>"%USERPROFILE%\Documents\GitHub\eaglep3\Utilities\RefineRTDCRunTimes.py" --tripid 818-29 --locoid 4013 --swversion DE.1.0.7.0 --startMP 300:58662 --initTime 2016-09-29T11:35:56 --startdatetime 2016-09-29T11:38:02 --delay 1 --endMP 204:680 --enddatetime 2016-09-29T11:55:21 --enforcementcount 0 &gt;&gt;C:\Users\stu\Documents\GitHub\eaglep3-reporting\EC\2016-09-29-refined-times.txt</v>
      </c>
      <c r="AI175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{"issue":{"subject":"","project_id":79,"tracker_id":40,"status_id":1,"priority_id":2,"assigned_to_id":23,"start_date":"2016-09-29","description":"","custom_fields":[{"id":1,"name":"Subdivision","value":"NW"},{"id":4,"name":"Milepost","value":"0.068"},{"id":17,"name":"Train ID","value":"818-29"},{"id":16,"name":"Locomotive ID","value":"4013"},{"id":130,"name":"Impact","value":""},{"id":150,"name":"Time of Event (Mountain Time)","value":"11:55:21"},{"id":151,"name":"Denver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s="23" customFormat="1" x14ac:dyDescent="0.25">
      <c r="A176" s="39" t="s">
        <v>466</v>
      </c>
      <c r="B176" s="7">
        <v>4014</v>
      </c>
      <c r="C176" s="24" t="s">
        <v>106</v>
      </c>
      <c r="D176" s="24" t="s">
        <v>704</v>
      </c>
      <c r="E176" s="15">
        <v>42642.512731481482</v>
      </c>
      <c r="F176" s="15">
        <v>42642.514745370368</v>
      </c>
      <c r="G176" s="7">
        <v>1</v>
      </c>
      <c r="H176" s="15" t="s">
        <v>360</v>
      </c>
      <c r="I176" s="15">
        <v>42642.523877314816</v>
      </c>
      <c r="J176" s="7">
        <v>0</v>
      </c>
      <c r="K176" s="117" t="str">
        <f t="shared" si="66"/>
        <v>4013/4014</v>
      </c>
      <c r="L176" s="24" t="str">
        <f>VLOOKUP(A176,'Trips&amp;Operators'!$C$1:$E$10000,3,FALSE)</f>
        <v>GEBRETEKLE</v>
      </c>
      <c r="M176" s="6">
        <f t="shared" si="67"/>
        <v>9.1319444472901523E-3</v>
      </c>
      <c r="N176" s="7">
        <f t="shared" si="80"/>
        <v>13.150000004097819</v>
      </c>
      <c r="O176" s="7"/>
      <c r="P176" s="7"/>
      <c r="Q176" s="25"/>
      <c r="R176" s="25"/>
      <c r="S176" s="37">
        <f t="shared" si="68"/>
        <v>1</v>
      </c>
      <c r="T176" s="52" t="str">
        <f t="shared" si="69"/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11:18:20-0600',mode:absolute,to:'2016-09-29 13:34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6" s="54" t="str">
        <f t="shared" si="71"/>
        <v>N</v>
      </c>
      <c r="X176" s="164">
        <f t="shared" si="84"/>
        <v>1</v>
      </c>
      <c r="Y176" s="69">
        <f t="shared" si="72"/>
        <v>9.8100000000000007E-2</v>
      </c>
      <c r="Z176" s="69">
        <f t="shared" si="83"/>
        <v>5.8997000000000002</v>
      </c>
      <c r="AA176" s="69">
        <f t="shared" si="85"/>
        <v>5.8016000000000005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 t="shared" si="74"/>
        <v>0819-29</v>
      </c>
      <c r="AE176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76" s="92" t="str">
        <f t="shared" si="76"/>
        <v>"C:\Program Files (x86)\AstroGrep\AstroGrep.exe" /spath="%USERPROFILE%\AppData\Local\Temp\OnboardLogs" /stypes="app*4014*20160929*" /stext=" 18:.+((SYSTEM_STATE.+slice.+state.+changed )|(ment ac)|(system.+state.+changed )|(\[timeout)|(PRM\|1\|D)|(kpr)|(kdp)|(\|lc)|(penalty))" /e /r /s</v>
      </c>
      <c r="AG176" s="1" t="str">
        <f t="shared" si="77"/>
        <v>NW</v>
      </c>
      <c r="AH176" s="96" t="str">
        <f t="shared" si="64"/>
        <v>"%USERPROFILE%\Documents\GitHub\eaglep3\Utilities\RefineRTDCRunTimes.py" --tripid 819-29 --locoid 4014 --swversion DE.1.0.7.0 --startMP 204:981 --initTime 2016-09-29T12:18:20 --startdatetime 2016-09-29T12:21:14 --delay 1 --endMP 300:58997 --enddatetime 2016-09-29T12:34:23 --enforcementcount 0 &gt;&gt;C:\Users\stu\Documents\GitHub\eaglep3-reporting\EC\2016-09-29-refined-times.txt</v>
      </c>
      <c r="AI176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{"issue":{"subject":"","project_id":79,"tracker_id":40,"status_id":1,"priority_id":2,"assigned_to_id":23,"start_date":"2016-09-29","description":"","custom_fields":[{"id":1,"name":"Subdivision","value":"NW"},{"id":4,"name":"Milepost","value":"5.8997"},{"id":17,"name":"Train ID","value":"819-29"},{"id":16,"name":"Locomotive ID","value":"4014"},{"id":130,"name":"Impact","value":""},{"id":150,"name":"Time of Event (Mountain Time)","value":"12:34:23"},{"id":151,"name":"Denver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x14ac:dyDescent="0.25">
      <c r="A177" s="39" t="s">
        <v>471</v>
      </c>
      <c r="B177" s="7">
        <v>4013</v>
      </c>
      <c r="C177" s="24" t="s">
        <v>106</v>
      </c>
      <c r="D177" s="24" t="s">
        <v>351</v>
      </c>
      <c r="E177" s="15">
        <v>42642.525150462963</v>
      </c>
      <c r="F177" s="15">
        <v>42642.526388888888</v>
      </c>
      <c r="G177" s="7">
        <v>1</v>
      </c>
      <c r="H177" s="15" t="s">
        <v>359</v>
      </c>
      <c r="I177" s="15">
        <v>42642.537824074076</v>
      </c>
      <c r="J177" s="7">
        <v>0</v>
      </c>
      <c r="K177" s="117" t="str">
        <f t="shared" si="66"/>
        <v>4013/4014</v>
      </c>
      <c r="L177" s="24" t="str">
        <f>VLOOKUP(A177,'Trips&amp;Operators'!$C$1:$E$10000,3,FALSE)</f>
        <v>GEBRETEKLE</v>
      </c>
      <c r="M177" s="6">
        <f t="shared" si="67"/>
        <v>1.1435185188020114E-2</v>
      </c>
      <c r="N177" s="7">
        <f t="shared" si="80"/>
        <v>16.466666670748964</v>
      </c>
      <c r="O177" s="7"/>
      <c r="P177" s="7"/>
      <c r="Q177" s="25"/>
      <c r="R177" s="25"/>
      <c r="S177" s="37">
        <f t="shared" si="68"/>
        <v>1</v>
      </c>
      <c r="T177" s="52" t="str">
        <f t="shared" si="69"/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 t="shared" si="70"/>
        <v>https://search-rtdc-monitor-bjffxe2xuh6vdkpspy63sjmuny.us-east-1.es.amazonaws.com/_plugin/kibana/#/discover/Steve-Slow-Train-Analysis-(2080s-and-2083s)?_g=(refreshInterval:(display:Off,section:0,value:0),time:(from:'2016-09-29 11:36:13-0600',mode:absolute,to:'2016-09-29 13:54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7" s="54" t="str">
        <f t="shared" si="71"/>
        <v>N</v>
      </c>
      <c r="X177" s="164">
        <f t="shared" si="84"/>
        <v>1</v>
      </c>
      <c r="Y177" s="69">
        <f t="shared" si="72"/>
        <v>5.8686999999999996</v>
      </c>
      <c r="Z177" s="69">
        <f t="shared" si="83"/>
        <v>6.8900000000000003E-2</v>
      </c>
      <c r="AA177" s="69">
        <f t="shared" si="85"/>
        <v>5.7997999999999994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 t="shared" si="74"/>
        <v>0820-29</v>
      </c>
      <c r="AE177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77" s="92" t="str">
        <f t="shared" si="76"/>
        <v>"C:\Program Files (x86)\AstroGrep\AstroGrep.exe" /spath="%USERPROFILE%\AppData\Local\Temp\OnboardLogs" /stypes="app*4013*20160929*" /stext=" 18:.+((SYSTEM_STATE.+slice.+state.+changed )|(ment ac)|(system.+state.+changed )|(\[timeout)|(PRM\|1\|D)|(kpr)|(kdp)|(\|lc)|(penalty))" /e /r /s</v>
      </c>
      <c r="AG177" s="1" t="str">
        <f t="shared" si="77"/>
        <v>NW</v>
      </c>
      <c r="AH177" s="96" t="str">
        <f t="shared" si="64"/>
        <v>"%USERPROFILE%\Documents\GitHub\eaglep3\Utilities\RefineRTDCRunTimes.py" --tripid 820-29 --locoid 4013 --swversion DE.1.0.7.0 --startMP 300:58687 --initTime 2016-09-29T12:36:13 --startdatetime 2016-09-29T12:38:00 --delay 1 --endMP 204:689 --enddatetime 2016-09-29T12:54:28 --enforcementcount 0 &gt;&gt;C:\Users\stu\Documents\GitHub\eaglep3-reporting\EC\2016-09-29-refined-times.txt</v>
      </c>
      <c r="AI177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{"issue":{"subject":"","project_id":79,"tracker_id":40,"status_id":1,"priority_id":2,"assigned_to_id":23,"start_date":"2016-09-29","description":"","custom_fields":[{"id":1,"name":"Subdivision","value":"NW"},{"id":4,"name":"Milepost","value":"0.0689"},{"id":17,"name":"Train ID","value":"820-29"},{"id":16,"name":"Locomotive ID","value":"4013"},{"id":130,"name":"Impact","value":""},{"id":150,"name":"Time of Event (Mountain Time)","value":"12:54:28"},{"id":151,"name":"Denver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s="23" customFormat="1" x14ac:dyDescent="0.25">
      <c r="A178" s="39" t="s">
        <v>477</v>
      </c>
      <c r="B178" s="7">
        <v>4014</v>
      </c>
      <c r="C178" s="24" t="s">
        <v>106</v>
      </c>
      <c r="D178" s="24" t="s">
        <v>704</v>
      </c>
      <c r="E178" s="15">
        <v>42642.552800925929</v>
      </c>
      <c r="F178" s="15">
        <v>42642.556481481479</v>
      </c>
      <c r="G178" s="7">
        <v>1</v>
      </c>
      <c r="H178" s="15" t="s">
        <v>737</v>
      </c>
      <c r="I178" s="15">
        <v>42642.566828703704</v>
      </c>
      <c r="J178" s="7">
        <v>0</v>
      </c>
      <c r="K178" s="117" t="str">
        <f t="shared" ref="K178:K182" si="86">IF(ISEVEN(B178),(B178-1)&amp;"/"&amp;B178,B178&amp;"/"&amp;(B178+1))</f>
        <v>4013/4014</v>
      </c>
      <c r="L178" s="24" t="str">
        <f>VLOOKUP(A178,'Trips&amp;Operators'!$C$1:$E$10000,3,FALSE)</f>
        <v>HELVIE</v>
      </c>
      <c r="M178" s="6">
        <f t="shared" ref="M178:M182" si="87">I178-F178</f>
        <v>1.0347222225391306E-2</v>
      </c>
      <c r="N178" s="7">
        <f t="shared" ref="N178:N182" si="88">24*60*SUM($M178:$M178)</f>
        <v>14.900000004563481</v>
      </c>
      <c r="O178" s="7"/>
      <c r="P178" s="7"/>
      <c r="Q178" s="25"/>
      <c r="R178" s="25"/>
      <c r="S178" s="37">
        <f t="shared" ref="S178:S182" si="89">SUM(U178:U178)/IF(AG178="EC",12,1)</f>
        <v>1</v>
      </c>
      <c r="T178" s="52" t="str">
        <f t="shared" ref="T178:T182" si="90">IF(ISEVEN(LEFT(AD178,4)),"Southbound","NorthBound")</f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 t="shared" ref="V178:V182" si="91"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https://search-rtdc-monitor-bjffxe2xuh6vdkpspy63sjmuny.us-east-1.es.amazonaws.com/_plugin/kibana/#/discover/Steve-Slow-Train-Analysis-(2080s-and-2083s)?_g=(refreshInterval:(display:Off,section:0,value:0),time:(from:'2016-09-29 12:16:02-0600',mode:absolute,to:'2016-09-29 14:36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78" s="54" t="str">
        <f t="shared" ref="W178:W182" si="92">IF(AA178&lt;IF(AG178="EC",23,5.65),"Y","N")</f>
        <v>N</v>
      </c>
      <c r="X178" s="164">
        <f t="shared" ref="X178:X185" si="93">VALUE(LEFT(AD178,4))-VALUE(LEFT(AD177,4))</f>
        <v>1</v>
      </c>
      <c r="Y178" s="69">
        <f t="shared" ref="Y178:Y182" si="94">RIGHT(D178,LEN(D178)-4)/10000</f>
        <v>9.8100000000000007E-2</v>
      </c>
      <c r="Z178" s="69">
        <f t="shared" ref="Z178:Z182" si="95">RIGHT(H178,LEN(H178)-4)/10000</f>
        <v>5.8944000000000001</v>
      </c>
      <c r="AA178" s="69">
        <f t="shared" ref="AA178:AA182" si="96">ABS(Z178-Y178)</f>
        <v>5.7963000000000005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 t="shared" ref="AD178:AD182" si="97">IF(LEN(A178)=6,"0"&amp;A178,A178)</f>
        <v>0821-29</v>
      </c>
      <c r="AE178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78" s="92" t="str">
        <f t="shared" si="76"/>
        <v>"C:\Program Files (x86)\AstroGrep\AstroGrep.exe" /spath="%USERPROFILE%\AppData\Local\Temp\OnboardLogs" /stypes="app*4014*20160929*" /stext=" 19:.+((SYSTEM_STATE.+slice.+state.+changed )|(ment ac)|(system.+state.+changed )|(\[timeout)|(PRM\|1\|D)|(kpr)|(kdp)|(\|lc)|(penalty))" /e /r /s</v>
      </c>
      <c r="AG178" s="1" t="str">
        <f t="shared" ref="AG178:AG182" si="98">IFERROR(IF(VALUE(LEFT(AD178,2))&lt;=2,"EC",IF(OR(VALUE(LEFT(AD178,2))=8,VALUE(LEFT(AD178,2))=18),"NW","Other")),"Other")</f>
        <v>NW</v>
      </c>
      <c r="AH178" s="96" t="str">
        <f t="shared" ref="AH178:AH182" si="99">refinertdcruntimes&amp;" --tripid "&amp;A178&amp;" --locoid "&amp;B178&amp;" --swversion "&amp;C178&amp;" --startMP "&amp;D178&amp;" --initTime "&amp;TEXT(E178,"yyyy-mm-ddTHH:MM:SS")&amp;" --startdatetime "&amp;TEXT(F178,"yyyy-mm-ddTHH:MM:SS")&amp;" --delay "&amp;G178&amp;" --endMP "&amp;H178&amp;" --enddatetime "&amp;TEXT(I178,"yyyy-mm-ddTHH:MM:SS")&amp;" --enforcementcount "&amp;J178&amp;IF(outputrefinedruntimes," &gt;&gt;"&amp;RefinedRTDCRunTimesOutputFile,"")</f>
        <v>"%USERPROFILE%\Documents\GitHub\eaglep3\Utilities\RefineRTDCRunTimes.py" --tripid 821-29 --locoid 4014 --swversion DE.1.0.7.0 --startMP 204:981 --initTime 2016-09-29T13:16:02 --startdatetime 2016-09-29T13:21:20 --delay 1 --endMP 300:58944 --enddatetime 2016-09-29T13:36:14 --enforcementcount 0 &gt;&gt;C:\Users\stu\Documents\GitHub\eaglep3-reporting\EC\2016-09-29-refined-times.txt</v>
      </c>
      <c r="AI178" s="130" t="str">
        <f t="shared" ref="AI178:AI182" si="100">"echo {""issue"":{""subject"":"""&amp;R178&amp;""",""project_id"":79,""tracker_id"":40,""status_id"":"&amp;redmine_status&amp;",""priority_id"":"&amp;redmine_priority&amp;",""assigned_to_id"":"&amp;redmine_assignee&amp;",""start_date"":"""&amp;TEXT(I178,"YYYY-mm-dd")&amp;""",""description"":"""&amp;AJ178&amp;""",""custom_fields"":[{""id"":1,""name"":""Subdivision"",""value"":"""&amp;AG178&amp;"""},{""id"":4,""name"":""Milepost"",""value"":"""&amp;Z178&amp;"""},{""id"":17,""name"":""Train ID"",""value"":"""&amp;A178&amp;"""},{""id"":16,""name"":""Locomotive ID"",""value"":"""&amp;B178&amp;"""},{""id"":130,""name"":""Impact"",""value"":"""&amp;AK178&amp;"""},{""id"":150,""name"":""Time of Event (Mountain Time)"",""value"":"""&amp;TEXT(I178,"hh:mm:ss")&amp;"""},{""id"":151,""name"":""Denver Issue ID"",""value"":"""&amp;"""},{""id"":178,""name"":""Operational Impact"",""value"":"""&amp;redmine_op_impact&amp;"""},{""id"":179,""name"":""Denver Segment Assigned"",""value"":"""&amp;AL178&amp;"""}]}}"&amp;"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{"issue":{"subject":"","project_id":79,"tracker_id":40,"status_id":1,"priority_id":2,"assigned_to_id":23,"start_date":"2016-09-29","description":"","custom_fields":[{"id":1,"name":"Subdivision","value":"NW"},{"id":4,"name":"Milepost","value":"5.8944"},{"id":17,"name":"Train ID","value":"821-29"},{"id":16,"name":"Locomotive ID","value":"4014"},{"id":130,"name":"Impact","value":""},{"id":150,"name":"Time of Event (Mountain Time)","value":"13:36:14"},{"id":151,"name":"Denver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481</v>
      </c>
      <c r="B179" s="7">
        <v>4013</v>
      </c>
      <c r="C179" s="24" t="s">
        <v>106</v>
      </c>
      <c r="D179" s="24" t="s">
        <v>707</v>
      </c>
      <c r="E179" s="15">
        <v>42642.567928240744</v>
      </c>
      <c r="F179" s="15">
        <v>42642.571631944447</v>
      </c>
      <c r="G179" s="7">
        <v>1</v>
      </c>
      <c r="H179" s="15" t="s">
        <v>738</v>
      </c>
      <c r="I179" s="15">
        <v>42642.58084490741</v>
      </c>
      <c r="J179" s="7">
        <v>1</v>
      </c>
      <c r="K179" s="117" t="str">
        <f t="shared" si="86"/>
        <v>4013/4014</v>
      </c>
      <c r="L179" s="24" t="str">
        <f>VLOOKUP(A179,'Trips&amp;Operators'!$C$1:$E$10000,3,FALSE)</f>
        <v>HELVIE</v>
      </c>
      <c r="M179" s="6">
        <f t="shared" si="87"/>
        <v>9.2129629629198462E-3</v>
      </c>
      <c r="N179" s="7">
        <f t="shared" si="88"/>
        <v>13.266666666604578</v>
      </c>
      <c r="O179" s="7"/>
      <c r="P179" s="7"/>
      <c r="Q179" s="25"/>
      <c r="R179" s="25"/>
      <c r="S179" s="37">
        <f t="shared" si="89"/>
        <v>1</v>
      </c>
      <c r="T179" s="52" t="str">
        <f t="shared" si="90"/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https://search-rtdc-monitor-bjffxe2xuh6vdkpspy63sjmuny.us-east-1.es.amazonaws.com/_plugin/kibana/#/discover/Steve-Slow-Train-Analysis-(2080s-and-2083s)?_g=(refreshInterval:(display:Off,section:0,value:0),time:(from:'2016-09-29 12:37:49-0600',mode:absolute,to:'2016-09-29 14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79" s="54" t="str">
        <f t="shared" si="92"/>
        <v>N</v>
      </c>
      <c r="X179" s="164">
        <f t="shared" si="93"/>
        <v>1</v>
      </c>
      <c r="Y179" s="69">
        <f t="shared" si="94"/>
        <v>5.8624000000000001</v>
      </c>
      <c r="Z179" s="69">
        <f t="shared" si="95"/>
        <v>8.8499999999999995E-2</v>
      </c>
      <c r="AA179" s="69">
        <f t="shared" si="96"/>
        <v>5.7739000000000003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 t="shared" si="97"/>
        <v>0822-29</v>
      </c>
      <c r="AE179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79" s="92" t="str">
        <f t="shared" si="76"/>
        <v>"C:\Program Files (x86)\AstroGrep\AstroGrep.exe" /spath="%USERPROFILE%\AppData\Local\Temp\OnboardLogs" /stypes="app*4013*20160929*" /stext=" 19:.+((SYSTEM_STATE.+slice.+state.+changed )|(ment ac)|(system.+state.+changed )|(\[timeout)|(PRM\|1\|D)|(kpr)|(kdp)|(\|lc)|(penalty))" /e /r /s</v>
      </c>
      <c r="AG179" s="1" t="str">
        <f t="shared" si="98"/>
        <v>NW</v>
      </c>
      <c r="AH179" s="96" t="str">
        <f t="shared" si="99"/>
        <v>"%USERPROFILE%\Documents\GitHub\eaglep3\Utilities\RefineRTDCRunTimes.py" --tripid 822-29 --locoid 4013 --swversion DE.1.0.7.0 --startMP 300:58624 --initTime 2016-09-29T13:37:49 --startdatetime 2016-09-29T13:43:09 --delay 1 --endMP 204:885 --enddatetime 2016-09-29T13:56:25 --enforcementcount 1 &gt;&gt;C:\Users\stu\Documents\GitHub\eaglep3-reporting\EC\2016-09-29-refined-times.txt</v>
      </c>
      <c r="AI179" s="130" t="str">
        <f t="shared" si="100"/>
        <v>echo {"issue":{"subject":"","project_id":79,"tracker_id":40,"status_id":1,"priority_id":2,"assigned_to_id":23,"start_date":"2016-09-29","description":"","custom_fields":[{"id":1,"name":"Subdivision","value":"NW"},{"id":4,"name":"Milepost","value":"0.0885"},{"id":17,"name":"Train ID","value":"822-29"},{"id":16,"name":"Locomotive ID","value":"4013"},{"id":130,"name":"Impact","value":""},{"id":150,"name":"Time of Event (Mountain Time)","value":"13:56:25"},{"id":151,"name":"Denver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488</v>
      </c>
      <c r="B180" s="7">
        <v>4014</v>
      </c>
      <c r="C180" s="24" t="s">
        <v>106</v>
      </c>
      <c r="D180" s="24" t="s">
        <v>739</v>
      </c>
      <c r="E180" s="15">
        <v>42642.590949074074</v>
      </c>
      <c r="F180" s="15">
        <v>42642.598090277781</v>
      </c>
      <c r="G180" s="7">
        <v>2</v>
      </c>
      <c r="H180" s="15" t="s">
        <v>740</v>
      </c>
      <c r="I180" s="15">
        <v>42642.609710648147</v>
      </c>
      <c r="J180" s="7">
        <v>1</v>
      </c>
      <c r="K180" s="117" t="str">
        <f t="shared" si="86"/>
        <v>4013/4014</v>
      </c>
      <c r="L180" s="24" t="str">
        <f>VLOOKUP(A180,'Trips&amp;Operators'!$C$1:$E$10000,3,FALSE)</f>
        <v>HELVIE</v>
      </c>
      <c r="M180" s="6">
        <f t="shared" si="87"/>
        <v>1.1620370365562849E-2</v>
      </c>
      <c r="N180" s="7">
        <f t="shared" si="88"/>
        <v>16.733333326410502</v>
      </c>
      <c r="O180" s="7"/>
      <c r="P180" s="7"/>
      <c r="Q180" s="25"/>
      <c r="R180" s="25"/>
      <c r="S180" s="37">
        <f t="shared" si="89"/>
        <v>1</v>
      </c>
      <c r="T180" s="52" t="str">
        <f t="shared" si="90"/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https://search-rtdc-monitor-bjffxe2xuh6vdkpspy63sjmuny.us-east-1.es.amazonaws.com/_plugin/kibana/#/discover/Steve-Slow-Train-Analysis-(2080s-and-2083s)?_g=(refreshInterval:(display:Off,section:0,value:0),time:(from:'2016-09-29 13:10:58-0600',mode:absolute,to:'2016-09-29 15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0" s="54" t="str">
        <f t="shared" si="92"/>
        <v>N</v>
      </c>
      <c r="X180" s="164">
        <f t="shared" si="93"/>
        <v>1</v>
      </c>
      <c r="Y180" s="69">
        <f t="shared" si="94"/>
        <v>0.11749999999999999</v>
      </c>
      <c r="Z180" s="69">
        <f t="shared" si="95"/>
        <v>5.8948</v>
      </c>
      <c r="AA180" s="69">
        <f t="shared" si="96"/>
        <v>5.7773000000000003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 t="shared" si="97"/>
        <v>0823-29</v>
      </c>
      <c r="AE180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80" s="92" t="str">
        <f t="shared" si="76"/>
        <v>"C:\Program Files (x86)\AstroGrep\AstroGrep.exe" /spath="%USERPROFILE%\AppData\Local\Temp\OnboardLogs" /stypes="app*4014*20160929*" /stext=" 20:.+((SYSTEM_STATE.+slice.+state.+changed )|(ment ac)|(system.+state.+changed )|(\[timeout)|(PRM\|1\|D)|(kpr)|(kdp)|(\|lc)|(penalty))" /e /r /s</v>
      </c>
      <c r="AG180" s="1" t="str">
        <f t="shared" si="98"/>
        <v>NW</v>
      </c>
      <c r="AH180" s="96" t="str">
        <f t="shared" si="99"/>
        <v>"%USERPROFILE%\Documents\GitHub\eaglep3\Utilities\RefineRTDCRunTimes.py" --tripid 823-29 --locoid 4014 --swversion DE.1.0.7.0 --startMP 204:1175 --initTime 2016-09-29T14:10:58 --startdatetime 2016-09-29T14:21:15 --delay 2 --endMP 300:58948 --enddatetime 2016-09-29T14:37:59 --enforcementcount 1 &gt;&gt;C:\Users\stu\Documents\GitHub\eaglep3-reporting\EC\2016-09-29-refined-times.txt</v>
      </c>
      <c r="AI180" s="130" t="str">
        <f t="shared" si="100"/>
        <v>echo {"issue":{"subject":"","project_id":79,"tracker_id":40,"status_id":1,"priority_id":2,"assigned_to_id":23,"start_date":"2016-09-29","description":"","custom_fields":[{"id":1,"name":"Subdivision","value":"NW"},{"id":4,"name":"Milepost","value":"5.8948"},{"id":17,"name":"Train ID","value":"823-29"},{"id":16,"name":"Locomotive ID","value":"4014"},{"id":130,"name":"Impact","value":""},{"id":150,"name":"Time of Event (Mountain Time)","value":"14:37:59"},{"id":151,"name":"Denver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493</v>
      </c>
      <c r="B181" s="7">
        <v>4013</v>
      </c>
      <c r="C181" s="24" t="s">
        <v>106</v>
      </c>
      <c r="D181" s="24" t="s">
        <v>696</v>
      </c>
      <c r="E181" s="15">
        <v>42642.610868055555</v>
      </c>
      <c r="F181" s="15">
        <v>42642.612384259257</v>
      </c>
      <c r="G181" s="7">
        <v>1</v>
      </c>
      <c r="H181" s="15" t="s">
        <v>741</v>
      </c>
      <c r="I181" s="15">
        <v>42642.621944444443</v>
      </c>
      <c r="J181" s="7">
        <v>0</v>
      </c>
      <c r="K181" s="117" t="str">
        <f t="shared" si="86"/>
        <v>4013/4014</v>
      </c>
      <c r="L181" s="24" t="str">
        <f>VLOOKUP(A181,'Trips&amp;Operators'!$C$1:$E$10000,3,FALSE)</f>
        <v>HELVIE</v>
      </c>
      <c r="M181" s="6">
        <f t="shared" si="87"/>
        <v>9.560185186273884E-3</v>
      </c>
      <c r="N181" s="7">
        <f t="shared" si="88"/>
        <v>13.766666668234393</v>
      </c>
      <c r="O181" s="7"/>
      <c r="P181" s="7"/>
      <c r="Q181" s="25"/>
      <c r="R181" s="25"/>
      <c r="S181" s="37">
        <f t="shared" si="89"/>
        <v>1</v>
      </c>
      <c r="T181" s="52" t="str">
        <f t="shared" si="90"/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https://search-rtdc-monitor-bjffxe2xuh6vdkpspy63sjmuny.us-east-1.es.amazonaws.com/_plugin/kibana/#/discover/Steve-Slow-Train-Analysis-(2080s-and-2083s)?_g=(refreshInterval:(display:Off,section:0,value:0),time:(from:'2016-09-29 13:39:39-0600',mode:absolute,to:'2016-09-29 15:55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1" s="54" t="str">
        <f t="shared" si="92"/>
        <v>N</v>
      </c>
      <c r="X181" s="164">
        <f t="shared" si="93"/>
        <v>1</v>
      </c>
      <c r="Y181" s="69">
        <f t="shared" si="94"/>
        <v>5.8632</v>
      </c>
      <c r="Z181" s="69">
        <f t="shared" si="95"/>
        <v>7.3800000000000004E-2</v>
      </c>
      <c r="AA181" s="69">
        <f t="shared" si="96"/>
        <v>5.7893999999999997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 t="shared" si="97"/>
        <v>0824-29</v>
      </c>
      <c r="AE181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81" s="92" t="str">
        <f t="shared" si="76"/>
        <v>"C:\Program Files (x86)\AstroGrep\AstroGrep.exe" /spath="%USERPROFILE%\AppData\Local\Temp\OnboardLogs" /stypes="app*4013*20160929*" /stext=" 20:.+((SYSTEM_STATE.+slice.+state.+changed )|(ment ac)|(system.+state.+changed )|(\[timeout)|(PRM\|1\|D)|(kpr)|(kdp)|(\|lc)|(penalty))" /e /r /s</v>
      </c>
      <c r="AG181" s="1" t="str">
        <f t="shared" si="98"/>
        <v>NW</v>
      </c>
      <c r="AH181" s="96" t="str">
        <f t="shared" si="99"/>
        <v>"%USERPROFILE%\Documents\GitHub\eaglep3\Utilities\RefineRTDCRunTimes.py" --tripid 824-29 --locoid 4013 --swversion DE.1.0.7.0 --startMP 300:58632 --initTime 2016-09-29T14:39:39 --startdatetime 2016-09-29T14:41:50 --delay 1 --endMP 204:738 --enddatetime 2016-09-29T14:55:36 --enforcementcount 0 &gt;&gt;C:\Users\stu\Documents\GitHub\eaglep3-reporting\EC\2016-09-29-refined-times.txt</v>
      </c>
      <c r="AI181" s="130" t="str">
        <f t="shared" si="100"/>
        <v>echo {"issue":{"subject":"","project_id":79,"tracker_id":40,"status_id":1,"priority_id":2,"assigned_to_id":23,"start_date":"2016-09-29","description":"","custom_fields":[{"id":1,"name":"Subdivision","value":"NW"},{"id":4,"name":"Milepost","value":"0.0738"},{"id":17,"name":"Train ID","value":"824-29"},{"id":16,"name":"Locomotive ID","value":"4013"},{"id":130,"name":"Impact","value":""},{"id":150,"name":"Time of Event (Mountain Time)","value":"14:55:36"},{"id":151,"name":"Denver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499</v>
      </c>
      <c r="B182" s="7">
        <v>4014</v>
      </c>
      <c r="C182" s="24" t="s">
        <v>106</v>
      </c>
      <c r="D182" s="24" t="s">
        <v>722</v>
      </c>
      <c r="E182" s="15">
        <v>42642.632939814815</v>
      </c>
      <c r="F182" s="15">
        <v>42642.639884259261</v>
      </c>
      <c r="G182" s="7">
        <v>3</v>
      </c>
      <c r="H182" s="15" t="s">
        <v>303</v>
      </c>
      <c r="I182" s="15">
        <v>42642.649571759262</v>
      </c>
      <c r="J182" s="7">
        <v>0</v>
      </c>
      <c r="K182" s="117" t="str">
        <f t="shared" si="86"/>
        <v>4013/4014</v>
      </c>
      <c r="L182" s="24" t="str">
        <f>VLOOKUP(A182,'Trips&amp;Operators'!$C$1:$E$10000,3,FALSE)</f>
        <v>MATTHEWS</v>
      </c>
      <c r="M182" s="6">
        <f t="shared" si="87"/>
        <v>9.6875000017462298E-3</v>
      </c>
      <c r="N182" s="7">
        <f t="shared" si="88"/>
        <v>13.950000002514571</v>
      </c>
      <c r="O182" s="7"/>
      <c r="P182" s="7"/>
      <c r="Q182" s="25"/>
      <c r="R182" s="25"/>
      <c r="S182" s="37">
        <f t="shared" si="89"/>
        <v>1</v>
      </c>
      <c r="T182" s="52" t="str">
        <f t="shared" si="90"/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 t="shared" si="91"/>
        <v>https://search-rtdc-monitor-bjffxe2xuh6vdkpspy63sjmuny.us-east-1.es.amazonaws.com/_plugin/kibana/#/discover/Steve-Slow-Train-Analysis-(2080s-and-2083s)?_g=(refreshInterval:(display:Off,section:0,value:0),time:(from:'2016-09-29 14:11:26-0600',mode:absolute,to:'2016-09-29 16:35:23-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2" s="54" t="str">
        <f t="shared" si="92"/>
        <v>N</v>
      </c>
      <c r="X182" s="164">
        <f t="shared" si="93"/>
        <v>1</v>
      </c>
      <c r="Y182" s="69">
        <f t="shared" si="94"/>
        <v>0.1028</v>
      </c>
      <c r="Z182" s="69">
        <f t="shared" si="95"/>
        <v>5.8933</v>
      </c>
      <c r="AA182" s="69">
        <f t="shared" si="96"/>
        <v>5.7904999999999998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 t="shared" si="97"/>
        <v>0825-29</v>
      </c>
      <c r="AE182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82" s="92" t="str">
        <f t="shared" si="76"/>
        <v>"C:\Program Files (x86)\AstroGrep\AstroGrep.exe" /spath="%USERPROFILE%\AppData\Local\Temp\OnboardLogs" /stypes="app*4014*20160929*" /stext=" 21:.+((SYSTEM_STATE.+slice.+state.+changed )|(ment ac)|(system.+state.+changed )|(\[timeout)|(PRM\|1\|D)|(kpr)|(kdp)|(\|lc)|(penalty))" /e /r /s</v>
      </c>
      <c r="AG182" s="1" t="str">
        <f t="shared" si="98"/>
        <v>NW</v>
      </c>
      <c r="AH182" s="96" t="str">
        <f t="shared" si="99"/>
        <v>"%USERPROFILE%\Documents\GitHub\eaglep3\Utilities\RefineRTDCRunTimes.py" --tripid 825-29 --locoid 4014 --swversion DE.1.0.7.0 --startMP 204:1028 --initTime 2016-09-29T15:11:26 --startdatetime 2016-09-29T15:21:26 --delay 3 --endMP 300:58933 --enddatetime 2016-09-29T15:35:23 --enforcementcount 0 &gt;&gt;C:\Users\stu\Documents\GitHub\eaglep3-reporting\EC\2016-09-29-refined-times.txt</v>
      </c>
      <c r="AI182" s="130" t="str">
        <f t="shared" si="100"/>
        <v>echo {"issue":{"subject":"","project_id":79,"tracker_id":40,"status_id":1,"priority_id":2,"assigned_to_id":23,"start_date":"2016-09-29","description":"","custom_fields":[{"id":1,"name":"Subdivision","value":"NW"},{"id":4,"name":"Milepost","value":"5.8933"},{"id":17,"name":"Train ID","value":"825-29"},{"id":16,"name":"Locomotive ID","value":"4014"},{"id":130,"name":"Impact","value":""},{"id":150,"name":"Time of Event (Mountain Time)","value":"15:35:23"},{"id":151,"name":"Denver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x14ac:dyDescent="0.25">
      <c r="A183" s="39" t="s">
        <v>507</v>
      </c>
      <c r="B183" s="7">
        <v>4013</v>
      </c>
      <c r="C183" s="24" t="s">
        <v>106</v>
      </c>
      <c r="D183" s="24" t="s">
        <v>687</v>
      </c>
      <c r="E183" s="15">
        <v>42642.651458333334</v>
      </c>
      <c r="F183" s="15">
        <v>42642.653402777774</v>
      </c>
      <c r="G183" s="7">
        <v>1</v>
      </c>
      <c r="H183" s="15" t="s">
        <v>705</v>
      </c>
      <c r="I183" s="15">
        <v>42642.665960648148</v>
      </c>
      <c r="J183" s="7">
        <v>0</v>
      </c>
      <c r="K183" s="117" t="str">
        <f t="shared" ref="K183:K225" si="101">IF(ISEVEN(B183),(B183-1)&amp;"/"&amp;B183,B183&amp;"/"&amp;(B183+1))</f>
        <v>4013/4014</v>
      </c>
      <c r="L183" s="24" t="str">
        <f>VLOOKUP(A183,'Trips&amp;Operators'!$C$1:$E$10000,3,FALSE)</f>
        <v>MATTHEWS</v>
      </c>
      <c r="M183" s="6">
        <f t="shared" ref="M183:M225" si="102">I183-F183</f>
        <v>1.2557870373711921E-2</v>
      </c>
      <c r="N183" s="7">
        <f>24*60*SUM($M183:$M183)</f>
        <v>18.083333338145167</v>
      </c>
      <c r="O183" s="7"/>
      <c r="P183" s="7"/>
      <c r="Q183" s="25"/>
      <c r="R183" s="25"/>
      <c r="S183" s="37">
        <f t="shared" ref="S183:S225" si="103">SUM(U183:U183)/IF(AG183="EC",12,1)</f>
        <v>1</v>
      </c>
      <c r="T183" s="52" t="str">
        <f t="shared" ref="T183:T225" si="104">IF(ISEVEN(LEFT(AD183,4)),"Southbound","NorthBound")</f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 t="shared" ref="V183:V225" si="105"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https://search-rtdc-monitor-bjffxe2xuh6vdkpspy63sjmuny.us-east-1.es.amazonaws.com/_plugin/kibana/#/discover/Steve-Slow-Train-Analysis-(2080s-and-2083s)?_g=(refreshInterval:(display:Off,section:0,value:0),time:(from:'2016-09-29 14:38:06-0600',mode:absolute,to:'2016-09-29 16:58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3" s="54" t="str">
        <f t="shared" ref="W183:W225" si="106">IF(AA183&lt;IF(AG183="EC",23,5.65),"Y","N")</f>
        <v>N</v>
      </c>
      <c r="X183" s="164">
        <f t="shared" si="93"/>
        <v>1</v>
      </c>
      <c r="Y183" s="69">
        <f t="shared" ref="Y183:Y225" si="107">RIGHT(D183,LEN(D183)-4)/10000</f>
        <v>5.8608000000000002</v>
      </c>
      <c r="Z183" s="69">
        <f t="shared" ref="Z183:Z225" si="108">RIGHT(H183,LEN(H183)-4)/10000</f>
        <v>6.5199999999999994E-2</v>
      </c>
      <c r="AA183" s="69">
        <f t="shared" ref="AA183:AA225" si="109">ABS(Z183-Y183)</f>
        <v>5.7956000000000003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 t="shared" ref="AD183:AD225" si="110">IF(LEN(A183)=6,"0"&amp;A183,A183)</f>
        <v>0826-29</v>
      </c>
      <c r="AE183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83" s="92" t="str">
        <f t="shared" si="76"/>
        <v>"C:\Program Files (x86)\AstroGrep\AstroGrep.exe" /spath="%USERPROFILE%\AppData\Local\Temp\OnboardLogs" /stypes="app*4013*20160929*" /stext=" 21:.+((SYSTEM_STATE.+slice.+state.+changed )|(ment ac)|(system.+state.+changed )|(\[timeout)|(PRM\|1\|D)|(kpr)|(kdp)|(\|lc)|(penalty))" /e /r /s</v>
      </c>
      <c r="AG183" s="1" t="str">
        <f t="shared" ref="AG183:AG225" si="111">IFERROR(IF(VALUE(LEFT(AD183,2))&lt;=2,"EC",IF(OR(VALUE(LEFT(AD183,2))=8,VALUE(LEFT(AD183,2))=18),"NW","Other")),"Other")</f>
        <v>NW</v>
      </c>
      <c r="AH183" s="96" t="str">
        <f t="shared" si="64"/>
        <v>"%USERPROFILE%\Documents\GitHub\eaglep3\Utilities\RefineRTDCRunTimes.py" --tripid 826-29 --locoid 4013 --swversion DE.1.0.7.0 --startMP 300:58608 --initTime 2016-09-29T15:38:06 --startdatetime 2016-09-29T15:40:54 --delay 1 --endMP 204:652 --enddatetime 2016-09-29T15:58:59 --enforcementcount 0 &gt;&gt;C:\Users\stu\Documents\GitHub\eaglep3-reporting\EC\2016-09-29-refined-times.txt</v>
      </c>
      <c r="AI183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{"issue":{"subject":"","project_id":79,"tracker_id":40,"status_id":1,"priority_id":2,"assigned_to_id":23,"start_date":"2016-09-29","description":"","custom_fields":[{"id":1,"name":"Subdivision","value":"NW"},{"id":4,"name":"Milepost","value":"0.0652"},{"id":17,"name":"Train ID","value":"826-29"},{"id":16,"name":"Locomotive ID","value":"4013"},{"id":130,"name":"Impact","value":""},{"id":150,"name":"Time of Event (Mountain Time)","value":"15:58:59"},{"id":151,"name":"Denver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505</v>
      </c>
      <c r="B184" s="7">
        <v>4011</v>
      </c>
      <c r="C184" s="24" t="s">
        <v>106</v>
      </c>
      <c r="D184" s="24" t="s">
        <v>706</v>
      </c>
      <c r="E184" s="15">
        <v>42642.647337962961</v>
      </c>
      <c r="F184" s="15">
        <v>42642.661030092589</v>
      </c>
      <c r="G184" s="7">
        <v>11</v>
      </c>
      <c r="H184" s="15" t="s">
        <v>303</v>
      </c>
      <c r="I184" s="15">
        <v>42642.670902777776</v>
      </c>
      <c r="J184" s="7">
        <v>0</v>
      </c>
      <c r="K184" s="117" t="str">
        <f t="shared" si="101"/>
        <v>4011/4012</v>
      </c>
      <c r="L184" s="24" t="str">
        <f>VLOOKUP(A184,'Trips&amp;Operators'!$C$1:$E$10000,3,FALSE)</f>
        <v>BROWN</v>
      </c>
      <c r="M184" s="6">
        <f t="shared" si="102"/>
        <v>9.8726851865649223E-3</v>
      </c>
      <c r="N184" s="7">
        <f>24*60*SUM($M184:$M184)</f>
        <v>14.216666668653488</v>
      </c>
      <c r="O184" s="7"/>
      <c r="P184" s="7"/>
      <c r="Q184" s="25"/>
      <c r="R184" s="25"/>
      <c r="S184" s="37">
        <f t="shared" si="103"/>
        <v>1</v>
      </c>
      <c r="T184" s="52" t="str">
        <f t="shared" si="104"/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14:32:10-0600',mode:absolute,to:'2016-09-29 17:06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4" s="54" t="str">
        <f t="shared" si="106"/>
        <v>N</v>
      </c>
      <c r="X184" s="164">
        <f t="shared" si="93"/>
        <v>1</v>
      </c>
      <c r="Y184" s="69">
        <f t="shared" si="107"/>
        <v>0.1027</v>
      </c>
      <c r="Z184" s="69">
        <f t="shared" si="108"/>
        <v>5.8933</v>
      </c>
      <c r="AA184" s="69">
        <f t="shared" si="109"/>
        <v>5.7906000000000004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 t="shared" si="110"/>
        <v>0827-29</v>
      </c>
      <c r="AE184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84" s="92" t="str">
        <f t="shared" si="76"/>
        <v>"C:\Program Files (x86)\AstroGrep\AstroGrep.exe" /spath="%USERPROFILE%\AppData\Local\Temp\OnboardLogs" /stypes="app*4011*20160929*" /stext=" 22:.+((SYSTEM_STATE.+slice.+state.+changed )|(ment ac)|(system.+state.+changed )|(\[timeout)|(PRM\|1\|D)|(kpr)|(kdp)|(\|lc)|(penalty))" /e /r /s</v>
      </c>
      <c r="AG184" s="1" t="str">
        <f t="shared" si="111"/>
        <v>NW</v>
      </c>
      <c r="AH184" s="96" t="str">
        <f t="shared" si="64"/>
        <v>"%USERPROFILE%\Documents\GitHub\eaglep3\Utilities\RefineRTDCRunTimes.py" --tripid 827-29 --locoid 4011 --swversion DE.1.0.7.0 --startMP 204:1027 --initTime 2016-09-29T15:32:10 --startdatetime 2016-09-29T15:51:53 --delay 11 --endMP 300:58933 --enddatetime 2016-09-29T16:06:06 --enforcementcount 0 &gt;&gt;C:\Users\stu\Documents\GitHub\eaglep3-reporting\EC\2016-09-29-refined-times.txt</v>
      </c>
      <c r="AI184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{"issue":{"subject":"","project_id":79,"tracker_id":40,"status_id":1,"priority_id":2,"assigned_to_id":23,"start_date":"2016-09-29","description":"","custom_fields":[{"id":1,"name":"Subdivision","value":"NW"},{"id":4,"name":"Milepost","value":"5.8933"},{"id":17,"name":"Train ID","value":"827-29"},{"id":16,"name":"Locomotive ID","value":"4011"},{"id":130,"name":"Impact","value":""},{"id":150,"name":"Time of Event (Mountain Time)","value":"16:06:06"},{"id":151,"name":"Denver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s="23" customFormat="1" x14ac:dyDescent="0.25">
      <c r="A185" s="39" t="s">
        <v>513</v>
      </c>
      <c r="B185" s="7">
        <v>4012</v>
      </c>
      <c r="C185" s="24" t="s">
        <v>106</v>
      </c>
      <c r="D185" s="24" t="s">
        <v>707</v>
      </c>
      <c r="E185" s="15">
        <v>42642.671875</v>
      </c>
      <c r="F185" s="15">
        <v>42642.673495370371</v>
      </c>
      <c r="G185" s="7">
        <v>1</v>
      </c>
      <c r="H185" s="15" t="s">
        <v>708</v>
      </c>
      <c r="I185" s="15">
        <v>42642.684814814813</v>
      </c>
      <c r="J185" s="7">
        <v>0</v>
      </c>
      <c r="K185" s="117" t="str">
        <f t="shared" si="101"/>
        <v>4011/4012</v>
      </c>
      <c r="L185" s="24" t="str">
        <f>VLOOKUP(A185,'Trips&amp;Operators'!$C$1:$E$10000,3,FALSE)</f>
        <v>BROWN</v>
      </c>
      <c r="M185" s="6">
        <f t="shared" si="102"/>
        <v>1.1319444442051463E-2</v>
      </c>
      <c r="N185" s="7">
        <f>24*60*SUM($M185:$M185)</f>
        <v>16.299999996554106</v>
      </c>
      <c r="O185" s="7"/>
      <c r="P185" s="7"/>
      <c r="Q185" s="25"/>
      <c r="R185" s="25"/>
      <c r="S185" s="37">
        <f t="shared" si="103"/>
        <v>1</v>
      </c>
      <c r="T185" s="52" t="str">
        <f t="shared" si="104"/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15:07:30-0600',mode:absolute,to:'2016-09-29 17:26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85" s="54" t="str">
        <f t="shared" si="106"/>
        <v>N</v>
      </c>
      <c r="X185" s="164">
        <f t="shared" si="93"/>
        <v>1</v>
      </c>
      <c r="Y185" s="69">
        <f t="shared" si="107"/>
        <v>5.8624000000000001</v>
      </c>
      <c r="Z185" s="69">
        <f t="shared" si="108"/>
        <v>7.3599999999999999E-2</v>
      </c>
      <c r="AA185" s="69">
        <f t="shared" si="109"/>
        <v>5.7888000000000002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 t="shared" si="110"/>
        <v>0828-29</v>
      </c>
      <c r="AE185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85" s="92" t="str">
        <f t="shared" si="76"/>
        <v>"C:\Program Files (x86)\AstroGrep\AstroGrep.exe" /spath="%USERPROFILE%\AppData\Local\Temp\OnboardLogs" /stypes="app*4012*20160929*" /stext=" 22:.+((SYSTEM_STATE.+slice.+state.+changed )|(ment ac)|(system.+state.+changed )|(\[timeout)|(PRM\|1\|D)|(kpr)|(kdp)|(\|lc)|(penalty))" /e /r /s</v>
      </c>
      <c r="AG185" s="1" t="str">
        <f t="shared" si="111"/>
        <v>NW</v>
      </c>
      <c r="AH185" s="96" t="str">
        <f t="shared" si="64"/>
        <v>"%USERPROFILE%\Documents\GitHub\eaglep3\Utilities\RefineRTDCRunTimes.py" --tripid 828-29 --locoid 4012 --swversion DE.1.0.7.0 --startMP 300:58624 --initTime 2016-09-29T16:07:30 --startdatetime 2016-09-29T16:09:50 --delay 1 --endMP 204:736 --enddatetime 2016-09-29T16:26:08 --enforcementcount 0 &gt;&gt;C:\Users\stu\Documents\GitHub\eaglep3-reporting\EC\2016-09-29-refined-times.txt</v>
      </c>
      <c r="AI185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{"issue":{"subject":"","project_id":79,"tracker_id":40,"status_id":1,"priority_id":2,"assigned_to_id":23,"start_date":"2016-09-29","description":"","custom_fields":[{"id":1,"name":"Subdivision","value":"NW"},{"id":4,"name":"Milepost","value":"0.0736"},{"id":17,"name":"Train ID","value":"828-29"},{"id":16,"name":"Locomotive ID","value":"4012"},{"id":130,"name":"Impact","value":""},{"id":150,"name":"Time of Event (Mountain Time)","value":"16:26:08"},{"id":151,"name":"Denver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x14ac:dyDescent="0.25">
      <c r="A186" s="39" t="s">
        <v>515</v>
      </c>
      <c r="B186" s="7">
        <v>4014</v>
      </c>
      <c r="C186" s="24" t="s">
        <v>106</v>
      </c>
      <c r="D186" s="24" t="s">
        <v>709</v>
      </c>
      <c r="E186" s="15">
        <v>42642.676076388889</v>
      </c>
      <c r="F186" s="15">
        <v>42642.681481481479</v>
      </c>
      <c r="G186" s="7">
        <v>1</v>
      </c>
      <c r="H186" s="15" t="s">
        <v>686</v>
      </c>
      <c r="I186" s="15">
        <v>42642.690717592595</v>
      </c>
      <c r="J186" s="7">
        <v>0</v>
      </c>
      <c r="K186" s="117" t="str">
        <f t="shared" si="101"/>
        <v>4013/4014</v>
      </c>
      <c r="L186" s="24" t="str">
        <f>VLOOKUP(A186,'Trips&amp;Operators'!$C$1:$E$10000,3,FALSE)</f>
        <v>HELVIE</v>
      </c>
      <c r="M186" s="6">
        <f t="shared" si="102"/>
        <v>9.236111116479151E-3</v>
      </c>
      <c r="N186" s="7">
        <f>24*60*SUM($M186:$M186)</f>
        <v>13.300000007729977</v>
      </c>
      <c r="O186" s="7"/>
      <c r="P186" s="7"/>
      <c r="Q186" s="25"/>
      <c r="R186" s="25"/>
      <c r="S186" s="37">
        <f t="shared" si="103"/>
        <v>1</v>
      </c>
      <c r="T186" s="52" t="str">
        <f t="shared" si="104"/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15:13:33-0600',mode:absolute,to:'2016-09-29 17:34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86" s="54" t="str">
        <f t="shared" si="106"/>
        <v>N</v>
      </c>
      <c r="X186" s="164">
        <f t="shared" ref="X186:X225" si="112">VALUE(LEFT(AD186,4))-VALUE(LEFT(AD185,4))</f>
        <v>1</v>
      </c>
      <c r="Y186" s="69">
        <f t="shared" si="107"/>
        <v>9.8299999999999998E-2</v>
      </c>
      <c r="Z186" s="69">
        <f t="shared" si="108"/>
        <v>5.8935000000000004</v>
      </c>
      <c r="AA186" s="69">
        <f t="shared" si="109"/>
        <v>5.7952000000000004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 t="shared" si="110"/>
        <v>0829-29</v>
      </c>
      <c r="AE186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86" s="92" t="str">
        <f t="shared" si="76"/>
        <v>"C:\Program Files (x86)\AstroGrep\AstroGrep.exe" /spath="%USERPROFILE%\AppData\Local\Temp\OnboardLogs" /stypes="app*4014*20160929*" /stext=" 22:.+((SYSTEM_STATE.+slice.+state.+changed )|(ment ac)|(system.+state.+changed )|(\[timeout)|(PRM\|1\|D)|(kpr)|(kdp)|(\|lc)|(penalty))" /e /r /s</v>
      </c>
      <c r="AG186" s="1" t="str">
        <f t="shared" si="111"/>
        <v>NW</v>
      </c>
      <c r="AH186" s="96" t="str">
        <f t="shared" si="64"/>
        <v>"%USERPROFILE%\Documents\GitHub\eaglep3\Utilities\RefineRTDCRunTimes.py" --tripid 829-29 --locoid 4014 --swversion DE.1.0.7.0 --startMP 204:983 --initTime 2016-09-29T16:13:33 --startdatetime 2016-09-29T16:21:20 --delay 1 --endMP 300:58935 --enddatetime 2016-09-29T16:34:38 --enforcementcount 0 &gt;&gt;C:\Users\stu\Documents\GitHub\eaglep3-reporting\EC\2016-09-29-refined-times.txt</v>
      </c>
      <c r="AI186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{"issue":{"subject":"","project_id":79,"tracker_id":40,"status_id":1,"priority_id":2,"assigned_to_id":23,"start_date":"2016-09-29","description":"","custom_fields":[{"id":1,"name":"Subdivision","value":"NW"},{"id":4,"name":"Milepost","value":"5.8935"},{"id":17,"name":"Train ID","value":"829-29"},{"id":16,"name":"Locomotive ID","value":"4014"},{"id":130,"name":"Impact","value":""},{"id":150,"name":"Time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s="23" customFormat="1" x14ac:dyDescent="0.25">
      <c r="A187" s="39" t="s">
        <v>519</v>
      </c>
      <c r="B187" s="7">
        <v>4013</v>
      </c>
      <c r="C187" s="24" t="s">
        <v>106</v>
      </c>
      <c r="D187" s="24" t="s">
        <v>696</v>
      </c>
      <c r="E187" s="15">
        <v>42642.691967592589</v>
      </c>
      <c r="F187" s="15">
        <v>42642.693912037037</v>
      </c>
      <c r="G187" s="7">
        <v>1</v>
      </c>
      <c r="H187" s="15" t="s">
        <v>710</v>
      </c>
      <c r="I187" s="15">
        <v>42642.708541666667</v>
      </c>
      <c r="J187" s="7">
        <v>0</v>
      </c>
      <c r="K187" s="117" t="str">
        <f t="shared" si="101"/>
        <v>4013/4014</v>
      </c>
      <c r="L187" s="24" t="str">
        <f>VLOOKUP(A187,'Trips&amp;Operators'!$C$1:$E$10000,3,FALSE)</f>
        <v>HELVIE</v>
      </c>
      <c r="M187" s="6">
        <f t="shared" si="102"/>
        <v>1.4629629629780538E-2</v>
      </c>
      <c r="N187" s="7">
        <f>24*60*SUM($M187:$M187)</f>
        <v>21.066666666883975</v>
      </c>
      <c r="O187" s="7"/>
      <c r="P187" s="7"/>
      <c r="Q187" s="25"/>
      <c r="R187" s="25"/>
      <c r="S187" s="37">
        <f t="shared" si="103"/>
        <v>1</v>
      </c>
      <c r="T187" s="52" t="str">
        <f t="shared" si="104"/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15:36:26-0600',mode:absolute,to:'2016-09-29 18:00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87" s="54" t="str">
        <f t="shared" si="106"/>
        <v>N</v>
      </c>
      <c r="X187" s="164">
        <f t="shared" si="112"/>
        <v>1</v>
      </c>
      <c r="Y187" s="69">
        <f t="shared" si="107"/>
        <v>5.8632</v>
      </c>
      <c r="Z187" s="69">
        <f t="shared" si="108"/>
        <v>7.4300000000000005E-2</v>
      </c>
      <c r="AA187" s="69">
        <f t="shared" si="109"/>
        <v>5.7888999999999999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 t="shared" si="110"/>
        <v>0830-29</v>
      </c>
      <c r="AE187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87" s="92" t="str">
        <f t="shared" si="76"/>
        <v>"C:\Program Files (x86)\AstroGrep\AstroGrep.exe" /spath="%USERPROFILE%\AppData\Local\Temp\OnboardLogs" /stypes="app*4013*20160929*" /stext=" 23:.+((SYSTEM_STATE.+slice.+state.+changed )|(ment ac)|(system.+state.+changed )|(\[timeout)|(PRM\|1\|D)|(kpr)|(kdp)|(\|lc)|(penalty))" /e /r /s</v>
      </c>
      <c r="AG187" s="1" t="str">
        <f t="shared" si="111"/>
        <v>NW</v>
      </c>
      <c r="AH187" s="96" t="str">
        <f t="shared" si="64"/>
        <v>"%USERPROFILE%\Documents\GitHub\eaglep3\Utilities\RefineRTDCRunTimes.py" --tripid 830-29 --locoid 4013 --swversion DE.1.0.7.0 --startMP 300:58632 --initTime 2016-09-29T16:36:26 --startdatetime 2016-09-29T16:39:14 --delay 1 --endMP 204:743 --enddatetime 2016-09-29T17:00:18 --enforcementcount 0 &gt;&gt;C:\Users\stu\Documents\GitHub\eaglep3-reporting\EC\2016-09-29-refined-times.txt</v>
      </c>
      <c r="AI187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{"issue":{"subject":"","project_id":79,"tracker_id":40,"status_id":1,"priority_id":2,"assigned_to_id":23,"start_date":"2016-09-29","description":"","custom_fields":[{"id":1,"name":"Subdivision","value":"NW"},{"id":4,"name":"Milepost","value":"0.0743"},{"id":17,"name":"Train ID","value":"830-29"},{"id":16,"name":"Locomotive ID","value":"4013"},{"id":130,"name":"Impact","value":""},{"id":150,"name":"Time of Event (Mountain Time)","value":"17:00:18"},{"id":151,"name":"Denver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520</v>
      </c>
      <c r="B188" s="7">
        <v>4011</v>
      </c>
      <c r="C188" s="24" t="s">
        <v>106</v>
      </c>
      <c r="D188" s="24" t="s">
        <v>706</v>
      </c>
      <c r="E188" s="15">
        <v>42642.693923611114</v>
      </c>
      <c r="F188" s="15">
        <v>42642.712650462963</v>
      </c>
      <c r="G188" s="7">
        <v>1</v>
      </c>
      <c r="H188" s="15" t="s">
        <v>711</v>
      </c>
      <c r="I188" s="15">
        <v>42642.720023148147</v>
      </c>
      <c r="J188" s="7">
        <v>0</v>
      </c>
      <c r="K188" s="117" t="str">
        <f t="shared" si="101"/>
        <v>4011/4012</v>
      </c>
      <c r="L188" s="24" t="str">
        <f>VLOOKUP(A188,'Trips&amp;Operators'!$C$1:$E$10000,3,FALSE)</f>
        <v>BROWN</v>
      </c>
      <c r="M188" s="6">
        <f t="shared" si="102"/>
        <v>7.3726851842366159E-3</v>
      </c>
      <c r="N188" s="7"/>
      <c r="O188" s="7"/>
      <c r="P188" s="7">
        <f>24*60*SUM($M188:$M188)</f>
        <v>10.616666665300727</v>
      </c>
      <c r="Q188" s="25"/>
      <c r="R188" s="25" t="s">
        <v>306</v>
      </c>
      <c r="S188" s="37">
        <f t="shared" si="103"/>
        <v>0</v>
      </c>
      <c r="T188" s="52" t="str">
        <f t="shared" si="104"/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0</v>
      </c>
      <c r="V18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15:39:15-0600',mode:absolute,to:'2016-09-29 18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8" s="54" t="str">
        <f t="shared" si="106"/>
        <v>Y</v>
      </c>
      <c r="X188" s="164">
        <f t="shared" si="112"/>
        <v>1</v>
      </c>
      <c r="Y188" s="69">
        <f t="shared" si="107"/>
        <v>0.1027</v>
      </c>
      <c r="Z188" s="69">
        <f t="shared" si="108"/>
        <v>0.10249999999999999</v>
      </c>
      <c r="AA188" s="69">
        <f t="shared" si="109"/>
        <v>2.0000000000000573E-4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 t="shared" si="110"/>
        <v>0831-29</v>
      </c>
      <c r="AE188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88" s="92" t="str">
        <f t="shared" si="76"/>
        <v>"C:\Program Files (x86)\AstroGrep\AstroGrep.exe" /spath="%USERPROFILE%\AppData\Local\Temp\OnboardLogs" /stypes="app*4011*20160929*" /stext=" 23:.+((SYSTEM_STATE.+slice.+state.+changed )|(ment ac)|(system.+state.+changed )|(\[timeout)|(PRM\|1\|D)|(kpr)|(kdp)|(\|lc)|(penalty))" /e /r /s</v>
      </c>
      <c r="AG188" s="1" t="str">
        <f t="shared" si="111"/>
        <v>NW</v>
      </c>
      <c r="AH188" s="96" t="str">
        <f t="shared" si="64"/>
        <v>"%USERPROFILE%\Documents\GitHub\eaglep3\Utilities\RefineRTDCRunTimes.py" --tripid 831-29 --locoid 4011 --swversion DE.1.0.7.0 --startMP 204:1027 --initTime 2016-09-29T16:39:15 --startdatetime 2016-09-29T17:06:13 --delay 1 --endMP 204:1025 --enddatetime 2016-09-29T17:16:50 --enforcementcount 0 &gt;&gt;C:\Users\stu\Documents\GitHub\eaglep3-reporting\EC\2016-09-29-refined-times.txt</v>
      </c>
      <c r="AI188" s="130" t="str">
        <f t="shared" si="65"/>
        <v>echo {"issue":{"subject":"Onboard in-route failure","project_id":79,"tracker_id":40,"status_id":1,"priority_id":2,"assigned_to_id":23,"start_date":"2016-09-29","description":"At 16:42:17, multiple CPU faults","custom_fields":[{"id":1,"name":"Subdivision","value":"NW"},{"id":4,"name":"Milepost","value":"0.1025"},{"id":17,"name":"Train ID","value":"831-29"},{"id":16,"name":"Locomotive ID","value":"4011"},{"id":130,"name":"Impact","value":"Failed State"},{"id":150,"name":"Time of Event (Mountain Time)","value":"17:16:50"},{"id":151,"name":"Denver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88" s="55" t="s">
        <v>750</v>
      </c>
      <c r="AK188" s="55" t="s">
        <v>138</v>
      </c>
      <c r="AL188" s="55" t="s">
        <v>222</v>
      </c>
    </row>
    <row r="189" spans="1:38" x14ac:dyDescent="0.25">
      <c r="A189" s="39" t="s">
        <v>520</v>
      </c>
      <c r="B189" s="7">
        <v>4011</v>
      </c>
      <c r="C189" s="24" t="s">
        <v>106</v>
      </c>
      <c r="D189" s="24" t="s">
        <v>712</v>
      </c>
      <c r="E189" s="15">
        <v>42642.710069444445</v>
      </c>
      <c r="F189" s="15">
        <v>42642.712650462963</v>
      </c>
      <c r="G189" s="7">
        <v>1</v>
      </c>
      <c r="H189" s="15" t="s">
        <v>713</v>
      </c>
      <c r="I189" s="15">
        <v>42642.720023148147</v>
      </c>
      <c r="J189" s="7">
        <v>0</v>
      </c>
      <c r="K189" s="117" t="str">
        <f t="shared" si="101"/>
        <v>4011/4012</v>
      </c>
      <c r="L189" s="24" t="str">
        <f>VLOOKUP(A189,'Trips&amp;Operators'!$C$1:$E$10000,3,FALSE)</f>
        <v>BROWN</v>
      </c>
      <c r="M189" s="6">
        <f t="shared" si="102"/>
        <v>7.3726851842366159E-3</v>
      </c>
      <c r="N189" s="7"/>
      <c r="O189" s="7"/>
      <c r="P189" s="7"/>
      <c r="Q189" s="25"/>
      <c r="R189" s="25"/>
      <c r="S189" s="37">
        <f t="shared" si="103"/>
        <v>0</v>
      </c>
      <c r="T189" s="52" t="str">
        <f t="shared" si="104"/>
        <v>NorthBound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16:02:30-0600',mode:absolute,to:'2016-09-29 18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89" s="54" t="str">
        <f t="shared" si="106"/>
        <v>Y</v>
      </c>
      <c r="X189" s="164">
        <f t="shared" si="112"/>
        <v>0</v>
      </c>
      <c r="Y189" s="69">
        <f t="shared" si="107"/>
        <v>1.5581</v>
      </c>
      <c r="Z189" s="69">
        <f t="shared" si="108"/>
        <v>5.8952</v>
      </c>
      <c r="AA189" s="69">
        <f t="shared" si="109"/>
        <v>4.3370999999999995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 t="shared" si="110"/>
        <v>0831-29</v>
      </c>
      <c r="AE189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89" s="92" t="str">
        <f t="shared" si="76"/>
        <v>"C:\Program Files (x86)\AstroGrep\AstroGrep.exe" /spath="%USERPROFILE%\AppData\Local\Temp\OnboardLogs" /stypes="app*4011*20160929*" /stext=" 23:.+((SYSTEM_STATE.+slice.+state.+changed )|(ment ac)|(system.+state.+changed )|(\[timeout)|(PRM\|1\|D)|(kpr)|(kdp)|(\|lc)|(penalty))" /e /r /s</v>
      </c>
      <c r="AG189" s="1" t="str">
        <f t="shared" si="111"/>
        <v>NW</v>
      </c>
      <c r="AH189" s="96" t="str">
        <f t="shared" si="64"/>
        <v>"%USERPROFILE%\Documents\GitHub\eaglep3\Utilities\RefineRTDCRunTimes.py" --tripid 831-29 --locoid 4011 --swversion DE.1.0.7.0 --startMP 300:15581 --initTime 2016-09-29T17:02:30 --startdatetime 2016-09-29T17:06:13 --delay 1 --endMP 300:58952 --enddatetime 2016-09-29T17:16:50 --enforcementcount 0 &gt;&gt;C:\Users\stu\Documents\GitHub\eaglep3-reporting\EC\2016-09-29-refined-times.txt</v>
      </c>
      <c r="AI189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{"issue":{"subject":"","project_id":79,"tracker_id":40,"status_id":1,"priority_id":2,"assigned_to_id":23,"start_date":"2016-09-29","description":"","custom_fields":[{"id":1,"name":"Subdivision","value":"NW"},{"id":4,"name":"Milepost","value":"5.8952"},{"id":17,"name":"Train ID","value":"831-29"},{"id":16,"name":"Locomotive ID","value":"4011"},{"id":130,"name":"Impact","value":""},{"id":150,"name":"Time of Event (Mountain Time)","value":"17:16:50"},{"id":151,"name":"Denver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529</v>
      </c>
      <c r="B190" s="7">
        <v>4012</v>
      </c>
      <c r="C190" s="24" t="s">
        <v>106</v>
      </c>
      <c r="D190" s="24" t="s">
        <v>714</v>
      </c>
      <c r="E190" s="15">
        <v>42642.720960648148</v>
      </c>
      <c r="F190" s="15">
        <v>42642.722430555557</v>
      </c>
      <c r="G190" s="7">
        <v>1</v>
      </c>
      <c r="H190" s="15" t="s">
        <v>708</v>
      </c>
      <c r="I190" s="15">
        <v>42642.73133101852</v>
      </c>
      <c r="J190" s="7">
        <v>0</v>
      </c>
      <c r="K190" s="117" t="str">
        <f t="shared" si="101"/>
        <v>4011/4012</v>
      </c>
      <c r="L190" s="24" t="str">
        <f>VLOOKUP(A190,'Trips&amp;Operators'!$C$1:$E$10000,3,FALSE)</f>
        <v>BROWN</v>
      </c>
      <c r="M190" s="6">
        <f t="shared" si="102"/>
        <v>8.9004629626288079E-3</v>
      </c>
      <c r="N190" s="7">
        <f t="shared" ref="N190:N225" si="113">24*60*SUM($M190:$M190)</f>
        <v>12.816666666185483</v>
      </c>
      <c r="O190" s="7"/>
      <c r="P190" s="7"/>
      <c r="Q190" s="25"/>
      <c r="R190" s="25"/>
      <c r="S190" s="37">
        <f t="shared" si="103"/>
        <v>1</v>
      </c>
      <c r="T190" s="52" t="str">
        <f t="shared" si="104"/>
        <v>Southbound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16:18:11-0600',mode:absolute,to:'2016-09-29 18:33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0" s="54" t="str">
        <f t="shared" si="106"/>
        <v>N</v>
      </c>
      <c r="X190" s="164">
        <f t="shared" si="112"/>
        <v>1</v>
      </c>
      <c r="Y190" s="69">
        <f t="shared" si="107"/>
        <v>5.8635999999999999</v>
      </c>
      <c r="Z190" s="69">
        <f t="shared" si="108"/>
        <v>7.3599999999999999E-2</v>
      </c>
      <c r="AA190" s="69">
        <f t="shared" si="109"/>
        <v>5.79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 t="shared" si="110"/>
        <v>0832-29</v>
      </c>
      <c r="AE190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90" s="92" t="str">
        <f t="shared" si="76"/>
        <v>"C:\Program Files (x86)\AstroGrep\AstroGrep.exe" /spath="%USERPROFILE%\AppData\Local\Temp\OnboardLogs" /stypes="app*4012*20160929*" /stext=" 23:.+((SYSTEM_STATE.+slice.+state.+changed )|(ment ac)|(system.+state.+changed )|(\[timeout)|(PRM\|1\|D)|(kpr)|(kdp)|(\|lc)|(penalty))" /e /r /s</v>
      </c>
      <c r="AG190" s="1" t="str">
        <f t="shared" si="111"/>
        <v>NW</v>
      </c>
      <c r="AH190" s="96" t="str">
        <f t="shared" si="64"/>
        <v>"%USERPROFILE%\Documents\GitHub\eaglep3\Utilities\RefineRTDCRunTimes.py" --tripid 832-29 --locoid 4012 --swversion DE.1.0.7.0 --startMP 300:58636 --initTime 2016-09-29T17:18:11 --startdatetime 2016-09-29T17:20:18 --delay 1 --endMP 204:736 --enddatetime 2016-09-29T17:33:07 --enforcementcount 0 &gt;&gt;C:\Users\stu\Documents\GitHub\eaglep3-reporting\EC\2016-09-29-refined-times.txt</v>
      </c>
      <c r="AI190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{"issue":{"subject":"","project_id":79,"tracker_id":40,"status_id":1,"priority_id":2,"assigned_to_id":23,"start_date":"2016-09-29","description":"","custom_fields":[{"id":1,"name":"Subdivision","value":"NW"},{"id":4,"name":"Milepost","value":"0.0736"},{"id":17,"name":"Train ID","value":"832-29"},{"id":16,"name":"Locomotive ID","value":"4012"},{"id":130,"name":"Impact","value":""},{"id":150,"name":"Time of Event (Mountain Time)","value":"17:33:07"},{"id":151,"name":"Denver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x14ac:dyDescent="0.25">
      <c r="A191" s="39" t="s">
        <v>528</v>
      </c>
      <c r="B191" s="7">
        <v>4014</v>
      </c>
      <c r="C191" s="24" t="s">
        <v>106</v>
      </c>
      <c r="D191" s="24" t="s">
        <v>706</v>
      </c>
      <c r="E191" s="15">
        <v>42642.720243055555</v>
      </c>
      <c r="F191" s="15">
        <v>42642.723263888889</v>
      </c>
      <c r="G191" s="7">
        <v>1</v>
      </c>
      <c r="H191" s="15" t="s">
        <v>680</v>
      </c>
      <c r="I191" s="15">
        <v>42642.732604166667</v>
      </c>
      <c r="J191" s="7">
        <v>0</v>
      </c>
      <c r="K191" s="117" t="str">
        <f t="shared" si="101"/>
        <v>4013/4014</v>
      </c>
      <c r="L191" s="24" t="str">
        <f>VLOOKUP(A191,'Trips&amp;Operators'!$C$1:$E$10000,3,FALSE)</f>
        <v>HELVIE</v>
      </c>
      <c r="M191" s="6">
        <f t="shared" si="102"/>
        <v>9.340277778392192E-3</v>
      </c>
      <c r="N191" s="7">
        <f t="shared" si="113"/>
        <v>13.450000000884756</v>
      </c>
      <c r="O191" s="7"/>
      <c r="P191" s="7"/>
      <c r="Q191" s="25"/>
      <c r="R191" s="25"/>
      <c r="S191" s="37">
        <f t="shared" si="103"/>
        <v>1</v>
      </c>
      <c r="T191" s="52" t="str">
        <f t="shared" si="104"/>
        <v>NorthBound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16:17:09-0600',mode:absolute,to:'2016-09-29 18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1" s="54" t="str">
        <f t="shared" si="106"/>
        <v>N</v>
      </c>
      <c r="X191" s="164">
        <f t="shared" si="112"/>
        <v>1</v>
      </c>
      <c r="Y191" s="69">
        <f t="shared" si="107"/>
        <v>0.1027</v>
      </c>
      <c r="Z191" s="69">
        <f t="shared" si="108"/>
        <v>5.8928000000000003</v>
      </c>
      <c r="AA191" s="69">
        <f t="shared" si="109"/>
        <v>5.7901000000000007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 t="shared" si="110"/>
        <v>0833-29</v>
      </c>
      <c r="AE191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91" s="92" t="str">
        <f t="shared" si="76"/>
        <v>"C:\Program Files (x86)\AstroGrep\AstroGrep.exe" /spath="%USERPROFILE%\AppData\Local\Temp\OnboardLogs" /stypes="app*4014*20160929*" /stext=" 23:.+((SYSTEM_STATE.+slice.+state.+changed )|(ment ac)|(system.+state.+changed )|(\[timeout)|(PRM\|1\|D)|(kpr)|(kdp)|(\|lc)|(penalty))" /e /r /s</v>
      </c>
      <c r="AG191" s="1" t="str">
        <f t="shared" si="111"/>
        <v>NW</v>
      </c>
      <c r="AH191" s="96" t="str">
        <f t="shared" si="64"/>
        <v>"%USERPROFILE%\Documents\GitHub\eaglep3\Utilities\RefineRTDCRunTimes.py" --tripid 833-29 --locoid 4014 --swversion DE.1.0.7.0 --startMP 204:1027 --initTime 2016-09-29T17:17:09 --startdatetime 2016-09-29T17:21:30 --delay 1 --endMP 300:58928 --enddatetime 2016-09-29T17:34:57 --enforcementcount 0 &gt;&gt;C:\Users\stu\Documents\GitHub\eaglep3-reporting\EC\2016-09-29-refined-times.txt</v>
      </c>
      <c r="AI191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{"issue":{"subject":"","project_id":79,"tracker_id":40,"status_id":1,"priority_id":2,"assigned_to_id":23,"start_date":"2016-09-29","description":"","custom_fields":[{"id":1,"name":"Subdivision","value":"NW"},{"id":4,"name":"Milepost","value":"5.8928"},{"id":17,"name":"Train ID","value":"833-29"},{"id":16,"name":"Locomotive ID","value":"4014"},{"id":130,"name":"Impact","value":""},{"id":150,"name":"Time of Event (Mountain Time)","value":"17:34:57"},{"id":151,"name":"Denver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535</v>
      </c>
      <c r="B192" s="7">
        <v>4013</v>
      </c>
      <c r="C192" s="24" t="s">
        <v>106</v>
      </c>
      <c r="D192" s="24" t="s">
        <v>278</v>
      </c>
      <c r="E192" s="15">
        <v>42642.733668981484</v>
      </c>
      <c r="F192" s="15">
        <v>42642.735127314816</v>
      </c>
      <c r="G192" s="7">
        <v>1</v>
      </c>
      <c r="H192" s="15" t="s">
        <v>715</v>
      </c>
      <c r="I192" s="15">
        <v>42642.74726851852</v>
      </c>
      <c r="J192" s="7">
        <v>0</v>
      </c>
      <c r="K192" s="117" t="str">
        <f t="shared" si="101"/>
        <v>4013/4014</v>
      </c>
      <c r="L192" s="24" t="str">
        <f>VLOOKUP(A192,'Trips&amp;Operators'!$C$1:$E$10000,3,FALSE)</f>
        <v>HELVIE</v>
      </c>
      <c r="M192" s="6">
        <f t="shared" si="102"/>
        <v>1.2141203704231884E-2</v>
      </c>
      <c r="N192" s="7">
        <f t="shared" si="113"/>
        <v>17.483333334093913</v>
      </c>
      <c r="O192" s="7"/>
      <c r="P192" s="7"/>
      <c r="Q192" s="25"/>
      <c r="R192" s="25"/>
      <c r="S192" s="37">
        <f t="shared" si="103"/>
        <v>1</v>
      </c>
      <c r="T192" s="52" t="str">
        <f t="shared" si="104"/>
        <v>Southbound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16:36:29-0600',mode:absolute,to:'2016-09-29 18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2" s="54" t="str">
        <f t="shared" si="106"/>
        <v>N</v>
      </c>
      <c r="X192" s="164">
        <f t="shared" si="112"/>
        <v>1</v>
      </c>
      <c r="Y192" s="69">
        <f t="shared" si="107"/>
        <v>5.8609</v>
      </c>
      <c r="Z192" s="69">
        <f t="shared" si="108"/>
        <v>7.5499999999999998E-2</v>
      </c>
      <c r="AA192" s="69">
        <f t="shared" si="109"/>
        <v>5.7854000000000001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 t="shared" si="110"/>
        <v>0834-29</v>
      </c>
      <c r="AE192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92" s="92" t="str">
        <f t="shared" si="76"/>
        <v>"C:\Program Files (x86)\AstroGrep\AstroGrep.exe" /spath="%USERPROFILE%\AppData\Local\Temp\OnboardLogs" /stypes="app*4013*20160929*" /stext=" 23:.+((SYSTEM_STATE.+slice.+state.+changed )|(ment ac)|(system.+state.+changed )|(\[timeout)|(PRM\|1\|D)|(kpr)|(kdp)|(\|lc)|(penalty))" /e /r /s</v>
      </c>
      <c r="AG192" s="1" t="str">
        <f t="shared" si="111"/>
        <v>NW</v>
      </c>
      <c r="AH192" s="96" t="str">
        <f t="shared" si="64"/>
        <v>"%USERPROFILE%\Documents\GitHub\eaglep3\Utilities\RefineRTDCRunTimes.py" --tripid 834-29 --locoid 4013 --swversion DE.1.0.7.0 --startMP 300:58609 --initTime 2016-09-29T17:36:29 --startdatetime 2016-09-29T17:38:35 --delay 1 --endMP 204:755 --enddatetime 2016-09-29T17:56:04 --enforcementcount 0 &gt;&gt;C:\Users\stu\Documents\GitHub\eaglep3-reporting\EC\2016-09-29-refined-times.txt</v>
      </c>
      <c r="AI192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{"issue":{"subject":"","project_id":79,"tracker_id":40,"status_id":1,"priority_id":2,"assigned_to_id":23,"start_date":"2016-09-29","description":"","custom_fields":[{"id":1,"name":"Subdivision","value":"NW"},{"id":4,"name":"Milepost","value":"0.0755"},{"id":17,"name":"Train ID","value":"834-29"},{"id":16,"name":"Locomotive ID","value":"4013"},{"id":130,"name":"Impact","value":""},{"id":150,"name":"Time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538</v>
      </c>
      <c r="B193" s="7">
        <v>4011</v>
      </c>
      <c r="C193" s="24" t="s">
        <v>106</v>
      </c>
      <c r="D193" s="24" t="s">
        <v>716</v>
      </c>
      <c r="E193" s="15">
        <v>42642.740833333337</v>
      </c>
      <c r="F193" s="15">
        <v>42642.743796296294</v>
      </c>
      <c r="G193" s="7">
        <v>1</v>
      </c>
      <c r="H193" s="15" t="s">
        <v>717</v>
      </c>
      <c r="I193" s="15">
        <v>42642.753819444442</v>
      </c>
      <c r="J193" s="7">
        <v>0</v>
      </c>
      <c r="K193" s="117" t="str">
        <f t="shared" si="101"/>
        <v>4011/4012</v>
      </c>
      <c r="L193" s="24" t="str">
        <f>VLOOKUP(A193,'Trips&amp;Operators'!$C$1:$E$10000,3,FALSE)</f>
        <v>BROWN</v>
      </c>
      <c r="M193" s="6">
        <f t="shared" si="102"/>
        <v>1.0023148148320615E-2</v>
      </c>
      <c r="N193" s="7">
        <f t="shared" si="113"/>
        <v>14.433333333581686</v>
      </c>
      <c r="O193" s="7"/>
      <c r="P193" s="7"/>
      <c r="Q193" s="25"/>
      <c r="R193" s="25"/>
      <c r="S193" s="37">
        <f t="shared" si="103"/>
        <v>1</v>
      </c>
      <c r="T193" s="52" t="str">
        <f t="shared" si="104"/>
        <v>NorthBound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16:46:48-0600',mode:absolute,to:'2016-09-29 19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3" s="54" t="str">
        <f t="shared" si="106"/>
        <v>N</v>
      </c>
      <c r="X193" s="164">
        <f t="shared" si="112"/>
        <v>1</v>
      </c>
      <c r="Y193" s="69">
        <f t="shared" si="107"/>
        <v>0.1023</v>
      </c>
      <c r="Z193" s="69">
        <f t="shared" si="108"/>
        <v>5.8956</v>
      </c>
      <c r="AA193" s="69">
        <f t="shared" si="109"/>
        <v>5.7933000000000003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 t="shared" si="110"/>
        <v>0835-29</v>
      </c>
      <c r="AE193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93" s="92" t="str">
        <f t="shared" si="76"/>
        <v>"C:\Program Files (x86)\AstroGrep\AstroGrep.exe" /spath="%USERPROFILE%\AppData\Local\Temp\OnboardLogs" /stypes="app*4011*20160930*" /stext=" 00:.+((SYSTEM_STATE.+slice.+state.+changed )|(ment ac)|(system.+state.+changed )|(\[timeout)|(PRM\|1\|D)|(kpr)|(kdp)|(\|lc)|(penalty))" /e /r /s</v>
      </c>
      <c r="AG193" s="1" t="str">
        <f t="shared" si="111"/>
        <v>NW</v>
      </c>
      <c r="AH193" s="96" t="str">
        <f t="shared" si="64"/>
        <v>"%USERPROFILE%\Documents\GitHub\eaglep3\Utilities\RefineRTDCRunTimes.py" --tripid 835-29 --locoid 4011 --swversion DE.1.0.7.0 --startMP 204:1023 --initTime 2016-09-29T17:46:48 --startdatetime 2016-09-29T17:51:04 --delay 1 --endMP 300:58956 --enddatetime 2016-09-29T18:05:30 --enforcementcount 0 &gt;&gt;C:\Users\stu\Documents\GitHub\eaglep3-reporting\EC\2016-09-29-refined-times.txt</v>
      </c>
      <c r="AI193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{"issue":{"subject":"","project_id":79,"tracker_id":40,"status_id":1,"priority_id":2,"assigned_to_id":23,"start_date":"2016-09-29","description":"","custom_fields":[{"id":1,"name":"Subdivision","value":"NW"},{"id":4,"name":"Milepost","value":"5.8956"},{"id":17,"name":"Train ID","value":"835-29"},{"id":16,"name":"Locomotive ID","value":"4011"},{"id":130,"name":"Impact","value":""},{"id":150,"name":"Time of Event (Mountain Time)","value":"18:05:30"},{"id":151,"name":"Denver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544</v>
      </c>
      <c r="B194" s="7">
        <v>4012</v>
      </c>
      <c r="C194" s="24" t="s">
        <v>106</v>
      </c>
      <c r="D194" s="24" t="s">
        <v>718</v>
      </c>
      <c r="E194" s="15">
        <v>42642.754861111112</v>
      </c>
      <c r="F194" s="15">
        <v>42642.756516203706</v>
      </c>
      <c r="G194" s="7">
        <v>1</v>
      </c>
      <c r="H194" s="15" t="s">
        <v>719</v>
      </c>
      <c r="I194" s="15">
        <v>42642.767974537041</v>
      </c>
      <c r="J194" s="7">
        <v>0</v>
      </c>
      <c r="K194" s="117" t="str">
        <f t="shared" si="101"/>
        <v>4011/4012</v>
      </c>
      <c r="L194" s="24" t="str">
        <f>VLOOKUP(A194,'Trips&amp;Operators'!$C$1:$E$10000,3,FALSE)</f>
        <v>BROWN</v>
      </c>
      <c r="M194" s="6">
        <f t="shared" si="102"/>
        <v>1.1458333334303461E-2</v>
      </c>
      <c r="N194" s="7">
        <f t="shared" si="113"/>
        <v>16.500000001396984</v>
      </c>
      <c r="O194" s="7"/>
      <c r="P194" s="7"/>
      <c r="Q194" s="25"/>
      <c r="R194" s="25"/>
      <c r="S194" s="37">
        <f t="shared" si="103"/>
        <v>1</v>
      </c>
      <c r="T194" s="52" t="str">
        <f t="shared" si="104"/>
        <v>Southbound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17:07:00-0600',mode:absolute,to:'2016-09-29 19:25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194" s="54" t="str">
        <f t="shared" si="106"/>
        <v>N</v>
      </c>
      <c r="X194" s="164">
        <f t="shared" si="112"/>
        <v>1</v>
      </c>
      <c r="Y194" s="69">
        <f t="shared" si="107"/>
        <v>5.8644999999999996</v>
      </c>
      <c r="Z194" s="69">
        <f t="shared" si="108"/>
        <v>7.3099999999999998E-2</v>
      </c>
      <c r="AA194" s="69">
        <f t="shared" si="109"/>
        <v>5.7913999999999994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 t="shared" si="110"/>
        <v>0836-29</v>
      </c>
      <c r="AE194" s="95" t="str">
        <f t="shared" si="75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194" s="92" t="str">
        <f t="shared" si="76"/>
        <v>"C:\Program Files (x86)\AstroGrep\AstroGrep.exe" /spath="%USERPROFILE%\AppData\Local\Temp\OnboardLogs" /stypes="app*4012*20160930*" /stext=" 00:.+((SYSTEM_STATE.+slice.+state.+changed )|(ment ac)|(system.+state.+changed )|(\[timeout)|(PRM\|1\|D)|(kpr)|(kdp)|(\|lc)|(penalty))" /e /r /s</v>
      </c>
      <c r="AG194" s="1" t="str">
        <f t="shared" si="111"/>
        <v>NW</v>
      </c>
      <c r="AH194" s="96" t="str">
        <f t="shared" si="64"/>
        <v>"%USERPROFILE%\Documents\GitHub\eaglep3\Utilities\RefineRTDCRunTimes.py" --tripid 836-29 --locoid 4012 --swversion DE.1.0.7.0 --startMP 300:58645 --initTime 2016-09-29T18:07:00 --startdatetime 2016-09-29T18:09:23 --delay 1 --endMP 204:731 --enddatetime 2016-09-29T18:25:53 --enforcementcount 0 &gt;&gt;C:\Users\stu\Documents\GitHub\eaglep3-reporting\EC\2016-09-29-refined-times.txt</v>
      </c>
      <c r="AI194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{"issue":{"subject":"","project_id":79,"tracker_id":40,"status_id":1,"priority_id":2,"assigned_to_id":23,"start_date":"2016-09-29","description":"","custom_fields":[{"id":1,"name":"Subdivision","value":"NW"},{"id":4,"name":"Milepost","value":"0.0731"},{"id":17,"name":"Train ID","value":"836-29"},{"id":16,"name":"Locomotive ID","value":"4012"},{"id":130,"name":"Impact","value":""},{"id":150,"name":"Time of Event (Mountain Time)","value":"18:25:53"},{"id":151,"name":"Denver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542</v>
      </c>
      <c r="B195" s="7">
        <v>4014</v>
      </c>
      <c r="C195" s="24" t="s">
        <v>106</v>
      </c>
      <c r="D195" s="24" t="s">
        <v>720</v>
      </c>
      <c r="E195" s="15">
        <v>42642.752083333333</v>
      </c>
      <c r="F195" s="15">
        <v>42642.764814814815</v>
      </c>
      <c r="G195" s="7">
        <v>1</v>
      </c>
      <c r="H195" s="15" t="s">
        <v>691</v>
      </c>
      <c r="I195" s="15">
        <v>42642.774942129632</v>
      </c>
      <c r="J195" s="7">
        <v>0</v>
      </c>
      <c r="K195" s="117" t="str">
        <f t="shared" si="101"/>
        <v>4013/4014</v>
      </c>
      <c r="L195" s="24" t="str">
        <f>VLOOKUP(A195,'Trips&amp;Operators'!$C$1:$E$10000,3,FALSE)</f>
        <v>HELVIE</v>
      </c>
      <c r="M195" s="6">
        <f t="shared" si="102"/>
        <v>1.0127314817509614E-2</v>
      </c>
      <c r="N195" s="7">
        <f t="shared" si="113"/>
        <v>14.583333337213844</v>
      </c>
      <c r="O195" s="7"/>
      <c r="P195" s="7"/>
      <c r="Q195" s="25"/>
      <c r="R195" s="25"/>
      <c r="S195" s="37">
        <f t="shared" si="103"/>
        <v>1</v>
      </c>
      <c r="T195" s="52" t="str">
        <f t="shared" si="104"/>
        <v>NorthBound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17:03:00-0600',mode:absolute,to:'2016-09-29 19:35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5" s="54" t="str">
        <f t="shared" si="106"/>
        <v>N</v>
      </c>
      <c r="X195" s="164">
        <f t="shared" si="112"/>
        <v>1</v>
      </c>
      <c r="Y195" s="69">
        <f t="shared" si="107"/>
        <v>0.10390000000000001</v>
      </c>
      <c r="Z195" s="69">
        <f t="shared" si="108"/>
        <v>5.8940999999999999</v>
      </c>
      <c r="AA195" s="69">
        <f t="shared" si="109"/>
        <v>5.7901999999999996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 t="shared" si="110"/>
        <v>0837-29</v>
      </c>
      <c r="AE195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95" s="92" t="str">
        <f t="shared" si="76"/>
        <v>"C:\Program Files (x86)\AstroGrep\AstroGrep.exe" /spath="%USERPROFILE%\AppData\Local\Temp\OnboardLogs" /stypes="app*4014*20160930*" /stext=" 00:.+((SYSTEM_STATE.+slice.+state.+changed )|(ment ac)|(system.+state.+changed )|(\[timeout)|(PRM\|1\|D)|(kpr)|(kdp)|(\|lc)|(penalty))" /e /r /s</v>
      </c>
      <c r="AG195" s="1" t="str">
        <f t="shared" si="111"/>
        <v>NW</v>
      </c>
      <c r="AH195" s="96" t="str">
        <f t="shared" si="64"/>
        <v>"%USERPROFILE%\Documents\GitHub\eaglep3\Utilities\RefineRTDCRunTimes.py" --tripid 837-29 --locoid 4014 --swversion DE.1.0.7.0 --startMP 204:1039 --initTime 2016-09-29T18:03:00 --startdatetime 2016-09-29T18:21:20 --delay 1 --endMP 300:58941 --enddatetime 2016-09-29T18:35:55 --enforcementcount 0 &gt;&gt;C:\Users\stu\Documents\GitHub\eaglep3-reporting\EC\2016-09-29-refined-times.txt</v>
      </c>
      <c r="AI195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{"issue":{"subject":"","project_id":79,"tracker_id":40,"status_id":1,"priority_id":2,"assigned_to_id":23,"start_date":"2016-09-29","description":"","custom_fields":[{"id":1,"name":"Subdivision","value":"NW"},{"id":4,"name":"Milepost","value":"5.8941"},{"id":17,"name":"Train ID","value":"837-29"},{"id":16,"name":"Locomotive ID","value":"4014"},{"id":130,"name":"Impact","value":""},{"id":150,"name":"Time of Event (Mountain Time)","value":"18:35:55"},{"id":151,"name":"Denver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549</v>
      </c>
      <c r="B196" s="7">
        <v>4013</v>
      </c>
      <c r="C196" s="24" t="s">
        <v>106</v>
      </c>
      <c r="D196" s="24" t="s">
        <v>721</v>
      </c>
      <c r="E196" s="15">
        <v>42642.775821759256</v>
      </c>
      <c r="F196" s="15">
        <v>42642.777361111112</v>
      </c>
      <c r="G196" s="7">
        <v>1</v>
      </c>
      <c r="H196" s="15" t="s">
        <v>719</v>
      </c>
      <c r="I196" s="15">
        <v>42642.789351851854</v>
      </c>
      <c r="J196" s="7">
        <v>0</v>
      </c>
      <c r="K196" s="117" t="str">
        <f t="shared" si="101"/>
        <v>4013/4014</v>
      </c>
      <c r="L196" s="24" t="str">
        <f>VLOOKUP(A196,'Trips&amp;Operators'!$C$1:$E$10000,3,FALSE)</f>
        <v>HELVIE</v>
      </c>
      <c r="M196" s="6">
        <f t="shared" si="102"/>
        <v>1.1990740742476191E-2</v>
      </c>
      <c r="N196" s="7">
        <f t="shared" si="113"/>
        <v>17.266666669165716</v>
      </c>
      <c r="O196" s="7"/>
      <c r="P196" s="7"/>
      <c r="Q196" s="25"/>
      <c r="R196" s="25"/>
      <c r="S196" s="37">
        <f t="shared" si="103"/>
        <v>1</v>
      </c>
      <c r="T196" s="52" t="str">
        <f t="shared" si="104"/>
        <v>Southbound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17:37:11-0600',mode:absolute,to:'2016-09-29 19:56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6" s="54" t="str">
        <f t="shared" si="106"/>
        <v>N</v>
      </c>
      <c r="X196" s="164">
        <f t="shared" si="112"/>
        <v>1</v>
      </c>
      <c r="Y196" s="69">
        <f t="shared" si="107"/>
        <v>5.8628</v>
      </c>
      <c r="Z196" s="69">
        <f t="shared" si="108"/>
        <v>7.3099999999999998E-2</v>
      </c>
      <c r="AA196" s="69">
        <f t="shared" si="109"/>
        <v>5.7896999999999998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 t="shared" si="110"/>
        <v>0838-29</v>
      </c>
      <c r="AE196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96" s="92" t="str">
        <f t="shared" si="76"/>
        <v>"C:\Program Files (x86)\AstroGrep\AstroGrep.exe" /spath="%USERPROFILE%\AppData\Local\Temp\OnboardLogs" /stypes="app*4013*20160930*" /stext=" 00:.+((SYSTEM_STATE.+slice.+state.+changed )|(ment ac)|(system.+state.+changed )|(\[timeout)|(PRM\|1\|D)|(kpr)|(kdp)|(\|lc)|(penalty))" /e /r /s</v>
      </c>
      <c r="AG196" s="1" t="str">
        <f t="shared" si="111"/>
        <v>NW</v>
      </c>
      <c r="AH196" s="96" t="str">
        <f t="shared" si="64"/>
        <v>"%USERPROFILE%\Documents\GitHub\eaglep3\Utilities\RefineRTDCRunTimes.py" --tripid 838-29 --locoid 4013 --swversion DE.1.0.7.0 --startMP 300:58628 --initTime 2016-09-29T18:37:11 --startdatetime 2016-09-29T18:39:24 --delay 1 --endMP 204:731 --enddatetime 2016-09-29T18:56:40 --enforcementcount 0 &gt;&gt;C:\Users\stu\Documents\GitHub\eaglep3-reporting\EC\2016-09-29-refined-times.txt</v>
      </c>
      <c r="AI196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{"issue":{"subject":"","project_id":79,"tracker_id":40,"status_id":1,"priority_id":2,"assigned_to_id":23,"start_date":"2016-09-29","description":"","custom_fields":[{"id":1,"name":"Subdivision","value":"NW"},{"id":4,"name":"Milepost","value":"0.0731"},{"id":17,"name":"Train ID","value":"838-29"},{"id":16,"name":"Locomotive ID","value":"4013"},{"id":130,"name":"Impact","value":""},{"id":150,"name":"Time of Event (Mountain Time)","value":"18:56:40"},{"id":151,"name":"Denver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550</v>
      </c>
      <c r="B197" s="7">
        <v>4011</v>
      </c>
      <c r="C197" s="24" t="s">
        <v>106</v>
      </c>
      <c r="D197" s="24" t="s">
        <v>711</v>
      </c>
      <c r="E197" s="15">
        <v>42642.776284722226</v>
      </c>
      <c r="F197" s="15">
        <v>42642.785590277781</v>
      </c>
      <c r="G197" s="7">
        <v>2</v>
      </c>
      <c r="H197" s="15" t="s">
        <v>686</v>
      </c>
      <c r="I197" s="15">
        <v>42642.795567129629</v>
      </c>
      <c r="J197" s="7">
        <v>0</v>
      </c>
      <c r="K197" s="117" t="str">
        <f t="shared" si="101"/>
        <v>4011/4012</v>
      </c>
      <c r="L197" s="24" t="str">
        <f>VLOOKUP(A197,'Trips&amp;Operators'!$C$1:$E$10000,3,FALSE)</f>
        <v>BROWN</v>
      </c>
      <c r="M197" s="6">
        <f t="shared" si="102"/>
        <v>9.9768518484779634E-3</v>
      </c>
      <c r="N197" s="7">
        <f t="shared" si="113"/>
        <v>14.366666661808267</v>
      </c>
      <c r="O197" s="7"/>
      <c r="P197" s="7"/>
      <c r="Q197" s="25"/>
      <c r="R197" s="25"/>
      <c r="S197" s="37">
        <f t="shared" si="103"/>
        <v>1</v>
      </c>
      <c r="T197" s="52" t="str">
        <f t="shared" si="104"/>
        <v>NorthBound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17:37:51-0600',mode:absolute,to:'2016-09-29 20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197" s="54" t="str">
        <f t="shared" si="106"/>
        <v>N</v>
      </c>
      <c r="X197" s="164">
        <f t="shared" si="112"/>
        <v>1</v>
      </c>
      <c r="Y197" s="69">
        <f t="shared" si="107"/>
        <v>0.10249999999999999</v>
      </c>
      <c r="Z197" s="69">
        <f t="shared" si="108"/>
        <v>5.8935000000000004</v>
      </c>
      <c r="AA197" s="69">
        <f t="shared" si="109"/>
        <v>5.7910000000000004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 t="shared" si="110"/>
        <v>0839-29</v>
      </c>
      <c r="AE197" s="95" t="str">
        <f t="shared" si="75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197" s="92" t="str">
        <f t="shared" si="76"/>
        <v>"C:\Program Files (x86)\AstroGrep\AstroGrep.exe" /spath="%USERPROFILE%\AppData\Local\Temp\OnboardLogs" /stypes="app*4011*20160930*" /stext=" 01:.+((SYSTEM_STATE.+slice.+state.+changed )|(ment ac)|(system.+state.+changed )|(\[timeout)|(PRM\|1\|D)|(kpr)|(kdp)|(\|lc)|(penalty))" /e /r /s</v>
      </c>
      <c r="AG197" s="1" t="str">
        <f t="shared" si="111"/>
        <v>NW</v>
      </c>
      <c r="AH197" s="96" t="str">
        <f t="shared" si="64"/>
        <v>"%USERPROFILE%\Documents\GitHub\eaglep3\Utilities\RefineRTDCRunTimes.py" --tripid 839-29 --locoid 4011 --swversion DE.1.0.7.0 --startMP 204:1025 --initTime 2016-09-29T18:37:51 --startdatetime 2016-09-29T18:51:15 --delay 2 --endMP 300:58935 --enddatetime 2016-09-29T19:05:37 --enforcementcount 0 &gt;&gt;C:\Users\stu\Documents\GitHub\eaglep3-reporting\EC\2016-09-29-refined-times.txt</v>
      </c>
      <c r="AI197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{"issue":{"subject":"","project_id":79,"tracker_id":40,"status_id":1,"priority_id":2,"assigned_to_id":23,"start_date":"2016-09-29","description":"","custom_fields":[{"id":1,"name":"Subdivision","value":"NW"},{"id":4,"name":"Milepost","value":"5.8935"},{"id":17,"name":"Train ID","value":"839-29"},{"id":16,"name":"Locomotive ID","value":"4011"},{"id":130,"name":"Impact","value":""},{"id":150,"name":"Time of Event (Mountain Time)","value":"19:05:37"},{"id":151,"name":"Denver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559</v>
      </c>
      <c r="B198" s="7">
        <v>4013</v>
      </c>
      <c r="C198" s="24" t="s">
        <v>106</v>
      </c>
      <c r="D198" s="24" t="s">
        <v>683</v>
      </c>
      <c r="E198" s="15">
        <v>42642.819189814814</v>
      </c>
      <c r="F198" s="15">
        <v>42642.820474537039</v>
      </c>
      <c r="G198" s="7">
        <v>1</v>
      </c>
      <c r="H198" s="15" t="s">
        <v>688</v>
      </c>
      <c r="I198" s="15">
        <v>42642.833969907406</v>
      </c>
      <c r="J198" s="7">
        <v>0</v>
      </c>
      <c r="K198" s="117" t="str">
        <f t="shared" si="101"/>
        <v>4013/4014</v>
      </c>
      <c r="L198" s="24" t="str">
        <f>VLOOKUP(A198,'Trips&amp;Operators'!$C$1:$E$10000,3,FALSE)</f>
        <v>HELVIE</v>
      </c>
      <c r="M198" s="6">
        <f t="shared" si="102"/>
        <v>1.3495370367309079E-2</v>
      </c>
      <c r="N198" s="7">
        <f t="shared" si="113"/>
        <v>19.433333328925073</v>
      </c>
      <c r="O198" s="7"/>
      <c r="P198" s="7"/>
      <c r="Q198" s="25"/>
      <c r="R198" s="25"/>
      <c r="S198" s="37">
        <f t="shared" si="103"/>
        <v>1</v>
      </c>
      <c r="T198" s="52" t="str">
        <f t="shared" si="104"/>
        <v>Southbound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18:39:38-0600',mode:absolute,to:'2016-09-29 21:00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198" s="54" t="str">
        <f t="shared" si="106"/>
        <v>N</v>
      </c>
      <c r="X198" s="164">
        <f t="shared" si="112"/>
        <v>1</v>
      </c>
      <c r="Y198" s="69">
        <f t="shared" si="107"/>
        <v>5.8666</v>
      </c>
      <c r="Z198" s="69">
        <f t="shared" si="108"/>
        <v>7.8299999999999995E-2</v>
      </c>
      <c r="AA198" s="69">
        <f t="shared" si="109"/>
        <v>5.7883000000000004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 t="shared" si="110"/>
        <v>0840-29</v>
      </c>
      <c r="AE198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198" s="92" t="str">
        <f t="shared" si="76"/>
        <v>"C:\Program Files (x86)\AstroGrep\AstroGrep.exe" /spath="%USERPROFILE%\AppData\Local\Temp\OnboardLogs" /stypes="app*4013*20160930*" /stext=" 02:.+((SYSTEM_STATE.+slice.+state.+changed )|(ment ac)|(system.+state.+changed )|(\[timeout)|(PRM\|1\|D)|(kpr)|(kdp)|(\|lc)|(penalty))" /e /r /s</v>
      </c>
      <c r="AG198" s="1" t="str">
        <f t="shared" si="111"/>
        <v>NW</v>
      </c>
      <c r="AH198" s="96" t="str">
        <f t="shared" si="64"/>
        <v>"%USERPROFILE%\Documents\GitHub\eaglep3\Utilities\RefineRTDCRunTimes.py" --tripid 840-29 --locoid 4013 --swversion DE.1.0.7.0 --startMP 300:58666 --initTime 2016-09-29T19:39:38 --startdatetime 2016-09-29T19:41:29 --delay 1 --endMP 204:783 --enddatetime 2016-09-29T20:00:55 --enforcementcount 0 &gt;&gt;C:\Users\stu\Documents\GitHub\eaglep3-reporting\EC\2016-09-29-refined-times.txt</v>
      </c>
      <c r="AI198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{"issue":{"subject":"","project_id":79,"tracker_id":40,"status_id":1,"priority_id":2,"assigned_to_id":23,"start_date":"2016-09-29","description":"","custom_fields":[{"id":1,"name":"Subdivision","value":"NW"},{"id":4,"name":"Milepost","value":"0.0783"},{"id":17,"name":"Train ID","value":"840-29"},{"id":16,"name":"Locomotive ID","value":"4013"},{"id":130,"name":"Impact","value":""},{"id":150,"name":"Time of Event (Mountain Time)","value":"20:00:55"},{"id":151,"name":"Denver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556</v>
      </c>
      <c r="B199" s="7">
        <v>4014</v>
      </c>
      <c r="C199" s="24" t="s">
        <v>106</v>
      </c>
      <c r="D199" s="24" t="s">
        <v>722</v>
      </c>
      <c r="E199" s="15">
        <v>42642.799872685187</v>
      </c>
      <c r="F199" s="15">
        <v>42642.806608796294</v>
      </c>
      <c r="G199" s="7">
        <v>2</v>
      </c>
      <c r="H199" s="15" t="s">
        <v>723</v>
      </c>
      <c r="I199" s="15">
        <v>42642.818067129629</v>
      </c>
      <c r="J199" s="7">
        <v>0</v>
      </c>
      <c r="K199" s="117" t="str">
        <f t="shared" si="101"/>
        <v>4013/4014</v>
      </c>
      <c r="L199" s="24" t="str">
        <f>VLOOKUP(A199,'Trips&amp;Operators'!$C$1:$E$10000,3,FALSE)</f>
        <v>HELVIE</v>
      </c>
      <c r="M199" s="6">
        <f t="shared" si="102"/>
        <v>1.1458333334303461E-2</v>
      </c>
      <c r="N199" s="7">
        <f t="shared" si="113"/>
        <v>16.500000001396984</v>
      </c>
      <c r="O199" s="7"/>
      <c r="P199" s="7"/>
      <c r="Q199" s="25"/>
      <c r="R199" s="25"/>
      <c r="S199" s="37">
        <f t="shared" si="103"/>
        <v>1</v>
      </c>
      <c r="T199" s="52" t="str">
        <f t="shared" si="104"/>
        <v>NorthBound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18:11:49-0600',mode:absolute,to:'2016-09-29 20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199" s="54" t="str">
        <f t="shared" si="106"/>
        <v>N</v>
      </c>
      <c r="X199" s="164">
        <f t="shared" si="112"/>
        <v>1</v>
      </c>
      <c r="Y199" s="69">
        <f t="shared" si="107"/>
        <v>0.1028</v>
      </c>
      <c r="Z199" s="69">
        <f t="shared" si="108"/>
        <v>5.8983999999999996</v>
      </c>
      <c r="AA199" s="69">
        <f t="shared" si="109"/>
        <v>5.7955999999999994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 t="shared" si="110"/>
        <v>0841-29</v>
      </c>
      <c r="AE199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199" s="92" t="str">
        <f t="shared" si="76"/>
        <v>"C:\Program Files (x86)\AstroGrep\AstroGrep.exe" /spath="%USERPROFILE%\AppData\Local\Temp\OnboardLogs" /stypes="app*4014*20160930*" /stext=" 01:.+((SYSTEM_STATE.+slice.+state.+changed )|(ment ac)|(system.+state.+changed )|(\[timeout)|(PRM\|1\|D)|(kpr)|(kdp)|(\|lc)|(penalty))" /e /r /s</v>
      </c>
      <c r="AG199" s="1" t="str">
        <f t="shared" si="111"/>
        <v>NW</v>
      </c>
      <c r="AH199" s="96" t="str">
        <f t="shared" si="64"/>
        <v>"%USERPROFILE%\Documents\GitHub\eaglep3\Utilities\RefineRTDCRunTimes.py" --tripid 841-29 --locoid 4014 --swversion DE.1.0.7.0 --startMP 204:1028 --initTime 2016-09-29T19:11:49 --startdatetime 2016-09-29T19:21:31 --delay 2 --endMP 300:58984 --enddatetime 2016-09-29T19:38:01 --enforcementcount 0 &gt;&gt;C:\Users\stu\Documents\GitHub\eaglep3-reporting\EC\2016-09-29-refined-times.txt</v>
      </c>
      <c r="AI199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{"issue":{"subject":"","project_id":79,"tracker_id":40,"status_id":1,"priority_id":2,"assigned_to_id":23,"start_date":"2016-09-29","description":"","custom_fields":[{"id":1,"name":"Subdivision","value":"NW"},{"id":4,"name":"Milepost","value":"5.8984"},{"id":17,"name":"Train ID","value":"841-29"},{"id":16,"name":"Locomotive ID","value":"4014"},{"id":130,"name":"Impact","value":""},{"id":150,"name":"Time of Event (Mountain Time)","value":"19:38:01"},{"id":151,"name":"Denver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566</v>
      </c>
      <c r="B200" s="7">
        <v>4013</v>
      </c>
      <c r="C200" s="24" t="s">
        <v>106</v>
      </c>
      <c r="D200" s="24" t="s">
        <v>356</v>
      </c>
      <c r="E200" s="15">
        <v>42642.860162037039</v>
      </c>
      <c r="F200" s="15">
        <v>42642.86136574074</v>
      </c>
      <c r="G200" s="7">
        <v>1</v>
      </c>
      <c r="H200" s="15" t="s">
        <v>715</v>
      </c>
      <c r="I200" s="15">
        <v>42642.871666666666</v>
      </c>
      <c r="J200" s="7">
        <v>0</v>
      </c>
      <c r="K200" s="117" t="str">
        <f t="shared" si="101"/>
        <v>4013/4014</v>
      </c>
      <c r="L200" s="24" t="str">
        <f>VLOOKUP(A200,'Trips&amp;Operators'!$C$1:$E$10000,3,FALSE)</f>
        <v>HELVIE</v>
      </c>
      <c r="M200" s="6">
        <f t="shared" si="102"/>
        <v>1.0300925925548654E-2</v>
      </c>
      <c r="N200" s="7">
        <f t="shared" si="113"/>
        <v>14.833333332790062</v>
      </c>
      <c r="O200" s="7"/>
      <c r="P200" s="7"/>
      <c r="Q200" s="25"/>
      <c r="R200" s="25"/>
      <c r="S200" s="37">
        <f t="shared" si="103"/>
        <v>1</v>
      </c>
      <c r="T200" s="52" t="str">
        <f t="shared" si="104"/>
        <v>Southbound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19:38:38-0600',mode:absolute,to:'2016-09-29 21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0" s="54" t="str">
        <f t="shared" si="106"/>
        <v>N</v>
      </c>
      <c r="X200" s="164">
        <f t="shared" si="112"/>
        <v>1</v>
      </c>
      <c r="Y200" s="69">
        <f t="shared" si="107"/>
        <v>5.8688000000000002</v>
      </c>
      <c r="Z200" s="69">
        <f t="shared" si="108"/>
        <v>7.5499999999999998E-2</v>
      </c>
      <c r="AA200" s="69">
        <f t="shared" si="109"/>
        <v>5.7933000000000003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 t="shared" si="110"/>
        <v>0842-29</v>
      </c>
      <c r="AE200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200" s="92" t="str">
        <f t="shared" si="76"/>
        <v>"C:\Program Files (x86)\AstroGrep\AstroGrep.exe" /spath="%USERPROFILE%\AppData\Local\Temp\OnboardLogs" /stypes="app*4013*20160930*" /stext=" 02:.+((SYSTEM_STATE.+slice.+state.+changed )|(ment ac)|(system.+state.+changed )|(\[timeout)|(PRM\|1\|D)|(kpr)|(kdp)|(\|lc)|(penalty))" /e /r /s</v>
      </c>
      <c r="AG200" s="1" t="str">
        <f t="shared" si="111"/>
        <v>NW</v>
      </c>
      <c r="AH200" s="96" t="str">
        <f t="shared" si="64"/>
        <v>"%USERPROFILE%\Documents\GitHub\eaglep3\Utilities\RefineRTDCRunTimes.py" --tripid 842-29 --locoid 4013 --swversion DE.1.0.7.0 --startMP 300:58688 --initTime 2016-09-29T20:38:38 --startdatetime 2016-09-29T20:40:22 --delay 1 --endMP 204:755 --enddatetime 2016-09-29T20:55:12 --enforcementcount 0 &gt;&gt;C:\Users\stu\Documents\GitHub\eaglep3-reporting\EC\2016-09-29-refined-times.txt</v>
      </c>
      <c r="AI200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{"issue":{"subject":"","project_id":79,"tracker_id":40,"status_id":1,"priority_id":2,"assigned_to_id":23,"start_date":"2016-09-29","description":"","custom_fields":[{"id":1,"name":"Subdivision","value":"NW"},{"id":4,"name":"Milepost","value":"0.0755"},{"id":17,"name":"Train ID","value":"842-29"},{"id":16,"name":"Locomotive ID","value":"4013"},{"id":130,"name":"Impact","value":""},{"id":150,"name":"Time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s="23" customFormat="1" x14ac:dyDescent="0.25">
      <c r="A201" s="39" t="s">
        <v>564</v>
      </c>
      <c r="B201" s="7">
        <v>4014</v>
      </c>
      <c r="C201" s="24" t="s">
        <v>106</v>
      </c>
      <c r="D201" s="24" t="s">
        <v>724</v>
      </c>
      <c r="E201" s="15">
        <v>42642.844594907408</v>
      </c>
      <c r="F201" s="15">
        <v>42642.86136574074</v>
      </c>
      <c r="G201" s="7">
        <v>1</v>
      </c>
      <c r="H201" s="15" t="s">
        <v>725</v>
      </c>
      <c r="I201" s="15">
        <v>42642.871666666666</v>
      </c>
      <c r="J201" s="7">
        <v>0</v>
      </c>
      <c r="K201" s="117" t="str">
        <f t="shared" si="101"/>
        <v>4013/4014</v>
      </c>
      <c r="L201" s="24" t="str">
        <f>VLOOKUP(A201,'Trips&amp;Operators'!$C$1:$E$10000,3,FALSE)</f>
        <v>HELVIE</v>
      </c>
      <c r="M201" s="6">
        <f t="shared" si="102"/>
        <v>1.0300925925548654E-2</v>
      </c>
      <c r="N201" s="7">
        <f t="shared" si="113"/>
        <v>14.833333332790062</v>
      </c>
      <c r="O201" s="7"/>
      <c r="P201" s="7"/>
      <c r="Q201" s="25"/>
      <c r="R201" s="25"/>
      <c r="S201" s="37">
        <f t="shared" si="103"/>
        <v>1</v>
      </c>
      <c r="T201" s="52" t="str">
        <f t="shared" si="104"/>
        <v>NorthBound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19:16:13-0600',mode:absolute,to:'2016-09-29 21:55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1" s="54" t="str">
        <f t="shared" si="106"/>
        <v>N</v>
      </c>
      <c r="X201" s="164">
        <f t="shared" si="112"/>
        <v>1</v>
      </c>
      <c r="Y201" s="69">
        <f t="shared" si="107"/>
        <v>0.1051</v>
      </c>
      <c r="Z201" s="69">
        <f t="shared" si="108"/>
        <v>5.9009999999999998</v>
      </c>
      <c r="AA201" s="69">
        <f t="shared" si="109"/>
        <v>5.7958999999999996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 t="shared" si="110"/>
        <v>0843-29</v>
      </c>
      <c r="AE201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201" s="92" t="str">
        <f t="shared" si="76"/>
        <v>"C:\Program Files (x86)\AstroGrep\AstroGrep.exe" /spath="%USERPROFILE%\AppData\Local\Temp\OnboardLogs" /stypes="app*4014*20160930*" /stext=" 02:.+((SYSTEM_STATE.+slice.+state.+changed )|(ment ac)|(system.+state.+changed )|(\[timeout)|(PRM\|1\|D)|(kpr)|(kdp)|(\|lc)|(penalty))" /e /r /s</v>
      </c>
      <c r="AG201" s="1" t="str">
        <f t="shared" si="111"/>
        <v>NW</v>
      </c>
      <c r="AH201" s="96" t="str">
        <f t="shared" si="64"/>
        <v>"%USERPROFILE%\Documents\GitHub\eaglep3\Utilities\RefineRTDCRunTimes.py" --tripid 843-29 --locoid 4014 --swversion DE.1.0.7.0 --startMP 204:1051 --initTime 2016-09-29T20:16:13 --startdatetime 2016-09-29T20:40:22 --delay 1 --endMP 300:59010 --enddatetime 2016-09-29T20:55:12 --enforcementcount 0 &gt;&gt;C:\Users\stu\Documents\GitHub\eaglep3-reporting\EC\2016-09-29-refined-times.txt</v>
      </c>
      <c r="AI201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{"issue":{"subject":"","project_id":79,"tracker_id":40,"status_id":1,"priority_id":2,"assigned_to_id":23,"start_date":"2016-09-29","description":"","custom_fields":[{"id":1,"name":"Subdivision","value":"NW"},{"id":4,"name":"Milepost","value":"5.901"},{"id":17,"name":"Train ID","value":"843-29"},{"id":16,"name":"Locomotive ID","value":"4014"},{"id":130,"name":"Impact","value":""},{"id":150,"name":"Time of Event (Mountain Time)","value":"20:55:12"},{"id":151,"name":"Denver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572</v>
      </c>
      <c r="B202" s="7">
        <v>4013</v>
      </c>
      <c r="C202" s="24" t="s">
        <v>106</v>
      </c>
      <c r="D202" s="24" t="s">
        <v>357</v>
      </c>
      <c r="E202" s="15">
        <v>42642.900648148148</v>
      </c>
      <c r="F202" s="15">
        <v>42642.902280092596</v>
      </c>
      <c r="G202" s="7">
        <v>1</v>
      </c>
      <c r="H202" s="15" t="s">
        <v>301</v>
      </c>
      <c r="I202" s="15">
        <v>42642.913217592592</v>
      </c>
      <c r="J202" s="7">
        <v>0</v>
      </c>
      <c r="K202" s="117" t="str">
        <f t="shared" si="101"/>
        <v>4013/4014</v>
      </c>
      <c r="L202" s="24" t="str">
        <f>VLOOKUP(A202,'Trips&amp;Operators'!$C$1:$E$10000,3,FALSE)</f>
        <v>BROWN</v>
      </c>
      <c r="M202" s="6">
        <f t="shared" si="102"/>
        <v>1.0937499995634425E-2</v>
      </c>
      <c r="N202" s="7">
        <f t="shared" si="113"/>
        <v>15.749999993713573</v>
      </c>
      <c r="O202" s="7"/>
      <c r="P202" s="7"/>
      <c r="Q202" s="25"/>
      <c r="R202" s="25"/>
      <c r="S202" s="37">
        <f t="shared" si="103"/>
        <v>1</v>
      </c>
      <c r="T202" s="52" t="str">
        <f t="shared" si="104"/>
        <v>Southbound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20:36:56-0600',mode:absolute,to:'2016-09-29 22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W202" s="54" t="str">
        <f t="shared" si="106"/>
        <v>N</v>
      </c>
      <c r="X202" s="164">
        <f t="shared" si="112"/>
        <v>1</v>
      </c>
      <c r="Y202" s="69">
        <f t="shared" si="107"/>
        <v>5.8640999999999996</v>
      </c>
      <c r="Z202" s="69">
        <f t="shared" si="108"/>
        <v>7.22E-2</v>
      </c>
      <c r="AA202" s="69">
        <f t="shared" si="109"/>
        <v>5.7919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 t="shared" si="110"/>
        <v>0844-29</v>
      </c>
      <c r="AE202" s="95" t="str">
        <f t="shared" si="75"/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AF202" s="92" t="str">
        <f t="shared" si="76"/>
        <v>"C:\Program Files (x86)\AstroGrep\AstroGrep.exe" /spath="%USERPROFILE%\AppData\Local\Temp\OnboardLogs" /stypes="app*4013*20160930*" /stext=" 03:.+((SYSTEM_STATE.+slice.+state.+changed )|(ment ac)|(system.+state.+changed )|(\[timeout)|(PRM\|1\|D)|(kpr)|(kdp)|(\|lc)|(penalty))" /e /r /s</v>
      </c>
      <c r="AG202" s="1" t="str">
        <f t="shared" si="111"/>
        <v>NW</v>
      </c>
      <c r="AH202" s="96" t="str">
        <f t="shared" si="64"/>
        <v>"%USERPROFILE%\Documents\GitHub\eaglep3\Utilities\RefineRTDCRunTimes.py" --tripid 844-29 --locoid 4013 --swversion DE.1.0.7.0 --startMP 300:58641 --initTime 2016-09-29T21:36:56 --startdatetime 2016-09-29T21:39:17 --delay 1 --endMP 204:722 --enddatetime 2016-09-29T21:55:02 --enforcementcount 0 &gt;&gt;C:\Users\stu\Documents\GitHub\eaglep3-reporting\EC\2016-09-29-refined-times.txt</v>
      </c>
      <c r="AI202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{"issue":{"subject":"","project_id":79,"tracker_id":40,"status_id":1,"priority_id":2,"assigned_to_id":23,"start_date":"2016-09-29","description":"","custom_fields":[{"id":1,"name":"Subdivision","value":"NW"},{"id":4,"name":"Milepost","value":"0.0722"},{"id":17,"name":"Train ID","value":"844-29"},{"id":16,"name":"Locomotive ID","value":"4013"},{"id":130,"name":"Impact","value":""},{"id":150,"name":"Time of Event (Mountain Time)","value":"21:55:02"},{"id":151,"name":"Denver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569</v>
      </c>
      <c r="B203" s="7">
        <v>4014</v>
      </c>
      <c r="C203" s="24" t="s">
        <v>106</v>
      </c>
      <c r="D203" s="24" t="s">
        <v>726</v>
      </c>
      <c r="E203" s="15">
        <v>42642.877615740741</v>
      </c>
      <c r="F203" s="15">
        <v>42642.889907407407</v>
      </c>
      <c r="G203" s="7">
        <v>1</v>
      </c>
      <c r="H203" s="15" t="s">
        <v>727</v>
      </c>
      <c r="I203" s="15">
        <v>42642.899583333332</v>
      </c>
      <c r="J203" s="7">
        <v>0</v>
      </c>
      <c r="K203" s="117" t="str">
        <f t="shared" si="101"/>
        <v>4013/4014</v>
      </c>
      <c r="L203" s="24" t="str">
        <f>VLOOKUP(A203,'Trips&amp;Operators'!$C$1:$E$10000,3,FALSE)</f>
        <v>BROWN</v>
      </c>
      <c r="M203" s="6">
        <f t="shared" si="102"/>
        <v>9.6759259249665774E-3</v>
      </c>
      <c r="N203" s="7">
        <f t="shared" si="113"/>
        <v>13.933333331951872</v>
      </c>
      <c r="O203" s="7"/>
      <c r="P203" s="7"/>
      <c r="Q203" s="25"/>
      <c r="R203" s="25"/>
      <c r="S203" s="37">
        <f t="shared" si="103"/>
        <v>1</v>
      </c>
      <c r="T203" s="52" t="str">
        <f t="shared" si="104"/>
        <v>NorthBound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20:03:46-0600',mode:absolute,to:'2016-09-29 22:35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3" s="54" t="str">
        <f t="shared" si="106"/>
        <v>N</v>
      </c>
      <c r="X203" s="164">
        <f t="shared" si="112"/>
        <v>1</v>
      </c>
      <c r="Y203" s="69">
        <f t="shared" si="107"/>
        <v>0.10440000000000001</v>
      </c>
      <c r="Z203" s="69">
        <f t="shared" si="108"/>
        <v>5.8954000000000004</v>
      </c>
      <c r="AA203" s="69">
        <f t="shared" si="109"/>
        <v>5.7910000000000004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 t="shared" si="110"/>
        <v>0845-29</v>
      </c>
      <c r="AE203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203" s="92" t="str">
        <f t="shared" si="76"/>
        <v>"C:\Program Files (x86)\AstroGrep\AstroGrep.exe" /spath="%USERPROFILE%\AppData\Local\Temp\OnboardLogs" /stypes="app*4014*20160930*" /stext=" 03:.+((SYSTEM_STATE.+slice.+state.+changed )|(ment ac)|(system.+state.+changed )|(\[timeout)|(PRM\|1\|D)|(kpr)|(kdp)|(\|lc)|(penalty))" /e /r /s</v>
      </c>
      <c r="AG203" s="1" t="str">
        <f t="shared" si="111"/>
        <v>NW</v>
      </c>
      <c r="AH203" s="96" t="str">
        <f t="shared" si="64"/>
        <v>"%USERPROFILE%\Documents\GitHub\eaglep3\Utilities\RefineRTDCRunTimes.py" --tripid 845-29 --locoid 4014 --swversion DE.1.0.7.0 --startMP 204:1044 --initTime 2016-09-29T21:03:46 --startdatetime 2016-09-29T21:21:28 --delay 1 --endMP 300:58954 --enddatetime 2016-09-29T21:35:24 --enforcementcount 0 &gt;&gt;C:\Users\stu\Documents\GitHub\eaglep3-reporting\EC\2016-09-29-refined-times.txt</v>
      </c>
      <c r="AI203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{"issue":{"subject":"","project_id":79,"tracker_id":40,"status_id":1,"priority_id":2,"assigned_to_id":23,"start_date":"2016-09-29","description":"","custom_fields":[{"id":1,"name":"Subdivision","value":"NW"},{"id":4,"name":"Milepost","value":"5.8954"},{"id":17,"name":"Train ID","value":"845-29"},{"id":16,"name":"Locomotive ID","value":"4014"},{"id":130,"name":"Impact","value":""},{"id":150,"name":"Time of Event (Mountain Time)","value":"21:35:24"},{"id":151,"name":"Denver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575</v>
      </c>
      <c r="B204" s="7">
        <v>4014</v>
      </c>
      <c r="C204" s="24" t="s">
        <v>106</v>
      </c>
      <c r="D204" s="24" t="s">
        <v>706</v>
      </c>
      <c r="E204" s="15">
        <v>42642.922754629632</v>
      </c>
      <c r="F204" s="15">
        <v>42642.931469907409</v>
      </c>
      <c r="G204" s="7">
        <v>1</v>
      </c>
      <c r="H204" s="15" t="s">
        <v>691</v>
      </c>
      <c r="I204" s="15">
        <v>42642.941064814811</v>
      </c>
      <c r="J204" s="7">
        <v>0</v>
      </c>
      <c r="K204" s="117" t="str">
        <f t="shared" si="101"/>
        <v>4013/4014</v>
      </c>
      <c r="L204" s="24" t="str">
        <f>VLOOKUP(A204,'Trips&amp;Operators'!$C$1:$E$10000,3,FALSE)</f>
        <v>BROWN</v>
      </c>
      <c r="M204" s="6">
        <f t="shared" si="102"/>
        <v>9.594907402060926E-3</v>
      </c>
      <c r="N204" s="7">
        <f t="shared" si="113"/>
        <v>13.816666658967733</v>
      </c>
      <c r="O204" s="7"/>
      <c r="P204" s="7"/>
      <c r="Q204" s="25"/>
      <c r="R204" s="25"/>
      <c r="S204" s="37">
        <f t="shared" si="103"/>
        <v>1</v>
      </c>
      <c r="T204" s="52" t="str">
        <f t="shared" si="104"/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21:08:46-0600',mode:absolute,to:'2016-09-29 23:35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04" s="54" t="str">
        <f t="shared" si="106"/>
        <v>N</v>
      </c>
      <c r="X204" s="164">
        <f t="shared" si="112"/>
        <v>2</v>
      </c>
      <c r="Y204" s="69">
        <f t="shared" si="107"/>
        <v>0.1027</v>
      </c>
      <c r="Z204" s="69">
        <f t="shared" si="108"/>
        <v>5.8940999999999999</v>
      </c>
      <c r="AA204" s="69">
        <f t="shared" si="109"/>
        <v>5.7914000000000003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 t="shared" si="110"/>
        <v>0847-29</v>
      </c>
      <c r="AE204" s="95" t="str">
        <f t="shared" si="75"/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AF204" s="92" t="str">
        <f t="shared" si="76"/>
        <v>"C:\Program Files (x86)\AstroGrep\AstroGrep.exe" /spath="%USERPROFILE%\AppData\Local\Temp\OnboardLogs" /stypes="app*4014*20160930*" /stext=" 04:.+((SYSTEM_STATE.+slice.+state.+changed )|(ment ac)|(system.+state.+changed )|(\[timeout)|(PRM\|1\|D)|(kpr)|(kdp)|(\|lc)|(penalty))" /e /r /s</v>
      </c>
      <c r="AG204" s="1" t="str">
        <f t="shared" si="111"/>
        <v>NW</v>
      </c>
      <c r="AH204" s="96" t="str">
        <f t="shared" si="64"/>
        <v>"%USERPROFILE%\Documents\GitHub\eaglep3\Utilities\RefineRTDCRunTimes.py" --tripid 847-29 --locoid 4014 --swversion DE.1.0.7.0 --startMP 204:1027 --initTime 2016-09-29T22:08:46 --startdatetime 2016-09-29T22:21:19 --delay 1 --endMP 300:58941 --enddatetime 2016-09-29T22:35:08 --enforcementcount 0 &gt;&gt;C:\Users\stu\Documents\GitHub\eaglep3-reporting\EC\2016-09-29-refined-times.txt</v>
      </c>
      <c r="AI204" s="130" t="str">
        <f t="shared" si="65"/>
        <v>echo {"issue":{"subject":"","project_id":79,"tracker_id":40,"status_id":1,"priority_id":2,"assigned_to_id":23,"start_date":"2016-09-29","description":"","custom_fields":[{"id":1,"name":"Subdivision","value":"NW"},{"id":4,"name":"Milepost","value":"5.8941"},{"id":17,"name":"Train ID","value":"847-29"},{"id":16,"name":"Locomotive ID","value":"4014"},{"id":130,"name":"Impact","value":""},{"id":150,"name":"Time of Event (Mountain Time)","value":"22:35:08"},{"id":151,"name":"Denver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551</v>
      </c>
      <c r="B205" s="7">
        <v>4020</v>
      </c>
      <c r="C205" s="24" t="s">
        <v>106</v>
      </c>
      <c r="D205" s="24" t="s">
        <v>210</v>
      </c>
      <c r="E205" s="15">
        <v>42642.781099537038</v>
      </c>
      <c r="F205" s="15">
        <v>25568.708333333332</v>
      </c>
      <c r="G205" s="7">
        <v>1</v>
      </c>
      <c r="H205" s="15" t="s">
        <v>652</v>
      </c>
      <c r="I205" s="15">
        <v>25568.708333333332</v>
      </c>
      <c r="J205" s="7">
        <v>0</v>
      </c>
      <c r="K205" s="117" t="str">
        <f t="shared" si="101"/>
        <v>4019/4020</v>
      </c>
      <c r="L205" s="24" t="str">
        <f>VLOOKUP(A205,'Trips&amp;Operators'!$C$1:$E$10000,3,FALSE)</f>
        <v>NEWELL</v>
      </c>
      <c r="M205" s="6">
        <f t="shared" si="102"/>
        <v>0</v>
      </c>
      <c r="N205" s="7">
        <f t="shared" si="113"/>
        <v>0</v>
      </c>
      <c r="O205" s="7"/>
      <c r="P205" s="7"/>
      <c r="Q205" s="25"/>
      <c r="R205" s="25"/>
      <c r="S205" s="37">
        <f t="shared" si="103"/>
        <v>1</v>
      </c>
      <c r="T205" s="52" t="str">
        <f t="shared" si="104"/>
        <v>NorthBound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17:44:47-0600',mode:absolute,to:'1969-12-31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4020%22')),sort:!(Time,asc))</v>
      </c>
      <c r="W205" s="54" t="str">
        <f t="shared" si="106"/>
        <v>Y</v>
      </c>
      <c r="X205" s="164">
        <f t="shared" si="112"/>
        <v>-544</v>
      </c>
      <c r="Y205" s="69">
        <f t="shared" si="107"/>
        <v>4.4699999999999997E-2</v>
      </c>
      <c r="Z205" s="69">
        <f t="shared" si="108"/>
        <v>2.2957999999999998</v>
      </c>
      <c r="AA205" s="69">
        <f t="shared" si="109"/>
        <v>2.2510999999999997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 t="shared" si="110"/>
        <v>0303-29</v>
      </c>
      <c r="AE205" s="95" t="str">
        <f t="shared" ref="AE205:AE225" si="114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5" s="92" t="str">
        <f t="shared" ref="AF205:AF225" si="115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/stypes="app*4020*19691231*" /stext=" 23:.+((SYSTEM_STATE.+slice.+state.+changed )|(ment ac)|(system.+state.+changed )|(\[timeout)|(PRM\|1\|D)|(kpr)|(kdp)|(\|lc)|(penalty))" /e /r /s</v>
      </c>
      <c r="AG205" s="1" t="str">
        <f t="shared" si="111"/>
        <v>Other</v>
      </c>
      <c r="AH205" s="96" t="str">
        <f t="shared" si="64"/>
        <v>"%USERPROFILE%\Documents\GitHub\eaglep3\Utilities\RefineRTDCRunTimes.py" --tripid 303-29 --locoid 4020 --swversion DE.1.0.7.0 --startMP 204:447 --initTime 2016-09-29T18:44:47 --startdatetime 1969-12-31T17:00:00 --delay 1 --endMP 300:22958 --enddatetime 1969-12-31T17:00:00 --enforcementcount 0 &gt;&gt;C:\Users\stu\Documents\GitHub\eaglep3-reporting\EC\2016-09-29-refined-times.txt</v>
      </c>
      <c r="AI205" s="130" t="str">
        <f t="shared" si="65"/>
        <v>echo {"issue":{"subject":"","project_id":79,"tracker_id":40,"status_id":1,"priority_id":2,"assigned_to_id":23,"start_date":"1969-12-31","description":"","custom_fields":[{"id":1,"name":"Subdivision","value":"Other"},{"id":4,"name":"Milepost","value":"2.2958"},{"id":17,"name":"Train ID","value":"303-29"},{"id":16,"name":"Locomotive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560</v>
      </c>
      <c r="B206" s="7">
        <v>4025</v>
      </c>
      <c r="C206" s="24" t="s">
        <v>106</v>
      </c>
      <c r="D206" s="24" t="s">
        <v>210</v>
      </c>
      <c r="E206" s="15">
        <v>42642.823252314818</v>
      </c>
      <c r="F206" s="15">
        <v>25568.708333333332</v>
      </c>
      <c r="G206" s="7">
        <v>1</v>
      </c>
      <c r="H206" s="15" t="s">
        <v>653</v>
      </c>
      <c r="I206" s="15">
        <v>25568.708333333332</v>
      </c>
      <c r="J206" s="7">
        <v>0</v>
      </c>
      <c r="K206" s="117" t="str">
        <f t="shared" si="101"/>
        <v>4025/4026</v>
      </c>
      <c r="L206" s="24" t="str">
        <f>VLOOKUP(A206,'Trips&amp;Operators'!$C$1:$E$10000,3,FALSE)</f>
        <v>STORY</v>
      </c>
      <c r="M206" s="6">
        <f t="shared" si="102"/>
        <v>0</v>
      </c>
      <c r="N206" s="7">
        <f t="shared" si="113"/>
        <v>0</v>
      </c>
      <c r="O206" s="7"/>
      <c r="P206" s="7"/>
      <c r="Q206" s="25"/>
      <c r="R206" s="25"/>
      <c r="S206" s="37">
        <f t="shared" si="103"/>
        <v>1</v>
      </c>
      <c r="T206" s="52" t="str">
        <f t="shared" si="104"/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18:45:29-0600',mode:absolute,to:'1969-12-31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W206" s="54" t="str">
        <f t="shared" si="106"/>
        <v>Y</v>
      </c>
      <c r="X206" s="164">
        <f t="shared" si="112"/>
        <v>4</v>
      </c>
      <c r="Y206" s="69">
        <f t="shared" si="107"/>
        <v>4.4699999999999997E-2</v>
      </c>
      <c r="Z206" s="69">
        <f t="shared" si="108"/>
        <v>2.3311999999999999</v>
      </c>
      <c r="AA206" s="69">
        <f t="shared" si="109"/>
        <v>2.2864999999999998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 t="shared" si="110"/>
        <v>0307-29</v>
      </c>
      <c r="AE206" s="95" t="str">
        <f t="shared" si="114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06" s="92" t="str">
        <f t="shared" si="115"/>
        <v>"C:\Program Files (x86)\AstroGrep\AstroGrep.exe" /spath="%USERPROFILE%\AppData\Local\Temp\OnboardLogs" /stypes="app*4025*19691231*" /stext=" 23:.+((SYSTEM_STATE.+slice.+state.+changed )|(ment ac)|(system.+state.+changed )|(\[timeout)|(PRM\|1\|D)|(kpr)|(kdp)|(\|lc)|(penalty))" /e /r /s</v>
      </c>
      <c r="AG206" s="1" t="str">
        <f t="shared" si="111"/>
        <v>Other</v>
      </c>
      <c r="AH206" s="96" t="str">
        <f t="shared" ref="AH206:AH225" si="116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307-29 --locoid 4025 --swversion DE.1.0.7.0 --startMP 204:447 --initTime 2016-09-29T19:45:29 --startdatetime 1969-12-31T17:00:00 --delay 1 --endMP 300:23312 --enddatetime 1969-12-31T17:00:00 --enforcementcount 0 &gt;&gt;C:\Users\stu\Documents\GitHub\eaglep3-reporting\EC\2016-09-29-refined-times.txt</v>
      </c>
      <c r="AI206" s="130" t="str">
        <f t="shared" ref="AI206:AI225" si="117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ID","value":"307-29"},{"id":16,"name":"Locomotive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587</v>
      </c>
      <c r="B207" s="7">
        <v>4042</v>
      </c>
      <c r="C207" s="24" t="s">
        <v>106</v>
      </c>
      <c r="D207" s="24" t="s">
        <v>342</v>
      </c>
      <c r="E207" s="15">
        <v>42643.031041666669</v>
      </c>
      <c r="F207" s="15">
        <v>42643.033333333333</v>
      </c>
      <c r="G207" s="7">
        <v>1</v>
      </c>
      <c r="H207" s="15" t="s">
        <v>654</v>
      </c>
      <c r="I207" s="15">
        <v>42643.040405092594</v>
      </c>
      <c r="J207" s="7">
        <v>0</v>
      </c>
      <c r="K207" s="117" t="str">
        <f t="shared" si="101"/>
        <v>4041/4042</v>
      </c>
      <c r="L207" s="24" t="str">
        <f>VLOOKUP(A207,'Trips&amp;Operators'!$C$1:$E$10000,3,FALSE)</f>
        <v>LEVERE</v>
      </c>
      <c r="M207" s="6">
        <f t="shared" si="102"/>
        <v>7.07175926072523E-3</v>
      </c>
      <c r="N207" s="7">
        <f t="shared" si="113"/>
        <v>10.183333335444331</v>
      </c>
      <c r="O207" s="7"/>
      <c r="P207" s="7"/>
      <c r="Q207" s="25"/>
      <c r="R207" s="25"/>
      <c r="S207" s="37">
        <f t="shared" si="103"/>
        <v>1</v>
      </c>
      <c r="T207" s="52" t="str">
        <f t="shared" si="104"/>
        <v>NorthBound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23:44:42-0600',mode:absolute,to:'2016-09-30 01:58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W207" s="54" t="str">
        <f t="shared" si="106"/>
        <v>Y</v>
      </c>
      <c r="X207" s="164">
        <f t="shared" si="112"/>
        <v>2</v>
      </c>
      <c r="Y207" s="69">
        <f t="shared" si="107"/>
        <v>4.7699999999999999E-2</v>
      </c>
      <c r="Z207" s="69">
        <f t="shared" si="108"/>
        <v>2.2837000000000001</v>
      </c>
      <c r="AA207" s="69">
        <f t="shared" si="109"/>
        <v>2.2360000000000002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 t="shared" si="110"/>
        <v>0309-29</v>
      </c>
      <c r="AE207" s="95" t="str">
        <f t="shared" si="114"/>
        <v>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 &amp; aws s3 cp s3://rtdc.mdm.uploadarchive.raw/RTDC4042/ "%USERPROFILE%\AppData\Local\Temp\OnboardLogs"\RTDC4042\2016-10-01 --exclude "*" --recursive --include "*20161001*" &amp; "%USERPROFILE%\Documents\GitHub\mrs-test-scripts\Headless Mode &amp; Sideloading\WalkAndUnGZ.bat" "%USERPROFILE%\AppData\Local\Temp\OnboardLogs"\RTDC4042\2016-10-01</v>
      </c>
      <c r="AF207" s="92" t="str">
        <f t="shared" si="115"/>
        <v>"C:\Program Files (x86)\AstroGrep\AstroGrep.exe" /spath="%USERPROFILE%\AppData\Local\Temp\OnboardLogs" /stypes="app*4042*20160930*" /stext=" 06:.+((SYSTEM_STATE.+slice.+state.+changed )|(ment ac)|(system.+state.+changed )|(\[timeout)|(PRM\|1\|D)|(kpr)|(kdp)|(\|lc)|(penalty))" /e /r /s</v>
      </c>
      <c r="AG207" s="1" t="str">
        <f t="shared" si="111"/>
        <v>Other</v>
      </c>
      <c r="AH207" s="96" t="str">
        <f t="shared" si="116"/>
        <v>"%USERPROFILE%\Documents\GitHub\eaglep3\Utilities\RefineRTDCRunTimes.py" --tripid 309-29 --locoid 4042 --swversion DE.1.0.7.0 --startMP 204:477 --initTime 2016-09-30T00:44:42 --startdatetime 2016-09-30T00:48:00 --delay 1 --endMP 300:22837 --enddatetime 2016-09-30T00:58:11 --enforcementcount 0 &gt;&gt;C:\Users\stu\Documents\GitHub\eaglep3-reporting\EC\2016-09-29-refined-times.txt</v>
      </c>
      <c r="AI207" s="130" t="str">
        <f t="shared" si="117"/>
        <v>echo {"issue":{"subject":"","project_id":79,"tracker_id":40,"status_id":1,"priority_id":2,"assigned_to_id":23,"start_date":"2016-09-30","description":"","custom_fields":[{"id":1,"name":"Subdivision","value":"Other"},{"id":4,"name":"Milepost","value":"2.2837"},{"id":17,"name":"Train ID","value":"309-29"},{"id":16,"name":"Locomotive ID","value":"4042"},{"id":130,"name":"Impact","value":""},{"id":150,"name":"Time of Event (Mountain Time)","value":"00:58:11"},{"id":151,"name":"Denver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589</v>
      </c>
      <c r="B208" s="7">
        <v>4029</v>
      </c>
      <c r="C208" s="24" t="s">
        <v>106</v>
      </c>
      <c r="D208" s="24" t="s">
        <v>655</v>
      </c>
      <c r="E208" s="15">
        <v>42643.045694444445</v>
      </c>
      <c r="F208" s="15">
        <v>25568.708333333332</v>
      </c>
      <c r="G208" s="7">
        <v>1</v>
      </c>
      <c r="H208" s="15" t="s">
        <v>266</v>
      </c>
      <c r="I208" s="15">
        <v>25568.708333333332</v>
      </c>
      <c r="J208" s="7">
        <v>0</v>
      </c>
      <c r="K208" s="117" t="str">
        <f t="shared" si="101"/>
        <v>4029/4030</v>
      </c>
      <c r="L208" s="24" t="str">
        <f>VLOOKUP(A208,'Trips&amp;Operators'!$C$1:$E$10000,3,FALSE)</f>
        <v>COOLAHAN</v>
      </c>
      <c r="M208" s="6">
        <f t="shared" si="102"/>
        <v>0</v>
      </c>
      <c r="N208" s="7">
        <f t="shared" si="113"/>
        <v>0</v>
      </c>
      <c r="O208" s="7"/>
      <c r="P208" s="7"/>
      <c r="Q208" s="25"/>
      <c r="R208" s="25"/>
      <c r="S208" s="37">
        <f t="shared" si="103"/>
        <v>1</v>
      </c>
      <c r="T208" s="52" t="str">
        <f t="shared" si="104"/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https://search-rtdc-monitor-bjffxe2xuh6vdkpspy63sjmuny.us-east-1.es.amazonaws.com/_plugin/kibana/#/discover/Steve-Slow-Train-Analysis-(2080s-and-2083s)?_g=(refreshInterval:(display:Off,section:0,value:0),time:(from:'2016-09-30 00:05:48-0600',mode:absolute,to:'1969-12-31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W208" s="54" t="str">
        <f t="shared" si="106"/>
        <v>Y</v>
      </c>
      <c r="X208" s="164">
        <f t="shared" si="112"/>
        <v>2</v>
      </c>
      <c r="Y208" s="69">
        <f t="shared" si="107"/>
        <v>4.8800000000000003E-2</v>
      </c>
      <c r="Z208" s="69">
        <f t="shared" si="108"/>
        <v>2.3306</v>
      </c>
      <c r="AA208" s="69">
        <f t="shared" si="109"/>
        <v>2.2818000000000001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 t="shared" si="110"/>
        <v>0311-29</v>
      </c>
      <c r="AE208" s="95" t="str">
        <f t="shared" si="114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8" s="92" t="str">
        <f t="shared" si="115"/>
        <v>"C:\Program Files (x86)\AstroGrep\AstroGrep.exe" /spath="%USERPROFILE%\AppData\Local\Temp\OnboardLogs" /stypes="app*4029*19691231*" /stext=" 23:.+((SYSTEM_STATE.+slice.+state.+changed )|(ment ac)|(system.+state.+changed )|(\[timeout)|(PRM\|1\|D)|(kpr)|(kdp)|(\|lc)|(penalty))" /e /r /s</v>
      </c>
      <c r="AG208" s="1" t="str">
        <f t="shared" si="111"/>
        <v>Other</v>
      </c>
      <c r="AH208" s="96" t="str">
        <f t="shared" si="116"/>
        <v>"%USERPROFILE%\Documents\GitHub\eaglep3\Utilities\RefineRTDCRunTimes.py" --tripid 311-29 --locoid 4029 --swversion DE.1.0.7.0 --startMP 204:488 --initTime 2016-09-30T01:05:48 --startdatetime 1969-12-31T17:00:00 --delay 1 --endMP 300:23306 --enddatetime 1969-12-31T17:00:00 --enforcementcount 0 &gt;&gt;C:\Users\stu\Documents\GitHub\eaglep3-reporting\EC\2016-09-29-refined-times.txt</v>
      </c>
      <c r="AI208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ID","value":"311-29"},{"id":16,"name":"Locomotive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591</v>
      </c>
      <c r="B209" s="7">
        <v>4046</v>
      </c>
      <c r="C209" s="24" t="s">
        <v>106</v>
      </c>
      <c r="D209" s="24" t="s">
        <v>215</v>
      </c>
      <c r="E209" s="15">
        <v>42643.066643518519</v>
      </c>
      <c r="F209" s="15">
        <v>25568.708333333332</v>
      </c>
      <c r="G209" s="7">
        <v>1</v>
      </c>
      <c r="H209" s="15" t="s">
        <v>265</v>
      </c>
      <c r="I209" s="15">
        <v>25568.708333333332</v>
      </c>
      <c r="J209" s="7">
        <v>0</v>
      </c>
      <c r="K209" s="117" t="str">
        <f t="shared" si="101"/>
        <v>4045/4046</v>
      </c>
      <c r="L209" s="24" t="str">
        <f>VLOOKUP(A209,'Trips&amp;Operators'!$C$1:$E$10000,3,FALSE)</f>
        <v>LEVIN</v>
      </c>
      <c r="M209" s="6">
        <f t="shared" si="102"/>
        <v>0</v>
      </c>
      <c r="N209" s="7">
        <f t="shared" si="113"/>
        <v>0</v>
      </c>
      <c r="O209" s="7"/>
      <c r="P209" s="7"/>
      <c r="Q209" s="25"/>
      <c r="R209" s="25"/>
      <c r="S209" s="37">
        <f t="shared" si="103"/>
        <v>1</v>
      </c>
      <c r="T209" s="52" t="str">
        <f t="shared" si="104"/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https://search-rtdc-monitor-bjffxe2xuh6vdkpspy63sjmuny.us-east-1.es.amazonaws.com/_plugin/kibana/#/discover/Steve-Slow-Train-Analysis-(2080s-and-2083s)?_g=(refreshInterval:(display:Off,section:0,value:0),time:(from:'2016-09-30 00:35:58-0600',mode:absolute,to:'1969-12-31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W209" s="54" t="str">
        <f t="shared" si="106"/>
        <v>Y</v>
      </c>
      <c r="X209" s="164">
        <f t="shared" si="112"/>
        <v>2</v>
      </c>
      <c r="Y209" s="69">
        <f t="shared" si="107"/>
        <v>4.6699999999999998E-2</v>
      </c>
      <c r="Z209" s="69">
        <f t="shared" si="108"/>
        <v>2.3302</v>
      </c>
      <c r="AA209" s="69">
        <f t="shared" si="109"/>
        <v>2.2835000000000001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 t="shared" si="110"/>
        <v>0313-29</v>
      </c>
      <c r="AE209" s="95" t="str">
        <f t="shared" si="114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09" s="92" t="str">
        <f t="shared" si="115"/>
        <v>"C:\Program Files (x86)\AstroGrep\AstroGrep.exe" /spath="%USERPROFILE%\AppData\Local\Temp\OnboardLogs" /stypes="app*4046*19691231*" /stext=" 23:.+((SYSTEM_STATE.+slice.+state.+changed )|(ment ac)|(system.+state.+changed )|(\[timeout)|(PRM\|1\|D)|(kpr)|(kdp)|(\|lc)|(penalty))" /e /r /s</v>
      </c>
      <c r="AG209" s="1" t="str">
        <f t="shared" si="111"/>
        <v>Other</v>
      </c>
      <c r="AH209" s="96" t="str">
        <f t="shared" si="116"/>
        <v>"%USERPROFILE%\Documents\GitHub\eaglep3\Utilities\RefineRTDCRunTimes.py" --tripid 313-29 --locoid 4046 --swversion DE.1.0.7.0 --startMP 204:467 --initTime 2016-09-30T01:35:58 --startdatetime 1969-12-31T17:00:00 --delay 1 --endMP 300:23302 --enddatetime 1969-12-31T17:00:00 --enforcementcount 0 &gt;&gt;C:\Users\stu\Documents\GitHub\eaglep3-reporting\EC\2016-09-29-refined-times.txt</v>
      </c>
      <c r="AI209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ID","value":"313-29"},{"id":16,"name":"Locomotive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321</v>
      </c>
      <c r="B210" s="7">
        <v>4014</v>
      </c>
      <c r="C210" s="24" t="s">
        <v>106</v>
      </c>
      <c r="D210" s="24" t="s">
        <v>251</v>
      </c>
      <c r="E210" s="15">
        <v>42642.088159722225</v>
      </c>
      <c r="F210" s="15">
        <v>25568.708333333332</v>
      </c>
      <c r="G210" s="7">
        <v>1</v>
      </c>
      <c r="H210" s="15" t="s">
        <v>347</v>
      </c>
      <c r="I210" s="15">
        <v>25568.708333333332</v>
      </c>
      <c r="J210" s="7">
        <v>0</v>
      </c>
      <c r="K210" s="117" t="str">
        <f t="shared" si="101"/>
        <v>4013/4014</v>
      </c>
      <c r="L210" s="24" t="str">
        <f>VLOOKUP(A210,'Trips&amp;Operators'!$C$1:$E$10000,3,FALSE)</f>
        <v>COOLAHAN</v>
      </c>
      <c r="M210" s="6">
        <f t="shared" si="102"/>
        <v>0</v>
      </c>
      <c r="N210" s="7">
        <f t="shared" si="113"/>
        <v>0</v>
      </c>
      <c r="O210" s="7"/>
      <c r="P210" s="7"/>
      <c r="Q210" s="25"/>
      <c r="R210" s="25"/>
      <c r="S210" s="37">
        <f t="shared" si="103"/>
        <v>1</v>
      </c>
      <c r="T210" s="52" t="str">
        <f t="shared" si="104"/>
        <v>NorthBound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01:06:57-0600',mode:absolute,to:'1969-12-31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W210" s="54" t="str">
        <f t="shared" si="106"/>
        <v>Y</v>
      </c>
      <c r="X210" s="164">
        <f t="shared" si="112"/>
        <v>2</v>
      </c>
      <c r="Y210" s="69">
        <f t="shared" si="107"/>
        <v>4.3799999999999999E-2</v>
      </c>
      <c r="Z210" s="69">
        <f t="shared" si="108"/>
        <v>2.3300999999999998</v>
      </c>
      <c r="AA210" s="69">
        <f t="shared" si="109"/>
        <v>2.2862999999999998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 t="shared" si="110"/>
        <v>0315-28</v>
      </c>
      <c r="AE210" s="95" t="str">
        <f t="shared" si="114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92" t="str">
        <f t="shared" si="115"/>
        <v>"C:\Program Files (x86)\AstroGrep\AstroGrep.exe" /spath="%USERPROFILE%\AppData\Local\Temp\OnboardLogs" /stypes="app*4014*19691231*" /stext=" 23:.+((SYSTEM_STATE.+slice.+state.+changed )|(ment ac)|(system.+state.+changed )|(\[timeout)|(PRM\|1\|D)|(kpr)|(kdp)|(\|lc)|(penalty))" /e /r /s</v>
      </c>
      <c r="AG210" s="1" t="str">
        <f t="shared" si="111"/>
        <v>Other</v>
      </c>
      <c r="AH210" s="96" t="str">
        <f t="shared" si="116"/>
        <v>"%USERPROFILE%\Documents\GitHub\eaglep3\Utilities\RefineRTDCRunTimes.py" --tripid 315-28 --locoid 4014 --swversion DE.1.0.7.0 --startMP 204:438 --initTime 2016-09-29T02:06:57 --startdatetime 1969-12-31T17:00:00 --delay 1 --endMP 300:23301 --enddatetime 1969-12-31T17:00:00 --enforcementcount 0 &gt;&gt;C:\Users\stu\Documents\GitHub\eaglep3-reporting\EC\2016-09-29-refined-times.txt</v>
      </c>
      <c r="AI210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{"issue":{"subject":"","project_id":79,"tracker_id":40,"status_id":1,"priority_id":2,"assigned_to_id":23,"start_date":"1969-12-31","description":"","custom_fields":[{"id":1,"name":"Subdivision","value":"Other"},{"id":4,"name":"Milepost","value":"2.3301"},{"id":17,"name":"Train ID","value":"315-28"},{"id":16,"name":"Locomotive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420</v>
      </c>
      <c r="B211" s="7">
        <v>4011</v>
      </c>
      <c r="C211" s="24" t="s">
        <v>106</v>
      </c>
      <c r="D211" s="24" t="s">
        <v>679</v>
      </c>
      <c r="E211" s="15">
        <v>42642.35260416667</v>
      </c>
      <c r="F211" s="15">
        <v>42642.354120370372</v>
      </c>
      <c r="G211" s="7">
        <v>1</v>
      </c>
      <c r="H211" s="15" t="s">
        <v>728</v>
      </c>
      <c r="I211" s="15">
        <v>42642.358749999999</v>
      </c>
      <c r="J211" s="7">
        <v>0</v>
      </c>
      <c r="K211" s="117" t="str">
        <f t="shared" si="101"/>
        <v>4011/4012</v>
      </c>
      <c r="L211" s="24" t="str">
        <f>VLOOKUP(A211,'Trips&amp;Operators'!$C$1:$E$10000,3,FALSE)</f>
        <v>YORK</v>
      </c>
      <c r="M211" s="6">
        <f t="shared" si="102"/>
        <v>4.6296296277432702E-3</v>
      </c>
      <c r="N211" s="7">
        <f t="shared" si="113"/>
        <v>6.6666666639503092</v>
      </c>
      <c r="O211" s="7"/>
      <c r="P211" s="7"/>
      <c r="Q211" s="25"/>
      <c r="R211" s="25"/>
      <c r="S211" s="37">
        <f t="shared" si="103"/>
        <v>1</v>
      </c>
      <c r="T211" s="52" t="str">
        <f t="shared" si="104"/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07:27:45-0600',mode:absolute,to:'2016-09-29 09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W211" s="54" t="str">
        <f t="shared" si="106"/>
        <v>Y</v>
      </c>
      <c r="X211" s="164">
        <f t="shared" si="112"/>
        <v>588</v>
      </c>
      <c r="Y211" s="69">
        <f t="shared" si="107"/>
        <v>0.106</v>
      </c>
      <c r="Z211" s="69">
        <f t="shared" si="108"/>
        <v>2.4281999999999999</v>
      </c>
      <c r="AA211" s="69">
        <f t="shared" si="109"/>
        <v>2.3222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 t="shared" si="110"/>
        <v>0903-29</v>
      </c>
      <c r="AE211" s="95" t="str">
        <f t="shared" si="114"/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AF211" s="92" t="str">
        <f t="shared" si="115"/>
        <v>"C:\Program Files (x86)\AstroGrep\AstroGrep.exe" /spath="%USERPROFILE%\AppData\Local\Temp\OnboardLogs" /stypes="app*4011*20160929*" /stext=" 14:.+((SYSTEM_STATE.+slice.+state.+changed )|(ment ac)|(system.+state.+changed )|(\[timeout)|(PRM\|1\|D)|(kpr)|(kdp)|(\|lc)|(penalty))" /e /r /s</v>
      </c>
      <c r="AG211" s="1" t="str">
        <f t="shared" si="111"/>
        <v>Other</v>
      </c>
      <c r="AH211" s="96" t="str">
        <f t="shared" si="116"/>
        <v>"%USERPROFILE%\Documents\GitHub\eaglep3\Utilities\RefineRTDCRunTimes.py" --tripid 903-29 --locoid 4011 --swversion DE.1.0.7.0 --startMP 204:1060 --initTime 2016-09-29T08:27:45 --startdatetime 2016-09-29T08:29:56 --delay 1 --endMP 300:24282 --enddatetime 2016-09-29T08:36:36 --enforcementcount 0 &gt;&gt;C:\Users\stu\Documents\GitHub\eaglep3-reporting\EC\2016-09-29-refined-times.txt</v>
      </c>
      <c r="AI211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{"issue":{"subject":"","project_id":79,"tracker_id":40,"status_id":1,"priority_id":2,"assigned_to_id":23,"start_date":"2016-09-29","description":"","custom_fields":[{"id":1,"name":"Subdivision","value":"Other"},{"id":4,"name":"Milepost","value":"2.4282"},{"id":17,"name":"Train ID","value":"903-29"},{"id":16,"name":"Locomotive ID","value":"4011"},{"id":130,"name":"Impact","value":""},{"id":150,"name":"Time of Event (Mountain Time)","value":"08:36:36"},{"id":151,"name":"Denver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554</v>
      </c>
      <c r="B212" s="7">
        <v>4012</v>
      </c>
      <c r="C212" s="24" t="s">
        <v>106</v>
      </c>
      <c r="D212" s="24" t="s">
        <v>352</v>
      </c>
      <c r="E212" s="15">
        <v>42642.796805555554</v>
      </c>
      <c r="F212" s="15">
        <v>42642.798483796294</v>
      </c>
      <c r="G212" s="7">
        <v>1</v>
      </c>
      <c r="H212" s="15" t="s">
        <v>729</v>
      </c>
      <c r="I212" s="15">
        <v>42642.804664351854</v>
      </c>
      <c r="J212" s="7">
        <v>0</v>
      </c>
      <c r="K212" s="117" t="str">
        <f t="shared" si="101"/>
        <v>4011/4012</v>
      </c>
      <c r="L212" s="24" t="str">
        <f>VLOOKUP(A212,'Trips&amp;Operators'!$C$1:$E$10000,3,FALSE)</f>
        <v>BROWN</v>
      </c>
      <c r="M212" s="6">
        <f t="shared" si="102"/>
        <v>6.180555559694767E-3</v>
      </c>
      <c r="N212" s="7">
        <f t="shared" si="113"/>
        <v>8.9000000059604645</v>
      </c>
      <c r="O212" s="7"/>
      <c r="P212" s="7"/>
      <c r="Q212" s="25"/>
      <c r="R212" s="25"/>
      <c r="S212" s="37">
        <f t="shared" si="103"/>
        <v>0</v>
      </c>
      <c r="T212" s="52" t="str">
        <f t="shared" si="104"/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18:07:24-0600',mode:absolute,to:'2016-09-29 20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4012%22')),sort:!(Time,asc))</v>
      </c>
      <c r="W212" s="54" t="str">
        <f t="shared" si="106"/>
        <v>Y</v>
      </c>
      <c r="X212" s="164">
        <f t="shared" si="112"/>
        <v>3</v>
      </c>
      <c r="Y212" s="69">
        <f t="shared" si="107"/>
        <v>5.8630000000000004</v>
      </c>
      <c r="Z212" s="69">
        <f t="shared" si="108"/>
        <v>2.3275000000000001</v>
      </c>
      <c r="AA212" s="69">
        <f t="shared" si="109"/>
        <v>3.5355000000000003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 t="shared" si="110"/>
        <v>0906-29</v>
      </c>
      <c r="AE212" s="95" t="str">
        <f t="shared" si="114"/>
        <v>aws s3 cp s3://rtdc.mdm.uploadarchive.raw/RTDC4012/ "%USERPROFILE%\AppData\Local\Temp\OnboardLogs"\RTDC4012\2016-09-29 --exclude "*" --recursive --include "*20160929*" &amp; "%USERPROFILE%\Documents\GitHub\mrs-test-scripts\Headless Mode &amp; Sideloading\WalkAndUnGZ.bat" "%USERPROFILE%\AppData\Local\Temp\OnboardLogs"\RTDC4012\2016-09-29 &amp; aws s3 cp s3://rtdc.mdm.uploadarchive.raw/RTDC4012/ "%USERPROFILE%\AppData\Local\Temp\OnboardLogs"\RTDC4012\2016-09-30 --exclude "*" --recursive --include "*20160930*" &amp; "%USERPROFILE%\Documents\GitHub\mrs-test-scripts\Headless Mode &amp; Sideloading\WalkAndUnGZ.bat" "%USERPROFILE%\AppData\Local\Temp\OnboardLogs"\RTDC4012\2016-09-30</v>
      </c>
      <c r="AF212" s="92" t="str">
        <f t="shared" si="115"/>
        <v>"C:\Program Files (x86)\AstroGrep\AstroGrep.exe" /spath="%USERPROFILE%\AppData\Local\Temp\OnboardLogs" /stypes="app*4012*20160930*" /stext=" 01:.+((SYSTEM_STATE.+slice.+state.+changed )|(ment ac)|(system.+state.+changed )|(\[timeout)|(PRM\|1\|D)|(kpr)|(kdp)|(\|lc)|(penalty))" /e /r /s</v>
      </c>
      <c r="AG212" s="1" t="str">
        <f t="shared" si="111"/>
        <v>Other</v>
      </c>
      <c r="AH212" s="96" t="str">
        <f t="shared" si="116"/>
        <v>"%USERPROFILE%\Documents\GitHub\eaglep3\Utilities\RefineRTDCRunTimes.py" --tripid 906-29 --locoid 4012 --swversion DE.1.0.7.0 --startMP 300:58630 --initTime 2016-09-29T19:07:24 --startdatetime 2016-09-29T19:09:49 --delay 1 --endMP 300:23275 --enddatetime 2016-09-29T19:18:43 --enforcementcount 0 &gt;&gt;C:\Users\stu\Documents\GitHub\eaglep3-reporting\EC\2016-09-29-refined-times.txt</v>
      </c>
      <c r="AI212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{"issue":{"subject":"","project_id":79,"tracker_id":40,"status_id":1,"priority_id":2,"assigned_to_id":23,"start_date":"2016-09-29","description":"","custom_fields":[{"id":1,"name":"Subdivision","value":"Other"},{"id":4,"name":"Milepost","value":"2.3275"},{"id":17,"name":"Train ID","value":"906-29"},{"id":16,"name":"Locomotive ID","value":"4012"},{"id":130,"name":"Impact","value":""},{"id":150,"name":"Time of Event (Mountain Time)","value":"19:18:43"},{"id":151,"name":"Denver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441</v>
      </c>
      <c r="B213" s="7">
        <v>4005</v>
      </c>
      <c r="C213" s="24" t="s">
        <v>106</v>
      </c>
      <c r="D213" s="24" t="s">
        <v>656</v>
      </c>
      <c r="E213" s="15">
        <v>42642.434502314813</v>
      </c>
      <c r="F213" s="15">
        <v>42642.435601851852</v>
      </c>
      <c r="G213" s="7">
        <v>1</v>
      </c>
      <c r="H213" s="15" t="s">
        <v>657</v>
      </c>
      <c r="I213" s="15">
        <v>42642.435752314814</v>
      </c>
      <c r="J213" s="7">
        <v>0</v>
      </c>
      <c r="K213" s="117" t="str">
        <f t="shared" si="101"/>
        <v>4005/4006</v>
      </c>
      <c r="L213" s="24" t="str">
        <f>VLOOKUP(A213,'Trips&amp;Operators'!$C$1:$E$10000,3,FALSE)</f>
        <v>ISHMAEL</v>
      </c>
      <c r="M213" s="6">
        <f t="shared" si="102"/>
        <v>1.5046296175569296E-4</v>
      </c>
      <c r="N213" s="7">
        <f t="shared" si="113"/>
        <v>0.21666666492819786</v>
      </c>
      <c r="O213" s="7"/>
      <c r="P213" s="7"/>
      <c r="Q213" s="25"/>
      <c r="R213" s="25"/>
      <c r="S213" s="37">
        <f t="shared" si="103"/>
        <v>0</v>
      </c>
      <c r="T213" s="52" t="e">
        <f t="shared" si="104"/>
        <v>#VALUE!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09:25:41-0600',mode:absolute,to:'2016-09-29 11:27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3" s="54" t="str">
        <f t="shared" si="106"/>
        <v>Y</v>
      </c>
      <c r="X213" s="164" t="e">
        <f t="shared" si="112"/>
        <v>#VALUE!</v>
      </c>
      <c r="Y213" s="69">
        <f t="shared" si="107"/>
        <v>2.4683999999999999</v>
      </c>
      <c r="Z213" s="69">
        <f t="shared" si="108"/>
        <v>2.4182000000000001</v>
      </c>
      <c r="AA213" s="69">
        <f t="shared" si="109"/>
        <v>5.01999999999998E-2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 t="shared" si="110"/>
        <v>50-29</v>
      </c>
      <c r="AE213" s="95" t="str">
        <f t="shared" si="114"/>
        <v>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 &amp; 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</v>
      </c>
      <c r="AF213" s="92" t="str">
        <f t="shared" si="115"/>
        <v>"C:\Program Files (x86)\AstroGrep\AstroGrep.exe" /spath="%USERPROFILE%\AppData\Local\Temp\OnboardLogs" /stypes="app*4005*20160929*" /stext=" 16:.+((SYSTEM_STATE.+slice.+state.+changed )|(ment ac)|(system.+state.+changed )|(\[timeout)|(PRM\|1\|D)|(kpr)|(kdp)|(\|lc)|(penalty))" /e /r /s</v>
      </c>
      <c r="AG213" s="1" t="str">
        <f t="shared" si="111"/>
        <v>Other</v>
      </c>
      <c r="AH213" s="96" t="str">
        <f t="shared" si="116"/>
        <v>"%USERPROFILE%\Documents\GitHub\eaglep3\Utilities\RefineRTDCRunTimes.py" --tripid 50-29 --locoid 4005 --swversion DE.1.0.7.0 --startMP 300:24684 --initTime 2016-09-29T10:25:41 --startdatetime 2016-09-29T10:27:16 --delay 1 --endMP 300:24182 --enddatetime 2016-09-29T10:27:29 --enforcementcount 0 &gt;&gt;C:\Users\stu\Documents\GitHub\eaglep3-reporting\EC\2016-09-29-refined-times.txt</v>
      </c>
      <c r="AI213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{"issue":{"subject":"","project_id":79,"tracker_id":40,"status_id":1,"priority_id":2,"assigned_to_id":23,"start_date":"2016-09-29","description":"","custom_fields":[{"id":1,"name":"Subdivision","value":"Other"},{"id":4,"name":"Milepost","value":"2.4182"},{"id":17,"name":"Train ID","value":"50-29"},{"id":16,"name":"Locomotive ID","value":"4005"},{"id":130,"name":"Impact","value":""},{"id":150,"name":"Time of Event (Mountain Time)","value":"10:27:29"},{"id":151,"name":"Denver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449</v>
      </c>
      <c r="B214" s="7">
        <v>4021</v>
      </c>
      <c r="C214" s="24" t="s">
        <v>106</v>
      </c>
      <c r="D214" s="24" t="s">
        <v>658</v>
      </c>
      <c r="E214" s="15">
        <v>42642.461574074077</v>
      </c>
      <c r="F214" s="15">
        <v>42642.466215277775</v>
      </c>
      <c r="G214" s="7">
        <v>6</v>
      </c>
      <c r="H214" s="15" t="s">
        <v>659</v>
      </c>
      <c r="I214" s="15">
        <v>42642.471712962964</v>
      </c>
      <c r="J214" s="7">
        <v>0</v>
      </c>
      <c r="K214" s="117" t="str">
        <f t="shared" si="101"/>
        <v>4021/4022</v>
      </c>
      <c r="L214" s="24" t="str">
        <f>VLOOKUP(A214,'Trips&amp;Operators'!$C$1:$E$10000,3,FALSE)</f>
        <v>NEWELL</v>
      </c>
      <c r="M214" s="6">
        <f t="shared" si="102"/>
        <v>5.4976851897663437E-3</v>
      </c>
      <c r="N214" s="7">
        <f t="shared" si="113"/>
        <v>7.9166666732635349</v>
      </c>
      <c r="O214" s="7"/>
      <c r="P214" s="7"/>
      <c r="Q214" s="25"/>
      <c r="R214" s="25"/>
      <c r="S214" s="37">
        <f t="shared" si="103"/>
        <v>0</v>
      </c>
      <c r="T214" s="52" t="e">
        <f t="shared" si="104"/>
        <v>#VALUE!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10:04:40-0600',mode:absolute,to:'2016-09-29 12:19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14" s="54" t="str">
        <f t="shared" si="106"/>
        <v>Y</v>
      </c>
      <c r="X214" s="164" t="e">
        <f t="shared" si="112"/>
        <v>#VALUE!</v>
      </c>
      <c r="Y214" s="69">
        <f t="shared" si="107"/>
        <v>2.3201999999999998</v>
      </c>
      <c r="Z214" s="69">
        <f t="shared" si="108"/>
        <v>8.9300000000000004E-2</v>
      </c>
      <c r="AA214" s="69">
        <f t="shared" si="109"/>
        <v>2.2308999999999997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 t="shared" si="110"/>
        <v>52-29</v>
      </c>
      <c r="AE214" s="95" t="str">
        <f t="shared" si="114"/>
        <v>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 &amp; aws s3 cp s3://rtdc.mdm.uploadarchive.raw/RTDC4021/ "%USERPROFILE%\AppData\Local\Temp\OnboardLogs"\RTDC4021\2016-09-30 --exclude "*" --recursive --include "*20160930*" &amp; "%USERPROFILE%\Documents\GitHub\mrs-test-scripts\Headless Mode &amp; Sideloading\WalkAndUnGZ.bat" "%USERPROFILE%\AppData\Local\Temp\OnboardLogs"\RTDC4021\2016-09-30</v>
      </c>
      <c r="AF214" s="92" t="str">
        <f t="shared" si="115"/>
        <v>"C:\Program Files (x86)\AstroGrep\AstroGrep.exe" /spath="%USERPROFILE%\AppData\Local\Temp\OnboardLogs" /stypes="app*4021*20160929*" /stext=" 17:.+((SYSTEM_STATE.+slice.+state.+changed )|(ment ac)|(system.+state.+changed )|(\[timeout)|(PRM\|1\|D)|(kpr)|(kdp)|(\|lc)|(penalty))" /e /r /s</v>
      </c>
      <c r="AG214" s="1" t="str">
        <f t="shared" si="111"/>
        <v>Other</v>
      </c>
      <c r="AH214" s="96" t="str">
        <f t="shared" si="116"/>
        <v>"%USERPROFILE%\Documents\GitHub\eaglep3\Utilities\RefineRTDCRunTimes.py" --tripid 52-29 --locoid 4021 --swversion DE.1.0.7.0 --startMP 300:23202 --initTime 2016-09-29T11:04:40 --startdatetime 2016-09-29T11:11:21 --delay 6 --endMP 204:893 --enddatetime 2016-09-29T11:19:16 --enforcementcount 0 &gt;&gt;C:\Users\stu\Documents\GitHub\eaglep3-reporting\EC\2016-09-29-refined-times.txt</v>
      </c>
      <c r="AI214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{"issue":{"subject":"","project_id":79,"tracker_id":40,"status_id":1,"priority_id":2,"assigned_to_id":23,"start_date":"2016-09-29","description":"","custom_fields":[{"id":1,"name":"Subdivision","value":"Other"},{"id":4,"name":"Milepost","value":"0.0893"},{"id":17,"name":"Train ID","value":"52-29"},{"id":16,"name":"Locomotive ID","value":"4021"},{"id":130,"name":"Impact","value":""},{"id":150,"name":"Time of Event (Mountain Time)","value":"11:19:16"},{"id":151,"name":"Denver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454</v>
      </c>
      <c r="B215" s="7">
        <v>4006</v>
      </c>
      <c r="C215" s="24" t="s">
        <v>106</v>
      </c>
      <c r="D215" s="24" t="s">
        <v>212</v>
      </c>
      <c r="E215" s="15">
        <v>42642.467499999999</v>
      </c>
      <c r="F215" s="15">
        <v>25568.708333333332</v>
      </c>
      <c r="G215" s="7">
        <v>2</v>
      </c>
      <c r="H215" s="15" t="s">
        <v>660</v>
      </c>
      <c r="I215" s="15">
        <v>25568.708333333332</v>
      </c>
      <c r="J215" s="7">
        <v>0</v>
      </c>
      <c r="K215" s="117" t="str">
        <f t="shared" si="101"/>
        <v>4005/4006</v>
      </c>
      <c r="L215" s="24" t="str">
        <f>VLOOKUP(A215,'Trips&amp;Operators'!$C$1:$E$10000,3,FALSE)</f>
        <v>GRASTON</v>
      </c>
      <c r="M215" s="6">
        <f t="shared" si="102"/>
        <v>0</v>
      </c>
      <c r="N215" s="7">
        <f t="shared" si="113"/>
        <v>0</v>
      </c>
      <c r="O215" s="7"/>
      <c r="P215" s="7"/>
      <c r="Q215" s="25"/>
      <c r="R215" s="25"/>
      <c r="S215" s="37">
        <f t="shared" si="103"/>
        <v>0</v>
      </c>
      <c r="T215" s="52" t="e">
        <f t="shared" si="104"/>
        <v>#VALUE!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10:13:12-0600',mode:absolute,to:'1969-12-31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5" s="54" t="str">
        <f t="shared" si="106"/>
        <v>Y</v>
      </c>
      <c r="X215" s="164" t="e">
        <f t="shared" si="112"/>
        <v>#VALUE!</v>
      </c>
      <c r="Y215" s="69">
        <f t="shared" si="107"/>
        <v>4.5100000000000001E-2</v>
      </c>
      <c r="Z215" s="69">
        <f t="shared" si="108"/>
        <v>2.3308</v>
      </c>
      <c r="AA215" s="69">
        <f t="shared" si="109"/>
        <v>2.2856999999999998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 t="shared" si="110"/>
        <v>55-29</v>
      </c>
      <c r="AE215" s="95" t="str">
        <f t="shared" si="114"/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15" s="92" t="str">
        <f t="shared" si="115"/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15" s="1" t="str">
        <f t="shared" si="111"/>
        <v>Other</v>
      </c>
      <c r="AH215" s="96" t="str">
        <f t="shared" si="116"/>
        <v>"%USERPROFILE%\Documents\GitHub\eaglep3\Utilities\RefineRTDCRunTimes.py" --tripid 55-29 --locoid 4006 --swversion DE.1.0.7.0 --startMP 204:451 --initTime 2016-09-29T11:13:12 --startdatetime 1969-12-31T17:00:00 --delay 2 --endMP 300:23308 --enddatetime 1969-12-31T17:00:00 --enforcementcount 0 &gt;&gt;C:\Users\stu\Documents\GitHub\eaglep3-reporting\EC\2016-09-29-refined-times.txt</v>
      </c>
      <c r="AI215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ID","value":"55-29"},{"id":16,"name":"Locomotive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509</v>
      </c>
      <c r="B216" s="7">
        <v>4018</v>
      </c>
      <c r="C216" s="24" t="s">
        <v>106</v>
      </c>
      <c r="D216" s="24" t="s">
        <v>661</v>
      </c>
      <c r="E216" s="15">
        <v>42642.657118055555</v>
      </c>
      <c r="F216" s="15">
        <v>42642.669942129629</v>
      </c>
      <c r="G216" s="7">
        <v>1</v>
      </c>
      <c r="H216" s="15" t="s">
        <v>662</v>
      </c>
      <c r="I216" s="15">
        <v>42642.7028587963</v>
      </c>
      <c r="J216" s="7">
        <v>0</v>
      </c>
      <c r="K216" s="117" t="str">
        <f t="shared" si="101"/>
        <v>4017/4018</v>
      </c>
      <c r="L216" s="24" t="str">
        <f>VLOOKUP(A216,'Trips&amp;Operators'!$C$1:$E$10000,3,FALSE)</f>
        <v>STAMBAUGH</v>
      </c>
      <c r="M216" s="6">
        <f t="shared" si="102"/>
        <v>3.291666667064419E-2</v>
      </c>
      <c r="N216" s="7">
        <f t="shared" si="113"/>
        <v>47.400000005727634</v>
      </c>
      <c r="O216" s="7"/>
      <c r="P216" s="7"/>
      <c r="Q216" s="25"/>
      <c r="R216" s="25"/>
      <c r="S216" s="37">
        <f t="shared" si="103"/>
        <v>0</v>
      </c>
      <c r="T216" s="52" t="e">
        <f t="shared" si="104"/>
        <v>#VALUE!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14:46:15-0600',mode:absolute,to:'2016-09-29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16" s="54" t="str">
        <f t="shared" si="106"/>
        <v>N</v>
      </c>
      <c r="X216" s="164" t="e">
        <f t="shared" si="112"/>
        <v>#VALUE!</v>
      </c>
      <c r="Y216" s="69">
        <f t="shared" si="107"/>
        <v>0.12770000000000001</v>
      </c>
      <c r="Z216" s="69">
        <f t="shared" si="108"/>
        <v>23.337399999999999</v>
      </c>
      <c r="AA216" s="69">
        <f t="shared" si="109"/>
        <v>23.209699999999998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 t="shared" si="110"/>
        <v>57-29</v>
      </c>
      <c r="AE216" s="95" t="str">
        <f t="shared" si="114"/>
        <v>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 &amp; 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</v>
      </c>
      <c r="AF216" s="92" t="str">
        <f t="shared" si="115"/>
        <v>"C:\Program Files (x86)\AstroGrep\AstroGrep.exe" /spath="%USERPROFILE%\AppData\Local\Temp\OnboardLogs" /stypes="app*4018*20160929*" /stext=" 22:.+((SYSTEM_STATE.+slice.+state.+changed )|(ment ac)|(system.+state.+changed )|(\[timeout)|(PRM\|1\|D)|(kpr)|(kdp)|(\|lc)|(penalty))" /e /r /s</v>
      </c>
      <c r="AG216" s="1" t="str">
        <f t="shared" si="111"/>
        <v>Other</v>
      </c>
      <c r="AH216" s="96" t="str">
        <f t="shared" si="116"/>
        <v>"%USERPROFILE%\Documents\GitHub\eaglep3\Utilities\RefineRTDCRunTimes.py" --tripid 57-29 --locoid 4018 --swversion DE.1.0.7.0 --startMP 204:1277 --initTime 2016-09-29T15:46:15 --startdatetime 2016-09-29T16:04:43 --delay 1 --endMP 204:233374 --enddatetime 2016-09-29T16:52:07 --enforcementcount 0 &gt;&gt;C:\Users\stu\Documents\GitHub\eaglep3-reporting\EC\2016-09-29-refined-times.txt</v>
      </c>
      <c r="AI216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{"issue":{"subject":"","project_id":79,"tracker_id":40,"status_id":1,"priority_id":2,"assigned_to_id":23,"start_date":"2016-09-29","description":"","custom_fields":[{"id":1,"name":"Subdivision","value":"Other"},{"id":4,"name":"Milepost","value":"23.3374"},{"id":17,"name":"Train ID","value":"57-29"},{"id":16,"name":"Locomotive ID","value":"4018"},{"id":130,"name":"Impact","value":""},{"id":150,"name":"Time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532</v>
      </c>
      <c r="B217" s="7">
        <v>4005</v>
      </c>
      <c r="C217" s="24" t="s">
        <v>106</v>
      </c>
      <c r="D217" s="24" t="s">
        <v>298</v>
      </c>
      <c r="E217" s="15">
        <v>42642.930405092593</v>
      </c>
      <c r="F217" s="15">
        <v>42642.997604166667</v>
      </c>
      <c r="G217" s="7">
        <v>1</v>
      </c>
      <c r="H217" s="15" t="s">
        <v>663</v>
      </c>
      <c r="I217" s="15">
        <v>42643.003622685188</v>
      </c>
      <c r="J217" s="7">
        <v>0</v>
      </c>
      <c r="K217" s="117" t="str">
        <f t="shared" si="101"/>
        <v>4005/4006</v>
      </c>
      <c r="L217" s="24" t="str">
        <f>VLOOKUP(A217,'Trips&amp;Operators'!$C$1:$E$10000,3,FALSE)</f>
        <v>SMITH</v>
      </c>
      <c r="M217" s="6">
        <f t="shared" si="102"/>
        <v>6.0185185211594217E-3</v>
      </c>
      <c r="N217" s="7">
        <f t="shared" si="113"/>
        <v>8.6666666704695672</v>
      </c>
      <c r="O217" s="7"/>
      <c r="P217" s="7"/>
      <c r="Q217" s="25"/>
      <c r="R217" s="25"/>
      <c r="S217" s="37">
        <f t="shared" si="103"/>
        <v>0</v>
      </c>
      <c r="T217" s="52" t="e">
        <f t="shared" si="104"/>
        <v>#VALUE!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21:19:47-0600',mode:absolute,to:'2016-09-30 01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7" s="54" t="str">
        <f t="shared" si="106"/>
        <v>N</v>
      </c>
      <c r="X217" s="164" t="e">
        <f t="shared" si="112"/>
        <v>#VALUE!</v>
      </c>
      <c r="Y217" s="69">
        <f t="shared" si="107"/>
        <v>23.296299999999999</v>
      </c>
      <c r="Z217" s="69">
        <f t="shared" si="108"/>
        <v>1.55E-2</v>
      </c>
      <c r="AA217" s="69">
        <f t="shared" si="109"/>
        <v>23.280799999999999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 t="shared" si="110"/>
        <v>60-29</v>
      </c>
      <c r="AE217" s="95" t="str">
        <f t="shared" si="114"/>
        <v>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 &amp; 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</v>
      </c>
      <c r="AF217" s="92" t="str">
        <f t="shared" si="115"/>
        <v>"C:\Program Files (x86)\AstroGrep\AstroGrep.exe" /spath="%USERPROFILE%\AppData\Local\Temp\OnboardLogs" /stypes="app*4005*20160930*" /stext=" 06:.+((SYSTEM_STATE.+slice.+state.+changed )|(ment ac)|(system.+state.+changed )|(\[timeout)|(PRM\|1\|D)|(kpr)|(kdp)|(\|lc)|(penalty))" /e /r /s</v>
      </c>
      <c r="AG217" s="1" t="str">
        <f t="shared" si="111"/>
        <v>Other</v>
      </c>
      <c r="AH217" s="96" t="str">
        <f t="shared" si="116"/>
        <v>"%USERPROFILE%\Documents\GitHub\eaglep3\Utilities\RefineRTDCRunTimes.py" --tripid 60-29 --locoid 4005 --swversion DE.1.0.7.0 --startMP 204:232963 --initTime 2016-09-29T22:19:47 --startdatetime 2016-09-29T23:56:33 --delay 1 --endMP 204:155 --enddatetime 2016-09-30T00:05:13 --enforcementcount 0 &gt;&gt;C:\Users\stu\Documents\GitHub\eaglep3-reporting\EC\2016-09-29-refined-times.txt</v>
      </c>
      <c r="AI217" s="130" t="str">
        <f t="shared" si="117"/>
        <v>echo {"issue":{"subject":"","project_id":79,"tracker_id":40,"status_id":1,"priority_id":2,"assigned_to_id":23,"start_date":"2016-09-30","description":"","custom_fields":[{"id":1,"name":"Subdivision","value":"Other"},{"id":4,"name":"Milepost","value":"0.0155"},{"id":17,"name":"Train ID","value":"60-29"},{"id":16,"name":"Locomotive ID","value":"4005"},{"id":130,"name":"Impact","value":""},{"id":150,"name":"Time of Event (Mountain Time)","value":"00:05:13"},{"id":151,"name":"Denver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532</v>
      </c>
      <c r="B218" s="7">
        <v>4005</v>
      </c>
      <c r="C218" s="24" t="s">
        <v>106</v>
      </c>
      <c r="D218" s="24" t="s">
        <v>664</v>
      </c>
      <c r="E218" s="15">
        <v>42642.729537037034</v>
      </c>
      <c r="F218" s="15">
        <v>42642.845254629632</v>
      </c>
      <c r="G218" s="7">
        <v>1</v>
      </c>
      <c r="H218" s="15" t="s">
        <v>665</v>
      </c>
      <c r="I218" s="15">
        <v>42642.847638888888</v>
      </c>
      <c r="J218" s="7">
        <v>0</v>
      </c>
      <c r="K218" s="117" t="str">
        <f t="shared" si="101"/>
        <v>4005/4006</v>
      </c>
      <c r="L218" s="24" t="str">
        <f>VLOOKUP(A218,'Trips&amp;Operators'!$C$1:$E$10000,3,FALSE)</f>
        <v>SMITH</v>
      </c>
      <c r="M218" s="6">
        <f t="shared" si="102"/>
        <v>2.3842592563596554E-3</v>
      </c>
      <c r="N218" s="7">
        <f t="shared" si="113"/>
        <v>3.4333333291579038</v>
      </c>
      <c r="O218" s="7"/>
      <c r="P218" s="7"/>
      <c r="Q218" s="25"/>
      <c r="R218" s="25"/>
      <c r="S218" s="37">
        <f t="shared" si="103"/>
        <v>0</v>
      </c>
      <c r="T218" s="52" t="e">
        <f t="shared" si="104"/>
        <v>#VALUE!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16:30:32-0600',mode:absolute,to:'2016-09-29 21:20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W218" s="54" t="str">
        <f t="shared" si="106"/>
        <v>Y</v>
      </c>
      <c r="X218" s="164" t="e">
        <f t="shared" si="112"/>
        <v>#VALUE!</v>
      </c>
      <c r="Y218" s="69">
        <f t="shared" si="107"/>
        <v>2.2713000000000001</v>
      </c>
      <c r="Z218" s="69">
        <f t="shared" si="108"/>
        <v>1.7161</v>
      </c>
      <c r="AA218" s="69">
        <f t="shared" si="109"/>
        <v>0.55520000000000014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 t="shared" si="110"/>
        <v>60-29</v>
      </c>
      <c r="AE218" s="95" t="str">
        <f t="shared" si="114"/>
        <v>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 &amp; 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</v>
      </c>
      <c r="AF218" s="92" t="str">
        <f t="shared" si="115"/>
        <v>"C:\Program Files (x86)\AstroGrep\AstroGrep.exe" /spath="%USERPROFILE%\AppData\Local\Temp\OnboardLogs" /stypes="app*4005*20160930*" /stext=" 02:.+((SYSTEM_STATE.+slice.+state.+changed )|(ment ac)|(system.+state.+changed )|(\[timeout)|(PRM\|1\|D)|(kpr)|(kdp)|(\|lc)|(penalty))" /e /r /s</v>
      </c>
      <c r="AG218" s="1" t="str">
        <f t="shared" si="111"/>
        <v>Other</v>
      </c>
      <c r="AH218" s="96" t="str">
        <f t="shared" si="116"/>
        <v>"%USERPROFILE%\Documents\GitHub\eaglep3\Utilities\RefineRTDCRunTimes.py" --tripid 60-29 --locoid 4005 --swversion DE.1.0.7.0 --startMP 300:22713 --initTime 2016-09-29T17:30:32 --startdatetime 2016-09-29T20:17:10 --delay 1 --endMP 300:17161 --enddatetime 2016-09-29T20:20:36 --enforcementcount 0 &gt;&gt;C:\Users\stu\Documents\GitHub\eaglep3-reporting\EC\2016-09-29-refined-times.txt</v>
      </c>
      <c r="AI218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{"issue":{"subject":"","project_id":79,"tracker_id":40,"status_id":1,"priority_id":2,"assigned_to_id":23,"start_date":"2016-09-29","description":"","custom_fields":[{"id":1,"name":"Subdivision","value":"Other"},{"id":4,"name":"Milepost","value":"1.7161"},{"id":17,"name":"Train ID","value":"60-29"},{"id":16,"name":"Locomotive ID","value":"4005"},{"id":130,"name":"Impact","value":""},{"id":150,"name":"Time of Event (Mountain Time)","value":"20:20:36"},{"id":151,"name":"Denver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532</v>
      </c>
      <c r="B219" s="7">
        <v>4006</v>
      </c>
      <c r="C219" s="24" t="s">
        <v>106</v>
      </c>
      <c r="D219" s="24" t="s">
        <v>212</v>
      </c>
      <c r="E219" s="15">
        <v>42642.745162037034</v>
      </c>
      <c r="F219" s="15">
        <v>42642.857129629629</v>
      </c>
      <c r="G219" s="7">
        <v>1</v>
      </c>
      <c r="H219" s="15" t="s">
        <v>666</v>
      </c>
      <c r="I219" s="15">
        <v>42642.92082175926</v>
      </c>
      <c r="J219" s="7">
        <v>0</v>
      </c>
      <c r="K219" s="117" t="str">
        <f t="shared" si="101"/>
        <v>4005/4006</v>
      </c>
      <c r="L219" s="24" t="str">
        <f>VLOOKUP(A219,'Trips&amp;Operators'!$C$1:$E$10000,3,FALSE)</f>
        <v>SMITH</v>
      </c>
      <c r="M219" s="6">
        <f t="shared" si="102"/>
        <v>6.3692129631817807E-2</v>
      </c>
      <c r="N219" s="7">
        <f t="shared" si="113"/>
        <v>91.716666669817641</v>
      </c>
      <c r="O219" s="7"/>
      <c r="P219" s="7"/>
      <c r="Q219" s="25"/>
      <c r="R219" s="25"/>
      <c r="S219" s="37">
        <f t="shared" si="103"/>
        <v>0</v>
      </c>
      <c r="T219" s="52" t="e">
        <f t="shared" si="104"/>
        <v>#VALUE!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16:53:02-0600',mode:absolute,to:'2016-09-29 23:05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19" s="54" t="str">
        <f t="shared" si="106"/>
        <v>Y</v>
      </c>
      <c r="X219" s="164" t="e">
        <f t="shared" si="112"/>
        <v>#VALUE!</v>
      </c>
      <c r="Y219" s="69">
        <f t="shared" si="107"/>
        <v>4.5100000000000001E-2</v>
      </c>
      <c r="Z219" s="69">
        <f t="shared" si="108"/>
        <v>0.52839999999999998</v>
      </c>
      <c r="AA219" s="69">
        <f t="shared" si="109"/>
        <v>0.48329999999999995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 t="shared" si="110"/>
        <v>60-29</v>
      </c>
      <c r="AE219" s="95" t="str">
        <f t="shared" si="114"/>
        <v>aws s3 cp s3://rtdc.mdm.uploadarchive.raw/RTDC4006/ "%USERPROFILE%\AppData\Local\Temp\OnboardLogs"\RTDC4006\2016-09-29 --exclude "*" --recursive --include "*20160929*" &amp; "%USERPROFILE%\Documents\GitHub\mrs-test-scripts\Headless Mode &amp; Sideloading\WalkAndUnGZ.bat" "%USERPROFILE%\AppData\Local\Temp\OnboardLogs"\RTDC4006\2016-09-29 &amp; aws s3 cp s3://rtdc.mdm.uploadarchive.raw/RTDC4006/ "%USERPROFILE%\AppData\Local\Temp\OnboardLogs"\RTDC4006\2016-09-30 --exclude "*" --recursive --include "*20160930*" &amp; "%USERPROFILE%\Documents\GitHub\mrs-test-scripts\Headless Mode &amp; Sideloading\WalkAndUnGZ.bat" "%USERPROFILE%\AppData\Local\Temp\OnboardLogs"\RTDC4006\2016-09-30</v>
      </c>
      <c r="AF219" s="92" t="str">
        <f t="shared" si="115"/>
        <v>"C:\Program Files (x86)\AstroGrep\AstroGrep.exe" /spath="%USERPROFILE%\AppData\Local\Temp\OnboardLogs" /stypes="app*4006*20160930*" /stext=" 04:.+((SYSTEM_STATE.+slice.+state.+changed )|(ment ac)|(system.+state.+changed )|(\[timeout)|(PRM\|1\|D)|(kpr)|(kdp)|(\|lc)|(penalty))" /e /r /s</v>
      </c>
      <c r="AG219" s="1" t="str">
        <f t="shared" si="111"/>
        <v>Other</v>
      </c>
      <c r="AH219" s="96" t="str">
        <f t="shared" si="116"/>
        <v>"%USERPROFILE%\Documents\GitHub\eaglep3\Utilities\RefineRTDCRunTimes.py" --tripid 60-29 --locoid 4006 --swversion DE.1.0.7.0 --startMP 204:451 --initTime 2016-09-29T17:53:02 --startdatetime 2016-09-29T20:34:16 --delay 1 --endMP 300:5284 --enddatetime 2016-09-29T22:05:59 --enforcementcount 0 &gt;&gt;C:\Users\stu\Documents\GitHub\eaglep3-reporting\EC\2016-09-29-refined-times.txt</v>
      </c>
      <c r="AI219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{"issue":{"subject":"","project_id":79,"tracker_id":40,"status_id":1,"priority_id":2,"assigned_to_id":23,"start_date":"2016-09-29","description":"","custom_fields":[{"id":1,"name":"Subdivision","value":"Other"},{"id":4,"name":"Milepost","value":"0.5284"},{"id":17,"name":"Train ID","value":"60-29"},{"id":16,"name":"Locomotive ID","value":"4006"},{"id":130,"name":"Impact","value":""},{"id":150,"name":"Time of Event (Mountain Time)","value":"22:05:59"},{"id":151,"name":"Denver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532</v>
      </c>
      <c r="B220" s="7">
        <v>4006</v>
      </c>
      <c r="C220" s="24" t="s">
        <v>106</v>
      </c>
      <c r="D220" s="24" t="s">
        <v>214</v>
      </c>
      <c r="E220" s="15">
        <v>42642.854178240741</v>
      </c>
      <c r="F220" s="15">
        <v>42642.937650462962</v>
      </c>
      <c r="G220" s="7">
        <v>1</v>
      </c>
      <c r="H220" s="15" t="s">
        <v>667</v>
      </c>
      <c r="I220" s="15">
        <v>42642.991701388892</v>
      </c>
      <c r="J220" s="7">
        <v>0</v>
      </c>
      <c r="K220" s="117" t="str">
        <f t="shared" si="101"/>
        <v>4005/4006</v>
      </c>
      <c r="L220" s="24" t="str">
        <f>VLOOKUP(A220,'Trips&amp;Operators'!$C$1:$E$10000,3,FALSE)</f>
        <v>SMITH</v>
      </c>
      <c r="M220" s="6">
        <f t="shared" si="102"/>
        <v>5.4050925929914229E-2</v>
      </c>
      <c r="N220" s="7">
        <f t="shared" si="113"/>
        <v>77.833333339076489</v>
      </c>
      <c r="O220" s="7"/>
      <c r="P220" s="7"/>
      <c r="Q220" s="25"/>
      <c r="R220" s="25"/>
      <c r="S220" s="37">
        <f t="shared" si="103"/>
        <v>0</v>
      </c>
      <c r="T220" s="52" t="e">
        <f t="shared" si="104"/>
        <v>#VALUE!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19:30:01-0600',mode:absolute,to:'2016-09-30 00:48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0" s="54" t="str">
        <f t="shared" si="106"/>
        <v>N</v>
      </c>
      <c r="X220" s="164" t="e">
        <f t="shared" si="112"/>
        <v>#VALUE!</v>
      </c>
      <c r="Y220" s="69">
        <f t="shared" si="107"/>
        <v>4.58E-2</v>
      </c>
      <c r="Z220" s="69">
        <f t="shared" si="108"/>
        <v>23.326599999999999</v>
      </c>
      <c r="AA220" s="69">
        <f t="shared" si="109"/>
        <v>23.280799999999999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 t="shared" si="110"/>
        <v>60-29</v>
      </c>
      <c r="AE220" s="95" t="str">
        <f t="shared" si="114"/>
        <v>aws s3 cp s3://rtdc.mdm.uploadarchive.raw/RTDC4006/ "%USERPROFILE%\AppData\Local\Temp\OnboardLogs"\RTDC4006\2016-09-29 --exclude "*" --recursive --include "*20160929*" &amp; "%USERPROFILE%\Documents\GitHub\mrs-test-scripts\Headless Mode &amp; Sideloading\WalkAndUnGZ.bat" "%USERPROFILE%\AppData\Local\Temp\OnboardLogs"\RTDC4006\2016-09-29 &amp; aws s3 cp s3://rtdc.mdm.uploadarchive.raw/RTDC4006/ "%USERPROFILE%\AppData\Local\Temp\OnboardLogs"\RTDC4006\2016-09-30 --exclude "*" --recursive --include "*20160930*" &amp; "%USERPROFILE%\Documents\GitHub\mrs-test-scripts\Headless Mode &amp; Sideloading\WalkAndUnGZ.bat" "%USERPROFILE%\AppData\Local\Temp\OnboardLogs"\RTDC4006\2016-09-30</v>
      </c>
      <c r="AF220" s="92" t="str">
        <f t="shared" si="115"/>
        <v>"C:\Program Files (x86)\AstroGrep\AstroGrep.exe" /spath="%USERPROFILE%\AppData\Local\Temp\OnboardLogs" /stypes="app*4006*20160930*" /stext=" 05:.+((SYSTEM_STATE.+slice.+state.+changed )|(ment ac)|(system.+state.+changed )|(\[timeout)|(PRM\|1\|D)|(kpr)|(kdp)|(\|lc)|(penalty))" /e /r /s</v>
      </c>
      <c r="AG220" s="1" t="str">
        <f t="shared" si="111"/>
        <v>Other</v>
      </c>
      <c r="AH220" s="96" t="str">
        <f t="shared" si="116"/>
        <v>"%USERPROFILE%\Documents\GitHub\eaglep3\Utilities\RefineRTDCRunTimes.py" --tripid 60-29 --locoid 4006 --swversion DE.1.0.7.0 --startMP 204:458 --initTime 2016-09-29T20:30:01 --startdatetime 2016-09-29T22:30:13 --delay 1 --endMP 204:233266 --enddatetime 2016-09-29T23:48:03 --enforcementcount 0 &gt;&gt;C:\Users\stu\Documents\GitHub\eaglep3-reporting\EC\2016-09-29-refined-times.txt</v>
      </c>
      <c r="AI220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{"issue":{"subject":"","project_id":79,"tracker_id":40,"status_id":1,"priority_id":2,"assigned_to_id":23,"start_date":"2016-09-29","description":"","custom_fields":[{"id":1,"name":"Subdivision","value":"Other"},{"id":4,"name":"Milepost","value":"23.3266"},{"id":17,"name":"Train ID","value":"60-29"},{"id":16,"name":"Locomotive ID","value":"4006"},{"id":130,"name":"Impact","value":""},{"id":150,"name":"Time of Event (Mountain Time)","value":"23:48:03"},{"id":151,"name":"Denver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532</v>
      </c>
      <c r="B221" s="7">
        <v>4006</v>
      </c>
      <c r="C221" s="24" t="s">
        <v>106</v>
      </c>
      <c r="D221" s="24" t="s">
        <v>668</v>
      </c>
      <c r="E221" s="15">
        <v>42642.996620370373</v>
      </c>
      <c r="F221" s="15">
        <v>42642.997604166667</v>
      </c>
      <c r="G221" s="7">
        <v>0</v>
      </c>
      <c r="H221" s="15" t="s">
        <v>669</v>
      </c>
      <c r="I221" s="15">
        <v>42643.003622685188</v>
      </c>
      <c r="J221" s="7">
        <v>0</v>
      </c>
      <c r="K221" s="117" t="str">
        <f t="shared" si="101"/>
        <v>4005/4006</v>
      </c>
      <c r="L221" s="24" t="str">
        <f>VLOOKUP(A221,'Trips&amp;Operators'!$C$1:$E$10000,3,FALSE)</f>
        <v>SMITH</v>
      </c>
      <c r="M221" s="6">
        <f t="shared" si="102"/>
        <v>6.0185185211594217E-3</v>
      </c>
      <c r="N221" s="7">
        <f t="shared" si="113"/>
        <v>8.6666666704695672</v>
      </c>
      <c r="O221" s="7"/>
      <c r="P221" s="7"/>
      <c r="Q221" s="25"/>
      <c r="R221" s="25"/>
      <c r="S221" s="37">
        <f t="shared" si="103"/>
        <v>0</v>
      </c>
      <c r="T221" s="52" t="e">
        <f t="shared" si="104"/>
        <v>#VALUE!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22:55:08-0600',mode:absolute,to:'2016-09-30 01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4006%22')),sort:!(Time,asc))</v>
      </c>
      <c r="W221" s="54" t="str">
        <f t="shared" si="106"/>
        <v>Y</v>
      </c>
      <c r="X221" s="164" t="e">
        <f t="shared" si="112"/>
        <v>#VALUE!</v>
      </c>
      <c r="Y221" s="69">
        <f t="shared" si="107"/>
        <v>6.9000000000000006E-2</v>
      </c>
      <c r="Z221" s="69">
        <f t="shared" si="108"/>
        <v>2.3304</v>
      </c>
      <c r="AA221" s="69">
        <f t="shared" si="109"/>
        <v>2.2614000000000001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 t="shared" si="110"/>
        <v>60-29</v>
      </c>
      <c r="AE221" s="95" t="str">
        <f t="shared" si="114"/>
        <v>aws s3 cp s3://rtdc.mdm.uploadarchive.raw/RTDC4006/ "%USERPROFILE%\AppData\Local\Temp\OnboardLogs"\RTDC4006\2016-09-29 --exclude "*" --recursive --include "*20160929*" &amp; "%USERPROFILE%\Documents\GitHub\mrs-test-scripts\Headless Mode &amp; Sideloading\WalkAndUnGZ.bat" "%USERPROFILE%\AppData\Local\Temp\OnboardLogs"\RTDC4006\2016-09-29 &amp; aws s3 cp s3://rtdc.mdm.uploadarchive.raw/RTDC4006/ "%USERPROFILE%\AppData\Local\Temp\OnboardLogs"\RTDC4006\2016-09-30 --exclude "*" --recursive --include "*20160930*" &amp; "%USERPROFILE%\Documents\GitHub\mrs-test-scripts\Headless Mode &amp; Sideloading\WalkAndUnGZ.bat" "%USERPROFILE%\AppData\Local\Temp\OnboardLogs"\RTDC4006\2016-09-30</v>
      </c>
      <c r="AF221" s="92" t="str">
        <f t="shared" si="115"/>
        <v>"C:\Program Files (x86)\AstroGrep\AstroGrep.exe" /spath="%USERPROFILE%\AppData\Local\Temp\OnboardLogs" /stypes="app*4006*20160930*" /stext=" 06:.+((SYSTEM_STATE.+slice.+state.+changed )|(ment ac)|(system.+state.+changed )|(\[timeout)|(PRM\|1\|D)|(kpr)|(kdp)|(\|lc)|(penalty))" /e /r /s</v>
      </c>
      <c r="AG221" s="1" t="str">
        <f t="shared" si="111"/>
        <v>Other</v>
      </c>
      <c r="AH221" s="96" t="str">
        <f t="shared" si="116"/>
        <v>"%USERPROFILE%\Documents\GitHub\eaglep3\Utilities\RefineRTDCRunTimes.py" --tripid 60-29 --locoid 4006 --swversion DE.1.0.7.0 --startMP 204:690 --initTime 2016-09-29T23:55:08 --startdatetime 2016-09-29T23:56:33 --delay 0 --endMP 300:23304 --enddatetime 2016-09-30T00:05:13 --enforcementcount 0 &gt;&gt;C:\Users\stu\Documents\GitHub\eaglep3-reporting\EC\2016-09-29-refined-times.txt</v>
      </c>
      <c r="AI221" s="130" t="str">
        <f t="shared" si="117"/>
        <v>echo {"issue":{"subject":"","project_id":79,"tracker_id":40,"status_id":1,"priority_id":2,"assigned_to_id":23,"start_date":"2016-09-30","description":"","custom_fields":[{"id":1,"name":"Subdivision","value":"Other"},{"id":4,"name":"Milepost","value":"2.3304"},{"id":17,"name":"Train ID","value":"60-29"},{"id":16,"name":"Locomotive ID","value":"4006"},{"id":130,"name":"Impact","value":""},{"id":150,"name":"Time of Event (Mountain Time)","value":"00:05:13"},{"id":151,"name":"Denver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540</v>
      </c>
      <c r="B222" s="7">
        <v>4021</v>
      </c>
      <c r="C222" s="24" t="s">
        <v>106</v>
      </c>
      <c r="D222" s="24" t="s">
        <v>670</v>
      </c>
      <c r="E222" s="15">
        <v>42642.750856481478</v>
      </c>
      <c r="F222" s="15">
        <v>42642.756273148145</v>
      </c>
      <c r="G222" s="7">
        <v>7</v>
      </c>
      <c r="H222" s="15" t="s">
        <v>671</v>
      </c>
      <c r="I222" s="15">
        <v>42642.762453703705</v>
      </c>
      <c r="J222" s="7">
        <v>0</v>
      </c>
      <c r="K222" s="117" t="str">
        <f t="shared" si="101"/>
        <v>4021/4022</v>
      </c>
      <c r="L222" s="24" t="str">
        <f>VLOOKUP(A222,'Trips&amp;Operators'!$C$1:$E$10000,3,FALSE)</f>
        <v>OSULLIVAN</v>
      </c>
      <c r="M222" s="6">
        <f t="shared" si="102"/>
        <v>6.180555559694767E-3</v>
      </c>
      <c r="N222" s="7">
        <f t="shared" si="113"/>
        <v>8.9000000059604645</v>
      </c>
      <c r="O222" s="7"/>
      <c r="P222" s="7"/>
      <c r="Q222" s="25"/>
      <c r="R222" s="25"/>
      <c r="S222" s="37">
        <f t="shared" si="103"/>
        <v>0</v>
      </c>
      <c r="T222" s="52" t="e">
        <f t="shared" si="104"/>
        <v>#VALUE!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17:01:14-0600',mode:absolute,to:'2016-09-29 19:17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4021%22')),sort:!(Time,asc))</v>
      </c>
      <c r="W222" s="54" t="str">
        <f t="shared" si="106"/>
        <v>Y</v>
      </c>
      <c r="X222" s="164" t="e">
        <f t="shared" si="112"/>
        <v>#VALUE!</v>
      </c>
      <c r="Y222" s="69">
        <f t="shared" si="107"/>
        <v>2.3349000000000002</v>
      </c>
      <c r="Z222" s="69">
        <f t="shared" si="108"/>
        <v>9.1700000000000004E-2</v>
      </c>
      <c r="AA222" s="69">
        <f t="shared" si="109"/>
        <v>2.2432000000000003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 t="shared" si="110"/>
        <v>62-29</v>
      </c>
      <c r="AE222" s="95" t="str">
        <f t="shared" si="114"/>
        <v>aws s3 cp s3://rtdc.mdm.uploadarchive.raw/RTDC4021/ "%USERPROFILE%\AppData\Local\Temp\OnboardLogs"\RTDC4021\2016-09-29 --exclude "*" --recursive --include "*20160929*" &amp; "%USERPROFILE%\Documents\GitHub\mrs-test-scripts\Headless Mode &amp; Sideloading\WalkAndUnGZ.bat" "%USERPROFILE%\AppData\Local\Temp\OnboardLogs"\RTDC4021\2016-09-29 &amp; aws s3 cp s3://rtdc.mdm.uploadarchive.raw/RTDC4021/ "%USERPROFILE%\AppData\Local\Temp\OnboardLogs"\RTDC4021\2016-09-30 --exclude "*" --recursive --include "*20160930*" &amp; "%USERPROFILE%\Documents\GitHub\mrs-test-scripts\Headless Mode &amp; Sideloading\WalkAndUnGZ.bat" "%USERPROFILE%\AppData\Local\Temp\OnboardLogs"\RTDC4021\2016-09-30</v>
      </c>
      <c r="AF222" s="92" t="str">
        <f t="shared" si="115"/>
        <v>"C:\Program Files (x86)\AstroGrep\AstroGrep.exe" /spath="%USERPROFILE%\AppData\Local\Temp\OnboardLogs" /stypes="app*4021*20160930*" /stext=" 00:.+((SYSTEM_STATE.+slice.+state.+changed )|(ment ac)|(system.+state.+changed )|(\[timeout)|(PRM\|1\|D)|(kpr)|(kdp)|(\|lc)|(penalty))" /e /r /s</v>
      </c>
      <c r="AG222" s="1" t="str">
        <f t="shared" si="111"/>
        <v>Other</v>
      </c>
      <c r="AH222" s="96" t="str">
        <f t="shared" si="116"/>
        <v>"%USERPROFILE%\Documents\GitHub\eaglep3\Utilities\RefineRTDCRunTimes.py" --tripid 62-29 --locoid 4021 --swversion DE.1.0.7.0 --startMP 300:23349 --initTime 2016-09-29T18:01:14 --startdatetime 2016-09-29T18:09:02 --delay 7 --endMP 204:917 --enddatetime 2016-09-29T18:17:56 --enforcementcount 0 &gt;&gt;C:\Users\stu\Documents\GitHub\eaglep3-reporting\EC\2016-09-29-refined-times.txt</v>
      </c>
      <c r="AI222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{"issue":{"subject":"","project_id":79,"tracker_id":40,"status_id":1,"priority_id":2,"assigned_to_id":23,"start_date":"2016-09-29","description":"","custom_fields":[{"id":1,"name":"Subdivision","value":"Other"},{"id":4,"name":"Milepost","value":"0.0917"},{"id":17,"name":"Train ID","value":"62-29"},{"id":16,"name":"Locomotive ID","value":"4021"},{"id":130,"name":"Impact","value":""},{"id":150,"name":"Time of Event (Mountain Time)","value":"18:17:56"},{"id":151,"name":"Denver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526</v>
      </c>
      <c r="B223" s="7">
        <v>4044</v>
      </c>
      <c r="C223" s="24" t="s">
        <v>106</v>
      </c>
      <c r="D223" s="24" t="s">
        <v>672</v>
      </c>
      <c r="E223" s="15">
        <v>42642.717997685184</v>
      </c>
      <c r="F223" s="15">
        <v>42642.747349537036</v>
      </c>
      <c r="G223" s="7">
        <v>1</v>
      </c>
      <c r="H223" s="15" t="s">
        <v>673</v>
      </c>
      <c r="I223" s="15">
        <v>42642.747511574074</v>
      </c>
      <c r="J223" s="7">
        <v>0</v>
      </c>
      <c r="K223" s="117" t="str">
        <f t="shared" si="101"/>
        <v>4043/4044</v>
      </c>
      <c r="L223" s="24" t="str">
        <f>VLOOKUP(A223,'Trips&amp;Operators'!$C$1:$E$10000,3,FALSE)</f>
        <v>ISHMAEL</v>
      </c>
      <c r="M223" s="6">
        <f t="shared" si="102"/>
        <v>1.6203703853534535E-4</v>
      </c>
      <c r="N223" s="7">
        <f t="shared" si="113"/>
        <v>0.2333333354908973</v>
      </c>
      <c r="O223" s="7"/>
      <c r="P223" s="7"/>
      <c r="Q223" s="25"/>
      <c r="R223" s="25"/>
      <c r="S223" s="37">
        <f t="shared" si="103"/>
        <v>0</v>
      </c>
      <c r="T223" s="52" t="e">
        <f t="shared" si="104"/>
        <v>#VALUE!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16:13:55-0600',mode:absolute,to:'2016-09-29 18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W223" s="54" t="str">
        <f t="shared" si="106"/>
        <v>Y</v>
      </c>
      <c r="X223" s="164" t="e">
        <f t="shared" si="112"/>
        <v>#VALUE!</v>
      </c>
      <c r="Y223" s="69">
        <f t="shared" si="107"/>
        <v>0.14710000000000001</v>
      </c>
      <c r="Z223" s="69">
        <f t="shared" si="108"/>
        <v>0.18490000000000001</v>
      </c>
      <c r="AA223" s="69">
        <f t="shared" si="109"/>
        <v>3.78E-2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 t="shared" si="110"/>
        <v>63-29</v>
      </c>
      <c r="AE223" s="95" t="str">
        <f t="shared" si="114"/>
        <v>aws s3 cp s3://rtdc.mdm.uploadarchive.raw/RTDC4044/ "%USERPROFILE%\AppData\Local\Temp\OnboardLogs"\RTDC4044\2016-09-29 --exclude "*" --recursive --include "*20160929*" &amp; "%USERPROFILE%\Documents\GitHub\mrs-test-scripts\Headless Mode &amp; Sideloading\WalkAndUnGZ.bat" "%USERPROFILE%\AppData\Local\Temp\OnboardLogs"\RTDC4044\2016-09-29 &amp; 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</v>
      </c>
      <c r="AF223" s="92" t="str">
        <f t="shared" si="115"/>
        <v>"C:\Program Files (x86)\AstroGrep\AstroGrep.exe" /spath="%USERPROFILE%\AppData\Local\Temp\OnboardLogs" /stypes="app*4044*20160929*" /stext=" 23:.+((SYSTEM_STATE.+slice.+state.+changed )|(ment ac)|(system.+state.+changed )|(\[timeout)|(PRM\|1\|D)|(kpr)|(kdp)|(\|lc)|(penalty))" /e /r /s</v>
      </c>
      <c r="AG223" s="1" t="str">
        <f t="shared" si="111"/>
        <v>Other</v>
      </c>
      <c r="AH223" s="96" t="str">
        <f t="shared" si="116"/>
        <v>"%USERPROFILE%\Documents\GitHub\eaglep3\Utilities\RefineRTDCRunTimes.py" --tripid 63-29 --locoid 4044 --swversion DE.1.0.7.0 --startMP 204:1471 --initTime 2016-09-29T17:13:55 --startdatetime 2016-09-29T17:56:11 --delay 1 --endMP 204:1849 --enddatetime 2016-09-29T17:56:25 --enforcementcount 0 &gt;&gt;C:\Users\stu\Documents\GitHub\eaglep3-reporting\EC\2016-09-29-refined-times.txt</v>
      </c>
      <c r="AI223" s="130" t="str">
        <f t="shared" si="117"/>
        <v>echo {"issue":{"subject":"","project_id":79,"tracker_id":40,"status_id":1,"priority_id":2,"assigned_to_id":23,"start_date":"2016-09-29","description":"","custom_fields":[{"id":1,"name":"Subdivision","value":"Other"},{"id":4,"name":"Milepost","value":"0.1849"},{"id":17,"name":"Train ID","value":"63-29"},{"id":16,"name":"Locomotive ID","value":"4044"},{"id":130,"name":"Impact","value":""},{"id":150,"name":"Time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525</v>
      </c>
      <c r="B224" s="7">
        <v>4017</v>
      </c>
      <c r="C224" s="24" t="s">
        <v>106</v>
      </c>
      <c r="D224" s="24" t="s">
        <v>674</v>
      </c>
      <c r="E224" s="15">
        <v>42642.712025462963</v>
      </c>
      <c r="F224" s="15">
        <v>25568.708333333332</v>
      </c>
      <c r="G224" s="7">
        <v>1</v>
      </c>
      <c r="H224" s="15" t="s">
        <v>675</v>
      </c>
      <c r="I224" s="15">
        <v>25568.708333333332</v>
      </c>
      <c r="J224" s="7">
        <v>0</v>
      </c>
      <c r="K224" s="117" t="str">
        <f t="shared" si="101"/>
        <v>4017/4018</v>
      </c>
      <c r="L224" s="24" t="str">
        <f>VLOOKUP(A224,'Trips&amp;Operators'!$C$1:$E$10000,3,FALSE)</f>
        <v>STAMBAUGH</v>
      </c>
      <c r="M224" s="6">
        <f t="shared" si="102"/>
        <v>0</v>
      </c>
      <c r="N224" s="7">
        <f t="shared" si="113"/>
        <v>0</v>
      </c>
      <c r="O224" s="7"/>
      <c r="P224" s="7"/>
      <c r="Q224" s="25"/>
      <c r="R224" s="25"/>
      <c r="S224" s="37">
        <f t="shared" si="103"/>
        <v>0</v>
      </c>
      <c r="T224" s="52" t="e">
        <f t="shared" si="104"/>
        <v>#VALUE!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16:05:19-0600',mode:absolute,to:'1969-12-31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4017%22')),sort:!(Time,asc))</v>
      </c>
      <c r="W224" s="54" t="str">
        <f t="shared" si="106"/>
        <v>N</v>
      </c>
      <c r="X224" s="164" t="e">
        <f t="shared" si="112"/>
        <v>#VALUE!</v>
      </c>
      <c r="Y224" s="69">
        <f t="shared" si="107"/>
        <v>23.307400000000001</v>
      </c>
      <c r="Z224" s="69">
        <f t="shared" si="108"/>
        <v>0.1118</v>
      </c>
      <c r="AA224" s="69">
        <f t="shared" si="109"/>
        <v>23.195600000000002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 t="shared" si="110"/>
        <v>66-29</v>
      </c>
      <c r="AE224" s="95" t="str">
        <f t="shared" si="114"/>
        <v>aws s3 cp s3://rtdc.mdm.uploadarchive.raw/RTDC4017/ "%USERPROFILE%\AppData\Local\Temp\OnboardLogs"\RTDC4017\1969-12-31 --exclude "*" --recursive --include "*19691231*" &amp; "%USERPROFILE%\Documents\GitHub\mrs-test-scripts\Headless Mode &amp; Sideloading\WalkAndUnGZ.bat" "%USERPROFILE%\AppData\Local\Temp\OnboardLogs"\RTDC4017\1969-12-31 &amp; aws s3 cp s3://rtdc.mdm.uploadarchive.raw/RTDC4017/ "%USERPROFILE%\AppData\Local\Temp\OnboardLogs"\RTDC4017\1970-01-01 --exclude "*" --recursive --include "*19700101*" &amp; "%USERPROFILE%\Documents\GitHub\mrs-test-scripts\Headless Mode &amp; Sideloading\WalkAndUnGZ.bat" "%USERPROFILE%\AppData\Local\Temp\OnboardLogs"\RTDC4017\1970-01-01</v>
      </c>
      <c r="AF224" s="92" t="str">
        <f t="shared" si="115"/>
        <v>"C:\Program Files (x86)\AstroGrep\AstroGrep.exe" /spath="%USERPROFILE%\AppData\Local\Temp\OnboardLogs" /stypes="app*4017*19691231*" /stext=" 23:.+((SYSTEM_STATE.+slice.+state.+changed )|(ment ac)|(system.+state.+changed )|(\[timeout)|(PRM\|1\|D)|(kpr)|(kdp)|(\|lc)|(penalty))" /e /r /s</v>
      </c>
      <c r="AG224" s="1" t="str">
        <f t="shared" si="111"/>
        <v>Other</v>
      </c>
      <c r="AH224" s="96" t="str">
        <f t="shared" si="116"/>
        <v>"%USERPROFILE%\Documents\GitHub\eaglep3\Utilities\RefineRTDCRunTimes.py" --tripid 66-29 --locoid 4017 --swversion DE.1.0.7.0 --startMP 204:233074 --initTime 2016-09-29T17:05:19 --startdatetime 1969-12-31T17:00:00 --delay 1 --endMP 204:1118 --enddatetime 1969-12-31T17:00:00 --enforcementcount 0 &gt;&gt;C:\Users\stu\Documents\GitHub\eaglep3-reporting\EC\2016-09-29-refined-times.txt</v>
      </c>
      <c r="AI224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{"issue":{"subject":"","project_id":79,"tracker_id":40,"status_id":1,"priority_id":2,"assigned_to_id":23,"start_date":"1969-12-31","description":"","custom_fields":[{"id":1,"name":"Subdivision","value":"Other"},{"id":4,"name":"Milepost","value":"0.1118"},{"id":17,"name":"Train ID","value":"66-29"},{"id":16,"name":"Locomotive ID","value":"4017"},{"id":130,"name":"Impact","value":""},{"id":150,"name":"Time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525</v>
      </c>
      <c r="B225" s="7">
        <v>4018</v>
      </c>
      <c r="C225" s="24" t="s">
        <v>106</v>
      </c>
      <c r="D225" s="24" t="s">
        <v>676</v>
      </c>
      <c r="E225" s="15">
        <v>42642.762939814813</v>
      </c>
      <c r="F225" s="15">
        <v>25568.708333333332</v>
      </c>
      <c r="G225" s="7">
        <v>1</v>
      </c>
      <c r="H225" s="15" t="s">
        <v>266</v>
      </c>
      <c r="I225" s="15">
        <v>25568.708333333332</v>
      </c>
      <c r="J225" s="7">
        <v>0</v>
      </c>
      <c r="K225" s="117" t="str">
        <f t="shared" si="101"/>
        <v>4017/4018</v>
      </c>
      <c r="L225" s="24" t="str">
        <f>VLOOKUP(A225,'Trips&amp;Operators'!$C$1:$E$10000,3,FALSE)</f>
        <v>STAMBAUGH</v>
      </c>
      <c r="M225" s="6">
        <f t="shared" si="102"/>
        <v>0</v>
      </c>
      <c r="N225" s="7">
        <f t="shared" si="113"/>
        <v>0</v>
      </c>
      <c r="O225" s="7"/>
      <c r="P225" s="7"/>
      <c r="Q225" s="25"/>
      <c r="R225" s="25"/>
      <c r="S225" s="37">
        <f t="shared" si="103"/>
        <v>0</v>
      </c>
      <c r="T225" s="52" t="e">
        <f t="shared" si="104"/>
        <v>#VALUE!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 t="shared" si="105"/>
        <v>https://search-rtdc-monitor-bjffxe2xuh6vdkpspy63sjmuny.us-east-1.es.amazonaws.com/_plugin/kibana/#/discover/Steve-Slow-Train-Analysis-(2080s-and-2083s)?_g=(refreshInterval:(display:Off,section:0,value:0),time:(from:'2016-09-29 17:18:38-0600',mode:absolute,to:'1969-12-31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W225" s="54" t="str">
        <f t="shared" si="106"/>
        <v>Y</v>
      </c>
      <c r="X225" s="164" t="e">
        <f t="shared" si="112"/>
        <v>#VALUE!</v>
      </c>
      <c r="Y225" s="69">
        <f t="shared" si="107"/>
        <v>0.1447</v>
      </c>
      <c r="Z225" s="69">
        <f t="shared" si="108"/>
        <v>2.3306</v>
      </c>
      <c r="AA225" s="69">
        <f t="shared" si="109"/>
        <v>2.1859000000000002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 t="shared" si="110"/>
        <v>66-29</v>
      </c>
      <c r="AE225" s="95" t="str">
        <f t="shared" si="114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25" s="92" t="str">
        <f t="shared" si="115"/>
        <v>"C:\Program Files (x86)\AstroGrep\AstroGrep.exe" /spath="%USERPROFILE%\AppData\Local\Temp\OnboardLogs" /stypes="app*4018*19691231*" /stext=" 23:.+((SYSTEM_STATE.+slice.+state.+changed )|(ment ac)|(system.+state.+changed )|(\[timeout)|(PRM\|1\|D)|(kpr)|(kdp)|(\|lc)|(penalty))" /e /r /s</v>
      </c>
      <c r="AG225" s="1" t="str">
        <f t="shared" si="111"/>
        <v>Other</v>
      </c>
      <c r="AH225" s="96" t="str">
        <f t="shared" si="116"/>
        <v>"%USERPROFILE%\Documents\GitHub\eaglep3\Utilities\RefineRTDCRunTimes.py" --tripid 66-29 --locoid 4018 --swversion DE.1.0.7.0 --startMP 204:1447 --initTime 2016-09-29T18:18:38 --startdatetime 1969-12-31T17:00:00 --delay 1 --endMP 300:23306 --enddatetime 1969-12-31T17:00:00 --enforcementcount 0 &gt;&gt;C:\Users\stu\Documents\GitHub\eaglep3-reporting\EC\2016-09-29-refined-times.txt</v>
      </c>
      <c r="AI225" s="130" t="str">
        <f t="shared" si="117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ID","value":"66-29"},{"id":16,"name":"Locomotive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578</v>
      </c>
      <c r="B226" s="7">
        <v>4013</v>
      </c>
      <c r="C226" s="24" t="s">
        <v>106</v>
      </c>
      <c r="D226" s="24" t="s">
        <v>707</v>
      </c>
      <c r="E226" s="15">
        <v>42642.942164351851</v>
      </c>
      <c r="F226" s="15">
        <v>25568.708333333332</v>
      </c>
      <c r="G226" s="7">
        <v>1</v>
      </c>
      <c r="H226" s="15" t="s">
        <v>730</v>
      </c>
      <c r="I226" s="15">
        <v>25568.708333333332</v>
      </c>
      <c r="J226" s="7"/>
      <c r="K226" s="117"/>
      <c r="L226" s="24"/>
      <c r="M226" s="6"/>
      <c r="N226" s="7"/>
      <c r="O226" s="7"/>
      <c r="P226" s="7"/>
      <c r="Q226" s="25"/>
      <c r="R226" s="25"/>
      <c r="S226" s="37"/>
      <c r="T226" s="52"/>
      <c r="U226" s="159"/>
      <c r="V226" s="102"/>
      <c r="W226" s="54"/>
      <c r="X226" s="164"/>
      <c r="Y226" s="69"/>
      <c r="Z226" s="69"/>
      <c r="AA226" s="69"/>
      <c r="AB226" s="66"/>
      <c r="AC226" s="62"/>
      <c r="AD226" s="63"/>
      <c r="AE226" s="95"/>
      <c r="AF226" s="92"/>
      <c r="AG226" s="1"/>
      <c r="AI226" s="130"/>
      <c r="AJ226" s="55"/>
      <c r="AK226" s="55"/>
      <c r="AL226" s="55"/>
    </row>
    <row r="227" spans="1:38" x14ac:dyDescent="0.25">
      <c r="A227" s="39"/>
      <c r="B227" s="7"/>
      <c r="C227" s="24"/>
      <c r="D227" s="24"/>
      <c r="E227" s="15"/>
      <c r="F227" s="15"/>
      <c r="G227" s="7"/>
      <c r="H227" s="15"/>
      <c r="I227" s="15"/>
      <c r="J227" s="7"/>
      <c r="K227" s="117"/>
      <c r="L227" s="24"/>
      <c r="M227" s="6"/>
      <c r="N227" s="7"/>
      <c r="O227" s="7"/>
      <c r="P227" s="7"/>
      <c r="Q227" s="25"/>
      <c r="R227" s="25"/>
      <c r="S227" s="37"/>
      <c r="T227" s="52"/>
      <c r="U227" s="159"/>
      <c r="V227" s="102"/>
      <c r="W227" s="54"/>
      <c r="X227" s="164"/>
      <c r="Y227" s="69"/>
      <c r="Z227" s="69"/>
      <c r="AA227" s="69"/>
      <c r="AB227" s="66"/>
      <c r="AC227" s="62"/>
      <c r="AD227" s="63"/>
      <c r="AE227" s="95"/>
      <c r="AF227" s="92"/>
      <c r="AG227" s="1"/>
      <c r="AI227" s="130"/>
      <c r="AJ227" s="55"/>
      <c r="AK227" s="55"/>
      <c r="AL227" s="55"/>
    </row>
    <row r="228" spans="1:38" x14ac:dyDescent="0.25">
      <c r="A228" s="39"/>
      <c r="B228" s="7"/>
      <c r="C228" s="24"/>
      <c r="D228" s="24"/>
      <c r="E228" s="15"/>
      <c r="F228" s="15"/>
      <c r="G228" s="7"/>
      <c r="H228" s="15"/>
      <c r="I228" s="15"/>
      <c r="J228" s="7"/>
      <c r="K228" s="117"/>
      <c r="L228" s="24"/>
      <c r="M228" s="6"/>
      <c r="N228" s="7"/>
      <c r="O228" s="7"/>
      <c r="P228" s="7"/>
      <c r="Q228" s="25"/>
      <c r="R228" s="25"/>
      <c r="S228" s="37"/>
      <c r="T228" s="52"/>
      <c r="U228" s="159"/>
      <c r="V228" s="102"/>
      <c r="W228" s="54"/>
      <c r="X228" s="164"/>
      <c r="Y228" s="69"/>
      <c r="Z228" s="69"/>
      <c r="AA228" s="69"/>
      <c r="AB228" s="66"/>
      <c r="AC228" s="62"/>
      <c r="AD228" s="63"/>
      <c r="AE228" s="95"/>
      <c r="AF228" s="92"/>
      <c r="AG228" s="1"/>
      <c r="AI228" s="130"/>
      <c r="AJ228" s="55"/>
      <c r="AK228" s="55"/>
      <c r="AL228" s="55"/>
    </row>
    <row r="229" spans="1:38" x14ac:dyDescent="0.25">
      <c r="A229" s="39"/>
      <c r="B229" s="7"/>
      <c r="C229" s="24"/>
      <c r="D229" s="24"/>
      <c r="E229" s="15"/>
      <c r="F229" s="15"/>
      <c r="G229" s="7"/>
      <c r="H229" s="15"/>
      <c r="I229" s="15"/>
      <c r="J229" s="7"/>
      <c r="K229" s="117"/>
      <c r="L229" s="24"/>
      <c r="M229" s="6"/>
      <c r="N229" s="7"/>
      <c r="O229" s="7"/>
      <c r="P229" s="7"/>
      <c r="Q229" s="25"/>
      <c r="R229" s="25"/>
      <c r="S229" s="37"/>
      <c r="T229" s="52"/>
      <c r="U229" s="159"/>
      <c r="V229" s="102"/>
      <c r="W229" s="54"/>
      <c r="X229" s="164"/>
      <c r="Y229" s="69"/>
      <c r="Z229" s="69"/>
      <c r="AA229" s="69"/>
      <c r="AB229" s="66"/>
      <c r="AC229" s="62"/>
      <c r="AD229" s="63"/>
      <c r="AE229" s="95"/>
      <c r="AF229" s="92"/>
      <c r="AG229" s="1"/>
      <c r="AI229" s="130"/>
      <c r="AJ229" s="55"/>
      <c r="AK229" s="55"/>
      <c r="AL229" s="55"/>
    </row>
    <row r="230" spans="1:38" x14ac:dyDescent="0.25">
      <c r="A230" s="39"/>
      <c r="B230" s="7"/>
      <c r="C230" s="24"/>
      <c r="D230" s="24"/>
      <c r="E230" s="15"/>
      <c r="F230" s="15"/>
      <c r="G230" s="7"/>
      <c r="H230" s="15"/>
      <c r="I230" s="15"/>
      <c r="J230" s="7"/>
      <c r="K230" s="117"/>
      <c r="L230" s="24"/>
      <c r="M230" s="6"/>
      <c r="N230" s="7"/>
      <c r="O230" s="7"/>
      <c r="P230" s="7"/>
      <c r="Q230" s="25"/>
      <c r="R230" s="25"/>
      <c r="S230" s="37"/>
      <c r="T230" s="52"/>
      <c r="U230" s="159"/>
      <c r="V230" s="102"/>
      <c r="W230" s="54"/>
      <c r="X230" s="164"/>
      <c r="Y230" s="69"/>
      <c r="Z230" s="69"/>
      <c r="AA230" s="69"/>
      <c r="AB230" s="66"/>
      <c r="AC230" s="62"/>
      <c r="AD230" s="63"/>
      <c r="AE230" s="95"/>
      <c r="AF230" s="92"/>
      <c r="AG230" s="1"/>
      <c r="AI230" s="130"/>
      <c r="AJ230" s="55"/>
      <c r="AK230" s="55"/>
      <c r="AL230" s="55"/>
    </row>
    <row r="231" spans="1:38" x14ac:dyDescent="0.25">
      <c r="A231" s="39"/>
      <c r="B231" s="7"/>
      <c r="C231" s="24"/>
      <c r="D231" s="24"/>
      <c r="E231" s="15"/>
      <c r="F231" s="15"/>
      <c r="G231" s="7"/>
      <c r="H231" s="15"/>
      <c r="I231" s="15"/>
      <c r="J231" s="7"/>
      <c r="K231" s="117"/>
      <c r="L231" s="24"/>
      <c r="M231" s="6"/>
      <c r="N231" s="7"/>
      <c r="O231" s="7"/>
      <c r="P231" s="7"/>
      <c r="Q231" s="25"/>
      <c r="R231" s="25"/>
      <c r="S231" s="37"/>
      <c r="T231" s="52"/>
      <c r="U231" s="159"/>
      <c r="V231" s="102"/>
      <c r="W231" s="54"/>
      <c r="X231" s="164"/>
      <c r="Y231" s="69"/>
      <c r="Z231" s="69"/>
      <c r="AA231" s="69"/>
      <c r="AB231" s="66"/>
      <c r="AC231" s="62"/>
      <c r="AD231" s="63"/>
      <c r="AE231" s="95"/>
      <c r="AF231" s="92"/>
      <c r="AG231" s="1"/>
      <c r="AI231" s="130"/>
      <c r="AJ231" s="55"/>
      <c r="AK231" s="55"/>
      <c r="AL231" s="55"/>
    </row>
    <row r="232" spans="1:38" x14ac:dyDescent="0.25">
      <c r="A232" s="39"/>
      <c r="B232" s="7"/>
      <c r="C232" s="24"/>
      <c r="D232" s="24"/>
      <c r="E232" s="15"/>
      <c r="F232" s="15"/>
      <c r="G232" s="7"/>
      <c r="H232" s="15"/>
      <c r="I232" s="15"/>
      <c r="J232" s="7"/>
      <c r="K232" s="117"/>
      <c r="L232" s="24"/>
      <c r="M232" s="6"/>
      <c r="N232" s="7"/>
      <c r="O232" s="7"/>
      <c r="P232" s="7"/>
      <c r="Q232" s="25"/>
      <c r="R232" s="25"/>
      <c r="S232" s="37"/>
      <c r="T232" s="52"/>
      <c r="U232" s="159"/>
      <c r="V232" s="102"/>
      <c r="W232" s="54"/>
      <c r="X232" s="164"/>
      <c r="Y232" s="69"/>
      <c r="Z232" s="69"/>
      <c r="AA232" s="69"/>
      <c r="AB232" s="66"/>
      <c r="AC232" s="62"/>
      <c r="AD232" s="63"/>
      <c r="AE232" s="95"/>
      <c r="AF232" s="92"/>
      <c r="AG232" s="1"/>
      <c r="AI232" s="130"/>
      <c r="AJ232" s="55"/>
      <c r="AK232" s="55"/>
      <c r="AL232" s="55"/>
    </row>
    <row r="233" spans="1:38" x14ac:dyDescent="0.25">
      <c r="A233" s="39"/>
      <c r="B233" s="7"/>
      <c r="C233" s="24"/>
      <c r="D233" s="24"/>
      <c r="E233" s="15"/>
      <c r="F233" s="15"/>
      <c r="G233" s="7"/>
      <c r="H233" s="15"/>
      <c r="I233" s="15"/>
      <c r="J233" s="7"/>
      <c r="K233" s="117"/>
      <c r="L233" s="24"/>
      <c r="M233" s="6"/>
      <c r="N233" s="7"/>
      <c r="O233" s="7"/>
      <c r="P233" s="7"/>
      <c r="Q233" s="25"/>
      <c r="R233" s="25"/>
      <c r="S233" s="37"/>
      <c r="T233" s="52"/>
      <c r="U233" s="159"/>
      <c r="V233" s="102"/>
      <c r="W233" s="54"/>
      <c r="X233" s="164"/>
      <c r="Y233" s="69"/>
      <c r="Z233" s="69"/>
      <c r="AA233" s="69"/>
      <c r="AB233" s="66"/>
      <c r="AC233" s="62"/>
      <c r="AD233" s="63"/>
      <c r="AE233" s="95"/>
      <c r="AF233" s="92"/>
      <c r="AG233" s="1"/>
      <c r="AI233" s="130"/>
      <c r="AJ233" s="55"/>
      <c r="AK233" s="55"/>
      <c r="AL233" s="55"/>
    </row>
    <row r="234" spans="1:38" x14ac:dyDescent="0.25">
      <c r="A234" s="39"/>
      <c r="B234" s="7"/>
      <c r="C234" s="24"/>
      <c r="D234" s="24"/>
      <c r="E234" s="15"/>
      <c r="F234" s="15"/>
      <c r="G234" s="7"/>
      <c r="H234" s="15"/>
      <c r="I234" s="15"/>
      <c r="J234" s="7"/>
      <c r="K234" s="117"/>
      <c r="L234" s="24"/>
      <c r="M234" s="6"/>
      <c r="N234" s="7"/>
      <c r="O234" s="7"/>
      <c r="P234" s="7"/>
      <c r="Q234" s="25"/>
      <c r="R234" s="25"/>
      <c r="S234" s="37"/>
      <c r="T234" s="52"/>
      <c r="U234" s="159"/>
      <c r="V234" s="102"/>
      <c r="W234" s="54"/>
      <c r="X234" s="164"/>
      <c r="Y234" s="69"/>
      <c r="Z234" s="69"/>
      <c r="AA234" s="69"/>
      <c r="AB234" s="66"/>
      <c r="AC234" s="62"/>
      <c r="AD234" s="63"/>
      <c r="AE234" s="95"/>
      <c r="AF234" s="92"/>
      <c r="AG234" s="1"/>
      <c r="AI234" s="130"/>
      <c r="AJ234" s="55"/>
      <c r="AK234" s="55"/>
      <c r="AL234" s="55"/>
    </row>
    <row r="235" spans="1:38" x14ac:dyDescent="0.25">
      <c r="A235" s="39"/>
      <c r="B235" s="7"/>
      <c r="C235" s="24"/>
      <c r="D235" s="24"/>
      <c r="E235" s="15"/>
      <c r="F235" s="15"/>
      <c r="G235" s="7"/>
      <c r="H235" s="15"/>
      <c r="I235" s="15"/>
      <c r="J235" s="7"/>
      <c r="K235" s="117"/>
      <c r="L235" s="24"/>
      <c r="M235" s="6"/>
      <c r="N235" s="7"/>
      <c r="O235" s="7"/>
      <c r="P235" s="7"/>
      <c r="Q235" s="25"/>
      <c r="R235" s="25"/>
      <c r="S235" s="37"/>
      <c r="T235" s="52"/>
      <c r="U235" s="159"/>
      <c r="V235" s="102"/>
      <c r="W235" s="54"/>
      <c r="X235" s="164"/>
      <c r="Y235" s="69"/>
      <c r="Z235" s="69"/>
      <c r="AA235" s="69"/>
      <c r="AB235" s="66"/>
      <c r="AC235" s="62"/>
      <c r="AD235" s="63"/>
      <c r="AE235" s="95"/>
      <c r="AF235" s="92"/>
      <c r="AG235" s="1"/>
      <c r="AI235" s="130"/>
      <c r="AJ235" s="55"/>
      <c r="AK235" s="55"/>
      <c r="AL235" s="55"/>
    </row>
    <row r="236" spans="1:38" x14ac:dyDescent="0.25">
      <c r="A236" s="39"/>
      <c r="B236" s="7"/>
      <c r="C236" s="24"/>
      <c r="D236" s="24"/>
      <c r="E236" s="15"/>
      <c r="F236" s="15"/>
      <c r="G236" s="7"/>
      <c r="H236" s="15"/>
      <c r="I236" s="15"/>
      <c r="J236" s="7"/>
      <c r="K236" s="117"/>
      <c r="L236" s="24"/>
      <c r="M236" s="6"/>
      <c r="N236" s="7"/>
      <c r="O236" s="7"/>
      <c r="P236" s="7"/>
      <c r="Q236" s="25"/>
      <c r="R236" s="25"/>
      <c r="S236" s="37"/>
      <c r="T236" s="52"/>
      <c r="U236" s="159"/>
      <c r="V236" s="102"/>
      <c r="W236" s="54"/>
      <c r="X236" s="164"/>
      <c r="Y236" s="69"/>
      <c r="Z236" s="69"/>
      <c r="AA236" s="69"/>
      <c r="AB236" s="66"/>
      <c r="AC236" s="62"/>
      <c r="AD236" s="63"/>
      <c r="AE236" s="95"/>
      <c r="AF236" s="92"/>
      <c r="AG236" s="1"/>
      <c r="AI236" s="130"/>
      <c r="AJ236" s="55"/>
      <c r="AK236" s="55"/>
      <c r="AL236" s="55"/>
    </row>
    <row r="237" spans="1:38" x14ac:dyDescent="0.25">
      <c r="A237" s="39"/>
      <c r="B237" s="7"/>
      <c r="C237" s="24"/>
      <c r="D237" s="24"/>
      <c r="E237" s="15"/>
      <c r="F237" s="15"/>
      <c r="G237" s="7"/>
      <c r="H237" s="15"/>
      <c r="I237" s="15"/>
      <c r="J237" s="7"/>
      <c r="K237" s="117"/>
      <c r="L237" s="24"/>
      <c r="M237" s="6"/>
      <c r="N237" s="7"/>
      <c r="O237" s="7"/>
      <c r="P237" s="7"/>
      <c r="Q237" s="25"/>
      <c r="R237" s="25"/>
      <c r="S237" s="37"/>
      <c r="T237" s="52"/>
      <c r="U237" s="159"/>
      <c r="V237" s="102"/>
      <c r="W237" s="54"/>
      <c r="X237" s="164"/>
      <c r="Y237" s="69"/>
      <c r="Z237" s="69"/>
      <c r="AA237" s="69"/>
      <c r="AB237" s="66"/>
      <c r="AC237" s="62"/>
      <c r="AD237" s="63"/>
      <c r="AE237" s="95"/>
      <c r="AF237" s="92"/>
      <c r="AG237" s="1"/>
      <c r="AI237" s="130"/>
      <c r="AJ237" s="55"/>
      <c r="AK237" s="55"/>
      <c r="AL237" s="55"/>
    </row>
    <row r="238" spans="1:38" x14ac:dyDescent="0.25">
      <c r="A238" s="39"/>
      <c r="B238" s="7"/>
      <c r="C238" s="24"/>
      <c r="D238" s="24"/>
      <c r="E238" s="15"/>
      <c r="F238" s="15"/>
      <c r="G238" s="7"/>
      <c r="H238" s="15"/>
      <c r="I238" s="15"/>
      <c r="J238" s="7"/>
      <c r="K238" s="117"/>
      <c r="L238" s="24"/>
      <c r="M238" s="6"/>
      <c r="N238" s="7"/>
      <c r="O238" s="7"/>
      <c r="P238" s="7"/>
      <c r="Q238" s="25"/>
      <c r="R238" s="25"/>
      <c r="S238" s="37"/>
      <c r="T238" s="52"/>
      <c r="U238" s="159"/>
      <c r="V238" s="102"/>
      <c r="W238" s="54"/>
      <c r="X238" s="164"/>
      <c r="Y238" s="69"/>
      <c r="Z238" s="69"/>
      <c r="AA238" s="69"/>
      <c r="AB238" s="66"/>
      <c r="AC238" s="62"/>
      <c r="AD238" s="63"/>
      <c r="AE238" s="95"/>
      <c r="AF238" s="92"/>
      <c r="AG238" s="1"/>
      <c r="AI238" s="130"/>
      <c r="AJ238" s="55"/>
      <c r="AK238" s="55"/>
      <c r="AL238" s="55"/>
    </row>
    <row r="239" spans="1:38" x14ac:dyDescent="0.25">
      <c r="A239" s="39"/>
      <c r="B239" s="7"/>
      <c r="C239" s="24"/>
      <c r="D239" s="24"/>
      <c r="E239" s="15"/>
      <c r="F239" s="15"/>
      <c r="G239" s="7"/>
      <c r="H239" s="15"/>
      <c r="I239" s="15"/>
      <c r="J239" s="7"/>
      <c r="K239" s="117"/>
      <c r="L239" s="24"/>
      <c r="M239" s="6"/>
      <c r="N239" s="7"/>
      <c r="O239" s="7"/>
      <c r="P239" s="7"/>
      <c r="Q239" s="25"/>
      <c r="R239" s="25"/>
      <c r="S239" s="37"/>
      <c r="T239" s="52"/>
      <c r="U239" s="159"/>
      <c r="V239" s="102"/>
      <c r="W239" s="54"/>
      <c r="X239" s="164"/>
      <c r="Y239" s="69"/>
      <c r="Z239" s="69"/>
      <c r="AA239" s="69"/>
      <c r="AB239" s="66"/>
      <c r="AC239" s="62"/>
      <c r="AD239" s="63"/>
      <c r="AE239" s="95"/>
      <c r="AF239" s="92"/>
      <c r="AG239" s="1"/>
      <c r="AI239" s="130"/>
      <c r="AJ239" s="55"/>
      <c r="AK239" s="55"/>
      <c r="AL239" s="55"/>
    </row>
    <row r="240" spans="1:38" x14ac:dyDescent="0.25">
      <c r="A240" s="39"/>
      <c r="B240" s="7"/>
      <c r="C240" s="24"/>
      <c r="D240" s="24"/>
      <c r="E240" s="15"/>
      <c r="F240" s="15"/>
      <c r="G240" s="7"/>
      <c r="H240" s="15"/>
      <c r="I240" s="15"/>
      <c r="J240" s="7"/>
      <c r="K240" s="117"/>
      <c r="L240" s="24"/>
      <c r="M240" s="6"/>
      <c r="N240" s="7"/>
      <c r="O240" s="7"/>
      <c r="P240" s="7"/>
      <c r="Q240" s="25"/>
      <c r="R240" s="25"/>
      <c r="S240" s="37"/>
      <c r="T240" s="52"/>
      <c r="U240" s="159"/>
      <c r="V240" s="102"/>
      <c r="W240" s="54"/>
      <c r="X240" s="164"/>
      <c r="Y240" s="69"/>
      <c r="Z240" s="69"/>
      <c r="AA240" s="69"/>
      <c r="AB240" s="66"/>
      <c r="AC240" s="62"/>
      <c r="AD240" s="63"/>
      <c r="AE240" s="95"/>
      <c r="AF240" s="92"/>
      <c r="AG240" s="1"/>
      <c r="AI240" s="130"/>
      <c r="AJ240" s="55"/>
      <c r="AK240" s="55"/>
      <c r="AL240" s="55"/>
    </row>
    <row r="241" spans="1:38" x14ac:dyDescent="0.25">
      <c r="A241" s="39"/>
      <c r="B241" s="7"/>
      <c r="C241" s="24"/>
      <c r="D241" s="24"/>
      <c r="E241" s="15"/>
      <c r="F241" s="15"/>
      <c r="G241" s="7"/>
      <c r="H241" s="15"/>
      <c r="I241" s="15"/>
      <c r="J241" s="7"/>
      <c r="K241" s="117"/>
      <c r="L241" s="24"/>
      <c r="M241" s="6"/>
      <c r="N241" s="7"/>
      <c r="O241" s="7"/>
      <c r="P241" s="7"/>
      <c r="Q241" s="25"/>
      <c r="R241" s="25"/>
      <c r="S241" s="37"/>
      <c r="T241" s="52"/>
      <c r="U241" s="159"/>
      <c r="V241" s="102"/>
      <c r="W241" s="54"/>
      <c r="X241" s="164"/>
      <c r="Y241" s="69"/>
      <c r="Z241" s="69"/>
      <c r="AA241" s="69"/>
      <c r="AB241" s="66"/>
      <c r="AC241" s="62"/>
      <c r="AD241" s="63"/>
      <c r="AE241" s="95"/>
      <c r="AF241" s="92"/>
      <c r="AG241" s="1"/>
      <c r="AI241" s="130"/>
      <c r="AJ241" s="55"/>
      <c r="AK241" s="55"/>
      <c r="AL241" s="55"/>
    </row>
    <row r="242" spans="1:38" x14ac:dyDescent="0.25">
      <c r="A242" s="39"/>
      <c r="B242" s="7"/>
      <c r="C242" s="24"/>
      <c r="D242" s="24"/>
      <c r="E242" s="15"/>
      <c r="F242" s="15"/>
      <c r="G242" s="7"/>
      <c r="H242" s="15"/>
      <c r="I242" s="15"/>
      <c r="J242" s="7"/>
      <c r="K242" s="117"/>
      <c r="L242" s="24"/>
      <c r="M242" s="6"/>
      <c r="N242" s="7"/>
      <c r="O242" s="7"/>
      <c r="P242" s="7"/>
      <c r="Q242" s="25"/>
      <c r="R242" s="25"/>
      <c r="S242" s="37"/>
      <c r="T242" s="52"/>
      <c r="U242" s="159"/>
      <c r="V242" s="102"/>
      <c r="W242" s="54"/>
      <c r="X242" s="164"/>
      <c r="Y242" s="69"/>
      <c r="Z242" s="69"/>
      <c r="AA242" s="69"/>
      <c r="AB242" s="66"/>
      <c r="AC242" s="62"/>
      <c r="AD242" s="63"/>
      <c r="AE242" s="95"/>
      <c r="AF242" s="92"/>
      <c r="AG242" s="1"/>
      <c r="AI242" s="130"/>
      <c r="AJ242" s="55"/>
      <c r="AK242" s="55"/>
      <c r="AL242" s="55"/>
    </row>
  </sheetData>
  <autoFilter ref="A12:AG242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8" priority="326" operator="equal">
      <formula>"Y"</formula>
    </cfRule>
  </conditionalFormatting>
  <conditionalFormatting sqref="X13:X1048576">
    <cfRule type="cellIs" dxfId="7" priority="309" operator="greaterThan">
      <formula>1</formula>
    </cfRule>
  </conditionalFormatting>
  <conditionalFormatting sqref="X12:X1048576">
    <cfRule type="cellIs" dxfId="6" priority="306" operator="equal">
      <formula>0</formula>
    </cfRule>
  </conditionalFormatting>
  <conditionalFormatting sqref="A13:S227">
    <cfRule type="expression" dxfId="5" priority="300" stopIfTrue="1">
      <formula>$P13&gt;0</formula>
    </cfRule>
    <cfRule type="expression" dxfId="4" priority="301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AK13:AK242</xm:sqref>
        </x14:dataValidation>
        <x14:dataValidation type="list" allowBlank="1" showInputMessage="1" showErrorMessage="1">
          <x14:formula1>
            <xm:f>'Redmine List Values'!$C$2:$C$20</xm:f>
          </x14:formula1>
          <xm:sqref>AL13:AL242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74"/>
  <sheetViews>
    <sheetView topLeftCell="A2" workbookViewId="0">
      <selection activeCell="P9" sqref="P9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COUNTIF($O$7:$O$398,"=Y")</f>
        <v>2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COUNTA($O$7:$O$398)-O2</f>
        <v>51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79" t="str">
        <f>"Eagle P3 Braking Events - "&amp;TEXT(Variables!$A$2,"YYYY-mm-dd")</f>
        <v>Eagle P3 Braking Events - 2016-09-29</v>
      </c>
      <c r="B5" s="179"/>
      <c r="C5" s="179"/>
      <c r="D5" s="179"/>
      <c r="E5" s="179"/>
      <c r="F5" s="179"/>
      <c r="G5" s="179"/>
      <c r="H5" s="179"/>
      <c r="I5" s="179"/>
      <c r="J5" s="179"/>
      <c r="K5" s="179"/>
      <c r="L5" s="179"/>
      <c r="M5" s="179"/>
      <c r="N5" s="179"/>
      <c r="O5" s="179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175</v>
      </c>
      <c r="J6" s="132" t="s">
        <v>30</v>
      </c>
      <c r="K6" s="133" t="s">
        <v>29</v>
      </c>
      <c r="L6" s="145" t="s">
        <v>28</v>
      </c>
      <c r="M6" s="133" t="s">
        <v>176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158</v>
      </c>
      <c r="Z6" s="141" t="s">
        <v>159</v>
      </c>
      <c r="AA6" s="141" t="s">
        <v>132</v>
      </c>
      <c r="AB6" s="141" t="s">
        <v>160</v>
      </c>
      <c r="AC6" s="174" t="s">
        <v>229</v>
      </c>
    </row>
    <row r="7" spans="1:29" s="1" customFormat="1" x14ac:dyDescent="0.25">
      <c r="A7" s="38">
        <v>42642.322511574072</v>
      </c>
      <c r="B7" s="33" t="s">
        <v>314</v>
      </c>
      <c r="C7" s="33" t="s">
        <v>401</v>
      </c>
      <c r="D7" s="33" t="s">
        <v>261</v>
      </c>
      <c r="E7" s="33" t="s">
        <v>166</v>
      </c>
      <c r="F7" s="49">
        <v>200</v>
      </c>
      <c r="G7" s="49">
        <v>267</v>
      </c>
      <c r="H7" s="49">
        <v>27027</v>
      </c>
      <c r="I7" s="49">
        <v>26639</v>
      </c>
      <c r="J7" s="33" t="s">
        <v>165</v>
      </c>
      <c r="K7" s="49">
        <v>27350</v>
      </c>
      <c r="L7" s="146" t="s">
        <v>53</v>
      </c>
      <c r="M7" s="149">
        <f t="shared" ref="M7:M38" si="0">CONVERT((I7-K7)/10000,"mi","ft")*IF(L7="Increasing Mileposts (1)",-1,1)</f>
        <v>-375.40800000000002</v>
      </c>
      <c r="N7" s="88" t="str">
        <f>VLOOKUP(C7,'Trips&amp;Operators'!$C$1:$E$99999,3,FALSE)</f>
        <v>STRICKLAND</v>
      </c>
      <c r="O7" s="170" t="s">
        <v>86</v>
      </c>
      <c r="P7" s="10" t="s">
        <v>235</v>
      </c>
      <c r="Q7" s="33"/>
      <c r="R7" s="104" t="str">
        <f>VLOOKUP(C7,'Train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7" s="107" t="str">
        <f>VLOOKUP(C7,'Train Runs'!$A$13:$AE$10005,22,0)</f>
        <v>https://search-rtdc-monitor-bjffxe2xuh6vdkpspy63sjmuny.us-east-1.es.amazonaws.com/_plugin/kibana/#/discover/Steve-Slow-Train-Analysis-(2080s-and-2083s)?_g=(refreshInterval:(display:Off,section:0,value:0),time:(from:'2016-09-29 06:05:24-0600',mode:absolute,to:'2016-09-29 08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7" s="109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/stypes="*4039*201609291*" /stext=" 13:.+((SYSTEM_STATE.+slice.+state.+changed )|(ment ac)|(system.+state.+changed )|(\[timeout)|(PRM\|1\|D)|(kpr)|(kdp)|(\|lc)|(penalty))" /e /r /s</v>
      </c>
      <c r="U7" s="9" t="str">
        <f t="shared" ref="U7:U38" si="2">MID(B7,13,4)</f>
        <v>4039</v>
      </c>
      <c r="V7" s="38">
        <f t="shared" ref="V7:V38" si="3">A7+6/24</f>
        <v>42642.572511574072</v>
      </c>
      <c r="W7" s="52" t="str">
        <f t="shared" ref="W7:W38" si="4">IF(VALUE(LEFT(IF(LEN(C7)=6,"0"&amp;C7,C7),2))&lt;=2,"EC",IF(OR(VALUE(LEFT(IF(LEN(C7)=6,"0"&amp;C7,C7),2))=8,VALUE(LEFT(IF(LEN(C7)=6,"0"&amp;C7,C7),2))=18),"NW","Other"))</f>
        <v>EC</v>
      </c>
      <c r="X7" s="52" t="str">
        <f t="shared" ref="X7:X38" si="5">IF(AND(E7="TRACK WARRANT AUTHORITY",G7&lt;10),"OMIT","KEEP")</f>
        <v>KEEP</v>
      </c>
      <c r="Y7" s="130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arrival","project_id":79,"tracker_id":40,"status_id":1,"priority_id":2,"assigned_to_id":23,"start_date":"2016-09-29","description":"","custom_fields":[{"id":1,"name":"Subdivision","value":"EC"},{"id":4,"name":"Milepost","value":"2.735"},{"id":17,"name":"Train ID","value":"122-29"},{"id":16,"name":"Locomotive ID","value":"4039"},{"id":130,"name":"Impact","value":""},{"id":150,"name":"Time of Event (Mountain Time)","value":"07:44:25"},{"id":151,"name":"Denver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"%USERPROFILE%\AppData\Local\Temp\OnboardLogs"\RTDC4039\*4039*201609291* | grep -SE "((Enforcement Ac)|(PRM))" -</v>
      </c>
    </row>
    <row r="8" spans="1:29" s="1" customFormat="1" x14ac:dyDescent="0.25">
      <c r="A8" s="38">
        <v>42642.95416666667</v>
      </c>
      <c r="B8" s="33" t="s">
        <v>248</v>
      </c>
      <c r="C8" s="33" t="s">
        <v>577</v>
      </c>
      <c r="D8" s="33" t="s">
        <v>261</v>
      </c>
      <c r="E8" s="33" t="s">
        <v>166</v>
      </c>
      <c r="F8" s="49">
        <v>0</v>
      </c>
      <c r="G8" s="49">
        <v>407</v>
      </c>
      <c r="H8" s="49">
        <v>58215</v>
      </c>
      <c r="I8" s="49">
        <v>56860</v>
      </c>
      <c r="J8" s="33" t="s">
        <v>165</v>
      </c>
      <c r="K8" s="49">
        <v>58301</v>
      </c>
      <c r="L8" s="146" t="s">
        <v>53</v>
      </c>
      <c r="M8" s="149">
        <f t="shared" si="0"/>
        <v>-760.84799999999996</v>
      </c>
      <c r="N8" s="88" t="str">
        <f>VLOOKUP(C8,'Trips&amp;Operators'!$C$1:$E$99999,3,FALSE)</f>
        <v>COOLAHAN</v>
      </c>
      <c r="O8" s="170" t="s">
        <v>86</v>
      </c>
      <c r="P8" s="10" t="s">
        <v>235</v>
      </c>
      <c r="Q8" s="33"/>
      <c r="R8" s="104" t="str">
        <f>VLOOKUP(C8,'Train Runs'!$A$13:$AE$10005,31,0)</f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S8" s="107" t="str">
        <f>VLOOKUP(C8,'Train Runs'!$A$13:$AE$10005,22,0)</f>
        <v>https://search-rtdc-monitor-bjffxe2xuh6vdkpspy63sjmuny.us-east-1.es.amazonaws.com/_plugin/kibana/#/discover/Steve-Slow-Train-Analysis-(2080s-and-2083s)?_g=(refreshInterval:(display:Off,section:0,value:0),time:(from:'2016-09-29 21:19:26-0600',mode:absolute,to:'2016-09-30 00:06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8" s="109" t="str">
        <f t="shared" si="1"/>
        <v>"C:\Program Files (x86)\AstroGrep\AstroGrep.exe" /spath="%USERPROFILE%\AppData\Local\Temp\OnboardLogs" /stypes="*4030*201609300*" /stext=" 04:.+((SYSTEM_STATE.+slice.+state.+changed )|(ment ac)|(system.+state.+changed )|(\[timeout)|(PRM\|1\|D)|(kpr)|(kdp)|(\|lc)|(penalty))" /e /r /s</v>
      </c>
      <c r="U8" s="9" t="str">
        <f t="shared" si="2"/>
        <v>4030</v>
      </c>
      <c r="V8" s="38">
        <f t="shared" si="3"/>
        <v>42643.20416666667</v>
      </c>
      <c r="W8" s="52" t="str">
        <f t="shared" si="4"/>
        <v>EC</v>
      </c>
      <c r="X8" s="52" t="str">
        <f t="shared" si="5"/>
        <v>KEEP</v>
      </c>
      <c r="Y8" s="130" t="str">
        <f t="shared" si="6"/>
        <v>echo {"issue":{"subject":"Early arrival","project_id":79,"tracker_id":40,"status_id":1,"priority_id":2,"assigned_to_id":23,"start_date":"2016-09-29","description":"","custom_fields":[{"id":1,"name":"Subdivision","value":"EC"},{"id":4,"name":"Milepost","value":"5.8301"},{"id":17,"name":"Train ID","value":"232-29"},{"id":16,"name":"Locomotive ID","value":"4030"},{"id":130,"name":"Impact","value":""},{"id":150,"name":"Time of Event (Mountain Time)","value":"22:54:00"},{"id":151,"name":"Denver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 t="shared" si="7"/>
        <v>grep -hSE -A100 "Enforcement Action" "%USERPROFILE%\AppData\Local\Temp\OnboardLogs"\RTDC4030\*4030*201609300* | grep -SE "((Enforcement Ac)|(PRM))" -</v>
      </c>
    </row>
    <row r="9" spans="1:29" s="1" customFormat="1" x14ac:dyDescent="0.25">
      <c r="A9" s="38">
        <v>42642.391435185185</v>
      </c>
      <c r="B9" s="33" t="s">
        <v>314</v>
      </c>
      <c r="C9" s="33" t="s">
        <v>424</v>
      </c>
      <c r="D9" s="33" t="s">
        <v>105</v>
      </c>
      <c r="E9" s="33" t="s">
        <v>166</v>
      </c>
      <c r="F9" s="49">
        <v>350</v>
      </c>
      <c r="G9" s="49">
        <v>405</v>
      </c>
      <c r="H9" s="49">
        <v>58254</v>
      </c>
      <c r="I9" s="49">
        <v>56931</v>
      </c>
      <c r="J9" s="33" t="s">
        <v>165</v>
      </c>
      <c r="K9" s="49">
        <v>58301</v>
      </c>
      <c r="L9" s="146" t="s">
        <v>53</v>
      </c>
      <c r="M9" s="149">
        <f t="shared" si="0"/>
        <v>-723.36</v>
      </c>
      <c r="N9" s="88" t="str">
        <f>VLOOKUP(C9,'Trips&amp;Operators'!$C$1:$E$99999,3,FALSE)</f>
        <v>STRICKLAND</v>
      </c>
      <c r="O9" s="170" t="s">
        <v>86</v>
      </c>
      <c r="P9" s="10" t="s">
        <v>235</v>
      </c>
      <c r="Q9" s="33"/>
      <c r="R9" s="104" t="str">
        <f>VLOOKUP(C9,'Train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9" s="107" t="str">
        <f>VLOOKUP(C9,'Train Runs'!$A$13:$AE$10005,22,0)</f>
        <v>https://search-rtdc-monitor-bjffxe2xuh6vdkpspy63sjmuny.us-east-1.es.amazonaws.com/_plugin/kibana/#/discover/Steve-Slow-Train-Analysis-(2080s-and-2083s)?_g=(refreshInterval:(display:Off,section:0,value:0),time:(from:'2016-09-29 07:51:35-0600',mode:absolute,to:'2016-09-29 10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9" s="109" t="str">
        <f t="shared" si="1"/>
        <v>"C:\Program Files (x86)\AstroGrep\AstroGrep.exe" /spath="%USERPROFILE%\AppData\Local\Temp\OnboardLogs" /stypes="*4039*201609291*" /stext=" 15:.+((SYSTEM_STATE.+slice.+state.+changed )|(ment ac)|(system.+state.+changed )|(\[timeout)|(PRM\|1\|D)|(kpr)|(kdp)|(\|lc)|(penalty))" /e /r /s</v>
      </c>
      <c r="U9" s="9" t="str">
        <f t="shared" si="2"/>
        <v>4039</v>
      </c>
      <c r="V9" s="38">
        <f t="shared" si="3"/>
        <v>42642.641435185185</v>
      </c>
      <c r="W9" s="52" t="str">
        <f t="shared" si="4"/>
        <v>EC</v>
      </c>
      <c r="X9" s="52" t="str">
        <f t="shared" si="5"/>
        <v>KEEP</v>
      </c>
      <c r="Y9" s="130" t="str">
        <f t="shared" si="6"/>
        <v>echo {"issue":{"subject":"Early arrival","project_id":79,"tracker_id":40,"status_id":1,"priority_id":2,"assigned_to_id":23,"start_date":"2016-09-29","description":"","custom_fields":[{"id":1,"name":"Subdivision","value":"EC"},{"id":4,"name":"Milepost","value":"5.8301"},{"id":17,"name":"Train ID","value":"136-29"},{"id":16,"name":"Locomotive ID","value":"4039"},{"id":130,"name":"Impact","value":""},{"id":150,"name":"Time of Event (Mountain Time)","value":"09:23:40"},{"id":151,"name":"Denver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 t="shared" si="7"/>
        <v>grep -hSE -A100 "Enforcement Action" "%USERPROFILE%\AppData\Local\Temp\OnboardLogs"\RTDC4039\*4039*201609291* | grep -SE "((Enforcement Ac)|(PRM))" -</v>
      </c>
    </row>
    <row r="10" spans="1:29" s="1" customFormat="1" x14ac:dyDescent="0.25">
      <c r="A10" s="38">
        <v>42642.379224537035</v>
      </c>
      <c r="B10" s="33" t="s">
        <v>279</v>
      </c>
      <c r="C10" s="33" t="s">
        <v>421</v>
      </c>
      <c r="D10" s="33" t="s">
        <v>49</v>
      </c>
      <c r="E10" s="33" t="s">
        <v>166</v>
      </c>
      <c r="F10" s="49">
        <v>250</v>
      </c>
      <c r="G10" s="49">
        <v>790</v>
      </c>
      <c r="H10" s="49">
        <v>69311</v>
      </c>
      <c r="I10" s="49">
        <v>65572</v>
      </c>
      <c r="J10" s="33" t="s">
        <v>165</v>
      </c>
      <c r="K10" s="49">
        <v>63309</v>
      </c>
      <c r="L10" s="146" t="s">
        <v>53</v>
      </c>
      <c r="M10" s="149">
        <f t="shared" si="0"/>
        <v>1194.864</v>
      </c>
      <c r="N10" s="88" t="str">
        <f>VLOOKUP(C10,'Trips&amp;Operators'!$C$1:$E$99999,3,FALSE)</f>
        <v>MALAVE</v>
      </c>
      <c r="O10" s="170" t="s">
        <v>86</v>
      </c>
      <c r="P10" s="10" t="s">
        <v>235</v>
      </c>
      <c r="Q10" s="33"/>
      <c r="R10" s="104" t="str">
        <f>VLOOKUP(C10,'Train Runs'!$A$13:$AE$10005,31,0)</f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S10" s="107" t="str">
        <f>VLOOKUP(C10,'Train Runs'!$A$13:$AE$10005,22,0)</f>
        <v>https://search-rtdc-monitor-bjffxe2xuh6vdkpspy63sjmuny.us-east-1.es.amazonaws.com/_plugin/kibana/#/discover/Steve-Slow-Train-Analysis-(2080s-and-2083s)?_g=(refreshInterval:(display:Off,section:0,value:0),time:(from:'2016-09-29 07:37:53-0600',mode:absolute,to:'2016-09-29 10:22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10" s="109" t="str">
        <f t="shared" si="1"/>
        <v>"C:\Program Files (x86)\AstroGrep\AstroGrep.exe" /spath="%USERPROFILE%\AppData\Local\Temp\OnboardLogs" /stypes="*4045*201609291*" /stext=" 15:.+((SYSTEM_STATE.+slice.+state.+changed )|(ment ac)|(system.+state.+changed )|(\[timeout)|(PRM\|1\|D)|(kpr)|(kdp)|(\|lc)|(penalty))" /e /r /s</v>
      </c>
      <c r="U10" s="9" t="str">
        <f t="shared" si="2"/>
        <v>4045</v>
      </c>
      <c r="V10" s="38">
        <f t="shared" si="3"/>
        <v>42642.629224537035</v>
      </c>
      <c r="W10" s="52" t="str">
        <f t="shared" si="4"/>
        <v>EC</v>
      </c>
      <c r="X10" s="52" t="str">
        <f t="shared" si="5"/>
        <v>KEEP</v>
      </c>
      <c r="Y10" s="130" t="str">
        <f t="shared" si="6"/>
        <v>echo {"issue":{"subject":"Early arrival","project_id":79,"tracker_id":40,"status_id":1,"priority_id":2,"assigned_to_id":23,"start_date":"2016-09-29","description":"","custom_fields":[{"id":1,"name":"Subdivision","value":"EC"},{"id":4,"name":"Milepost","value":"6.3309"},{"id":17,"name":"Train ID","value":"134-29"},{"id":16,"name":"Locomotive ID","value":"4045"},{"id":130,"name":"Impact","value":""},{"id":150,"name":"Time of Event (Mountain Time)","value":"09:06:05"},{"id":151,"name":"Denver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 t="shared" si="7"/>
        <v>grep -hSE -A100 "Enforcement Action" "%USERPROFILE%\AppData\Local\Temp\OnboardLogs"\RTDC4045\*4045*201609291* | grep -SE "((Enforcement Ac)|(PRM))" -</v>
      </c>
    </row>
    <row r="11" spans="1:29" s="1" customFormat="1" x14ac:dyDescent="0.25">
      <c r="A11" s="38">
        <v>42642.598391203705</v>
      </c>
      <c r="B11" s="33" t="s">
        <v>313</v>
      </c>
      <c r="C11" s="33" t="s">
        <v>486</v>
      </c>
      <c r="D11" s="33" t="s">
        <v>49</v>
      </c>
      <c r="E11" s="33" t="s">
        <v>166</v>
      </c>
      <c r="F11" s="49">
        <v>0</v>
      </c>
      <c r="G11" s="49">
        <v>342</v>
      </c>
      <c r="H11" s="49">
        <v>107167</v>
      </c>
      <c r="I11" s="49">
        <v>107937</v>
      </c>
      <c r="J11" s="33" t="s">
        <v>165</v>
      </c>
      <c r="K11" s="49">
        <v>108954</v>
      </c>
      <c r="L11" s="146" t="s">
        <v>52</v>
      </c>
      <c r="M11" s="149">
        <f t="shared" si="0"/>
        <v>536.976</v>
      </c>
      <c r="N11" s="88" t="str">
        <f>VLOOKUP(C11,'Trips&amp;Operators'!$C$1:$E$99999,3,FALSE)</f>
        <v>OUN</v>
      </c>
      <c r="O11" s="170" t="s">
        <v>86</v>
      </c>
      <c r="P11" s="10" t="s">
        <v>751</v>
      </c>
      <c r="Q11" s="33"/>
      <c r="R11" s="104" t="str">
        <f>VLOOKUP(C11,'Train Runs'!$A$13:$AE$10005,31,0)</f>
        <v>aws s3 cp s3://rtdc.mdm.uploadarchive.raw/RTDC4002/ "%USERPROFILE%\AppData\Local\Temp\OnboardLogs"\RTDC4002\2016-09-29 --exclude "*" --recursive --include "*20160929*" &amp; "%USERPROFILE%\Documents\GitHub\mrs-test-scripts\Headless Mode &amp; Sideloading\WalkAndUnGZ.bat" "%USERPROFILE%\AppData\Local\Temp\OnboardLogs"\RTDC4002\2016-09-29 &amp; aws s3 cp s3://rtdc.mdm.uploadarchive.raw/RTDC4002/ "%USERPROFILE%\AppData\Local\Temp\OnboardLogs"\RTDC4002\2016-09-30 --exclude "*" --recursive --include "*20160930*" &amp; "%USERPROFILE%\Documents\GitHub\mrs-test-scripts\Headless Mode &amp; Sideloading\WalkAndUnGZ.bat" "%USERPROFILE%\AppData\Local\Temp\OnboardLogs"\RTDC4002\2016-09-30</v>
      </c>
      <c r="S11" s="107" t="str">
        <f>VLOOKUP(C11,'Train Runs'!$A$13:$AE$10005,22,0)</f>
        <v>https://search-rtdc-monitor-bjffxe2xuh6vdkpspy63sjmuny.us-east-1.es.amazonaws.com/_plugin/kibana/#/discover/Steve-Slow-Train-Analysis-(2080s-and-2083s)?_g=(refreshInterval:(display:Off,section:0,value:0),time:(from:'2016-09-29 12:58:18-0600',mode:absolute,to:'2016-09-29 15:38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4002%22')),sort:!(Time,asc))</v>
      </c>
      <c r="T11" s="109" t="str">
        <f t="shared" si="1"/>
        <v>"C:\Program Files (x86)\AstroGrep\AstroGrep.exe" /spath="%USERPROFILE%\AppData\Local\Temp\OnboardLogs" /stypes="*4002*201609292*" /stext=" 20:.+((SYSTEM_STATE.+slice.+state.+changed )|(ment ac)|(system.+state.+changed )|(\[timeout)|(PRM\|1\|D)|(kpr)|(kdp)|(\|lc)|(penalty))" /e /r /s</v>
      </c>
      <c r="U11" s="9" t="str">
        <f t="shared" si="2"/>
        <v>4002</v>
      </c>
      <c r="V11" s="38">
        <f t="shared" si="3"/>
        <v>42642.848391203705</v>
      </c>
      <c r="W11" s="52" t="str">
        <f t="shared" si="4"/>
        <v>EC</v>
      </c>
      <c r="X11" s="52" t="str">
        <f t="shared" si="5"/>
        <v>KEEP</v>
      </c>
      <c r="Y11" s="130" t="str">
        <f t="shared" si="6"/>
        <v>echo {"issue":{"subject":"Form C","project_id":79,"tracker_id":40,"status_id":1,"priority_id":2,"assigned_to_id":23,"start_date":"2016-09-29","description":"","custom_fields":[{"id":1,"name":"Subdivision","value":"EC"},{"id":4,"name":"Milepost","value":"10.8954"},{"id":17,"name":"Train ID","value":"183-29"},{"id":16,"name":"Locomotive ID","value":"4002"},{"id":130,"name":"Impact","value":""},{"id":150,"name":"Time of Event (Mountain Time)","value":"14:21:41"},{"id":151,"name":"Denver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 t="shared" si="7"/>
        <v>grep -hSE -A100 "Enforcement Action" "%USERPROFILE%\AppData\Local\Temp\OnboardLogs"\RTDC4002\*4002*201609292* | grep -SE "((Enforcement Ac)|(PRM))" -</v>
      </c>
    </row>
    <row r="12" spans="1:29" s="1" customFormat="1" x14ac:dyDescent="0.25">
      <c r="A12" s="38">
        <v>42642.49015046296</v>
      </c>
      <c r="B12" s="33" t="s">
        <v>311</v>
      </c>
      <c r="C12" s="33" t="s">
        <v>451</v>
      </c>
      <c r="D12" s="33" t="s">
        <v>49</v>
      </c>
      <c r="E12" s="33" t="s">
        <v>166</v>
      </c>
      <c r="F12" s="49">
        <v>0</v>
      </c>
      <c r="G12" s="49">
        <v>228</v>
      </c>
      <c r="H12" s="49">
        <v>110198</v>
      </c>
      <c r="I12" s="49">
        <v>109629</v>
      </c>
      <c r="J12" s="33" t="s">
        <v>165</v>
      </c>
      <c r="K12" s="49">
        <v>109135</v>
      </c>
      <c r="L12" s="146" t="s">
        <v>53</v>
      </c>
      <c r="M12" s="149">
        <f t="shared" si="0"/>
        <v>260.83199999999999</v>
      </c>
      <c r="N12" s="88" t="str">
        <f>VLOOKUP(C12,'Trips&amp;Operators'!$C$1:$E$99999,3,FALSE)</f>
        <v>YORK</v>
      </c>
      <c r="O12" s="170" t="s">
        <v>86</v>
      </c>
      <c r="P12" s="10" t="s">
        <v>751</v>
      </c>
      <c r="Q12" s="33"/>
      <c r="R12" s="104" t="str">
        <f>VLOOKUP(C12,'Train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12" s="107" t="str">
        <f>VLOOKUP(C12,'Train Runs'!$A$13:$AE$10005,22,0)</f>
        <v>https://search-rtdc-monitor-bjffxe2xuh6vdkpspy63sjmuny.us-east-1.es.amazonaws.com/_plugin/kibana/#/discover/Steve-Slow-Train-Analysis-(2080s-and-2083s)?_g=(refreshInterval:(display:Off,section:0,value:0),time:(from:'2016-09-29 10:06:53-0600',mode:absolute,to:'2016-09-29 13:07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2" s="109" t="str">
        <f t="shared" si="1"/>
        <v>"C:\Program Files (x86)\AstroGrep\AstroGrep.exe" /spath="%USERPROFILE%\AppData\Local\Temp\OnboardLogs" /stypes="*4001*201609291*" /stext=" 17:.+((SYSTEM_STATE.+slice.+state.+changed )|(ment ac)|(system.+state.+changed )|(\[timeout)|(PRM\|1\|D)|(kpr)|(kdp)|(\|lc)|(penalty))" /e /r /s</v>
      </c>
      <c r="U12" s="9" t="str">
        <f t="shared" si="2"/>
        <v>4001</v>
      </c>
      <c r="V12" s="38">
        <f t="shared" si="3"/>
        <v>42642.74015046296</v>
      </c>
      <c r="W12" s="52" t="str">
        <f t="shared" si="4"/>
        <v>EC</v>
      </c>
      <c r="X12" s="52" t="str">
        <f t="shared" si="5"/>
        <v>KEEP</v>
      </c>
      <c r="Y12" s="130" t="str">
        <f t="shared" si="6"/>
        <v>echo {"issue":{"subject":"Form C","project_id":79,"tracker_id":40,"status_id":1,"priority_id":2,"assigned_to_id":23,"start_date":"2016-09-29","description":"","custom_fields":[{"id":1,"name":"Subdivision","value":"EC"},{"id":4,"name":"Milepost","value":"10.9135"},{"id":17,"name":"Train ID","value":"156-29"},{"id":16,"name":"Locomotive ID","value":"4001"},{"id":130,"name":"Impact","value":""},{"id":150,"name":"Time of Event (Mountain Time)","value":"11:45:49"},{"id":151,"name":"Denver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 t="shared" si="7"/>
        <v>grep -hSE -A100 "Enforcement Action" "%USERPROFILE%\AppData\Local\Temp\OnboardLogs"\RTDC4001\*4001*201609291* | grep -SE "((Enforcement Ac)|(PRM))" -</v>
      </c>
    </row>
    <row r="13" spans="1:29" s="1" customFormat="1" x14ac:dyDescent="0.25">
      <c r="A13" s="38">
        <v>42642.51321759259</v>
      </c>
      <c r="B13" s="33" t="s">
        <v>169</v>
      </c>
      <c r="C13" s="33" t="s">
        <v>461</v>
      </c>
      <c r="D13" s="33" t="s">
        <v>49</v>
      </c>
      <c r="E13" s="33" t="s">
        <v>166</v>
      </c>
      <c r="F13" s="49">
        <v>0</v>
      </c>
      <c r="G13" s="49">
        <v>46</v>
      </c>
      <c r="H13" s="49">
        <v>109213</v>
      </c>
      <c r="I13" s="49">
        <v>109187</v>
      </c>
      <c r="J13" s="33" t="s">
        <v>165</v>
      </c>
      <c r="K13" s="49">
        <v>109135</v>
      </c>
      <c r="L13" s="146" t="s">
        <v>53</v>
      </c>
      <c r="M13" s="149">
        <f t="shared" si="0"/>
        <v>27.456</v>
      </c>
      <c r="N13" s="88" t="str">
        <f>VLOOKUP(C13,'Trips&amp;Operators'!$C$1:$E$99999,3,FALSE)</f>
        <v>BONDS</v>
      </c>
      <c r="O13" s="170" t="s">
        <v>86</v>
      </c>
      <c r="P13" s="10" t="s">
        <v>751</v>
      </c>
      <c r="Q13" s="33"/>
      <c r="R13" s="104" t="str">
        <f>VLOOKUP(C13,'Train Runs'!$A$13:$AE$10005,31,0)</f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S13" s="107" t="str">
        <f>VLOOKUP(C13,'Train Runs'!$A$13:$AE$10005,22,0)</f>
        <v>https://search-rtdc-monitor-bjffxe2xuh6vdkpspy63sjmuny.us-east-1.es.amazonaws.com/_plugin/kibana/#/discover/Steve-Slow-Train-Analysis-(2080s-and-2083s)?_g=(refreshInterval:(display:Off,section:0,value:0),time:(from:'2016-09-29 10:44:55-0600',mode:absolute,to:'2016-09-29 13:40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3" s="109" t="str">
        <f t="shared" si="1"/>
        <v>"C:\Program Files (x86)\AstroGrep\AstroGrep.exe" /spath="%USERPROFILE%\AppData\Local\Temp\OnboardLogs" /stypes="*4026*201609291*" /stext=" 18:.+((SYSTEM_STATE.+slice.+state.+changed )|(ment ac)|(system.+state.+changed )|(\[timeout)|(PRM\|1\|D)|(kpr)|(kdp)|(\|lc)|(penalty))" /e /r /s</v>
      </c>
      <c r="U13" s="9" t="str">
        <f t="shared" si="2"/>
        <v>4026</v>
      </c>
      <c r="V13" s="38">
        <f t="shared" si="3"/>
        <v>42642.76321759259</v>
      </c>
      <c r="W13" s="52" t="str">
        <f t="shared" si="4"/>
        <v>EC</v>
      </c>
      <c r="X13" s="52" t="str">
        <f t="shared" si="5"/>
        <v>KEEP</v>
      </c>
      <c r="Y13" s="130" t="str">
        <f t="shared" si="6"/>
        <v>echo {"issue":{"subject":"Form C","project_id":79,"tracker_id":40,"status_id":1,"priority_id":2,"assigned_to_id":23,"start_date":"2016-09-29","description":"","custom_fields":[{"id":1,"name":"Subdivision","value":"EC"},{"id":4,"name":"Milepost","value":"10.9135"},{"id":17,"name":"Train ID","value":"160-29"},{"id":16,"name":"Locomotive ID","value":"4026"},{"id":130,"name":"Impact","value":""},{"id":150,"name":"Time of Event (Mountain Time)","value":"12:19:02"},{"id":151,"name":"Denver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 t="shared" si="7"/>
        <v>grep -hSE -A100 "Enforcement Action" "%USERPROFILE%\AppData\Local\Temp\OnboardLogs"\RTDC4026\*4026*201609291* | grep -SE "((Enforcement Ac)|(PRM))" -</v>
      </c>
    </row>
    <row r="14" spans="1:29" s="1" customFormat="1" x14ac:dyDescent="0.25">
      <c r="A14" s="38">
        <v>42642.531736111108</v>
      </c>
      <c r="B14" s="33" t="s">
        <v>314</v>
      </c>
      <c r="C14" s="33" t="s">
        <v>467</v>
      </c>
      <c r="D14" s="33" t="s">
        <v>49</v>
      </c>
      <c r="E14" s="33" t="s">
        <v>166</v>
      </c>
      <c r="F14" s="49">
        <v>0</v>
      </c>
      <c r="G14" s="49">
        <v>196</v>
      </c>
      <c r="H14" s="49">
        <v>110305</v>
      </c>
      <c r="I14" s="49">
        <v>110053</v>
      </c>
      <c r="J14" s="33" t="s">
        <v>165</v>
      </c>
      <c r="K14" s="49">
        <v>109135</v>
      </c>
      <c r="L14" s="146" t="s">
        <v>53</v>
      </c>
      <c r="M14" s="149">
        <f t="shared" si="0"/>
        <v>484.70400000000001</v>
      </c>
      <c r="N14" s="88" t="str">
        <f>VLOOKUP(C14,'Trips&amp;Operators'!$C$1:$E$99999,3,FALSE)</f>
        <v>MOSES</v>
      </c>
      <c r="O14" s="170" t="s">
        <v>86</v>
      </c>
      <c r="P14" s="10" t="s">
        <v>751</v>
      </c>
      <c r="Q14" s="33"/>
      <c r="R14" s="104" t="str">
        <f>VLOOKUP(C14,'Train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14" s="107" t="str">
        <f>VLOOKUP(C14,'Train Runs'!$A$13:$AE$10005,22,0)</f>
        <v>https://search-rtdc-monitor-bjffxe2xuh6vdkpspy63sjmuny.us-east-1.es.amazonaws.com/_plugin/kibana/#/discover/Steve-Slow-Train-Analysis-(2080s-and-2083s)?_g=(refreshInterval:(display:Off,section:0,value:0),time:(from:'2016-09-29 11:18:45-0600',mode:absolute,to:'2016-09-29 14:09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14" s="109" t="str">
        <f t="shared" si="1"/>
        <v>"C:\Program Files (x86)\AstroGrep\AstroGrep.exe" /spath="%USERPROFILE%\AppData\Local\Temp\OnboardLogs" /stypes="*4039*201609291*" /stext=" 18:.+((SYSTEM_STATE.+slice.+state.+changed )|(ment ac)|(system.+state.+changed )|(\[timeout)|(PRM\|1\|D)|(kpr)|(kdp)|(\|lc)|(penalty))" /e /r /s</v>
      </c>
      <c r="U14" s="9" t="str">
        <f t="shared" si="2"/>
        <v>4039</v>
      </c>
      <c r="V14" s="38">
        <f t="shared" si="3"/>
        <v>42642.781736111108</v>
      </c>
      <c r="W14" s="52" t="str">
        <f t="shared" si="4"/>
        <v>EC</v>
      </c>
      <c r="X14" s="52" t="str">
        <f t="shared" si="5"/>
        <v>KEEP</v>
      </c>
      <c r="Y14" s="130" t="str">
        <f t="shared" si="6"/>
        <v>echo {"issue":{"subject":"Form C","project_id":79,"tracker_id":40,"status_id":1,"priority_id":2,"assigned_to_id":23,"start_date":"2016-09-29","description":"","custom_fields":[{"id":1,"name":"Subdivision","value":"EC"},{"id":4,"name":"Milepost","value":"10.9135"},{"id":17,"name":"Train ID","value":"164-29"},{"id":16,"name":"Locomotive ID","value":"4039"},{"id":130,"name":"Impact","value":""},{"id":150,"name":"Time of Event (Mountain Time)","value":"12:45:42"},{"id":151,"name":"Denver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 t="shared" si="7"/>
        <v>grep -hSE -A100 "Enforcement Action" "%USERPROFILE%\AppData\Local\Temp\OnboardLogs"\RTDC4039\*4039*201609291* | grep -SE "((Enforcement Ac)|(PRM))" -</v>
      </c>
    </row>
    <row r="15" spans="1:29" s="1" customFormat="1" x14ac:dyDescent="0.25">
      <c r="A15" s="38">
        <v>42642.584305555552</v>
      </c>
      <c r="B15" s="33" t="s">
        <v>169</v>
      </c>
      <c r="C15" s="33" t="s">
        <v>480</v>
      </c>
      <c r="D15" s="33" t="s">
        <v>49</v>
      </c>
      <c r="E15" s="33" t="s">
        <v>166</v>
      </c>
      <c r="F15" s="49">
        <v>0</v>
      </c>
      <c r="G15" s="49">
        <v>20</v>
      </c>
      <c r="H15" s="49">
        <v>109209</v>
      </c>
      <c r="I15" s="49">
        <v>109199</v>
      </c>
      <c r="J15" s="33" t="s">
        <v>165</v>
      </c>
      <c r="K15" s="49">
        <v>109135</v>
      </c>
      <c r="L15" s="146" t="s">
        <v>53</v>
      </c>
      <c r="M15" s="149">
        <f t="shared" si="0"/>
        <v>33.792000000000002</v>
      </c>
      <c r="N15" s="88" t="str">
        <f>VLOOKUP(C15,'Trips&amp;Operators'!$C$1:$E$99999,3,FALSE)</f>
        <v>BONDS</v>
      </c>
      <c r="O15" s="170" t="s">
        <v>86</v>
      </c>
      <c r="P15" s="10" t="s">
        <v>751</v>
      </c>
      <c r="Q15" s="33"/>
      <c r="R15" s="104" t="str">
        <f>VLOOKUP(C15,'Train Runs'!$A$13:$AE$10005,31,0)</f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S15" s="107" t="str">
        <f>VLOOKUP(C15,'Train Runs'!$A$13:$AE$10005,22,0)</f>
        <v>https://search-rtdc-monitor-bjffxe2xuh6vdkpspy63sjmuny.us-east-1.es.amazonaws.com/_plugin/kibana/#/discover/Steve-Slow-Train-Analysis-(2080s-and-2083s)?_g=(refreshInterval:(display:Off,section:0,value:0),time:(from:'2016-09-29 12:36:06-0600',mode:absolute,to:'2016-09-29 15:23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15" s="109" t="str">
        <f t="shared" si="1"/>
        <v>"C:\Program Files (x86)\AstroGrep\AstroGrep.exe" /spath="%USERPROFILE%\AppData\Local\Temp\OnboardLogs" /stypes="*4026*201609292*" /stext=" 20:.+((SYSTEM_STATE.+slice.+state.+changed )|(ment ac)|(system.+state.+changed )|(\[timeout)|(PRM\|1\|D)|(kpr)|(kdp)|(\|lc)|(penalty))" /e /r /s</v>
      </c>
      <c r="U15" s="9" t="str">
        <f t="shared" si="2"/>
        <v>4026</v>
      </c>
      <c r="V15" s="38">
        <f t="shared" si="3"/>
        <v>42642.834305555552</v>
      </c>
      <c r="W15" s="52" t="str">
        <f t="shared" si="4"/>
        <v>EC</v>
      </c>
      <c r="X15" s="52" t="str">
        <f t="shared" si="5"/>
        <v>KEEP</v>
      </c>
      <c r="Y15" s="130" t="str">
        <f t="shared" si="6"/>
        <v>echo {"issue":{"subject":"Form C","project_id":79,"tracker_id":40,"status_id":1,"priority_id":2,"assigned_to_id":23,"start_date":"2016-09-29","description":"","custom_fields":[{"id":1,"name":"Subdivision","value":"EC"},{"id":4,"name":"Milepost","value":"10.9135"},{"id":17,"name":"Train ID","value":"174-29"},{"id":16,"name":"Locomotive ID","value":"4026"},{"id":130,"name":"Impact","value":""},{"id":150,"name":"Time of Event (Mountain Time)","value":"14:01:24"},{"id":151,"name":"Denver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 t="shared" si="7"/>
        <v>grep -hSE -A100 "Enforcement Action" "%USERPROFILE%\AppData\Local\Temp\OnboardLogs"\RTDC4026\*4026*201609292* | grep -SE "((Enforcement Ac)|(PRM))" -</v>
      </c>
    </row>
    <row r="16" spans="1:29" s="1" customFormat="1" x14ac:dyDescent="0.25">
      <c r="A16" s="38">
        <v>42642.418599537035</v>
      </c>
      <c r="B16" s="33" t="s">
        <v>173</v>
      </c>
      <c r="C16" s="33" t="s">
        <v>429</v>
      </c>
      <c r="D16" s="33" t="s">
        <v>49</v>
      </c>
      <c r="E16" s="33" t="s">
        <v>56</v>
      </c>
      <c r="F16" s="49">
        <v>200</v>
      </c>
      <c r="G16" s="49">
        <v>256</v>
      </c>
      <c r="H16" s="49">
        <v>6065</v>
      </c>
      <c r="I16" s="49">
        <v>5574</v>
      </c>
      <c r="J16" s="33" t="s">
        <v>57</v>
      </c>
      <c r="K16" s="49">
        <v>5439</v>
      </c>
      <c r="L16" s="146" t="s">
        <v>53</v>
      </c>
      <c r="M16" s="149">
        <f t="shared" si="0"/>
        <v>71.28</v>
      </c>
      <c r="N16" s="88" t="str">
        <f>VLOOKUP(C16,'Trips&amp;Operators'!$C$1:$E$99999,3,FALSE)</f>
        <v>BEAM</v>
      </c>
      <c r="O16" s="170" t="s">
        <v>86</v>
      </c>
      <c r="P16" s="10"/>
      <c r="Q16" s="33"/>
      <c r="R16" s="104" t="str">
        <f>VLOOKUP(C16,'Train Runs'!$A$13:$AE$10005,31,0)</f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S16" s="107" t="str">
        <f>VLOOKUP(C16,'Train Runs'!$A$13:$AE$10005,22,0)</f>
        <v>https://search-rtdc-monitor-bjffxe2xuh6vdkpspy63sjmuny.us-east-1.es.amazonaws.com/_plugin/kibana/#/discover/Steve-Slow-Train-Analysis-(2080s-and-2083s)?_g=(refreshInterval:(display:Off,section:0,value:0),time:(from:'2016-09-29 08:22:00-0600',mode:absolute,to:'2016-09-29 11:05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6" s="109" t="str">
        <f t="shared" si="1"/>
        <v>"C:\Program Files (x86)\AstroGrep\AstroGrep.exe" /spath="%USERPROFILE%\AppData\Local\Temp\OnboardLogs" /stypes="*4041*201609291*" /stext=" 16:.+((SYSTEM_STATE.+slice.+state.+changed )|(ment ac)|(system.+state.+changed )|(\[timeout)|(PRM\|1\|D)|(kpr)|(kdp)|(\|lc)|(penalty))" /e /r /s</v>
      </c>
      <c r="U16" s="9" t="str">
        <f t="shared" si="2"/>
        <v>4041</v>
      </c>
      <c r="V16" s="38">
        <f t="shared" si="3"/>
        <v>42642.668599537035</v>
      </c>
      <c r="W16" s="52" t="str">
        <f t="shared" si="4"/>
        <v>EC</v>
      </c>
      <c r="X16" s="52" t="str">
        <f t="shared" si="5"/>
        <v>KEEP</v>
      </c>
      <c r="Y16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{"issue":{"subject":"","project_id":79,"tracker_id":40,"status_id":1,"priority_id":2,"assigned_to_id":23,"start_date":"2016-09-29","description":"","custom_fields":[{"id":1,"name":"Subdivision","value":"EC"},{"id":4,"name":"Milepost","value":"0.5439"},{"id":17,"name":"Train ID","value":"140-29"},{"id":16,"name":"Locomotive ID","value":"4041"},{"id":130,"name":"Impact","value":""},{"id":150,"name":"Time of Event (Mountain Time)","value":"10:02:47"},{"id":151,"name":"Denver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 t="shared" si="7"/>
        <v>grep -hSE -A100 "Enforcement Action" "%USERPROFILE%\AppData\Local\Temp\OnboardLogs"\RTDC4041\*4041*201609291* | grep -SE "((Enforcement Ac)|(PRM))" -</v>
      </c>
    </row>
    <row r="17" spans="1:29" s="1" customFormat="1" x14ac:dyDescent="0.25">
      <c r="A17" s="38">
        <v>42642.568807870368</v>
      </c>
      <c r="B17" s="33" t="s">
        <v>173</v>
      </c>
      <c r="C17" s="33" t="s">
        <v>473</v>
      </c>
      <c r="D17" s="33" t="s">
        <v>49</v>
      </c>
      <c r="E17" s="33" t="s">
        <v>56</v>
      </c>
      <c r="F17" s="49">
        <v>200</v>
      </c>
      <c r="G17" s="49">
        <v>268</v>
      </c>
      <c r="H17" s="49">
        <v>6237</v>
      </c>
      <c r="I17" s="49">
        <v>5692</v>
      </c>
      <c r="J17" s="33" t="s">
        <v>57</v>
      </c>
      <c r="K17" s="49">
        <v>5457</v>
      </c>
      <c r="L17" s="146" t="s">
        <v>53</v>
      </c>
      <c r="M17" s="149">
        <f t="shared" si="0"/>
        <v>124.08</v>
      </c>
      <c r="N17" s="88" t="str">
        <f>VLOOKUP(C17,'Trips&amp;Operators'!$C$1:$E$99999,3,FALSE)</f>
        <v>YOUNG</v>
      </c>
      <c r="O17" s="170" t="s">
        <v>86</v>
      </c>
      <c r="P17" s="10"/>
      <c r="Q17" s="33"/>
      <c r="R17" s="104" t="str">
        <f>VLOOKUP(C17,'Train Runs'!$A$13:$AE$10005,31,0)</f>
        <v>aws s3 cp s3://rtdc.mdm.uploadarchive.raw/RTDC4041/ "%USERPROFILE%\AppData\Local\Temp\OnboardLogs"\RTDC4041\2016-09-29 --exclude "*" --recursive --include "*20160929*" &amp; "%USERPROFILE%\Documents\GitHub\mrs-test-scripts\Headless Mode &amp; Sideloading\WalkAndUnGZ.bat" "%USERPROFILE%\AppData\Local\Temp\OnboardLogs"\RTDC4041\2016-09-29 &amp; aws s3 cp s3://rtdc.mdm.uploadarchive.raw/RTDC4041/ "%USERPROFILE%\AppData\Local\Temp\OnboardLogs"\RTDC4041\2016-09-30 --exclude "*" --recursive --include "*20160930*" &amp; "%USERPROFILE%\Documents\GitHub\mrs-test-scripts\Headless Mode &amp; Sideloading\WalkAndUnGZ.bat" "%USERPROFILE%\AppData\Local\Temp\OnboardLogs"\RTDC4041\2016-09-30</v>
      </c>
      <c r="S17" s="107" t="str">
        <f>VLOOKUP(C17,'Train Runs'!$A$13:$AE$10005,22,0)</f>
        <v>https://search-rtdc-monitor-bjffxe2xuh6vdkpspy63sjmuny.us-east-1.es.amazonaws.com/_plugin/kibana/#/discover/Steve-Slow-Train-Analysis-(2080s-and-2083s)?_g=(refreshInterval:(display:Off,section:0,value:0),time:(from:'2016-09-29 11:49:58-0600',mode:absolute,to:'2016-09-29 14:42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4041%22')),sort:!(Time,asc))</v>
      </c>
      <c r="T17" s="109" t="str">
        <f t="shared" si="1"/>
        <v>"C:\Program Files (x86)\AstroGrep\AstroGrep.exe" /spath="%USERPROFILE%\AppData\Local\Temp\OnboardLogs" /stypes="*4041*201609291*" /stext=" 19:.+((SYSTEM_STATE.+slice.+state.+changed )|(ment ac)|(system.+state.+changed )|(\[timeout)|(PRM\|1\|D)|(kpr)|(kdp)|(\|lc)|(penalty))" /e /r /s</v>
      </c>
      <c r="U17" s="9" t="str">
        <f t="shared" si="2"/>
        <v>4041</v>
      </c>
      <c r="V17" s="38">
        <f t="shared" si="3"/>
        <v>42642.818807870368</v>
      </c>
      <c r="W17" s="52" t="str">
        <f t="shared" si="4"/>
        <v>EC</v>
      </c>
      <c r="X17" s="52" t="str">
        <f t="shared" si="5"/>
        <v>KEEP</v>
      </c>
      <c r="Y17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{"issue":{"subject":"","project_id":79,"tracker_id":40,"status_id":1,"priority_id":2,"assigned_to_id":23,"start_date":"2016-09-29","description":"","custom_fields":[{"id":1,"name":"Subdivision","value":"EC"},{"id":4,"name":"Milepost","value":"0.5457"},{"id":17,"name":"Train ID","value":"168-29"},{"id":16,"name":"Locomotive ID","value":"4041"},{"id":130,"name":"Impact","value":""},{"id":150,"name":"Time of Event (Mountain Time)","value":"13:39:05"},{"id":151,"name":"Denver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 t="shared" si="7"/>
        <v>grep -hSE -A100 "Enforcement Action" "%USERPROFILE%\AppData\Local\Temp\OnboardLogs"\RTDC4041\*4041*201609291* | grep -SE "((Enforcement Ac)|(PRM))" -</v>
      </c>
    </row>
    <row r="18" spans="1:29" s="1" customFormat="1" x14ac:dyDescent="0.25">
      <c r="A18" s="38">
        <v>42642.355462962965</v>
      </c>
      <c r="B18" s="33" t="s">
        <v>311</v>
      </c>
      <c r="C18" s="33" t="s">
        <v>411</v>
      </c>
      <c r="D18" s="33" t="s">
        <v>49</v>
      </c>
      <c r="E18" s="33" t="s">
        <v>56</v>
      </c>
      <c r="F18" s="49">
        <v>450</v>
      </c>
      <c r="G18" s="49">
        <v>502</v>
      </c>
      <c r="H18" s="49">
        <v>17157</v>
      </c>
      <c r="I18" s="49">
        <v>13867</v>
      </c>
      <c r="J18" s="33" t="s">
        <v>57</v>
      </c>
      <c r="K18" s="49">
        <v>15167</v>
      </c>
      <c r="L18" s="146" t="s">
        <v>53</v>
      </c>
      <c r="M18" s="149">
        <f t="shared" si="0"/>
        <v>-686.4</v>
      </c>
      <c r="N18" s="88" t="str">
        <f>VLOOKUP(C18,'Trips&amp;Operators'!$C$1:$E$99999,3,FALSE)</f>
        <v>MAELZER</v>
      </c>
      <c r="O18" s="170" t="s">
        <v>86</v>
      </c>
      <c r="P18" s="10"/>
      <c r="Q18" s="33"/>
      <c r="R18" s="104" t="str">
        <f>VLOOKUP(C18,'Train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18" s="107" t="str">
        <f>VLOOKUP(C18,'Train Runs'!$A$13:$AE$10005,22,0)</f>
        <v>https://search-rtdc-monitor-bjffxe2xuh6vdkpspy63sjmuny.us-east-1.es.amazonaws.com/_plugin/kibana/#/discover/Steve-Slow-Train-Analysis-(2080s-and-2083s)?_g=(refreshInterval:(display:Off,section:0,value:0),time:(from:'2016-09-29 06:48:08-0600',mode:absolute,to:'2016-09-29 09:36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18" s="109" t="str">
        <f t="shared" si="1"/>
        <v>"C:\Program Files (x86)\AstroGrep\AstroGrep.exe" /spath="%USERPROFILE%\AppData\Local\Temp\OnboardLogs" /stypes="*4001*201609291*" /stext=" 14:.+((SYSTEM_STATE.+slice.+state.+changed )|(ment ac)|(system.+state.+changed )|(\[timeout)|(PRM\|1\|D)|(kpr)|(kdp)|(\|lc)|(penalty))" /e /r /s</v>
      </c>
      <c r="U18" s="9" t="str">
        <f t="shared" si="2"/>
        <v>4001</v>
      </c>
      <c r="V18" s="38">
        <f t="shared" si="3"/>
        <v>42642.605462962965</v>
      </c>
      <c r="W18" s="52" t="str">
        <f t="shared" si="4"/>
        <v>EC</v>
      </c>
      <c r="X18" s="52" t="str">
        <f t="shared" si="5"/>
        <v>KEEP</v>
      </c>
      <c r="Y18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{"issue":{"subject":"","project_id":79,"tracker_id":40,"status_id":1,"priority_id":2,"assigned_to_id":23,"start_date":"2016-09-29","description":"","custom_fields":[{"id":1,"name":"Subdivision","value":"EC"},{"id":4,"name":"Milepost","value":"1.5167"},{"id":17,"name":"Train ID","value":"128-29"},{"id":16,"name":"Locomotive ID","value":"4001"},{"id":130,"name":"Impact","value":""},{"id":150,"name":"Time of Event (Mountain Time)","value":"08:31:52"},{"id":151,"name":"Denver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 t="shared" si="7"/>
        <v>grep -hSE -A100 "Enforcement Action" "%USERPROFILE%\AppData\Local\Temp\OnboardLogs"\RTDC4001\*4001*201609291* | grep -SE "((Enforcement Ac)|(PRM))" -</v>
      </c>
    </row>
    <row r="19" spans="1:29" s="1" customFormat="1" x14ac:dyDescent="0.25">
      <c r="A19" s="38">
        <v>42642.776585648149</v>
      </c>
      <c r="B19" s="33" t="s">
        <v>309</v>
      </c>
      <c r="C19" s="33" t="s">
        <v>547</v>
      </c>
      <c r="D19" s="33" t="s">
        <v>105</v>
      </c>
      <c r="E19" s="33" t="s">
        <v>56</v>
      </c>
      <c r="F19" s="49">
        <v>300</v>
      </c>
      <c r="G19" s="49">
        <v>355</v>
      </c>
      <c r="H19" s="49">
        <v>20446</v>
      </c>
      <c r="I19" s="49">
        <v>21458</v>
      </c>
      <c r="J19" s="33" t="s">
        <v>57</v>
      </c>
      <c r="K19" s="49">
        <v>20338</v>
      </c>
      <c r="L19" s="146" t="s">
        <v>52</v>
      </c>
      <c r="M19" s="149">
        <f t="shared" si="0"/>
        <v>-591.36</v>
      </c>
      <c r="N19" s="88" t="str">
        <f>VLOOKUP(C19,'Trips&amp;Operators'!$C$1:$E$99999,3,FALSE)</f>
        <v>STURGEON</v>
      </c>
      <c r="O19" s="170" t="s">
        <v>86</v>
      </c>
      <c r="P19" s="10"/>
      <c r="Q19" s="33"/>
      <c r="R19" s="104" t="str">
        <f>VLOOKUP(C19,'Train Runs'!$A$13:$AE$10005,31,0)</f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S19" s="107" t="str">
        <f>VLOOKUP(C19,'Train Runs'!$A$13:$AE$10005,22,0)</f>
        <v>https://search-rtdc-monitor-bjffxe2xuh6vdkpspy63sjmuny.us-east-1.es.amazonaws.com/_plugin/kibana/#/discover/Steve-Slow-Train-Analysis-(2080s-and-2083s)?_g=(refreshInterval:(display:Off,section:0,value:0),time:(from:'2016-09-29 17:29:55-0600',mode:absolute,to:'2016-09-29 20:10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19" s="109" t="str">
        <f t="shared" si="1"/>
        <v>"C:\Program Files (x86)\AstroGrep\AstroGrep.exe" /spath="%USERPROFILE%\AppData\Local\Temp\OnboardLogs" /stypes="*4040*201609300*" /stext=" 00:.+((SYSTEM_STATE.+slice.+state.+changed )|(ment ac)|(system.+state.+changed )|(\[timeout)|(PRM\|1\|D)|(kpr)|(kdp)|(\|lc)|(penalty))" /e /r /s</v>
      </c>
      <c r="U19" s="9" t="str">
        <f t="shared" si="2"/>
        <v>4040</v>
      </c>
      <c r="V19" s="38">
        <f t="shared" si="3"/>
        <v>42643.026585648149</v>
      </c>
      <c r="W19" s="52" t="str">
        <f t="shared" si="4"/>
        <v>EC</v>
      </c>
      <c r="X19" s="52" t="str">
        <f t="shared" si="5"/>
        <v>KEEP</v>
      </c>
      <c r="Y19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{"issue":{"subject":"","project_id":79,"tracker_id":40,"status_id":1,"priority_id":2,"assigned_to_id":23,"start_date":"2016-09-29","description":"","custom_fields":[{"id":1,"name":"Subdivision","value":"EC"},{"id":4,"name":"Milepost","value":"2.0338"},{"id":17,"name":"Train ID","value":"219-29"},{"id":16,"name":"Locomotive ID","value":"4040"},{"id":130,"name":"Impact","value":""},{"id":150,"name":"Time of Event (Mountain Time)","value":"18:38:17"},{"id":151,"name":"Denver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 t="shared" si="7"/>
        <v>grep -hSE -A100 "Enforcement Action" "%USERPROFILE%\AppData\Local\Temp\OnboardLogs"\RTDC4040\*4040*201609300* | grep -SE "((Enforcement Ac)|(PRM))" -</v>
      </c>
    </row>
    <row r="20" spans="1:29" x14ac:dyDescent="0.25">
      <c r="A20" s="38">
        <v>42642.250462962962</v>
      </c>
      <c r="B20" s="33" t="s">
        <v>314</v>
      </c>
      <c r="C20" s="33" t="s">
        <v>379</v>
      </c>
      <c r="D20" s="33" t="s">
        <v>49</v>
      </c>
      <c r="E20" s="33" t="s">
        <v>56</v>
      </c>
      <c r="F20" s="49">
        <v>300</v>
      </c>
      <c r="G20" s="49">
        <v>351</v>
      </c>
      <c r="H20" s="49">
        <v>22833</v>
      </c>
      <c r="I20" s="49">
        <v>21803</v>
      </c>
      <c r="J20" s="33" t="s">
        <v>57</v>
      </c>
      <c r="K20" s="49">
        <v>21848</v>
      </c>
      <c r="L20" s="146" t="s">
        <v>53</v>
      </c>
      <c r="M20" s="149">
        <f t="shared" si="0"/>
        <v>-23.76</v>
      </c>
      <c r="N20" s="88" t="str">
        <f>VLOOKUP(C20,'Trips&amp;Operators'!$C$1:$E$99999,3,FALSE)</f>
        <v>STRICKLAND</v>
      </c>
      <c r="O20" s="170" t="s">
        <v>86</v>
      </c>
      <c r="P20" s="10"/>
      <c r="Q20" s="33"/>
      <c r="R20" s="104" t="str">
        <f>VLOOKUP(C20,'Train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20" s="107" t="str">
        <f>VLOOKUP(C20,'Train Runs'!$A$13:$AE$10005,22,0)</f>
        <v>https://search-rtdc-monitor-bjffxe2xuh6vdkpspy63sjmuny.us-east-1.es.amazonaws.com/_plugin/kibana/#/discover/Steve-Slow-Train-Analysis-(2080s-and-2083s)?_g=(refreshInterval:(display:Off,section:0,value:0),time:(from:'2016-09-29 04:22:40-0600',mode:absolute,to:'2016-09-29 07:09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0" s="109" t="str">
        <f t="shared" si="1"/>
        <v>"C:\Program Files (x86)\AstroGrep\AstroGrep.exe" /spath="%USERPROFILE%\AppData\Local\Temp\OnboardLogs" /stypes="*4039*201609291*" /stext=" 12:.+((SYSTEM_STATE.+slice.+state.+changed )|(ment ac)|(system.+state.+changed )|(\[timeout)|(PRM\|1\|D)|(kpr)|(kdp)|(\|lc)|(penalty))" /e /r /s</v>
      </c>
      <c r="U20" s="9" t="str">
        <f t="shared" si="2"/>
        <v>4039</v>
      </c>
      <c r="V20" s="38">
        <f t="shared" si="3"/>
        <v>42642.500462962962</v>
      </c>
      <c r="W20" s="52" t="str">
        <f t="shared" si="4"/>
        <v>EC</v>
      </c>
      <c r="X20" s="52" t="str">
        <f t="shared" si="5"/>
        <v>KEEP</v>
      </c>
      <c r="Y20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{"issue":{"subject":"","project_id":79,"tracker_id":40,"status_id":1,"priority_id":2,"assigned_to_id":23,"start_date":"2016-09-29","description":"","custom_fields":[{"id":1,"name":"Subdivision","value":"EC"},{"id":4,"name":"Milepost","value":"2.1848"},{"id":17,"name":"Train ID","value":"108-29"},{"id":16,"name":"Locomotive ID","value":"4039"},{"id":130,"name":"Impact","value":""},{"id":150,"name":"Time of Event (Mountain Time)","value":"06:00:40"},{"id":151,"name":"Denver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 t="shared" si="7"/>
        <v>grep -hSE -A100 "Enforcement Action" "%USERPROFILE%\AppData\Local\Temp\OnboardLogs"\RTDC4039\*4039*201609291* | grep -SE "((Enforcement Ac)|(PRM))" -</v>
      </c>
    </row>
    <row r="21" spans="1:29" s="1" customFormat="1" x14ac:dyDescent="0.25">
      <c r="A21" s="38">
        <v>42642.266018518516</v>
      </c>
      <c r="B21" s="33" t="s">
        <v>309</v>
      </c>
      <c r="C21" s="33" t="s">
        <v>393</v>
      </c>
      <c r="D21" s="33" t="s">
        <v>105</v>
      </c>
      <c r="E21" s="33" t="s">
        <v>56</v>
      </c>
      <c r="F21" s="49">
        <v>200</v>
      </c>
      <c r="G21" s="49">
        <v>250</v>
      </c>
      <c r="H21" s="49">
        <v>28699</v>
      </c>
      <c r="I21" s="49">
        <v>29423</v>
      </c>
      <c r="J21" s="33" t="s">
        <v>57</v>
      </c>
      <c r="K21" s="49">
        <v>27333</v>
      </c>
      <c r="L21" s="146" t="s">
        <v>52</v>
      </c>
      <c r="M21" s="149">
        <f t="shared" si="0"/>
        <v>-1103.52</v>
      </c>
      <c r="N21" s="88" t="str">
        <f>VLOOKUP(C21,'Trips&amp;Operators'!$C$1:$E$99999,3,FALSE)</f>
        <v>STRICKLAND</v>
      </c>
      <c r="O21" s="170" t="s">
        <v>86</v>
      </c>
      <c r="P21" s="10"/>
      <c r="Q21" s="33"/>
      <c r="R21" s="104" t="str">
        <f>VLOOKUP(C21,'Train Runs'!$A$13:$AE$10005,31,0)</f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S21" s="107" t="str">
        <f>VLOOKUP(C21,'Train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05:10:23-0600',mode:absolute,to:'2016-09-29 07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1" s="109" t="str">
        <f t="shared" si="1"/>
        <v>"C:\Program Files (x86)\AstroGrep\AstroGrep.exe" /spath="%USERPROFILE%\AppData\Local\Temp\OnboardLogs" /stypes="*4040*201609291*" /stext=" 12:.+((SYSTEM_STATE.+slice.+state.+changed )|(ment ac)|(system.+state.+changed )|(\[timeout)|(PRM\|1\|D)|(kpr)|(kdp)|(\|lc)|(penalty))" /e /r /s</v>
      </c>
      <c r="U21" s="9" t="str">
        <f t="shared" si="2"/>
        <v>4040</v>
      </c>
      <c r="V21" s="38">
        <f t="shared" si="3"/>
        <v>42642.516018518516</v>
      </c>
      <c r="W21" s="52" t="str">
        <f t="shared" si="4"/>
        <v>EC</v>
      </c>
      <c r="X21" s="52" t="str">
        <f t="shared" si="5"/>
        <v>KEEP</v>
      </c>
      <c r="Y21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{"issue":{"subject":"","project_id":79,"tracker_id":40,"status_id":1,"priority_id":2,"assigned_to_id":23,"start_date":"2016-09-29","description":"","custom_fields":[{"id":1,"name":"Subdivision","value":"EC"},{"id":4,"name":"Milepost","value":"2.7333"},{"id":17,"name":"Train ID","value":"121-29"},{"id":16,"name":"Locomotive ID","value":"4040"},{"id":130,"name":"Impact","value":""},{"id":150,"name":"Time of Event (Mountain Time)","value":"06:23:04"},{"id":151,"name":"Denver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 t="shared" si="7"/>
        <v>grep -hSE -A100 "Enforcement Action" "%USERPROFILE%\AppData\Local\Temp\OnboardLogs"\RTDC4040\*4040*201609291* | grep -SE "((Enforcement Ac)|(PRM))" -</v>
      </c>
    </row>
    <row r="22" spans="1:29" x14ac:dyDescent="0.25">
      <c r="A22" s="38">
        <v>42642.37909722222</v>
      </c>
      <c r="B22" s="33" t="s">
        <v>314</v>
      </c>
      <c r="C22" s="33" t="s">
        <v>424</v>
      </c>
      <c r="D22" s="33" t="s">
        <v>105</v>
      </c>
      <c r="E22" s="33" t="s">
        <v>56</v>
      </c>
      <c r="F22" s="49">
        <v>700</v>
      </c>
      <c r="G22" s="49">
        <v>750</v>
      </c>
      <c r="H22" s="49">
        <v>163701</v>
      </c>
      <c r="I22" s="49">
        <v>159782</v>
      </c>
      <c r="J22" s="33" t="s">
        <v>57</v>
      </c>
      <c r="K22" s="49">
        <v>183829</v>
      </c>
      <c r="L22" s="146" t="s">
        <v>53</v>
      </c>
      <c r="M22" s="149">
        <f t="shared" si="0"/>
        <v>-12696.816000000001</v>
      </c>
      <c r="N22" s="88" t="str">
        <f>VLOOKUP(C22,'Trips&amp;Operators'!$C$1:$E$99999,3,FALSE)</f>
        <v>STRICKLAND</v>
      </c>
      <c r="O22" s="170" t="s">
        <v>86</v>
      </c>
      <c r="P22" s="10"/>
      <c r="Q22" s="33"/>
      <c r="R22" s="104" t="str">
        <f>VLOOKUP(C22,'Train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22" s="107" t="str">
        <f>VLOOKUP(C22,'Train Runs'!$A$13:$AE$10005,22,0)</f>
        <v>https://search-rtdc-monitor-bjffxe2xuh6vdkpspy63sjmuny.us-east-1.es.amazonaws.com/_plugin/kibana/#/discover/Steve-Slow-Train-Analysis-(2080s-and-2083s)?_g=(refreshInterval:(display:Off,section:0,value:0),time:(from:'2016-09-29 07:51:35-0600',mode:absolute,to:'2016-09-29 10:37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2" s="109" t="str">
        <f t="shared" si="1"/>
        <v>"C:\Program Files (x86)\AstroGrep\AstroGrep.exe" /spath="%USERPROFILE%\AppData\Local\Temp\OnboardLogs" /stypes="*4039*201609291*" /stext=" 15:.+((SYSTEM_STATE.+slice.+state.+changed )|(ment ac)|(system.+state.+changed )|(\[timeout)|(PRM\|1\|D)|(kpr)|(kdp)|(\|lc)|(penalty))" /e /r /s</v>
      </c>
      <c r="U22" s="9" t="str">
        <f t="shared" si="2"/>
        <v>4039</v>
      </c>
      <c r="V22" s="38">
        <f t="shared" si="3"/>
        <v>42642.62909722222</v>
      </c>
      <c r="W22" s="52" t="str">
        <f t="shared" si="4"/>
        <v>EC</v>
      </c>
      <c r="X22" s="52" t="str">
        <f t="shared" si="5"/>
        <v>KEEP</v>
      </c>
      <c r="Y22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{"issue":{"subject":"","project_id":79,"tracker_id":40,"status_id":1,"priority_id":2,"assigned_to_id":23,"start_date":"2016-09-29","description":"","custom_fields":[{"id":1,"name":"Subdivision","value":"EC"},{"id":4,"name":"Milepost","value":"18.3829"},{"id":17,"name":"Train ID","value":"136-29"},{"id":16,"name":"Locomotive ID","value":"4039"},{"id":130,"name":"Impact","value":""},{"id":150,"name":"Time of Event (Mountain Time)","value":"09:05:54"},{"id":151,"name":"Denver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 t="shared" si="7"/>
        <v>grep -hSE -A100 "Enforcement Action" "%USERPROFILE%\AppData\Local\Temp\OnboardLogs"\RTDC4039\*4039*201609291* | grep -SE "((Enforcement Ac)|(PRM))" -</v>
      </c>
    </row>
    <row r="23" spans="1:29" x14ac:dyDescent="0.25">
      <c r="A23" s="38">
        <v>42642.535960648151</v>
      </c>
      <c r="B23" s="33" t="s">
        <v>161</v>
      </c>
      <c r="C23" s="33" t="s">
        <v>468</v>
      </c>
      <c r="D23" s="33" t="s">
        <v>105</v>
      </c>
      <c r="E23" s="33" t="s">
        <v>56</v>
      </c>
      <c r="F23" s="49">
        <v>600</v>
      </c>
      <c r="G23" s="49">
        <v>650</v>
      </c>
      <c r="H23" s="49">
        <v>184565</v>
      </c>
      <c r="I23" s="49">
        <v>181175</v>
      </c>
      <c r="J23" s="33" t="s">
        <v>57</v>
      </c>
      <c r="K23" s="49">
        <v>190834</v>
      </c>
      <c r="L23" s="146" t="s">
        <v>53</v>
      </c>
      <c r="M23" s="149">
        <f t="shared" si="0"/>
        <v>-5099.9520000000002</v>
      </c>
      <c r="N23" s="88" t="str">
        <f>VLOOKUP(C23,'Trips&amp;Operators'!$C$1:$E$99999,3,FALSE)</f>
        <v>NEWELL</v>
      </c>
      <c r="O23" s="170" t="s">
        <v>86</v>
      </c>
      <c r="P23" s="10"/>
      <c r="Q23" s="33"/>
      <c r="R23" s="104" t="str">
        <f>VLOOKUP(C23,'Train Runs'!$A$13:$AE$10005,31,0)</f>
        <v>aws s3 cp s3://rtdc.mdm.uploadarchive.raw/RTDC4019/ "%USERPROFILE%\AppData\Local\Temp\OnboardLogs"\RTDC4019\2016-09-29 --exclude "*" --recursive --include "*20160929*" &amp; "%USERPROFILE%\Documents\GitHub\mrs-test-scripts\Headless Mode &amp; Sideloading\WalkAndUnGZ.bat" "%USERPROFILE%\AppData\Local\Temp\OnboardLogs"\RTDC4019\2016-09-29 &amp; aws s3 cp s3://rtdc.mdm.uploadarchive.raw/RTDC4019/ "%USERPROFILE%\AppData\Local\Temp\OnboardLogs"\RTDC4019\2016-09-30 --exclude "*" --recursive --include "*20160930*" &amp; "%USERPROFILE%\Documents\GitHub\mrs-test-scripts\Headless Mode &amp; Sideloading\WalkAndUnGZ.bat" "%USERPROFILE%\AppData\Local\Temp\OnboardLogs"\RTDC4019\2016-09-30</v>
      </c>
      <c r="S23" s="107" t="str">
        <f>VLOOKUP(C23,'Train Runs'!$A$13:$AE$10005,22,0)</f>
        <v>https://search-rtdc-monitor-bjffxe2xuh6vdkpspy63sjmuny.us-east-1.es.amazonaws.com/_plugin/kibana/#/discover/Steve-Slow-Train-Analysis-(2080s-and-2083s)?_g=(refreshInterval:(display:Off,section:0,value:0),time:(from:'2016-09-29 11:30:27-0600',mode:absolute,to:'2016-09-29 14:28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4019%22')),sort:!(Time,asc))</v>
      </c>
      <c r="T23" s="109" t="str">
        <f t="shared" si="1"/>
        <v>"C:\Program Files (x86)\AstroGrep\AstroGrep.exe" /spath="%USERPROFILE%\AppData\Local\Temp\OnboardLogs" /stypes="*4019*201609291*" /stext=" 18:.+((SYSTEM_STATE.+slice.+state.+changed )|(ment ac)|(system.+state.+changed )|(\[timeout)|(PRM\|1\|D)|(kpr)|(kdp)|(\|lc)|(penalty))" /e /r /s</v>
      </c>
      <c r="U23" s="9" t="str">
        <f t="shared" si="2"/>
        <v>4019</v>
      </c>
      <c r="V23" s="38">
        <f t="shared" si="3"/>
        <v>42642.785960648151</v>
      </c>
      <c r="W23" s="52" t="str">
        <f t="shared" si="4"/>
        <v>EC</v>
      </c>
      <c r="X23" s="52" t="str">
        <f t="shared" si="5"/>
        <v>KEEP</v>
      </c>
      <c r="Y23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{"issue":{"subject":"","project_id":79,"tracker_id":40,"status_id":1,"priority_id":2,"assigned_to_id":23,"start_date":"2016-09-29","description":"","custom_fields":[{"id":1,"name":"Subdivision","value":"EC"},{"id":4,"name":"Milepost","value":"19.0834"},{"id":17,"name":"Train ID","value":"166-29"},{"id":16,"name":"Locomotive ID","value":"4019"},{"id":130,"name":"Impact","value":""},{"id":150,"name":"Time of Event (Mountain Time)","value":"12:51:47"},{"id":151,"name":"Denver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 t="shared" si="7"/>
        <v>grep -hSE -A100 "Enforcement Action" "%USERPROFILE%\AppData\Local\Temp\OnboardLogs"\RTDC4019\*4019*201609291* | grep -SE "((Enforcement Ac)|(PRM))" -</v>
      </c>
    </row>
    <row r="24" spans="1:29" x14ac:dyDescent="0.25">
      <c r="A24" s="38">
        <v>42642.600023148145</v>
      </c>
      <c r="B24" s="33" t="s">
        <v>314</v>
      </c>
      <c r="C24" s="33" t="s">
        <v>487</v>
      </c>
      <c r="D24" s="33" t="s">
        <v>105</v>
      </c>
      <c r="E24" s="33" t="s">
        <v>56</v>
      </c>
      <c r="F24" s="49">
        <v>600</v>
      </c>
      <c r="G24" s="49">
        <v>653</v>
      </c>
      <c r="H24" s="49">
        <v>184339</v>
      </c>
      <c r="I24" s="49">
        <v>181401</v>
      </c>
      <c r="J24" s="33" t="s">
        <v>57</v>
      </c>
      <c r="K24" s="49">
        <v>190834</v>
      </c>
      <c r="L24" s="146" t="s">
        <v>53</v>
      </c>
      <c r="M24" s="149">
        <f t="shared" si="0"/>
        <v>-4980.6239999999998</v>
      </c>
      <c r="N24" s="88" t="str">
        <f>VLOOKUP(C24,'Trips&amp;Operators'!$C$1:$E$99999,3,FALSE)</f>
        <v>MOSES</v>
      </c>
      <c r="O24" s="170" t="s">
        <v>86</v>
      </c>
      <c r="P24" s="10"/>
      <c r="Q24" s="33"/>
      <c r="R24" s="104" t="str">
        <f>VLOOKUP(C24,'Train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24" s="107" t="str">
        <f>VLOOKUP(C24,'Train Runs'!$A$13:$AE$10005,22,0)</f>
        <v>https://search-rtdc-monitor-bjffxe2xuh6vdkpspy63sjmuny.us-east-1.es.amazonaws.com/_plugin/kibana/#/discover/Steve-Slow-Train-Analysis-(2080s-and-2083s)?_g=(refreshInterval:(display:Off,section:0,value:0),time:(from:'2016-09-29 13:06:12-0600',mode:absolute,to:'2016-09-29 16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24" s="109" t="str">
        <f t="shared" si="1"/>
        <v>"C:\Program Files (x86)\AstroGrep\AstroGrep.exe" /spath="%USERPROFILE%\AppData\Local\Temp\OnboardLogs" /stypes="*4039*201609292*" /stext=" 20:.+((SYSTEM_STATE.+slice.+state.+changed )|(ment ac)|(system.+state.+changed )|(\[timeout)|(PRM\|1\|D)|(kpr)|(kdp)|(\|lc)|(penalty))" /e /r /s</v>
      </c>
      <c r="U24" s="9" t="str">
        <f t="shared" si="2"/>
        <v>4039</v>
      </c>
      <c r="V24" s="38">
        <f t="shared" si="3"/>
        <v>42642.850023148145</v>
      </c>
      <c r="W24" s="52" t="str">
        <f t="shared" si="4"/>
        <v>EC</v>
      </c>
      <c r="X24" s="52" t="str">
        <f t="shared" si="5"/>
        <v>KEEP</v>
      </c>
      <c r="Y24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{"issue":{"subject":"","project_id":79,"tracker_id":40,"status_id":1,"priority_id":2,"assigned_to_id":23,"start_date":"2016-09-29","description":"","custom_fields":[{"id":1,"name":"Subdivision","value":"EC"},{"id":4,"name":"Milepost","value":"19.0834"},{"id":17,"name":"Train ID","value":"178-29"},{"id":16,"name":"Locomotive ID","value":"4039"},{"id":130,"name":"Impact","value":""},{"id":150,"name":"Time of Event (Mountain Time)","value":"14:24:02"},{"id":151,"name":"Denver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 t="shared" si="7"/>
        <v>grep -hSE -A100 "Enforcement Action" "%USERPROFILE%\AppData\Local\Temp\OnboardLogs"\RTDC4039\*4039*201609292* | grep -SE "((Enforcement Ac)|(PRM))" -</v>
      </c>
    </row>
    <row r="25" spans="1:29" ht="15" customHeight="1" x14ac:dyDescent="0.25">
      <c r="A25" s="38">
        <v>42642.199780092589</v>
      </c>
      <c r="B25" s="33" t="s">
        <v>177</v>
      </c>
      <c r="C25" s="33" t="s">
        <v>368</v>
      </c>
      <c r="D25" s="33" t="s">
        <v>105</v>
      </c>
      <c r="E25" s="33" t="s">
        <v>56</v>
      </c>
      <c r="F25" s="49">
        <v>750</v>
      </c>
      <c r="G25" s="49">
        <v>800</v>
      </c>
      <c r="H25" s="49">
        <v>197439</v>
      </c>
      <c r="I25" s="49">
        <v>200878</v>
      </c>
      <c r="J25" s="33" t="s">
        <v>57</v>
      </c>
      <c r="K25" s="49">
        <v>195049</v>
      </c>
      <c r="L25" s="146" t="s">
        <v>52</v>
      </c>
      <c r="M25" s="149">
        <f t="shared" si="0"/>
        <v>-3077.712</v>
      </c>
      <c r="N25" s="88" t="str">
        <f>VLOOKUP(C25,'Trips&amp;Operators'!$C$1:$E$99999,3,FALSE)</f>
        <v>MALAVE</v>
      </c>
      <c r="O25" s="170" t="s">
        <v>86</v>
      </c>
      <c r="P25" s="10"/>
      <c r="Q25" s="33"/>
      <c r="R25" s="104" t="str">
        <f>VLOOKUP(C25,'Train Runs'!$A$13:$AE$10005,31,0)</f>
        <v>aws s3 cp s3://rtdc.mdm.uploadarchive.raw/RTDC4046/ "%USERPROFILE%\AppData\Local\Temp\OnboardLogs"\RTDC4046\2016-09-29 --exclude "*" --recursive --include "*20160929*" &amp; "%USERPROFILE%\Documents\GitHub\mrs-test-scripts\Headless Mode &amp; Sideloading\WalkAndUnGZ.bat" "%USERPROFILE%\AppData\Local\Temp\OnboardLogs"\RTDC4046\2016-09-29 &amp; aws s3 cp s3://rtdc.mdm.uploadarchive.raw/RTDC4046/ "%USERPROFILE%\AppData\Local\Temp\OnboardLogs"\RTDC4046\2016-09-30 --exclude "*" --recursive --include "*20160930*" &amp; "%USERPROFILE%\Documents\GitHub\mrs-test-scripts\Headless Mode &amp; Sideloading\WalkAndUnGZ.bat" "%USERPROFILE%\AppData\Local\Temp\OnboardLogs"\RTDC4046\2016-09-30</v>
      </c>
      <c r="S25" s="107" t="str">
        <f>VLOOKUP(C25,'Train Runs'!$A$13:$AE$10005,22,0)</f>
        <v>https://search-rtdc-monitor-bjffxe2xuh6vdkpspy63sjmuny.us-east-1.es.amazonaws.com/_plugin/kibana/#/discover/Steve-Slow-Train-Analysis-(2080s-and-2083s)?_g=(refreshInterval:(display:Off,section:0,value:0),time:(from:'2016-09-29 03:13:00-0600',mode:absolute,to:'2016-09-29 05:53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4046%22')),sort:!(Time,asc))</v>
      </c>
      <c r="T25" s="109" t="str">
        <f t="shared" si="1"/>
        <v>"C:\Program Files (x86)\AstroGrep\AstroGrep.exe" /spath="%USERPROFILE%\AppData\Local\Temp\OnboardLogs" /stypes="*4046*201609291*" /stext=" 10:.+((SYSTEM_STATE.+slice.+state.+changed )|(ment ac)|(system.+state.+changed )|(\[timeout)|(PRM\|1\|D)|(kpr)|(kdp)|(\|lc)|(penalty))" /e /r /s</v>
      </c>
      <c r="U25" s="9" t="str">
        <f t="shared" si="2"/>
        <v>4046</v>
      </c>
      <c r="V25" s="38">
        <f t="shared" si="3"/>
        <v>42642.449780092589</v>
      </c>
      <c r="W25" s="52" t="str">
        <f t="shared" si="4"/>
        <v>EC</v>
      </c>
      <c r="X25" s="52" t="str">
        <f t="shared" si="5"/>
        <v>KEEP</v>
      </c>
      <c r="Y25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{"issue":{"subject":"","project_id":79,"tracker_id":40,"status_id":1,"priority_id":2,"assigned_to_id":23,"start_date":"2016-09-29","description":"","custom_fields":[{"id":1,"name":"Subdivision","value":"EC"},{"id":4,"name":"Milepost","value":"19.5049"},{"id":17,"name":"Train ID","value":"105-29"},{"id":16,"name":"Locomotive ID","value":"4046"},{"id":130,"name":"Impact","value":""},{"id":150,"name":"Time of Event (Mountain Time)","value":"04:47:41"},{"id":151,"name":"Denver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 t="shared" si="7"/>
        <v>grep -hSE -A100 "Enforcement Action" "%USERPROFILE%\AppData\Local\Temp\OnboardLogs"\RTDC4046\*4046*201609291* | grep -SE "((Enforcement Ac)|(PRM))" -</v>
      </c>
    </row>
    <row r="26" spans="1:29" x14ac:dyDescent="0.25">
      <c r="A26" s="38">
        <v>42642.269328703704</v>
      </c>
      <c r="B26" s="33" t="s">
        <v>248</v>
      </c>
      <c r="C26" s="33" t="s">
        <v>392</v>
      </c>
      <c r="D26" s="33" t="s">
        <v>49</v>
      </c>
      <c r="E26" s="33" t="s">
        <v>56</v>
      </c>
      <c r="F26" s="49">
        <v>150</v>
      </c>
      <c r="G26" s="49">
        <v>201</v>
      </c>
      <c r="H26" s="49">
        <v>229304</v>
      </c>
      <c r="I26" s="49">
        <v>228947</v>
      </c>
      <c r="J26" s="33" t="s">
        <v>57</v>
      </c>
      <c r="K26" s="49">
        <v>229055</v>
      </c>
      <c r="L26" s="146" t="s">
        <v>53</v>
      </c>
      <c r="M26" s="149">
        <f t="shared" si="0"/>
        <v>-57.024000000000001</v>
      </c>
      <c r="N26" s="88" t="str">
        <f>VLOOKUP(C26,'Trips&amp;Operators'!$C$1:$E$99999,3,FALSE)</f>
        <v>BRANNON</v>
      </c>
      <c r="O26" s="170" t="s">
        <v>86</v>
      </c>
      <c r="P26" s="10"/>
      <c r="Q26" s="33"/>
      <c r="R26" s="104" t="str">
        <f>VLOOKUP(C26,'Train Runs'!$A$13:$AE$10005,31,0)</f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S26" s="107" t="str">
        <f>VLOOKUP(C26,'Train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05:09:41-0600',mode:absolute,to:'2016-09-29 08:06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26" s="109" t="str">
        <f t="shared" si="1"/>
        <v>"C:\Program Files (x86)\AstroGrep\AstroGrep.exe" /spath="%USERPROFILE%\AppData\Local\Temp\OnboardLogs" /stypes="*4030*201609291*" /stext=" 12:.+((SYSTEM_STATE.+slice.+state.+changed )|(ment ac)|(system.+state.+changed )|(\[timeout)|(PRM\|1\|D)|(kpr)|(kdp)|(\|lc)|(penalty))" /e /r /s</v>
      </c>
      <c r="U26" s="9" t="str">
        <f t="shared" si="2"/>
        <v>4030</v>
      </c>
      <c r="V26" s="38">
        <f t="shared" si="3"/>
        <v>42642.519328703704</v>
      </c>
      <c r="W26" s="52" t="str">
        <f t="shared" si="4"/>
        <v>EC</v>
      </c>
      <c r="X26" s="52" t="str">
        <f t="shared" si="5"/>
        <v>KEEP</v>
      </c>
      <c r="Y26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{"issue":{"subject":"","project_id":79,"tracker_id":40,"status_id":1,"priority_id":2,"assigned_to_id":23,"start_date":"2016-09-29","description":"","custom_fields":[{"id":1,"name":"Subdivision","value":"EC"},{"id":4,"name":"Milepost","value":"22.9055"},{"id":17,"name":"Train ID","value":"116-29"},{"id":16,"name":"Locomotive ID","value":"4030"},{"id":130,"name":"Impact","value":""},{"id":150,"name":"Time of Event (Mountain Time)","value":"06:27:50"},{"id":151,"name":"Denver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 t="shared" si="7"/>
        <v>grep -hSE -A100 "Enforcement Action" "%USERPROFILE%\AppData\Local\Temp\OnboardLogs"\RTDC4030\*4030*201609291* | grep -SE "((Enforcement Ac)|(PRM))" -</v>
      </c>
    </row>
    <row r="27" spans="1:29" x14ac:dyDescent="0.25">
      <c r="A27" s="38">
        <v>42642.286944444444</v>
      </c>
      <c r="B27" s="33" t="s">
        <v>309</v>
      </c>
      <c r="C27" s="33" t="s">
        <v>393</v>
      </c>
      <c r="D27" s="33" t="s">
        <v>49</v>
      </c>
      <c r="E27" s="33" t="s">
        <v>56</v>
      </c>
      <c r="F27" s="49">
        <v>150</v>
      </c>
      <c r="G27" s="49">
        <v>210</v>
      </c>
      <c r="H27" s="49">
        <v>229578</v>
      </c>
      <c r="I27" s="49">
        <v>229853</v>
      </c>
      <c r="J27" s="33" t="s">
        <v>57</v>
      </c>
      <c r="K27" s="49">
        <v>230436</v>
      </c>
      <c r="L27" s="146" t="s">
        <v>52</v>
      </c>
      <c r="M27" s="149">
        <f t="shared" si="0"/>
        <v>307.82400000000001</v>
      </c>
      <c r="N27" s="88" t="str">
        <f>VLOOKUP(C27,'Trips&amp;Operators'!$C$1:$E$99999,3,FALSE)</f>
        <v>STRICKLAND</v>
      </c>
      <c r="O27" s="170" t="s">
        <v>86</v>
      </c>
      <c r="P27" s="10"/>
      <c r="Q27" s="33"/>
      <c r="R27" s="104" t="str">
        <f>VLOOKUP(C27,'Train Runs'!$A$13:$AE$10005,31,0)</f>
        <v>aws s3 cp s3://rtdc.mdm.uploadarchive.raw/RTDC4040/ "%USERPROFILE%\AppData\Local\Temp\OnboardLogs"\RTDC4040\2016-09-29 --exclude "*" --recursive --include "*20160929*" &amp; "%USERPROFILE%\Documents\GitHub\mrs-test-scripts\Headless Mode &amp; Sideloading\WalkAndUnGZ.bat" "%USERPROFILE%\AppData\Local\Temp\OnboardLogs"\RTDC4040\2016-09-29 &amp; aws s3 cp s3://rtdc.mdm.uploadarchive.raw/RTDC4040/ "%USERPROFILE%\AppData\Local\Temp\OnboardLogs"\RTDC4040\2016-09-30 --exclude "*" --recursive --include "*20160930*" &amp; "%USERPROFILE%\Documents\GitHub\mrs-test-scripts\Headless Mode &amp; Sideloading\WalkAndUnGZ.bat" "%USERPROFILE%\AppData\Local\Temp\OnboardLogs"\RTDC4040\2016-09-30</v>
      </c>
      <c r="S27" s="107" t="str">
        <f>VLOOKUP(C27,'Train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05:10:23-0600',mode:absolute,to:'2016-09-29 07:55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4040%22')),sort:!(Time,asc))</v>
      </c>
      <c r="T27" s="109" t="str">
        <f t="shared" si="1"/>
        <v>"C:\Program Files (x86)\AstroGrep\AstroGrep.exe" /spath="%USERPROFILE%\AppData\Local\Temp\OnboardLogs" /stypes="*4040*201609291*" /stext=" 12:.+((SYSTEM_STATE.+slice.+state.+changed )|(ment ac)|(system.+state.+changed )|(\[timeout)|(PRM\|1\|D)|(kpr)|(kdp)|(\|lc)|(penalty))" /e /r /s</v>
      </c>
      <c r="U27" s="9" t="str">
        <f t="shared" si="2"/>
        <v>4040</v>
      </c>
      <c r="V27" s="38">
        <f t="shared" si="3"/>
        <v>42642.536944444444</v>
      </c>
      <c r="W27" s="52" t="str">
        <f t="shared" si="4"/>
        <v>EC</v>
      </c>
      <c r="X27" s="52" t="str">
        <f t="shared" si="5"/>
        <v>KEEP</v>
      </c>
      <c r="Y27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{"issue":{"subject":"","project_id":79,"tracker_id":40,"status_id":1,"priority_id":2,"assigned_to_id":23,"start_date":"2016-09-29","description":"","custom_fields":[{"id":1,"name":"Subdivision","value":"EC"},{"id":4,"name":"Milepost","value":"23.0436"},{"id":17,"name":"Train ID","value":"121-29"},{"id":16,"name":"Locomotive ID","value":"4040"},{"id":130,"name":"Impact","value":""},{"id":150,"name":"Time of Event (Mountain Time)","value":"06:53:12"},{"id":151,"name":"Denver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 t="shared" si="7"/>
        <v>grep -hSE -A100 "Enforcement Action" "%USERPROFILE%\AppData\Local\Temp\OnboardLogs"\RTDC4040\*4040*201609291* | grep -SE "((Enforcement Ac)|(PRM))" -</v>
      </c>
    </row>
    <row r="28" spans="1:29" x14ac:dyDescent="0.25">
      <c r="A28" s="38">
        <v>42642.764456018522</v>
      </c>
      <c r="B28" s="33" t="s">
        <v>247</v>
      </c>
      <c r="C28" s="33" t="s">
        <v>537</v>
      </c>
      <c r="D28" s="33" t="s">
        <v>49</v>
      </c>
      <c r="E28" s="33" t="s">
        <v>56</v>
      </c>
      <c r="F28" s="49">
        <v>150</v>
      </c>
      <c r="G28" s="49">
        <v>343</v>
      </c>
      <c r="H28" s="49">
        <v>229119</v>
      </c>
      <c r="I28" s="49">
        <v>229863</v>
      </c>
      <c r="J28" s="33" t="s">
        <v>57</v>
      </c>
      <c r="K28" s="49">
        <v>230436</v>
      </c>
      <c r="L28" s="146" t="s">
        <v>52</v>
      </c>
      <c r="M28" s="149">
        <f t="shared" si="0"/>
        <v>302.54399999999998</v>
      </c>
      <c r="N28" s="88" t="str">
        <f>VLOOKUP(C28,'Trips&amp;Operators'!$C$1:$E$99999,3,FALSE)</f>
        <v>COOLAHAN</v>
      </c>
      <c r="O28" s="170" t="s">
        <v>86</v>
      </c>
      <c r="P28" s="10"/>
      <c r="Q28" s="33"/>
      <c r="R28" s="104" t="str">
        <f>VLOOKUP(C28,'Train Runs'!$A$13:$AE$10005,31,0)</f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S28" s="107" t="str">
        <f>VLOOKUP(C28,'Train Runs'!$A$13:$AE$10005,22,0)</f>
        <v>https://search-rtdc-monitor-bjffxe2xuh6vdkpspy63sjmuny.us-east-1.es.amazonaws.com/_plugin/kibana/#/discover/Steve-Slow-Train-Analysis-(2080s-and-2083s)?_g=(refreshInterval:(display:Off,section:0,value:0),time:(from:'2016-09-29 16:40:09-0600',mode:absolute,to:'2016-09-29 19:22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28" s="109" t="str">
        <f t="shared" si="1"/>
        <v>"C:\Program Files (x86)\AstroGrep\AstroGrep.exe" /spath="%USERPROFILE%\AppData\Local\Temp\OnboardLogs" /stypes="*4029*201609300*" /stext=" 00:.+((SYSTEM_STATE.+slice.+state.+changed )|(ment ac)|(system.+state.+changed )|(\[timeout)|(PRM\|1\|D)|(kpr)|(kdp)|(\|lc)|(penalty))" /e /r /s</v>
      </c>
      <c r="U28" s="9" t="str">
        <f t="shared" si="2"/>
        <v>4029</v>
      </c>
      <c r="V28" s="38">
        <f t="shared" si="3"/>
        <v>42643.014456018522</v>
      </c>
      <c r="W28" s="52" t="str">
        <f t="shared" si="4"/>
        <v>EC</v>
      </c>
      <c r="X28" s="52" t="str">
        <f t="shared" si="5"/>
        <v>KEEP</v>
      </c>
      <c r="Y28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{"issue":{"subject":"","project_id":79,"tracker_id":40,"status_id":1,"priority_id":2,"assigned_to_id":23,"start_date":"2016-09-29","description":"","custom_fields":[{"id":1,"name":"Subdivision","value":"EC"},{"id":4,"name":"Milepost","value":"23.0436"},{"id":17,"name":"Train ID","value":"213-29"},{"id":16,"name":"Locomotive ID","value":"4029"},{"id":130,"name":"Impact","value":""},{"id":150,"name":"Time of Event (Mountain Time)","value":"18:20:49"},{"id":151,"name":"Denver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 t="shared" si="7"/>
        <v>grep -hSE -A100 "Enforcement Action" "%USERPROFILE%\AppData\Local\Temp\OnboardLogs"\RTDC4029\*4029*201609300* | grep -SE "((Enforcement Ac)|(PRM))" -</v>
      </c>
    </row>
    <row r="29" spans="1:29" x14ac:dyDescent="0.25">
      <c r="A29" s="38">
        <v>42642.655219907407</v>
      </c>
      <c r="B29" s="33" t="s">
        <v>279</v>
      </c>
      <c r="C29" s="33" t="s">
        <v>506</v>
      </c>
      <c r="D29" s="33" t="s">
        <v>105</v>
      </c>
      <c r="E29" s="33" t="s">
        <v>56</v>
      </c>
      <c r="F29" s="49">
        <v>350</v>
      </c>
      <c r="G29" s="49">
        <v>401</v>
      </c>
      <c r="H29" s="49">
        <v>224726</v>
      </c>
      <c r="I29" s="49">
        <v>223178</v>
      </c>
      <c r="J29" s="33" t="s">
        <v>57</v>
      </c>
      <c r="K29" s="49">
        <v>232107</v>
      </c>
      <c r="L29" s="146" t="s">
        <v>53</v>
      </c>
      <c r="M29" s="149">
        <f t="shared" si="0"/>
        <v>-4714.5119999999997</v>
      </c>
      <c r="N29" s="88" t="str">
        <f>VLOOKUP(C29,'Trips&amp;Operators'!$C$1:$E$99999,3,FALSE)</f>
        <v>SHOOK</v>
      </c>
      <c r="O29" s="170" t="s">
        <v>86</v>
      </c>
      <c r="P29" s="10"/>
      <c r="Q29" s="33"/>
      <c r="R29" s="104" t="str">
        <f>VLOOKUP(C29,'Train Runs'!$A$13:$AE$10005,31,0)</f>
        <v>aws s3 cp s3://rtdc.mdm.uploadarchive.raw/RTDC4045/ "%USERPROFILE%\AppData\Local\Temp\OnboardLogs"\RTDC4045\2016-09-29 --exclude "*" --recursive --include "*20160929*" &amp; "%USERPROFILE%\Documents\GitHub\mrs-test-scripts\Headless Mode &amp; Sideloading\WalkAndUnGZ.bat" "%USERPROFILE%\AppData\Local\Temp\OnboardLogs"\RTDC4045\2016-09-29 &amp; aws s3 cp s3://rtdc.mdm.uploadarchive.raw/RTDC4045/ "%USERPROFILE%\AppData\Local\Temp\OnboardLogs"\RTDC4045\2016-09-30 --exclude "*" --recursive --include "*20160930*" &amp; "%USERPROFILE%\Documents\GitHub\mrs-test-scripts\Headless Mode &amp; Sideloading\WalkAndUnGZ.bat" "%USERPROFILE%\AppData\Local\Temp\OnboardLogs"\RTDC4045\2016-09-30</v>
      </c>
      <c r="S29" s="107" t="str">
        <f>VLOOKUP(C29,'Train Runs'!$A$13:$AE$10005,22,0)</f>
        <v>https://search-rtdc-monitor-bjffxe2xuh6vdkpspy63sjmuny.us-east-1.es.amazonaws.com/_plugin/kibana/#/discover/Steve-Slow-Train-Analysis-(2080s-and-2083s)?_g=(refreshInterval:(display:Off,section:0,value:0),time:(from:'2016-09-29 14:32:45-0600',mode:absolute,to:'2016-09-29 17:25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4045%22')),sort:!(Time,asc))</v>
      </c>
      <c r="T29" s="109" t="str">
        <f t="shared" si="1"/>
        <v>"C:\Program Files (x86)\AstroGrep\AstroGrep.exe" /spath="%USERPROFILE%\AppData\Local\Temp\OnboardLogs" /stypes="*4045*201609292*" /stext=" 21:.+((SYSTEM_STATE.+slice.+state.+changed )|(ment ac)|(system.+state.+changed )|(\[timeout)|(PRM\|1\|D)|(kpr)|(kdp)|(\|lc)|(penalty))" /e /r /s</v>
      </c>
      <c r="U29" s="9" t="str">
        <f t="shared" si="2"/>
        <v>4045</v>
      </c>
      <c r="V29" s="38">
        <f t="shared" si="3"/>
        <v>42642.905219907407</v>
      </c>
      <c r="W29" s="52" t="str">
        <f t="shared" si="4"/>
        <v>EC</v>
      </c>
      <c r="X29" s="52" t="str">
        <f t="shared" si="5"/>
        <v>KEEP</v>
      </c>
      <c r="Y29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{"issue":{"subject":"","project_id":79,"tracker_id":40,"status_id":1,"priority_id":2,"assigned_to_id":23,"start_date":"2016-09-29","description":"","custom_fields":[{"id":1,"name":"Subdivision","value":"EC"},{"id":4,"name":"Milepost","value":"23.2107"},{"id":17,"name":"Train ID","value":"190-29"},{"id":16,"name":"Locomotive ID","value":"4045"},{"id":130,"name":"Impact","value":""},{"id":150,"name":"Time of Event (Mountain Time)","value":"15:43:31"},{"id":151,"name":"Denver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 t="shared" si="7"/>
        <v>grep -hSE -A100 "Enforcement Action" "%USERPROFILE%\AppData\Local\Temp\OnboardLogs"\RTDC4045\*4045*201609292* | grep -SE "((Enforcement Ac)|(PRM))" -</v>
      </c>
    </row>
    <row r="30" spans="1:29" x14ac:dyDescent="0.25">
      <c r="A30" s="38">
        <v>42642.313738425924</v>
      </c>
      <c r="B30" s="33" t="s">
        <v>168</v>
      </c>
      <c r="C30" s="33" t="s">
        <v>407</v>
      </c>
      <c r="D30" s="33" t="s">
        <v>49</v>
      </c>
      <c r="E30" s="33" t="s">
        <v>54</v>
      </c>
      <c r="F30" s="49">
        <v>0</v>
      </c>
      <c r="G30" s="49">
        <v>68</v>
      </c>
      <c r="H30" s="49">
        <v>874</v>
      </c>
      <c r="I30" s="49">
        <v>1025</v>
      </c>
      <c r="J30" s="33" t="s">
        <v>55</v>
      </c>
      <c r="K30" s="49">
        <v>2789</v>
      </c>
      <c r="L30" s="146" t="s">
        <v>52</v>
      </c>
      <c r="M30" s="149">
        <f t="shared" si="0"/>
        <v>931.39200000000005</v>
      </c>
      <c r="N30" s="88" t="str">
        <f>VLOOKUP(C30,'Trips&amp;Operators'!$C$1:$E$99999,3,FALSE)</f>
        <v>SPECTOR</v>
      </c>
      <c r="O30" s="170" t="s">
        <v>86</v>
      </c>
      <c r="P30" s="10" t="s">
        <v>752</v>
      </c>
      <c r="Q30" s="33"/>
      <c r="R30" s="104" t="str">
        <f>VLOOKUP(C30,'Train Runs'!$A$13:$AE$10005,31,0)</f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S30" s="107" t="str">
        <f>VLOOKUP(C30,'Train Runs'!$A$13:$AE$10005,22,0)</f>
        <v>https://search-rtdc-monitor-bjffxe2xuh6vdkpspy63sjmuny.us-east-1.es.amazonaws.com/_plugin/kibana/#/discover/Steve-Slow-Train-Analysis-(2080s-and-2083s)?_g=(refreshInterval:(display:Off,section:0,value:0),time:(from:'2016-09-29 06:27:58-0600',mode:absolute,to:'2016-09-29 09:08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30" s="109" t="str">
        <f t="shared" si="1"/>
        <v>"C:\Program Files (x86)\AstroGrep\AstroGrep.exe" /spath="%USERPROFILE%\AppData\Local\Temp\OnboardLogs" /stypes="*4025*201609291*" /stext=" 13:.+((SYSTEM_STATE.+slice.+state.+changed )|(ment ac)|(system.+state.+changed )|(\[timeout)|(PRM\|1\|D)|(kpr)|(kdp)|(\|lc)|(penalty))" /e /r /s</v>
      </c>
      <c r="U30" s="9" t="str">
        <f t="shared" si="2"/>
        <v>4025</v>
      </c>
      <c r="V30" s="38">
        <f t="shared" si="3"/>
        <v>42642.563738425924</v>
      </c>
      <c r="W30" s="52" t="str">
        <f t="shared" si="4"/>
        <v>EC</v>
      </c>
      <c r="X30" s="52" t="str">
        <f t="shared" si="5"/>
        <v>KEEP</v>
      </c>
      <c r="Y30" s="130" t="str">
        <f t="shared" si="6"/>
        <v>echo {"issue":{"subject":"Went active too close to signal","project_id":79,"tracker_id":40,"status_id":1,"priority_id":2,"assigned_to_id":23,"start_date":"2016-09-29","description":"","custom_fields":[{"id":1,"name":"Subdivision","value":"EC"},{"id":4,"name":"Milepost","value":"0.2789"},{"id":17,"name":"Train ID","value":"131-29"},{"id":16,"name":"Locomotive ID","value":"4025"},{"id":130,"name":"Impact","value":""},{"id":150,"name":"Time of Event (Mountain Time)","value":"07:31:47"},{"id":151,"name":"Denver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 t="shared" si="7"/>
        <v>grep -hSE -A100 "Enforcement Action" "%USERPROFILE%\AppData\Local\Temp\OnboardLogs"\RTDC4025\*4025*201609291* | grep -SE "((Enforcement Ac)|(PRM))" -</v>
      </c>
    </row>
    <row r="31" spans="1:29" ht="15" customHeight="1" x14ac:dyDescent="0.25">
      <c r="A31" s="38">
        <v>42642.506840277776</v>
      </c>
      <c r="B31" s="33" t="s">
        <v>174</v>
      </c>
      <c r="C31" s="33" t="s">
        <v>462</v>
      </c>
      <c r="D31" s="33" t="s">
        <v>49</v>
      </c>
      <c r="E31" s="33" t="s">
        <v>54</v>
      </c>
      <c r="F31" s="49">
        <v>0</v>
      </c>
      <c r="G31" s="49">
        <v>307</v>
      </c>
      <c r="H31" s="49">
        <v>36176</v>
      </c>
      <c r="I31" s="49">
        <v>36715</v>
      </c>
      <c r="J31" s="33" t="s">
        <v>55</v>
      </c>
      <c r="K31" s="49">
        <v>36645</v>
      </c>
      <c r="L31" s="146" t="s">
        <v>52</v>
      </c>
      <c r="M31" s="149">
        <f t="shared" si="0"/>
        <v>-36.96</v>
      </c>
      <c r="N31" s="88" t="str">
        <f>VLOOKUP(C31,'Trips&amp;Operators'!$C$1:$E$99999,3,FALSE)</f>
        <v>YOUNG</v>
      </c>
      <c r="O31" s="170" t="s">
        <v>363</v>
      </c>
      <c r="P31" s="10" t="s">
        <v>744</v>
      </c>
      <c r="Q31" s="33"/>
      <c r="R31" s="104" t="str">
        <f>VLOOKUP(C31,'Train Runs'!$A$13:$AE$10005,31,0)</f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S31" s="107" t="str">
        <f>VLOOKUP(C31,'Train Runs'!$A$13:$AE$10005,22,0)</f>
        <v>https://search-rtdc-monitor-bjffxe2xuh6vdkpspy63sjmuny.us-east-1.es.amazonaws.com/_plugin/kibana/#/discover/Steve-Slow-Train-Analysis-(2080s-and-2083s)?_g=(refreshInterval:(display:Off,section:0,value:0),time:(from:'2016-09-29 10:53:40-0600',mode:absolute,to:'2016-09-29 13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31" s="109" t="str">
        <f t="shared" si="1"/>
        <v>"C:\Program Files (x86)\AstroGrep\AstroGrep.exe" /spath="%USERPROFILE%\AppData\Local\Temp\OnboardLogs" /stypes="*4042*201609291*" /stext=" 18:.+((SYSTEM_STATE.+slice.+state.+changed )|(ment ac)|(system.+state.+changed )|(\[timeout)|(PRM\|1\|D)|(kpr)|(kdp)|(\|lc)|(penalty))" /e /r /s</v>
      </c>
      <c r="U31" s="9" t="str">
        <f t="shared" si="2"/>
        <v>4042</v>
      </c>
      <c r="V31" s="38">
        <f t="shared" si="3"/>
        <v>42642.756840277776</v>
      </c>
      <c r="W31" s="52" t="str">
        <f t="shared" si="4"/>
        <v>EC</v>
      </c>
      <c r="X31" s="52" t="str">
        <f t="shared" si="5"/>
        <v>KEEP</v>
      </c>
      <c r="Y31" s="130" t="str">
        <f t="shared" si="6"/>
        <v>echo {"issue":{"subject":"Wi-MAX outage","project_id":79,"tracker_id":40,"status_id":1,"priority_id":2,"assigned_to_id":23,"start_date":"2016-09-29","description":"5 minute outage: 4042,0:05:31.680104,2016-09-29 12:09:22.269381-06:00","custom_fields":[{"id":1,"name":"Subdivision","value":"EC"},{"id":4,"name":"Milepost","value":"3.6645"},{"id":17,"name":"Train ID","value":"167-29"},{"id":16,"name":"Locomotive ID","value":"4042"},{"id":130,"name":"Impact","value":"Enforcement"},{"id":150,"name":"Time of Event (Mountain Time)","value":"12:09:51"},{"id":151,"name":"Denver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1" s="55" t="s">
        <v>745</v>
      </c>
      <c r="AA31" s="55" t="s">
        <v>135</v>
      </c>
      <c r="AB31" s="23" t="s">
        <v>148</v>
      </c>
      <c r="AC31" s="171" t="str">
        <f t="shared" si="7"/>
        <v>grep -hSE -A100 "Enforcement Action" "%USERPROFILE%\AppData\Local\Temp\OnboardLogs"\RTDC4042\*4042*201609291* | grep -SE "((Enforcement Ac)|(PRM))" -</v>
      </c>
    </row>
    <row r="32" spans="1:29" x14ac:dyDescent="0.25">
      <c r="A32" s="38">
        <v>42642.507164351853</v>
      </c>
      <c r="B32" s="33" t="s">
        <v>174</v>
      </c>
      <c r="C32" s="33" t="s">
        <v>462</v>
      </c>
      <c r="D32" s="33" t="s">
        <v>105</v>
      </c>
      <c r="E32" s="33" t="s">
        <v>54</v>
      </c>
      <c r="F32" s="49">
        <v>0</v>
      </c>
      <c r="G32" s="49">
        <v>4</v>
      </c>
      <c r="H32" s="49">
        <v>36718</v>
      </c>
      <c r="I32" s="49">
        <v>36726</v>
      </c>
      <c r="J32" s="33" t="s">
        <v>55</v>
      </c>
      <c r="K32" s="49">
        <v>36645</v>
      </c>
      <c r="L32" s="146" t="s">
        <v>52</v>
      </c>
      <c r="M32" s="149">
        <f t="shared" si="0"/>
        <v>-42.768000000000001</v>
      </c>
      <c r="N32" s="88" t="str">
        <f>VLOOKUP(C32,'Trips&amp;Operators'!$C$1:$E$99999,3,FALSE)</f>
        <v>YOUNG</v>
      </c>
      <c r="O32" s="170" t="s">
        <v>363</v>
      </c>
      <c r="P32" s="10" t="s">
        <v>744</v>
      </c>
      <c r="Q32" s="33"/>
      <c r="R32" s="104" t="str">
        <f>VLOOKUP(C32,'Train Runs'!$A$13:$AE$10005,31,0)</f>
        <v>aws s3 cp s3://rtdc.mdm.uploadarchive.raw/RTDC4042/ "%USERPROFILE%\AppData\Local\Temp\OnboardLogs"\RTDC4042\2016-09-29 --exclude "*" --recursive --include "*20160929*" &amp; "%USERPROFILE%\Documents\GitHub\mrs-test-scripts\Headless Mode &amp; Sideloading\WalkAndUnGZ.bat" "%USERPROFILE%\AppData\Local\Temp\OnboardLogs"\RTDC4042\2016-09-29 &amp; aws s3 cp s3://rtdc.mdm.uploadarchive.raw/RTDC4042/ "%USERPROFILE%\AppData\Local\Temp\OnboardLogs"\RTDC4042\2016-09-30 --exclude "*" --recursive --include "*20160930*" &amp; "%USERPROFILE%\Documents\GitHub\mrs-test-scripts\Headless Mode &amp; Sideloading\WalkAndUnGZ.bat" "%USERPROFILE%\AppData\Local\Temp\OnboardLogs"\RTDC4042\2016-09-30</v>
      </c>
      <c r="S32" s="107" t="str">
        <f>VLOOKUP(C32,'Train Runs'!$A$13:$AE$10005,22,0)</f>
        <v>https://search-rtdc-monitor-bjffxe2xuh6vdkpspy63sjmuny.us-east-1.es.amazonaws.com/_plugin/kibana/#/discover/Steve-Slow-Train-Analysis-(2080s-and-2083s)?_g=(refreshInterval:(display:Off,section:0,value:0),time:(from:'2016-09-29 10:53:40-0600',mode:absolute,to:'2016-09-29 13:09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4042%22')),sort:!(Time,asc))</v>
      </c>
      <c r="T32" s="109" t="str">
        <f t="shared" si="1"/>
        <v>"C:\Program Files (x86)\AstroGrep\AstroGrep.exe" /spath="%USERPROFILE%\AppData\Local\Temp\OnboardLogs" /stypes="*4042*201609291*" /stext=" 18:.+((SYSTEM_STATE.+slice.+state.+changed )|(ment ac)|(system.+state.+changed )|(\[timeout)|(PRM\|1\|D)|(kpr)|(kdp)|(\|lc)|(penalty))" /e /r /s</v>
      </c>
      <c r="U32" s="9" t="str">
        <f t="shared" si="2"/>
        <v>4042</v>
      </c>
      <c r="V32" s="38">
        <f t="shared" si="3"/>
        <v>42642.757164351853</v>
      </c>
      <c r="W32" s="52" t="str">
        <f t="shared" si="4"/>
        <v>EC</v>
      </c>
      <c r="X32" s="52" t="str">
        <f t="shared" si="5"/>
        <v>KEEP</v>
      </c>
      <c r="Y32" s="130" t="str">
        <f t="shared" si="6"/>
        <v>echo {"issue":{"subject":"Wi-MAX outage","project_id":79,"tracker_id":40,"status_id":1,"priority_id":2,"assigned_to_id":23,"start_date":"2016-09-29","description":"","custom_fields":[{"id":1,"name":"Subdivision","value":"EC"},{"id":4,"name":"Milepost","value":"3.6645"},{"id":17,"name":"Train ID","value":"167-29"},{"id":16,"name":"Locomotive ID","value":"4042"},{"id":130,"name":"Impact","value":""},{"id":150,"name":"Time of Event (Mountain Time)","value":"12:10:19"},{"id":151,"name":"Denver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 t="shared" si="7"/>
        <v>grep -hSE -A100 "Enforcement Action" "%USERPROFILE%\AppData\Local\Temp\OnboardLogs"\RTDC4042\*4042*201609291* | grep -SE "((Enforcement Ac)|(PRM))" -</v>
      </c>
    </row>
    <row r="33" spans="1:29" ht="15" customHeight="1" x14ac:dyDescent="0.25">
      <c r="A33" s="38">
        <v>42642.308518518519</v>
      </c>
      <c r="B33" s="33" t="s">
        <v>314</v>
      </c>
      <c r="C33" s="33" t="s">
        <v>401</v>
      </c>
      <c r="D33" s="33" t="s">
        <v>49</v>
      </c>
      <c r="E33" s="33" t="s">
        <v>54</v>
      </c>
      <c r="F33" s="49">
        <v>0</v>
      </c>
      <c r="G33" s="49">
        <v>361</v>
      </c>
      <c r="H33" s="49">
        <v>129874</v>
      </c>
      <c r="I33" s="49">
        <v>128867</v>
      </c>
      <c r="J33" s="33" t="s">
        <v>55</v>
      </c>
      <c r="K33" s="49">
        <v>127587</v>
      </c>
      <c r="L33" s="146" t="s">
        <v>53</v>
      </c>
      <c r="M33" s="149">
        <f t="shared" si="0"/>
        <v>675.84</v>
      </c>
      <c r="N33" s="88" t="str">
        <f>VLOOKUP(C33,'Trips&amp;Operators'!$C$1:$E$99999,3,FALSE)</f>
        <v>STRICKLAND</v>
      </c>
      <c r="O33" s="170" t="s">
        <v>86</v>
      </c>
      <c r="P33" s="10" t="s">
        <v>362</v>
      </c>
      <c r="Q33" s="33"/>
      <c r="R33" s="104" t="str">
        <f>VLOOKUP(C33,'Train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33" s="107" t="str">
        <f>VLOOKUP(C33,'Train Runs'!$A$13:$AE$10005,22,0)</f>
        <v>https://search-rtdc-monitor-bjffxe2xuh6vdkpspy63sjmuny.us-east-1.es.amazonaws.com/_plugin/kibana/#/discover/Steve-Slow-Train-Analysis-(2080s-and-2083s)?_g=(refreshInterval:(display:Off,section:0,value:0),time:(from:'2016-09-29 06:05:24-0600',mode:absolute,to:'2016-09-29 08:52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3" s="109" t="str">
        <f t="shared" si="1"/>
        <v>"C:\Program Files (x86)\AstroGrep\AstroGrep.exe" /spath="%USERPROFILE%\AppData\Local\Temp\OnboardLogs" /stypes="*4039*201609291*" /stext=" 13:.+((SYSTEM_STATE.+slice.+state.+changed )|(ment ac)|(system.+state.+changed )|(\[timeout)|(PRM\|1\|D)|(kpr)|(kdp)|(\|lc)|(penalty))" /e /r /s</v>
      </c>
      <c r="U33" s="9" t="str">
        <f t="shared" si="2"/>
        <v>4039</v>
      </c>
      <c r="V33" s="38">
        <f t="shared" si="3"/>
        <v>42642.558518518519</v>
      </c>
      <c r="W33" s="52" t="str">
        <f t="shared" si="4"/>
        <v>EC</v>
      </c>
      <c r="X33" s="52" t="str">
        <f t="shared" si="5"/>
        <v>KEEP</v>
      </c>
      <c r="Y33" s="130" t="str">
        <f t="shared" si="6"/>
        <v>echo {"issue":{"subject":"40th 4S STOP, cleared afterward","project_id":79,"tracker_id":40,"status_id":1,"priority_id":2,"assigned_to_id":23,"start_date":"2016-09-29","description":"","custom_fields":[{"id":1,"name":"Subdivision","value":"EC"},{"id":4,"name":"Milepost","value":"12.7587"},{"id":17,"name":"Train ID","value":"122-29"},{"id":16,"name":"Locomotive ID","value":"4039"},{"id":130,"name":"Impact","value":""},{"id":150,"name":"Time of Event (Mountain Time)","value":"07:24:16"},{"id":151,"name":"Denver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 t="shared" si="7"/>
        <v>grep -hSE -A100 "Enforcement Action" "%USERPROFILE%\AppData\Local\Temp\OnboardLogs"\RTDC4039\*4039*201609291* | grep -SE "((Enforcement Ac)|(PRM))" -</v>
      </c>
    </row>
    <row r="34" spans="1:29" x14ac:dyDescent="0.25">
      <c r="A34" s="38">
        <v>42642.501342592594</v>
      </c>
      <c r="B34" s="33" t="s">
        <v>169</v>
      </c>
      <c r="C34" s="33" t="s">
        <v>461</v>
      </c>
      <c r="D34" s="33" t="s">
        <v>49</v>
      </c>
      <c r="E34" s="33" t="s">
        <v>54</v>
      </c>
      <c r="F34" s="49">
        <v>0</v>
      </c>
      <c r="G34" s="49">
        <v>352</v>
      </c>
      <c r="H34" s="49">
        <v>193432</v>
      </c>
      <c r="I34" s="49">
        <v>192433</v>
      </c>
      <c r="J34" s="33" t="s">
        <v>55</v>
      </c>
      <c r="K34" s="49">
        <v>191723</v>
      </c>
      <c r="L34" s="146" t="s">
        <v>53</v>
      </c>
      <c r="M34" s="149">
        <f t="shared" si="0"/>
        <v>374.88</v>
      </c>
      <c r="N34" s="88" t="str">
        <f>VLOOKUP(C34,'Trips&amp;Operators'!$C$1:$E$99999,3,FALSE)</f>
        <v>BONDS</v>
      </c>
      <c r="O34" s="170" t="s">
        <v>86</v>
      </c>
      <c r="P34" s="10" t="s">
        <v>753</v>
      </c>
      <c r="Q34" s="33"/>
      <c r="R34" s="104" t="str">
        <f>VLOOKUP(C34,'Train Runs'!$A$13:$AE$10005,31,0)</f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S34" s="107" t="str">
        <f>VLOOKUP(C34,'Train Runs'!$A$13:$AE$10005,22,0)</f>
        <v>https://search-rtdc-monitor-bjffxe2xuh6vdkpspy63sjmuny.us-east-1.es.amazonaws.com/_plugin/kibana/#/discover/Steve-Slow-Train-Analysis-(2080s-and-2083s)?_g=(refreshInterval:(display:Off,section:0,value:0),time:(from:'2016-09-29 10:44:55-0600',mode:absolute,to:'2016-09-29 13:40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4" s="109" t="str">
        <f t="shared" si="1"/>
        <v>"C:\Program Files (x86)\AstroGrep\AstroGrep.exe" /spath="%USERPROFILE%\AppData\Local\Temp\OnboardLogs" /stypes="*4026*201609291*" /stext=" 18:.+((SYSTEM_STATE.+slice.+state.+changed )|(ment ac)|(system.+state.+changed )|(\[timeout)|(PRM\|1\|D)|(kpr)|(kdp)|(\|lc)|(penalty))" /e /r /s</v>
      </c>
      <c r="U34" s="9" t="str">
        <f t="shared" si="2"/>
        <v>4026</v>
      </c>
      <c r="V34" s="38">
        <f t="shared" si="3"/>
        <v>42642.751342592594</v>
      </c>
      <c r="W34" s="52" t="str">
        <f t="shared" si="4"/>
        <v>EC</v>
      </c>
      <c r="X34" s="52" t="str">
        <f t="shared" si="5"/>
        <v>KEEP</v>
      </c>
      <c r="Y34" s="130" t="str">
        <f t="shared" si="6"/>
        <v>echo {"issue":{"subject":"Pena 4S STOP, cleared afterward","project_id":79,"tracker_id":40,"status_id":1,"priority_id":2,"assigned_to_id":23,"start_date":"2016-09-29","description":"","custom_fields":[{"id":1,"name":"Subdivision","value":"EC"},{"id":4,"name":"Milepost","value":"19.1723"},{"id":17,"name":"Train ID","value":"160-29"},{"id":16,"name":"Locomotive ID","value":"4026"},{"id":130,"name":"Impact","value":""},{"id":150,"name":"Time of Event (Mountain Time)","value":"12:01:56"},{"id":151,"name":"Denver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 t="shared" si="7"/>
        <v>grep -hSE -A100 "Enforcement Action" "%USERPROFILE%\AppData\Local\Temp\OnboardLogs"\RTDC4026\*4026*201609291* | grep -SE "((Enforcement Ac)|(PRM))" -</v>
      </c>
    </row>
    <row r="35" spans="1:29" x14ac:dyDescent="0.25">
      <c r="A35" s="38">
        <v>42642.201238425929</v>
      </c>
      <c r="B35" s="33" t="s">
        <v>311</v>
      </c>
      <c r="C35" s="33" t="s">
        <v>367</v>
      </c>
      <c r="D35" s="33" t="s">
        <v>49</v>
      </c>
      <c r="E35" s="33" t="s">
        <v>50</v>
      </c>
      <c r="F35" s="49">
        <v>0</v>
      </c>
      <c r="G35" s="49">
        <v>68</v>
      </c>
      <c r="H35" s="49">
        <v>291</v>
      </c>
      <c r="I35" s="49">
        <v>234</v>
      </c>
      <c r="J35" s="33" t="s">
        <v>51</v>
      </c>
      <c r="K35" s="49">
        <v>1</v>
      </c>
      <c r="L35" s="146" t="s">
        <v>53</v>
      </c>
      <c r="M35" s="149">
        <f t="shared" si="0"/>
        <v>123.024</v>
      </c>
      <c r="N35" s="88" t="str">
        <f>VLOOKUP(C35,'Trips&amp;Operators'!$C$1:$E$99999,3,FALSE)</f>
        <v>MAELZER</v>
      </c>
      <c r="O35" s="170" t="s">
        <v>86</v>
      </c>
      <c r="P35" s="10"/>
      <c r="Q35" s="33"/>
      <c r="R35" s="104" t="str">
        <f>VLOOKUP(C35,'Train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35" s="107" t="str">
        <f>VLOOKUP(C35,'Train Runs'!$A$13:$AE$10005,22,0)</f>
        <v>https://search-rtdc-monitor-bjffxe2xuh6vdkpspy63sjmuny.us-east-1.es.amazonaws.com/_plugin/kibana/#/discover/Steve-Slow-Train-Analysis-(2080s-and-2083s)?_g=(refreshInterval:(display:Off,section:0,value:0),time:(from:'2016-09-29 03:06:50-0600',mode:absolute,to:'2016-09-29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5" s="109" t="str">
        <f t="shared" si="1"/>
        <v>"C:\Program Files (x86)\AstroGrep\AstroGrep.exe" /spath="%USERPROFILE%\AppData\Local\Temp\OnboardLogs" /stypes="*4001*201609291*" /stext=" 10:.+((SYSTEM_STATE.+slice.+state.+changed )|(ment ac)|(system.+state.+changed )|(\[timeout)|(PRM\|1\|D)|(kpr)|(kdp)|(\|lc)|(penalty))" /e /r /s</v>
      </c>
      <c r="U35" s="9" t="str">
        <f t="shared" si="2"/>
        <v>4001</v>
      </c>
      <c r="V35" s="38">
        <f t="shared" si="3"/>
        <v>42642.451238425929</v>
      </c>
      <c r="W35" s="52" t="str">
        <f t="shared" si="4"/>
        <v>EC</v>
      </c>
      <c r="X35" s="52" t="str">
        <f t="shared" si="5"/>
        <v>KEEP</v>
      </c>
      <c r="Y35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ID","value":"102-29"},{"id":16,"name":"Locomotive ID","value":"4001"},{"id":130,"name":"Impact","value":""},{"id":150,"name":"Time of Event (Mountain Time)","value":"04:49:47"},{"id":151,"name":"Denver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 t="shared" si="7"/>
        <v>grep -hSE -A100 "Enforcement Action" "%USERPROFILE%\AppData\Local\Temp\OnboardLogs"\RTDC4001\*4001*201609291* | grep -SE "((Enforcement Ac)|(PRM))" -</v>
      </c>
    </row>
    <row r="36" spans="1:29" x14ac:dyDescent="0.25">
      <c r="A36" s="38">
        <v>42642.201724537037</v>
      </c>
      <c r="B36" s="33" t="s">
        <v>311</v>
      </c>
      <c r="C36" s="33" t="s">
        <v>367</v>
      </c>
      <c r="D36" s="33" t="s">
        <v>49</v>
      </c>
      <c r="E36" s="33" t="s">
        <v>50</v>
      </c>
      <c r="F36" s="49">
        <v>0</v>
      </c>
      <c r="G36" s="49">
        <v>32</v>
      </c>
      <c r="H36" s="49">
        <v>229</v>
      </c>
      <c r="I36" s="49">
        <v>176</v>
      </c>
      <c r="J36" s="33" t="s">
        <v>51</v>
      </c>
      <c r="K36" s="49">
        <v>1</v>
      </c>
      <c r="L36" s="146" t="s">
        <v>53</v>
      </c>
      <c r="M36" s="149">
        <f t="shared" si="0"/>
        <v>92.4</v>
      </c>
      <c r="N36" s="88" t="str">
        <f>VLOOKUP(C36,'Trips&amp;Operators'!$C$1:$E$99999,3,FALSE)</f>
        <v>MAELZER</v>
      </c>
      <c r="O36" s="170" t="s">
        <v>86</v>
      </c>
      <c r="P36" s="10"/>
      <c r="Q36" s="33"/>
      <c r="R36" s="104" t="str">
        <f>VLOOKUP(C36,'Train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36" s="107" t="str">
        <f>VLOOKUP(C36,'Train Runs'!$A$13:$AE$10005,22,0)</f>
        <v>https://search-rtdc-monitor-bjffxe2xuh6vdkpspy63sjmuny.us-east-1.es.amazonaws.com/_plugin/kibana/#/discover/Steve-Slow-Train-Analysis-(2080s-and-2083s)?_g=(refreshInterval:(display:Off,section:0,value:0),time:(from:'2016-09-29 03:06:50-0600',mode:absolute,to:'2016-09-29 05:50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6" s="109" t="str">
        <f t="shared" si="1"/>
        <v>"C:\Program Files (x86)\AstroGrep\AstroGrep.exe" /spath="%USERPROFILE%\AppData\Local\Temp\OnboardLogs" /stypes="*4001*201609291*" /stext=" 10:.+((SYSTEM_STATE.+slice.+state.+changed )|(ment ac)|(system.+state.+changed )|(\[timeout)|(PRM\|1\|D)|(kpr)|(kdp)|(\|lc)|(penalty))" /e /r /s</v>
      </c>
      <c r="U36" s="9" t="str">
        <f t="shared" si="2"/>
        <v>4001</v>
      </c>
      <c r="V36" s="38">
        <f t="shared" si="3"/>
        <v>42642.451724537037</v>
      </c>
      <c r="W36" s="52" t="str">
        <f t="shared" si="4"/>
        <v>EC</v>
      </c>
      <c r="X36" s="52" t="str">
        <f t="shared" si="5"/>
        <v>KEEP</v>
      </c>
      <c r="Y36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ID","value":"102-29"},{"id":16,"name":"Locomotive ID","value":"4001"},{"id":130,"name":"Impact","value":""},{"id":150,"name":"Time of Event (Mountain Time)","value":"04:50:29"},{"id":151,"name":"Denver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 t="shared" si="7"/>
        <v>grep -hSE -A100 "Enforcement Action" "%USERPROFILE%\AppData\Local\Temp\OnboardLogs"\RTDC4001\*4001*201609291* | grep -SE "((Enforcement Ac)|(PRM))" -</v>
      </c>
    </row>
    <row r="37" spans="1:29" ht="15" customHeight="1" x14ac:dyDescent="0.25">
      <c r="A37" s="38">
        <v>42642.307673611111</v>
      </c>
      <c r="B37" s="33" t="s">
        <v>169</v>
      </c>
      <c r="C37" s="33" t="s">
        <v>396</v>
      </c>
      <c r="D37" s="33" t="s">
        <v>49</v>
      </c>
      <c r="E37" s="33" t="s">
        <v>50</v>
      </c>
      <c r="F37" s="49">
        <v>0</v>
      </c>
      <c r="G37" s="49">
        <v>69</v>
      </c>
      <c r="H37" s="49">
        <v>258</v>
      </c>
      <c r="I37" s="49">
        <v>191</v>
      </c>
      <c r="J37" s="33" t="s">
        <v>51</v>
      </c>
      <c r="K37" s="49">
        <v>1</v>
      </c>
      <c r="L37" s="146" t="s">
        <v>53</v>
      </c>
      <c r="M37" s="149">
        <f t="shared" si="0"/>
        <v>100.32</v>
      </c>
      <c r="N37" s="88" t="str">
        <f>VLOOKUP(C37,'Trips&amp;Operators'!$C$1:$E$99999,3,FALSE)</f>
        <v>SPECTOR</v>
      </c>
      <c r="O37" s="170" t="s">
        <v>86</v>
      </c>
      <c r="P37" s="10"/>
      <c r="Q37" s="33"/>
      <c r="R37" s="104" t="str">
        <f>VLOOKUP(C37,'Train Runs'!$A$13:$AE$10005,31,0)</f>
        <v>aws s3 cp s3://rtdc.mdm.uploadarchive.raw/RTDC4026/ "%USERPROFILE%\AppData\Local\Temp\OnboardLogs"\RTDC4026\2016-09-29 --exclude "*" --recursive --include "*20160929*" &amp; "%USERPROFILE%\Documents\GitHub\mrs-test-scripts\Headless Mode &amp; Sideloading\WalkAndUnGZ.bat" "%USERPROFILE%\AppData\Local\Temp\OnboardLogs"\RTDC4026\2016-09-29 &amp; aws s3 cp s3://rtdc.mdm.uploadarchive.raw/RTDC4026/ "%USERPROFILE%\AppData\Local\Temp\OnboardLogs"\RTDC4026\2016-09-30 --exclude "*" --recursive --include "*20160930*" &amp; "%USERPROFILE%\Documents\GitHub\mrs-test-scripts\Headless Mode &amp; Sideloading\WalkAndUnGZ.bat" "%USERPROFILE%\AppData\Local\Temp\OnboardLogs"\RTDC4026\2016-09-30</v>
      </c>
      <c r="S37" s="107" t="str">
        <f>VLOOKUP(C37,'Train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05:33:32-0600',mode:absolute,to:'2016-09-29 08:23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4026%22')),sort:!(Time,asc))</v>
      </c>
      <c r="T37" s="109" t="str">
        <f t="shared" si="1"/>
        <v>"C:\Program Files (x86)\AstroGrep\AstroGrep.exe" /spath="%USERPROFILE%\AppData\Local\Temp\OnboardLogs" /stypes="*4026*201609291*" /stext=" 13:.+((SYSTEM_STATE.+slice.+state.+changed )|(ment ac)|(system.+state.+changed )|(\[timeout)|(PRM\|1\|D)|(kpr)|(kdp)|(\|lc)|(penalty))" /e /r /s</v>
      </c>
      <c r="U37" s="9" t="str">
        <f t="shared" si="2"/>
        <v>4026</v>
      </c>
      <c r="V37" s="38">
        <f t="shared" si="3"/>
        <v>42642.557673611111</v>
      </c>
      <c r="W37" s="52" t="str">
        <f t="shared" si="4"/>
        <v>EC</v>
      </c>
      <c r="X37" s="52" t="str">
        <f t="shared" si="5"/>
        <v>KEEP</v>
      </c>
      <c r="Y37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ID","value":"118-29"},{"id":16,"name":"Locomotive ID","value":"4026"},{"id":130,"name":"Impact","value":""},{"id":150,"name":"Time of Event (Mountain Time)","value":"07:23:03"},{"id":151,"name":"Denver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 t="shared" si="7"/>
        <v>grep -hSE -A100 "Enforcement Action" "%USERPROFILE%\AppData\Local\Temp\OnboardLogs"\RTDC4026\*4026*201609291* | grep -SE "((Enforcement Ac)|(PRM))" -</v>
      </c>
    </row>
    <row r="38" spans="1:29" x14ac:dyDescent="0.25">
      <c r="A38" s="38">
        <v>42642.625451388885</v>
      </c>
      <c r="B38" s="33" t="s">
        <v>314</v>
      </c>
      <c r="C38" s="33" t="s">
        <v>487</v>
      </c>
      <c r="D38" s="33" t="s">
        <v>49</v>
      </c>
      <c r="E38" s="33" t="s">
        <v>50</v>
      </c>
      <c r="F38" s="49">
        <v>0</v>
      </c>
      <c r="G38" s="49">
        <v>46</v>
      </c>
      <c r="H38" s="49">
        <v>165</v>
      </c>
      <c r="I38" s="49">
        <v>134</v>
      </c>
      <c r="J38" s="33" t="s">
        <v>51</v>
      </c>
      <c r="K38" s="49">
        <v>1</v>
      </c>
      <c r="L38" s="146" t="s">
        <v>53</v>
      </c>
      <c r="M38" s="149">
        <f t="shared" si="0"/>
        <v>70.224000000000004</v>
      </c>
      <c r="N38" s="88" t="str">
        <f>VLOOKUP(C38,'Trips&amp;Operators'!$C$1:$E$99999,3,FALSE)</f>
        <v>MOSES</v>
      </c>
      <c r="O38" s="170" t="s">
        <v>86</v>
      </c>
      <c r="P38" s="10"/>
      <c r="Q38" s="33"/>
      <c r="R38" s="104" t="str">
        <f>VLOOKUP(C38,'Train Runs'!$A$13:$AE$10005,31,0)</f>
        <v>aws s3 cp s3://rtdc.mdm.uploadarchive.raw/RTDC4039/ "%USERPROFILE%\AppData\Local\Temp\OnboardLogs"\RTDC4039\2016-09-29 --exclude "*" --recursive --include "*20160929*" &amp; "%USERPROFILE%\Documents\GitHub\mrs-test-scripts\Headless Mode &amp; Sideloading\WalkAndUnGZ.bat" "%USERPROFILE%\AppData\Local\Temp\OnboardLogs"\RTDC4039\2016-09-29 &amp; aws s3 cp s3://rtdc.mdm.uploadarchive.raw/RTDC4039/ "%USERPROFILE%\AppData\Local\Temp\OnboardLogs"\RTDC4039\2016-09-30 --exclude "*" --recursive --include "*20160930*" &amp; "%USERPROFILE%\Documents\GitHub\mrs-test-scripts\Headless Mode &amp; Sideloading\WalkAndUnGZ.bat" "%USERPROFILE%\AppData\Local\Temp\OnboardLogs"\RTDC4039\2016-09-30</v>
      </c>
      <c r="S38" s="107" t="str">
        <f>VLOOKUP(C38,'Train Runs'!$A$13:$AE$10005,22,0)</f>
        <v>https://search-rtdc-monitor-bjffxe2xuh6vdkpspy63sjmuny.us-east-1.es.amazonaws.com/_plugin/kibana/#/discover/Steve-Slow-Train-Analysis-(2080s-and-2083s)?_g=(refreshInterval:(display:Off,section:0,value:0),time:(from:'2016-09-29 13:06:12-0600',mode:absolute,to:'2016-09-29 16:00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4039%22')),sort:!(Time,asc))</v>
      </c>
      <c r="T38" s="109" t="str">
        <f t="shared" si="1"/>
        <v>"C:\Program Files (x86)\AstroGrep\AstroGrep.exe" /spath="%USERPROFILE%\AppData\Local\Temp\OnboardLogs" /stypes="*4039*201609292*" /stext=" 21:.+((SYSTEM_STATE.+slice.+state.+changed )|(ment ac)|(system.+state.+changed )|(\[timeout)|(PRM\|1\|D)|(kpr)|(kdp)|(\|lc)|(penalty))" /e /r /s</v>
      </c>
      <c r="U38" s="9" t="str">
        <f t="shared" si="2"/>
        <v>4039</v>
      </c>
      <c r="V38" s="38">
        <f t="shared" si="3"/>
        <v>42642.875451388885</v>
      </c>
      <c r="W38" s="52" t="str">
        <f t="shared" si="4"/>
        <v>EC</v>
      </c>
      <c r="X38" s="52" t="str">
        <f t="shared" si="5"/>
        <v>KEEP</v>
      </c>
      <c r="Y38" s="130" t="str">
        <f t="shared" si="6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ID","value":"178-29"},{"id":16,"name":"Locomotive ID","value":"4039"},{"id":130,"name":"Impact","value":""},{"id":150,"name":"Time of Event (Mountain Time)","value":"15:00:39"},{"id":151,"name":"Denver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 t="shared" si="7"/>
        <v>grep -hSE -A100 "Enforcement Action" "%USERPROFILE%\AppData\Local\Temp\OnboardLogs"\RTDC4039\*4039*201609292* | grep -SE "((Enforcement Ac)|(PRM))" -</v>
      </c>
    </row>
    <row r="39" spans="1:29" x14ac:dyDescent="0.25">
      <c r="A39" s="38">
        <v>42642.726550925923</v>
      </c>
      <c r="B39" s="33" t="s">
        <v>311</v>
      </c>
      <c r="C39" s="33" t="s">
        <v>518</v>
      </c>
      <c r="D39" s="33" t="s">
        <v>49</v>
      </c>
      <c r="E39" s="33" t="s">
        <v>50</v>
      </c>
      <c r="F39" s="49">
        <v>0</v>
      </c>
      <c r="G39" s="49">
        <v>51</v>
      </c>
      <c r="H39" s="49">
        <v>198</v>
      </c>
      <c r="I39" s="49">
        <v>156</v>
      </c>
      <c r="J39" s="33" t="s">
        <v>51</v>
      </c>
      <c r="K39" s="49">
        <v>1</v>
      </c>
      <c r="L39" s="146" t="s">
        <v>53</v>
      </c>
      <c r="M39" s="149">
        <f t="shared" ref="M39:M70" si="8">CONVERT((I39-K39)/10000,"mi","ft")*IF(L39="Increasing Mileposts (1)",-1,1)</f>
        <v>81.84</v>
      </c>
      <c r="N39" s="88" t="str">
        <f>VLOOKUP(C39,'Trips&amp;Operators'!$C$1:$E$99999,3,FALSE)</f>
        <v>OUN</v>
      </c>
      <c r="O39" s="170" t="s">
        <v>86</v>
      </c>
      <c r="P39" s="10"/>
      <c r="Q39" s="33"/>
      <c r="R39" s="104" t="str">
        <f>VLOOKUP(C39,'Train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39" s="107" t="str">
        <f>VLOOKUP(C39,'Train Runs'!$A$13:$AE$10005,22,0)</f>
        <v>https://search-rtdc-monitor-bjffxe2xuh6vdkpspy63sjmuny.us-east-1.es.amazonaws.com/_plugin/kibana/#/discover/Steve-Slow-Train-Analysis-(2080s-and-2083s)?_g=(refreshInterval:(display:Off,section:0,value:0),time:(from:'2016-09-29 15:34:23-0600',mode:absolute,to:'2016-09-29 18:26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39" s="109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/stypes="*4001*201609292*" /stext=" 23:.+((SYSTEM_STATE.+slice.+state.+changed )|(ment ac)|(system.+state.+changed )|(\[timeout)|(PRM\|1\|D)|(kpr)|(kdp)|(\|lc)|(penalty))" /e /r /s</v>
      </c>
      <c r="U39" s="9" t="str">
        <f t="shared" ref="U39:U59" si="10">MID(B39,13,4)</f>
        <v>4001</v>
      </c>
      <c r="V39" s="38">
        <f t="shared" ref="V39:V59" si="11">A39+6/24</f>
        <v>42642.976550925923</v>
      </c>
      <c r="W39" s="52" t="str">
        <f t="shared" ref="W39:W59" si="12">IF(VALUE(LEFT(IF(LEN(C39)=6,"0"&amp;C39,C39),2))&lt;=2,"EC",IF(OR(VALUE(LEFT(IF(LEN(C39)=6,"0"&amp;C39,C39),2))=8,VALUE(LEFT(IF(LEN(C39)=6,"0"&amp;C39,C39),2))=18),"NW","Other"))</f>
        <v>EC</v>
      </c>
      <c r="X39" s="52" t="str">
        <f t="shared" ref="X39:X59" si="13">IF(AND(E39="TRACK WARRANT AUTHORITY",G39&lt;10),"OMIT","KEEP")</f>
        <v>KEEP</v>
      </c>
      <c r="Y39" s="130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ID","value":"198-29"},{"id":16,"name":"Locomotive ID","value":"4001"},{"id":130,"name":"Impact","value":""},{"id":150,"name":"Time of Event (Mountain Time)","value":"17:26:14"},{"id":151,"name":"Denver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 t="shared" ref="AC39:AC59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"%USERPROFILE%\AppData\Local\Temp\OnboardLogs"\RTDC4001\*4001*201609292* | grep -SE "((Enforcement Ac)|(PRM))" -</v>
      </c>
    </row>
    <row r="40" spans="1:29" x14ac:dyDescent="0.25">
      <c r="A40" s="38">
        <v>42642.733541666668</v>
      </c>
      <c r="B40" s="33" t="s">
        <v>248</v>
      </c>
      <c r="C40" s="33" t="s">
        <v>522</v>
      </c>
      <c r="D40" s="33" t="s">
        <v>49</v>
      </c>
      <c r="E40" s="33" t="s">
        <v>50</v>
      </c>
      <c r="F40" s="49">
        <v>0</v>
      </c>
      <c r="G40" s="49">
        <v>29</v>
      </c>
      <c r="H40" s="49">
        <v>88</v>
      </c>
      <c r="I40" s="49">
        <v>76</v>
      </c>
      <c r="J40" s="33" t="s">
        <v>51</v>
      </c>
      <c r="K40" s="49">
        <v>1</v>
      </c>
      <c r="L40" s="146" t="s">
        <v>53</v>
      </c>
      <c r="M40" s="149">
        <f t="shared" si="8"/>
        <v>39.6</v>
      </c>
      <c r="N40" s="88" t="str">
        <f>VLOOKUP(C40,'Trips&amp;Operators'!$C$1:$E$99999,3,FALSE)</f>
        <v>STORY</v>
      </c>
      <c r="O40" s="170" t="s">
        <v>86</v>
      </c>
      <c r="P40" s="10"/>
      <c r="Q40" s="33"/>
      <c r="R40" s="104" t="str">
        <f>VLOOKUP(C40,'Train Runs'!$A$13:$AE$10005,31,0)</f>
        <v>aws s3 cp s3://rtdc.mdm.uploadarchive.raw/RTDC4030/ "%USERPROFILE%\AppData\Local\Temp\OnboardLogs"\RTDC4030\2016-09-29 --exclude "*" --recursive --include "*20160929*" &amp; "%USERPROFILE%\Documents\GitHub\mrs-test-scripts\Headless Mode &amp; Sideloading\WalkAndUnGZ.bat" "%USERPROFILE%\AppData\Local\Temp\OnboardLogs"\RTDC4030\2016-09-29 &amp; aws s3 cp s3://rtdc.mdm.uploadarchive.raw/RTDC4030/ "%USERPROFILE%\AppData\Local\Temp\OnboardLogs"\RTDC4030\2016-09-30 --exclude "*" --recursive --include "*20160930*" &amp; "%USERPROFILE%\Documents\GitHub\mrs-test-scripts\Headless Mode &amp; Sideloading\WalkAndUnGZ.bat" "%USERPROFILE%\AppData\Local\Temp\OnboardLogs"\RTDC4030\2016-09-30</v>
      </c>
      <c r="S40" s="107" t="str">
        <f>VLOOKUP(C40,'Train Runs'!$A$13:$AE$10005,22,0)</f>
        <v>https://search-rtdc-monitor-bjffxe2xuh6vdkpspy63sjmuny.us-east-1.es.amazonaws.com/_plugin/kibana/#/discover/Steve-Slow-Train-Analysis-(2080s-and-2083s)?_g=(refreshInterval:(display:Off,section:0,value:0),time:(from:'2016-09-29 15:45:10-0600',mode:absolute,to:'2016-09-29 18:36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4030%22')),sort:!(Time,asc))</v>
      </c>
      <c r="T40" s="109" t="str">
        <f t="shared" si="9"/>
        <v>"C:\Program Files (x86)\AstroGrep\AstroGrep.exe" /spath="%USERPROFILE%\AppData\Local\Temp\OnboardLogs" /stypes="*4030*201609292*" /stext=" 23:.+((SYSTEM_STATE.+slice.+state.+changed )|(ment ac)|(system.+state.+changed )|(\[timeout)|(PRM\|1\|D)|(kpr)|(kdp)|(\|lc)|(penalty))" /e /r /s</v>
      </c>
      <c r="U40" s="9" t="str">
        <f t="shared" si="10"/>
        <v>4030</v>
      </c>
      <c r="V40" s="38">
        <f t="shared" si="11"/>
        <v>42642.983541666668</v>
      </c>
      <c r="W40" s="52" t="str">
        <f t="shared" si="12"/>
        <v>EC</v>
      </c>
      <c r="X40" s="52" t="str">
        <f t="shared" si="13"/>
        <v>KEEP</v>
      </c>
      <c r="Y40" s="130" t="str">
        <f t="shared" si="14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ID","value":"200-29"},{"id":16,"name":"Locomotive ID","value":"4030"},{"id":130,"name":"Impact","value":""},{"id":150,"name":"Time of Event (Mountain Time)","value":"17:36:18"},{"id":151,"name":"Denver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 t="shared" si="15"/>
        <v>grep -hSE -A100 "Enforcement Action" "%USERPROFILE%\AppData\Local\Temp\OnboardLogs"\RTDC4030\*4030*201609292* | grep -SE "((Enforcement Ac)|(PRM))" -</v>
      </c>
    </row>
    <row r="41" spans="1:29" x14ac:dyDescent="0.25">
      <c r="A41" s="38">
        <v>42642.796875</v>
      </c>
      <c r="B41" s="33" t="s">
        <v>311</v>
      </c>
      <c r="C41" s="33" t="s">
        <v>546</v>
      </c>
      <c r="D41" s="33" t="s">
        <v>49</v>
      </c>
      <c r="E41" s="33" t="s">
        <v>50</v>
      </c>
      <c r="F41" s="49">
        <v>0</v>
      </c>
      <c r="G41" s="49">
        <v>51</v>
      </c>
      <c r="H41" s="49">
        <v>187</v>
      </c>
      <c r="I41" s="49">
        <v>150</v>
      </c>
      <c r="J41" s="33" t="s">
        <v>51</v>
      </c>
      <c r="K41" s="49">
        <v>1</v>
      </c>
      <c r="L41" s="146" t="s">
        <v>53</v>
      </c>
      <c r="M41" s="149">
        <f t="shared" si="8"/>
        <v>78.671999999999997</v>
      </c>
      <c r="N41" s="88" t="str">
        <f>VLOOKUP(C41,'Trips&amp;Operators'!$C$1:$E$99999,3,FALSE)</f>
        <v>YOUNG</v>
      </c>
      <c r="O41" s="170" t="s">
        <v>86</v>
      </c>
      <c r="P41" s="10"/>
      <c r="Q41" s="33"/>
      <c r="R41" s="104" t="str">
        <f>VLOOKUP(C41,'Train Runs'!$A$13:$AE$10005,31,0)</f>
        <v>aws s3 cp s3://rtdc.mdm.uploadarchive.raw/RTDC4001/ "%USERPROFILE%\AppData\Local\Temp\OnboardLogs"\RTDC4001\2016-09-29 --exclude "*" --recursive --include "*20160929*" &amp; "%USERPROFILE%\Documents\GitHub\mrs-test-scripts\Headless Mode &amp; Sideloading\WalkAndUnGZ.bat" "%USERPROFILE%\AppData\Local\Temp\OnboardLogs"\RTDC4001\2016-09-29 &amp; aws s3 cp s3://rtdc.mdm.uploadarchive.raw/RTDC4001/ "%USERPROFILE%\AppData\Local\Temp\OnboardLogs"\RTDC4001\2016-09-30 --exclude "*" --recursive --include "*20160930*" &amp; "%USERPROFILE%\Documents\GitHub\mrs-test-scripts\Headless Mode &amp; Sideloading\WalkAndUnGZ.bat" "%USERPROFILE%\AppData\Local\Temp\OnboardLogs"\RTDC4001\2016-09-30</v>
      </c>
      <c r="S41" s="107" t="str">
        <f>VLOOKUP(C41,'Train Runs'!$A$13:$AE$10005,22,0)</f>
        <v>https://search-rtdc-monitor-bjffxe2xuh6vdkpspy63sjmuny.us-east-1.es.amazonaws.com/_plugin/kibana/#/discover/Steve-Slow-Train-Analysis-(2080s-and-2083s)?_g=(refreshInterval:(display:Off,section:0,value:0),time:(from:'2016-09-29 17:19:10-0600',mode:absolute,to:'2016-09-29 20:07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4001%22')),sort:!(Time,asc))</v>
      </c>
      <c r="T41" s="109" t="str">
        <f t="shared" si="9"/>
        <v>"C:\Program Files (x86)\AstroGrep\AstroGrep.exe" /spath="%USERPROFILE%\AppData\Local\Temp\OnboardLogs" /stypes="*4001*201609300*" /stext=" 01:.+((SYSTEM_STATE.+slice.+state.+changed )|(ment ac)|(system.+state.+changed )|(\[timeout)|(PRM\|1\|D)|(kpr)|(kdp)|(\|lc)|(penalty))" /e /r /s</v>
      </c>
      <c r="U41" s="9" t="str">
        <f t="shared" si="10"/>
        <v>4001</v>
      </c>
      <c r="V41" s="38">
        <f t="shared" si="11"/>
        <v>42643.046875</v>
      </c>
      <c r="W41" s="52" t="str">
        <f t="shared" si="12"/>
        <v>EC</v>
      </c>
      <c r="X41" s="52" t="str">
        <f t="shared" si="13"/>
        <v>KEEP</v>
      </c>
      <c r="Y41" s="130" t="str">
        <f t="shared" si="14"/>
        <v>echo {"issue":{"subject":"","project_id":79,"tracker_id":40,"status_id":1,"priority_id":2,"assigned_to_id":23,"start_date":"2016-09-29","description":"","custom_fields":[{"id":1,"name":"Subdivision","value":"EC"},{"id":4,"name":"Milepost","value":"0.0001"},{"id":17,"name":"Train ID","value":"212-29"},{"id":16,"name":"Locomotive ID","value":"4001"},{"id":130,"name":"Impact","value":""},{"id":150,"name":"Time of Event (Mountain Time)","value":"19:07:30"},{"id":151,"name":"Denver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5"/>
      <c r="AA41" s="55"/>
      <c r="AB41" s="23"/>
      <c r="AC41" s="171" t="str">
        <f t="shared" si="15"/>
        <v>grep -hSE -A100 "Enforcement Action" "%USERPROFILE%\AppData\Local\Temp\OnboardLogs"\RTDC4001\*4001*201609300* | grep -SE "((Enforcement Ac)|(PRM))" -</v>
      </c>
    </row>
    <row r="42" spans="1:29" x14ac:dyDescent="0.25">
      <c r="A42" s="38">
        <v>42642.328715277778</v>
      </c>
      <c r="B42" s="33" t="s">
        <v>247</v>
      </c>
      <c r="C42" s="33" t="s">
        <v>403</v>
      </c>
      <c r="D42" s="33" t="s">
        <v>49</v>
      </c>
      <c r="E42" s="33" t="s">
        <v>50</v>
      </c>
      <c r="F42" s="49">
        <v>0</v>
      </c>
      <c r="G42" s="49">
        <v>130</v>
      </c>
      <c r="H42" s="49">
        <v>232664</v>
      </c>
      <c r="I42" s="49">
        <v>232843</v>
      </c>
      <c r="J42" s="33" t="s">
        <v>51</v>
      </c>
      <c r="K42" s="49">
        <v>233491</v>
      </c>
      <c r="L42" s="146" t="s">
        <v>52</v>
      </c>
      <c r="M42" s="149">
        <f t="shared" si="8"/>
        <v>342.14400000000001</v>
      </c>
      <c r="N42" s="88" t="str">
        <f>VLOOKUP(C42,'Trips&amp;Operators'!$C$1:$E$99999,3,FALSE)</f>
        <v>BRANNON</v>
      </c>
      <c r="O42" s="170" t="s">
        <v>86</v>
      </c>
      <c r="P42" s="10"/>
      <c r="Q42" s="33"/>
      <c r="R42" s="104" t="str">
        <f>VLOOKUP(C42,'Train Runs'!$A$13:$AE$10005,31,0)</f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S42" s="107" t="str">
        <f>VLOOKUP(C42,'Train Runs'!$A$13:$AE$10005,22,0)</f>
        <v>https://search-rtdc-monitor-bjffxe2xuh6vdkpspy63sjmuny.us-east-1.es.amazonaws.com/_plugin/kibana/#/discover/Steve-Slow-Train-Analysis-(2080s-and-2083s)?_g=(refreshInterval:(display:Off,section:0,value:0),time:(from:'2016-09-29 06:08:59-0600',mode:absolute,to:'2016-09-29 08:52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2" s="109" t="str">
        <f t="shared" si="9"/>
        <v>"C:\Program Files (x86)\AstroGrep\AstroGrep.exe" /spath="%USERPROFILE%\AppData\Local\Temp\OnboardLogs" /stypes="*4029*201609291*" /stext=" 13:.+((SYSTEM_STATE.+slice.+state.+changed )|(ment ac)|(system.+state.+changed )|(\[timeout)|(PRM\|1\|D)|(kpr)|(kdp)|(\|lc)|(penalty))" /e /r /s</v>
      </c>
      <c r="U42" s="9" t="str">
        <f t="shared" si="10"/>
        <v>4029</v>
      </c>
      <c r="V42" s="38">
        <f t="shared" si="11"/>
        <v>42642.578715277778</v>
      </c>
      <c r="W42" s="52" t="str">
        <f t="shared" si="12"/>
        <v>EC</v>
      </c>
      <c r="X42" s="52" t="str">
        <f t="shared" si="13"/>
        <v>KEEP</v>
      </c>
      <c r="Y42" s="130" t="str">
        <f t="shared" si="14"/>
        <v>echo {"issue":{"subject":"","project_id":79,"tracker_id":40,"status_id":1,"priority_id":2,"assigned_to_id":23,"start_date":"2016-09-29","description":"","custom_fields":[{"id":1,"name":"Subdivision","value":"EC"},{"id":4,"name":"Milepost","value":"23.3491"},{"id":17,"name":"Train ID","value":"129-29"},{"id":16,"name":"Locomotive ID","value":"4029"},{"id":130,"name":"Impact","value":""},{"id":150,"name":"Time of Event (Mountain Time)","value":"07:53:21"},{"id":151,"name":"Denver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5"/>
      <c r="AA42" s="55"/>
      <c r="AB42" s="23"/>
      <c r="AC42" s="171" t="str">
        <f t="shared" si="15"/>
        <v>grep -hSE -A100 "Enforcement Action" "%USERPROFILE%\AppData\Local\Temp\OnboardLogs"\RTDC4029\*4029*201609291* | grep -SE "((Enforcement Ac)|(PRM))" -</v>
      </c>
    </row>
    <row r="43" spans="1:29" x14ac:dyDescent="0.25">
      <c r="A43" s="38">
        <v>42642.563032407408</v>
      </c>
      <c r="B43" s="33" t="s">
        <v>168</v>
      </c>
      <c r="C43" s="33" t="s">
        <v>472</v>
      </c>
      <c r="D43" s="33" t="s">
        <v>49</v>
      </c>
      <c r="E43" s="33" t="s">
        <v>50</v>
      </c>
      <c r="F43" s="49">
        <v>0</v>
      </c>
      <c r="G43" s="49">
        <v>68</v>
      </c>
      <c r="H43" s="49">
        <v>233215</v>
      </c>
      <c r="I43" s="49">
        <v>233293</v>
      </c>
      <c r="J43" s="33" t="s">
        <v>51</v>
      </c>
      <c r="K43" s="49">
        <v>233491</v>
      </c>
      <c r="L43" s="146" t="s">
        <v>52</v>
      </c>
      <c r="M43" s="149">
        <f t="shared" si="8"/>
        <v>104.544</v>
      </c>
      <c r="N43" s="88" t="str">
        <f>VLOOKUP(C43,'Trips&amp;Operators'!$C$1:$E$99999,3,FALSE)</f>
        <v>BONDS</v>
      </c>
      <c r="O43" s="170" t="s">
        <v>86</v>
      </c>
      <c r="P43" s="10"/>
      <c r="Q43" s="33"/>
      <c r="R43" s="104" t="str">
        <f>VLOOKUP(C43,'Train Runs'!$A$13:$AE$10005,31,0)</f>
        <v>aws s3 cp s3://rtdc.mdm.uploadarchive.raw/RTDC4025/ "%USERPROFILE%\AppData\Local\Temp\OnboardLogs"\RTDC4025\2016-09-29 --exclude "*" --recursive --include "*20160929*" &amp; "%USERPROFILE%\Documents\GitHub\mrs-test-scripts\Headless Mode &amp; Sideloading\WalkAndUnGZ.bat" "%USERPROFILE%\AppData\Local\Temp\OnboardLogs"\RTDC4025\2016-09-29 &amp; aws s3 cp s3://rtdc.mdm.uploadarchive.raw/RTDC4025/ "%USERPROFILE%\AppData\Local\Temp\OnboardLogs"\RTDC4025\2016-09-30 --exclude "*" --recursive --include "*20160930*" &amp; "%USERPROFILE%\Documents\GitHub\mrs-test-scripts\Headless Mode &amp; Sideloading\WalkAndUnGZ.bat" "%USERPROFILE%\AppData\Local\Temp\OnboardLogs"\RTDC4025\2016-09-30</v>
      </c>
      <c r="S43" s="107" t="str">
        <f>VLOOKUP(C43,'Train Runs'!$A$13:$AE$10005,22,0)</f>
        <v>https://search-rtdc-monitor-bjffxe2xuh6vdkpspy63sjmuny.us-east-1.es.amazonaws.com/_plugin/kibana/#/discover/Steve-Slow-Train-Analysis-(2080s-and-2083s)?_g=(refreshInterval:(display:Off,section:0,value:0),time:(from:'2016-09-29 11:41:51-0600',mode:absolute,to:'2016-09-29 14:30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4025%22')),sort:!(Time,asc))</v>
      </c>
      <c r="T43" s="109" t="str">
        <f t="shared" si="9"/>
        <v>"C:\Program Files (x86)\AstroGrep\AstroGrep.exe" /spath="%USERPROFILE%\AppData\Local\Temp\OnboardLogs" /stypes="*4025*201609291*" /stext=" 19:.+((SYSTEM_STATE.+slice.+state.+changed )|(ment ac)|(system.+state.+changed )|(\[timeout)|(PRM\|1\|D)|(kpr)|(kdp)|(\|lc)|(penalty))" /e /r /s</v>
      </c>
      <c r="U43" s="9" t="str">
        <f t="shared" si="10"/>
        <v>4025</v>
      </c>
      <c r="V43" s="38">
        <f t="shared" si="11"/>
        <v>42642.813032407408</v>
      </c>
      <c r="W43" s="52" t="str">
        <f t="shared" si="12"/>
        <v>EC</v>
      </c>
      <c r="X43" s="52" t="str">
        <f t="shared" si="13"/>
        <v>KEEP</v>
      </c>
      <c r="Y43" s="130" t="str">
        <f t="shared" si="14"/>
        <v>echo {"issue":{"subject":"","project_id":79,"tracker_id":40,"status_id":1,"priority_id":2,"assigned_to_id":23,"start_date":"2016-09-29","description":"","custom_fields":[{"id":1,"name":"Subdivision","value":"EC"},{"id":4,"name":"Milepost","value":"23.3491"},{"id":17,"name":"Train ID","value":"173-29"},{"id":16,"name":"Locomotive ID","value":"4025"},{"id":130,"name":"Impact","value":""},{"id":150,"name":"Time of Event (Mountain Time)","value":"13:30:46"},{"id":151,"name":"Denver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5"/>
      <c r="AA43" s="55"/>
      <c r="AB43" s="23"/>
      <c r="AC43" s="171" t="str">
        <f t="shared" si="15"/>
        <v>grep -hSE -A100 "Enforcement Action" "%USERPROFILE%\AppData\Local\Temp\OnboardLogs"\RTDC4025\*4025*201609291* | grep -SE "((Enforcement Ac)|(PRM))" -</v>
      </c>
    </row>
    <row r="44" spans="1:29" x14ac:dyDescent="0.25">
      <c r="A44" s="38">
        <v>42642.692511574074</v>
      </c>
      <c r="B44" s="33" t="s">
        <v>247</v>
      </c>
      <c r="C44" s="33" t="s">
        <v>512</v>
      </c>
      <c r="D44" s="33" t="s">
        <v>49</v>
      </c>
      <c r="E44" s="33" t="s">
        <v>50</v>
      </c>
      <c r="F44" s="49">
        <v>0</v>
      </c>
      <c r="G44" s="49">
        <v>87</v>
      </c>
      <c r="H44" s="49">
        <v>233168</v>
      </c>
      <c r="I44" s="49">
        <v>233274</v>
      </c>
      <c r="J44" s="33" t="s">
        <v>51</v>
      </c>
      <c r="K44" s="49">
        <v>233491</v>
      </c>
      <c r="L44" s="146" t="s">
        <v>52</v>
      </c>
      <c r="M44" s="149">
        <f t="shared" si="8"/>
        <v>114.57599999999999</v>
      </c>
      <c r="N44" s="88" t="str">
        <f>VLOOKUP(C44,'Trips&amp;Operators'!$C$1:$E$99999,3,FALSE)</f>
        <v>STORY</v>
      </c>
      <c r="O44" s="170" t="s">
        <v>86</v>
      </c>
      <c r="P44" s="10"/>
      <c r="Q44" s="33"/>
      <c r="R44" s="104" t="str">
        <f>VLOOKUP(C44,'Train Runs'!$A$13:$AE$10005,31,0)</f>
        <v>aws s3 cp s3://rtdc.mdm.uploadarchive.raw/RTDC4029/ "%USERPROFILE%\AppData\Local\Temp\OnboardLogs"\RTDC4029\2016-09-29 --exclude "*" --recursive --include "*20160929*" &amp; "%USERPROFILE%\Documents\GitHub\mrs-test-scripts\Headless Mode &amp; Sideloading\WalkAndUnGZ.bat" "%USERPROFILE%\AppData\Local\Temp\OnboardLogs"\RTDC4029\2016-09-29 &amp; aws s3 cp s3://rtdc.mdm.uploadarchive.raw/RTDC4029/ "%USERPROFILE%\AppData\Local\Temp\OnboardLogs"\RTDC4029\2016-09-30 --exclude "*" --recursive --include "*20160930*" &amp; "%USERPROFILE%\Documents\GitHub\mrs-test-scripts\Headless Mode &amp; Sideloading\WalkAndUnGZ.bat" "%USERPROFILE%\AppData\Local\Temp\OnboardLogs"\RTDC4029\2016-09-30</v>
      </c>
      <c r="S44" s="107" t="str">
        <f>VLOOKUP(C44,'Train Runs'!$A$13:$AE$10005,22,0)</f>
        <v>https://search-rtdc-monitor-bjffxe2xuh6vdkpspy63sjmuny.us-east-1.es.amazonaws.com/_plugin/kibana/#/discover/Steve-Slow-Train-Analysis-(2080s-and-2083s)?_g=(refreshInterval:(display:Off,section:0,value:0),time:(from:'2016-09-29 14:58:47-0600',mode:absolute,to:'2016-09-29 17:37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4029%22')),sort:!(Time,asc))</v>
      </c>
      <c r="T44" s="109" t="str">
        <f t="shared" si="9"/>
        <v>"C:\Program Files (x86)\AstroGrep\AstroGrep.exe" /spath="%USERPROFILE%\AppData\Local\Temp\OnboardLogs" /stypes="*4029*201609292*" /stext=" 22:.+((SYSTEM_STATE.+slice.+state.+changed )|(ment ac)|(system.+state.+changed )|(\[timeout)|(PRM\|1\|D)|(kpr)|(kdp)|(\|lc)|(penalty))" /e /r /s</v>
      </c>
      <c r="U44" s="9" t="str">
        <f t="shared" si="10"/>
        <v>4029</v>
      </c>
      <c r="V44" s="38">
        <f t="shared" si="11"/>
        <v>42642.942511574074</v>
      </c>
      <c r="W44" s="52" t="str">
        <f t="shared" si="12"/>
        <v>EC</v>
      </c>
      <c r="X44" s="52" t="str">
        <f t="shared" si="13"/>
        <v>KEEP</v>
      </c>
      <c r="Y44" s="130" t="str">
        <f t="shared" si="14"/>
        <v>echo {"issue":{"subject":"","project_id":79,"tracker_id":40,"status_id":1,"priority_id":2,"assigned_to_id":23,"start_date":"2016-09-29","description":"","custom_fields":[{"id":1,"name":"Subdivision","value":"EC"},{"id":4,"name":"Milepost","value":"23.3491"},{"id":17,"name":"Train ID","value":"199-29"},{"id":16,"name":"Locomotive ID","value":"4029"},{"id":130,"name":"Impact","value":""},{"id":150,"name":"Time of Event (Mountain Time)","value":"16:37:13"},{"id":151,"name":"Denver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5"/>
      <c r="AA44" s="55"/>
      <c r="AB44" s="23"/>
      <c r="AC44" s="171" t="str">
        <f t="shared" si="15"/>
        <v>grep -hSE -A100 "Enforcement Action" "%USERPROFILE%\AppData\Local\Temp\OnboardLogs"\RTDC4029\*4029*201609292* | grep -SE "((Enforcement Ac)|(PRM))" -</v>
      </c>
    </row>
    <row r="45" spans="1:29" x14ac:dyDescent="0.25">
      <c r="A45" s="38">
        <v>42642.352141203701</v>
      </c>
      <c r="B45" s="33" t="s">
        <v>236</v>
      </c>
      <c r="C45" s="33" t="s">
        <v>416</v>
      </c>
      <c r="D45" s="33" t="s">
        <v>49</v>
      </c>
      <c r="E45" s="33" t="s">
        <v>56</v>
      </c>
      <c r="F45" s="49">
        <v>300</v>
      </c>
      <c r="G45" s="49">
        <v>404</v>
      </c>
      <c r="H45" s="49">
        <v>19548</v>
      </c>
      <c r="I45" s="49">
        <v>21028</v>
      </c>
      <c r="J45" s="33" t="s">
        <v>57</v>
      </c>
      <c r="K45" s="49">
        <v>21299</v>
      </c>
      <c r="L45" s="146" t="s">
        <v>52</v>
      </c>
      <c r="M45" s="149">
        <f t="shared" si="8"/>
        <v>143.08799999999999</v>
      </c>
      <c r="N45" s="88" t="str">
        <f>VLOOKUP(C45,'Trips&amp;Operators'!$C$1:$E$99999,3,FALSE)</f>
        <v>SNYDER</v>
      </c>
      <c r="O45" s="170" t="s">
        <v>86</v>
      </c>
      <c r="P45" s="10"/>
      <c r="Q45" s="33"/>
      <c r="R45" s="104" t="str">
        <f>VLOOKUP(C45,'Train Runs'!$A$13:$AE$10005,31,0)</f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S45" s="107" t="str">
        <f>VLOOKUP(C45,'Train Runs'!$A$13:$AE$10005,22,0)</f>
        <v>https://search-rtdc-monitor-bjffxe2xuh6vdkpspy63sjmuny.us-east-1.es.amazonaws.com/_plugin/kibana/#/discover/Steve-Slow-Train-Analysis-(2080s-and-2083s)?_g=(refreshInterval:(display:Off,section:0,value:0),time:(from:'2016-09-29 07:14:58-0600',mode:absolute,to:'2016-09-29 09:37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45" s="109" t="str">
        <f t="shared" si="9"/>
        <v>"C:\Program Files (x86)\AstroGrep\AstroGrep.exe" /spath="%USERPROFILE%\AppData\Local\Temp\OnboardLogs" /stypes="*4014*201609291*" /stext=" 14:.+((SYSTEM_STATE.+slice.+state.+changed )|(ment ac)|(system.+state.+changed )|(\[timeout)|(PRM\|1\|D)|(kpr)|(kdp)|(\|lc)|(penalty))" /e /r /s</v>
      </c>
      <c r="U45" s="9" t="str">
        <f t="shared" si="10"/>
        <v>4014</v>
      </c>
      <c r="V45" s="38">
        <f t="shared" si="11"/>
        <v>42642.602141203701</v>
      </c>
      <c r="W45" s="52" t="str">
        <f t="shared" si="12"/>
        <v>NW</v>
      </c>
      <c r="X45" s="52" t="str">
        <f t="shared" si="13"/>
        <v>KEEP</v>
      </c>
      <c r="Y45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{"issue":{"subject":"","project_id":79,"tracker_id":40,"status_id":1,"priority_id":2,"assigned_to_id":23,"start_date":"2016-09-29","description":"","custom_fields":[{"id":1,"name":"Subdivision","value":"NW"},{"id":4,"name":"Milepost","value":"2.1299"},{"id":17,"name":"Train ID","value":"811-29"},{"id":16,"name":"Locomotive ID","value":"4014"},{"id":130,"name":"Impact","value":""},{"id":150,"name":"Time of Event (Mountain Time)","value":"08:27:05"},{"id":151,"name":"Denver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5"/>
      <c r="AA45" s="55"/>
      <c r="AB45" s="23"/>
      <c r="AC45" s="171" t="str">
        <f t="shared" si="15"/>
        <v>grep -hSE -A100 "Enforcement Action" "%USERPROFILE%\AppData\Local\Temp\OnboardLogs"\RTDC4014\*4014*201609291* | grep -SE "((Enforcement Ac)|(PRM))" -</v>
      </c>
    </row>
    <row r="46" spans="1:29" x14ac:dyDescent="0.25">
      <c r="A46" s="38">
        <v>42642.71707175926</v>
      </c>
      <c r="B46" s="33" t="s">
        <v>382</v>
      </c>
      <c r="C46" s="33" t="s">
        <v>520</v>
      </c>
      <c r="D46" s="33" t="s">
        <v>105</v>
      </c>
      <c r="E46" s="33" t="s">
        <v>56</v>
      </c>
      <c r="F46" s="49">
        <v>400</v>
      </c>
      <c r="G46" s="49">
        <v>451</v>
      </c>
      <c r="H46" s="49">
        <v>43811</v>
      </c>
      <c r="I46" s="49">
        <v>48261</v>
      </c>
      <c r="J46" s="33" t="s">
        <v>57</v>
      </c>
      <c r="K46" s="49">
        <v>41797</v>
      </c>
      <c r="L46" s="146" t="s">
        <v>52</v>
      </c>
      <c r="M46" s="149">
        <f t="shared" si="8"/>
        <v>-3412.9920000000002</v>
      </c>
      <c r="N46" s="88" t="str">
        <f>VLOOKUP(C46,'Trips&amp;Operators'!$C$1:$E$99999,3,FALSE)</f>
        <v>BROWN</v>
      </c>
      <c r="O46" s="170" t="s">
        <v>86</v>
      </c>
      <c r="P46" s="10"/>
      <c r="Q46" s="33"/>
      <c r="R46" s="104" t="str">
        <f>VLOOKUP(C46,'Train Runs'!$A$13:$AE$10005,31,0)</f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S46" s="107" t="str">
        <f>VLOOKUP(C46,'Train Runs'!$A$13:$AE$10005,22,0)</f>
        <v>https://search-rtdc-monitor-bjffxe2xuh6vdkpspy63sjmuny.us-east-1.es.amazonaws.com/_plugin/kibana/#/discover/Steve-Slow-Train-Analysis-(2080s-and-2083s)?_g=(refreshInterval:(display:Off,section:0,value:0),time:(from:'2016-09-29 15:39:15-0600',mode:absolute,to:'2016-09-29 18:16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46" s="109" t="str">
        <f t="shared" si="9"/>
        <v>"C:\Program Files (x86)\AstroGrep\AstroGrep.exe" /spath="%USERPROFILE%\AppData\Local\Temp\OnboardLogs" /stypes="*4011*201609292*" /stext=" 23:.+((SYSTEM_STATE.+slice.+state.+changed )|(ment ac)|(system.+state.+changed )|(\[timeout)|(PRM\|1\|D)|(kpr)|(kdp)|(\|lc)|(penalty))" /e /r /s</v>
      </c>
      <c r="U46" s="9" t="str">
        <f t="shared" si="10"/>
        <v>4011</v>
      </c>
      <c r="V46" s="38">
        <f t="shared" si="11"/>
        <v>42642.96707175926</v>
      </c>
      <c r="W46" s="52" t="str">
        <f t="shared" si="12"/>
        <v>NW</v>
      </c>
      <c r="X46" s="52" t="str">
        <f t="shared" si="13"/>
        <v>KEEP</v>
      </c>
      <c r="Y46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{"issue":{"subject":"","project_id":79,"tracker_id":40,"status_id":1,"priority_id":2,"assigned_to_id":23,"start_date":"2016-09-29","description":"","custom_fields":[{"id":1,"name":"Subdivision","value":"NW"},{"id":4,"name":"Milepost","value":"4.1797"},{"id":17,"name":"Train ID","value":"831-29"},{"id":16,"name":"Locomotive ID","value":"4011"},{"id":130,"name":"Impact","value":""},{"id":150,"name":"Time of Event (Mountain Time)","value":"17:12:35"},{"id":151,"name":"Denver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5"/>
      <c r="AA46" s="55"/>
      <c r="AB46" s="23"/>
      <c r="AC46" s="171" t="str">
        <f t="shared" si="15"/>
        <v>grep -hSE -A100 "Enforcement Action" "%USERPROFILE%\AppData\Local\Temp\OnboardLogs"\RTDC4011\*4011*201609292* | grep -SE "((Enforcement Ac)|(PRM))" -</v>
      </c>
    </row>
    <row r="47" spans="1:29" x14ac:dyDescent="0.25">
      <c r="A47" s="38">
        <v>42642.288958333331</v>
      </c>
      <c r="B47" s="33" t="s">
        <v>280</v>
      </c>
      <c r="C47" s="33" t="s">
        <v>397</v>
      </c>
      <c r="D47" s="33" t="s">
        <v>49</v>
      </c>
      <c r="E47" s="33" t="s">
        <v>50</v>
      </c>
      <c r="F47" s="49">
        <v>0</v>
      </c>
      <c r="G47" s="49">
        <v>40</v>
      </c>
      <c r="H47" s="49">
        <v>698</v>
      </c>
      <c r="I47" s="49">
        <v>671</v>
      </c>
      <c r="J47" s="33" t="s">
        <v>51</v>
      </c>
      <c r="K47" s="49">
        <v>575</v>
      </c>
      <c r="L47" s="146" t="s">
        <v>53</v>
      </c>
      <c r="M47" s="149">
        <f t="shared" si="8"/>
        <v>50.688000000000002</v>
      </c>
      <c r="N47" s="88" t="str">
        <f>VLOOKUP(C47,'Trips&amp;Operators'!$C$1:$E$99999,3,FALSE)</f>
        <v>GEBRETEKLE</v>
      </c>
      <c r="O47" s="170" t="s">
        <v>86</v>
      </c>
      <c r="P47" s="10"/>
      <c r="Q47" s="33"/>
      <c r="R47" s="104" t="str">
        <f>VLOOKUP(C47,'Train Runs'!$A$13:$AE$10005,31,0)</f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S47" s="107" t="str">
        <f>VLOOKUP(C47,'Train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05:37:41-0600',mode:absolute,to:'2016-09-29 07:56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7" s="109" t="str">
        <f t="shared" si="9"/>
        <v>"C:\Program Files (x86)\AstroGrep\AstroGrep.exe" /spath="%USERPROFILE%\AppData\Local\Temp\OnboardLogs" /stypes="*4013*201609291*" /stext=" 12:.+((SYSTEM_STATE.+slice.+state.+changed )|(ment ac)|(system.+state.+changed )|(\[timeout)|(PRM\|1\|D)|(kpr)|(kdp)|(\|lc)|(penalty))" /e /r /s</v>
      </c>
      <c r="U47" s="9" t="str">
        <f t="shared" si="10"/>
        <v>4013</v>
      </c>
      <c r="V47" s="38">
        <f t="shared" si="11"/>
        <v>42642.538958333331</v>
      </c>
      <c r="W47" s="52" t="str">
        <f t="shared" si="12"/>
        <v>NW</v>
      </c>
      <c r="X47" s="52" t="str">
        <f t="shared" si="13"/>
        <v>KEEP</v>
      </c>
      <c r="Y47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{"issue":{"subject":"","project_id":79,"tracker_id":40,"status_id":1,"priority_id":2,"assigned_to_id":23,"start_date":"2016-09-29","description":"","custom_fields":[{"id":1,"name":"Subdivision","value":"NW"},{"id":4,"name":"Milepost","value":"0.0575"},{"id":17,"name":"Train ID","value":"804-29"},{"id":16,"name":"Locomotive ID","value":"4013"},{"id":130,"name":"Impact","value":""},{"id":150,"name":"Time of Event (Mountain Time)","value":"06:56:06"},{"id":151,"name":"Denver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5"/>
      <c r="AA47" s="55"/>
      <c r="AB47" s="23"/>
      <c r="AC47" s="171" t="str">
        <f t="shared" si="15"/>
        <v>grep -hSE -A100 "Enforcement Action" "%USERPROFILE%\AppData\Local\Temp\OnboardLogs"\RTDC4013\*4013*201609291* | grep -SE "((Enforcement Ac)|(PRM))" -</v>
      </c>
    </row>
    <row r="48" spans="1:29" x14ac:dyDescent="0.25">
      <c r="A48" s="38">
        <v>42642.412928240738</v>
      </c>
      <c r="B48" s="33" t="s">
        <v>280</v>
      </c>
      <c r="C48" s="33" t="s">
        <v>432</v>
      </c>
      <c r="D48" s="33" t="s">
        <v>49</v>
      </c>
      <c r="E48" s="33" t="s">
        <v>50</v>
      </c>
      <c r="F48" s="49">
        <v>0</v>
      </c>
      <c r="G48" s="49">
        <v>34</v>
      </c>
      <c r="H48" s="49">
        <v>689</v>
      </c>
      <c r="I48" s="49">
        <v>654</v>
      </c>
      <c r="J48" s="33" t="s">
        <v>51</v>
      </c>
      <c r="K48" s="49">
        <v>575</v>
      </c>
      <c r="L48" s="146" t="s">
        <v>53</v>
      </c>
      <c r="M48" s="149">
        <f t="shared" si="8"/>
        <v>41.712000000000003</v>
      </c>
      <c r="N48" s="88" t="str">
        <f>VLOOKUP(C48,'Trips&amp;Operators'!$C$1:$E$99999,3,FALSE)</f>
        <v>GEBRETEKLE</v>
      </c>
      <c r="O48" s="170" t="s">
        <v>86</v>
      </c>
      <c r="P48" s="10"/>
      <c r="Q48" s="33"/>
      <c r="R48" s="104" t="str">
        <f>VLOOKUP(C48,'Train Runs'!$A$13:$AE$10005,31,0)</f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S48" s="107" t="str">
        <f>VLOOKUP(C48,'Train Runs'!$A$13:$AE$10005,22,0)</f>
        <v>https://search-rtdc-monitor-bjffxe2xuh6vdkpspy63sjmuny.us-east-1.es.amazonaws.com/_plugin/kibana/#/discover/Steve-Slow-Train-Analysis-(2080s-and-2083s)?_g=(refreshInterval:(display:Off,section:0,value:0),time:(from:'2016-09-29 08:36:52-0600',mode:absolute,to:'2016-09-29 10:54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8" s="109" t="str">
        <f t="shared" si="9"/>
        <v>"C:\Program Files (x86)\AstroGrep\AstroGrep.exe" /spath="%USERPROFILE%\AppData\Local\Temp\OnboardLogs" /stypes="*4013*201609291*" /stext=" 15:.+((SYSTEM_STATE.+slice.+state.+changed )|(ment ac)|(system.+state.+changed )|(\[timeout)|(PRM\|1\|D)|(kpr)|(kdp)|(\|lc)|(penalty))" /e /r /s</v>
      </c>
      <c r="U48" s="9" t="str">
        <f t="shared" si="10"/>
        <v>4013</v>
      </c>
      <c r="V48" s="38">
        <f t="shared" si="11"/>
        <v>42642.662928240738</v>
      </c>
      <c r="W48" s="52" t="str">
        <f t="shared" si="12"/>
        <v>NW</v>
      </c>
      <c r="X48" s="52" t="str">
        <f t="shared" si="13"/>
        <v>KEEP</v>
      </c>
      <c r="Y48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{"issue":{"subject":"","project_id":79,"tracker_id":40,"status_id":1,"priority_id":2,"assigned_to_id":23,"start_date":"2016-09-29","description":"","custom_fields":[{"id":1,"name":"Subdivision","value":"NW"},{"id":4,"name":"Milepost","value":"0.0575"},{"id":17,"name":"Train ID","value":"814-29"},{"id":16,"name":"Locomotive ID","value":"4013"},{"id":130,"name":"Impact","value":""},{"id":150,"name":"Time of Event (Mountain Time)","value":"09:54:37"},{"id":151,"name":"Denver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5"/>
      <c r="AA48" s="55"/>
      <c r="AB48" s="23"/>
      <c r="AC48" s="171" t="str">
        <f t="shared" si="15"/>
        <v>grep -hSE -A100 "Enforcement Action" "%USERPROFILE%\AppData\Local\Temp\OnboardLogs"\RTDC4013\*4013*201609291* | grep -SE "((Enforcement Ac)|(PRM))" -</v>
      </c>
    </row>
    <row r="49" spans="1:29" x14ac:dyDescent="0.25">
      <c r="A49" s="38">
        <v>42642.58084490741</v>
      </c>
      <c r="B49" s="33" t="s">
        <v>280</v>
      </c>
      <c r="C49" s="33" t="s">
        <v>481</v>
      </c>
      <c r="D49" s="33" t="s">
        <v>49</v>
      </c>
      <c r="E49" s="33" t="s">
        <v>50</v>
      </c>
      <c r="F49" s="49">
        <v>0</v>
      </c>
      <c r="G49" s="49">
        <v>117</v>
      </c>
      <c r="H49" s="49">
        <v>1028</v>
      </c>
      <c r="I49" s="49">
        <v>853</v>
      </c>
      <c r="J49" s="33" t="s">
        <v>51</v>
      </c>
      <c r="K49" s="49">
        <v>575</v>
      </c>
      <c r="L49" s="146" t="s">
        <v>53</v>
      </c>
      <c r="M49" s="149">
        <f t="shared" si="8"/>
        <v>146.78399999999999</v>
      </c>
      <c r="N49" s="88" t="str">
        <f>VLOOKUP(C49,'Trips&amp;Operators'!$C$1:$E$99999,3,FALSE)</f>
        <v>HELVIE</v>
      </c>
      <c r="O49" s="170" t="s">
        <v>86</v>
      </c>
      <c r="P49" s="10"/>
      <c r="Q49" s="33"/>
      <c r="R49" s="104" t="str">
        <f>VLOOKUP(C49,'Train Runs'!$A$13:$AE$10005,31,0)</f>
        <v>aws s3 cp s3://rtdc.mdm.uploadarchive.raw/RTDC4013/ "%USERPROFILE%\AppData\Local\Temp\OnboardLogs"\RTDC4013\2016-09-29 --exclude "*" --recursive --include "*20160929*" &amp; "%USERPROFILE%\Documents\GitHub\mrs-test-scripts\Headless Mode &amp; Sideloading\WalkAndUnGZ.bat" "%USERPROFILE%\AppData\Local\Temp\OnboardLogs"\RTDC4013\2016-09-29 &amp; aws s3 cp s3://rtdc.mdm.uploadarchive.raw/RTDC4013/ "%USERPROFILE%\AppData\Local\Temp\OnboardLogs"\RTDC4013\2016-09-30 --exclude "*" --recursive --include "*20160930*" &amp; "%USERPROFILE%\Documents\GitHub\mrs-test-scripts\Headless Mode &amp; Sideloading\WalkAndUnGZ.bat" "%USERPROFILE%\AppData\Local\Temp\OnboardLogs"\RTDC4013\2016-09-30</v>
      </c>
      <c r="S49" s="107" t="str">
        <f>VLOOKUP(C49,'Train Runs'!$A$13:$AE$10005,22,0)</f>
        <v>https://search-rtdc-monitor-bjffxe2xuh6vdkpspy63sjmuny.us-east-1.es.amazonaws.com/_plugin/kibana/#/discover/Steve-Slow-Train-Analysis-(2080s-and-2083s)?_g=(refreshInterval:(display:Off,section:0,value:0),time:(from:'2016-09-29 12:37:49-0600',mode:absolute,to:'2016-09-29 14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4013%22')),sort:!(Time,asc))</v>
      </c>
      <c r="T49" s="109" t="str">
        <f t="shared" si="9"/>
        <v>"C:\Program Files (x86)\AstroGrep\AstroGrep.exe" /spath="%USERPROFILE%\AppData\Local\Temp\OnboardLogs" /stypes="*4013*201609291*" /stext=" 19:.+((SYSTEM_STATE.+slice.+state.+changed )|(ment ac)|(system.+state.+changed )|(\[timeout)|(PRM\|1\|D)|(kpr)|(kdp)|(\|lc)|(penalty))" /e /r /s</v>
      </c>
      <c r="U49" s="9" t="str">
        <f t="shared" si="10"/>
        <v>4013</v>
      </c>
      <c r="V49" s="38">
        <f t="shared" si="11"/>
        <v>42642.83084490741</v>
      </c>
      <c r="W49" s="52" t="str">
        <f t="shared" si="12"/>
        <v>NW</v>
      </c>
      <c r="X49" s="52" t="str">
        <f t="shared" si="13"/>
        <v>KEEP</v>
      </c>
      <c r="Y49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{"issue":{"subject":"","project_id":79,"tracker_id":40,"status_id":1,"priority_id":2,"assigned_to_id":23,"start_date":"2016-09-29","description":"","custom_fields":[{"id":1,"name":"Subdivision","value":"NW"},{"id":4,"name":"Milepost","value":"0.0575"},{"id":17,"name":"Train ID","value":"822-29"},{"id":16,"name":"Locomotive ID","value":"4013"},{"id":130,"name":"Impact","value":""},{"id":150,"name":"Time of Event (Mountain Time)","value":"13:56:25"},{"id":151,"name":"Denver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5"/>
      <c r="AA49" s="55"/>
      <c r="AB49" s="23"/>
      <c r="AC49" s="171" t="str">
        <f t="shared" si="15"/>
        <v>grep -hSE -A100 "Enforcement Action" "%USERPROFILE%\AppData\Local\Temp\OnboardLogs"\RTDC4013\*4013*201609291* | grep -SE "((Enforcement Ac)|(PRM))" -</v>
      </c>
    </row>
    <row r="50" spans="1:29" x14ac:dyDescent="0.25">
      <c r="A50" s="38">
        <v>42642.274247685185</v>
      </c>
      <c r="B50" s="33" t="s">
        <v>236</v>
      </c>
      <c r="C50" s="33" t="s">
        <v>390</v>
      </c>
      <c r="D50" s="33" t="s">
        <v>49</v>
      </c>
      <c r="E50" s="33" t="s">
        <v>50</v>
      </c>
      <c r="F50" s="49">
        <v>0</v>
      </c>
      <c r="G50" s="49">
        <v>15</v>
      </c>
      <c r="H50" s="49">
        <v>59012</v>
      </c>
      <c r="I50" s="49">
        <v>59020</v>
      </c>
      <c r="J50" s="33" t="s">
        <v>51</v>
      </c>
      <c r="K50" s="49">
        <v>59048</v>
      </c>
      <c r="L50" s="146" t="s">
        <v>52</v>
      </c>
      <c r="M50" s="149">
        <f t="shared" si="8"/>
        <v>14.784000000000001</v>
      </c>
      <c r="N50" s="88" t="str">
        <f>VLOOKUP(C50,'Trips&amp;Operators'!$C$1:$E$99999,3,FALSE)</f>
        <v>GEBRETEKLE</v>
      </c>
      <c r="O50" s="170" t="s">
        <v>86</v>
      </c>
      <c r="P50" s="10"/>
      <c r="Q50" s="33"/>
      <c r="R50" s="104" t="str">
        <f>VLOOKUP(C50,'Train Runs'!$A$13:$AE$10005,31,0)</f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S50" s="107" t="str">
        <f>VLOOKUP(C50,'Train Runs'!$A$13:$AE$10005,22,0)</f>
        <v>https://search-rtdc-monitor-bjffxe2xuh6vdkpspy63sjmuny.us-east-1.es.amazonaws.com/_plugin/kibana/#/discover/Steve-Slow-Train-Analysis-(2080s-and-2083s)?_g=(refreshInterval:(display:Off,section:0,value:0),time:(from:'2016-09-29 05:09:21-0600',mode:absolute,to:'2016-09-29 07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0" s="109" t="str">
        <f t="shared" si="9"/>
        <v>"C:\Program Files (x86)\AstroGrep\AstroGrep.exe" /spath="%USERPROFILE%\AppData\Local\Temp\OnboardLogs" /stypes="*4014*201609291*" /stext=" 12:.+((SYSTEM_STATE.+slice.+state.+changed )|(ment ac)|(system.+state.+changed )|(\[timeout)|(PRM\|1\|D)|(kpr)|(kdp)|(\|lc)|(penalty))" /e /r /s</v>
      </c>
      <c r="U50" s="9" t="str">
        <f t="shared" si="10"/>
        <v>4014</v>
      </c>
      <c r="V50" s="38">
        <f t="shared" si="11"/>
        <v>42642.524247685185</v>
      </c>
      <c r="W50" s="52" t="str">
        <f t="shared" si="12"/>
        <v>NW</v>
      </c>
      <c r="X50" s="52" t="str">
        <f t="shared" si="13"/>
        <v>KEEP</v>
      </c>
      <c r="Y50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{"issue":{"subject":"","project_id":79,"tracker_id":40,"status_id":1,"priority_id":2,"assigned_to_id":23,"start_date":"2016-09-29","description":"","custom_fields":[{"id":1,"name":"Subdivision","value":"NW"},{"id":4,"name":"Milepost","value":"5.9048"},{"id":17,"name":"Train ID","value":"803-29"},{"id":16,"name":"Locomotive ID","value":"4014"},{"id":130,"name":"Impact","value":""},{"id":150,"name":"Time of Event (Mountain Time)","value":"06:34:55"},{"id":151,"name":"Denver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5"/>
      <c r="AA50" s="55"/>
      <c r="AB50" s="23"/>
      <c r="AC50" s="171" t="str">
        <f t="shared" si="15"/>
        <v>grep -hSE -A100 "Enforcement Action" "%USERPROFILE%\AppData\Local\Temp\OnboardLogs"\RTDC4014\*4014*201609291* | grep -SE "((Enforcement Ac)|(PRM))" -</v>
      </c>
    </row>
    <row r="51" spans="1:29" x14ac:dyDescent="0.25">
      <c r="A51" s="38">
        <v>42642.753819444442</v>
      </c>
      <c r="B51" s="33" t="s">
        <v>382</v>
      </c>
      <c r="C51" s="33" t="s">
        <v>538</v>
      </c>
      <c r="D51" s="33" t="s">
        <v>49</v>
      </c>
      <c r="E51" s="33" t="s">
        <v>50</v>
      </c>
      <c r="F51" s="49">
        <v>0</v>
      </c>
      <c r="G51" s="49">
        <v>35</v>
      </c>
      <c r="H51" s="49">
        <v>58967</v>
      </c>
      <c r="I51" s="49">
        <v>58990</v>
      </c>
      <c r="J51" s="33" t="s">
        <v>51</v>
      </c>
      <c r="K51" s="49">
        <v>59048</v>
      </c>
      <c r="L51" s="146" t="s">
        <v>52</v>
      </c>
      <c r="M51" s="149">
        <f t="shared" si="8"/>
        <v>30.623999999999999</v>
      </c>
      <c r="N51" s="88" t="str">
        <f>VLOOKUP(C51,'Trips&amp;Operators'!$C$1:$E$99999,3,FALSE)</f>
        <v>BROWN</v>
      </c>
      <c r="O51" s="170" t="s">
        <v>86</v>
      </c>
      <c r="P51" s="10"/>
      <c r="Q51" s="33"/>
      <c r="R51" s="104" t="str">
        <f>VLOOKUP(C51,'Train Runs'!$A$13:$AE$10005,31,0)</f>
        <v>aws s3 cp s3://rtdc.mdm.uploadarchive.raw/RTDC4011/ "%USERPROFILE%\AppData\Local\Temp\OnboardLogs"\RTDC4011\2016-09-29 --exclude "*" --recursive --include "*20160929*" &amp; "%USERPROFILE%\Documents\GitHub\mrs-test-scripts\Headless Mode &amp; Sideloading\WalkAndUnGZ.bat" "%USERPROFILE%\AppData\Local\Temp\OnboardLogs"\RTDC4011\2016-09-29 &amp; aws s3 cp s3://rtdc.mdm.uploadarchive.raw/RTDC4011/ "%USERPROFILE%\AppData\Local\Temp\OnboardLogs"\RTDC4011\2016-09-30 --exclude "*" --recursive --include "*20160930*" &amp; "%USERPROFILE%\Documents\GitHub\mrs-test-scripts\Headless Mode &amp; Sideloading\WalkAndUnGZ.bat" "%USERPROFILE%\AppData\Local\Temp\OnboardLogs"\RTDC4011\2016-09-30</v>
      </c>
      <c r="S51" s="107" t="str">
        <f>VLOOKUP(C51,'Train Runs'!$A$13:$AE$10005,22,0)</f>
        <v>https://search-rtdc-monitor-bjffxe2xuh6vdkpspy63sjmuny.us-east-1.es.amazonaws.com/_plugin/kibana/#/discover/Steve-Slow-Train-Analysis-(2080s-and-2083s)?_g=(refreshInterval:(display:Off,section:0,value:0),time:(from:'2016-09-29 16:46:48-0600',mode:absolute,to:'2016-09-29 19:05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4011%22')),sort:!(Time,asc))</v>
      </c>
      <c r="T51" s="109" t="str">
        <f t="shared" si="9"/>
        <v>"C:\Program Files (x86)\AstroGrep\AstroGrep.exe" /spath="%USERPROFILE%\AppData\Local\Temp\OnboardLogs" /stypes="*4011*201609300*" /stext=" 00:.+((SYSTEM_STATE.+slice.+state.+changed )|(ment ac)|(system.+state.+changed )|(\[timeout)|(PRM\|1\|D)|(kpr)|(kdp)|(\|lc)|(penalty))" /e /r /s</v>
      </c>
      <c r="U51" s="9" t="str">
        <f t="shared" si="10"/>
        <v>4011</v>
      </c>
      <c r="V51" s="38">
        <f t="shared" si="11"/>
        <v>42643.003819444442</v>
      </c>
      <c r="W51" s="52" t="str">
        <f t="shared" si="12"/>
        <v>NW</v>
      </c>
      <c r="X51" s="52" t="str">
        <f t="shared" si="13"/>
        <v>KEEP</v>
      </c>
      <c r="Y51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{"issue":{"subject":"","project_id":79,"tracker_id":40,"status_id":1,"priority_id":2,"assigned_to_id":23,"start_date":"2016-09-29","description":"","custom_fields":[{"id":1,"name":"Subdivision","value":"NW"},{"id":4,"name":"Milepost","value":"5.9048"},{"id":17,"name":"Train ID","value":"835-29"},{"id":16,"name":"Locomotive ID","value":"4011"},{"id":130,"name":"Impact","value":""},{"id":150,"name":"Time of Event (Mountain Time)","value":"18:05:30"},{"id":151,"name":"Denver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5"/>
      <c r="AA51" s="55"/>
      <c r="AB51" s="23"/>
      <c r="AC51" s="171" t="str">
        <f t="shared" si="15"/>
        <v>grep -hSE -A100 "Enforcement Action" "%USERPROFILE%\AppData\Local\Temp\OnboardLogs"\RTDC4011\*4011*201609300* | grep -SE "((Enforcement Ac)|(PRM))" -</v>
      </c>
    </row>
    <row r="52" spans="1:29" x14ac:dyDescent="0.25">
      <c r="A52" s="38">
        <v>42642.818067129629</v>
      </c>
      <c r="B52" s="33" t="s">
        <v>236</v>
      </c>
      <c r="C52" s="33" t="s">
        <v>556</v>
      </c>
      <c r="D52" s="33" t="s">
        <v>49</v>
      </c>
      <c r="E52" s="33" t="s">
        <v>50</v>
      </c>
      <c r="F52" s="49">
        <v>0</v>
      </c>
      <c r="G52" s="49">
        <v>20</v>
      </c>
      <c r="H52" s="49">
        <v>59007</v>
      </c>
      <c r="I52" s="49">
        <v>59016</v>
      </c>
      <c r="J52" s="33" t="s">
        <v>51</v>
      </c>
      <c r="K52" s="49">
        <v>59048</v>
      </c>
      <c r="L52" s="146" t="s">
        <v>52</v>
      </c>
      <c r="M52" s="149">
        <f t="shared" si="8"/>
        <v>16.896000000000001</v>
      </c>
      <c r="N52" s="88" t="str">
        <f>VLOOKUP(C52,'Trips&amp;Operators'!$C$1:$E$99999,3,FALSE)</f>
        <v>HELVIE</v>
      </c>
      <c r="O52" s="170" t="s">
        <v>86</v>
      </c>
      <c r="P52" s="10"/>
      <c r="Q52" s="33"/>
      <c r="R52" s="104" t="str">
        <f>VLOOKUP(C52,'Train Runs'!$A$13:$AE$10005,31,0)</f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S52" s="107" t="str">
        <f>VLOOKUP(C52,'Train Runs'!$A$13:$AE$10005,22,0)</f>
        <v>https://search-rtdc-monitor-bjffxe2xuh6vdkpspy63sjmuny.us-east-1.es.amazonaws.com/_plugin/kibana/#/discover/Steve-Slow-Train-Analysis-(2080s-and-2083s)?_g=(refreshInterval:(display:Off,section:0,value:0),time:(from:'2016-09-29 18:11:49-0600',mode:absolute,to:'2016-09-29 20:38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2" s="109" t="str">
        <f t="shared" si="9"/>
        <v>"C:\Program Files (x86)\AstroGrep\AstroGrep.exe" /spath="%USERPROFILE%\AppData\Local\Temp\OnboardLogs" /stypes="*4014*201609300*" /stext=" 01:.+((SYSTEM_STATE.+slice.+state.+changed )|(ment ac)|(system.+state.+changed )|(\[timeout)|(PRM\|1\|D)|(kpr)|(kdp)|(\|lc)|(penalty))" /e /r /s</v>
      </c>
      <c r="U52" s="9" t="str">
        <f t="shared" si="10"/>
        <v>4014</v>
      </c>
      <c r="V52" s="38">
        <f t="shared" si="11"/>
        <v>42643.068067129629</v>
      </c>
      <c r="W52" s="52" t="str">
        <f t="shared" si="12"/>
        <v>NW</v>
      </c>
      <c r="X52" s="52" t="str">
        <f t="shared" si="13"/>
        <v>KEEP</v>
      </c>
      <c r="Y52" s="130" t="str">
        <f t="shared" si="14"/>
        <v>echo {"issue":{"subject":"","project_id":79,"tracker_id":40,"status_id":1,"priority_id":2,"assigned_to_id":23,"start_date":"2016-09-29","description":"","custom_fields":[{"id":1,"name":"Subdivision","value":"NW"},{"id":4,"name":"Milepost","value":"5.9048"},{"id":17,"name":"Train ID","value":"841-29"},{"id":16,"name":"Locomotive ID","value":"4014"},{"id":130,"name":"Impact","value":""},{"id":150,"name":"Time of Event (Mountain Time)","value":"19:38:01"},{"id":151,"name":"Denver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5"/>
      <c r="AA52" s="55"/>
      <c r="AB52" s="23"/>
      <c r="AC52" s="171" t="str">
        <f t="shared" si="15"/>
        <v>grep -hSE -A100 "Enforcement Action" "%USERPROFILE%\AppData\Local\Temp\OnboardLogs"\RTDC4014\*4014*201609300* | grep -SE "((Enforcement Ac)|(PRM))" -</v>
      </c>
    </row>
    <row r="53" spans="1:29" x14ac:dyDescent="0.25">
      <c r="A53" s="38">
        <v>42642.609710648147</v>
      </c>
      <c r="B53" s="33" t="s">
        <v>236</v>
      </c>
      <c r="C53" s="33" t="s">
        <v>488</v>
      </c>
      <c r="D53" s="33" t="s">
        <v>49</v>
      </c>
      <c r="E53" s="33" t="s">
        <v>50</v>
      </c>
      <c r="F53" s="49">
        <v>0</v>
      </c>
      <c r="G53" s="49">
        <v>33</v>
      </c>
      <c r="H53" s="49">
        <v>58956</v>
      </c>
      <c r="I53" s="49">
        <v>58975</v>
      </c>
      <c r="J53" s="33" t="s">
        <v>51</v>
      </c>
      <c r="K53" s="49">
        <v>59058</v>
      </c>
      <c r="L53" s="146" t="s">
        <v>52</v>
      </c>
      <c r="M53" s="149">
        <f t="shared" si="8"/>
        <v>43.823999999999998</v>
      </c>
      <c r="N53" s="88" t="str">
        <f>VLOOKUP(C53,'Trips&amp;Operators'!$C$1:$E$99999,3,FALSE)</f>
        <v>HELVIE</v>
      </c>
      <c r="O53" s="170" t="s">
        <v>86</v>
      </c>
      <c r="P53" s="10"/>
      <c r="Q53" s="33"/>
      <c r="R53" s="104" t="str">
        <f>VLOOKUP(C53,'Train Runs'!$A$13:$AE$10005,31,0)</f>
        <v>aws s3 cp s3://rtdc.mdm.uploadarchive.raw/RTDC4014/ "%USERPROFILE%\AppData\Local\Temp\OnboardLogs"\RTDC4014\2016-09-29 --exclude "*" --recursive --include "*20160929*" &amp; "%USERPROFILE%\Documents\GitHub\mrs-test-scripts\Headless Mode &amp; Sideloading\WalkAndUnGZ.bat" "%USERPROFILE%\AppData\Local\Temp\OnboardLogs"\RTDC4014\2016-09-29 &amp; aws s3 cp s3://rtdc.mdm.uploadarchive.raw/RTDC4014/ "%USERPROFILE%\AppData\Local\Temp\OnboardLogs"\RTDC4014\2016-09-30 --exclude "*" --recursive --include "*20160930*" &amp; "%USERPROFILE%\Documents\GitHub\mrs-test-scripts\Headless Mode &amp; Sideloading\WalkAndUnGZ.bat" "%USERPROFILE%\AppData\Local\Temp\OnboardLogs"\RTDC4014\2016-09-30</v>
      </c>
      <c r="S53" s="107" t="str">
        <f>VLOOKUP(C53,'Train Runs'!$A$13:$AE$10005,22,0)</f>
        <v>https://search-rtdc-monitor-bjffxe2xuh6vdkpspy63sjmuny.us-east-1.es.amazonaws.com/_plugin/kibana/#/discover/Steve-Slow-Train-Analysis-(2080s-and-2083s)?_g=(refreshInterval:(display:Off,section:0,value:0),time:(from:'2016-09-29 13:10:58-0600',mode:absolute,to:'2016-09-29 15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4014%22')),sort:!(Time,asc))</v>
      </c>
      <c r="T53" s="109" t="str">
        <f t="shared" si="9"/>
        <v>"C:\Program Files (x86)\AstroGrep\AstroGrep.exe" /spath="%USERPROFILE%\AppData\Local\Temp\OnboardLogs" /stypes="*4014*201609292*" /stext=" 20:.+((SYSTEM_STATE.+slice.+state.+changed )|(ment ac)|(system.+state.+changed )|(\[timeout)|(PRM\|1\|D)|(kpr)|(kdp)|(\|lc)|(penalty))" /e /r /s</v>
      </c>
      <c r="U53" s="9" t="str">
        <f t="shared" si="10"/>
        <v>4014</v>
      </c>
      <c r="V53" s="38">
        <f t="shared" si="11"/>
        <v>42642.859710648147</v>
      </c>
      <c r="W53" s="52" t="str">
        <f t="shared" si="12"/>
        <v>NW</v>
      </c>
      <c r="X53" s="52" t="str">
        <f t="shared" si="13"/>
        <v>KEEP</v>
      </c>
      <c r="Y53" s="130" t="str">
        <f t="shared" si="14"/>
        <v>echo {"issue":{"subject":"","project_id":79,"tracker_id":40,"status_id":1,"priority_id":2,"assigned_to_id":23,"start_date":"2016-09-29","description":"MP 1.5777 is 40th &amp; Fox PED XING. According to Customer, this XING shouldn't be warning/enforcing?","custom_fields":[{"id":1,"name":"Subdivision","value":"NW"},{"id":4,"name":"Milepost","value":"5.9058"},{"id":17,"name":"Train ID","value":"823-29"},{"id":16,"name":"Locomotive ID","value":"4014"},{"id":130,"name":"Impact","value":"Enforcement"},{"id":150,"name":"Time of Event (Mountain Time)","value":"14:37:59"},{"id":151,"name":"Denver Issue ID","value":""},{"id":178,"name":"Operational Impact","value":"Yes"},{"id":179,"name":"Denver Segment Assigned","value":"Crossings"}]}} | curl -X POST -H "Content-Type: application/json" -H "X-Redmine-API-Key: d6333d4a04012a730768444271f8ca06482dae87" https://secure.xorail.net/redmine/issues.json --data @-</v>
      </c>
      <c r="Z53" s="55" t="s">
        <v>364</v>
      </c>
      <c r="AA53" s="55" t="s">
        <v>135</v>
      </c>
      <c r="AB53" s="23" t="s">
        <v>142</v>
      </c>
      <c r="AC53" s="171" t="str">
        <f t="shared" si="15"/>
        <v>grep -hSE -A100 "Enforcement Action" "%USERPROFILE%\AppData\Local\Temp\OnboardLogs"\RTDC4014\*4014*201609292* | grep -SE "((Enforcement Ac)|(PRM))" -</v>
      </c>
    </row>
    <row r="54" spans="1:29" x14ac:dyDescent="0.25">
      <c r="A54" s="38">
        <v>42642.860636574071</v>
      </c>
      <c r="B54" s="33" t="s">
        <v>289</v>
      </c>
      <c r="C54" s="33" t="s">
        <v>532</v>
      </c>
      <c r="D54" s="33" t="s">
        <v>105</v>
      </c>
      <c r="E54" s="33" t="s">
        <v>56</v>
      </c>
      <c r="F54" s="49">
        <v>200</v>
      </c>
      <c r="G54" s="49">
        <v>254</v>
      </c>
      <c r="H54" s="49">
        <v>5462</v>
      </c>
      <c r="I54" s="49">
        <v>6028</v>
      </c>
      <c r="J54" s="33" t="s">
        <v>57</v>
      </c>
      <c r="K54" s="49">
        <v>4677</v>
      </c>
      <c r="L54" s="146" t="s">
        <v>52</v>
      </c>
      <c r="M54" s="149">
        <f t="shared" si="8"/>
        <v>-713.32799999999997</v>
      </c>
      <c r="N54" s="88" t="str">
        <f>VLOOKUP(C54,'Trips&amp;Operators'!$C$1:$E$99999,3,FALSE)</f>
        <v>SMITH</v>
      </c>
      <c r="O54" s="170" t="s">
        <v>86</v>
      </c>
      <c r="P54" s="10"/>
      <c r="Q54" s="33"/>
      <c r="R54" s="104" t="str">
        <f>VLOOKUP(C54,'Train Runs'!$A$13:$AE$10005,31,0)</f>
        <v>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 &amp; 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</v>
      </c>
      <c r="S54" s="107" t="str">
        <f>VLOOKUP(C54,'Train Runs'!$A$13:$AE$10005,22,0)</f>
        <v>https://search-rtdc-monitor-bjffxe2xuh6vdkpspy63sjmuny.us-east-1.es.amazonaws.com/_plugin/kibana/#/discover/Steve-Slow-Train-Analysis-(2080s-and-2083s)?_g=(refreshInterval:(display:Off,section:0,value:0),time:(from:'2016-09-29 21:19:47-0600',mode:absolute,to:'2016-09-30 01:05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4" s="109" t="str">
        <f t="shared" si="9"/>
        <v>"C:\Program Files (x86)\AstroGrep\AstroGrep.exe" /spath="%USERPROFILE%\AppData\Local\Temp\OnboardLogs" /stypes="*4006*201609300*" /stext=" 02:.+((SYSTEM_STATE.+slice.+state.+changed )|(ment ac)|(system.+state.+changed )|(\[timeout)|(PRM\|1\|D)|(kpr)|(kdp)|(\|lc)|(penalty))" /e /r /s</v>
      </c>
      <c r="U54" s="9" t="str">
        <f t="shared" si="10"/>
        <v>4006</v>
      </c>
      <c r="V54" s="38">
        <f t="shared" si="11"/>
        <v>42643.110636574071</v>
      </c>
      <c r="W54" s="52" t="str">
        <f t="shared" si="12"/>
        <v>Other</v>
      </c>
      <c r="X54" s="52" t="str">
        <f t="shared" si="13"/>
        <v>KEEP</v>
      </c>
      <c r="Y54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{"issue":{"subject":"","project_id":79,"tracker_id":40,"status_id":1,"priority_id":2,"assigned_to_id":23,"start_date":"2016-09-29","description":"","custom_fields":[{"id":1,"name":"Subdivision","value":"Other"},{"id":4,"name":"Milepost","value":"0.4677"},{"id":17,"name":"Train ID","value":"60-29"},{"id":16,"name":"Locomotive ID","value":"4006"},{"id":130,"name":"Impact","value":""},{"id":150,"name":"Time of Event (Mountain Time)","value":"20:39:19"},{"id":151,"name":"Denver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5"/>
      <c r="AA54" s="55"/>
      <c r="AB54" s="23"/>
      <c r="AC54" s="171" t="str">
        <f t="shared" si="15"/>
        <v>grep -hSE -A100 "Enforcement Action" "%USERPROFILE%\AppData\Local\Temp\OnboardLogs"\RTDC4006\*4006*201609300* | grep -SE "((Enforcement Ac)|(PRM))" -</v>
      </c>
    </row>
    <row r="55" spans="1:29" x14ac:dyDescent="0.25">
      <c r="A55" s="38">
        <v>42642.59957175926</v>
      </c>
      <c r="B55" s="33" t="s">
        <v>289</v>
      </c>
      <c r="C55" s="33" t="s">
        <v>484</v>
      </c>
      <c r="D55" s="33" t="s">
        <v>105</v>
      </c>
      <c r="E55" s="33" t="s">
        <v>56</v>
      </c>
      <c r="F55" s="49">
        <v>300</v>
      </c>
      <c r="G55" s="49">
        <v>350</v>
      </c>
      <c r="H55" s="49">
        <v>42104</v>
      </c>
      <c r="I55" s="49">
        <v>43163</v>
      </c>
      <c r="J55" s="33" t="s">
        <v>57</v>
      </c>
      <c r="K55" s="49">
        <v>39716</v>
      </c>
      <c r="L55" s="146" t="s">
        <v>52</v>
      </c>
      <c r="M55" s="149">
        <f t="shared" si="8"/>
        <v>-1820.0160000000001</v>
      </c>
      <c r="N55" s="88" t="str">
        <f>VLOOKUP(C55,'Trips&amp;Operators'!$C$1:$E$99999,3,FALSE)</f>
        <v>POLLOCK</v>
      </c>
      <c r="O55" s="170" t="s">
        <v>86</v>
      </c>
      <c r="P55" s="10"/>
      <c r="Q55" s="33"/>
      <c r="R55" s="104" t="e">
        <f>VLOOKUP(C55,'Train Runs'!$A$13:$AE$10005,31,0)</f>
        <v>#N/A</v>
      </c>
      <c r="S55" s="107" t="e">
        <f>VLOOKUP(C55,'Train Runs'!$A$13:$AE$10005,22,0)</f>
        <v>#N/A</v>
      </c>
      <c r="T55" s="109" t="str">
        <f t="shared" si="9"/>
        <v>"C:\Program Files (x86)\AstroGrep\AstroGrep.exe" /spath="%USERPROFILE%\AppData\Local\Temp\OnboardLogs" /stypes="*4006*201609292*" /stext=" 20:.+((SYSTEM_STATE.+slice.+state.+changed )|(ment ac)|(system.+state.+changed )|(\[timeout)|(PRM\|1\|D)|(kpr)|(kdp)|(\|lc)|(penalty))" /e /r /s</v>
      </c>
      <c r="U55" s="9" t="str">
        <f t="shared" si="10"/>
        <v>4006</v>
      </c>
      <c r="V55" s="38">
        <f t="shared" si="11"/>
        <v>42642.84957175926</v>
      </c>
      <c r="W55" s="52" t="str">
        <f t="shared" si="12"/>
        <v>Other</v>
      </c>
      <c r="X55" s="52" t="str">
        <f t="shared" si="13"/>
        <v>KEEP</v>
      </c>
      <c r="Y55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{"issue":{"subject":"","project_id":79,"tracker_id":40,"status_id":1,"priority_id":2,"assigned_to_id":23,"start_date":"2016-09-29","description":"","custom_fields":[{"id":1,"name":"Subdivision","value":"Other"},{"id":4,"name":"Milepost","value":"3.9716"},{"id":17,"name":"Train ID","value":"54-29"},{"id":16,"name":"Locomotive ID","value":"4006"},{"id":130,"name":"Impact","value":""},{"id":150,"name":"Time of Event (Mountain Time)","value":"14:23:23"},{"id":151,"name":"Denver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5"/>
      <c r="AA55" s="55"/>
      <c r="AB55" s="23"/>
      <c r="AC55" s="171" t="str">
        <f t="shared" si="15"/>
        <v>grep -hSE -A100 "Enforcement Action" "%USERPROFILE%\AppData\Local\Temp\OnboardLogs"\RTDC4006\*4006*201609292* | grep -SE "((Enforcement Ac)|(PRM))" -</v>
      </c>
    </row>
    <row r="56" spans="1:29" x14ac:dyDescent="0.25">
      <c r="A56" s="38">
        <v>42642.747511574074</v>
      </c>
      <c r="B56" s="33" t="s">
        <v>220</v>
      </c>
      <c r="C56" s="33" t="s">
        <v>526</v>
      </c>
      <c r="D56" s="33" t="s">
        <v>105</v>
      </c>
      <c r="E56" s="33" t="s">
        <v>54</v>
      </c>
      <c r="F56" s="49">
        <v>0</v>
      </c>
      <c r="G56" s="49">
        <v>70</v>
      </c>
      <c r="H56" s="49">
        <v>1764</v>
      </c>
      <c r="I56" s="49">
        <v>1880</v>
      </c>
      <c r="J56" s="33" t="s">
        <v>55</v>
      </c>
      <c r="K56" s="49">
        <v>1692</v>
      </c>
      <c r="L56" s="146" t="s">
        <v>52</v>
      </c>
      <c r="M56" s="149">
        <f t="shared" si="8"/>
        <v>-99.263999999999996</v>
      </c>
      <c r="N56" s="88" t="str">
        <f>VLOOKUP(C56,'Trips&amp;Operators'!$C$1:$E$99999,3,FALSE)</f>
        <v>ISHMAEL</v>
      </c>
      <c r="O56" s="170" t="s">
        <v>86</v>
      </c>
      <c r="P56" s="10"/>
      <c r="Q56" s="33"/>
      <c r="R56" s="104" t="str">
        <f>VLOOKUP(C56,'Train Runs'!$A$13:$AE$10005,31,0)</f>
        <v>aws s3 cp s3://rtdc.mdm.uploadarchive.raw/RTDC4044/ "%USERPROFILE%\AppData\Local\Temp\OnboardLogs"\RTDC4044\2016-09-29 --exclude "*" --recursive --include "*20160929*" &amp; "%USERPROFILE%\Documents\GitHub\mrs-test-scripts\Headless Mode &amp; Sideloading\WalkAndUnGZ.bat" "%USERPROFILE%\AppData\Local\Temp\OnboardLogs"\RTDC4044\2016-09-29 &amp; aws s3 cp s3://rtdc.mdm.uploadarchive.raw/RTDC4044/ "%USERPROFILE%\AppData\Local\Temp\OnboardLogs"\RTDC4044\2016-09-30 --exclude "*" --recursive --include "*20160930*" &amp; "%USERPROFILE%\Documents\GitHub\mrs-test-scripts\Headless Mode &amp; Sideloading\WalkAndUnGZ.bat" "%USERPROFILE%\AppData\Local\Temp\OnboardLogs"\RTDC4044\2016-09-30</v>
      </c>
      <c r="S56" s="107" t="str">
        <f>VLOOKUP(C56,'Train Runs'!$A$13:$AE$10005,22,0)</f>
        <v>https://search-rtdc-monitor-bjffxe2xuh6vdkpspy63sjmuny.us-east-1.es.amazonaws.com/_plugin/kibana/#/discover/Steve-Slow-Train-Analysis-(2080s-and-2083s)?_g=(refreshInterval:(display:Off,section:0,value:0),time:(from:'2016-09-29 16:13:55-0600',mode:absolute,to:'2016-09-29 18:56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4044%22')),sort:!(Time,asc))</v>
      </c>
      <c r="T56" s="109" t="str">
        <f t="shared" si="9"/>
        <v>"C:\Program Files (x86)\AstroGrep\AstroGrep.exe" /spath="%USERPROFILE%\AppData\Local\Temp\OnboardLogs" /stypes="*4044*201609292*" /stext=" 23:.+((SYSTEM_STATE.+slice.+state.+changed )|(ment ac)|(system.+state.+changed )|(\[timeout)|(PRM\|1\|D)|(kpr)|(kdp)|(\|lc)|(penalty))" /e /r /s</v>
      </c>
      <c r="U56" s="9" t="str">
        <f t="shared" si="10"/>
        <v>4044</v>
      </c>
      <c r="V56" s="38">
        <f t="shared" si="11"/>
        <v>42642.997511574074</v>
      </c>
      <c r="W56" s="52" t="str">
        <f t="shared" si="12"/>
        <v>Other</v>
      </c>
      <c r="X56" s="52" t="str">
        <f t="shared" si="13"/>
        <v>KEEP</v>
      </c>
      <c r="Y56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{"issue":{"subject":"","project_id":79,"tracker_id":40,"status_id":1,"priority_id":2,"assigned_to_id":23,"start_date":"2016-09-29","description":"","custom_fields":[{"id":1,"name":"Subdivision","value":"Other"},{"id":4,"name":"Milepost","value":"0.1692"},{"id":17,"name":"Train ID","value":"63-29"},{"id":16,"name":"Locomotive ID","value":"4044"},{"id":130,"name":"Impact","value":""},{"id":150,"name":"Time of Event (Mountain Time)","value":"17:56:25"},{"id":151,"name":"Denver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5"/>
      <c r="AA56" s="55"/>
      <c r="AB56" s="23"/>
      <c r="AC56" s="171" t="str">
        <f t="shared" si="15"/>
        <v>grep -hSE -A100 "Enforcement Action" "%USERPROFILE%\AppData\Local\Temp\OnboardLogs"\RTDC4044\*4044*201609292* | grep -SE "((Enforcement Ac)|(PRM))" -</v>
      </c>
    </row>
    <row r="57" spans="1:29" x14ac:dyDescent="0.25">
      <c r="A57" s="38">
        <v>42642.435752314814</v>
      </c>
      <c r="B57" s="33" t="s">
        <v>287</v>
      </c>
      <c r="C57" s="33" t="s">
        <v>441</v>
      </c>
      <c r="D57" s="33" t="s">
        <v>49</v>
      </c>
      <c r="E57" s="33" t="s">
        <v>54</v>
      </c>
      <c r="F57" s="49">
        <v>0</v>
      </c>
      <c r="G57" s="49">
        <v>94</v>
      </c>
      <c r="H57" s="49">
        <v>24282</v>
      </c>
      <c r="I57" s="49">
        <v>24152</v>
      </c>
      <c r="J57" s="33" t="s">
        <v>55</v>
      </c>
      <c r="K57" s="49">
        <v>24235</v>
      </c>
      <c r="L57" s="146" t="s">
        <v>53</v>
      </c>
      <c r="M57" s="149">
        <f t="shared" si="8"/>
        <v>-43.823999999999998</v>
      </c>
      <c r="N57" s="88" t="str">
        <f>VLOOKUP(C57,'Trips&amp;Operators'!$C$1:$E$99999,3,FALSE)</f>
        <v>ISHMAEL</v>
      </c>
      <c r="O57" s="170" t="s">
        <v>86</v>
      </c>
      <c r="P57" s="10"/>
      <c r="Q57" s="33"/>
      <c r="R57" s="104" t="str">
        <f>VLOOKUP(C57,'Train Runs'!$A$13:$AE$10005,31,0)</f>
        <v>aws s3 cp s3://rtdc.mdm.uploadarchive.raw/RTDC4005/ "%USERPROFILE%\AppData\Local\Temp\OnboardLogs"\RTDC4005\2016-09-29 --exclude "*" --recursive --include "*20160929*" &amp; "%USERPROFILE%\Documents\GitHub\mrs-test-scripts\Headless Mode &amp; Sideloading\WalkAndUnGZ.bat" "%USERPROFILE%\AppData\Local\Temp\OnboardLogs"\RTDC4005\2016-09-29 &amp; aws s3 cp s3://rtdc.mdm.uploadarchive.raw/RTDC4005/ "%USERPROFILE%\AppData\Local\Temp\OnboardLogs"\RTDC4005\2016-09-30 --exclude "*" --recursive --include "*20160930*" &amp; "%USERPROFILE%\Documents\GitHub\mrs-test-scripts\Headless Mode &amp; Sideloading\WalkAndUnGZ.bat" "%USERPROFILE%\AppData\Local\Temp\OnboardLogs"\RTDC4005\2016-09-30</v>
      </c>
      <c r="S57" s="107" t="str">
        <f>VLOOKUP(C57,'Train Runs'!$A$13:$AE$10005,22,0)</f>
        <v>https://search-rtdc-monitor-bjffxe2xuh6vdkpspy63sjmuny.us-east-1.es.amazonaws.com/_plugin/kibana/#/discover/Steve-Slow-Train-Analysis-(2080s-and-2083s)?_g=(refreshInterval:(display:Off,section:0,value:0),time:(from:'2016-09-29 09:25:41-0600',mode:absolute,to:'2016-09-29 11:27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4005%22')),sort:!(Time,asc))</v>
      </c>
      <c r="T57" s="109" t="str">
        <f t="shared" si="9"/>
        <v>"C:\Program Files (x86)\AstroGrep\AstroGrep.exe" /spath="%USERPROFILE%\AppData\Local\Temp\OnboardLogs" /stypes="*4005*201609291*" /stext=" 16:.+((SYSTEM_STATE.+slice.+state.+changed )|(ment ac)|(system.+state.+changed )|(\[timeout)|(PRM\|1\|D)|(kpr)|(kdp)|(\|lc)|(penalty))" /e /r /s</v>
      </c>
      <c r="U57" s="9" t="str">
        <f t="shared" si="10"/>
        <v>4005</v>
      </c>
      <c r="V57" s="38">
        <f t="shared" si="11"/>
        <v>42642.685752314814</v>
      </c>
      <c r="W57" s="52" t="str">
        <f t="shared" si="12"/>
        <v>Other</v>
      </c>
      <c r="X57" s="52" t="str">
        <f t="shared" si="13"/>
        <v>KEEP</v>
      </c>
      <c r="Y57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{"issue":{"subject":"","project_id":79,"tracker_id":40,"status_id":1,"priority_id":2,"assigned_to_id":23,"start_date":"2016-09-29","description":"","custom_fields":[{"id":1,"name":"Subdivision","value":"Other"},{"id":4,"name":"Milepost","value":"2.4235"},{"id":17,"name":"Train ID","value":"50-29"},{"id":16,"name":"Locomotive ID","value":"4005"},{"id":130,"name":"Impact","value":""},{"id":150,"name":"Time of Event (Mountain Time)","value":"10:27:29"},{"id":151,"name":"Denver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5"/>
      <c r="AA57" s="55"/>
      <c r="AB57" s="23"/>
      <c r="AC57" s="171" t="str">
        <f t="shared" si="15"/>
        <v>grep -hSE -A100 "Enforcement Action" "%USERPROFILE%\AppData\Local\Temp\OnboardLogs"\RTDC4005\*4005*201609291* | grep -SE "((Enforcement Ac)|(PRM))" -</v>
      </c>
    </row>
    <row r="58" spans="1:29" x14ac:dyDescent="0.25">
      <c r="A58" s="38">
        <v>42642.602986111109</v>
      </c>
      <c r="B58" s="33" t="s">
        <v>289</v>
      </c>
      <c r="C58" s="33" t="s">
        <v>484</v>
      </c>
      <c r="D58" s="33" t="s">
        <v>49</v>
      </c>
      <c r="E58" s="33" t="s">
        <v>50</v>
      </c>
      <c r="F58" s="49">
        <v>0</v>
      </c>
      <c r="G58" s="49">
        <v>23</v>
      </c>
      <c r="H58" s="49">
        <v>59007</v>
      </c>
      <c r="I58" s="49">
        <v>59024</v>
      </c>
      <c r="J58" s="33" t="s">
        <v>51</v>
      </c>
      <c r="K58" s="49">
        <v>59048</v>
      </c>
      <c r="L58" s="146" t="s">
        <v>52</v>
      </c>
      <c r="M58" s="149">
        <f t="shared" si="8"/>
        <v>12.672000000000001</v>
      </c>
      <c r="N58" s="88" t="str">
        <f>VLOOKUP(C58,'Trips&amp;Operators'!$C$1:$E$99999,3,FALSE)</f>
        <v>POLLOCK</v>
      </c>
      <c r="O58" s="170" t="s">
        <v>86</v>
      </c>
      <c r="P58" s="10"/>
      <c r="Q58" s="33"/>
      <c r="R58" s="104" t="e">
        <f>VLOOKUP(C58,'Train Runs'!$A$13:$AE$10005,31,0)</f>
        <v>#N/A</v>
      </c>
      <c r="S58" s="107" t="e">
        <f>VLOOKUP(C58,'Train Runs'!$A$13:$AE$10005,22,0)</f>
        <v>#N/A</v>
      </c>
      <c r="T58" s="109" t="str">
        <f t="shared" si="9"/>
        <v>"C:\Program Files (x86)\AstroGrep\AstroGrep.exe" /spath="%USERPROFILE%\AppData\Local\Temp\OnboardLogs" /stypes="*4006*201609292*" /stext=" 20:.+((SYSTEM_STATE.+slice.+state.+changed )|(ment ac)|(system.+state.+changed )|(\[timeout)|(PRM\|1\|D)|(kpr)|(kdp)|(\|lc)|(penalty))" /e /r /s</v>
      </c>
      <c r="U58" s="9" t="str">
        <f t="shared" si="10"/>
        <v>4006</v>
      </c>
      <c r="V58" s="38">
        <f t="shared" si="11"/>
        <v>42642.852986111109</v>
      </c>
      <c r="W58" s="52" t="str">
        <f t="shared" si="12"/>
        <v>Other</v>
      </c>
      <c r="X58" s="52" t="str">
        <f t="shared" si="13"/>
        <v>KEEP</v>
      </c>
      <c r="Y58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{"issue":{"subject":"","project_id":79,"tracker_id":40,"status_id":1,"priority_id":2,"assigned_to_id":23,"start_date":"2016-09-29","description":"","custom_fields":[{"id":1,"name":"Subdivision","value":"Other"},{"id":4,"name":"Milepost","value":"5.9048"},{"id":17,"name":"Train ID","value":"54-29"},{"id":16,"name":"Locomotive ID","value":"4006"},{"id":130,"name":"Impact","value":""},{"id":150,"name":"Time of Event (Mountain Time)","value":"14:28:18"},{"id":151,"name":"Denver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5"/>
      <c r="AA58" s="55"/>
      <c r="AB58" s="23"/>
      <c r="AC58" s="171" t="str">
        <f t="shared" si="15"/>
        <v>grep -hSE -A100 "Enforcement Action" "%USERPROFILE%\AppData\Local\Temp\OnboardLogs"\RTDC4006\*4006*201609292* | grep -SE "((Enforcement Ac)|(PRM))" -</v>
      </c>
    </row>
    <row r="59" spans="1:29" x14ac:dyDescent="0.25">
      <c r="A59" s="38">
        <v>42642.7028587963</v>
      </c>
      <c r="B59" s="33" t="s">
        <v>255</v>
      </c>
      <c r="C59" s="33" t="s">
        <v>509</v>
      </c>
      <c r="D59" s="33" t="s">
        <v>49</v>
      </c>
      <c r="E59" s="33" t="s">
        <v>50</v>
      </c>
      <c r="F59" s="49">
        <v>0</v>
      </c>
      <c r="G59" s="49">
        <v>40</v>
      </c>
      <c r="H59" s="49">
        <v>233372</v>
      </c>
      <c r="I59" s="49">
        <v>233381</v>
      </c>
      <c r="J59" s="33" t="s">
        <v>51</v>
      </c>
      <c r="K59" s="49">
        <v>233491</v>
      </c>
      <c r="L59" s="146" t="s">
        <v>52</v>
      </c>
      <c r="M59" s="149">
        <f t="shared" si="8"/>
        <v>58.08</v>
      </c>
      <c r="N59" s="88" t="str">
        <f>VLOOKUP(C59,'Trips&amp;Operators'!$C$1:$E$99999,3,FALSE)</f>
        <v>STAMBAUGH</v>
      </c>
      <c r="O59" s="170" t="s">
        <v>86</v>
      </c>
      <c r="P59" s="10"/>
      <c r="Q59" s="33"/>
      <c r="R59" s="104" t="str">
        <f>VLOOKUP(C59,'Train Runs'!$A$13:$AE$10005,31,0)</f>
        <v>aws s3 cp s3://rtdc.mdm.uploadarchive.raw/RTDC4018/ "%USERPROFILE%\AppData\Local\Temp\OnboardLogs"\RTDC4018\2016-09-29 --exclude "*" --recursive --include "*20160929*" &amp; "%USERPROFILE%\Documents\GitHub\mrs-test-scripts\Headless Mode &amp; Sideloading\WalkAndUnGZ.bat" "%USERPROFILE%\AppData\Local\Temp\OnboardLogs"\RTDC4018\2016-09-29 &amp; aws s3 cp s3://rtdc.mdm.uploadarchive.raw/RTDC4018/ "%USERPROFILE%\AppData\Local\Temp\OnboardLogs"\RTDC4018\2016-09-30 --exclude "*" --recursive --include "*20160930*" &amp; "%USERPROFILE%\Documents\GitHub\mrs-test-scripts\Headless Mode &amp; Sideloading\WalkAndUnGZ.bat" "%USERPROFILE%\AppData\Local\Temp\OnboardLogs"\RTDC4018\2016-09-30</v>
      </c>
      <c r="S59" s="107" t="str">
        <f>VLOOKUP(C59,'Train Runs'!$A$13:$AE$10005,22,0)</f>
        <v>https://search-rtdc-monitor-bjffxe2xuh6vdkpspy63sjmuny.us-east-1.es.amazonaws.com/_plugin/kibana/#/discover/Steve-Slow-Train-Analysis-(2080s-and-2083s)?_g=(refreshInterval:(display:Off,section:0,value:0),time:(from:'2016-09-29 14:46:15-0600',mode:absolute,to:'2016-09-29 17:52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201051)%20AND%20%22rtdc.l.rtdc.4018%22')),sort:!(Time,asc))</v>
      </c>
      <c r="T59" s="109" t="str">
        <f t="shared" si="9"/>
        <v>"C:\Program Files (x86)\AstroGrep\AstroGrep.exe" /spath="%USERPROFILE%\AppData\Local\Temp\OnboardLogs" /stypes="*4018*201609292*" /stext=" 22:.+((SYSTEM_STATE.+slice.+state.+changed )|(ment ac)|(system.+state.+changed )|(\[timeout)|(PRM\|1\|D)|(kpr)|(kdp)|(\|lc)|(penalty))" /e /r /s</v>
      </c>
      <c r="U59" s="9" t="str">
        <f t="shared" si="10"/>
        <v>4018</v>
      </c>
      <c r="V59" s="38">
        <f t="shared" si="11"/>
        <v>42642.9528587963</v>
      </c>
      <c r="W59" s="52" t="str">
        <f t="shared" si="12"/>
        <v>Other</v>
      </c>
      <c r="X59" s="52" t="str">
        <f t="shared" si="13"/>
        <v>KEEP</v>
      </c>
      <c r="Y59" s="130" t="str">
        <f t="shared" si="14"/>
        <v>echo {"issue":{"subject":"","project_id":79,"tracker_id":40,"status_id":1,"priority_id":2,"assigned_to_id":23,"start_date":"2016-09-29","description":"","custom_fields":[{"id":1,"name":"Subdivision","value":"Other"},{"id":4,"name":"Milepost","value":"23.3491"},{"id":17,"name":"Train ID","value":"57-29"},{"id":16,"name":"Locomotive ID","value":"4018"},{"id":130,"name":"Impact","value":""},{"id":150,"name":"Time of Event (Mountain Time)","value":"16:52:07"},{"id":151,"name":"Denver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5"/>
      <c r="AA59" s="55"/>
      <c r="AB59" s="23"/>
      <c r="AC59" s="171" t="str">
        <f t="shared" si="15"/>
        <v>grep -hSE -A100 "Enforcement Action" "%USERPROFILE%\AppData\Local\Temp\OnboardLogs"\RTDC4018\*4018*201609292* | grep -SE "((Enforcement Ac)|(PRM))" -</v>
      </c>
    </row>
    <row r="60" spans="1:29" x14ac:dyDescent="0.25">
      <c r="A60" s="38"/>
      <c r="B60" s="33"/>
      <c r="C60" s="33"/>
      <c r="D60" s="33"/>
      <c r="E60" s="33"/>
      <c r="F60" s="49"/>
      <c r="G60" s="49"/>
      <c r="H60" s="49"/>
      <c r="I60" s="49"/>
      <c r="J60" s="33"/>
      <c r="K60" s="49"/>
      <c r="L60" s="146"/>
      <c r="M60" s="149"/>
      <c r="N60" s="88"/>
      <c r="O60" s="170"/>
      <c r="P60" s="10"/>
      <c r="Q60" s="33"/>
      <c r="R60" s="104"/>
      <c r="S60" s="107"/>
      <c r="T60" s="109"/>
      <c r="U60" s="9"/>
      <c r="V60" s="38"/>
      <c r="W60" s="52"/>
      <c r="X60" s="52"/>
      <c r="Y60" s="130"/>
      <c r="Z60" s="55"/>
      <c r="AA60" s="55"/>
      <c r="AB60" s="23"/>
    </row>
    <row r="61" spans="1:29" x14ac:dyDescent="0.25">
      <c r="A61" s="38"/>
      <c r="B61" s="33"/>
      <c r="C61" s="33"/>
      <c r="D61" s="33"/>
      <c r="E61" s="33"/>
      <c r="F61" s="49"/>
      <c r="G61" s="49"/>
      <c r="H61" s="49"/>
      <c r="I61" s="49"/>
      <c r="J61" s="33"/>
      <c r="K61" s="49"/>
      <c r="L61" s="146"/>
      <c r="M61" s="149"/>
      <c r="N61" s="88"/>
      <c r="O61" s="170"/>
      <c r="P61" s="10"/>
      <c r="Q61" s="33"/>
      <c r="R61" s="104"/>
      <c r="S61" s="107"/>
      <c r="T61" s="109"/>
      <c r="U61" s="9"/>
      <c r="V61" s="38"/>
      <c r="W61" s="52"/>
      <c r="X61" s="52"/>
      <c r="Y61" s="130"/>
      <c r="Z61" s="55"/>
      <c r="AA61" s="55"/>
      <c r="AB61" s="23"/>
    </row>
    <row r="62" spans="1:29" x14ac:dyDescent="0.25">
      <c r="A62" s="38"/>
      <c r="B62" s="33"/>
      <c r="C62" s="33"/>
      <c r="D62" s="33"/>
      <c r="E62" s="33"/>
      <c r="F62" s="49"/>
      <c r="G62" s="49"/>
      <c r="H62" s="49"/>
      <c r="I62" s="49"/>
      <c r="J62" s="33"/>
      <c r="K62" s="49"/>
      <c r="L62" s="146"/>
      <c r="M62" s="149"/>
      <c r="N62" s="88"/>
      <c r="O62" s="170"/>
      <c r="P62" s="10"/>
      <c r="Q62" s="33"/>
      <c r="R62" s="104"/>
      <c r="S62" s="107"/>
      <c r="T62" s="109"/>
      <c r="U62" s="9"/>
      <c r="V62" s="38"/>
      <c r="W62" s="52"/>
      <c r="X62" s="52"/>
      <c r="Y62" s="130"/>
      <c r="Z62" s="55"/>
      <c r="AA62" s="55"/>
      <c r="AB62" s="23"/>
    </row>
    <row r="63" spans="1:29" x14ac:dyDescent="0.25">
      <c r="A63" s="38"/>
      <c r="B63" s="33"/>
      <c r="C63" s="33"/>
      <c r="D63" s="33"/>
      <c r="E63" s="33"/>
      <c r="F63" s="49"/>
      <c r="G63" s="49"/>
      <c r="H63" s="49"/>
      <c r="I63" s="49"/>
      <c r="J63" s="33"/>
      <c r="K63" s="49"/>
      <c r="L63" s="146"/>
      <c r="M63" s="149"/>
      <c r="N63" s="88"/>
      <c r="O63" s="170"/>
      <c r="P63" s="10"/>
      <c r="Q63" s="33"/>
      <c r="R63" s="104"/>
      <c r="S63" s="107"/>
      <c r="T63" s="109"/>
      <c r="U63" s="9"/>
      <c r="V63" s="38"/>
      <c r="W63" s="52"/>
      <c r="X63" s="52"/>
      <c r="Y63" s="130"/>
      <c r="Z63" s="55"/>
      <c r="AA63" s="55"/>
      <c r="AB63" s="23"/>
    </row>
    <row r="64" spans="1:29" x14ac:dyDescent="0.25">
      <c r="A64" s="38"/>
      <c r="B64" s="33"/>
      <c r="C64" s="33"/>
      <c r="D64" s="33"/>
      <c r="E64" s="33"/>
      <c r="F64" s="49"/>
      <c r="G64" s="49"/>
      <c r="H64" s="49"/>
      <c r="I64" s="49"/>
      <c r="J64" s="33"/>
      <c r="K64" s="49"/>
      <c r="L64" s="146"/>
      <c r="M64" s="149"/>
      <c r="N64" s="88"/>
      <c r="O64" s="170"/>
      <c r="P64" s="10"/>
      <c r="Q64" s="33"/>
      <c r="R64" s="104"/>
      <c r="S64" s="107"/>
      <c r="T64" s="109"/>
      <c r="U64" s="9"/>
      <c r="V64" s="38"/>
      <c r="W64" s="52"/>
      <c r="X64" s="52"/>
      <c r="Y64" s="130"/>
      <c r="Z64" s="55"/>
      <c r="AA64" s="55"/>
      <c r="AB64" s="23"/>
    </row>
    <row r="65" spans="1:28" x14ac:dyDescent="0.25">
      <c r="A65" s="38"/>
      <c r="B65" s="33"/>
      <c r="C65" s="33"/>
      <c r="D65" s="33"/>
      <c r="E65" s="33"/>
      <c r="F65" s="49"/>
      <c r="G65" s="49"/>
      <c r="H65" s="49"/>
      <c r="I65" s="49"/>
      <c r="J65" s="33"/>
      <c r="K65" s="49"/>
      <c r="L65" s="146"/>
      <c r="M65" s="149"/>
      <c r="N65" s="88"/>
      <c r="O65" s="170"/>
      <c r="P65" s="10"/>
      <c r="Q65" s="33"/>
      <c r="R65" s="104"/>
      <c r="S65" s="107"/>
      <c r="T65" s="109"/>
      <c r="U65" s="9"/>
      <c r="V65" s="38"/>
      <c r="W65" s="52"/>
      <c r="X65" s="52"/>
      <c r="Y65" s="130"/>
      <c r="Z65" s="55"/>
      <c r="AA65" s="55"/>
      <c r="AB65" s="23"/>
    </row>
    <row r="66" spans="1:28" x14ac:dyDescent="0.25">
      <c r="A66" s="38"/>
      <c r="B66" s="33"/>
      <c r="C66" s="33"/>
      <c r="D66" s="33"/>
      <c r="E66" s="33"/>
      <c r="F66" s="49"/>
      <c r="G66" s="49"/>
      <c r="H66" s="49"/>
      <c r="I66" s="49"/>
      <c r="J66" s="33"/>
      <c r="K66" s="49"/>
      <c r="L66" s="146"/>
      <c r="M66" s="149"/>
      <c r="N66" s="88"/>
      <c r="O66" s="170"/>
      <c r="P66" s="10"/>
      <c r="Q66" s="33"/>
      <c r="R66" s="104"/>
      <c r="S66" s="107"/>
      <c r="T66" s="109"/>
      <c r="U66" s="9"/>
      <c r="V66" s="38"/>
      <c r="W66" s="52"/>
      <c r="X66" s="52"/>
      <c r="Y66" s="130"/>
      <c r="Z66" s="55"/>
      <c r="AA66" s="55"/>
      <c r="AB66" s="23"/>
    </row>
    <row r="67" spans="1:28" x14ac:dyDescent="0.25">
      <c r="A67" s="38"/>
      <c r="B67" s="33"/>
      <c r="C67" s="33"/>
      <c r="D67" s="33"/>
      <c r="E67" s="33"/>
      <c r="F67" s="49"/>
      <c r="G67" s="49"/>
      <c r="H67" s="49"/>
      <c r="I67" s="49"/>
      <c r="J67" s="33"/>
      <c r="K67" s="49"/>
      <c r="L67" s="146"/>
      <c r="M67" s="149"/>
      <c r="N67" s="88"/>
      <c r="O67" s="170"/>
      <c r="P67" s="10"/>
      <c r="Q67" s="33"/>
      <c r="R67" s="104"/>
      <c r="S67" s="107"/>
      <c r="T67" s="109"/>
      <c r="U67" s="9"/>
      <c r="V67" s="38"/>
      <c r="W67" s="52"/>
      <c r="X67" s="52"/>
      <c r="Y67" s="130"/>
      <c r="Z67" s="55"/>
      <c r="AA67" s="55"/>
      <c r="AB67" s="23"/>
    </row>
    <row r="68" spans="1:28" x14ac:dyDescent="0.25">
      <c r="A68" s="38"/>
      <c r="B68" s="33"/>
      <c r="C68" s="33"/>
      <c r="D68" s="33"/>
      <c r="E68" s="33"/>
      <c r="F68" s="49"/>
      <c r="G68" s="49"/>
      <c r="H68" s="49"/>
      <c r="I68" s="49"/>
      <c r="J68" s="33"/>
      <c r="K68" s="49"/>
      <c r="L68" s="146"/>
      <c r="M68" s="149"/>
      <c r="N68" s="88"/>
      <c r="O68" s="170"/>
      <c r="P68" s="10"/>
      <c r="Q68" s="33"/>
      <c r="R68" s="104"/>
      <c r="S68" s="107"/>
      <c r="T68" s="109"/>
      <c r="U68" s="9"/>
      <c r="V68" s="38"/>
      <c r="W68" s="52"/>
      <c r="X68" s="52"/>
      <c r="Y68" s="130"/>
      <c r="Z68" s="55"/>
      <c r="AA68" s="55"/>
      <c r="AB68" s="23"/>
    </row>
    <row r="69" spans="1:28" x14ac:dyDescent="0.25">
      <c r="A69" s="38"/>
      <c r="B69" s="33"/>
      <c r="C69" s="33"/>
      <c r="D69" s="33"/>
      <c r="E69" s="33"/>
      <c r="F69" s="49"/>
      <c r="G69" s="49"/>
      <c r="H69" s="49"/>
      <c r="I69" s="49"/>
      <c r="J69" s="33"/>
      <c r="K69" s="49"/>
      <c r="L69" s="146"/>
      <c r="M69" s="149"/>
      <c r="N69" s="88"/>
      <c r="O69" s="170"/>
      <c r="P69" s="10"/>
      <c r="Q69" s="33"/>
      <c r="R69" s="104"/>
      <c r="S69" s="107"/>
      <c r="T69" s="109"/>
      <c r="U69" s="9"/>
      <c r="V69" s="38"/>
      <c r="W69" s="52"/>
      <c r="X69" s="52"/>
      <c r="Y69" s="130"/>
      <c r="Z69" s="55"/>
      <c r="AA69" s="55"/>
      <c r="AB69" s="23"/>
    </row>
    <row r="70" spans="1:28" x14ac:dyDescent="0.25">
      <c r="A70" s="38"/>
      <c r="B70" s="33"/>
      <c r="C70" s="33"/>
      <c r="D70" s="33"/>
      <c r="E70" s="33"/>
      <c r="F70" s="49"/>
      <c r="G70" s="49"/>
      <c r="H70" s="49"/>
      <c r="I70" s="49"/>
      <c r="J70" s="33"/>
      <c r="K70" s="49"/>
      <c r="L70" s="146"/>
      <c r="M70" s="149"/>
      <c r="N70" s="88"/>
      <c r="O70" s="170"/>
      <c r="P70" s="10"/>
      <c r="Q70" s="33"/>
      <c r="R70" s="104"/>
      <c r="S70" s="107"/>
      <c r="T70" s="109"/>
      <c r="U70" s="9"/>
      <c r="V70" s="38"/>
      <c r="W70" s="52"/>
      <c r="X70" s="52"/>
      <c r="Y70" s="130"/>
      <c r="Z70" s="55"/>
      <c r="AA70" s="55"/>
      <c r="AB70" s="23"/>
    </row>
    <row r="71" spans="1:28" x14ac:dyDescent="0.25">
      <c r="A71" s="38"/>
      <c r="B71" s="33"/>
      <c r="C71" s="33"/>
      <c r="D71" s="33"/>
      <c r="E71" s="33"/>
      <c r="F71" s="49"/>
      <c r="G71" s="49"/>
      <c r="H71" s="49"/>
      <c r="I71" s="49"/>
      <c r="J71" s="33"/>
      <c r="K71" s="49"/>
      <c r="L71" s="146"/>
      <c r="M71" s="149"/>
      <c r="N71" s="88"/>
      <c r="O71" s="170"/>
      <c r="P71" s="10"/>
      <c r="Q71" s="33"/>
      <c r="R71" s="104"/>
      <c r="S71" s="107"/>
      <c r="T71" s="109"/>
      <c r="U71" s="9"/>
      <c r="V71" s="38"/>
      <c r="W71" s="52"/>
      <c r="X71" s="52"/>
      <c r="Y71" s="130"/>
      <c r="Z71" s="55"/>
      <c r="AA71" s="55"/>
      <c r="AB71" s="23"/>
    </row>
    <row r="72" spans="1:28" x14ac:dyDescent="0.25">
      <c r="A72" s="38"/>
      <c r="B72" s="33"/>
      <c r="C72" s="33"/>
      <c r="D72" s="33"/>
      <c r="E72" s="33"/>
      <c r="F72" s="49"/>
      <c r="G72" s="49"/>
      <c r="H72" s="49"/>
      <c r="I72" s="49"/>
      <c r="J72" s="33"/>
      <c r="K72" s="49"/>
      <c r="L72" s="146"/>
      <c r="M72" s="149"/>
      <c r="N72" s="88"/>
      <c r="O72" s="170"/>
      <c r="P72" s="10"/>
      <c r="Q72" s="33"/>
      <c r="R72" s="104"/>
      <c r="S72" s="107"/>
      <c r="T72" s="109"/>
      <c r="U72" s="9"/>
      <c r="V72" s="38"/>
      <c r="W72" s="52"/>
      <c r="X72" s="52"/>
      <c r="Y72" s="130"/>
      <c r="Z72" s="55"/>
      <c r="AA72" s="55"/>
      <c r="AB72" s="23"/>
    </row>
    <row r="73" spans="1:28" x14ac:dyDescent="0.25">
      <c r="A73" s="38"/>
      <c r="B73" s="33"/>
      <c r="C73" s="33"/>
      <c r="D73" s="33"/>
      <c r="E73" s="33"/>
      <c r="F73" s="49"/>
      <c r="G73" s="49"/>
      <c r="H73" s="49"/>
      <c r="I73" s="49"/>
      <c r="J73" s="33"/>
      <c r="K73" s="49"/>
      <c r="L73" s="146"/>
      <c r="M73" s="149"/>
      <c r="N73" s="88"/>
      <c r="O73" s="170"/>
      <c r="P73" s="10"/>
      <c r="Q73" s="33"/>
      <c r="R73" s="104"/>
      <c r="S73" s="107"/>
      <c r="T73" s="109"/>
      <c r="U73" s="9"/>
      <c r="V73" s="38"/>
      <c r="W73" s="52"/>
      <c r="X73" s="52"/>
      <c r="Y73" s="130"/>
      <c r="Z73" s="55"/>
      <c r="AA73" s="55"/>
      <c r="AB73" s="23"/>
    </row>
    <row r="74" spans="1:28" x14ac:dyDescent="0.25">
      <c r="B74" s="23"/>
      <c r="C74" s="23"/>
      <c r="D74" s="23"/>
      <c r="E74" s="23"/>
      <c r="J74" s="23"/>
    </row>
  </sheetData>
  <autoFilter ref="A6:AC68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2" priority="15" operator="equal">
      <formula>"Y"</formula>
    </cfRule>
  </conditionalFormatting>
  <conditionalFormatting sqref="A7:P73">
    <cfRule type="expression" dxfId="1" priority="8">
      <formula>$O7="Y"</formula>
    </cfRule>
  </conditionalFormatting>
  <conditionalFormatting sqref="O2:O3">
    <cfRule type="cellIs" dxfId="0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AB7:AB73</xm:sqref>
        </x14:dataValidation>
        <x14:dataValidation type="list" allowBlank="1" showInputMessage="1" showErrorMessage="1">
          <x14:formula1>
            <xm:f>'Redmine List Values'!$A$2:$A$7</xm:f>
          </x14:formula1>
          <xm:sqref>AA7:AA73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2"/>
  <sheetViews>
    <sheetView zoomScale="85" zoomScaleNormal="85" workbookViewId="0">
      <selection activeCell="A3" sqref="A3"/>
    </sheetView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17.140625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0" t="str">
        <f>"Trips that did not appear in PTC Data "&amp;TEXT(Variables!$A$2,"YYYY-mm-dd")</f>
        <v>Trips that did not appear in PTC Data 2016-09-29</v>
      </c>
      <c r="C1" s="180"/>
      <c r="D1" s="180"/>
      <c r="E1" s="180"/>
      <c r="F1" s="180"/>
    </row>
    <row r="2" spans="1:11" s="26" customFormat="1" ht="45" x14ac:dyDescent="0.25">
      <c r="A2" s="166" t="s">
        <v>167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-29</v>
      </c>
      <c r="C3" s="115"/>
      <c r="D3" s="115"/>
      <c r="E3" s="33"/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7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-29</v>
      </c>
      <c r="C4" s="115"/>
      <c r="D4" s="115"/>
      <c r="E4" s="33"/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-29</v>
      </c>
      <c r="C5" s="115"/>
      <c r="D5" s="115"/>
      <c r="E5" s="33"/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-29</v>
      </c>
      <c r="C6" s="115"/>
      <c r="D6" s="115"/>
      <c r="E6" s="33"/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-29</v>
      </c>
      <c r="C7" s="115"/>
      <c r="D7" s="115"/>
      <c r="E7" s="33"/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-29</v>
      </c>
      <c r="C8" s="115"/>
      <c r="D8" s="115"/>
      <c r="E8" s="33"/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ref="I8:I14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8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-29</v>
      </c>
      <c r="C9" s="115"/>
      <c r="D9" s="115"/>
      <c r="E9" s="33"/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-29</v>
      </c>
      <c r="C10" s="115"/>
      <c r="D10" s="115"/>
      <c r="E10" s="33"/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-29</v>
      </c>
      <c r="C11" s="115"/>
      <c r="D11" s="115"/>
      <c r="E11" s="33"/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-29</v>
      </c>
      <c r="C12" s="115"/>
      <c r="D12" s="115"/>
      <c r="E12" s="33"/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-29</v>
      </c>
      <c r="C13" s="115"/>
      <c r="D13" s="115"/>
      <c r="E13" s="33"/>
      <c r="F13" s="24" t="e">
        <f>VLOOKUP(B13,'Trips&amp;Operators'!$C$2:$E$10000,3,FALSE)</f>
        <v>#N/A</v>
      </c>
      <c r="G13" s="24" t="e">
        <f>VLOOKUP(B13,'Trips&amp;Operators'!$C$1:$F$10000,4,FALSE)</f>
        <v>#N/A</v>
      </c>
      <c r="H13" s="32" t="e">
        <f>VLOOKUP(B13,'Trips&amp;Operators'!$C$1:$H$10000,5,FALSE)</f>
        <v>#N/A</v>
      </c>
      <c r="I13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3" s="23"/>
      <c r="K13" s="23"/>
    </row>
    <row r="14" spans="1:11" x14ac:dyDescent="0.25">
      <c r="B14" s="2" t="str">
        <f>A14&amp;"-"&amp;IF(DAY(Variables!$A$2)&lt;10,0,"")&amp;DAY(Variables!$A$2)</f>
        <v>-29</v>
      </c>
      <c r="C14" s="115"/>
      <c r="D14" s="115"/>
      <c r="E14" s="33"/>
      <c r="F14" s="24" t="e">
        <f>VLOOKUP(B14,'Trips&amp;Operators'!$C$2:$E$10000,3,FALSE)</f>
        <v>#N/A</v>
      </c>
      <c r="G14" s="24" t="e">
        <f>VLOOKUP(B14,'Trips&amp;Operators'!$C$1:$F$10000,4,FALSE)</f>
        <v>#N/A</v>
      </c>
      <c r="H14" s="32" t="e">
        <f>VLOOKUP(B14,'Trips&amp;Operators'!$C$1:$H$10000,5,FALSE)</f>
        <v>#N/A</v>
      </c>
      <c r="I14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-29%22)),sort:!(Time,asc))</v>
      </c>
      <c r="J14" s="23"/>
      <c r="K14" s="23"/>
    </row>
    <row r="15" spans="1:11" x14ac:dyDescent="0.25">
      <c r="C15" s="110"/>
      <c r="D15" s="110"/>
      <c r="I15" s="23"/>
      <c r="J15" s="23"/>
      <c r="K15" s="23"/>
    </row>
    <row r="16" spans="1:11" x14ac:dyDescent="0.25">
      <c r="C16" s="110"/>
      <c r="D16" s="110"/>
      <c r="I16" s="23"/>
      <c r="J16" s="23"/>
      <c r="K16" s="23"/>
    </row>
    <row r="17" spans="3:11" x14ac:dyDescent="0.25">
      <c r="C17" s="110"/>
      <c r="D17" s="110"/>
      <c r="I17" s="23"/>
      <c r="J17" s="23"/>
      <c r="K17" s="23"/>
    </row>
    <row r="18" spans="3:11" x14ac:dyDescent="0.25">
      <c r="C18" s="110"/>
      <c r="D18" s="110"/>
      <c r="I18" s="23"/>
      <c r="J18" s="23"/>
      <c r="K18" s="23"/>
    </row>
    <row r="19" spans="3:11" x14ac:dyDescent="0.25">
      <c r="C19" s="110"/>
      <c r="D19" s="110"/>
      <c r="I19" s="23"/>
      <c r="J19" s="23"/>
      <c r="K19" s="23"/>
    </row>
    <row r="20" spans="3:11" x14ac:dyDescent="0.25">
      <c r="C20" s="110"/>
      <c r="D20" s="110"/>
      <c r="I20" s="23"/>
      <c r="J20" s="23"/>
      <c r="K20" s="23"/>
    </row>
    <row r="21" spans="3:11" x14ac:dyDescent="0.25">
      <c r="C21" s="110"/>
      <c r="D21" s="110"/>
      <c r="I21" s="23"/>
      <c r="J21" s="23"/>
      <c r="K21" s="23"/>
    </row>
    <row r="22" spans="3:11" x14ac:dyDescent="0.25">
      <c r="C22" s="110"/>
      <c r="D22" s="110"/>
      <c r="I22" s="23"/>
      <c r="J22" s="23"/>
      <c r="K22" s="23"/>
    </row>
    <row r="23" spans="3:11" x14ac:dyDescent="0.25">
      <c r="C23" s="110"/>
      <c r="D23" s="110"/>
      <c r="I23" s="23"/>
      <c r="J23" s="23"/>
      <c r="K23" s="23"/>
    </row>
    <row r="24" spans="3:11" x14ac:dyDescent="0.25">
      <c r="C24" s="110"/>
      <c r="D24" s="110"/>
      <c r="I24" s="23"/>
      <c r="J24" s="23"/>
      <c r="K24" s="23"/>
    </row>
    <row r="25" spans="3:11" x14ac:dyDescent="0.25">
      <c r="C25" s="110"/>
      <c r="D25" s="110"/>
      <c r="I25" s="23"/>
      <c r="J25" s="23"/>
      <c r="K25" s="23"/>
    </row>
    <row r="26" spans="3:11" x14ac:dyDescent="0.25">
      <c r="C26" s="110"/>
      <c r="D26" s="110"/>
      <c r="I26" s="23"/>
      <c r="J26" s="23"/>
      <c r="K26" s="23"/>
    </row>
    <row r="27" spans="3:11" x14ac:dyDescent="0.25">
      <c r="C27" s="110"/>
      <c r="D27" s="110"/>
      <c r="I27" s="23"/>
      <c r="J27" s="23"/>
      <c r="K27" s="23"/>
    </row>
    <row r="28" spans="3:11" x14ac:dyDescent="0.25">
      <c r="C28" s="110"/>
      <c r="D28" s="110"/>
      <c r="I28" s="23"/>
      <c r="J28" s="23"/>
      <c r="K28" s="23"/>
    </row>
    <row r="29" spans="3:11" x14ac:dyDescent="0.25">
      <c r="C29" s="110"/>
      <c r="D29" s="110"/>
      <c r="I29" s="23"/>
      <c r="J29" s="23"/>
      <c r="K29" s="23"/>
    </row>
    <row r="30" spans="3:11" x14ac:dyDescent="0.25">
      <c r="C30" s="110"/>
      <c r="D30" s="110"/>
      <c r="I30" s="23"/>
      <c r="J30" s="23"/>
      <c r="K30" s="23"/>
    </row>
    <row r="31" spans="3:11" x14ac:dyDescent="0.25">
      <c r="C31" s="110"/>
      <c r="D31" s="110"/>
      <c r="I31" s="23"/>
      <c r="J31" s="23"/>
      <c r="K31" s="23"/>
    </row>
    <row r="32" spans="3:11" x14ac:dyDescent="0.25">
      <c r="I32" s="23"/>
      <c r="J32" s="23"/>
      <c r="K32" s="23"/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241</v>
      </c>
      <c r="B1" s="23" t="s">
        <v>242</v>
      </c>
      <c r="C1" s="23" t="s">
        <v>0</v>
      </c>
      <c r="D1" s="23" t="s">
        <v>243</v>
      </c>
      <c r="E1" s="23" t="s">
        <v>244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42642.035254629627</v>
      </c>
      <c r="B2" s="23" t="s">
        <v>254</v>
      </c>
      <c r="C2" s="23" t="s">
        <v>317</v>
      </c>
      <c r="D2" s="23">
        <v>1300000</v>
      </c>
      <c r="E2" s="23" t="s">
        <v>121</v>
      </c>
      <c r="F2" s="23" t="str">
        <f t="shared" ref="F2:F65" si="0">B2</f>
        <v>rtdc.l.rtdc.4017:itc</v>
      </c>
      <c r="G2" s="8">
        <f t="shared" ref="G2:G65" si="1">A2</f>
        <v>42642.035254629627</v>
      </c>
    </row>
    <row r="3" spans="1:7" x14ac:dyDescent="0.25">
      <c r="A3" s="8">
        <v>42642.045960648145</v>
      </c>
      <c r="B3" s="23" t="s">
        <v>162</v>
      </c>
      <c r="C3" s="23" t="s">
        <v>318</v>
      </c>
      <c r="D3" s="23">
        <v>1230000</v>
      </c>
      <c r="E3" s="23" t="s">
        <v>225</v>
      </c>
      <c r="F3" s="23" t="str">
        <f t="shared" si="0"/>
        <v>rtdc.l.rtdc.4020:itc</v>
      </c>
      <c r="G3" s="8">
        <f t="shared" si="1"/>
        <v>42642.045960648145</v>
      </c>
    </row>
    <row r="4" spans="1:7" x14ac:dyDescent="0.25">
      <c r="A4" s="8">
        <v>42642.046655092592</v>
      </c>
      <c r="B4" s="23" t="s">
        <v>162</v>
      </c>
      <c r="C4" s="23" t="s">
        <v>318</v>
      </c>
      <c r="D4" s="23">
        <v>1230000</v>
      </c>
      <c r="E4" s="23" t="s">
        <v>225</v>
      </c>
      <c r="F4" s="23" t="str">
        <f t="shared" si="0"/>
        <v>rtdc.l.rtdc.4020:itc</v>
      </c>
      <c r="G4" s="8">
        <f t="shared" si="1"/>
        <v>42642.046655092592</v>
      </c>
    </row>
    <row r="5" spans="1:7" x14ac:dyDescent="0.25">
      <c r="A5" s="8">
        <v>42642.0471875</v>
      </c>
      <c r="B5" s="23" t="s">
        <v>162</v>
      </c>
      <c r="C5" s="23" t="s">
        <v>318</v>
      </c>
      <c r="D5" s="23">
        <v>1230000</v>
      </c>
      <c r="E5" s="23" t="s">
        <v>225</v>
      </c>
      <c r="F5" s="23" t="str">
        <f t="shared" si="0"/>
        <v>rtdc.l.rtdc.4020:itc</v>
      </c>
      <c r="G5" s="8">
        <f t="shared" si="1"/>
        <v>42642.0471875</v>
      </c>
    </row>
    <row r="6" spans="1:7" x14ac:dyDescent="0.25">
      <c r="A6" s="8">
        <v>42642.057245370372</v>
      </c>
      <c r="B6" s="23" t="s">
        <v>280</v>
      </c>
      <c r="C6" s="23" t="s">
        <v>319</v>
      </c>
      <c r="D6" s="23">
        <v>1290000</v>
      </c>
      <c r="E6" s="23" t="s">
        <v>170</v>
      </c>
      <c r="F6" s="23" t="str">
        <f t="shared" si="0"/>
        <v>rtdc.l.rtdc.4013:itc</v>
      </c>
      <c r="G6" s="8">
        <f t="shared" si="1"/>
        <v>42642.057245370372</v>
      </c>
    </row>
    <row r="7" spans="1:7" x14ac:dyDescent="0.25">
      <c r="A7" s="8">
        <v>42642.067013888889</v>
      </c>
      <c r="B7" s="23" t="s">
        <v>255</v>
      </c>
      <c r="C7" s="23" t="s">
        <v>320</v>
      </c>
      <c r="D7" s="23">
        <v>1300000</v>
      </c>
      <c r="E7" s="23" t="s">
        <v>121</v>
      </c>
      <c r="F7" s="23" t="str">
        <f t="shared" si="0"/>
        <v>rtdc.l.rtdc.4018:itc</v>
      </c>
      <c r="G7" s="8">
        <f t="shared" si="1"/>
        <v>42642.067013888889</v>
      </c>
    </row>
    <row r="8" spans="1:7" x14ac:dyDescent="0.25">
      <c r="A8" s="8">
        <v>42642.067986111113</v>
      </c>
      <c r="B8" s="23" t="s">
        <v>255</v>
      </c>
      <c r="C8" s="23" t="s">
        <v>320</v>
      </c>
      <c r="D8" s="23">
        <v>1300000</v>
      </c>
      <c r="E8" s="23" t="s">
        <v>121</v>
      </c>
      <c r="F8" s="23" t="str">
        <f t="shared" si="0"/>
        <v>rtdc.l.rtdc.4018:itc</v>
      </c>
      <c r="G8" s="8">
        <f t="shared" si="1"/>
        <v>42642.067986111113</v>
      </c>
    </row>
    <row r="9" spans="1:7" ht="15.75" thickBot="1" x14ac:dyDescent="0.3">
      <c r="A9" s="27">
        <v>42642.088518518518</v>
      </c>
      <c r="B9" s="23" t="s">
        <v>236</v>
      </c>
      <c r="C9" s="23" t="s">
        <v>321</v>
      </c>
      <c r="D9" s="23">
        <v>1290000</v>
      </c>
      <c r="E9" s="23" t="s">
        <v>170</v>
      </c>
      <c r="F9" s="23" t="str">
        <f t="shared" si="0"/>
        <v>rtdc.l.rtdc.4014:itc</v>
      </c>
      <c r="G9" s="8">
        <f t="shared" si="1"/>
        <v>42642.088518518518</v>
      </c>
    </row>
    <row r="10" spans="1:7" x14ac:dyDescent="0.25">
      <c r="A10" s="8">
        <v>42642.131701388891</v>
      </c>
      <c r="B10" s="23" t="s">
        <v>174</v>
      </c>
      <c r="C10" s="23" t="s">
        <v>365</v>
      </c>
      <c r="D10" s="23">
        <v>2010000</v>
      </c>
      <c r="E10" s="23" t="s">
        <v>310</v>
      </c>
      <c r="F10" s="23" t="str">
        <f t="shared" si="0"/>
        <v>rtdc.l.rtdc.4042:itc</v>
      </c>
      <c r="G10" s="8">
        <f t="shared" si="1"/>
        <v>42642.131701388891</v>
      </c>
    </row>
    <row r="11" spans="1:7" x14ac:dyDescent="0.25">
      <c r="A11" s="8">
        <v>42642.152939814812</v>
      </c>
      <c r="B11" s="23" t="s">
        <v>247</v>
      </c>
      <c r="C11" s="23" t="s">
        <v>366</v>
      </c>
      <c r="D11" s="23">
        <v>1090000</v>
      </c>
      <c r="E11" s="23" t="s">
        <v>281</v>
      </c>
      <c r="F11" s="23" t="str">
        <f t="shared" si="0"/>
        <v>rtdc.l.rtdc.4029:itc</v>
      </c>
      <c r="G11" s="8">
        <f t="shared" si="1"/>
        <v>42642.152939814812</v>
      </c>
    </row>
    <row r="12" spans="1:7" x14ac:dyDescent="0.25">
      <c r="A12" s="8">
        <v>42642.171956018516</v>
      </c>
      <c r="B12" s="23" t="s">
        <v>311</v>
      </c>
      <c r="C12" s="23" t="s">
        <v>367</v>
      </c>
      <c r="D12" s="23">
        <v>2010000</v>
      </c>
      <c r="E12" s="23" t="s">
        <v>310</v>
      </c>
      <c r="F12" s="23" t="str">
        <f t="shared" si="0"/>
        <v>rtdc.l.rtdc.4001:itc</v>
      </c>
      <c r="G12" s="8">
        <f t="shared" si="1"/>
        <v>42642.171956018516</v>
      </c>
    </row>
    <row r="13" spans="1:7" x14ac:dyDescent="0.25">
      <c r="A13" s="8">
        <v>42642.176111111112</v>
      </c>
      <c r="B13" s="23" t="s">
        <v>177</v>
      </c>
      <c r="C13" s="23" t="s">
        <v>368</v>
      </c>
      <c r="D13" s="23">
        <v>1310000</v>
      </c>
      <c r="E13" s="23" t="s">
        <v>369</v>
      </c>
      <c r="F13" s="23" t="str">
        <f t="shared" si="0"/>
        <v>rtdc.l.rtdc.4046:itc</v>
      </c>
      <c r="G13" s="8">
        <f t="shared" si="1"/>
        <v>42642.176111111112</v>
      </c>
    </row>
    <row r="14" spans="1:7" x14ac:dyDescent="0.25">
      <c r="A14" s="8">
        <v>42642.181273148148</v>
      </c>
      <c r="B14" s="23" t="s">
        <v>309</v>
      </c>
      <c r="C14" s="23" t="s">
        <v>370</v>
      </c>
      <c r="D14" s="23">
        <v>1760000</v>
      </c>
      <c r="E14" s="23" t="s">
        <v>312</v>
      </c>
      <c r="F14" s="23" t="str">
        <f t="shared" si="0"/>
        <v>rtdc.l.rtdc.4040:itc</v>
      </c>
      <c r="G14" s="8">
        <f t="shared" si="1"/>
        <v>42642.181273148148</v>
      </c>
    </row>
    <row r="15" spans="1:7" x14ac:dyDescent="0.25">
      <c r="A15" s="8">
        <v>42642.182210648149</v>
      </c>
      <c r="B15" s="23" t="s">
        <v>161</v>
      </c>
      <c r="C15" s="23" t="s">
        <v>371</v>
      </c>
      <c r="D15" s="23">
        <v>900000</v>
      </c>
      <c r="E15" s="23" t="s">
        <v>283</v>
      </c>
      <c r="F15" s="23" t="str">
        <f t="shared" si="0"/>
        <v>rtdc.l.rtdc.4019:itc</v>
      </c>
      <c r="G15" s="8">
        <f t="shared" si="1"/>
        <v>42642.182210648149</v>
      </c>
    </row>
    <row r="16" spans="1:7" x14ac:dyDescent="0.25">
      <c r="A16" s="8">
        <v>42642.19263888889</v>
      </c>
      <c r="B16" s="23" t="s">
        <v>169</v>
      </c>
      <c r="C16" s="23" t="s">
        <v>372</v>
      </c>
      <c r="D16" s="23">
        <v>1090000</v>
      </c>
      <c r="E16" s="23" t="s">
        <v>281</v>
      </c>
      <c r="F16" s="23" t="str">
        <f t="shared" si="0"/>
        <v>rtdc.l.rtdc.4026:itc</v>
      </c>
      <c r="G16" s="8">
        <f t="shared" si="1"/>
        <v>42642.19263888889</v>
      </c>
    </row>
    <row r="17" spans="1:7" x14ac:dyDescent="0.25">
      <c r="A17" s="8">
        <v>42642.194884259261</v>
      </c>
      <c r="B17" s="23" t="s">
        <v>162</v>
      </c>
      <c r="C17" s="23" t="s">
        <v>373</v>
      </c>
      <c r="D17" s="23">
        <v>900000</v>
      </c>
      <c r="E17" s="23" t="s">
        <v>283</v>
      </c>
      <c r="F17" s="23" t="str">
        <f t="shared" si="0"/>
        <v>rtdc.l.rtdc.4020:itc</v>
      </c>
      <c r="G17" s="8">
        <f t="shared" si="1"/>
        <v>42642.194884259261</v>
      </c>
    </row>
    <row r="18" spans="1:7" x14ac:dyDescent="0.25">
      <c r="A18" s="8">
        <v>42642.206550925926</v>
      </c>
      <c r="B18" s="23" t="s">
        <v>174</v>
      </c>
      <c r="C18" s="23" t="s">
        <v>374</v>
      </c>
      <c r="D18" s="23">
        <v>1340000</v>
      </c>
      <c r="E18" s="23" t="s">
        <v>282</v>
      </c>
      <c r="F18" s="23" t="str">
        <f t="shared" si="0"/>
        <v>rtdc.l.rtdc.4042:itc</v>
      </c>
      <c r="G18" s="8">
        <f t="shared" si="1"/>
        <v>42642.206550925926</v>
      </c>
    </row>
    <row r="19" spans="1:7" x14ac:dyDescent="0.25">
      <c r="A19" s="8">
        <v>42642.21266203704</v>
      </c>
      <c r="B19" s="23" t="s">
        <v>227</v>
      </c>
      <c r="C19" s="23" t="s">
        <v>375</v>
      </c>
      <c r="D19" s="23">
        <v>1830000</v>
      </c>
      <c r="E19" s="23" t="s">
        <v>376</v>
      </c>
      <c r="F19" s="23" t="str">
        <f t="shared" si="0"/>
        <v>rtdc.l.rtdc.4012:itc</v>
      </c>
      <c r="G19" s="8">
        <f t="shared" si="1"/>
        <v>42642.21266203704</v>
      </c>
    </row>
    <row r="20" spans="1:7" x14ac:dyDescent="0.25">
      <c r="A20" s="8">
        <v>42642.21497685185</v>
      </c>
      <c r="B20" s="23" t="s">
        <v>221</v>
      </c>
      <c r="C20" s="23" t="s">
        <v>377</v>
      </c>
      <c r="D20" s="23">
        <v>1310000</v>
      </c>
      <c r="E20" s="23" t="s">
        <v>369</v>
      </c>
      <c r="F20" s="23" t="str">
        <f t="shared" si="0"/>
        <v>rtdc.l.rtdc.4043:itc</v>
      </c>
      <c r="G20" s="8">
        <f t="shared" si="1"/>
        <v>42642.21497685185</v>
      </c>
    </row>
    <row r="21" spans="1:7" x14ac:dyDescent="0.25">
      <c r="A21" s="8">
        <v>42642.215543981481</v>
      </c>
      <c r="B21" s="23" t="s">
        <v>313</v>
      </c>
      <c r="C21" s="23" t="s">
        <v>378</v>
      </c>
      <c r="D21" s="23">
        <v>2010000</v>
      </c>
      <c r="E21" s="23" t="s">
        <v>310</v>
      </c>
      <c r="F21" s="23" t="str">
        <f t="shared" si="0"/>
        <v>rtdc.l.rtdc.4002:itc</v>
      </c>
      <c r="G21" s="8">
        <f t="shared" si="1"/>
        <v>42642.215543981481</v>
      </c>
    </row>
    <row r="22" spans="1:7" x14ac:dyDescent="0.25">
      <c r="A22" s="29">
        <v>42642.216504629629</v>
      </c>
      <c r="B22" s="23" t="s">
        <v>313</v>
      </c>
      <c r="C22" s="23" t="s">
        <v>378</v>
      </c>
      <c r="D22" s="23">
        <v>2010000</v>
      </c>
      <c r="E22" s="23" t="s">
        <v>310</v>
      </c>
      <c r="F22" s="23" t="str">
        <f t="shared" si="0"/>
        <v>rtdc.l.rtdc.4002:itc</v>
      </c>
      <c r="G22" s="8">
        <f t="shared" si="1"/>
        <v>42642.216504629629</v>
      </c>
    </row>
    <row r="23" spans="1:7" x14ac:dyDescent="0.25">
      <c r="A23" s="8">
        <v>42642.224976851852</v>
      </c>
      <c r="B23" s="23" t="s">
        <v>314</v>
      </c>
      <c r="C23" s="23" t="s">
        <v>379</v>
      </c>
      <c r="D23" s="23">
        <v>1760000</v>
      </c>
      <c r="E23" s="23" t="s">
        <v>312</v>
      </c>
      <c r="F23" s="23" t="str">
        <f t="shared" si="0"/>
        <v>rtdc.l.rtdc.4039:itc</v>
      </c>
      <c r="G23" s="8">
        <f t="shared" si="1"/>
        <v>42642.224976851852</v>
      </c>
    </row>
    <row r="24" spans="1:7" x14ac:dyDescent="0.25">
      <c r="A24" s="8">
        <v>42642.226076388892</v>
      </c>
      <c r="B24" s="23" t="s">
        <v>247</v>
      </c>
      <c r="C24" s="23" t="s">
        <v>380</v>
      </c>
      <c r="D24" s="23">
        <v>1190000</v>
      </c>
      <c r="E24" s="23" t="s">
        <v>381</v>
      </c>
      <c r="F24" s="23" t="str">
        <f t="shared" si="0"/>
        <v>rtdc.l.rtdc.4029:itc</v>
      </c>
      <c r="G24" s="8">
        <f t="shared" si="1"/>
        <v>42642.226076388892</v>
      </c>
    </row>
    <row r="25" spans="1:7" x14ac:dyDescent="0.25">
      <c r="A25" s="8">
        <v>42642.227037037039</v>
      </c>
      <c r="B25" s="23" t="s">
        <v>382</v>
      </c>
      <c r="C25" s="23" t="s">
        <v>383</v>
      </c>
      <c r="D25" s="23">
        <v>1830000</v>
      </c>
      <c r="E25" s="23" t="s">
        <v>376</v>
      </c>
      <c r="F25" s="23" t="str">
        <f t="shared" si="0"/>
        <v>rtdc.l.rtdc.4011:itc</v>
      </c>
      <c r="G25" s="8">
        <f t="shared" si="1"/>
        <v>42642.227037037039</v>
      </c>
    </row>
    <row r="26" spans="1:7" x14ac:dyDescent="0.25">
      <c r="A26" s="8">
        <v>42642.227094907408</v>
      </c>
      <c r="B26" s="23" t="s">
        <v>247</v>
      </c>
      <c r="C26" s="23" t="s">
        <v>380</v>
      </c>
      <c r="D26" s="23">
        <v>1190000</v>
      </c>
      <c r="E26" s="23" t="s">
        <v>381</v>
      </c>
      <c r="F26" s="23" t="str">
        <f t="shared" si="0"/>
        <v>rtdc.l.rtdc.4029:itc</v>
      </c>
      <c r="G26" s="8">
        <f t="shared" si="1"/>
        <v>42642.227094907408</v>
      </c>
    </row>
    <row r="27" spans="1:7" x14ac:dyDescent="0.25">
      <c r="A27" s="8">
        <v>42642.231087962966</v>
      </c>
      <c r="B27" s="23" t="s">
        <v>161</v>
      </c>
      <c r="C27" s="23" t="s">
        <v>384</v>
      </c>
      <c r="D27" s="23">
        <v>900000</v>
      </c>
      <c r="E27" s="23" t="s">
        <v>283</v>
      </c>
      <c r="F27" s="23" t="str">
        <f t="shared" si="0"/>
        <v>rtdc.l.rtdc.4019:itc</v>
      </c>
      <c r="G27" s="8">
        <f t="shared" si="1"/>
        <v>42642.231087962966</v>
      </c>
    </row>
    <row r="28" spans="1:7" x14ac:dyDescent="0.25">
      <c r="A28" s="8">
        <v>42642.231898148151</v>
      </c>
      <c r="B28" s="23" t="s">
        <v>168</v>
      </c>
      <c r="C28" s="23" t="s">
        <v>385</v>
      </c>
      <c r="D28" s="23">
        <v>1090000</v>
      </c>
      <c r="E28" s="23" t="s">
        <v>281</v>
      </c>
      <c r="F28" s="23" t="str">
        <f t="shared" si="0"/>
        <v>rtdc.l.rtdc.4025:itc</v>
      </c>
      <c r="G28" s="8">
        <f t="shared" si="1"/>
        <v>42642.231898148151</v>
      </c>
    </row>
    <row r="29" spans="1:7" x14ac:dyDescent="0.25">
      <c r="A29" s="8">
        <v>42642.240717592591</v>
      </c>
      <c r="B29" s="23" t="s">
        <v>173</v>
      </c>
      <c r="C29" s="23" t="s">
        <v>386</v>
      </c>
      <c r="D29" s="23">
        <v>1340000</v>
      </c>
      <c r="E29" s="23" t="s">
        <v>282</v>
      </c>
      <c r="F29" s="23" t="str">
        <f t="shared" si="0"/>
        <v>rtdc.l.rtdc.4041:itc</v>
      </c>
      <c r="G29" s="8">
        <f t="shared" si="1"/>
        <v>42642.240717592591</v>
      </c>
    </row>
    <row r="30" spans="1:7" x14ac:dyDescent="0.25">
      <c r="A30" s="8">
        <v>42642.247407407405</v>
      </c>
      <c r="B30" s="23" t="s">
        <v>177</v>
      </c>
      <c r="C30" s="23" t="s">
        <v>387</v>
      </c>
      <c r="D30" s="23">
        <v>1310000</v>
      </c>
      <c r="E30" s="23" t="s">
        <v>369</v>
      </c>
      <c r="F30" s="23" t="str">
        <f t="shared" si="0"/>
        <v>rtdc.l.rtdc.4046:itc</v>
      </c>
      <c r="G30" s="8">
        <f t="shared" si="1"/>
        <v>42642.247407407405</v>
      </c>
    </row>
    <row r="31" spans="1:7" x14ac:dyDescent="0.25">
      <c r="A31" s="8">
        <v>42642.251203703701</v>
      </c>
      <c r="B31" s="23" t="s">
        <v>311</v>
      </c>
      <c r="C31" s="23" t="s">
        <v>388</v>
      </c>
      <c r="D31" s="23">
        <v>2010000</v>
      </c>
      <c r="E31" s="23" t="s">
        <v>310</v>
      </c>
      <c r="F31" s="23" t="str">
        <f t="shared" si="0"/>
        <v>rtdc.l.rtdc.4001:itc</v>
      </c>
      <c r="G31" s="8">
        <f t="shared" si="1"/>
        <v>42642.251203703701</v>
      </c>
    </row>
    <row r="32" spans="1:7" x14ac:dyDescent="0.25">
      <c r="A32" s="8">
        <v>42642.254988425928</v>
      </c>
      <c r="B32" s="23" t="s">
        <v>227</v>
      </c>
      <c r="C32" s="23" t="s">
        <v>389</v>
      </c>
      <c r="D32" s="23">
        <v>1830000</v>
      </c>
      <c r="E32" s="23" t="s">
        <v>376</v>
      </c>
      <c r="F32" s="23" t="str">
        <f t="shared" si="0"/>
        <v>rtdc.l.rtdc.4012:itc</v>
      </c>
      <c r="G32" s="8">
        <f t="shared" si="1"/>
        <v>42642.254988425928</v>
      </c>
    </row>
    <row r="33" spans="1:7" x14ac:dyDescent="0.25">
      <c r="A33" s="8">
        <v>42642.257118055553</v>
      </c>
      <c r="B33" s="23" t="s">
        <v>236</v>
      </c>
      <c r="C33" s="23" t="s">
        <v>390</v>
      </c>
      <c r="D33" s="23">
        <v>1100000</v>
      </c>
      <c r="E33" s="23" t="s">
        <v>391</v>
      </c>
      <c r="F33" s="23" t="str">
        <f t="shared" si="0"/>
        <v>rtdc.l.rtdc.4014:itc</v>
      </c>
      <c r="G33" s="8">
        <f t="shared" si="1"/>
        <v>42642.257118055553</v>
      </c>
    </row>
    <row r="34" spans="1:7" x14ac:dyDescent="0.25">
      <c r="A34" s="8">
        <v>42642.257326388892</v>
      </c>
      <c r="B34" s="23" t="s">
        <v>248</v>
      </c>
      <c r="C34" s="23" t="s">
        <v>392</v>
      </c>
      <c r="D34" s="23">
        <v>1190000</v>
      </c>
      <c r="E34" s="23" t="s">
        <v>381</v>
      </c>
      <c r="F34" s="23" t="str">
        <f t="shared" si="0"/>
        <v>rtdc.l.rtdc.4030:itc</v>
      </c>
      <c r="G34" s="8">
        <f t="shared" si="1"/>
        <v>42642.257326388892</v>
      </c>
    </row>
    <row r="35" spans="1:7" x14ac:dyDescent="0.25">
      <c r="A35" s="8">
        <v>42642.257962962962</v>
      </c>
      <c r="B35" s="23" t="s">
        <v>309</v>
      </c>
      <c r="C35" s="23" t="s">
        <v>393</v>
      </c>
      <c r="D35" s="23">
        <v>1760000</v>
      </c>
      <c r="E35" s="23" t="s">
        <v>312</v>
      </c>
      <c r="F35" s="23" t="str">
        <f t="shared" si="0"/>
        <v>rtdc.l.rtdc.4040:itc</v>
      </c>
      <c r="G35" s="8">
        <f t="shared" si="1"/>
        <v>42642.257962962962</v>
      </c>
    </row>
    <row r="36" spans="1:7" x14ac:dyDescent="0.25">
      <c r="A36" s="8">
        <v>42642.268587962964</v>
      </c>
      <c r="B36" s="23" t="s">
        <v>162</v>
      </c>
      <c r="C36" s="23" t="s">
        <v>394</v>
      </c>
      <c r="D36" s="23">
        <v>900000</v>
      </c>
      <c r="E36" s="23" t="s">
        <v>283</v>
      </c>
      <c r="F36" s="23" t="str">
        <f t="shared" si="0"/>
        <v>rtdc.l.rtdc.4020:itc</v>
      </c>
      <c r="G36" s="8">
        <f t="shared" si="1"/>
        <v>42642.268587962964</v>
      </c>
    </row>
    <row r="37" spans="1:7" x14ac:dyDescent="0.25">
      <c r="A37" s="8">
        <v>42642.269317129627</v>
      </c>
      <c r="B37" s="23" t="s">
        <v>382</v>
      </c>
      <c r="C37" s="23" t="s">
        <v>395</v>
      </c>
      <c r="D37" s="23">
        <v>1830000</v>
      </c>
      <c r="E37" s="23" t="s">
        <v>376</v>
      </c>
      <c r="F37" s="23" t="str">
        <f t="shared" si="0"/>
        <v>rtdc.l.rtdc.4011:itc</v>
      </c>
      <c r="G37" s="8">
        <f t="shared" si="1"/>
        <v>42642.269317129627</v>
      </c>
    </row>
    <row r="38" spans="1:7" x14ac:dyDescent="0.25">
      <c r="A38" s="8">
        <v>42642.273657407408</v>
      </c>
      <c r="B38" s="23" t="s">
        <v>169</v>
      </c>
      <c r="C38" s="23" t="s">
        <v>396</v>
      </c>
      <c r="D38" s="23">
        <v>1090000</v>
      </c>
      <c r="E38" s="23" t="s">
        <v>281</v>
      </c>
      <c r="F38" s="23" t="str">
        <f t="shared" si="0"/>
        <v>rtdc.l.rtdc.4026:itc</v>
      </c>
      <c r="G38" s="8">
        <f t="shared" si="1"/>
        <v>42642.273657407408</v>
      </c>
    </row>
    <row r="39" spans="1:7" x14ac:dyDescent="0.25">
      <c r="A39" s="8">
        <v>42642.27684027778</v>
      </c>
      <c r="B39" s="23" t="s">
        <v>280</v>
      </c>
      <c r="C39" s="23" t="s">
        <v>397</v>
      </c>
      <c r="D39" s="23">
        <v>1100000</v>
      </c>
      <c r="E39" s="23" t="s">
        <v>391</v>
      </c>
      <c r="F39" s="23" t="str">
        <f t="shared" si="0"/>
        <v>rtdc.l.rtdc.4013:itc</v>
      </c>
      <c r="G39" s="8">
        <f t="shared" si="1"/>
        <v>42642.27684027778</v>
      </c>
    </row>
    <row r="40" spans="1:7" x14ac:dyDescent="0.25">
      <c r="A40" s="8">
        <v>42642.277662037035</v>
      </c>
      <c r="B40" s="28" t="s">
        <v>174</v>
      </c>
      <c r="C40" s="23" t="s">
        <v>398</v>
      </c>
      <c r="D40" s="23">
        <v>1340000</v>
      </c>
      <c r="E40" s="23" t="s">
        <v>282</v>
      </c>
      <c r="F40" s="23" t="str">
        <f t="shared" si="0"/>
        <v>rtdc.l.rtdc.4042:itc</v>
      </c>
      <c r="G40" s="8">
        <f t="shared" si="1"/>
        <v>42642.277662037035</v>
      </c>
    </row>
    <row r="41" spans="1:7" x14ac:dyDescent="0.25">
      <c r="A41" s="8">
        <v>42642.279664351852</v>
      </c>
      <c r="B41" s="23" t="s">
        <v>174</v>
      </c>
      <c r="C41" s="23" t="s">
        <v>398</v>
      </c>
      <c r="D41" s="23">
        <v>1340000</v>
      </c>
      <c r="E41" s="23" t="s">
        <v>282</v>
      </c>
      <c r="F41" s="23" t="str">
        <f t="shared" si="0"/>
        <v>rtdc.l.rtdc.4042:itc</v>
      </c>
      <c r="G41" s="8">
        <f t="shared" si="1"/>
        <v>42642.279664351852</v>
      </c>
    </row>
    <row r="42" spans="1:7" x14ac:dyDescent="0.25">
      <c r="A42" s="8">
        <v>42642.28800925926</v>
      </c>
      <c r="B42" s="23" t="s">
        <v>279</v>
      </c>
      <c r="C42" s="23" t="s">
        <v>399</v>
      </c>
      <c r="D42" s="23">
        <v>1310000</v>
      </c>
      <c r="E42" s="23" t="s">
        <v>369</v>
      </c>
      <c r="F42" s="23" t="str">
        <f t="shared" si="0"/>
        <v>rtdc.l.rtdc.4045:itc</v>
      </c>
      <c r="G42" s="8">
        <f t="shared" si="1"/>
        <v>42642.28800925926</v>
      </c>
    </row>
    <row r="43" spans="1:7" x14ac:dyDescent="0.25">
      <c r="A43" s="8">
        <v>42642.288437499999</v>
      </c>
      <c r="B43" s="23" t="s">
        <v>313</v>
      </c>
      <c r="C43" s="23" t="s">
        <v>400</v>
      </c>
      <c r="D43" s="23">
        <v>2010000</v>
      </c>
      <c r="E43" s="23" t="s">
        <v>310</v>
      </c>
      <c r="F43" s="23" t="str">
        <f t="shared" si="0"/>
        <v>rtdc.l.rtdc.4002:itc</v>
      </c>
      <c r="G43" s="8">
        <f t="shared" si="1"/>
        <v>42642.288437499999</v>
      </c>
    </row>
    <row r="44" spans="1:7" x14ac:dyDescent="0.25">
      <c r="A44" s="8">
        <v>42642.296064814815</v>
      </c>
      <c r="B44" s="23" t="s">
        <v>314</v>
      </c>
      <c r="C44" s="23" t="s">
        <v>401</v>
      </c>
      <c r="D44" s="23">
        <v>1760000</v>
      </c>
      <c r="E44" s="23" t="s">
        <v>312</v>
      </c>
      <c r="F44" s="23" t="str">
        <f t="shared" si="0"/>
        <v>rtdc.l.rtdc.4039:itc</v>
      </c>
      <c r="G44" s="8">
        <f t="shared" si="1"/>
        <v>42642.296064814815</v>
      </c>
    </row>
    <row r="45" spans="1:7" x14ac:dyDescent="0.25">
      <c r="A45" s="8">
        <v>42642.2966087963</v>
      </c>
      <c r="B45" s="23" t="s">
        <v>227</v>
      </c>
      <c r="C45" s="23" t="s">
        <v>402</v>
      </c>
      <c r="D45" s="23">
        <v>1830000</v>
      </c>
      <c r="E45" s="23" t="s">
        <v>376</v>
      </c>
      <c r="F45" s="23" t="str">
        <f t="shared" si="0"/>
        <v>rtdc.l.rtdc.4012:itc</v>
      </c>
      <c r="G45" s="8">
        <f t="shared" si="1"/>
        <v>42642.2966087963</v>
      </c>
    </row>
    <row r="46" spans="1:7" x14ac:dyDescent="0.25">
      <c r="A46" s="8">
        <v>42642.298402777778</v>
      </c>
      <c r="B46" s="23" t="s">
        <v>247</v>
      </c>
      <c r="C46" s="23" t="s">
        <v>403</v>
      </c>
      <c r="D46" s="23">
        <v>1190000</v>
      </c>
      <c r="E46" s="23" t="s">
        <v>381</v>
      </c>
      <c r="F46" s="23" t="str">
        <f t="shared" si="0"/>
        <v>rtdc.l.rtdc.4029:itc</v>
      </c>
      <c r="G46" s="8">
        <f t="shared" si="1"/>
        <v>42642.298402777778</v>
      </c>
    </row>
    <row r="47" spans="1:7" x14ac:dyDescent="0.25">
      <c r="A47" s="8">
        <v>42642.304270833331</v>
      </c>
      <c r="B47" s="23" t="s">
        <v>236</v>
      </c>
      <c r="C47" s="23" t="s">
        <v>404</v>
      </c>
      <c r="D47" s="23">
        <v>1100000</v>
      </c>
      <c r="E47" s="23" t="s">
        <v>391</v>
      </c>
      <c r="F47" s="23" t="str">
        <f t="shared" si="0"/>
        <v>rtdc.l.rtdc.4014:itc</v>
      </c>
      <c r="G47" s="8">
        <f t="shared" si="1"/>
        <v>42642.304270833331</v>
      </c>
    </row>
    <row r="48" spans="1:7" x14ac:dyDescent="0.25">
      <c r="A48" s="8">
        <v>42642.308692129627</v>
      </c>
      <c r="B48" s="23" t="s">
        <v>161</v>
      </c>
      <c r="C48" s="23" t="s">
        <v>405</v>
      </c>
      <c r="D48" s="23">
        <v>900000</v>
      </c>
      <c r="E48" s="23" t="s">
        <v>283</v>
      </c>
      <c r="F48" s="23" t="str">
        <f t="shared" si="0"/>
        <v>rtdc.l.rtdc.4019:itc</v>
      </c>
      <c r="G48" s="8">
        <f t="shared" si="1"/>
        <v>42642.308692129627</v>
      </c>
    </row>
    <row r="49" spans="1:7" x14ac:dyDescent="0.25">
      <c r="A49" s="8">
        <v>42642.311076388891</v>
      </c>
      <c r="B49" s="23" t="s">
        <v>382</v>
      </c>
      <c r="C49" s="23" t="s">
        <v>406</v>
      </c>
      <c r="D49" s="23">
        <v>1830000</v>
      </c>
      <c r="E49" s="23" t="s">
        <v>376</v>
      </c>
      <c r="F49" s="23" t="str">
        <f t="shared" si="0"/>
        <v>rtdc.l.rtdc.4011:itc</v>
      </c>
      <c r="G49" s="8">
        <f t="shared" si="1"/>
        <v>42642.311076388891</v>
      </c>
    </row>
    <row r="50" spans="1:7" x14ac:dyDescent="0.25">
      <c r="A50" s="8">
        <v>42642.311562499999</v>
      </c>
      <c r="B50" s="23" t="s">
        <v>168</v>
      </c>
      <c r="C50" s="23" t="s">
        <v>407</v>
      </c>
      <c r="D50" s="23">
        <v>1090000</v>
      </c>
      <c r="E50" s="23" t="s">
        <v>281</v>
      </c>
      <c r="F50" s="23" t="str">
        <f t="shared" si="0"/>
        <v>rtdc.l.rtdc.4025:itc</v>
      </c>
      <c r="G50" s="8">
        <f t="shared" si="1"/>
        <v>42642.311562499999</v>
      </c>
    </row>
    <row r="51" spans="1:7" x14ac:dyDescent="0.25">
      <c r="A51" s="8">
        <v>42642.317314814813</v>
      </c>
      <c r="B51" s="23" t="s">
        <v>173</v>
      </c>
      <c r="C51" s="23" t="s">
        <v>408</v>
      </c>
      <c r="D51" s="23">
        <v>1340000</v>
      </c>
      <c r="E51" s="23" t="s">
        <v>282</v>
      </c>
      <c r="F51" s="23" t="str">
        <f t="shared" si="0"/>
        <v>rtdc.l.rtdc.4041:itc</v>
      </c>
      <c r="G51" s="8">
        <f t="shared" si="1"/>
        <v>42642.317314814813</v>
      </c>
    </row>
    <row r="52" spans="1:7" x14ac:dyDescent="0.25">
      <c r="A52" s="8">
        <v>42642.317673611113</v>
      </c>
      <c r="B52" s="23" t="s">
        <v>280</v>
      </c>
      <c r="C52" s="23" t="s">
        <v>409</v>
      </c>
      <c r="D52" s="23">
        <v>1100000</v>
      </c>
      <c r="E52" s="23" t="s">
        <v>391</v>
      </c>
      <c r="F52" s="23" t="str">
        <f t="shared" si="0"/>
        <v>rtdc.l.rtdc.4013:itc</v>
      </c>
      <c r="G52" s="8">
        <f t="shared" si="1"/>
        <v>42642.317673611113</v>
      </c>
    </row>
    <row r="53" spans="1:7" x14ac:dyDescent="0.25">
      <c r="A53" s="8">
        <v>42642.318414351852</v>
      </c>
      <c r="B53" s="23" t="s">
        <v>173</v>
      </c>
      <c r="C53" s="23" t="s">
        <v>408</v>
      </c>
      <c r="D53" s="23">
        <v>1340000</v>
      </c>
      <c r="E53" s="23" t="s">
        <v>282</v>
      </c>
      <c r="F53" s="23" t="str">
        <f t="shared" si="0"/>
        <v>rtdc.l.rtdc.4041:itc</v>
      </c>
      <c r="G53" s="8">
        <f t="shared" si="1"/>
        <v>42642.318414351852</v>
      </c>
    </row>
    <row r="54" spans="1:7" x14ac:dyDescent="0.25">
      <c r="A54" s="8">
        <v>42642.322395833333</v>
      </c>
      <c r="B54" s="23" t="s">
        <v>177</v>
      </c>
      <c r="C54" s="23" t="s">
        <v>410</v>
      </c>
      <c r="D54" s="23">
        <v>1310000</v>
      </c>
      <c r="E54" s="23" t="s">
        <v>369</v>
      </c>
      <c r="F54" s="23" t="str">
        <f t="shared" si="0"/>
        <v>rtdc.l.rtdc.4046:itc</v>
      </c>
      <c r="G54" s="8">
        <f t="shared" si="1"/>
        <v>42642.322395833333</v>
      </c>
    </row>
    <row r="55" spans="1:7" x14ac:dyDescent="0.25">
      <c r="A55" s="8">
        <v>42642.325578703705</v>
      </c>
      <c r="B55" s="23" t="s">
        <v>311</v>
      </c>
      <c r="C55" s="23" t="s">
        <v>411</v>
      </c>
      <c r="D55" s="23">
        <v>2010000</v>
      </c>
      <c r="E55" s="23" t="s">
        <v>310</v>
      </c>
      <c r="F55" s="23" t="str">
        <f t="shared" si="0"/>
        <v>rtdc.l.rtdc.4001:itc</v>
      </c>
      <c r="G55" s="8">
        <f t="shared" si="1"/>
        <v>42642.325578703705</v>
      </c>
    </row>
    <row r="56" spans="1:7" x14ac:dyDescent="0.25">
      <c r="A56" s="8">
        <v>42642.330775462964</v>
      </c>
      <c r="B56" s="23" t="s">
        <v>309</v>
      </c>
      <c r="C56" s="23" t="s">
        <v>412</v>
      </c>
      <c r="D56" s="23">
        <v>1760000</v>
      </c>
      <c r="E56" s="23" t="s">
        <v>312</v>
      </c>
      <c r="F56" s="23" t="str">
        <f t="shared" si="0"/>
        <v>rtdc.l.rtdc.4040:itc</v>
      </c>
      <c r="G56" s="8">
        <f t="shared" si="1"/>
        <v>42642.330775462964</v>
      </c>
    </row>
    <row r="57" spans="1:7" x14ac:dyDescent="0.25">
      <c r="A57" s="8">
        <v>42642.337673611109</v>
      </c>
      <c r="B57" s="23" t="s">
        <v>227</v>
      </c>
      <c r="C57" s="23" t="s">
        <v>413</v>
      </c>
      <c r="D57" s="23">
        <v>1830000</v>
      </c>
      <c r="E57" s="23" t="s">
        <v>376</v>
      </c>
      <c r="F57" s="23" t="str">
        <f t="shared" si="0"/>
        <v>rtdc.l.rtdc.4012:itc</v>
      </c>
      <c r="G57" s="8">
        <f t="shared" si="1"/>
        <v>42642.337673611109</v>
      </c>
    </row>
    <row r="58" spans="1:7" x14ac:dyDescent="0.25">
      <c r="A58" s="8">
        <v>42642.338460648149</v>
      </c>
      <c r="B58" s="23" t="s">
        <v>248</v>
      </c>
      <c r="C58" s="23" t="s">
        <v>414</v>
      </c>
      <c r="D58" s="23">
        <v>1190000</v>
      </c>
      <c r="E58" s="23" t="s">
        <v>381</v>
      </c>
      <c r="F58" s="23" t="str">
        <f t="shared" si="0"/>
        <v>rtdc.l.rtdc.4030:itc</v>
      </c>
      <c r="G58" s="8">
        <f t="shared" si="1"/>
        <v>42642.338460648149</v>
      </c>
    </row>
    <row r="59" spans="1:7" x14ac:dyDescent="0.25">
      <c r="A59" s="8">
        <v>42642.33898148148</v>
      </c>
      <c r="B59" s="23" t="s">
        <v>162</v>
      </c>
      <c r="C59" s="23" t="s">
        <v>415</v>
      </c>
      <c r="D59" s="23">
        <v>900000</v>
      </c>
      <c r="E59" s="23" t="s">
        <v>283</v>
      </c>
      <c r="F59" s="23" t="str">
        <f t="shared" si="0"/>
        <v>rtdc.l.rtdc.4020:itc</v>
      </c>
      <c r="G59" s="8">
        <f t="shared" si="1"/>
        <v>42642.33898148148</v>
      </c>
    </row>
    <row r="60" spans="1:7" x14ac:dyDescent="0.25">
      <c r="A60" s="8">
        <v>42642.346134259256</v>
      </c>
      <c r="B60" s="23" t="s">
        <v>236</v>
      </c>
      <c r="C60" s="23" t="s">
        <v>416</v>
      </c>
      <c r="D60" s="23">
        <v>310000</v>
      </c>
      <c r="E60" s="23" t="s">
        <v>417</v>
      </c>
      <c r="F60" s="23" t="str">
        <f t="shared" si="0"/>
        <v>rtdc.l.rtdc.4014:itc</v>
      </c>
      <c r="G60" s="8">
        <f t="shared" si="1"/>
        <v>42642.346134259256</v>
      </c>
    </row>
    <row r="61" spans="1:7" x14ac:dyDescent="0.25">
      <c r="A61" s="8">
        <v>42642.349293981482</v>
      </c>
      <c r="B61" s="23" t="s">
        <v>169</v>
      </c>
      <c r="C61" s="23" t="s">
        <v>418</v>
      </c>
      <c r="D61" s="23">
        <v>1090000</v>
      </c>
      <c r="E61" s="23" t="s">
        <v>281</v>
      </c>
      <c r="F61" s="23" t="str">
        <f t="shared" si="0"/>
        <v>rtdc.l.rtdc.4026:itc</v>
      </c>
      <c r="G61" s="8">
        <f t="shared" si="1"/>
        <v>42642.349293981482</v>
      </c>
    </row>
    <row r="62" spans="1:7" x14ac:dyDescent="0.25">
      <c r="A62" s="8">
        <v>42642.350231481483</v>
      </c>
      <c r="B62" s="23" t="s">
        <v>174</v>
      </c>
      <c r="C62" s="23" t="s">
        <v>419</v>
      </c>
      <c r="D62" s="23">
        <v>1340000</v>
      </c>
      <c r="E62" s="23" t="s">
        <v>282</v>
      </c>
      <c r="F62" s="23" t="str">
        <f t="shared" si="0"/>
        <v>rtdc.l.rtdc.4042:itc</v>
      </c>
      <c r="G62" s="8">
        <f t="shared" si="1"/>
        <v>42642.350231481483</v>
      </c>
    </row>
    <row r="63" spans="1:7" x14ac:dyDescent="0.25">
      <c r="A63" s="8">
        <v>42642.353310185186</v>
      </c>
      <c r="B63" s="23" t="s">
        <v>382</v>
      </c>
      <c r="C63" s="23" t="s">
        <v>420</v>
      </c>
      <c r="D63" s="23">
        <v>1830000</v>
      </c>
      <c r="E63" s="23" t="s">
        <v>376</v>
      </c>
      <c r="F63" s="23" t="str">
        <f t="shared" si="0"/>
        <v>rtdc.l.rtdc.4011:itc</v>
      </c>
      <c r="G63" s="8">
        <f t="shared" si="1"/>
        <v>42642.353310185186</v>
      </c>
    </row>
    <row r="64" spans="1:7" x14ac:dyDescent="0.25">
      <c r="A64" s="29">
        <v>42642.360034722224</v>
      </c>
      <c r="B64" s="23" t="s">
        <v>279</v>
      </c>
      <c r="C64" s="23" t="s">
        <v>421</v>
      </c>
      <c r="D64" s="23">
        <v>1310000</v>
      </c>
      <c r="E64" s="23" t="s">
        <v>369</v>
      </c>
      <c r="F64" s="23" t="str">
        <f t="shared" si="0"/>
        <v>rtdc.l.rtdc.4045:itc</v>
      </c>
      <c r="G64" s="8">
        <f t="shared" si="1"/>
        <v>42642.360034722224</v>
      </c>
    </row>
    <row r="65" spans="1:7" x14ac:dyDescent="0.25">
      <c r="A65" s="8">
        <v>42642.361296296294</v>
      </c>
      <c r="B65" s="23" t="s">
        <v>280</v>
      </c>
      <c r="C65" s="23" t="s">
        <v>422</v>
      </c>
      <c r="D65" s="23">
        <v>1100000</v>
      </c>
      <c r="E65" s="23" t="s">
        <v>391</v>
      </c>
      <c r="F65" s="23" t="str">
        <f t="shared" si="0"/>
        <v>rtdc.l.rtdc.4013:itc</v>
      </c>
      <c r="G65" s="8">
        <f t="shared" si="1"/>
        <v>42642.361296296294</v>
      </c>
    </row>
    <row r="66" spans="1:7" x14ac:dyDescent="0.25">
      <c r="A66" s="8">
        <v>42642.361932870372</v>
      </c>
      <c r="B66" s="23" t="s">
        <v>313</v>
      </c>
      <c r="C66" s="23" t="s">
        <v>423</v>
      </c>
      <c r="D66" s="23">
        <v>2010000</v>
      </c>
      <c r="E66" s="23" t="s">
        <v>310</v>
      </c>
      <c r="F66" s="23" t="str">
        <f t="shared" ref="F66:F129" si="2">B66</f>
        <v>rtdc.l.rtdc.4002:itc</v>
      </c>
      <c r="G66" s="8">
        <f t="shared" ref="G66:G129" si="3">A66</f>
        <v>42642.361932870372</v>
      </c>
    </row>
    <row r="67" spans="1:7" x14ac:dyDescent="0.25">
      <c r="A67" s="8">
        <v>42642.363206018519</v>
      </c>
      <c r="B67" s="23" t="s">
        <v>280</v>
      </c>
      <c r="C67" s="23" t="s">
        <v>422</v>
      </c>
      <c r="D67" s="23">
        <v>1100000</v>
      </c>
      <c r="E67" s="23" t="s">
        <v>391</v>
      </c>
      <c r="F67" s="23" t="str">
        <f t="shared" si="2"/>
        <v>rtdc.l.rtdc.4013:itc</v>
      </c>
      <c r="G67" s="8">
        <f t="shared" si="3"/>
        <v>42642.363206018519</v>
      </c>
    </row>
    <row r="68" spans="1:7" x14ac:dyDescent="0.25">
      <c r="A68" s="8">
        <v>42642.369710648149</v>
      </c>
      <c r="B68" s="23" t="s">
        <v>314</v>
      </c>
      <c r="C68" s="23" t="s">
        <v>424</v>
      </c>
      <c r="D68" s="23">
        <v>1760000</v>
      </c>
      <c r="E68" s="23" t="s">
        <v>312</v>
      </c>
      <c r="F68" s="23" t="str">
        <f t="shared" si="2"/>
        <v>rtdc.l.rtdc.4039:itc</v>
      </c>
      <c r="G68" s="8">
        <f t="shared" si="3"/>
        <v>42642.369710648149</v>
      </c>
    </row>
    <row r="69" spans="1:7" x14ac:dyDescent="0.25">
      <c r="A69" s="8">
        <v>42642.370520833334</v>
      </c>
      <c r="B69" s="23" t="s">
        <v>247</v>
      </c>
      <c r="C69" s="23" t="s">
        <v>425</v>
      </c>
      <c r="D69" s="23">
        <v>1190000</v>
      </c>
      <c r="E69" s="23" t="s">
        <v>381</v>
      </c>
      <c r="F69" s="23" t="str">
        <f t="shared" si="2"/>
        <v>rtdc.l.rtdc.4029:itc</v>
      </c>
      <c r="G69" s="8">
        <f t="shared" si="3"/>
        <v>42642.370520833334</v>
      </c>
    </row>
    <row r="70" spans="1:7" x14ac:dyDescent="0.25">
      <c r="A70" s="8">
        <v>42642.37672453704</v>
      </c>
      <c r="B70" s="23" t="s">
        <v>161</v>
      </c>
      <c r="C70" s="23" t="s">
        <v>426</v>
      </c>
      <c r="D70" s="23">
        <v>900000</v>
      </c>
      <c r="E70" s="23" t="s">
        <v>283</v>
      </c>
      <c r="F70" s="23" t="str">
        <f t="shared" si="2"/>
        <v>rtdc.l.rtdc.4019:itc</v>
      </c>
      <c r="G70" s="8">
        <f t="shared" si="3"/>
        <v>42642.37672453704</v>
      </c>
    </row>
    <row r="71" spans="1:7" x14ac:dyDescent="0.25">
      <c r="A71" s="8">
        <v>42642.382986111108</v>
      </c>
      <c r="B71" s="23" t="s">
        <v>168</v>
      </c>
      <c r="C71" s="23" t="s">
        <v>427</v>
      </c>
      <c r="D71" s="23">
        <v>1090000</v>
      </c>
      <c r="E71" s="23" t="s">
        <v>281</v>
      </c>
      <c r="F71" s="23" t="str">
        <f t="shared" si="2"/>
        <v>rtdc.l.rtdc.4025:itc</v>
      </c>
      <c r="G71" s="8">
        <f t="shared" si="3"/>
        <v>42642.382986111108</v>
      </c>
    </row>
    <row r="72" spans="1:7" x14ac:dyDescent="0.25">
      <c r="A72" s="8">
        <v>42642.388368055559</v>
      </c>
      <c r="B72" s="23" t="s">
        <v>236</v>
      </c>
      <c r="C72" s="23" t="s">
        <v>428</v>
      </c>
      <c r="D72" s="23">
        <v>1100000</v>
      </c>
      <c r="E72" s="23" t="s">
        <v>391</v>
      </c>
      <c r="F72" s="23" t="str">
        <f t="shared" si="2"/>
        <v>rtdc.l.rtdc.4014:itc</v>
      </c>
      <c r="G72" s="8">
        <f t="shared" si="3"/>
        <v>42642.388368055559</v>
      </c>
    </row>
    <row r="73" spans="1:7" x14ac:dyDescent="0.25">
      <c r="A73" s="8">
        <v>42642.3908912037</v>
      </c>
      <c r="B73" s="23" t="s">
        <v>173</v>
      </c>
      <c r="C73" s="23" t="s">
        <v>429</v>
      </c>
      <c r="D73" s="23">
        <v>1340000</v>
      </c>
      <c r="E73" s="23" t="s">
        <v>282</v>
      </c>
      <c r="F73" s="23" t="str">
        <f t="shared" si="2"/>
        <v>rtdc.l.rtdc.4041:itc</v>
      </c>
      <c r="G73" s="8">
        <f t="shared" si="3"/>
        <v>42642.3908912037</v>
      </c>
    </row>
    <row r="74" spans="1:7" x14ac:dyDescent="0.25">
      <c r="A74" s="8">
        <v>42642.394201388888</v>
      </c>
      <c r="B74" s="23" t="s">
        <v>177</v>
      </c>
      <c r="C74" s="23" t="s">
        <v>430</v>
      </c>
      <c r="D74" s="23">
        <v>310000</v>
      </c>
      <c r="E74" s="23" t="s">
        <v>417</v>
      </c>
      <c r="F74" s="23" t="str">
        <f t="shared" si="2"/>
        <v>rtdc.l.rtdc.4046:itc</v>
      </c>
      <c r="G74" s="8">
        <f t="shared" si="3"/>
        <v>42642.394201388888</v>
      </c>
    </row>
    <row r="75" spans="1:7" x14ac:dyDescent="0.25">
      <c r="A75" s="8">
        <v>42642.398287037038</v>
      </c>
      <c r="B75" s="23" t="s">
        <v>311</v>
      </c>
      <c r="C75" s="23" t="s">
        <v>431</v>
      </c>
      <c r="D75" s="23">
        <v>2010000</v>
      </c>
      <c r="E75" s="23" t="s">
        <v>310</v>
      </c>
      <c r="F75" s="23" t="str">
        <f t="shared" si="2"/>
        <v>rtdc.l.rtdc.4001:itc</v>
      </c>
      <c r="G75" s="8">
        <f t="shared" si="3"/>
        <v>42642.398287037038</v>
      </c>
    </row>
    <row r="76" spans="1:7" x14ac:dyDescent="0.25">
      <c r="A76" s="8">
        <v>42642.401388888888</v>
      </c>
      <c r="B76" s="23" t="s">
        <v>280</v>
      </c>
      <c r="C76" s="23" t="s">
        <v>432</v>
      </c>
      <c r="D76" s="23">
        <v>1100000</v>
      </c>
      <c r="E76" s="23" t="s">
        <v>391</v>
      </c>
      <c r="F76" s="23" t="str">
        <f t="shared" si="2"/>
        <v>rtdc.l.rtdc.4013:itc</v>
      </c>
      <c r="G76" s="8">
        <f t="shared" si="3"/>
        <v>42642.401388888888</v>
      </c>
    </row>
    <row r="77" spans="1:7" x14ac:dyDescent="0.25">
      <c r="A77" s="8">
        <v>42642.403749999998</v>
      </c>
      <c r="B77" s="23" t="s">
        <v>309</v>
      </c>
      <c r="C77" s="23" t="s">
        <v>433</v>
      </c>
      <c r="D77" s="23">
        <v>1760000</v>
      </c>
      <c r="E77" s="23" t="s">
        <v>312</v>
      </c>
      <c r="F77" s="23" t="str">
        <f t="shared" si="2"/>
        <v>rtdc.l.rtdc.4040:itc</v>
      </c>
      <c r="G77" s="8">
        <f t="shared" si="3"/>
        <v>42642.403749999998</v>
      </c>
    </row>
    <row r="78" spans="1:7" x14ac:dyDescent="0.25">
      <c r="A78" s="8">
        <v>42642.409131944441</v>
      </c>
      <c r="B78" s="23" t="s">
        <v>248</v>
      </c>
      <c r="C78" s="23" t="s">
        <v>434</v>
      </c>
      <c r="D78" s="23">
        <v>1190000</v>
      </c>
      <c r="E78" s="23" t="s">
        <v>381</v>
      </c>
      <c r="F78" s="23" t="str">
        <f t="shared" si="2"/>
        <v>rtdc.l.rtdc.4030:itc</v>
      </c>
      <c r="G78" s="8">
        <f t="shared" si="3"/>
        <v>42642.409131944441</v>
      </c>
    </row>
    <row r="79" spans="1:7" x14ac:dyDescent="0.25">
      <c r="A79" s="8">
        <v>42642.414826388886</v>
      </c>
      <c r="B79" s="23" t="s">
        <v>162</v>
      </c>
      <c r="C79" s="23" t="s">
        <v>435</v>
      </c>
      <c r="D79" s="23">
        <v>900000</v>
      </c>
      <c r="E79" s="23" t="s">
        <v>283</v>
      </c>
      <c r="F79" s="23" t="str">
        <f t="shared" si="2"/>
        <v>rtdc.l.rtdc.4020:itc</v>
      </c>
      <c r="G79" s="8">
        <f t="shared" si="3"/>
        <v>42642.414826388886</v>
      </c>
    </row>
    <row r="80" spans="1:7" x14ac:dyDescent="0.25">
      <c r="A80" s="8">
        <v>42642.419861111113</v>
      </c>
      <c r="B80" s="23" t="s">
        <v>169</v>
      </c>
      <c r="C80" s="23" t="s">
        <v>436</v>
      </c>
      <c r="D80" s="23">
        <v>1090000</v>
      </c>
      <c r="E80" s="23" t="s">
        <v>281</v>
      </c>
      <c r="F80" s="23" t="str">
        <f t="shared" si="2"/>
        <v>rtdc.l.rtdc.4026:itc</v>
      </c>
      <c r="G80" s="8">
        <f t="shared" si="3"/>
        <v>42642.419861111113</v>
      </c>
    </row>
    <row r="81" spans="1:7" x14ac:dyDescent="0.25">
      <c r="A81" s="8">
        <v>42642.424687500003</v>
      </c>
      <c r="B81" s="23" t="s">
        <v>174</v>
      </c>
      <c r="C81" s="23" t="s">
        <v>437</v>
      </c>
      <c r="D81" s="23">
        <v>1340000</v>
      </c>
      <c r="E81" s="23" t="s">
        <v>282</v>
      </c>
      <c r="F81" s="23" t="str">
        <f t="shared" si="2"/>
        <v>rtdc.l.rtdc.4042:itc</v>
      </c>
      <c r="G81" s="8">
        <f t="shared" si="3"/>
        <v>42642.424687500003</v>
      </c>
    </row>
    <row r="82" spans="1:7" x14ac:dyDescent="0.25">
      <c r="A82" s="8">
        <v>42642.430162037039</v>
      </c>
      <c r="B82" s="23" t="s">
        <v>236</v>
      </c>
      <c r="C82" s="23" t="s">
        <v>438</v>
      </c>
      <c r="D82" s="23">
        <v>1100000</v>
      </c>
      <c r="E82" s="23" t="s">
        <v>391</v>
      </c>
      <c r="F82" s="23" t="str">
        <f t="shared" si="2"/>
        <v>rtdc.l.rtdc.4014:itc</v>
      </c>
      <c r="G82" s="8">
        <f t="shared" si="3"/>
        <v>42642.430162037039</v>
      </c>
    </row>
    <row r="83" spans="1:7" x14ac:dyDescent="0.25">
      <c r="A83" s="8">
        <v>42642.430173611108</v>
      </c>
      <c r="B83" s="23" t="s">
        <v>279</v>
      </c>
      <c r="C83" s="23" t="s">
        <v>439</v>
      </c>
      <c r="D83" s="23">
        <v>310000</v>
      </c>
      <c r="E83" s="23" t="s">
        <v>417</v>
      </c>
      <c r="F83" s="23" t="str">
        <f t="shared" si="2"/>
        <v>rtdc.l.rtdc.4045:itc</v>
      </c>
      <c r="G83" s="8">
        <f t="shared" si="3"/>
        <v>42642.430173611108</v>
      </c>
    </row>
    <row r="84" spans="1:7" x14ac:dyDescent="0.25">
      <c r="A84" s="8">
        <v>42642.434108796297</v>
      </c>
      <c r="B84" s="23" t="s">
        <v>313</v>
      </c>
      <c r="C84" s="23" t="s">
        <v>440</v>
      </c>
      <c r="D84" s="23">
        <v>1830000</v>
      </c>
      <c r="E84" s="23" t="s">
        <v>376</v>
      </c>
      <c r="F84" s="23" t="str">
        <f t="shared" si="2"/>
        <v>rtdc.l.rtdc.4002:itc</v>
      </c>
      <c r="G84" s="8">
        <f t="shared" si="3"/>
        <v>42642.434108796297</v>
      </c>
    </row>
    <row r="85" spans="1:7" x14ac:dyDescent="0.25">
      <c r="A85" s="8">
        <v>42642.434918981482</v>
      </c>
      <c r="B85" s="23" t="s">
        <v>287</v>
      </c>
      <c r="C85" s="23" t="s">
        <v>441</v>
      </c>
      <c r="D85" s="23">
        <v>2100000</v>
      </c>
      <c r="E85" s="23" t="s">
        <v>442</v>
      </c>
      <c r="F85" s="23" t="str">
        <f t="shared" si="2"/>
        <v>rtdc.l.rtdc.4005:itc</v>
      </c>
      <c r="G85" s="8">
        <f t="shared" si="3"/>
        <v>42642.434918981482</v>
      </c>
    </row>
    <row r="86" spans="1:7" x14ac:dyDescent="0.25">
      <c r="A86" s="8">
        <v>42642.441921296297</v>
      </c>
      <c r="B86" s="23" t="s">
        <v>314</v>
      </c>
      <c r="C86" s="23" t="s">
        <v>443</v>
      </c>
      <c r="D86" s="23">
        <v>1760000</v>
      </c>
      <c r="E86" s="23" t="s">
        <v>312</v>
      </c>
      <c r="F86" s="23" t="str">
        <f t="shared" si="2"/>
        <v>rtdc.l.rtdc.4039:itc</v>
      </c>
      <c r="G86" s="8">
        <f t="shared" si="3"/>
        <v>42642.441921296297</v>
      </c>
    </row>
    <row r="87" spans="1:7" x14ac:dyDescent="0.25">
      <c r="A87" s="8">
        <v>42642.441967592589</v>
      </c>
      <c r="B87" s="23" t="s">
        <v>280</v>
      </c>
      <c r="C87" s="23" t="s">
        <v>444</v>
      </c>
      <c r="D87" s="23">
        <v>1100000</v>
      </c>
      <c r="E87" s="23" t="s">
        <v>391</v>
      </c>
      <c r="F87" s="23" t="str">
        <f t="shared" si="2"/>
        <v>rtdc.l.rtdc.4013:itc</v>
      </c>
      <c r="G87" s="8">
        <f t="shared" si="3"/>
        <v>42642.441967592589</v>
      </c>
    </row>
    <row r="88" spans="1:7" x14ac:dyDescent="0.25">
      <c r="A88" s="8">
        <v>42642.446909722225</v>
      </c>
      <c r="B88" s="23" t="s">
        <v>247</v>
      </c>
      <c r="C88" s="23" t="s">
        <v>445</v>
      </c>
      <c r="D88" s="23">
        <v>1190000</v>
      </c>
      <c r="E88" s="23" t="s">
        <v>381</v>
      </c>
      <c r="F88" s="23" t="str">
        <f t="shared" si="2"/>
        <v>rtdc.l.rtdc.4029:itc</v>
      </c>
      <c r="G88" s="8">
        <f t="shared" si="3"/>
        <v>42642.446909722225</v>
      </c>
    </row>
    <row r="89" spans="1:7" x14ac:dyDescent="0.25">
      <c r="A89" s="8">
        <v>42642.454641203702</v>
      </c>
      <c r="B89" s="23" t="s">
        <v>161</v>
      </c>
      <c r="C89" s="23" t="s">
        <v>446</v>
      </c>
      <c r="D89" s="23">
        <v>900000</v>
      </c>
      <c r="E89" s="23" t="s">
        <v>283</v>
      </c>
      <c r="F89" s="23" t="str">
        <f t="shared" si="2"/>
        <v>rtdc.l.rtdc.4019:itc</v>
      </c>
      <c r="G89" s="8">
        <f t="shared" si="3"/>
        <v>42642.454641203702</v>
      </c>
    </row>
    <row r="90" spans="1:7" x14ac:dyDescent="0.25">
      <c r="A90" s="8">
        <v>42642.456284722219</v>
      </c>
      <c r="B90" s="23" t="s">
        <v>168</v>
      </c>
      <c r="C90" s="23" t="s">
        <v>447</v>
      </c>
      <c r="D90" s="23">
        <v>940000</v>
      </c>
      <c r="E90" s="23" t="s">
        <v>256</v>
      </c>
      <c r="F90" s="23" t="str">
        <f t="shared" si="2"/>
        <v>rtdc.l.rtdc.4025:itc</v>
      </c>
      <c r="G90" s="8">
        <f t="shared" si="3"/>
        <v>42642.456284722219</v>
      </c>
    </row>
    <row r="91" spans="1:7" x14ac:dyDescent="0.25">
      <c r="A91" s="8">
        <v>42642.462152777778</v>
      </c>
      <c r="B91" s="23" t="s">
        <v>173</v>
      </c>
      <c r="C91" s="23" t="s">
        <v>448</v>
      </c>
      <c r="D91" s="23">
        <v>1340000</v>
      </c>
      <c r="E91" s="23" t="s">
        <v>282</v>
      </c>
      <c r="F91" s="23" t="str">
        <f t="shared" si="2"/>
        <v>rtdc.l.rtdc.4041:itc</v>
      </c>
      <c r="G91" s="8">
        <f t="shared" si="3"/>
        <v>42642.462152777778</v>
      </c>
    </row>
    <row r="92" spans="1:7" x14ac:dyDescent="0.25">
      <c r="A92" s="8">
        <v>42642.462326388886</v>
      </c>
      <c r="B92" s="23" t="s">
        <v>286</v>
      </c>
      <c r="C92" s="23" t="s">
        <v>449</v>
      </c>
      <c r="D92" s="23">
        <v>1810000</v>
      </c>
      <c r="E92" s="23" t="s">
        <v>450</v>
      </c>
      <c r="F92" s="23" t="str">
        <f t="shared" si="2"/>
        <v>rtdc.l.rtdc.4021:itc</v>
      </c>
      <c r="G92" s="8">
        <f t="shared" si="3"/>
        <v>42642.462326388886</v>
      </c>
    </row>
    <row r="93" spans="1:7" x14ac:dyDescent="0.25">
      <c r="A93" s="8">
        <v>42642.463564814818</v>
      </c>
      <c r="B93" s="23" t="s">
        <v>311</v>
      </c>
      <c r="C93" s="23" t="s">
        <v>451</v>
      </c>
      <c r="D93" s="23">
        <v>1830000</v>
      </c>
      <c r="E93" s="23" t="s">
        <v>376</v>
      </c>
      <c r="F93" s="23" t="str">
        <f t="shared" si="2"/>
        <v>rtdc.l.rtdc.4001:itc</v>
      </c>
      <c r="G93" s="8">
        <f t="shared" si="3"/>
        <v>42642.463564814818</v>
      </c>
    </row>
    <row r="94" spans="1:7" x14ac:dyDescent="0.25">
      <c r="A94" s="8">
        <v>42642.464745370373</v>
      </c>
      <c r="B94" s="23" t="s">
        <v>177</v>
      </c>
      <c r="C94" s="23" t="s">
        <v>452</v>
      </c>
      <c r="D94" s="23">
        <v>2020000</v>
      </c>
      <c r="E94" s="23" t="s">
        <v>453</v>
      </c>
      <c r="F94" s="23" t="str">
        <f t="shared" si="2"/>
        <v>rtdc.l.rtdc.4046:itc</v>
      </c>
      <c r="G94" s="8">
        <f t="shared" si="3"/>
        <v>42642.464745370373</v>
      </c>
    </row>
    <row r="95" spans="1:7" x14ac:dyDescent="0.25">
      <c r="A95" s="8">
        <v>42642.468136574076</v>
      </c>
      <c r="B95" s="23" t="s">
        <v>289</v>
      </c>
      <c r="C95" s="23" t="s">
        <v>454</v>
      </c>
      <c r="D95" s="23">
        <v>1240000</v>
      </c>
      <c r="E95" s="23" t="s">
        <v>284</v>
      </c>
      <c r="F95" s="23" t="str">
        <f t="shared" si="2"/>
        <v>rtdc.l.rtdc.4006:itc</v>
      </c>
      <c r="G95" s="8">
        <f t="shared" si="3"/>
        <v>42642.468136574076</v>
      </c>
    </row>
    <row r="96" spans="1:7" x14ac:dyDescent="0.25">
      <c r="A96" s="8">
        <v>42642.471203703702</v>
      </c>
      <c r="B96" s="23" t="s">
        <v>236</v>
      </c>
      <c r="C96" s="23" t="s">
        <v>455</v>
      </c>
      <c r="D96" s="23">
        <v>1100000</v>
      </c>
      <c r="E96" s="23" t="s">
        <v>391</v>
      </c>
      <c r="F96" s="23" t="str">
        <f t="shared" si="2"/>
        <v>rtdc.l.rtdc.4014:itc</v>
      </c>
      <c r="G96" s="8">
        <f t="shared" si="3"/>
        <v>42642.471203703702</v>
      </c>
    </row>
    <row r="97" spans="1:7" x14ac:dyDescent="0.25">
      <c r="A97" s="8">
        <v>42642.47824074074</v>
      </c>
      <c r="B97" s="23" t="s">
        <v>309</v>
      </c>
      <c r="C97" s="23" t="s">
        <v>456</v>
      </c>
      <c r="D97" s="23">
        <v>2040000</v>
      </c>
      <c r="E97" s="23" t="s">
        <v>315</v>
      </c>
      <c r="F97" s="23" t="str">
        <f t="shared" si="2"/>
        <v>rtdc.l.rtdc.4040:itc</v>
      </c>
      <c r="G97" s="8">
        <f t="shared" si="3"/>
        <v>42642.47824074074</v>
      </c>
    </row>
    <row r="98" spans="1:7" x14ac:dyDescent="0.25">
      <c r="A98" s="8">
        <v>42642.482812499999</v>
      </c>
      <c r="B98" s="23" t="s">
        <v>248</v>
      </c>
      <c r="C98" s="23" t="s">
        <v>457</v>
      </c>
      <c r="D98" s="23">
        <v>1190000</v>
      </c>
      <c r="E98" s="23" t="s">
        <v>381</v>
      </c>
      <c r="F98" s="23" t="str">
        <f t="shared" si="2"/>
        <v>rtdc.l.rtdc.4030:itc</v>
      </c>
      <c r="G98" s="8">
        <f t="shared" si="3"/>
        <v>42642.482812499999</v>
      </c>
    </row>
    <row r="99" spans="1:7" x14ac:dyDescent="0.25">
      <c r="A99" s="8">
        <v>42642.483726851853</v>
      </c>
      <c r="B99" s="23" t="s">
        <v>280</v>
      </c>
      <c r="C99" s="23" t="s">
        <v>458</v>
      </c>
      <c r="D99" s="23">
        <v>1100000</v>
      </c>
      <c r="E99" s="23" t="s">
        <v>391</v>
      </c>
      <c r="F99" s="23" t="str">
        <f t="shared" si="2"/>
        <v>rtdc.l.rtdc.4013:itc</v>
      </c>
      <c r="G99" s="8">
        <f t="shared" si="3"/>
        <v>42642.483726851853</v>
      </c>
    </row>
    <row r="100" spans="1:7" x14ac:dyDescent="0.25">
      <c r="A100" s="8">
        <v>42642.486273148148</v>
      </c>
      <c r="B100" s="23" t="s">
        <v>162</v>
      </c>
      <c r="C100" s="23" t="s">
        <v>459</v>
      </c>
      <c r="D100" s="23">
        <v>1810000</v>
      </c>
      <c r="E100" s="23" t="s">
        <v>450</v>
      </c>
      <c r="F100" s="23" t="str">
        <f t="shared" si="2"/>
        <v>rtdc.l.rtdc.4020:itc</v>
      </c>
      <c r="G100" s="8">
        <f t="shared" si="3"/>
        <v>42642.486273148148</v>
      </c>
    </row>
    <row r="101" spans="1:7" x14ac:dyDescent="0.25">
      <c r="A101" s="8">
        <v>42642.48909722222</v>
      </c>
      <c r="B101" s="23" t="s">
        <v>288</v>
      </c>
      <c r="C101" s="23" t="s">
        <v>460</v>
      </c>
      <c r="D101" s="23">
        <v>900000</v>
      </c>
      <c r="E101" s="23" t="s">
        <v>283</v>
      </c>
      <c r="F101" s="23" t="str">
        <f t="shared" si="2"/>
        <v>rtdc.l.rtdc.4022:itc</v>
      </c>
      <c r="G101" s="8">
        <f t="shared" si="3"/>
        <v>42642.48909722222</v>
      </c>
    </row>
    <row r="102" spans="1:7" x14ac:dyDescent="0.25">
      <c r="A102" s="8">
        <v>42642.490046296298</v>
      </c>
      <c r="B102" s="23" t="s">
        <v>169</v>
      </c>
      <c r="C102" s="23" t="s">
        <v>461</v>
      </c>
      <c r="D102" s="23">
        <v>940000</v>
      </c>
      <c r="E102" s="23" t="s">
        <v>256</v>
      </c>
      <c r="F102" s="23" t="str">
        <f t="shared" si="2"/>
        <v>rtdc.l.rtdc.4026:itc</v>
      </c>
      <c r="G102" s="8">
        <f t="shared" si="3"/>
        <v>42642.490046296298</v>
      </c>
    </row>
    <row r="103" spans="1:7" x14ac:dyDescent="0.25">
      <c r="A103" s="8">
        <v>42642.496354166666</v>
      </c>
      <c r="B103" s="23" t="s">
        <v>174</v>
      </c>
      <c r="C103" s="23" t="s">
        <v>462</v>
      </c>
      <c r="D103" s="23">
        <v>1140000</v>
      </c>
      <c r="E103" s="23" t="s">
        <v>267</v>
      </c>
      <c r="F103" s="23" t="str">
        <f t="shared" si="2"/>
        <v>rtdc.l.rtdc.4042:itc</v>
      </c>
      <c r="G103" s="8">
        <f t="shared" si="3"/>
        <v>42642.496354166666</v>
      </c>
    </row>
    <row r="104" spans="1:7" x14ac:dyDescent="0.25">
      <c r="A104" s="8">
        <v>42642.504699074074</v>
      </c>
      <c r="B104" s="23" t="s">
        <v>279</v>
      </c>
      <c r="C104" s="23" t="s">
        <v>463</v>
      </c>
      <c r="D104" s="23">
        <v>2020000</v>
      </c>
      <c r="E104" s="23" t="s">
        <v>453</v>
      </c>
      <c r="F104" s="23" t="str">
        <f t="shared" si="2"/>
        <v>rtdc.l.rtdc.4045:itc</v>
      </c>
      <c r="G104" s="8">
        <f t="shared" si="3"/>
        <v>42642.504699074074</v>
      </c>
    </row>
    <row r="105" spans="1:7" x14ac:dyDescent="0.25">
      <c r="A105" s="8">
        <v>42642.5078125</v>
      </c>
      <c r="B105" s="23" t="s">
        <v>313</v>
      </c>
      <c r="C105" s="23" t="s">
        <v>464</v>
      </c>
      <c r="D105" s="23">
        <v>2110000</v>
      </c>
      <c r="E105" s="23" t="s">
        <v>465</v>
      </c>
      <c r="F105" s="23" t="str">
        <f t="shared" si="2"/>
        <v>rtdc.l.rtdc.4002:itc</v>
      </c>
      <c r="G105" s="8">
        <f t="shared" si="3"/>
        <v>42642.5078125</v>
      </c>
    </row>
    <row r="106" spans="1:7" x14ac:dyDescent="0.25">
      <c r="A106" s="8">
        <v>42642.513101851851</v>
      </c>
      <c r="B106" s="23" t="s">
        <v>236</v>
      </c>
      <c r="C106" s="23" t="s">
        <v>466</v>
      </c>
      <c r="D106" s="23">
        <v>1100000</v>
      </c>
      <c r="E106" s="23" t="s">
        <v>391</v>
      </c>
      <c r="F106" s="23" t="str">
        <f t="shared" si="2"/>
        <v>rtdc.l.rtdc.4014:itc</v>
      </c>
      <c r="G106" s="8">
        <f t="shared" si="3"/>
        <v>42642.513101851851</v>
      </c>
    </row>
    <row r="107" spans="1:7" x14ac:dyDescent="0.25">
      <c r="A107" s="8">
        <v>42642.513923611114</v>
      </c>
      <c r="B107" s="23" t="s">
        <v>314</v>
      </c>
      <c r="C107" s="23" t="s">
        <v>467</v>
      </c>
      <c r="D107" s="23">
        <v>2040000</v>
      </c>
      <c r="E107" s="23" t="s">
        <v>315</v>
      </c>
      <c r="F107" s="23" t="str">
        <f t="shared" si="2"/>
        <v>rtdc.l.rtdc.4039:itc</v>
      </c>
      <c r="G107" s="8">
        <f t="shared" si="3"/>
        <v>42642.513923611114</v>
      </c>
    </row>
    <row r="108" spans="1:7" x14ac:dyDescent="0.25">
      <c r="A108" s="8">
        <v>42642.521874999999</v>
      </c>
      <c r="B108" s="23" t="s">
        <v>161</v>
      </c>
      <c r="C108" s="23" t="s">
        <v>468</v>
      </c>
      <c r="D108" s="23">
        <v>1810000</v>
      </c>
      <c r="E108" s="23" t="s">
        <v>450</v>
      </c>
      <c r="F108" s="23" t="str">
        <f t="shared" si="2"/>
        <v>rtdc.l.rtdc.4019:itc</v>
      </c>
      <c r="G108" s="8">
        <f t="shared" si="3"/>
        <v>42642.521874999999</v>
      </c>
    </row>
    <row r="109" spans="1:7" x14ac:dyDescent="0.25">
      <c r="A109" s="8">
        <v>42642.522962962961</v>
      </c>
      <c r="B109" s="23" t="s">
        <v>247</v>
      </c>
      <c r="C109" s="23" t="s">
        <v>469</v>
      </c>
      <c r="D109" s="23">
        <v>150000</v>
      </c>
      <c r="E109" s="23" t="s">
        <v>470</v>
      </c>
      <c r="F109" s="23" t="str">
        <f t="shared" si="2"/>
        <v>rtdc.l.rtdc.4029:itc</v>
      </c>
      <c r="G109" s="8">
        <f t="shared" si="3"/>
        <v>42642.522962962961</v>
      </c>
    </row>
    <row r="110" spans="1:7" x14ac:dyDescent="0.25">
      <c r="A110" s="8">
        <v>42642.525520833333</v>
      </c>
      <c r="B110" s="23" t="s">
        <v>280</v>
      </c>
      <c r="C110" s="23" t="s">
        <v>471</v>
      </c>
      <c r="D110" s="23">
        <v>1100000</v>
      </c>
      <c r="E110" s="23" t="s">
        <v>391</v>
      </c>
      <c r="F110" s="23" t="str">
        <f t="shared" si="2"/>
        <v>rtdc.l.rtdc.4013:itc</v>
      </c>
      <c r="G110" s="8">
        <f t="shared" si="3"/>
        <v>42642.525520833333</v>
      </c>
    </row>
    <row r="111" spans="1:7" x14ac:dyDescent="0.25">
      <c r="A111" s="8">
        <v>42642.529398148145</v>
      </c>
      <c r="B111" s="23" t="s">
        <v>168</v>
      </c>
      <c r="C111" s="23" t="s">
        <v>472</v>
      </c>
      <c r="D111" s="23">
        <v>940000</v>
      </c>
      <c r="E111" s="23" t="s">
        <v>256</v>
      </c>
      <c r="F111" s="23" t="str">
        <f t="shared" si="2"/>
        <v>rtdc.l.rtdc.4025:itc</v>
      </c>
      <c r="G111" s="8">
        <f t="shared" si="3"/>
        <v>42642.529398148145</v>
      </c>
    </row>
    <row r="112" spans="1:7" x14ac:dyDescent="0.25">
      <c r="A112" s="8">
        <v>42642.535300925927</v>
      </c>
      <c r="B112" s="23" t="s">
        <v>173</v>
      </c>
      <c r="C112" s="23" t="s">
        <v>473</v>
      </c>
      <c r="D112" s="23">
        <v>1140000</v>
      </c>
      <c r="E112" s="23" t="s">
        <v>267</v>
      </c>
      <c r="F112" s="23" t="str">
        <f t="shared" si="2"/>
        <v>rtdc.l.rtdc.4041:itc</v>
      </c>
      <c r="G112" s="8">
        <f t="shared" si="3"/>
        <v>42642.535300925927</v>
      </c>
    </row>
    <row r="113" spans="1:7" x14ac:dyDescent="0.25">
      <c r="A113" s="8">
        <v>42642.540289351855</v>
      </c>
      <c r="B113" s="23" t="s">
        <v>177</v>
      </c>
      <c r="C113" s="23" t="s">
        <v>474</v>
      </c>
      <c r="D113" s="23">
        <v>2020000</v>
      </c>
      <c r="E113" s="23" t="s">
        <v>453</v>
      </c>
      <c r="F113" s="23" t="str">
        <f t="shared" si="2"/>
        <v>rtdc.l.rtdc.4046:itc</v>
      </c>
      <c r="G113" s="8">
        <f t="shared" si="3"/>
        <v>42642.540289351855</v>
      </c>
    </row>
    <row r="114" spans="1:7" x14ac:dyDescent="0.25">
      <c r="A114" s="8">
        <v>42642.546967592592</v>
      </c>
      <c r="B114" s="23" t="s">
        <v>311</v>
      </c>
      <c r="C114" s="23" t="s">
        <v>475</v>
      </c>
      <c r="D114" s="23">
        <v>2110000</v>
      </c>
      <c r="E114" s="23" t="s">
        <v>465</v>
      </c>
      <c r="F114" s="23" t="str">
        <f t="shared" si="2"/>
        <v>rtdc.l.rtdc.4001:itc</v>
      </c>
      <c r="G114" s="8">
        <f t="shared" si="3"/>
        <v>42642.546967592592</v>
      </c>
    </row>
    <row r="115" spans="1:7" x14ac:dyDescent="0.25">
      <c r="A115" s="8">
        <v>42642.550405092596</v>
      </c>
      <c r="B115" s="23" t="s">
        <v>309</v>
      </c>
      <c r="C115" s="23" t="s">
        <v>476</v>
      </c>
      <c r="D115" s="23">
        <v>2040000</v>
      </c>
      <c r="E115" s="23" t="s">
        <v>315</v>
      </c>
      <c r="F115" s="23" t="str">
        <f t="shared" si="2"/>
        <v>rtdc.l.rtdc.4040:itc</v>
      </c>
      <c r="G115" s="8">
        <f t="shared" si="3"/>
        <v>42642.550405092596</v>
      </c>
    </row>
    <row r="116" spans="1:7" x14ac:dyDescent="0.25">
      <c r="A116" s="8">
        <v>42642.553564814814</v>
      </c>
      <c r="B116" s="23" t="s">
        <v>236</v>
      </c>
      <c r="C116" s="23" t="s">
        <v>477</v>
      </c>
      <c r="D116" s="23">
        <v>1540000</v>
      </c>
      <c r="E116" s="23" t="s">
        <v>237</v>
      </c>
      <c r="F116" s="23" t="str">
        <f t="shared" si="2"/>
        <v>rtdc.l.rtdc.4014:itc</v>
      </c>
      <c r="G116" s="8">
        <f t="shared" si="3"/>
        <v>42642.553564814814</v>
      </c>
    </row>
    <row r="117" spans="1:7" x14ac:dyDescent="0.25">
      <c r="A117" s="8">
        <v>42642.556828703702</v>
      </c>
      <c r="B117" s="23" t="s">
        <v>248</v>
      </c>
      <c r="C117" s="23" t="s">
        <v>478</v>
      </c>
      <c r="D117" s="23">
        <v>150000</v>
      </c>
      <c r="E117" s="23" t="s">
        <v>470</v>
      </c>
      <c r="F117" s="23" t="str">
        <f t="shared" si="2"/>
        <v>rtdc.l.rtdc.4030:itc</v>
      </c>
      <c r="G117" s="8">
        <f t="shared" si="3"/>
        <v>42642.556828703702</v>
      </c>
    </row>
    <row r="118" spans="1:7" x14ac:dyDescent="0.25">
      <c r="A118" s="8">
        <v>42642.562939814816</v>
      </c>
      <c r="B118" s="23" t="s">
        <v>162</v>
      </c>
      <c r="C118" s="23" t="s">
        <v>479</v>
      </c>
      <c r="D118" s="23">
        <v>1810000</v>
      </c>
      <c r="E118" s="23" t="s">
        <v>450</v>
      </c>
      <c r="F118" s="23" t="str">
        <f t="shared" si="2"/>
        <v>rtdc.l.rtdc.4020:itc</v>
      </c>
      <c r="G118" s="8">
        <f t="shared" si="3"/>
        <v>42642.562939814816</v>
      </c>
    </row>
    <row r="119" spans="1:7" x14ac:dyDescent="0.25">
      <c r="A119" s="8">
        <v>42642.567187499997</v>
      </c>
      <c r="B119" s="23" t="s">
        <v>169</v>
      </c>
      <c r="C119" s="23" t="s">
        <v>480</v>
      </c>
      <c r="D119" s="23">
        <v>940000</v>
      </c>
      <c r="E119" s="23" t="s">
        <v>256</v>
      </c>
      <c r="F119" s="23" t="str">
        <f t="shared" si="2"/>
        <v>rtdc.l.rtdc.4026:itc</v>
      </c>
      <c r="G119" s="8">
        <f t="shared" si="3"/>
        <v>42642.567187499997</v>
      </c>
    </row>
    <row r="120" spans="1:7" x14ac:dyDescent="0.25">
      <c r="A120" s="8">
        <v>42642.568761574075</v>
      </c>
      <c r="B120" s="23" t="s">
        <v>280</v>
      </c>
      <c r="C120" s="23" t="s">
        <v>481</v>
      </c>
      <c r="D120" s="23">
        <v>1540000</v>
      </c>
      <c r="E120" s="23" t="s">
        <v>237</v>
      </c>
      <c r="F120" s="23" t="str">
        <f t="shared" si="2"/>
        <v>rtdc.l.rtdc.4013:itc</v>
      </c>
      <c r="G120" s="8">
        <f t="shared" si="3"/>
        <v>42642.568761574075</v>
      </c>
    </row>
    <row r="121" spans="1:7" x14ac:dyDescent="0.25">
      <c r="A121" s="8">
        <v>42642.572893518518</v>
      </c>
      <c r="B121" s="23" t="s">
        <v>174</v>
      </c>
      <c r="C121" s="23" t="s">
        <v>482</v>
      </c>
      <c r="D121" s="23">
        <v>1140000</v>
      </c>
      <c r="E121" s="23" t="s">
        <v>267</v>
      </c>
      <c r="F121" s="23" t="str">
        <f t="shared" si="2"/>
        <v>rtdc.l.rtdc.4042:itc</v>
      </c>
      <c r="G121" s="8">
        <f t="shared" si="3"/>
        <v>42642.572893518518</v>
      </c>
    </row>
    <row r="122" spans="1:7" x14ac:dyDescent="0.25">
      <c r="A122" s="8">
        <v>42642.577106481483</v>
      </c>
      <c r="B122" s="28" t="s">
        <v>279</v>
      </c>
      <c r="C122" s="23" t="s">
        <v>483</v>
      </c>
      <c r="D122" s="23">
        <v>2020000</v>
      </c>
      <c r="E122" s="23" t="s">
        <v>453</v>
      </c>
      <c r="F122" s="23" t="str">
        <f t="shared" si="2"/>
        <v>rtdc.l.rtdc.4045:itc</v>
      </c>
      <c r="G122" s="8">
        <f t="shared" si="3"/>
        <v>42642.577106481483</v>
      </c>
    </row>
    <row r="123" spans="1:7" x14ac:dyDescent="0.25">
      <c r="A123" s="8">
        <v>42642.578923611109</v>
      </c>
      <c r="B123" s="23" t="s">
        <v>287</v>
      </c>
      <c r="C123" s="23" t="s">
        <v>484</v>
      </c>
      <c r="D123" s="23">
        <v>530000</v>
      </c>
      <c r="E123" s="23" t="s">
        <v>485</v>
      </c>
      <c r="F123" s="23" t="str">
        <f t="shared" si="2"/>
        <v>rtdc.l.rtdc.4005:itc</v>
      </c>
      <c r="G123" s="8">
        <f t="shared" si="3"/>
        <v>42642.578923611109</v>
      </c>
    </row>
    <row r="124" spans="1:7" x14ac:dyDescent="0.25">
      <c r="A124" s="8">
        <v>42642.582627314812</v>
      </c>
      <c r="B124" s="23" t="s">
        <v>313</v>
      </c>
      <c r="C124" s="23" t="s">
        <v>486</v>
      </c>
      <c r="D124" s="23">
        <v>2110000</v>
      </c>
      <c r="E124" s="23" t="s">
        <v>465</v>
      </c>
      <c r="F124" s="23" t="str">
        <f t="shared" si="2"/>
        <v>rtdc.l.rtdc.4002:itc</v>
      </c>
      <c r="G124" s="8">
        <f t="shared" si="3"/>
        <v>42642.582627314812</v>
      </c>
    </row>
    <row r="125" spans="1:7" x14ac:dyDescent="0.25">
      <c r="A125" s="8">
        <v>42642.588067129633</v>
      </c>
      <c r="B125" s="23" t="s">
        <v>314</v>
      </c>
      <c r="C125" s="23" t="s">
        <v>487</v>
      </c>
      <c r="D125" s="23">
        <v>2040000</v>
      </c>
      <c r="E125" s="23" t="s">
        <v>315</v>
      </c>
      <c r="F125" s="23" t="str">
        <f t="shared" si="2"/>
        <v>rtdc.l.rtdc.4039:itc</v>
      </c>
      <c r="G125" s="8">
        <f t="shared" si="3"/>
        <v>42642.588067129633</v>
      </c>
    </row>
    <row r="126" spans="1:7" x14ac:dyDescent="0.25">
      <c r="A126" s="8">
        <v>42642.591597222221</v>
      </c>
      <c r="B126" s="23" t="s">
        <v>236</v>
      </c>
      <c r="C126" s="23" t="s">
        <v>488</v>
      </c>
      <c r="D126" s="23">
        <v>1540000</v>
      </c>
      <c r="E126" s="23" t="s">
        <v>237</v>
      </c>
      <c r="F126" s="23" t="str">
        <f t="shared" si="2"/>
        <v>rtdc.l.rtdc.4014:itc</v>
      </c>
      <c r="G126" s="8">
        <f t="shared" si="3"/>
        <v>42642.591597222221</v>
      </c>
    </row>
    <row r="127" spans="1:7" x14ac:dyDescent="0.25">
      <c r="A127" s="8">
        <v>42642.591817129629</v>
      </c>
      <c r="B127" s="23" t="s">
        <v>289</v>
      </c>
      <c r="C127" s="23" t="s">
        <v>484</v>
      </c>
      <c r="D127" s="23">
        <v>530000</v>
      </c>
      <c r="E127" s="23" t="s">
        <v>485</v>
      </c>
      <c r="F127" s="23" t="str">
        <f t="shared" si="2"/>
        <v>rtdc.l.rtdc.4006:itc</v>
      </c>
      <c r="G127" s="8">
        <f t="shared" si="3"/>
        <v>42642.591817129629</v>
      </c>
    </row>
    <row r="128" spans="1:7" x14ac:dyDescent="0.25">
      <c r="A128" s="8">
        <v>42642.591886574075</v>
      </c>
      <c r="B128" s="23" t="s">
        <v>161</v>
      </c>
      <c r="C128" s="23" t="s">
        <v>489</v>
      </c>
      <c r="D128" s="23">
        <v>1810000</v>
      </c>
      <c r="E128" s="23" t="s">
        <v>450</v>
      </c>
      <c r="F128" s="23" t="str">
        <f t="shared" si="2"/>
        <v>rtdc.l.rtdc.4019:itc</v>
      </c>
      <c r="G128" s="8">
        <f t="shared" si="3"/>
        <v>42642.591886574075</v>
      </c>
    </row>
    <row r="129" spans="1:7" x14ac:dyDescent="0.25">
      <c r="A129" s="8">
        <v>42642.592037037037</v>
      </c>
      <c r="B129" s="23" t="s">
        <v>247</v>
      </c>
      <c r="C129" s="23" t="s">
        <v>490</v>
      </c>
      <c r="D129" s="23">
        <v>1740000</v>
      </c>
      <c r="E129" s="23" t="s">
        <v>285</v>
      </c>
      <c r="F129" s="23" t="str">
        <f t="shared" si="2"/>
        <v>rtdc.l.rtdc.4029:itc</v>
      </c>
      <c r="G129" s="8">
        <f t="shared" si="3"/>
        <v>42642.592037037037</v>
      </c>
    </row>
    <row r="130" spans="1:7" x14ac:dyDescent="0.25">
      <c r="A130" s="8">
        <v>42642.601331018515</v>
      </c>
      <c r="B130" s="23" t="s">
        <v>168</v>
      </c>
      <c r="C130" s="23" t="s">
        <v>491</v>
      </c>
      <c r="D130" s="23">
        <v>940000</v>
      </c>
      <c r="E130" s="23" t="s">
        <v>256</v>
      </c>
      <c r="F130" s="23" t="str">
        <f t="shared" ref="F130:F193" si="4">B130</f>
        <v>rtdc.l.rtdc.4025:itc</v>
      </c>
      <c r="G130" s="8">
        <f t="shared" ref="G130:G193" si="5">A130</f>
        <v>42642.601331018515</v>
      </c>
    </row>
    <row r="131" spans="1:7" x14ac:dyDescent="0.25">
      <c r="A131" s="8">
        <v>42642.605856481481</v>
      </c>
      <c r="B131" s="23" t="s">
        <v>173</v>
      </c>
      <c r="C131" s="23" t="s">
        <v>492</v>
      </c>
      <c r="D131" s="23">
        <v>1140000</v>
      </c>
      <c r="E131" s="23" t="s">
        <v>267</v>
      </c>
      <c r="F131" s="23" t="str">
        <f t="shared" si="4"/>
        <v>rtdc.l.rtdc.4041:itc</v>
      </c>
      <c r="G131" s="8">
        <f t="shared" si="5"/>
        <v>42642.605856481481</v>
      </c>
    </row>
    <row r="132" spans="1:7" x14ac:dyDescent="0.25">
      <c r="A132" s="8">
        <v>42642.61146990741</v>
      </c>
      <c r="B132" s="23" t="s">
        <v>280</v>
      </c>
      <c r="C132" s="23" t="s">
        <v>493</v>
      </c>
      <c r="D132" s="23">
        <v>1540000</v>
      </c>
      <c r="E132" s="23" t="s">
        <v>237</v>
      </c>
      <c r="F132" s="23" t="str">
        <f t="shared" si="4"/>
        <v>rtdc.l.rtdc.4013:itc</v>
      </c>
      <c r="G132" s="8">
        <f t="shared" si="5"/>
        <v>42642.61146990741</v>
      </c>
    </row>
    <row r="133" spans="1:7" x14ac:dyDescent="0.25">
      <c r="A133" s="8">
        <v>42642.614756944444</v>
      </c>
      <c r="B133" s="23" t="s">
        <v>177</v>
      </c>
      <c r="C133" s="23" t="s">
        <v>494</v>
      </c>
      <c r="D133" s="23">
        <v>2020000</v>
      </c>
      <c r="E133" s="23" t="s">
        <v>453</v>
      </c>
      <c r="F133" s="23" t="str">
        <f t="shared" si="4"/>
        <v>rtdc.l.rtdc.4046:itc</v>
      </c>
      <c r="G133" s="8">
        <f t="shared" si="5"/>
        <v>42642.614756944444</v>
      </c>
    </row>
    <row r="134" spans="1:7" x14ac:dyDescent="0.25">
      <c r="A134" s="8">
        <v>42642.617025462961</v>
      </c>
      <c r="B134" s="23" t="s">
        <v>287</v>
      </c>
      <c r="C134" s="23" t="s">
        <v>484</v>
      </c>
      <c r="D134" s="23">
        <v>530000</v>
      </c>
      <c r="E134" s="23" t="s">
        <v>485</v>
      </c>
      <c r="F134" s="23" t="str">
        <f t="shared" si="4"/>
        <v>rtdc.l.rtdc.4005:itc</v>
      </c>
      <c r="G134" s="8">
        <f t="shared" si="5"/>
        <v>42642.617025462961</v>
      </c>
    </row>
    <row r="135" spans="1:7" x14ac:dyDescent="0.25">
      <c r="A135" s="8">
        <v>42642.618194444447</v>
      </c>
      <c r="B135" s="23" t="s">
        <v>311</v>
      </c>
      <c r="C135" s="23" t="s">
        <v>495</v>
      </c>
      <c r="D135" s="23">
        <v>2110000</v>
      </c>
      <c r="E135" s="23" t="s">
        <v>465</v>
      </c>
      <c r="F135" s="23" t="str">
        <f t="shared" si="4"/>
        <v>rtdc.l.rtdc.4001:itc</v>
      </c>
      <c r="G135" s="8">
        <f t="shared" si="5"/>
        <v>42642.618194444447</v>
      </c>
    </row>
    <row r="136" spans="1:7" x14ac:dyDescent="0.25">
      <c r="A136" s="8">
        <v>42642.624502314815</v>
      </c>
      <c r="B136" s="23" t="s">
        <v>287</v>
      </c>
      <c r="C136" s="23" t="s">
        <v>484</v>
      </c>
      <c r="D136" s="23">
        <v>530000</v>
      </c>
      <c r="E136" s="23" t="s">
        <v>485</v>
      </c>
      <c r="F136" s="23" t="str">
        <f t="shared" si="4"/>
        <v>rtdc.l.rtdc.4005:itc</v>
      </c>
      <c r="G136" s="8">
        <f t="shared" si="5"/>
        <v>42642.624502314815</v>
      </c>
    </row>
    <row r="137" spans="1:7" x14ac:dyDescent="0.25">
      <c r="A137" s="8">
        <v>42642.627546296295</v>
      </c>
      <c r="B137" s="23" t="s">
        <v>309</v>
      </c>
      <c r="C137" s="23" t="s">
        <v>496</v>
      </c>
      <c r="D137" s="23">
        <v>2040000</v>
      </c>
      <c r="E137" s="23" t="s">
        <v>315</v>
      </c>
      <c r="F137" s="23" t="str">
        <f t="shared" si="4"/>
        <v>rtdc.l.rtdc.4040:itc</v>
      </c>
      <c r="G137" s="8">
        <f t="shared" si="5"/>
        <v>42642.627546296295</v>
      </c>
    </row>
    <row r="138" spans="1:7" x14ac:dyDescent="0.25">
      <c r="A138" s="8">
        <v>42642.627824074072</v>
      </c>
      <c r="B138" s="23" t="s">
        <v>248</v>
      </c>
      <c r="C138" s="23" t="s">
        <v>497</v>
      </c>
      <c r="D138" s="23">
        <v>1740000</v>
      </c>
      <c r="E138" s="23" t="s">
        <v>285</v>
      </c>
      <c r="F138" s="23" t="str">
        <f t="shared" si="4"/>
        <v>rtdc.l.rtdc.4030:itc</v>
      </c>
      <c r="G138" s="8">
        <f t="shared" si="5"/>
        <v>42642.627824074072</v>
      </c>
    </row>
    <row r="139" spans="1:7" x14ac:dyDescent="0.25">
      <c r="A139" s="8">
        <v>42642.633287037039</v>
      </c>
      <c r="B139" s="23" t="s">
        <v>162</v>
      </c>
      <c r="C139" s="23" t="s">
        <v>498</v>
      </c>
      <c r="D139" s="23">
        <v>1810000</v>
      </c>
      <c r="E139" s="23" t="s">
        <v>450</v>
      </c>
      <c r="F139" s="23" t="str">
        <f t="shared" si="4"/>
        <v>rtdc.l.rtdc.4020:itc</v>
      </c>
      <c r="G139" s="8">
        <f t="shared" si="5"/>
        <v>42642.633287037039</v>
      </c>
    </row>
    <row r="140" spans="1:7" x14ac:dyDescent="0.25">
      <c r="A140" s="8">
        <v>42642.634629629632</v>
      </c>
      <c r="B140" s="23" t="s">
        <v>236</v>
      </c>
      <c r="C140" s="23" t="s">
        <v>499</v>
      </c>
      <c r="D140" s="23">
        <v>150000</v>
      </c>
      <c r="E140" s="23" t="s">
        <v>470</v>
      </c>
      <c r="F140" s="23" t="str">
        <f t="shared" si="4"/>
        <v>rtdc.l.rtdc.4014:itc</v>
      </c>
      <c r="G140" s="8">
        <f t="shared" si="5"/>
        <v>42642.634629629632</v>
      </c>
    </row>
    <row r="141" spans="1:7" x14ac:dyDescent="0.25">
      <c r="A141" s="8">
        <v>42642.635381944441</v>
      </c>
      <c r="B141" s="23" t="s">
        <v>227</v>
      </c>
      <c r="C141" s="23" t="s">
        <v>500</v>
      </c>
      <c r="D141" s="23">
        <v>2270000</v>
      </c>
      <c r="E141" s="23" t="s">
        <v>501</v>
      </c>
      <c r="F141" s="23" t="str">
        <f t="shared" si="4"/>
        <v>rtdc.l.rtdc.4012:itc</v>
      </c>
      <c r="G141" s="8">
        <f t="shared" si="5"/>
        <v>42642.635381944441</v>
      </c>
    </row>
    <row r="142" spans="1:7" x14ac:dyDescent="0.25">
      <c r="A142" s="8">
        <v>42642.637743055559</v>
      </c>
      <c r="B142" s="23" t="s">
        <v>169</v>
      </c>
      <c r="C142" s="23" t="s">
        <v>502</v>
      </c>
      <c r="D142" s="23">
        <v>940000</v>
      </c>
      <c r="E142" s="23" t="s">
        <v>256</v>
      </c>
      <c r="F142" s="23" t="str">
        <f t="shared" si="4"/>
        <v>rtdc.l.rtdc.4026:itc</v>
      </c>
      <c r="G142" s="8">
        <f t="shared" si="5"/>
        <v>42642.637743055559</v>
      </c>
    </row>
    <row r="143" spans="1:7" x14ac:dyDescent="0.25">
      <c r="A143" s="8">
        <v>42642.638506944444</v>
      </c>
      <c r="B143" s="23" t="s">
        <v>289</v>
      </c>
      <c r="C143" s="23" t="s">
        <v>484</v>
      </c>
      <c r="D143" s="23">
        <v>530000</v>
      </c>
      <c r="E143" s="23" t="s">
        <v>485</v>
      </c>
      <c r="F143" s="23" t="str">
        <f t="shared" si="4"/>
        <v>rtdc.l.rtdc.4006:itc</v>
      </c>
      <c r="G143" s="8">
        <f t="shared" si="5"/>
        <v>42642.638506944444</v>
      </c>
    </row>
    <row r="144" spans="1:7" x14ac:dyDescent="0.25">
      <c r="A144" s="8">
        <v>42642.639548611114</v>
      </c>
      <c r="B144" s="23" t="s">
        <v>289</v>
      </c>
      <c r="C144" s="23" t="s">
        <v>484</v>
      </c>
      <c r="D144" s="23">
        <v>530000</v>
      </c>
      <c r="E144" s="23" t="s">
        <v>485</v>
      </c>
      <c r="F144" s="23" t="str">
        <f t="shared" si="4"/>
        <v>rtdc.l.rtdc.4006:itc</v>
      </c>
      <c r="G144" s="8">
        <f t="shared" si="5"/>
        <v>42642.639548611114</v>
      </c>
    </row>
    <row r="145" spans="1:7" x14ac:dyDescent="0.25">
      <c r="A145" s="8">
        <v>42642.642777777779</v>
      </c>
      <c r="B145" s="23" t="s">
        <v>254</v>
      </c>
      <c r="C145" s="23" t="s">
        <v>503</v>
      </c>
      <c r="D145" s="23">
        <v>2000000</v>
      </c>
      <c r="E145" s="23" t="s">
        <v>122</v>
      </c>
      <c r="F145" s="23" t="str">
        <f t="shared" si="4"/>
        <v>rtdc.l.rtdc.4017:itc</v>
      </c>
      <c r="G145" s="8">
        <f t="shared" si="5"/>
        <v>42642.642777777779</v>
      </c>
    </row>
    <row r="146" spans="1:7" x14ac:dyDescent="0.25">
      <c r="A146" s="8">
        <v>42642.647719907407</v>
      </c>
      <c r="B146" s="23" t="s">
        <v>174</v>
      </c>
      <c r="C146" s="23" t="s">
        <v>504</v>
      </c>
      <c r="D146" s="23">
        <v>1140000</v>
      </c>
      <c r="E146" s="23" t="s">
        <v>267</v>
      </c>
      <c r="F146" s="23" t="str">
        <f t="shared" si="4"/>
        <v>rtdc.l.rtdc.4042:itc</v>
      </c>
      <c r="G146" s="8">
        <f t="shared" si="5"/>
        <v>42642.647719907407</v>
      </c>
    </row>
    <row r="147" spans="1:7" x14ac:dyDescent="0.25">
      <c r="A147" s="8">
        <v>42642.648009259261</v>
      </c>
      <c r="B147" s="23" t="s">
        <v>382</v>
      </c>
      <c r="C147" s="23" t="s">
        <v>505</v>
      </c>
      <c r="D147" s="23">
        <v>2270000</v>
      </c>
      <c r="E147" s="23" t="s">
        <v>501</v>
      </c>
      <c r="F147" s="23" t="str">
        <f t="shared" si="4"/>
        <v>rtdc.l.rtdc.4011:itc</v>
      </c>
      <c r="G147" s="8">
        <f t="shared" si="5"/>
        <v>42642.648009259261</v>
      </c>
    </row>
    <row r="148" spans="1:7" x14ac:dyDescent="0.25">
      <c r="A148" s="8">
        <v>42642.648240740738</v>
      </c>
      <c r="B148" s="23" t="s">
        <v>279</v>
      </c>
      <c r="C148" s="23" t="s">
        <v>506</v>
      </c>
      <c r="D148" s="23">
        <v>2020000</v>
      </c>
      <c r="E148" s="23" t="s">
        <v>453</v>
      </c>
      <c r="F148" s="23" t="str">
        <f t="shared" si="4"/>
        <v>rtdc.l.rtdc.4045:itc</v>
      </c>
      <c r="G148" s="8">
        <f t="shared" si="5"/>
        <v>42642.648240740738</v>
      </c>
    </row>
    <row r="149" spans="1:7" x14ac:dyDescent="0.25">
      <c r="A149" s="8">
        <v>42642.652314814812</v>
      </c>
      <c r="B149" s="23" t="s">
        <v>280</v>
      </c>
      <c r="C149" s="23" t="s">
        <v>507</v>
      </c>
      <c r="D149" s="23">
        <v>150000</v>
      </c>
      <c r="E149" s="23" t="s">
        <v>470</v>
      </c>
      <c r="F149" s="23" t="str">
        <f t="shared" si="4"/>
        <v>rtdc.l.rtdc.4013:itc</v>
      </c>
      <c r="G149" s="8">
        <f t="shared" si="5"/>
        <v>42642.652314814812</v>
      </c>
    </row>
    <row r="150" spans="1:7" x14ac:dyDescent="0.25">
      <c r="A150" s="8">
        <v>42642.655868055554</v>
      </c>
      <c r="B150" s="23" t="s">
        <v>313</v>
      </c>
      <c r="C150" s="23" t="s">
        <v>508</v>
      </c>
      <c r="D150" s="23">
        <v>2110000</v>
      </c>
      <c r="E150" s="23" t="s">
        <v>465</v>
      </c>
      <c r="F150" s="23" t="str">
        <f t="shared" si="4"/>
        <v>rtdc.l.rtdc.4002:itc</v>
      </c>
      <c r="G150" s="8">
        <f t="shared" si="5"/>
        <v>42642.655868055554</v>
      </c>
    </row>
    <row r="151" spans="1:7" x14ac:dyDescent="0.25">
      <c r="A151" s="8">
        <v>42642.657719907409</v>
      </c>
      <c r="B151" s="23" t="s">
        <v>255</v>
      </c>
      <c r="C151" s="23" t="s">
        <v>509</v>
      </c>
      <c r="D151" s="23">
        <v>2000000</v>
      </c>
      <c r="E151" s="23" t="s">
        <v>122</v>
      </c>
      <c r="F151" s="23" t="str">
        <f t="shared" si="4"/>
        <v>rtdc.l.rtdc.4018:itc</v>
      </c>
      <c r="G151" s="8">
        <f t="shared" si="5"/>
        <v>42642.657719907409</v>
      </c>
    </row>
    <row r="152" spans="1:7" x14ac:dyDescent="0.25">
      <c r="A152" s="8">
        <v>42642.662118055552</v>
      </c>
      <c r="B152" s="23" t="s">
        <v>314</v>
      </c>
      <c r="C152" s="23" t="s">
        <v>510</v>
      </c>
      <c r="D152" s="23">
        <v>2040000</v>
      </c>
      <c r="E152" s="23" t="s">
        <v>315</v>
      </c>
      <c r="F152" s="23" t="str">
        <f t="shared" si="4"/>
        <v>rtdc.l.rtdc.4039:itc</v>
      </c>
      <c r="G152" s="8">
        <f t="shared" si="5"/>
        <v>42642.662118055552</v>
      </c>
    </row>
    <row r="153" spans="1:7" x14ac:dyDescent="0.25">
      <c r="A153" s="8">
        <v>42642.663414351853</v>
      </c>
      <c r="B153" s="23" t="s">
        <v>161</v>
      </c>
      <c r="C153" s="23" t="s">
        <v>511</v>
      </c>
      <c r="D153" s="23">
        <v>1810000</v>
      </c>
      <c r="E153" s="23" t="s">
        <v>450</v>
      </c>
      <c r="F153" s="23" t="str">
        <f t="shared" si="4"/>
        <v>rtdc.l.rtdc.4019:itc</v>
      </c>
      <c r="G153" s="8">
        <f t="shared" si="5"/>
        <v>42642.663414351853</v>
      </c>
    </row>
    <row r="154" spans="1:7" x14ac:dyDescent="0.25">
      <c r="A154" s="8">
        <v>42642.666203703702</v>
      </c>
      <c r="B154" s="23" t="s">
        <v>247</v>
      </c>
      <c r="C154" s="23" t="s">
        <v>512</v>
      </c>
      <c r="D154" s="23">
        <v>1740000</v>
      </c>
      <c r="E154" s="23" t="s">
        <v>285</v>
      </c>
      <c r="F154" s="23" t="str">
        <f t="shared" si="4"/>
        <v>rtdc.l.rtdc.4029:itc</v>
      </c>
      <c r="G154" s="8">
        <f t="shared" si="5"/>
        <v>42642.666203703702</v>
      </c>
    </row>
    <row r="155" spans="1:7" x14ac:dyDescent="0.25">
      <c r="A155" s="8">
        <v>42642.671539351853</v>
      </c>
      <c r="B155" s="23" t="s">
        <v>161</v>
      </c>
      <c r="C155" s="23" t="s">
        <v>511</v>
      </c>
      <c r="D155" s="23">
        <v>1810000</v>
      </c>
      <c r="E155" s="23" t="s">
        <v>450</v>
      </c>
      <c r="F155" s="23" t="str">
        <f t="shared" si="4"/>
        <v>rtdc.l.rtdc.4019:itc</v>
      </c>
      <c r="G155" s="8">
        <f t="shared" si="5"/>
        <v>42642.671539351853</v>
      </c>
    </row>
    <row r="156" spans="1:7" x14ac:dyDescent="0.25">
      <c r="A156" s="8">
        <v>42642.672268518516</v>
      </c>
      <c r="B156" s="23" t="s">
        <v>227</v>
      </c>
      <c r="C156" s="23" t="s">
        <v>513</v>
      </c>
      <c r="D156" s="23">
        <v>2270000</v>
      </c>
      <c r="E156" s="23" t="s">
        <v>501</v>
      </c>
      <c r="F156" s="23" t="str">
        <f t="shared" si="4"/>
        <v>rtdc.l.rtdc.4012:itc</v>
      </c>
      <c r="G156" s="8">
        <f t="shared" si="5"/>
        <v>42642.672268518516</v>
      </c>
    </row>
    <row r="157" spans="1:7" x14ac:dyDescent="0.25">
      <c r="A157" s="8">
        <v>42642.672314814816</v>
      </c>
      <c r="B157" s="23" t="s">
        <v>161</v>
      </c>
      <c r="C157" s="23" t="s">
        <v>511</v>
      </c>
      <c r="D157" s="23">
        <v>1810000</v>
      </c>
      <c r="E157" s="23" t="s">
        <v>450</v>
      </c>
      <c r="F157" s="23" t="str">
        <f t="shared" si="4"/>
        <v>rtdc.l.rtdc.4019:itc</v>
      </c>
      <c r="G157" s="8">
        <f t="shared" si="5"/>
        <v>42642.672314814816</v>
      </c>
    </row>
    <row r="158" spans="1:7" x14ac:dyDescent="0.25">
      <c r="A158" s="8">
        <v>42642.674641203703</v>
      </c>
      <c r="B158" s="23" t="s">
        <v>168</v>
      </c>
      <c r="C158" s="23" t="s">
        <v>514</v>
      </c>
      <c r="D158" s="23">
        <v>940000</v>
      </c>
      <c r="E158" s="23" t="s">
        <v>256</v>
      </c>
      <c r="F158" s="23" t="str">
        <f t="shared" si="4"/>
        <v>rtdc.l.rtdc.4025:itc</v>
      </c>
      <c r="G158" s="8">
        <f t="shared" si="5"/>
        <v>42642.674641203703</v>
      </c>
    </row>
    <row r="159" spans="1:7" x14ac:dyDescent="0.25">
      <c r="A159" s="8">
        <v>42642.676574074074</v>
      </c>
      <c r="B159" s="23" t="s">
        <v>236</v>
      </c>
      <c r="C159" s="23" t="s">
        <v>515</v>
      </c>
      <c r="D159" s="23">
        <v>1540000</v>
      </c>
      <c r="E159" s="23" t="s">
        <v>237</v>
      </c>
      <c r="F159" s="23" t="str">
        <f t="shared" si="4"/>
        <v>rtdc.l.rtdc.4014:itc</v>
      </c>
      <c r="G159" s="8">
        <f t="shared" si="5"/>
        <v>42642.676574074074</v>
      </c>
    </row>
    <row r="160" spans="1:7" x14ac:dyDescent="0.25">
      <c r="A160" s="8">
        <v>42642.678888888891</v>
      </c>
      <c r="B160" s="23" t="s">
        <v>161</v>
      </c>
      <c r="C160" s="23" t="s">
        <v>511</v>
      </c>
      <c r="D160" s="23">
        <v>1810000</v>
      </c>
      <c r="E160" s="23" t="s">
        <v>450</v>
      </c>
      <c r="F160" s="23" t="str">
        <f t="shared" si="4"/>
        <v>rtdc.l.rtdc.4019:itc</v>
      </c>
      <c r="G160" s="8">
        <f t="shared" si="5"/>
        <v>42642.678888888891</v>
      </c>
    </row>
    <row r="161" spans="1:7" x14ac:dyDescent="0.25">
      <c r="A161" s="8">
        <v>42642.68340277778</v>
      </c>
      <c r="B161" s="23" t="s">
        <v>173</v>
      </c>
      <c r="C161" s="23" t="s">
        <v>516</v>
      </c>
      <c r="D161" s="23">
        <v>1140000</v>
      </c>
      <c r="E161" s="23" t="s">
        <v>267</v>
      </c>
      <c r="F161" s="23" t="str">
        <f t="shared" si="4"/>
        <v>rtdc.l.rtdc.4041:itc</v>
      </c>
      <c r="G161" s="8">
        <f t="shared" si="5"/>
        <v>42642.68340277778</v>
      </c>
    </row>
    <row r="162" spans="1:7" x14ac:dyDescent="0.25">
      <c r="A162" s="8">
        <v>42642.686365740738</v>
      </c>
      <c r="B162" s="23" t="s">
        <v>177</v>
      </c>
      <c r="C162" s="23" t="s">
        <v>517</v>
      </c>
      <c r="D162" s="23">
        <v>2020000</v>
      </c>
      <c r="E162" s="23" t="s">
        <v>453</v>
      </c>
      <c r="F162" s="23" t="str">
        <f t="shared" si="4"/>
        <v>rtdc.l.rtdc.4046:itc</v>
      </c>
      <c r="G162" s="8">
        <f t="shared" si="5"/>
        <v>42642.686365740738</v>
      </c>
    </row>
    <row r="163" spans="1:7" x14ac:dyDescent="0.25">
      <c r="A163" s="8">
        <v>42642.690995370373</v>
      </c>
      <c r="B163" s="23" t="s">
        <v>311</v>
      </c>
      <c r="C163" s="23" t="s">
        <v>518</v>
      </c>
      <c r="D163" s="23">
        <v>2110000</v>
      </c>
      <c r="E163" s="23" t="s">
        <v>465</v>
      </c>
      <c r="F163" s="23" t="str">
        <f t="shared" si="4"/>
        <v>rtdc.l.rtdc.4001:itc</v>
      </c>
      <c r="G163" s="8">
        <f t="shared" si="5"/>
        <v>42642.690995370373</v>
      </c>
    </row>
    <row r="164" spans="1:7" x14ac:dyDescent="0.25">
      <c r="A164" s="8">
        <v>42642.692916666667</v>
      </c>
      <c r="B164" s="23" t="s">
        <v>280</v>
      </c>
      <c r="C164" s="23" t="s">
        <v>519</v>
      </c>
      <c r="D164" s="23">
        <v>1540000</v>
      </c>
      <c r="E164" s="23" t="s">
        <v>237</v>
      </c>
      <c r="F164" s="23" t="str">
        <f t="shared" si="4"/>
        <v>rtdc.l.rtdc.4013:itc</v>
      </c>
      <c r="G164" s="8">
        <f t="shared" si="5"/>
        <v>42642.692916666667</v>
      </c>
    </row>
    <row r="165" spans="1:7" x14ac:dyDescent="0.25">
      <c r="A165" s="8">
        <v>42642.694409722222</v>
      </c>
      <c r="B165" s="23" t="s">
        <v>382</v>
      </c>
      <c r="C165" s="23" t="s">
        <v>520</v>
      </c>
      <c r="D165" s="23">
        <v>2270000</v>
      </c>
      <c r="E165" s="23" t="s">
        <v>501</v>
      </c>
      <c r="F165" s="23" t="str">
        <f t="shared" si="4"/>
        <v>rtdc.l.rtdc.4011:itc</v>
      </c>
      <c r="G165" s="8">
        <f t="shared" si="5"/>
        <v>42642.694409722222</v>
      </c>
    </row>
    <row r="166" spans="1:7" x14ac:dyDescent="0.25">
      <c r="A166" s="8">
        <v>42642.696562500001</v>
      </c>
      <c r="B166" s="23" t="s">
        <v>309</v>
      </c>
      <c r="C166" s="23" t="s">
        <v>521</v>
      </c>
      <c r="D166" s="23">
        <v>2040000</v>
      </c>
      <c r="E166" s="23" t="s">
        <v>315</v>
      </c>
      <c r="F166" s="23" t="str">
        <f t="shared" si="4"/>
        <v>rtdc.l.rtdc.4040:itc</v>
      </c>
      <c r="G166" s="8">
        <f t="shared" si="5"/>
        <v>42642.696562500001</v>
      </c>
    </row>
    <row r="167" spans="1:7" x14ac:dyDescent="0.25">
      <c r="A167" s="8">
        <v>42642.698518518519</v>
      </c>
      <c r="B167" s="23" t="s">
        <v>248</v>
      </c>
      <c r="C167" s="23" t="s">
        <v>522</v>
      </c>
      <c r="D167" s="23">
        <v>1740000</v>
      </c>
      <c r="E167" s="23" t="s">
        <v>285</v>
      </c>
      <c r="F167" s="23" t="str">
        <f t="shared" si="4"/>
        <v>rtdc.l.rtdc.4030:itc</v>
      </c>
      <c r="G167" s="8">
        <f t="shared" si="5"/>
        <v>42642.698518518519</v>
      </c>
    </row>
    <row r="168" spans="1:7" x14ac:dyDescent="0.25">
      <c r="A168" s="8">
        <v>42642.706909722219</v>
      </c>
      <c r="B168" s="23" t="s">
        <v>162</v>
      </c>
      <c r="C168" s="23" t="s">
        <v>523</v>
      </c>
      <c r="D168" s="23">
        <v>1810000</v>
      </c>
      <c r="E168" s="23" t="s">
        <v>450</v>
      </c>
      <c r="F168" s="23" t="str">
        <f t="shared" si="4"/>
        <v>rtdc.l.rtdc.4020:itc</v>
      </c>
      <c r="G168" s="8">
        <f t="shared" si="5"/>
        <v>42642.706909722219</v>
      </c>
    </row>
    <row r="169" spans="1:7" x14ac:dyDescent="0.25">
      <c r="A169" s="8">
        <v>42642.70894675926</v>
      </c>
      <c r="B169" s="23" t="s">
        <v>169</v>
      </c>
      <c r="C169" s="23" t="s">
        <v>524</v>
      </c>
      <c r="D169" s="23">
        <v>940000</v>
      </c>
      <c r="E169" s="23" t="s">
        <v>256</v>
      </c>
      <c r="F169" s="23" t="str">
        <f t="shared" si="4"/>
        <v>rtdc.l.rtdc.4026:itc</v>
      </c>
      <c r="G169" s="8">
        <f t="shared" si="5"/>
        <v>42642.70894675926</v>
      </c>
    </row>
    <row r="170" spans="1:7" x14ac:dyDescent="0.25">
      <c r="A170" s="8">
        <v>42642.709305555552</v>
      </c>
      <c r="B170" s="23" t="s">
        <v>382</v>
      </c>
      <c r="C170" s="23" t="s">
        <v>520</v>
      </c>
      <c r="D170" s="23">
        <v>2270000</v>
      </c>
      <c r="E170" s="23" t="s">
        <v>501</v>
      </c>
      <c r="F170" s="23" t="str">
        <f t="shared" si="4"/>
        <v>rtdc.l.rtdc.4011:itc</v>
      </c>
      <c r="G170" s="8">
        <f t="shared" si="5"/>
        <v>42642.709305555552</v>
      </c>
    </row>
    <row r="171" spans="1:7" x14ac:dyDescent="0.25">
      <c r="A171" s="8">
        <v>42642.710439814815</v>
      </c>
      <c r="B171" s="23" t="s">
        <v>382</v>
      </c>
      <c r="C171" s="23" t="s">
        <v>520</v>
      </c>
      <c r="D171" s="23">
        <v>2270000</v>
      </c>
      <c r="E171" s="23" t="s">
        <v>501</v>
      </c>
      <c r="F171" s="23" t="str">
        <f t="shared" si="4"/>
        <v>rtdc.l.rtdc.4011:itc</v>
      </c>
      <c r="G171" s="8">
        <f t="shared" si="5"/>
        <v>42642.710439814815</v>
      </c>
    </row>
    <row r="172" spans="1:7" x14ac:dyDescent="0.25">
      <c r="A172" s="8">
        <v>42642.71234953704</v>
      </c>
      <c r="B172" s="23" t="s">
        <v>254</v>
      </c>
      <c r="C172" s="23" t="s">
        <v>525</v>
      </c>
      <c r="D172" s="23">
        <v>2000000</v>
      </c>
      <c r="E172" s="23" t="s">
        <v>122</v>
      </c>
      <c r="F172" s="23" t="str">
        <f t="shared" si="4"/>
        <v>rtdc.l.rtdc.4017:itc</v>
      </c>
      <c r="G172" s="8">
        <f t="shared" si="5"/>
        <v>42642.71234953704</v>
      </c>
    </row>
    <row r="173" spans="1:7" x14ac:dyDescent="0.25">
      <c r="A173" s="8">
        <v>42642.718460648146</v>
      </c>
      <c r="B173" s="23" t="s">
        <v>220</v>
      </c>
      <c r="C173" s="23" t="s">
        <v>526</v>
      </c>
      <c r="D173" s="23">
        <v>2100000</v>
      </c>
      <c r="E173" s="23" t="s">
        <v>442</v>
      </c>
      <c r="F173" s="23" t="str">
        <f t="shared" si="4"/>
        <v>rtdc.l.rtdc.4044:itc</v>
      </c>
      <c r="G173" s="8">
        <f t="shared" si="5"/>
        <v>42642.718460648146</v>
      </c>
    </row>
    <row r="174" spans="1:7" x14ac:dyDescent="0.25">
      <c r="A174" s="8">
        <v>42642.718981481485</v>
      </c>
      <c r="B174" s="23" t="s">
        <v>174</v>
      </c>
      <c r="C174" s="23" t="s">
        <v>527</v>
      </c>
      <c r="D174" s="23">
        <v>1180000</v>
      </c>
      <c r="E174" s="23" t="s">
        <v>268</v>
      </c>
      <c r="F174" s="23" t="str">
        <f t="shared" si="4"/>
        <v>rtdc.l.rtdc.4042:itc</v>
      </c>
      <c r="G174" s="8">
        <f t="shared" si="5"/>
        <v>42642.718981481485</v>
      </c>
    </row>
    <row r="175" spans="1:7" x14ac:dyDescent="0.25">
      <c r="A175" s="8">
        <v>42642.720775462964</v>
      </c>
      <c r="B175" s="23" t="s">
        <v>236</v>
      </c>
      <c r="C175" s="23" t="s">
        <v>528</v>
      </c>
      <c r="D175" s="23">
        <v>1540000</v>
      </c>
      <c r="E175" s="23" t="s">
        <v>237</v>
      </c>
      <c r="F175" s="23" t="str">
        <f t="shared" si="4"/>
        <v>rtdc.l.rtdc.4014:itc</v>
      </c>
      <c r="G175" s="8">
        <f t="shared" si="5"/>
        <v>42642.720775462964</v>
      </c>
    </row>
    <row r="176" spans="1:7" x14ac:dyDescent="0.25">
      <c r="A176" s="8">
        <v>42642.721458333333</v>
      </c>
      <c r="B176" s="23" t="s">
        <v>227</v>
      </c>
      <c r="C176" s="23" t="s">
        <v>529</v>
      </c>
      <c r="D176" s="23">
        <v>2270000</v>
      </c>
      <c r="E176" s="23" t="s">
        <v>501</v>
      </c>
      <c r="F176" s="23" t="str">
        <f t="shared" si="4"/>
        <v>rtdc.l.rtdc.4012:itc</v>
      </c>
      <c r="G176" s="8">
        <f t="shared" si="5"/>
        <v>42642.721458333333</v>
      </c>
    </row>
    <row r="177" spans="1:7" x14ac:dyDescent="0.25">
      <c r="A177" s="8">
        <v>42642.722384259258</v>
      </c>
      <c r="B177" s="23" t="s">
        <v>279</v>
      </c>
      <c r="C177" s="23" t="s">
        <v>530</v>
      </c>
      <c r="D177" s="23">
        <v>2020000</v>
      </c>
      <c r="E177" s="23" t="s">
        <v>453</v>
      </c>
      <c r="F177" s="23" t="str">
        <f t="shared" si="4"/>
        <v>rtdc.l.rtdc.4045:itc</v>
      </c>
      <c r="G177" s="8">
        <f t="shared" si="5"/>
        <v>42642.722384259258</v>
      </c>
    </row>
    <row r="178" spans="1:7" x14ac:dyDescent="0.25">
      <c r="A178" s="8">
        <v>42642.729953703703</v>
      </c>
      <c r="B178" s="23" t="s">
        <v>313</v>
      </c>
      <c r="C178" s="23" t="s">
        <v>531</v>
      </c>
      <c r="D178" s="23">
        <v>1140000</v>
      </c>
      <c r="E178" s="23" t="s">
        <v>267</v>
      </c>
      <c r="F178" s="23" t="str">
        <f t="shared" si="4"/>
        <v>rtdc.l.rtdc.4002:itc</v>
      </c>
      <c r="G178" s="8">
        <f t="shared" si="5"/>
        <v>42642.729953703703</v>
      </c>
    </row>
    <row r="179" spans="1:7" x14ac:dyDescent="0.25">
      <c r="A179" s="8">
        <v>42642.730115740742</v>
      </c>
      <c r="B179" s="23" t="s">
        <v>287</v>
      </c>
      <c r="C179" s="23" t="s">
        <v>532</v>
      </c>
      <c r="D179" s="23">
        <v>2230000</v>
      </c>
      <c r="E179" s="23" t="s">
        <v>533</v>
      </c>
      <c r="F179" s="23" t="str">
        <f t="shared" si="4"/>
        <v>rtdc.l.rtdc.4005:itc</v>
      </c>
      <c r="G179" s="8">
        <f t="shared" si="5"/>
        <v>42642.730115740742</v>
      </c>
    </row>
    <row r="180" spans="1:7" x14ac:dyDescent="0.25">
      <c r="A180" s="8">
        <v>42642.732164351852</v>
      </c>
      <c r="B180" s="23" t="s">
        <v>314</v>
      </c>
      <c r="C180" s="23" t="s">
        <v>534</v>
      </c>
      <c r="D180" s="23">
        <v>2040000</v>
      </c>
      <c r="E180" s="23" t="s">
        <v>315</v>
      </c>
      <c r="F180" s="23" t="str">
        <f t="shared" si="4"/>
        <v>rtdc.l.rtdc.4039:itc</v>
      </c>
      <c r="G180" s="8">
        <f t="shared" si="5"/>
        <v>42642.732164351852</v>
      </c>
    </row>
    <row r="181" spans="1:7" x14ac:dyDescent="0.25">
      <c r="A181" s="8">
        <v>42642.734247685185</v>
      </c>
      <c r="B181" s="23" t="s">
        <v>280</v>
      </c>
      <c r="C181" s="23" t="s">
        <v>535</v>
      </c>
      <c r="D181" s="23">
        <v>1540000</v>
      </c>
      <c r="E181" s="23" t="s">
        <v>237</v>
      </c>
      <c r="F181" s="23" t="str">
        <f t="shared" si="4"/>
        <v>rtdc.l.rtdc.4013:itc</v>
      </c>
      <c r="G181" s="8">
        <f t="shared" si="5"/>
        <v>42642.734247685185</v>
      </c>
    </row>
    <row r="182" spans="1:7" x14ac:dyDescent="0.25">
      <c r="A182" s="8">
        <v>42642.735185185185</v>
      </c>
      <c r="B182" s="23" t="s">
        <v>161</v>
      </c>
      <c r="C182" s="23" t="s">
        <v>536</v>
      </c>
      <c r="D182" s="23">
        <v>1810000</v>
      </c>
      <c r="E182" s="23" t="s">
        <v>450</v>
      </c>
      <c r="F182" s="23" t="str">
        <f t="shared" si="4"/>
        <v>rtdc.l.rtdc.4019:itc</v>
      </c>
      <c r="G182" s="8">
        <f t="shared" si="5"/>
        <v>42642.735185185185</v>
      </c>
    </row>
    <row r="183" spans="1:7" x14ac:dyDescent="0.25">
      <c r="A183" s="8">
        <v>42642.736828703702</v>
      </c>
      <c r="B183" s="23" t="s">
        <v>247</v>
      </c>
      <c r="C183" s="23" t="s">
        <v>537</v>
      </c>
      <c r="D183" s="23">
        <v>1290000</v>
      </c>
      <c r="E183" s="23" t="s">
        <v>170</v>
      </c>
      <c r="F183" s="23" t="str">
        <f t="shared" si="4"/>
        <v>rtdc.l.rtdc.4029:itc</v>
      </c>
      <c r="G183" s="8">
        <f t="shared" si="5"/>
        <v>42642.736828703702</v>
      </c>
    </row>
    <row r="184" spans="1:7" x14ac:dyDescent="0.25">
      <c r="A184" s="8">
        <v>42642.741296296299</v>
      </c>
      <c r="B184" s="23" t="s">
        <v>382</v>
      </c>
      <c r="C184" s="23" t="s">
        <v>538</v>
      </c>
      <c r="D184" s="23">
        <v>2270000</v>
      </c>
      <c r="E184" s="23" t="s">
        <v>501</v>
      </c>
      <c r="F184" s="23" t="str">
        <f t="shared" si="4"/>
        <v>rtdc.l.rtdc.4011:itc</v>
      </c>
      <c r="G184" s="8">
        <f t="shared" si="5"/>
        <v>42642.741296296299</v>
      </c>
    </row>
    <row r="185" spans="1:7" x14ac:dyDescent="0.25">
      <c r="A185" s="8">
        <v>42642.745694444442</v>
      </c>
      <c r="B185" s="23" t="s">
        <v>289</v>
      </c>
      <c r="C185" s="23" t="s">
        <v>532</v>
      </c>
      <c r="D185" s="23">
        <v>2230000</v>
      </c>
      <c r="E185" s="23" t="s">
        <v>533</v>
      </c>
      <c r="F185" s="23" t="str">
        <f t="shared" si="4"/>
        <v>rtdc.l.rtdc.4006:itc</v>
      </c>
      <c r="G185" s="8">
        <f t="shared" si="5"/>
        <v>42642.745694444442</v>
      </c>
    </row>
    <row r="186" spans="1:7" x14ac:dyDescent="0.25">
      <c r="A186" s="8">
        <v>42642.747395833336</v>
      </c>
      <c r="B186" s="23" t="s">
        <v>168</v>
      </c>
      <c r="C186" s="23" t="s">
        <v>539</v>
      </c>
      <c r="D186" s="23">
        <v>1740000</v>
      </c>
      <c r="E186" s="23" t="s">
        <v>285</v>
      </c>
      <c r="F186" s="23" t="str">
        <f t="shared" si="4"/>
        <v>rtdc.l.rtdc.4025:itc</v>
      </c>
      <c r="G186" s="8">
        <f t="shared" si="5"/>
        <v>42642.747395833336</v>
      </c>
    </row>
    <row r="187" spans="1:7" x14ac:dyDescent="0.25">
      <c r="A187" s="8">
        <v>42642.749652777777</v>
      </c>
      <c r="B187" s="23" t="s">
        <v>286</v>
      </c>
      <c r="C187" s="23" t="s">
        <v>540</v>
      </c>
      <c r="D187" s="23">
        <v>130000</v>
      </c>
      <c r="E187" s="23" t="s">
        <v>541</v>
      </c>
      <c r="F187" s="23" t="str">
        <f t="shared" si="4"/>
        <v>rtdc.l.rtdc.4021:itc</v>
      </c>
      <c r="G187" s="8">
        <f t="shared" si="5"/>
        <v>42642.749652777777</v>
      </c>
    </row>
    <row r="188" spans="1:7" x14ac:dyDescent="0.25">
      <c r="A188" s="8">
        <v>42642.751226851855</v>
      </c>
      <c r="B188" s="23" t="s">
        <v>286</v>
      </c>
      <c r="C188" s="23" t="s">
        <v>540</v>
      </c>
      <c r="D188" s="23">
        <v>130000</v>
      </c>
      <c r="E188" s="23" t="s">
        <v>541</v>
      </c>
      <c r="F188" s="23" t="str">
        <f t="shared" si="4"/>
        <v>rtdc.l.rtdc.4021:itc</v>
      </c>
      <c r="G188" s="8">
        <f t="shared" si="5"/>
        <v>42642.751226851855</v>
      </c>
    </row>
    <row r="189" spans="1:7" x14ac:dyDescent="0.25">
      <c r="A189" s="8">
        <v>42642.752442129633</v>
      </c>
      <c r="B189" s="23" t="s">
        <v>236</v>
      </c>
      <c r="C189" s="23" t="s">
        <v>542</v>
      </c>
      <c r="D189" s="23">
        <v>1540000</v>
      </c>
      <c r="E189" s="23" t="s">
        <v>237</v>
      </c>
      <c r="F189" s="23" t="str">
        <f t="shared" si="4"/>
        <v>rtdc.l.rtdc.4014:itc</v>
      </c>
      <c r="G189" s="8">
        <f t="shared" si="5"/>
        <v>42642.752442129633</v>
      </c>
    </row>
    <row r="190" spans="1:7" x14ac:dyDescent="0.25">
      <c r="A190" s="8">
        <v>42642.753067129626</v>
      </c>
      <c r="B190" s="23" t="s">
        <v>173</v>
      </c>
      <c r="C190" s="23" t="s">
        <v>543</v>
      </c>
      <c r="D190" s="23">
        <v>1180000</v>
      </c>
      <c r="E190" s="23" t="s">
        <v>268</v>
      </c>
      <c r="F190" s="23" t="str">
        <f t="shared" si="4"/>
        <v>rtdc.l.rtdc.4041:itc</v>
      </c>
      <c r="G190" s="8">
        <f t="shared" si="5"/>
        <v>42642.753067129626</v>
      </c>
    </row>
    <row r="191" spans="1:7" x14ac:dyDescent="0.25">
      <c r="A191" s="8">
        <v>42642.755219907405</v>
      </c>
      <c r="B191" s="23" t="s">
        <v>227</v>
      </c>
      <c r="C191" s="23" t="s">
        <v>544</v>
      </c>
      <c r="D191" s="23">
        <v>2270000</v>
      </c>
      <c r="E191" s="23" t="s">
        <v>501</v>
      </c>
      <c r="F191" s="23" t="str">
        <f t="shared" si="4"/>
        <v>rtdc.l.rtdc.4012:itc</v>
      </c>
      <c r="G191" s="8">
        <f t="shared" si="5"/>
        <v>42642.755219907405</v>
      </c>
    </row>
    <row r="192" spans="1:7" x14ac:dyDescent="0.25">
      <c r="A192" s="8">
        <v>42642.759560185186</v>
      </c>
      <c r="B192" s="23" t="s">
        <v>177</v>
      </c>
      <c r="C192" s="23" t="s">
        <v>545</v>
      </c>
      <c r="D192" s="23">
        <v>1300000</v>
      </c>
      <c r="E192" s="23" t="s">
        <v>121</v>
      </c>
      <c r="F192" s="23" t="str">
        <f t="shared" si="4"/>
        <v>rtdc.l.rtdc.4046:itc</v>
      </c>
      <c r="G192" s="8">
        <f t="shared" si="5"/>
        <v>42642.759560185186</v>
      </c>
    </row>
    <row r="193" spans="1:7" x14ac:dyDescent="0.25">
      <c r="A193" s="8">
        <v>42642.763553240744</v>
      </c>
      <c r="B193" s="23" t="s">
        <v>255</v>
      </c>
      <c r="C193" s="23" t="s">
        <v>525</v>
      </c>
      <c r="D193" s="23">
        <v>2000000</v>
      </c>
      <c r="E193" s="23" t="s">
        <v>122</v>
      </c>
      <c r="F193" s="23" t="str">
        <f t="shared" si="4"/>
        <v>rtdc.l.rtdc.4018:itc</v>
      </c>
      <c r="G193" s="8">
        <f t="shared" si="5"/>
        <v>42642.763553240744</v>
      </c>
    </row>
    <row r="194" spans="1:7" x14ac:dyDescent="0.25">
      <c r="A194" s="8">
        <v>42642.764432870368</v>
      </c>
      <c r="B194" s="23" t="s">
        <v>311</v>
      </c>
      <c r="C194" s="23" t="s">
        <v>546</v>
      </c>
      <c r="D194" s="23">
        <v>1140000</v>
      </c>
      <c r="E194" s="23" t="s">
        <v>267</v>
      </c>
      <c r="F194" s="23" t="str">
        <f t="shared" ref="F194:F235" si="6">B194</f>
        <v>rtdc.l.rtdc.4001:itc</v>
      </c>
      <c r="G194" s="8">
        <f t="shared" ref="G194:G235" si="7">A194</f>
        <v>42642.764432870368</v>
      </c>
    </row>
    <row r="195" spans="1:7" x14ac:dyDescent="0.25">
      <c r="A195" s="8">
        <v>42642.771435185183</v>
      </c>
      <c r="B195" s="23" t="s">
        <v>309</v>
      </c>
      <c r="C195" s="23" t="s">
        <v>547</v>
      </c>
      <c r="D195" s="23">
        <v>1480000</v>
      </c>
      <c r="E195" s="23" t="s">
        <v>316</v>
      </c>
      <c r="F195" s="23" t="str">
        <f t="shared" si="6"/>
        <v>rtdc.l.rtdc.4040:itc</v>
      </c>
      <c r="G195" s="8">
        <f t="shared" si="7"/>
        <v>42642.771435185183</v>
      </c>
    </row>
    <row r="196" spans="1:7" x14ac:dyDescent="0.25">
      <c r="A196" s="8">
        <v>42642.774895833332</v>
      </c>
      <c r="B196" s="23" t="s">
        <v>248</v>
      </c>
      <c r="C196" s="23" t="s">
        <v>548</v>
      </c>
      <c r="D196" s="23">
        <v>1290000</v>
      </c>
      <c r="E196" s="23" t="s">
        <v>170</v>
      </c>
      <c r="F196" s="23" t="str">
        <f t="shared" si="6"/>
        <v>rtdc.l.rtdc.4030:itc</v>
      </c>
      <c r="G196" s="8">
        <f t="shared" si="7"/>
        <v>42642.774895833332</v>
      </c>
    </row>
    <row r="197" spans="1:7" x14ac:dyDescent="0.25">
      <c r="A197" s="8">
        <v>42642.776192129626</v>
      </c>
      <c r="B197" s="23" t="s">
        <v>280</v>
      </c>
      <c r="C197" s="23" t="s">
        <v>549</v>
      </c>
      <c r="D197" s="23">
        <v>1540000</v>
      </c>
      <c r="E197" s="23" t="s">
        <v>237</v>
      </c>
      <c r="F197" s="23" t="str">
        <f t="shared" si="6"/>
        <v>rtdc.l.rtdc.4013:itc</v>
      </c>
      <c r="G197" s="8">
        <f t="shared" si="7"/>
        <v>42642.776192129626</v>
      </c>
    </row>
    <row r="198" spans="1:7" x14ac:dyDescent="0.25">
      <c r="A198" s="8">
        <v>42642.777141203704</v>
      </c>
      <c r="B198" s="23" t="s">
        <v>382</v>
      </c>
      <c r="C198" s="23" t="s">
        <v>550</v>
      </c>
      <c r="D198" s="23">
        <v>2270000</v>
      </c>
      <c r="E198" s="23" t="s">
        <v>501</v>
      </c>
      <c r="F198" s="23" t="str">
        <f t="shared" si="6"/>
        <v>rtdc.l.rtdc.4011:itc</v>
      </c>
      <c r="G198" s="8">
        <f t="shared" si="7"/>
        <v>42642.777141203704</v>
      </c>
    </row>
    <row r="199" spans="1:7" x14ac:dyDescent="0.25">
      <c r="A199" s="8">
        <v>42642.781469907408</v>
      </c>
      <c r="B199" s="23" t="s">
        <v>162</v>
      </c>
      <c r="C199" s="23" t="s">
        <v>551</v>
      </c>
      <c r="D199" s="23">
        <v>1810000</v>
      </c>
      <c r="E199" s="23" t="s">
        <v>450</v>
      </c>
      <c r="F199" s="23" t="str">
        <f t="shared" si="6"/>
        <v>rtdc.l.rtdc.4020:itc</v>
      </c>
      <c r="G199" s="8">
        <f t="shared" si="7"/>
        <v>42642.781469907408</v>
      </c>
    </row>
    <row r="200" spans="1:7" x14ac:dyDescent="0.25">
      <c r="A200" s="8">
        <v>42642.784953703704</v>
      </c>
      <c r="B200" s="23" t="s">
        <v>169</v>
      </c>
      <c r="C200" s="23" t="s">
        <v>552</v>
      </c>
      <c r="D200" s="23">
        <v>1740000</v>
      </c>
      <c r="E200" s="23" t="s">
        <v>285</v>
      </c>
      <c r="F200" s="23" t="str">
        <f t="shared" si="6"/>
        <v>rtdc.l.rtdc.4026:itc</v>
      </c>
      <c r="G200" s="8">
        <f t="shared" si="7"/>
        <v>42642.784953703704</v>
      </c>
    </row>
    <row r="201" spans="1:7" x14ac:dyDescent="0.25">
      <c r="A201" s="8">
        <v>42642.788043981483</v>
      </c>
      <c r="B201" s="23" t="s">
        <v>174</v>
      </c>
      <c r="C201" s="23" t="s">
        <v>553</v>
      </c>
      <c r="D201" s="23">
        <v>1180000</v>
      </c>
      <c r="E201" s="23" t="s">
        <v>268</v>
      </c>
      <c r="F201" s="23" t="str">
        <f t="shared" si="6"/>
        <v>rtdc.l.rtdc.4042:itc</v>
      </c>
      <c r="G201" s="8">
        <f t="shared" si="7"/>
        <v>42642.788043981483</v>
      </c>
    </row>
    <row r="202" spans="1:7" x14ac:dyDescent="0.25">
      <c r="A202" s="29">
        <v>42642.79724537037</v>
      </c>
      <c r="B202" s="23" t="s">
        <v>227</v>
      </c>
      <c r="C202" s="23" t="s">
        <v>554</v>
      </c>
      <c r="D202" s="23">
        <v>2270000</v>
      </c>
      <c r="E202" s="23" t="s">
        <v>501</v>
      </c>
      <c r="F202" s="23" t="str">
        <f t="shared" si="6"/>
        <v>rtdc.l.rtdc.4012:itc</v>
      </c>
      <c r="G202" s="8">
        <f t="shared" si="7"/>
        <v>42642.79724537037</v>
      </c>
    </row>
    <row r="203" spans="1:7" x14ac:dyDescent="0.25">
      <c r="A203" s="8">
        <v>42642.799571759257</v>
      </c>
      <c r="B203" s="23" t="s">
        <v>279</v>
      </c>
      <c r="C203" s="23" t="s">
        <v>555</v>
      </c>
      <c r="D203" s="23">
        <v>1300000</v>
      </c>
      <c r="E203" s="23" t="s">
        <v>121</v>
      </c>
      <c r="F203" s="23" t="str">
        <f t="shared" si="6"/>
        <v>rtdc.l.rtdc.4045:itc</v>
      </c>
      <c r="G203" s="8">
        <f t="shared" si="7"/>
        <v>42642.799571759257</v>
      </c>
    </row>
    <row r="204" spans="1:7" x14ac:dyDescent="0.25">
      <c r="A204" s="8">
        <v>42642.800532407404</v>
      </c>
      <c r="B204" s="23" t="s">
        <v>236</v>
      </c>
      <c r="C204" s="23" t="s">
        <v>556</v>
      </c>
      <c r="D204" s="23">
        <v>1540000</v>
      </c>
      <c r="E204" s="23" t="s">
        <v>237</v>
      </c>
      <c r="F204" s="23" t="str">
        <f t="shared" si="6"/>
        <v>rtdc.l.rtdc.4014:itc</v>
      </c>
      <c r="G204" s="8">
        <f t="shared" si="7"/>
        <v>42642.800532407404</v>
      </c>
    </row>
    <row r="205" spans="1:7" x14ac:dyDescent="0.25">
      <c r="A205" s="8">
        <v>42642.80431712963</v>
      </c>
      <c r="B205" s="23" t="s">
        <v>314</v>
      </c>
      <c r="C205" s="23" t="s">
        <v>557</v>
      </c>
      <c r="D205" s="23">
        <v>1480000</v>
      </c>
      <c r="E205" s="23" t="s">
        <v>316</v>
      </c>
      <c r="F205" s="23" t="str">
        <f t="shared" si="6"/>
        <v>rtdc.l.rtdc.4039:itc</v>
      </c>
      <c r="G205" s="8">
        <f t="shared" si="7"/>
        <v>42642.80431712963</v>
      </c>
    </row>
    <row r="206" spans="1:7" x14ac:dyDescent="0.25">
      <c r="A206" s="8">
        <v>42642.809166666666</v>
      </c>
      <c r="B206" s="23" t="s">
        <v>247</v>
      </c>
      <c r="C206" s="23" t="s">
        <v>558</v>
      </c>
      <c r="D206" s="23">
        <v>1290000</v>
      </c>
      <c r="E206" s="23" t="s">
        <v>170</v>
      </c>
      <c r="F206" s="23" t="str">
        <f t="shared" si="6"/>
        <v>rtdc.l.rtdc.4029:itc</v>
      </c>
      <c r="G206" s="8">
        <f t="shared" si="7"/>
        <v>42642.809166666666</v>
      </c>
    </row>
    <row r="207" spans="1:7" x14ac:dyDescent="0.25">
      <c r="A207" s="8">
        <v>42642.81962962963</v>
      </c>
      <c r="B207" s="23" t="s">
        <v>280</v>
      </c>
      <c r="C207" s="23" t="s">
        <v>559</v>
      </c>
      <c r="D207" s="23">
        <v>1540000</v>
      </c>
      <c r="E207" s="23" t="s">
        <v>237</v>
      </c>
      <c r="F207" s="23" t="str">
        <f t="shared" si="6"/>
        <v>rtdc.l.rtdc.4013:itc</v>
      </c>
      <c r="G207" s="8">
        <f t="shared" si="7"/>
        <v>42642.81962962963</v>
      </c>
    </row>
    <row r="208" spans="1:7" x14ac:dyDescent="0.25">
      <c r="A208" s="8">
        <v>42642.823692129627</v>
      </c>
      <c r="B208" s="23" t="s">
        <v>168</v>
      </c>
      <c r="C208" s="23" t="s">
        <v>560</v>
      </c>
      <c r="D208" s="23">
        <v>1740000</v>
      </c>
      <c r="E208" s="23" t="s">
        <v>285</v>
      </c>
      <c r="F208" s="23" t="str">
        <f t="shared" si="6"/>
        <v>rtdc.l.rtdc.4025:itc</v>
      </c>
      <c r="G208" s="8">
        <f t="shared" si="7"/>
        <v>42642.823692129627</v>
      </c>
    </row>
    <row r="209" spans="1:7" x14ac:dyDescent="0.25">
      <c r="A209" s="8">
        <v>42642.825312499997</v>
      </c>
      <c r="B209" s="23" t="s">
        <v>173</v>
      </c>
      <c r="C209" s="23" t="s">
        <v>561</v>
      </c>
      <c r="D209" s="23">
        <v>1180000</v>
      </c>
      <c r="E209" s="23" t="s">
        <v>268</v>
      </c>
      <c r="F209" s="23" t="str">
        <f t="shared" si="6"/>
        <v>rtdc.l.rtdc.4041:itc</v>
      </c>
      <c r="G209" s="8">
        <f t="shared" si="7"/>
        <v>42642.825312499997</v>
      </c>
    </row>
    <row r="210" spans="1:7" x14ac:dyDescent="0.25">
      <c r="A210" s="8">
        <v>42642.83016203704</v>
      </c>
      <c r="B210" s="23" t="s">
        <v>177</v>
      </c>
      <c r="C210" s="23" t="s">
        <v>562</v>
      </c>
      <c r="D210" s="23">
        <v>1300000</v>
      </c>
      <c r="E210" s="23" t="s">
        <v>121</v>
      </c>
      <c r="F210" s="23" t="str">
        <f t="shared" si="6"/>
        <v>rtdc.l.rtdc.4046:itc</v>
      </c>
      <c r="G210" s="8">
        <f t="shared" si="7"/>
        <v>42642.83016203704</v>
      </c>
    </row>
    <row r="211" spans="1:7" x14ac:dyDescent="0.25">
      <c r="A211" s="8">
        <v>42642.844236111108</v>
      </c>
      <c r="B211" s="23" t="s">
        <v>309</v>
      </c>
      <c r="C211" s="23" t="s">
        <v>563</v>
      </c>
      <c r="D211" s="23">
        <v>1480000</v>
      </c>
      <c r="E211" s="23" t="s">
        <v>316</v>
      </c>
      <c r="F211" s="23" t="str">
        <f t="shared" si="6"/>
        <v>rtdc.l.rtdc.4040:itc</v>
      </c>
      <c r="G211" s="8">
        <f t="shared" si="7"/>
        <v>42642.844236111108</v>
      </c>
    </row>
    <row r="212" spans="1:7" x14ac:dyDescent="0.25">
      <c r="A212" s="8">
        <v>42642.845034722224</v>
      </c>
      <c r="B212" s="23" t="s">
        <v>236</v>
      </c>
      <c r="C212" s="23" t="s">
        <v>564</v>
      </c>
      <c r="D212" s="23">
        <v>1540000</v>
      </c>
      <c r="E212" s="23" t="s">
        <v>237</v>
      </c>
      <c r="F212" s="23" t="str">
        <f t="shared" si="6"/>
        <v>rtdc.l.rtdc.4014:itc</v>
      </c>
      <c r="G212" s="8">
        <f t="shared" si="7"/>
        <v>42642.845034722224</v>
      </c>
    </row>
    <row r="213" spans="1:7" x14ac:dyDescent="0.25">
      <c r="A213" s="8">
        <v>42642.845196759263</v>
      </c>
      <c r="B213" s="23" t="s">
        <v>248</v>
      </c>
      <c r="C213" s="23" t="s">
        <v>565</v>
      </c>
      <c r="D213" s="23">
        <v>1290000</v>
      </c>
      <c r="E213" s="23" t="s">
        <v>170</v>
      </c>
      <c r="F213" s="23" t="str">
        <f t="shared" si="6"/>
        <v>rtdc.l.rtdc.4030:itc</v>
      </c>
      <c r="G213" s="8">
        <f t="shared" si="7"/>
        <v>42642.845196759263</v>
      </c>
    </row>
    <row r="214" spans="1:7" x14ac:dyDescent="0.25">
      <c r="A214" s="8">
        <v>42642.848981481482</v>
      </c>
      <c r="B214" s="23" t="s">
        <v>287</v>
      </c>
      <c r="C214" s="23" t="s">
        <v>532</v>
      </c>
      <c r="D214" s="23">
        <v>2230000</v>
      </c>
      <c r="E214" s="23" t="s">
        <v>533</v>
      </c>
      <c r="F214" s="23" t="str">
        <f t="shared" si="6"/>
        <v>rtdc.l.rtdc.4005:itc</v>
      </c>
      <c r="G214" s="8">
        <f t="shared" si="7"/>
        <v>42642.848981481482</v>
      </c>
    </row>
    <row r="215" spans="1:7" x14ac:dyDescent="0.25">
      <c r="A215" s="8">
        <v>42642.854548611111</v>
      </c>
      <c r="B215" s="23" t="s">
        <v>289</v>
      </c>
      <c r="C215" s="23" t="s">
        <v>532</v>
      </c>
      <c r="D215" s="23">
        <v>2230000</v>
      </c>
      <c r="E215" s="23" t="s">
        <v>533</v>
      </c>
      <c r="F215" s="23" t="str">
        <f t="shared" si="6"/>
        <v>rtdc.l.rtdc.4006:itc</v>
      </c>
      <c r="G215" s="8">
        <f t="shared" si="7"/>
        <v>42642.854548611111</v>
      </c>
    </row>
    <row r="216" spans="1:7" x14ac:dyDescent="0.25">
      <c r="A216" s="8">
        <v>42642.859768518516</v>
      </c>
      <c r="B216" s="23" t="s">
        <v>280</v>
      </c>
      <c r="C216" s="23" t="s">
        <v>564</v>
      </c>
      <c r="D216" s="23">
        <v>1540000</v>
      </c>
      <c r="E216" s="23" t="s">
        <v>237</v>
      </c>
      <c r="F216" s="23" t="str">
        <f t="shared" si="6"/>
        <v>rtdc.l.rtdc.4013:itc</v>
      </c>
      <c r="G216" s="8">
        <f t="shared" si="7"/>
        <v>42642.859768518516</v>
      </c>
    </row>
    <row r="217" spans="1:7" x14ac:dyDescent="0.25">
      <c r="A217" s="8">
        <v>42642.860474537039</v>
      </c>
      <c r="B217" s="23" t="s">
        <v>280</v>
      </c>
      <c r="C217" s="23" t="s">
        <v>566</v>
      </c>
      <c r="D217" s="23">
        <v>1540000</v>
      </c>
      <c r="E217" s="23" t="s">
        <v>237</v>
      </c>
      <c r="F217" s="23" t="str">
        <f t="shared" si="6"/>
        <v>rtdc.l.rtdc.4013:itc</v>
      </c>
      <c r="G217" s="8">
        <f t="shared" si="7"/>
        <v>42642.860474537039</v>
      </c>
    </row>
    <row r="218" spans="1:7" x14ac:dyDescent="0.25">
      <c r="A218" s="8">
        <v>42642.867361111108</v>
      </c>
      <c r="B218" s="23" t="s">
        <v>279</v>
      </c>
      <c r="C218" s="23" t="s">
        <v>567</v>
      </c>
      <c r="D218" s="23">
        <v>1300000</v>
      </c>
      <c r="E218" s="23" t="s">
        <v>121</v>
      </c>
      <c r="F218" s="23" t="str">
        <f t="shared" si="6"/>
        <v>rtdc.l.rtdc.4045:itc</v>
      </c>
      <c r="G218" s="8">
        <f t="shared" si="7"/>
        <v>42642.867361111108</v>
      </c>
    </row>
    <row r="219" spans="1:7" x14ac:dyDescent="0.25">
      <c r="A219" s="8">
        <v>42642.870104166665</v>
      </c>
      <c r="B219" s="23" t="s">
        <v>174</v>
      </c>
      <c r="C219" s="23" t="s">
        <v>568</v>
      </c>
      <c r="D219" s="23">
        <v>1180000</v>
      </c>
      <c r="E219" s="23" t="s">
        <v>268</v>
      </c>
      <c r="F219" s="23" t="str">
        <f t="shared" si="6"/>
        <v>rtdc.l.rtdc.4042:itc</v>
      </c>
      <c r="G219" s="8">
        <f t="shared" si="7"/>
        <v>42642.870104166665</v>
      </c>
    </row>
    <row r="220" spans="1:7" x14ac:dyDescent="0.25">
      <c r="A220" s="8">
        <v>42642.878275462965</v>
      </c>
      <c r="B220" s="23" t="s">
        <v>236</v>
      </c>
      <c r="C220" s="23" t="s">
        <v>569</v>
      </c>
      <c r="D220" s="23">
        <v>2270000</v>
      </c>
      <c r="E220" s="23" t="s">
        <v>501</v>
      </c>
      <c r="F220" s="23" t="str">
        <f t="shared" si="6"/>
        <v>rtdc.l.rtdc.4014:itc</v>
      </c>
      <c r="G220" s="8">
        <f t="shared" si="7"/>
        <v>42642.878275462965</v>
      </c>
    </row>
    <row r="221" spans="1:7" x14ac:dyDescent="0.25">
      <c r="A221" s="8">
        <v>42642.887986111113</v>
      </c>
      <c r="B221" s="23" t="s">
        <v>314</v>
      </c>
      <c r="C221" s="23" t="s">
        <v>570</v>
      </c>
      <c r="D221" s="23">
        <v>1480000</v>
      </c>
      <c r="E221" s="23" t="s">
        <v>316</v>
      </c>
      <c r="F221" s="23" t="str">
        <f t="shared" si="6"/>
        <v>rtdc.l.rtdc.4039:itc</v>
      </c>
      <c r="G221" s="8">
        <f t="shared" si="7"/>
        <v>42642.887986111113</v>
      </c>
    </row>
    <row r="222" spans="1:7" x14ac:dyDescent="0.25">
      <c r="A222" s="8">
        <v>42642.891828703701</v>
      </c>
      <c r="B222" s="23" t="s">
        <v>247</v>
      </c>
      <c r="C222" s="23" t="s">
        <v>571</v>
      </c>
      <c r="D222" s="23">
        <v>1290000</v>
      </c>
      <c r="E222" s="23" t="s">
        <v>170</v>
      </c>
      <c r="F222" s="23" t="str">
        <f t="shared" si="6"/>
        <v>rtdc.l.rtdc.4029:itc</v>
      </c>
      <c r="G222" s="8">
        <f t="shared" si="7"/>
        <v>42642.891828703701</v>
      </c>
    </row>
    <row r="223" spans="1:7" x14ac:dyDescent="0.25">
      <c r="A223" s="8">
        <v>42642.901238425926</v>
      </c>
      <c r="B223" s="23" t="s">
        <v>280</v>
      </c>
      <c r="C223" s="23" t="s">
        <v>572</v>
      </c>
      <c r="D223" s="23">
        <v>2270000</v>
      </c>
      <c r="E223" s="23" t="s">
        <v>501</v>
      </c>
      <c r="F223" s="23" t="str">
        <f t="shared" si="6"/>
        <v>rtdc.l.rtdc.4013:itc</v>
      </c>
      <c r="G223" s="8">
        <f t="shared" si="7"/>
        <v>42642.901238425926</v>
      </c>
    </row>
    <row r="224" spans="1:7" x14ac:dyDescent="0.25">
      <c r="A224" s="8">
        <v>42642.911979166667</v>
      </c>
      <c r="B224" t="s">
        <v>173</v>
      </c>
      <c r="C224" t="s">
        <v>573</v>
      </c>
      <c r="D224">
        <v>1180000</v>
      </c>
      <c r="E224" t="s">
        <v>268</v>
      </c>
      <c r="F224" s="23" t="str">
        <f t="shared" si="6"/>
        <v>rtdc.l.rtdc.4041:itc</v>
      </c>
      <c r="G224" s="8">
        <f t="shared" si="7"/>
        <v>42642.911979166667</v>
      </c>
    </row>
    <row r="225" spans="1:7" x14ac:dyDescent="0.25">
      <c r="A225" s="8">
        <v>42642.915381944447</v>
      </c>
      <c r="B225" t="s">
        <v>177</v>
      </c>
      <c r="C225" t="s">
        <v>574</v>
      </c>
      <c r="D225">
        <v>1300000</v>
      </c>
      <c r="E225" t="s">
        <v>121</v>
      </c>
      <c r="F225" s="23" t="str">
        <f t="shared" si="6"/>
        <v>rtdc.l.rtdc.4046:itc</v>
      </c>
      <c r="G225" s="8">
        <f t="shared" si="7"/>
        <v>42642.915381944447</v>
      </c>
    </row>
    <row r="226" spans="1:7" x14ac:dyDescent="0.25">
      <c r="A226" s="8">
        <v>42642.923298611109</v>
      </c>
      <c r="B226" t="s">
        <v>236</v>
      </c>
      <c r="C226" t="s">
        <v>575</v>
      </c>
      <c r="D226">
        <v>2270000</v>
      </c>
      <c r="E226" t="s">
        <v>501</v>
      </c>
      <c r="F226" s="23" t="str">
        <f t="shared" si="6"/>
        <v>rtdc.l.rtdc.4014:itc</v>
      </c>
      <c r="G226" s="8">
        <f t="shared" si="7"/>
        <v>42642.923298611109</v>
      </c>
    </row>
    <row r="227" spans="1:7" x14ac:dyDescent="0.25">
      <c r="A227" s="8">
        <v>42642.923668981479</v>
      </c>
      <c r="B227" t="s">
        <v>287</v>
      </c>
      <c r="C227" t="s">
        <v>532</v>
      </c>
      <c r="D227">
        <v>2230000</v>
      </c>
      <c r="E227" t="s">
        <v>533</v>
      </c>
      <c r="F227" s="23" t="str">
        <f t="shared" si="6"/>
        <v>rtdc.l.rtdc.4005:itc</v>
      </c>
      <c r="G227" s="8">
        <f t="shared" si="7"/>
        <v>42642.923668981479</v>
      </c>
    </row>
    <row r="228" spans="1:7" x14ac:dyDescent="0.25">
      <c r="A228" s="8">
        <v>42642.924513888887</v>
      </c>
      <c r="B228" t="s">
        <v>287</v>
      </c>
      <c r="C228" t="s">
        <v>532</v>
      </c>
      <c r="D228">
        <v>2230000</v>
      </c>
      <c r="E228" t="s">
        <v>533</v>
      </c>
      <c r="F228" s="23" t="str">
        <f t="shared" si="6"/>
        <v>rtdc.l.rtdc.4005:itc</v>
      </c>
      <c r="G228" s="8">
        <f t="shared" si="7"/>
        <v>42642.924513888887</v>
      </c>
    </row>
    <row r="229" spans="1:7" x14ac:dyDescent="0.25">
      <c r="A229" s="8">
        <v>42642.927256944444</v>
      </c>
      <c r="B229" t="s">
        <v>309</v>
      </c>
      <c r="C229" t="s">
        <v>576</v>
      </c>
      <c r="D229">
        <v>1480000</v>
      </c>
      <c r="E229" t="s">
        <v>316</v>
      </c>
      <c r="F229" s="23" t="str">
        <f t="shared" si="6"/>
        <v>rtdc.l.rtdc.4040:itc</v>
      </c>
      <c r="G229" s="8">
        <f t="shared" si="7"/>
        <v>42642.927256944444</v>
      </c>
    </row>
    <row r="230" spans="1:7" x14ac:dyDescent="0.25">
      <c r="A230" s="8">
        <v>42642.927291666667</v>
      </c>
      <c r="B230" t="s">
        <v>287</v>
      </c>
      <c r="C230" t="s">
        <v>532</v>
      </c>
      <c r="D230">
        <v>2230000</v>
      </c>
      <c r="E230" t="s">
        <v>533</v>
      </c>
      <c r="F230" s="23" t="str">
        <f t="shared" si="6"/>
        <v>rtdc.l.rtdc.4005:itc</v>
      </c>
      <c r="G230" s="8">
        <f t="shared" si="7"/>
        <v>42642.927291666667</v>
      </c>
    </row>
    <row r="231" spans="1:7" x14ac:dyDescent="0.25">
      <c r="A231" s="8">
        <v>42642.928113425929</v>
      </c>
      <c r="B231" t="s">
        <v>287</v>
      </c>
      <c r="C231" t="s">
        <v>532</v>
      </c>
      <c r="D231">
        <v>2230000</v>
      </c>
      <c r="E231" t="s">
        <v>533</v>
      </c>
      <c r="F231" s="23" t="str">
        <f t="shared" si="6"/>
        <v>rtdc.l.rtdc.4005:itc</v>
      </c>
      <c r="G231" s="8">
        <f t="shared" si="7"/>
        <v>42642.928113425929</v>
      </c>
    </row>
    <row r="232" spans="1:7" x14ac:dyDescent="0.25">
      <c r="A232" s="8">
        <v>42642.929502314815</v>
      </c>
      <c r="B232" t="s">
        <v>287</v>
      </c>
      <c r="C232" t="s">
        <v>532</v>
      </c>
      <c r="D232">
        <v>2230000</v>
      </c>
      <c r="E232" t="s">
        <v>533</v>
      </c>
      <c r="F232" s="23" t="str">
        <f t="shared" si="6"/>
        <v>rtdc.l.rtdc.4005:itc</v>
      </c>
      <c r="G232" s="8">
        <f t="shared" si="7"/>
        <v>42642.929502314815</v>
      </c>
    </row>
    <row r="233" spans="1:7" x14ac:dyDescent="0.25">
      <c r="A233" s="8">
        <v>42642.93072916667</v>
      </c>
      <c r="B233" t="s">
        <v>248</v>
      </c>
      <c r="C233" t="s">
        <v>577</v>
      </c>
      <c r="D233">
        <v>1290000</v>
      </c>
      <c r="E233" t="s">
        <v>170</v>
      </c>
      <c r="F233" s="23" t="str">
        <f t="shared" si="6"/>
        <v>rtdc.l.rtdc.4030:itc</v>
      </c>
      <c r="G233" s="8">
        <f t="shared" si="7"/>
        <v>42642.93072916667</v>
      </c>
    </row>
    <row r="234" spans="1:7" x14ac:dyDescent="0.25">
      <c r="A234" s="8">
        <v>42642.930752314816</v>
      </c>
      <c r="B234" t="s">
        <v>287</v>
      </c>
      <c r="C234" t="s">
        <v>532</v>
      </c>
      <c r="D234">
        <v>2230000</v>
      </c>
      <c r="E234" t="s">
        <v>533</v>
      </c>
      <c r="F234" s="23" t="str">
        <f t="shared" si="6"/>
        <v>rtdc.l.rtdc.4005:itc</v>
      </c>
      <c r="G234" s="8">
        <f t="shared" si="7"/>
        <v>42642.930752314816</v>
      </c>
    </row>
    <row r="235" spans="1:7" x14ac:dyDescent="0.25">
      <c r="A235" s="8">
        <v>42642.942650462966</v>
      </c>
      <c r="B235" t="s">
        <v>280</v>
      </c>
      <c r="C235" t="s">
        <v>578</v>
      </c>
      <c r="D235">
        <v>2270000</v>
      </c>
      <c r="E235" t="s">
        <v>501</v>
      </c>
      <c r="F235" s="23" t="str">
        <f t="shared" si="6"/>
        <v>rtdc.l.rtdc.4013:itc</v>
      </c>
      <c r="G235" s="8">
        <f t="shared" si="7"/>
        <v>42642.942650462966</v>
      </c>
    </row>
    <row r="236" spans="1:7" x14ac:dyDescent="0.25">
      <c r="A236" s="8">
        <v>42642.950833333336</v>
      </c>
      <c r="B236" t="s">
        <v>236</v>
      </c>
      <c r="C236" t="s">
        <v>578</v>
      </c>
      <c r="D236">
        <v>2270000</v>
      </c>
      <c r="E236" t="s">
        <v>501</v>
      </c>
      <c r="F236" s="23" t="str">
        <f t="shared" ref="F236:F265" si="8">B236</f>
        <v>rtdc.l.rtdc.4014:itc</v>
      </c>
      <c r="G236" s="8">
        <f t="shared" ref="G236:G265" si="9">A236</f>
        <v>42642.950833333336</v>
      </c>
    </row>
    <row r="237" spans="1:7" x14ac:dyDescent="0.25">
      <c r="A237" s="8">
        <v>42642.95171296296</v>
      </c>
      <c r="B237" t="s">
        <v>174</v>
      </c>
      <c r="C237" t="s">
        <v>579</v>
      </c>
      <c r="D237">
        <v>1180000</v>
      </c>
      <c r="E237" t="s">
        <v>268</v>
      </c>
      <c r="F237" s="23" t="str">
        <f t="shared" si="8"/>
        <v>rtdc.l.rtdc.4042:itc</v>
      </c>
      <c r="G237" s="8">
        <f t="shared" si="9"/>
        <v>42642.95171296296</v>
      </c>
    </row>
    <row r="238" spans="1:7" x14ac:dyDescent="0.25">
      <c r="A238" s="8">
        <v>42642.953553240739</v>
      </c>
      <c r="B238" t="s">
        <v>279</v>
      </c>
      <c r="C238" t="s">
        <v>580</v>
      </c>
      <c r="D238">
        <v>1300000</v>
      </c>
      <c r="E238" t="s">
        <v>121</v>
      </c>
      <c r="F238" s="23" t="str">
        <f t="shared" si="8"/>
        <v>rtdc.l.rtdc.4045:itc</v>
      </c>
      <c r="G238" s="8">
        <f t="shared" si="9"/>
        <v>42642.953553240739</v>
      </c>
    </row>
    <row r="239" spans="1:7" x14ac:dyDescent="0.25">
      <c r="A239" s="8">
        <v>42642.971134259256</v>
      </c>
      <c r="B239" t="s">
        <v>314</v>
      </c>
      <c r="C239" t="s">
        <v>581</v>
      </c>
      <c r="D239">
        <v>1480000</v>
      </c>
      <c r="E239" t="s">
        <v>316</v>
      </c>
      <c r="F239" s="23" t="str">
        <f t="shared" si="8"/>
        <v>rtdc.l.rtdc.4039:itc</v>
      </c>
      <c r="G239" s="8">
        <f t="shared" si="9"/>
        <v>42642.971134259256</v>
      </c>
    </row>
    <row r="240" spans="1:7" x14ac:dyDescent="0.25">
      <c r="A240" s="8">
        <v>42642.975648148145</v>
      </c>
      <c r="B240" t="s">
        <v>247</v>
      </c>
      <c r="C240" t="s">
        <v>582</v>
      </c>
      <c r="D240">
        <v>1290000</v>
      </c>
      <c r="E240" t="s">
        <v>170</v>
      </c>
      <c r="F240" s="23" t="str">
        <f t="shared" si="8"/>
        <v>rtdc.l.rtdc.4029:itc</v>
      </c>
      <c r="G240" s="8">
        <f t="shared" si="9"/>
        <v>42642.975648148145</v>
      </c>
    </row>
    <row r="241" spans="1:7" x14ac:dyDescent="0.25">
      <c r="A241" s="8">
        <v>42642.992858796293</v>
      </c>
      <c r="B241" t="s">
        <v>173</v>
      </c>
      <c r="C241" t="s">
        <v>583</v>
      </c>
      <c r="D241">
        <v>1180000</v>
      </c>
      <c r="E241" t="s">
        <v>268</v>
      </c>
      <c r="F241" s="23" t="str">
        <f t="shared" si="8"/>
        <v>rtdc.l.rtdc.4041:itc</v>
      </c>
      <c r="G241" s="8">
        <f t="shared" si="9"/>
        <v>42642.992858796293</v>
      </c>
    </row>
    <row r="242" spans="1:7" x14ac:dyDescent="0.25">
      <c r="A242" s="8">
        <v>42642.996967592589</v>
      </c>
      <c r="B242" t="s">
        <v>289</v>
      </c>
      <c r="C242" t="s">
        <v>532</v>
      </c>
      <c r="D242">
        <v>2230000</v>
      </c>
      <c r="E242" t="s">
        <v>533</v>
      </c>
      <c r="F242" s="23" t="str">
        <f t="shared" si="8"/>
        <v>rtdc.l.rtdc.4006:itc</v>
      </c>
      <c r="G242" s="8">
        <f t="shared" si="9"/>
        <v>42642.996967592589</v>
      </c>
    </row>
    <row r="243" spans="1:7" x14ac:dyDescent="0.25">
      <c r="A243" s="8">
        <v>42642.998067129629</v>
      </c>
      <c r="B243" t="s">
        <v>177</v>
      </c>
      <c r="C243" t="s">
        <v>584</v>
      </c>
      <c r="D243">
        <v>1300000</v>
      </c>
      <c r="E243" t="s">
        <v>121</v>
      </c>
      <c r="F243" s="23" t="str">
        <f t="shared" si="8"/>
        <v>rtdc.l.rtdc.4046:itc</v>
      </c>
      <c r="G243" s="8">
        <f t="shared" si="9"/>
        <v>42642.998067129629</v>
      </c>
    </row>
    <row r="244" spans="1:7" x14ac:dyDescent="0.25">
      <c r="A244" s="8">
        <v>42643.008726851855</v>
      </c>
      <c r="B244" t="s">
        <v>173</v>
      </c>
      <c r="C244" t="s">
        <v>583</v>
      </c>
      <c r="D244">
        <v>1180000</v>
      </c>
      <c r="E244" t="s">
        <v>268</v>
      </c>
      <c r="F244" s="23" t="str">
        <f t="shared" si="8"/>
        <v>rtdc.l.rtdc.4041:itc</v>
      </c>
      <c r="G244" s="8">
        <f t="shared" si="9"/>
        <v>42643.008726851855</v>
      </c>
    </row>
    <row r="245" spans="1:7" x14ac:dyDescent="0.25">
      <c r="A245" s="8">
        <v>42643.012881944444</v>
      </c>
      <c r="B245" t="s">
        <v>309</v>
      </c>
      <c r="C245" t="s">
        <v>585</v>
      </c>
      <c r="D245">
        <v>1480000</v>
      </c>
      <c r="E245" t="s">
        <v>316</v>
      </c>
      <c r="F245" s="23" t="str">
        <f t="shared" si="8"/>
        <v>rtdc.l.rtdc.4040:itc</v>
      </c>
      <c r="G245" s="8">
        <f t="shared" si="9"/>
        <v>42643.012881944444</v>
      </c>
    </row>
    <row r="246" spans="1:7" x14ac:dyDescent="0.25">
      <c r="A246" s="8">
        <v>42643.014247685183</v>
      </c>
      <c r="B246" t="s">
        <v>248</v>
      </c>
      <c r="C246" t="s">
        <v>586</v>
      </c>
      <c r="D246">
        <v>1290000</v>
      </c>
      <c r="E246" t="s">
        <v>170</v>
      </c>
      <c r="F246" s="23" t="str">
        <f t="shared" si="8"/>
        <v>rtdc.l.rtdc.4030:itc</v>
      </c>
      <c r="G246" s="8">
        <f t="shared" si="9"/>
        <v>42643.014247685183</v>
      </c>
    </row>
    <row r="247" spans="1:7" x14ac:dyDescent="0.25">
      <c r="A247" s="8">
        <v>42643.031539351854</v>
      </c>
      <c r="B247" t="s">
        <v>174</v>
      </c>
      <c r="C247" t="s">
        <v>587</v>
      </c>
      <c r="D247">
        <v>1180000</v>
      </c>
      <c r="E247" t="s">
        <v>268</v>
      </c>
      <c r="F247" s="23" t="str">
        <f t="shared" si="8"/>
        <v>rtdc.l.rtdc.4042:itc</v>
      </c>
      <c r="G247" s="8">
        <f t="shared" si="9"/>
        <v>42643.031539351854</v>
      </c>
    </row>
    <row r="248" spans="1:7" x14ac:dyDescent="0.25">
      <c r="A248" s="8">
        <v>42643.034259259257</v>
      </c>
      <c r="B248" t="s">
        <v>279</v>
      </c>
      <c r="C248" t="s">
        <v>588</v>
      </c>
      <c r="D248">
        <v>1300000</v>
      </c>
      <c r="E248" t="s">
        <v>121</v>
      </c>
      <c r="F248" s="23" t="str">
        <f t="shared" si="8"/>
        <v>rtdc.l.rtdc.4045:itc</v>
      </c>
      <c r="G248" s="8">
        <f t="shared" si="9"/>
        <v>42643.034259259257</v>
      </c>
    </row>
    <row r="249" spans="1:7" x14ac:dyDescent="0.25">
      <c r="A249" s="8">
        <v>42643.046157407407</v>
      </c>
      <c r="B249" t="s">
        <v>247</v>
      </c>
      <c r="C249" t="s">
        <v>589</v>
      </c>
      <c r="D249">
        <v>1290000</v>
      </c>
      <c r="E249" t="s">
        <v>170</v>
      </c>
      <c r="F249" s="23" t="str">
        <f t="shared" si="8"/>
        <v>rtdc.l.rtdc.4029:itc</v>
      </c>
      <c r="G249" s="8">
        <f t="shared" si="9"/>
        <v>42643.046157407407</v>
      </c>
    </row>
    <row r="250" spans="1:7" x14ac:dyDescent="0.25">
      <c r="A250" s="8">
        <v>42643.051041666666</v>
      </c>
      <c r="B250" t="s">
        <v>314</v>
      </c>
      <c r="C250" t="s">
        <v>590</v>
      </c>
      <c r="D250">
        <v>1480000</v>
      </c>
      <c r="E250" t="s">
        <v>316</v>
      </c>
      <c r="F250" s="23" t="str">
        <f t="shared" si="8"/>
        <v>rtdc.l.rtdc.4039:itc</v>
      </c>
      <c r="G250" s="8">
        <f t="shared" si="9"/>
        <v>42643.051041666666</v>
      </c>
    </row>
    <row r="251" spans="1:7" x14ac:dyDescent="0.25">
      <c r="A251" s="8">
        <v>42643.066979166666</v>
      </c>
      <c r="B251" t="s">
        <v>177</v>
      </c>
      <c r="C251" t="s">
        <v>591</v>
      </c>
      <c r="D251">
        <v>1300000</v>
      </c>
      <c r="E251" t="s">
        <v>121</v>
      </c>
      <c r="F251" s="23" t="str">
        <f t="shared" si="8"/>
        <v>rtdc.l.rtdc.4046:itc</v>
      </c>
      <c r="G251" s="8">
        <f t="shared" si="9"/>
        <v>42643.066979166666</v>
      </c>
    </row>
    <row r="252" spans="1:7" x14ac:dyDescent="0.25">
      <c r="F252" s="23">
        <f t="shared" si="8"/>
        <v>0</v>
      </c>
      <c r="G252" s="8">
        <f t="shared" si="9"/>
        <v>0</v>
      </c>
    </row>
    <row r="253" spans="1:7" x14ac:dyDescent="0.25">
      <c r="A253" s="8">
        <v>42621.049062500002</v>
      </c>
      <c r="B253" t="s">
        <v>168</v>
      </c>
      <c r="C253" t="s">
        <v>178</v>
      </c>
      <c r="D253">
        <v>2000000</v>
      </c>
      <c r="E253" t="s">
        <v>122</v>
      </c>
      <c r="F253" s="23" t="str">
        <f t="shared" si="8"/>
        <v>rtdc.l.rtdc.4025:itc</v>
      </c>
      <c r="G253" s="8">
        <f t="shared" si="9"/>
        <v>42621.049062500002</v>
      </c>
    </row>
    <row r="254" spans="1:7" x14ac:dyDescent="0.25">
      <c r="A254" s="8">
        <v>42621.055185185185</v>
      </c>
      <c r="B254" t="s">
        <v>173</v>
      </c>
      <c r="C254" t="s">
        <v>180</v>
      </c>
      <c r="D254">
        <v>1290000</v>
      </c>
      <c r="E254" t="s">
        <v>170</v>
      </c>
      <c r="F254" s="23" t="str">
        <f t="shared" si="8"/>
        <v>rtdc.l.rtdc.4041:itc</v>
      </c>
      <c r="G254" s="8">
        <f t="shared" si="9"/>
        <v>42621.055185185185</v>
      </c>
    </row>
    <row r="255" spans="1:7" x14ac:dyDescent="0.25">
      <c r="A255" s="8">
        <v>42621.056435185186</v>
      </c>
      <c r="B255" t="s">
        <v>172</v>
      </c>
      <c r="C255" t="s">
        <v>181</v>
      </c>
      <c r="D255">
        <v>630000</v>
      </c>
      <c r="E255" t="b">
        <v>1</v>
      </c>
      <c r="F255" s="23" t="str">
        <f t="shared" si="8"/>
        <v>rtdc.l.rtdc.4052:itc</v>
      </c>
      <c r="G255" s="8">
        <f t="shared" si="9"/>
        <v>42621.056435185186</v>
      </c>
    </row>
    <row r="256" spans="1:7" x14ac:dyDescent="0.25">
      <c r="A256" s="8">
        <v>42621.076898148145</v>
      </c>
      <c r="B256" t="s">
        <v>171</v>
      </c>
      <c r="C256" t="s">
        <v>179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42621.076898148145</v>
      </c>
    </row>
    <row r="257" spans="1:7" x14ac:dyDescent="0.25">
      <c r="A257" s="8">
        <v>42621.091458333336</v>
      </c>
      <c r="B257" t="s">
        <v>177</v>
      </c>
      <c r="C257" t="s">
        <v>182</v>
      </c>
      <c r="D257">
        <v>1290000</v>
      </c>
      <c r="E257" t="s">
        <v>170</v>
      </c>
      <c r="F257" s="23" t="str">
        <f t="shared" si="8"/>
        <v>rtdc.l.rtdc.4046:itc</v>
      </c>
      <c r="G257" s="8">
        <f t="shared" si="9"/>
        <v>42621.091458333336</v>
      </c>
    </row>
    <row r="258" spans="1:7" x14ac:dyDescent="0.25">
      <c r="A258" s="8">
        <v>42621.100474537037</v>
      </c>
      <c r="B258" t="s">
        <v>172</v>
      </c>
      <c r="C258" t="s">
        <v>181</v>
      </c>
      <c r="D258">
        <v>630000</v>
      </c>
      <c r="E258" t="b">
        <v>1</v>
      </c>
      <c r="F258" s="23" t="str">
        <f t="shared" si="8"/>
        <v>rtdc.l.rtdc.4052:itc</v>
      </c>
      <c r="G258" s="8">
        <f t="shared" si="9"/>
        <v>42621.100474537037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activeCell="G32" sqref="G32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190</v>
      </c>
      <c r="B1" s="151" t="s">
        <v>193</v>
      </c>
      <c r="C1" s="151" t="s">
        <v>186</v>
      </c>
      <c r="D1" s="151" t="s">
        <v>217</v>
      </c>
      <c r="E1" s="151" t="s">
        <v>187</v>
      </c>
      <c r="F1" s="151" t="s">
        <v>185</v>
      </c>
      <c r="G1" s="151" t="s">
        <v>183</v>
      </c>
      <c r="H1" s="151" t="s">
        <v>196</v>
      </c>
      <c r="I1" s="151" t="s">
        <v>197</v>
      </c>
      <c r="J1" s="151" t="s">
        <v>191</v>
      </c>
      <c r="K1" s="151" t="s">
        <v>189</v>
      </c>
      <c r="L1" s="151" t="s">
        <v>184</v>
      </c>
      <c r="M1" s="151" t="s">
        <v>194</v>
      </c>
      <c r="N1" s="151" t="s">
        <v>188</v>
      </c>
      <c r="O1" s="151" t="s">
        <v>195</v>
      </c>
      <c r="P1" s="151" t="s">
        <v>192</v>
      </c>
      <c r="Q1" s="151" t="s">
        <v>192</v>
      </c>
    </row>
    <row r="2" spans="1:17" x14ac:dyDescent="0.25">
      <c r="A2" s="150">
        <v>58.39</v>
      </c>
      <c r="B2" s="150">
        <v>0.21</v>
      </c>
      <c r="C2" s="150">
        <v>37.6</v>
      </c>
      <c r="D2" s="165">
        <v>42642</v>
      </c>
      <c r="E2" s="150">
        <v>0.46</v>
      </c>
      <c r="F2" s="150" t="s">
        <v>252</v>
      </c>
      <c r="G2" s="150">
        <v>278.39999999999998</v>
      </c>
      <c r="H2" s="150">
        <v>0</v>
      </c>
      <c r="I2" s="150">
        <v>0</v>
      </c>
      <c r="J2" s="150">
        <v>1023.94</v>
      </c>
      <c r="K2" s="150" t="s">
        <v>253</v>
      </c>
      <c r="L2" s="150">
        <v>58.39</v>
      </c>
      <c r="M2" s="150">
        <v>1475128800</v>
      </c>
      <c r="N2" s="150">
        <v>9.18</v>
      </c>
      <c r="O2" s="150">
        <v>224</v>
      </c>
      <c r="P2" s="150">
        <v>1.4</v>
      </c>
      <c r="Q2" s="150">
        <v>2.77</v>
      </c>
    </row>
    <row r="3" spans="1:17" x14ac:dyDescent="0.25">
      <c r="A3" s="150">
        <v>55.19</v>
      </c>
      <c r="B3" s="150">
        <v>0.28000000000000003</v>
      </c>
      <c r="C3" s="150">
        <v>36.1</v>
      </c>
      <c r="D3" s="165">
        <v>42642.041666666664</v>
      </c>
      <c r="E3" s="150">
        <v>0.48</v>
      </c>
      <c r="F3" s="150" t="s">
        <v>592</v>
      </c>
      <c r="G3" s="150">
        <v>279.3</v>
      </c>
      <c r="H3" s="150">
        <v>0</v>
      </c>
      <c r="I3" s="150">
        <v>0</v>
      </c>
      <c r="J3" s="150">
        <v>1024.28</v>
      </c>
      <c r="K3" s="150" t="s">
        <v>308</v>
      </c>
      <c r="L3" s="150">
        <v>55.19</v>
      </c>
      <c r="M3" s="150">
        <v>1475132400</v>
      </c>
      <c r="N3" s="150">
        <v>9.26</v>
      </c>
      <c r="O3" s="150">
        <v>184</v>
      </c>
      <c r="P3" s="150">
        <v>1.82</v>
      </c>
      <c r="Q3" s="150">
        <v>2.39</v>
      </c>
    </row>
    <row r="4" spans="1:17" x14ac:dyDescent="0.25">
      <c r="A4" s="150">
        <v>53.36</v>
      </c>
      <c r="B4" s="150">
        <v>0.3</v>
      </c>
      <c r="C4" s="150">
        <v>35.54</v>
      </c>
      <c r="D4" s="165">
        <v>42642.083333333336</v>
      </c>
      <c r="E4" s="150">
        <v>0.51</v>
      </c>
      <c r="F4" s="150" t="s">
        <v>592</v>
      </c>
      <c r="G4" s="150">
        <v>280.2</v>
      </c>
      <c r="H4" s="150">
        <v>0</v>
      </c>
      <c r="I4" s="150">
        <v>0</v>
      </c>
      <c r="J4" s="150">
        <v>1024.5899999999999</v>
      </c>
      <c r="K4" s="150" t="s">
        <v>308</v>
      </c>
      <c r="L4" s="150">
        <v>53.36</v>
      </c>
      <c r="M4" s="150">
        <v>1475136000</v>
      </c>
      <c r="N4" s="150">
        <v>9.2899999999999991</v>
      </c>
      <c r="O4" s="150">
        <v>199</v>
      </c>
      <c r="P4" s="150">
        <v>2.56</v>
      </c>
      <c r="Q4" s="150">
        <v>0.41</v>
      </c>
    </row>
    <row r="5" spans="1:17" x14ac:dyDescent="0.25">
      <c r="A5" s="150">
        <v>51.52</v>
      </c>
      <c r="B5" s="150">
        <v>0.3</v>
      </c>
      <c r="C5" s="150">
        <v>34.99</v>
      </c>
      <c r="D5" s="165">
        <v>42642.125</v>
      </c>
      <c r="E5" s="150">
        <v>0.53</v>
      </c>
      <c r="F5" s="150" t="s">
        <v>592</v>
      </c>
      <c r="G5" s="150">
        <v>281.10000000000002</v>
      </c>
      <c r="H5" s="150">
        <v>0</v>
      </c>
      <c r="I5" s="150">
        <v>0</v>
      </c>
      <c r="J5" s="150">
        <v>1024.8900000000001</v>
      </c>
      <c r="K5" s="150" t="s">
        <v>308</v>
      </c>
      <c r="L5" s="150">
        <v>51.52</v>
      </c>
      <c r="M5" s="150">
        <v>1475139600</v>
      </c>
      <c r="N5" s="150">
        <v>9.19</v>
      </c>
      <c r="O5" s="150">
        <v>197</v>
      </c>
      <c r="P5" s="150">
        <v>2.09</v>
      </c>
      <c r="Q5" s="150">
        <v>1.75</v>
      </c>
    </row>
    <row r="6" spans="1:17" x14ac:dyDescent="0.25">
      <c r="A6" s="150">
        <v>50.02</v>
      </c>
      <c r="B6" s="150">
        <v>0.31</v>
      </c>
      <c r="C6" s="150">
        <v>34.22</v>
      </c>
      <c r="D6" s="165">
        <v>42642.166666666664</v>
      </c>
      <c r="E6" s="150">
        <v>0.54</v>
      </c>
      <c r="F6" s="150" t="s">
        <v>592</v>
      </c>
      <c r="G6" s="150">
        <v>281.08999999999997</v>
      </c>
      <c r="H6" s="150">
        <v>0</v>
      </c>
      <c r="I6" s="150">
        <v>0</v>
      </c>
      <c r="J6" s="150">
        <v>1024.82</v>
      </c>
      <c r="K6" s="150" t="s">
        <v>308</v>
      </c>
      <c r="L6" s="150">
        <v>50.02</v>
      </c>
      <c r="M6" s="150">
        <v>1475143200</v>
      </c>
      <c r="N6" s="150">
        <v>9.2100000000000009</v>
      </c>
      <c r="O6" s="150">
        <v>195</v>
      </c>
      <c r="P6" s="150">
        <v>2.23</v>
      </c>
      <c r="Q6" s="150">
        <v>2.42</v>
      </c>
    </row>
    <row r="7" spans="1:17" x14ac:dyDescent="0.25">
      <c r="A7" s="150">
        <v>49.54</v>
      </c>
      <c r="B7" s="150">
        <v>0.3</v>
      </c>
      <c r="C7" s="150">
        <v>34.22</v>
      </c>
      <c r="D7" s="165">
        <v>42642.208333333336</v>
      </c>
      <c r="E7" s="150">
        <v>0.55000000000000004</v>
      </c>
      <c r="F7" s="150" t="s">
        <v>592</v>
      </c>
      <c r="G7" s="150">
        <v>280.69</v>
      </c>
      <c r="H7" s="150">
        <v>0</v>
      </c>
      <c r="I7" s="150">
        <v>0</v>
      </c>
      <c r="J7" s="150">
        <v>1024.53</v>
      </c>
      <c r="K7" s="150" t="s">
        <v>308</v>
      </c>
      <c r="L7" s="150">
        <v>49.54</v>
      </c>
      <c r="M7" s="150">
        <v>1475146800</v>
      </c>
      <c r="N7" s="150">
        <v>9.31</v>
      </c>
      <c r="O7" s="150">
        <v>221</v>
      </c>
      <c r="P7" s="150">
        <v>2.35</v>
      </c>
      <c r="Q7" s="150">
        <v>1.79</v>
      </c>
    </row>
    <row r="8" spans="1:17" x14ac:dyDescent="0.25">
      <c r="A8" s="150">
        <v>47.97</v>
      </c>
      <c r="B8" s="150">
        <v>0.28999999999999998</v>
      </c>
      <c r="C8" s="150">
        <v>33.619999999999997</v>
      </c>
      <c r="D8" s="165">
        <v>42642.25</v>
      </c>
      <c r="E8" s="150">
        <v>0.56999999999999995</v>
      </c>
      <c r="F8" s="150" t="s">
        <v>592</v>
      </c>
      <c r="G8" s="150">
        <v>280.35000000000002</v>
      </c>
      <c r="H8" s="150">
        <v>0</v>
      </c>
      <c r="I8" s="150">
        <v>0</v>
      </c>
      <c r="J8" s="150">
        <v>1024.24</v>
      </c>
      <c r="K8" s="150" t="s">
        <v>308</v>
      </c>
      <c r="L8" s="150">
        <v>47.97</v>
      </c>
      <c r="M8" s="150">
        <v>1475150400</v>
      </c>
      <c r="N8" s="150">
        <v>8.89</v>
      </c>
      <c r="O8" s="150">
        <v>269</v>
      </c>
      <c r="P8" s="150">
        <v>1.67</v>
      </c>
      <c r="Q8" s="150">
        <v>1.99</v>
      </c>
    </row>
    <row r="9" spans="1:17" x14ac:dyDescent="0.25">
      <c r="A9" s="150">
        <v>49.22</v>
      </c>
      <c r="B9" s="150">
        <v>0.31</v>
      </c>
      <c r="C9" s="150">
        <v>34.79</v>
      </c>
      <c r="D9" s="165">
        <v>42642.291666666664</v>
      </c>
      <c r="E9" s="150">
        <v>0.56999999999999995</v>
      </c>
      <c r="F9" s="150" t="s">
        <v>307</v>
      </c>
      <c r="G9" s="150">
        <v>280.27999999999997</v>
      </c>
      <c r="H9" s="150">
        <v>0</v>
      </c>
      <c r="I9" s="150">
        <v>0</v>
      </c>
      <c r="J9" s="150">
        <v>1024.21</v>
      </c>
      <c r="K9" s="150" t="s">
        <v>308</v>
      </c>
      <c r="L9" s="150">
        <v>49.22</v>
      </c>
      <c r="M9" s="150">
        <v>1475154000</v>
      </c>
      <c r="N9" s="150">
        <v>8.5299999999999994</v>
      </c>
      <c r="O9" s="150">
        <v>264</v>
      </c>
      <c r="P9" s="150">
        <v>1.5</v>
      </c>
      <c r="Q9" s="150">
        <v>2.11</v>
      </c>
    </row>
    <row r="10" spans="1:17" x14ac:dyDescent="0.25">
      <c r="A10" s="150">
        <v>52.68</v>
      </c>
      <c r="B10" s="150">
        <v>0.33</v>
      </c>
      <c r="C10" s="150">
        <v>37.04</v>
      </c>
      <c r="D10" s="165">
        <v>42642.333333333336</v>
      </c>
      <c r="E10" s="150">
        <v>0.55000000000000004</v>
      </c>
      <c r="F10" s="150" t="s">
        <v>307</v>
      </c>
      <c r="G10" s="150">
        <v>280.25</v>
      </c>
      <c r="H10" s="150">
        <v>0</v>
      </c>
      <c r="I10" s="150">
        <v>0</v>
      </c>
      <c r="J10" s="150">
        <v>1024.18</v>
      </c>
      <c r="K10" s="150" t="s">
        <v>308</v>
      </c>
      <c r="L10" s="150">
        <v>52.68</v>
      </c>
      <c r="M10" s="150">
        <v>1475157600</v>
      </c>
      <c r="N10" s="150">
        <v>8.31</v>
      </c>
      <c r="O10" s="150">
        <v>250</v>
      </c>
      <c r="P10" s="150">
        <v>1.33</v>
      </c>
      <c r="Q10" s="150">
        <v>2.5499999999999998</v>
      </c>
    </row>
    <row r="11" spans="1:17" x14ac:dyDescent="0.25">
      <c r="A11" s="150">
        <v>59.19</v>
      </c>
      <c r="B11" s="150">
        <v>0.32</v>
      </c>
      <c r="C11" s="150">
        <v>38.770000000000003</v>
      </c>
      <c r="D11" s="165">
        <v>42642.375</v>
      </c>
      <c r="E11" s="150">
        <v>0.47</v>
      </c>
      <c r="F11" s="150" t="s">
        <v>307</v>
      </c>
      <c r="G11" s="150">
        <v>280.06</v>
      </c>
      <c r="H11" s="150">
        <v>0</v>
      </c>
      <c r="I11" s="150">
        <v>0</v>
      </c>
      <c r="J11" s="150">
        <v>1023.74</v>
      </c>
      <c r="K11" s="150" t="s">
        <v>308</v>
      </c>
      <c r="L11" s="150">
        <v>59.19</v>
      </c>
      <c r="M11" s="150">
        <v>1475161200</v>
      </c>
      <c r="N11" s="150">
        <v>8.24</v>
      </c>
      <c r="O11" s="150">
        <v>229</v>
      </c>
      <c r="P11" s="150">
        <v>0.39</v>
      </c>
      <c r="Q11" s="150">
        <v>3.14</v>
      </c>
    </row>
    <row r="12" spans="1:17" x14ac:dyDescent="0.25">
      <c r="A12" s="150">
        <v>64.47</v>
      </c>
      <c r="B12" s="150">
        <v>0.32</v>
      </c>
      <c r="C12" s="150">
        <v>39.53</v>
      </c>
      <c r="D12" s="165">
        <v>42642.416666666664</v>
      </c>
      <c r="E12" s="150">
        <v>0.4</v>
      </c>
      <c r="F12" s="150" t="s">
        <v>307</v>
      </c>
      <c r="G12" s="150">
        <v>279.45</v>
      </c>
      <c r="H12" s="150">
        <v>0</v>
      </c>
      <c r="I12" s="150">
        <v>0</v>
      </c>
      <c r="J12" s="150">
        <v>1022.75</v>
      </c>
      <c r="K12" s="150" t="s">
        <v>308</v>
      </c>
      <c r="L12" s="150">
        <v>64.47</v>
      </c>
      <c r="M12" s="150">
        <v>1475164800</v>
      </c>
      <c r="N12" s="150">
        <v>8.25</v>
      </c>
      <c r="O12" s="150">
        <v>96</v>
      </c>
      <c r="P12" s="150">
        <v>0.52</v>
      </c>
      <c r="Q12" s="150">
        <v>3.74</v>
      </c>
    </row>
    <row r="13" spans="1:17" x14ac:dyDescent="0.25">
      <c r="A13" s="150">
        <v>68.430000000000007</v>
      </c>
      <c r="B13" s="150">
        <v>0.32</v>
      </c>
      <c r="C13" s="150">
        <v>39.67</v>
      </c>
      <c r="D13" s="165">
        <v>42642.458333333336</v>
      </c>
      <c r="E13" s="150">
        <v>0.35</v>
      </c>
      <c r="F13" s="150" t="s">
        <v>307</v>
      </c>
      <c r="G13" s="150">
        <v>278.67</v>
      </c>
      <c r="H13" s="150">
        <v>0</v>
      </c>
      <c r="I13" s="150">
        <v>0</v>
      </c>
      <c r="J13" s="150">
        <v>1021.58</v>
      </c>
      <c r="K13" s="150" t="s">
        <v>308</v>
      </c>
      <c r="L13" s="150">
        <v>68.430000000000007</v>
      </c>
      <c r="M13" s="150">
        <v>1475168400</v>
      </c>
      <c r="N13" s="150">
        <v>8.32</v>
      </c>
      <c r="O13" s="150">
        <v>81</v>
      </c>
      <c r="P13" s="150">
        <v>1.41</v>
      </c>
      <c r="Q13" s="150">
        <v>3.07</v>
      </c>
    </row>
    <row r="14" spans="1:17" x14ac:dyDescent="0.25">
      <c r="A14" s="150">
        <v>72.37</v>
      </c>
      <c r="B14" s="150">
        <v>0.31</v>
      </c>
      <c r="C14" s="150">
        <v>39.69</v>
      </c>
      <c r="D14" s="165">
        <v>42642.5</v>
      </c>
      <c r="E14" s="150">
        <v>0.31</v>
      </c>
      <c r="F14" s="150" t="s">
        <v>307</v>
      </c>
      <c r="G14" s="150">
        <v>278.20999999999998</v>
      </c>
      <c r="H14" s="150">
        <v>0</v>
      </c>
      <c r="I14" s="150">
        <v>0</v>
      </c>
      <c r="J14" s="150">
        <v>1020.36</v>
      </c>
      <c r="K14" s="150" t="s">
        <v>308</v>
      </c>
      <c r="L14" s="150">
        <v>72.37</v>
      </c>
      <c r="M14" s="150">
        <v>1475172000</v>
      </c>
      <c r="N14" s="150">
        <v>8.39</v>
      </c>
      <c r="O14" s="150">
        <v>58</v>
      </c>
      <c r="P14" s="150">
        <v>3.2</v>
      </c>
      <c r="Q14" s="150">
        <v>1.36</v>
      </c>
    </row>
    <row r="15" spans="1:17" x14ac:dyDescent="0.25">
      <c r="A15" s="150">
        <v>76.77</v>
      </c>
      <c r="B15" s="150">
        <v>0.3</v>
      </c>
      <c r="C15" s="150">
        <v>40.770000000000003</v>
      </c>
      <c r="D15" s="165">
        <v>42642.541666666664</v>
      </c>
      <c r="E15" s="150">
        <v>0.28000000000000003</v>
      </c>
      <c r="F15" s="150" t="s">
        <v>307</v>
      </c>
      <c r="G15" s="150">
        <v>278.5</v>
      </c>
      <c r="H15" s="150">
        <v>0</v>
      </c>
      <c r="I15" s="150">
        <v>0</v>
      </c>
      <c r="J15" s="150">
        <v>1019.06</v>
      </c>
      <c r="K15" s="150" t="s">
        <v>308</v>
      </c>
      <c r="L15" s="150">
        <v>76.77</v>
      </c>
      <c r="M15" s="150">
        <v>1475175600</v>
      </c>
      <c r="N15" s="150">
        <v>8.48</v>
      </c>
      <c r="O15" s="150">
        <v>56</v>
      </c>
      <c r="P15" s="150">
        <v>4.3099999999999996</v>
      </c>
      <c r="Q15" s="150">
        <v>0.36</v>
      </c>
    </row>
    <row r="16" spans="1:17" x14ac:dyDescent="0.25">
      <c r="A16" s="150">
        <v>78.95</v>
      </c>
      <c r="B16" s="150">
        <v>0.28000000000000003</v>
      </c>
      <c r="C16" s="150">
        <v>40.020000000000003</v>
      </c>
      <c r="D16" s="165">
        <v>42642.583333333336</v>
      </c>
      <c r="E16" s="150">
        <v>0.25</v>
      </c>
      <c r="F16" s="150" t="s">
        <v>307</v>
      </c>
      <c r="G16" s="150">
        <v>279.10000000000002</v>
      </c>
      <c r="H16" s="150">
        <v>0</v>
      </c>
      <c r="I16" s="150">
        <v>0</v>
      </c>
      <c r="J16" s="150">
        <v>1017.93</v>
      </c>
      <c r="K16" s="150" t="s">
        <v>308</v>
      </c>
      <c r="L16" s="150">
        <v>78.95</v>
      </c>
      <c r="M16" s="150">
        <v>1475179200</v>
      </c>
      <c r="N16" s="150">
        <v>8.52</v>
      </c>
      <c r="O16" s="150">
        <v>56</v>
      </c>
      <c r="P16" s="150">
        <v>4.4800000000000004</v>
      </c>
      <c r="Q16" s="150">
        <v>1.69</v>
      </c>
    </row>
    <row r="17" spans="1:17" x14ac:dyDescent="0.25">
      <c r="A17" s="150">
        <v>79.239999999999995</v>
      </c>
      <c r="B17" s="150">
        <v>0.28000000000000003</v>
      </c>
      <c r="C17" s="150">
        <v>39.76</v>
      </c>
      <c r="D17" s="165">
        <v>42642.625</v>
      </c>
      <c r="E17" s="150">
        <v>0.23</v>
      </c>
      <c r="F17" s="150" t="s">
        <v>307</v>
      </c>
      <c r="G17" s="150">
        <v>279.2</v>
      </c>
      <c r="H17" s="150">
        <v>0</v>
      </c>
      <c r="I17" s="150">
        <v>0</v>
      </c>
      <c r="J17" s="150">
        <v>1017.09</v>
      </c>
      <c r="K17" s="150" t="s">
        <v>308</v>
      </c>
      <c r="L17" s="150">
        <v>80.790000000000006</v>
      </c>
      <c r="M17" s="150">
        <v>1475182800</v>
      </c>
      <c r="N17" s="150">
        <v>8.5500000000000007</v>
      </c>
      <c r="O17" s="150">
        <v>52</v>
      </c>
      <c r="P17" s="150">
        <v>4.03</v>
      </c>
      <c r="Q17" s="150">
        <v>3.87</v>
      </c>
    </row>
    <row r="18" spans="1:17" x14ac:dyDescent="0.25">
      <c r="A18" s="150">
        <v>79.23</v>
      </c>
      <c r="B18" s="150">
        <v>0.33</v>
      </c>
      <c r="C18" s="150">
        <v>40.229999999999997</v>
      </c>
      <c r="D18" s="165">
        <v>42642.666666666664</v>
      </c>
      <c r="E18" s="150">
        <v>0.24</v>
      </c>
      <c r="F18" s="150" t="s">
        <v>307</v>
      </c>
      <c r="G18" s="150">
        <v>278.14999999999998</v>
      </c>
      <c r="H18" s="150">
        <v>0</v>
      </c>
      <c r="I18" s="150">
        <v>0</v>
      </c>
      <c r="J18" s="150">
        <v>1016.67</v>
      </c>
      <c r="K18" s="150" t="s">
        <v>308</v>
      </c>
      <c r="L18" s="150">
        <v>80.73</v>
      </c>
      <c r="M18" s="150">
        <v>1475186400</v>
      </c>
      <c r="N18" s="150">
        <v>8.6</v>
      </c>
      <c r="O18" s="150">
        <v>75</v>
      </c>
      <c r="P18" s="150">
        <v>1.93</v>
      </c>
      <c r="Q18" s="150">
        <v>5.81</v>
      </c>
    </row>
    <row r="19" spans="1:17" x14ac:dyDescent="0.25">
      <c r="A19" s="150">
        <v>78.59</v>
      </c>
      <c r="B19" s="150">
        <v>0.38</v>
      </c>
      <c r="C19" s="150">
        <v>40.54</v>
      </c>
      <c r="D19" s="165">
        <v>42642.708333333336</v>
      </c>
      <c r="E19" s="150">
        <v>0.26</v>
      </c>
      <c r="F19" s="150" t="s">
        <v>307</v>
      </c>
      <c r="G19" s="150">
        <v>276.58999999999997</v>
      </c>
      <c r="H19" s="150">
        <v>0</v>
      </c>
      <c r="I19" s="150">
        <v>0</v>
      </c>
      <c r="J19" s="150">
        <v>1016.54</v>
      </c>
      <c r="K19" s="150" t="s">
        <v>308</v>
      </c>
      <c r="L19" s="150">
        <v>78.59</v>
      </c>
      <c r="M19" s="150">
        <v>1475190000</v>
      </c>
      <c r="N19" s="150">
        <v>8.69</v>
      </c>
      <c r="O19" s="150">
        <v>66</v>
      </c>
      <c r="P19" s="150">
        <v>0.45</v>
      </c>
      <c r="Q19" s="150">
        <v>9.5500000000000007</v>
      </c>
    </row>
    <row r="20" spans="1:17" x14ac:dyDescent="0.25">
      <c r="A20" s="150">
        <v>74.569999999999993</v>
      </c>
      <c r="B20" s="150">
        <v>0.34</v>
      </c>
      <c r="C20" s="150">
        <v>40.1</v>
      </c>
      <c r="D20" s="165">
        <v>42642.75</v>
      </c>
      <c r="E20" s="150">
        <v>0.28999999999999998</v>
      </c>
      <c r="F20" s="150" t="s">
        <v>307</v>
      </c>
      <c r="G20" s="150">
        <v>275.64999999999998</v>
      </c>
      <c r="H20" s="150">
        <v>0</v>
      </c>
      <c r="I20" s="150">
        <v>0</v>
      </c>
      <c r="J20" s="150">
        <v>1016.68</v>
      </c>
      <c r="K20" s="150" t="s">
        <v>308</v>
      </c>
      <c r="L20" s="150">
        <v>74.569999999999993</v>
      </c>
      <c r="M20" s="150">
        <v>1475193600</v>
      </c>
      <c r="N20" s="150">
        <v>8.83</v>
      </c>
      <c r="O20" s="150">
        <v>295</v>
      </c>
      <c r="P20" s="150">
        <v>0.44</v>
      </c>
      <c r="Q20" s="150">
        <v>10.68</v>
      </c>
    </row>
    <row r="21" spans="1:17" x14ac:dyDescent="0.25">
      <c r="A21" s="150">
        <v>71.11</v>
      </c>
      <c r="B21" s="150">
        <v>0.24</v>
      </c>
      <c r="C21" s="150">
        <v>39.369999999999997</v>
      </c>
      <c r="D21" s="165">
        <v>42642.791666666664</v>
      </c>
      <c r="E21" s="150">
        <v>0.32</v>
      </c>
      <c r="F21" s="150" t="s">
        <v>252</v>
      </c>
      <c r="G21" s="150">
        <v>275.93</v>
      </c>
      <c r="H21" s="150">
        <v>0</v>
      </c>
      <c r="I21" s="150">
        <v>0</v>
      </c>
      <c r="J21" s="150">
        <v>1017.33</v>
      </c>
      <c r="K21" s="150" t="s">
        <v>253</v>
      </c>
      <c r="L21" s="150">
        <v>71.11</v>
      </c>
      <c r="M21" s="150">
        <v>1475197200</v>
      </c>
      <c r="N21" s="150">
        <v>9.0299999999999994</v>
      </c>
      <c r="O21" s="150">
        <v>191</v>
      </c>
      <c r="P21" s="150">
        <v>0.19</v>
      </c>
      <c r="Q21" s="150">
        <v>7.21</v>
      </c>
    </row>
    <row r="22" spans="1:17" x14ac:dyDescent="0.25">
      <c r="A22" s="150">
        <v>66.48</v>
      </c>
      <c r="B22" s="150">
        <v>0.18</v>
      </c>
      <c r="C22" s="150">
        <v>38.97</v>
      </c>
      <c r="D22" s="165">
        <v>42642.833333333336</v>
      </c>
      <c r="E22" s="150">
        <v>0.36</v>
      </c>
      <c r="F22" s="150" t="s">
        <v>252</v>
      </c>
      <c r="G22" s="150">
        <v>276.83999999999997</v>
      </c>
      <c r="H22" s="150">
        <v>0</v>
      </c>
      <c r="I22" s="150">
        <v>0</v>
      </c>
      <c r="J22" s="150">
        <v>1018.48</v>
      </c>
      <c r="K22" s="150" t="s">
        <v>253</v>
      </c>
      <c r="L22" s="150">
        <v>66.48</v>
      </c>
      <c r="M22" s="150">
        <v>1475200800</v>
      </c>
      <c r="N22" s="150">
        <v>9.27</v>
      </c>
      <c r="O22" s="150">
        <v>165</v>
      </c>
      <c r="P22" s="150">
        <v>2.4</v>
      </c>
      <c r="Q22" s="150">
        <v>4.58</v>
      </c>
    </row>
    <row r="23" spans="1:17" x14ac:dyDescent="0.25">
      <c r="A23" s="150">
        <v>63.04</v>
      </c>
      <c r="B23" s="150">
        <v>0.19</v>
      </c>
      <c r="C23" s="150">
        <v>38.29</v>
      </c>
      <c r="D23" s="165">
        <v>42642.875</v>
      </c>
      <c r="E23" s="150">
        <v>0.4</v>
      </c>
      <c r="F23" s="150" t="s">
        <v>252</v>
      </c>
      <c r="G23" s="150">
        <v>277.75</v>
      </c>
      <c r="H23" s="150">
        <v>0</v>
      </c>
      <c r="I23" s="150">
        <v>0</v>
      </c>
      <c r="J23" s="150">
        <v>1019.28</v>
      </c>
      <c r="K23" s="150" t="s">
        <v>253</v>
      </c>
      <c r="L23" s="150">
        <v>63.04</v>
      </c>
      <c r="M23" s="150">
        <v>1475204400</v>
      </c>
      <c r="N23" s="150">
        <v>9.52</v>
      </c>
      <c r="O23" s="150">
        <v>193</v>
      </c>
      <c r="P23" s="150">
        <v>3.47</v>
      </c>
      <c r="Q23" s="150">
        <v>2.89</v>
      </c>
    </row>
    <row r="24" spans="1:17" x14ac:dyDescent="0.25">
      <c r="A24" s="150">
        <v>61.93</v>
      </c>
      <c r="B24" s="150">
        <v>0.35</v>
      </c>
      <c r="C24" s="150">
        <v>38.89</v>
      </c>
      <c r="D24" s="165">
        <v>42642.916666666664</v>
      </c>
      <c r="E24" s="150">
        <v>0.42</v>
      </c>
      <c r="F24" s="150" t="s">
        <v>592</v>
      </c>
      <c r="G24" s="150">
        <v>278.48</v>
      </c>
      <c r="H24" s="150">
        <v>0</v>
      </c>
      <c r="I24" s="150">
        <v>0</v>
      </c>
      <c r="J24" s="150">
        <v>1019.36</v>
      </c>
      <c r="K24" s="150" t="s">
        <v>308</v>
      </c>
      <c r="L24" s="150">
        <v>61.93</v>
      </c>
      <c r="M24" s="150">
        <v>1475208000</v>
      </c>
      <c r="N24" s="150">
        <v>9.68</v>
      </c>
      <c r="O24" s="150">
        <v>208</v>
      </c>
      <c r="P24" s="150">
        <v>3.13</v>
      </c>
      <c r="Q24" s="150">
        <v>1.62</v>
      </c>
    </row>
    <row r="25" spans="1:17" x14ac:dyDescent="0.25">
      <c r="A25" s="150">
        <v>60.21</v>
      </c>
      <c r="B25" s="150">
        <v>0.62</v>
      </c>
      <c r="C25" s="150">
        <v>38.6</v>
      </c>
      <c r="D25" s="165">
        <v>42642.958333333336</v>
      </c>
      <c r="E25" s="150">
        <v>0.45</v>
      </c>
      <c r="F25" s="150" t="s">
        <v>592</v>
      </c>
      <c r="G25" s="150">
        <v>279.22000000000003</v>
      </c>
      <c r="H25" s="150">
        <v>0</v>
      </c>
      <c r="I25" s="150">
        <v>0</v>
      </c>
      <c r="J25" s="150">
        <v>1019.01</v>
      </c>
      <c r="K25" s="150" t="s">
        <v>593</v>
      </c>
      <c r="L25" s="150">
        <v>60.21</v>
      </c>
      <c r="M25" s="150">
        <v>1475211600</v>
      </c>
      <c r="N25" s="150">
        <v>9.6300000000000008</v>
      </c>
      <c r="O25" s="150">
        <v>210</v>
      </c>
      <c r="P25" s="150">
        <v>2.87</v>
      </c>
      <c r="Q25" s="150">
        <v>1.98</v>
      </c>
    </row>
    <row r="26" spans="1:17" x14ac:dyDescent="0.25">
      <c r="A26" s="150">
        <v>59.71</v>
      </c>
      <c r="B26" s="150">
        <v>0.75</v>
      </c>
      <c r="C26" s="150">
        <v>39.369999999999997</v>
      </c>
      <c r="D26" s="165">
        <v>42643</v>
      </c>
      <c r="E26" s="150">
        <v>0.47</v>
      </c>
      <c r="F26" s="150" t="s">
        <v>592</v>
      </c>
      <c r="G26" s="150">
        <v>279.85000000000002</v>
      </c>
      <c r="H26" s="150">
        <v>0</v>
      </c>
      <c r="I26" s="150">
        <v>0</v>
      </c>
      <c r="J26" s="150">
        <v>1018.63</v>
      </c>
      <c r="K26" s="150" t="s">
        <v>593</v>
      </c>
      <c r="L26" s="150">
        <v>59.71</v>
      </c>
      <c r="M26" s="150">
        <v>1475215200</v>
      </c>
      <c r="N26" s="150">
        <v>9.68</v>
      </c>
      <c r="O26" s="150">
        <v>242</v>
      </c>
      <c r="P26" s="150">
        <v>2.31</v>
      </c>
      <c r="Q26" s="150">
        <v>1.56</v>
      </c>
    </row>
    <row r="27" spans="1:17" x14ac:dyDescent="0.25">
      <c r="A27" s="150">
        <v>57.81</v>
      </c>
      <c r="B27" s="150">
        <v>0.53</v>
      </c>
      <c r="C27" s="150">
        <v>39.06</v>
      </c>
      <c r="D27" s="165">
        <v>42643.041666666664</v>
      </c>
      <c r="E27" s="150">
        <v>0.5</v>
      </c>
      <c r="F27" s="150" t="s">
        <v>592</v>
      </c>
      <c r="G27" s="150">
        <v>280.23</v>
      </c>
      <c r="H27" s="150">
        <v>0</v>
      </c>
      <c r="I27" s="150">
        <v>0</v>
      </c>
      <c r="J27" s="150">
        <v>1018.42</v>
      </c>
      <c r="K27" s="150" t="s">
        <v>308</v>
      </c>
      <c r="L27" s="150">
        <v>57.81</v>
      </c>
      <c r="M27" s="150">
        <v>1475218800</v>
      </c>
      <c r="N27" s="150">
        <v>9.6999999999999993</v>
      </c>
      <c r="O27" s="150">
        <v>245</v>
      </c>
      <c r="P27" s="150">
        <v>2.14</v>
      </c>
      <c r="Q27" s="150">
        <v>1.31</v>
      </c>
    </row>
    <row r="28" spans="1:17" x14ac:dyDescent="0.25">
      <c r="A28" s="150">
        <v>55.03</v>
      </c>
      <c r="B28" s="150">
        <v>0.42</v>
      </c>
      <c r="C28" s="150">
        <v>37.75</v>
      </c>
      <c r="D28" s="165">
        <v>42643.083333333336</v>
      </c>
      <c r="E28" s="150">
        <v>0.52</v>
      </c>
      <c r="F28" s="150" t="s">
        <v>592</v>
      </c>
      <c r="G28" s="150">
        <v>280.61</v>
      </c>
      <c r="H28" s="150">
        <v>0</v>
      </c>
      <c r="I28" s="150">
        <v>0</v>
      </c>
      <c r="J28" s="150">
        <v>1018.22</v>
      </c>
      <c r="K28" s="150" t="s">
        <v>308</v>
      </c>
      <c r="L28" s="150">
        <v>55.03</v>
      </c>
      <c r="M28" s="150">
        <v>1475222400</v>
      </c>
      <c r="N28" s="150">
        <v>9.6999999999999993</v>
      </c>
      <c r="O28" s="150">
        <v>247</v>
      </c>
      <c r="P28" s="150">
        <v>2.21</v>
      </c>
      <c r="Q28" s="150">
        <v>1.38</v>
      </c>
    </row>
    <row r="29" spans="1:17" x14ac:dyDescent="0.25">
      <c r="A29" s="150">
        <v>54.02</v>
      </c>
      <c r="B29" s="150">
        <v>0.28000000000000003</v>
      </c>
      <c r="C29" s="150">
        <v>37.71</v>
      </c>
      <c r="D29" s="165">
        <v>42643.125</v>
      </c>
      <c r="E29" s="150">
        <v>0.54</v>
      </c>
      <c r="F29" s="150" t="s">
        <v>592</v>
      </c>
      <c r="G29" s="150">
        <v>280.99</v>
      </c>
      <c r="H29" s="150">
        <v>0</v>
      </c>
      <c r="I29" s="150">
        <v>0</v>
      </c>
      <c r="J29" s="150">
        <v>1018.06</v>
      </c>
      <c r="K29" s="150" t="s">
        <v>308</v>
      </c>
      <c r="L29" s="150">
        <v>54.02</v>
      </c>
      <c r="M29" s="150">
        <v>1475226000</v>
      </c>
      <c r="N29" s="150">
        <v>9.65</v>
      </c>
      <c r="O29" s="150">
        <v>235</v>
      </c>
      <c r="P29" s="150">
        <v>2.31</v>
      </c>
      <c r="Q29" s="150">
        <v>2.41</v>
      </c>
    </row>
    <row r="31" spans="1:17" x14ac:dyDescent="0.25">
      <c r="A31" s="150" t="s">
        <v>594</v>
      </c>
    </row>
    <row r="33" spans="1:1" x14ac:dyDescent="0.25">
      <c r="A33" s="150" t="s">
        <v>198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C16" sqref="C16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42642</v>
      </c>
      <c r="B2" s="4"/>
      <c r="C2" s="177">
        <v>50</v>
      </c>
      <c r="D2" s="178">
        <v>25</v>
      </c>
      <c r="F2" t="s">
        <v>123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124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125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126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305</v>
      </c>
    </row>
    <row r="21" spans="10:13" x14ac:dyDescent="0.25">
      <c r="J21" s="23" t="s">
        <v>97</v>
      </c>
      <c r="K21" s="23" t="s">
        <v>98</v>
      </c>
      <c r="M21" s="70" t="s">
        <v>361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163</v>
      </c>
      <c r="M25" s="70" t="b">
        <v>1</v>
      </c>
    </row>
    <row r="26" spans="10:13" x14ac:dyDescent="0.25">
      <c r="J26" t="s">
        <v>164</v>
      </c>
      <c r="M26" s="70" t="str">
        <f>"C:\Users\stu\Documents\GitHub\eaglep3-reporting\EC\"&amp;TEXT(A2,"yyyy-mm-dd")&amp;"-refined-times.txt"</f>
        <v>C:\Users\stu\Documents\GitHub\eaglep3-reporting\EC\2016-09-29-refined-times.txt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>
      <selection activeCell="C14" sqref="C14"/>
    </sheetView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132</v>
      </c>
      <c r="B1" s="123" t="s">
        <v>133</v>
      </c>
      <c r="C1" s="124" t="s">
        <v>134</v>
      </c>
      <c r="H1" t="s">
        <v>128</v>
      </c>
      <c r="I1" s="125" t="s">
        <v>130</v>
      </c>
      <c r="J1"/>
    </row>
    <row r="2" spans="1:11" x14ac:dyDescent="0.25">
      <c r="A2" s="124" t="s">
        <v>135</v>
      </c>
      <c r="B2" s="124" t="s">
        <v>136</v>
      </c>
      <c r="C2" s="124" t="s">
        <v>137</v>
      </c>
      <c r="H2" t="s">
        <v>129</v>
      </c>
      <c r="I2" s="110" t="s">
        <v>131</v>
      </c>
      <c r="J2"/>
    </row>
    <row r="3" spans="1:11" x14ac:dyDescent="0.25">
      <c r="A3" s="124" t="s">
        <v>138</v>
      </c>
      <c r="B3" s="124" t="s">
        <v>139</v>
      </c>
      <c r="C3" s="124" t="s">
        <v>140</v>
      </c>
      <c r="H3" t="s">
        <v>154</v>
      </c>
      <c r="I3" s="110">
        <v>1</v>
      </c>
      <c r="J3"/>
      <c r="K3" s="70"/>
    </row>
    <row r="4" spans="1:11" x14ac:dyDescent="0.25">
      <c r="A4" s="124" t="s">
        <v>141</v>
      </c>
      <c r="C4" s="124" t="s">
        <v>142</v>
      </c>
      <c r="H4" t="s">
        <v>155</v>
      </c>
      <c r="I4" s="110">
        <v>2</v>
      </c>
      <c r="J4"/>
      <c r="K4" s="70"/>
    </row>
    <row r="5" spans="1:11" x14ac:dyDescent="0.25">
      <c r="A5" s="124" t="s">
        <v>143</v>
      </c>
      <c r="C5" s="124" t="s">
        <v>144</v>
      </c>
      <c r="H5" t="s">
        <v>156</v>
      </c>
      <c r="I5" s="110">
        <v>23</v>
      </c>
      <c r="J5"/>
      <c r="K5" s="70"/>
    </row>
    <row r="6" spans="1:11" x14ac:dyDescent="0.25">
      <c r="A6" s="124" t="s">
        <v>145</v>
      </c>
      <c r="C6" s="124" t="s">
        <v>146</v>
      </c>
      <c r="H6" s="127" t="s">
        <v>157</v>
      </c>
      <c r="I6" s="128" t="s">
        <v>136</v>
      </c>
    </row>
    <row r="7" spans="1:11" x14ac:dyDescent="0.25">
      <c r="A7" s="124" t="s">
        <v>147</v>
      </c>
      <c r="C7" s="124" t="s">
        <v>148</v>
      </c>
    </row>
    <row r="8" spans="1:11" x14ac:dyDescent="0.25">
      <c r="C8" s="124" t="s">
        <v>149</v>
      </c>
    </row>
    <row r="9" spans="1:11" x14ac:dyDescent="0.25">
      <c r="C9" s="127" t="s">
        <v>222</v>
      </c>
    </row>
    <row r="10" spans="1:11" x14ac:dyDescent="0.25">
      <c r="C10" s="124" t="s">
        <v>150</v>
      </c>
    </row>
    <row r="11" spans="1:11" x14ac:dyDescent="0.25">
      <c r="C11" s="124" t="s">
        <v>151</v>
      </c>
    </row>
    <row r="12" spans="1:11" x14ac:dyDescent="0.25">
      <c r="C12" s="124" t="s">
        <v>152</v>
      </c>
    </row>
    <row r="13" spans="1:11" x14ac:dyDescent="0.25">
      <c r="C13" s="124" t="s">
        <v>153</v>
      </c>
    </row>
    <row r="14" spans="1:11" x14ac:dyDescent="0.25">
      <c r="C14" s="127" t="s">
        <v>223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2016-09-30T18:34:33Z</dcterms:modified>
</cp:coreProperties>
</file>