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Runs'!$A$12:$AG$530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84" i="1" l="1"/>
  <c r="X185" i="1"/>
  <c r="X186" i="1"/>
  <c r="X187" i="1"/>
  <c r="X188" i="1"/>
  <c r="X189" i="1"/>
  <c r="K204" i="1"/>
  <c r="L204" i="1"/>
  <c r="M204" i="1"/>
  <c r="N204" i="1" s="1"/>
  <c r="V204" i="1"/>
  <c r="AA204" i="1"/>
  <c r="AB204" i="1"/>
  <c r="AC204" i="1"/>
  <c r="AD204" i="1"/>
  <c r="T204" i="1" s="1"/>
  <c r="AE204" i="1"/>
  <c r="AF204" i="1"/>
  <c r="AH204" i="1"/>
  <c r="AM204" i="1"/>
  <c r="AN204" i="1"/>
  <c r="AO204" i="1"/>
  <c r="K200" i="1"/>
  <c r="L200" i="1"/>
  <c r="M200" i="1"/>
  <c r="N200" i="1" s="1"/>
  <c r="V200" i="1"/>
  <c r="AA200" i="1"/>
  <c r="AB200" i="1"/>
  <c r="AC200" i="1"/>
  <c r="AD200" i="1"/>
  <c r="T200" i="1" s="1"/>
  <c r="AE200" i="1"/>
  <c r="AF200" i="1"/>
  <c r="AH200" i="1"/>
  <c r="AM200" i="1"/>
  <c r="AN200" i="1"/>
  <c r="AO200" i="1"/>
  <c r="K196" i="1"/>
  <c r="L196" i="1"/>
  <c r="M196" i="1"/>
  <c r="N196" i="1" s="1"/>
  <c r="V196" i="1"/>
  <c r="AA196" i="1"/>
  <c r="AB196" i="1"/>
  <c r="AC196" i="1"/>
  <c r="AD196" i="1"/>
  <c r="T196" i="1" s="1"/>
  <c r="AE196" i="1"/>
  <c r="AF196" i="1"/>
  <c r="AH196" i="1"/>
  <c r="AM196" i="1"/>
  <c r="AN196" i="1"/>
  <c r="AO196" i="1"/>
  <c r="K188" i="1"/>
  <c r="L188" i="1"/>
  <c r="M188" i="1"/>
  <c r="N188" i="1" s="1"/>
  <c r="V188" i="1"/>
  <c r="AA188" i="1"/>
  <c r="AB188" i="1"/>
  <c r="AC188" i="1"/>
  <c r="AD188" i="1"/>
  <c r="T188" i="1" s="1"/>
  <c r="AE188" i="1"/>
  <c r="AF188" i="1"/>
  <c r="AH188" i="1"/>
  <c r="AM188" i="1"/>
  <c r="AN188" i="1"/>
  <c r="AO188" i="1"/>
  <c r="P156" i="1"/>
  <c r="X90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S21" i="3" s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A33" i="1" s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/>
  <c r="V37" i="1"/>
  <c r="Y37" i="1"/>
  <c r="AA37" i="1" s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A40" i="1" s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/>
  <c r="V51" i="1"/>
  <c r="Y51" i="1"/>
  <c r="AA51" i="1" s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A53" i="1" s="1"/>
  <c r="AB53" i="1"/>
  <c r="AC53" i="1"/>
  <c r="AD53" i="1"/>
  <c r="AE53" i="1"/>
  <c r="AF53" i="1"/>
  <c r="AH53" i="1"/>
  <c r="AM53" i="1"/>
  <c r="AN53" i="1"/>
  <c r="AO53" i="1"/>
  <c r="K54" i="1"/>
  <c r="L54" i="1"/>
  <c r="M54" i="1"/>
  <c r="P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S17" i="3" s="1"/>
  <c r="Y58" i="1"/>
  <c r="Z58" i="1"/>
  <c r="AB58" i="1"/>
  <c r="AC58" i="1"/>
  <c r="AD58" i="1"/>
  <c r="T58" i="1" s="1"/>
  <c r="AE58" i="1"/>
  <c r="R17" i="3" s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S14" i="3" s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A84" i="1" s="1"/>
  <c r="AB84" i="1"/>
  <c r="AC84" i="1"/>
  <c r="AD84" i="1"/>
  <c r="AE84" i="1"/>
  <c r="R10" i="3" s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X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AA91" i="1" s="1"/>
  <c r="Z91" i="1"/>
  <c r="AB91" i="1"/>
  <c r="AC91" i="1"/>
  <c r="AD91" i="1"/>
  <c r="X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R16" i="3" s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R24" i="3" s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S18" i="3" s="1"/>
  <c r="Y100" i="1"/>
  <c r="Z100" i="1"/>
  <c r="AB100" i="1"/>
  <c r="AC100" i="1"/>
  <c r="AD100" i="1"/>
  <c r="AE100" i="1"/>
  <c r="R18" i="3" s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AA103" i="1" s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S8" i="3" s="1"/>
  <c r="Y104" i="1"/>
  <c r="Z104" i="1"/>
  <c r="AB104" i="1"/>
  <c r="AC104" i="1"/>
  <c r="AD104" i="1"/>
  <c r="AE104" i="1"/>
  <c r="R8" i="3" s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R11" i="3" s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A107" i="1" s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AA109" i="1" s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AO112" i="1"/>
  <c r="K113" i="1"/>
  <c r="L113" i="1"/>
  <c r="M113" i="1"/>
  <c r="N113" i="1" s="1"/>
  <c r="V113" i="1"/>
  <c r="S23" i="3" s="1"/>
  <c r="Y113" i="1"/>
  <c r="Z113" i="1"/>
  <c r="AB113" i="1"/>
  <c r="AC113" i="1"/>
  <c r="AD113" i="1"/>
  <c r="T113" i="1" s="1"/>
  <c r="AE113" i="1"/>
  <c r="R23" i="3" s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S22" i="3" s="1"/>
  <c r="Y116" i="1"/>
  <c r="Z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S9" i="3" s="1"/>
  <c r="Y128" i="1"/>
  <c r="Z128" i="1"/>
  <c r="AB128" i="1"/>
  <c r="AC128" i="1"/>
  <c r="AD128" i="1"/>
  <c r="AE128" i="1"/>
  <c r="R9" i="3" s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X132" i="1"/>
  <c r="Y132" i="1"/>
  <c r="Z132" i="1"/>
  <c r="AA132" i="1" s="1"/>
  <c r="AB132" i="1"/>
  <c r="AC132" i="1"/>
  <c r="AD132" i="1"/>
  <c r="T132" i="1" s="1"/>
  <c r="AE132" i="1"/>
  <c r="AF132" i="1"/>
  <c r="AH132" i="1"/>
  <c r="AM132" i="1"/>
  <c r="AN132" i="1"/>
  <c r="AO132" i="1"/>
  <c r="K133" i="1"/>
  <c r="L133" i="1"/>
  <c r="M133" i="1"/>
  <c r="P133" i="1" s="1"/>
  <c r="V133" i="1"/>
  <c r="S19" i="3" s="1"/>
  <c r="Y133" i="1"/>
  <c r="Z133" i="1"/>
  <c r="AB133" i="1"/>
  <c r="AC133" i="1"/>
  <c r="AD133" i="1"/>
  <c r="AE133" i="1"/>
  <c r="R12" i="3" s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S7" i="3" s="1"/>
  <c r="Y136" i="1"/>
  <c r="Z136" i="1"/>
  <c r="AB136" i="1"/>
  <c r="AC136" i="1"/>
  <c r="AD136" i="1"/>
  <c r="AE136" i="1"/>
  <c r="R7" i="3" s="1"/>
  <c r="AF136" i="1"/>
  <c r="AH136" i="1"/>
  <c r="AM136" i="1"/>
  <c r="AN136" i="1"/>
  <c r="AO136" i="1"/>
  <c r="K137" i="1"/>
  <c r="L137" i="1"/>
  <c r="M137" i="1"/>
  <c r="N137" i="1" s="1"/>
  <c r="V137" i="1"/>
  <c r="S15" i="3" s="1"/>
  <c r="Y137" i="1"/>
  <c r="Z137" i="1"/>
  <c r="AB137" i="1"/>
  <c r="AC137" i="1"/>
  <c r="AD137" i="1"/>
  <c r="T137" i="1" s="1"/>
  <c r="AE137" i="1"/>
  <c r="R15" i="3" s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X138" i="1" s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A139" i="1" s="1"/>
  <c r="AB139" i="1"/>
  <c r="AC139" i="1"/>
  <c r="AD139" i="1"/>
  <c r="T139" i="1" s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AO140" i="1"/>
  <c r="K141" i="1"/>
  <c r="L141" i="1"/>
  <c r="M141" i="1"/>
  <c r="N141" i="1" s="1"/>
  <c r="T141" i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AO142" i="1"/>
  <c r="K143" i="1"/>
  <c r="L143" i="1"/>
  <c r="M143" i="1"/>
  <c r="N143" i="1"/>
  <c r="V143" i="1"/>
  <c r="Y143" i="1"/>
  <c r="Z143" i="1"/>
  <c r="AB143" i="1"/>
  <c r="AC143" i="1"/>
  <c r="AD143" i="1"/>
  <c r="X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A146" i="1" s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L148" i="1"/>
  <c r="M148" i="1"/>
  <c r="N148" i="1"/>
  <c r="V148" i="1"/>
  <c r="X148" i="1"/>
  <c r="Y148" i="1"/>
  <c r="Z148" i="1"/>
  <c r="AA148" i="1" s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 s="1"/>
  <c r="T149" i="1"/>
  <c r="V149" i="1"/>
  <c r="Y149" i="1"/>
  <c r="Z149" i="1"/>
  <c r="AB149" i="1"/>
  <c r="AC149" i="1"/>
  <c r="AD149" i="1"/>
  <c r="X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X150" i="1"/>
  <c r="Y150" i="1"/>
  <c r="Z150" i="1"/>
  <c r="AA150" i="1" s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X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AO155" i="1"/>
  <c r="K156" i="1"/>
  <c r="L156" i="1"/>
  <c r="M156" i="1"/>
  <c r="V156" i="1"/>
  <c r="Y156" i="1"/>
  <c r="Z156" i="1"/>
  <c r="AB156" i="1"/>
  <c r="AC156" i="1"/>
  <c r="AD156" i="1"/>
  <c r="X156" i="1" s="1"/>
  <c r="AE156" i="1"/>
  <c r="AF156" i="1"/>
  <c r="AH156" i="1"/>
  <c r="AM156" i="1"/>
  <c r="AN156" i="1"/>
  <c r="AO156" i="1"/>
  <c r="K157" i="1"/>
  <c r="L157" i="1"/>
  <c r="M157" i="1"/>
  <c r="V157" i="1"/>
  <c r="Y157" i="1"/>
  <c r="Z157" i="1"/>
  <c r="AA157" i="1" s="1"/>
  <c r="AB157" i="1"/>
  <c r="AC157" i="1"/>
  <c r="AD157" i="1"/>
  <c r="T157" i="1" s="1"/>
  <c r="AE157" i="1"/>
  <c r="AF157" i="1"/>
  <c r="AH157" i="1"/>
  <c r="AM157" i="1"/>
  <c r="AN157" i="1"/>
  <c r="AO157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58" i="1"/>
  <c r="AM158" i="1"/>
  <c r="AN158" i="1"/>
  <c r="AO158" i="1"/>
  <c r="K208" i="1"/>
  <c r="L208" i="1"/>
  <c r="M208" i="1"/>
  <c r="N208" i="1" s="1"/>
  <c r="V208" i="1"/>
  <c r="S28" i="3" s="1"/>
  <c r="Y208" i="1"/>
  <c r="Z208" i="1"/>
  <c r="AB208" i="1"/>
  <c r="AC208" i="1"/>
  <c r="AD208" i="1"/>
  <c r="T208" i="1" s="1"/>
  <c r="AE208" i="1"/>
  <c r="R28" i="3" s="1"/>
  <c r="AF208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X209" i="1" s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A210" i="1" s="1"/>
  <c r="AB210" i="1"/>
  <c r="AC210" i="1"/>
  <c r="AD210" i="1"/>
  <c r="T210" i="1" s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X213" i="1" s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X217" i="1" s="1"/>
  <c r="AE217" i="1"/>
  <c r="AF217" i="1"/>
  <c r="AH168" i="1"/>
  <c r="AM168" i="1"/>
  <c r="AN168" i="1"/>
  <c r="AO168" i="1"/>
  <c r="K224" i="1"/>
  <c r="L224" i="1"/>
  <c r="M224" i="1"/>
  <c r="N224" i="1" s="1"/>
  <c r="V224" i="1"/>
  <c r="Y224" i="1"/>
  <c r="Z224" i="1"/>
  <c r="AA224" i="1" s="1"/>
  <c r="AB224" i="1"/>
  <c r="AC224" i="1"/>
  <c r="AD224" i="1"/>
  <c r="T224" i="1" s="1"/>
  <c r="AE224" i="1"/>
  <c r="AF224" i="1"/>
  <c r="AH169" i="1"/>
  <c r="AM169" i="1"/>
  <c r="AN169" i="1"/>
  <c r="AO169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0" i="1"/>
  <c r="AM170" i="1"/>
  <c r="AN170" i="1"/>
  <c r="AO170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1" i="1"/>
  <c r="AM171" i="1"/>
  <c r="AN171" i="1"/>
  <c r="AO171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2" i="1"/>
  <c r="AM172" i="1"/>
  <c r="AN172" i="1"/>
  <c r="AO172" i="1"/>
  <c r="K228" i="1"/>
  <c r="L228" i="1"/>
  <c r="M228" i="1"/>
  <c r="N228" i="1" s="1"/>
  <c r="V228" i="1"/>
  <c r="Y228" i="1"/>
  <c r="Z228" i="1"/>
  <c r="AB228" i="1"/>
  <c r="AC228" i="1"/>
  <c r="AD228" i="1"/>
  <c r="X228" i="1" s="1"/>
  <c r="AE228" i="1"/>
  <c r="AF228" i="1"/>
  <c r="AH173" i="1"/>
  <c r="AM173" i="1"/>
  <c r="AN173" i="1"/>
  <c r="AO173" i="1"/>
  <c r="K229" i="1"/>
  <c r="L229" i="1"/>
  <c r="M229" i="1"/>
  <c r="N229" i="1" s="1"/>
  <c r="V229" i="1"/>
  <c r="X229" i="1"/>
  <c r="Y229" i="1"/>
  <c r="Z229" i="1"/>
  <c r="AB229" i="1"/>
  <c r="AC229" i="1"/>
  <c r="AD229" i="1"/>
  <c r="T229" i="1" s="1"/>
  <c r="AE229" i="1"/>
  <c r="AF229" i="1"/>
  <c r="AH174" i="1"/>
  <c r="AM174" i="1"/>
  <c r="AN174" i="1"/>
  <c r="AO174" i="1"/>
  <c r="K230" i="1"/>
  <c r="L230" i="1"/>
  <c r="M230" i="1"/>
  <c r="N230" i="1" s="1"/>
  <c r="V230" i="1"/>
  <c r="S29" i="3" s="1"/>
  <c r="Y230" i="1"/>
  <c r="Z230" i="1"/>
  <c r="AB230" i="1"/>
  <c r="AC230" i="1"/>
  <c r="AD230" i="1"/>
  <c r="X230" i="1" s="1"/>
  <c r="AE230" i="1"/>
  <c r="R29" i="3" s="1"/>
  <c r="AF230" i="1"/>
  <c r="AH175" i="1"/>
  <c r="AM175" i="1"/>
  <c r="AN175" i="1"/>
  <c r="AO175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R25" i="3" s="1"/>
  <c r="AF158" i="1"/>
  <c r="AH176" i="1"/>
  <c r="AM176" i="1"/>
  <c r="AN176" i="1"/>
  <c r="AO176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77" i="1"/>
  <c r="AM177" i="1"/>
  <c r="AN177" i="1"/>
  <c r="AO177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8" i="1"/>
  <c r="AM178" i="1"/>
  <c r="AN178" i="1"/>
  <c r="AO178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79" i="1"/>
  <c r="AM179" i="1"/>
  <c r="AN179" i="1"/>
  <c r="AO179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0" i="1"/>
  <c r="AM180" i="1"/>
  <c r="AN180" i="1"/>
  <c r="AO180" i="1"/>
  <c r="K163" i="1"/>
  <c r="L163" i="1"/>
  <c r="M163" i="1"/>
  <c r="N163" i="1" s="1"/>
  <c r="V163" i="1"/>
  <c r="Y163" i="1"/>
  <c r="Z163" i="1"/>
  <c r="AA163" i="1" s="1"/>
  <c r="AB163" i="1"/>
  <c r="AC163" i="1"/>
  <c r="AD163" i="1"/>
  <c r="AE163" i="1"/>
  <c r="AF163" i="1"/>
  <c r="AH181" i="1"/>
  <c r="AM181" i="1"/>
  <c r="AN181" i="1"/>
  <c r="AO181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2" i="1"/>
  <c r="AM182" i="1"/>
  <c r="AN182" i="1"/>
  <c r="AO182" i="1"/>
  <c r="K165" i="1"/>
  <c r="L165" i="1"/>
  <c r="M165" i="1"/>
  <c r="N165" i="1" s="1"/>
  <c r="V165" i="1"/>
  <c r="S26" i="3" s="1"/>
  <c r="Y165" i="1"/>
  <c r="AA165" i="1" s="1"/>
  <c r="Z165" i="1"/>
  <c r="AB165" i="1"/>
  <c r="AC165" i="1"/>
  <c r="AD165" i="1"/>
  <c r="X165" i="1" s="1"/>
  <c r="AE165" i="1"/>
  <c r="AF165" i="1"/>
  <c r="AH183" i="1"/>
  <c r="AM183" i="1"/>
  <c r="AN183" i="1"/>
  <c r="AO183" i="1"/>
  <c r="K166" i="1"/>
  <c r="L166" i="1"/>
  <c r="M166" i="1"/>
  <c r="N166" i="1" s="1"/>
  <c r="V166" i="1"/>
  <c r="Y166" i="1"/>
  <c r="Z166" i="1"/>
  <c r="AA166" i="1" s="1"/>
  <c r="AB166" i="1"/>
  <c r="AC166" i="1"/>
  <c r="AD166" i="1"/>
  <c r="AE166" i="1"/>
  <c r="AF166" i="1"/>
  <c r="AH184" i="1"/>
  <c r="AM184" i="1"/>
  <c r="AN184" i="1"/>
  <c r="AO184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5" i="1"/>
  <c r="AM185" i="1"/>
  <c r="AN185" i="1"/>
  <c r="AO185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6" i="1"/>
  <c r="AM186" i="1"/>
  <c r="AN186" i="1"/>
  <c r="AO18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7" i="1"/>
  <c r="AM187" i="1"/>
  <c r="AN187" i="1"/>
  <c r="AO18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89" i="1"/>
  <c r="AM189" i="1"/>
  <c r="AN189" i="1"/>
  <c r="AO18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0" i="1"/>
  <c r="AM190" i="1"/>
  <c r="AN190" i="1"/>
  <c r="AO19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1" i="1"/>
  <c r="AM191" i="1"/>
  <c r="AN191" i="1"/>
  <c r="AO19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2" i="1"/>
  <c r="AM192" i="1"/>
  <c r="AN192" i="1"/>
  <c r="AO19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3" i="1"/>
  <c r="AM193" i="1"/>
  <c r="AN193" i="1"/>
  <c r="AO19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4" i="1"/>
  <c r="AM194" i="1"/>
  <c r="AN194" i="1"/>
  <c r="AO19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5" i="1"/>
  <c r="AM195" i="1"/>
  <c r="AN195" i="1"/>
  <c r="AO19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7" i="1"/>
  <c r="AM197" i="1"/>
  <c r="AN197" i="1"/>
  <c r="AO197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98" i="1"/>
  <c r="AM198" i="1"/>
  <c r="AN198" i="1"/>
  <c r="AO19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9" i="1"/>
  <c r="AM199" i="1"/>
  <c r="AN199" i="1"/>
  <c r="AO199" i="1"/>
  <c r="K182" i="1"/>
  <c r="L182" i="1"/>
  <c r="M182" i="1"/>
  <c r="N182" i="1" s="1"/>
  <c r="V182" i="1"/>
  <c r="Y182" i="1"/>
  <c r="Z182" i="1"/>
  <c r="AA182" i="1" s="1"/>
  <c r="AB182" i="1"/>
  <c r="AC182" i="1"/>
  <c r="AD182" i="1"/>
  <c r="T182" i="1" s="1"/>
  <c r="AE182" i="1"/>
  <c r="AF182" i="1"/>
  <c r="AH201" i="1"/>
  <c r="AM201" i="1"/>
  <c r="AN201" i="1"/>
  <c r="AO201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2" i="1"/>
  <c r="AM202" i="1"/>
  <c r="AN202" i="1"/>
  <c r="AO202" i="1"/>
  <c r="K184" i="1"/>
  <c r="L184" i="1"/>
  <c r="M184" i="1"/>
  <c r="N184" i="1" s="1"/>
  <c r="V184" i="1"/>
  <c r="Z184" i="1"/>
  <c r="AB184" i="1"/>
  <c r="AC184" i="1"/>
  <c r="AD184" i="1"/>
  <c r="T184" i="1" s="1"/>
  <c r="AE184" i="1"/>
  <c r="AF184" i="1"/>
  <c r="AH203" i="1"/>
  <c r="AM203" i="1"/>
  <c r="AN203" i="1"/>
  <c r="AO203" i="1"/>
  <c r="AH205" i="1"/>
  <c r="AM205" i="1"/>
  <c r="AN205" i="1"/>
  <c r="AO205" i="1"/>
  <c r="AH206" i="1"/>
  <c r="AM206" i="1"/>
  <c r="AN206" i="1"/>
  <c r="AO206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7" i="1"/>
  <c r="AM207" i="1"/>
  <c r="AN207" i="1"/>
  <c r="AO207" i="1"/>
  <c r="K186" i="1"/>
  <c r="L186" i="1"/>
  <c r="M186" i="1"/>
  <c r="N186" i="1" s="1"/>
  <c r="V186" i="1"/>
  <c r="Y186" i="1"/>
  <c r="Z186" i="1"/>
  <c r="AA186" i="1" s="1"/>
  <c r="AB186" i="1"/>
  <c r="AC186" i="1"/>
  <c r="AD186" i="1"/>
  <c r="T186" i="1" s="1"/>
  <c r="AE186" i="1"/>
  <c r="AF186" i="1"/>
  <c r="AH208" i="1"/>
  <c r="AM208" i="1"/>
  <c r="AN208" i="1"/>
  <c r="AO208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9" i="1"/>
  <c r="AM209" i="1"/>
  <c r="AN209" i="1"/>
  <c r="AO209" i="1"/>
  <c r="K189" i="1"/>
  <c r="L189" i="1"/>
  <c r="M189" i="1"/>
  <c r="N189" i="1"/>
  <c r="V189" i="1"/>
  <c r="Y189" i="1"/>
  <c r="Z189" i="1"/>
  <c r="AB189" i="1"/>
  <c r="AC189" i="1"/>
  <c r="AD189" i="1"/>
  <c r="T189" i="1" s="1"/>
  <c r="AE189" i="1"/>
  <c r="AF189" i="1"/>
  <c r="AH210" i="1"/>
  <c r="AM210" i="1"/>
  <c r="AN210" i="1"/>
  <c r="AO210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1" i="1"/>
  <c r="AM211" i="1"/>
  <c r="AN211" i="1"/>
  <c r="AO211" i="1"/>
  <c r="K191" i="1"/>
  <c r="L191" i="1"/>
  <c r="M191" i="1"/>
  <c r="N191" i="1"/>
  <c r="V191" i="1"/>
  <c r="Y191" i="1"/>
  <c r="AA191" i="1" s="1"/>
  <c r="Z191" i="1"/>
  <c r="AB191" i="1"/>
  <c r="AC191" i="1"/>
  <c r="AD191" i="1"/>
  <c r="T191" i="1" s="1"/>
  <c r="AE191" i="1"/>
  <c r="AF191" i="1"/>
  <c r="AH212" i="1"/>
  <c r="AM212" i="1"/>
  <c r="AN212" i="1"/>
  <c r="AO212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3" i="1"/>
  <c r="AM213" i="1"/>
  <c r="AN213" i="1"/>
  <c r="AO213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4" i="1"/>
  <c r="AM214" i="1"/>
  <c r="AN214" i="1"/>
  <c r="AO214" i="1"/>
  <c r="K194" i="1"/>
  <c r="L194" i="1"/>
  <c r="M194" i="1"/>
  <c r="N194" i="1" s="1"/>
  <c r="V194" i="1"/>
  <c r="Y194" i="1"/>
  <c r="Z194" i="1"/>
  <c r="AA194" i="1" s="1"/>
  <c r="AB194" i="1"/>
  <c r="AC194" i="1"/>
  <c r="AD194" i="1"/>
  <c r="T194" i="1" s="1"/>
  <c r="AE194" i="1"/>
  <c r="AF194" i="1"/>
  <c r="AH215" i="1"/>
  <c r="AM215" i="1"/>
  <c r="AN215" i="1"/>
  <c r="AO21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6" i="1"/>
  <c r="AM216" i="1"/>
  <c r="AN216" i="1"/>
  <c r="AO216" i="1"/>
  <c r="K197" i="1"/>
  <c r="L197" i="1"/>
  <c r="M197" i="1"/>
  <c r="N197" i="1" s="1"/>
  <c r="V197" i="1"/>
  <c r="S27" i="3" s="1"/>
  <c r="Y197" i="1"/>
  <c r="Z197" i="1"/>
  <c r="AB197" i="1"/>
  <c r="AC197" i="1"/>
  <c r="AD197" i="1"/>
  <c r="T197" i="1" s="1"/>
  <c r="AE197" i="1"/>
  <c r="R27" i="3" s="1"/>
  <c r="AF197" i="1"/>
  <c r="AH217" i="1"/>
  <c r="AM217" i="1"/>
  <c r="AN217" i="1"/>
  <c r="AO21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8" i="1"/>
  <c r="AM218" i="1"/>
  <c r="AN218" i="1"/>
  <c r="AO218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19" i="1"/>
  <c r="AM219" i="1"/>
  <c r="AN219" i="1"/>
  <c r="AO21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0" i="1"/>
  <c r="AM220" i="1"/>
  <c r="AN220" i="1"/>
  <c r="AO22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1" i="1"/>
  <c r="AM221" i="1"/>
  <c r="AN221" i="1"/>
  <c r="AO22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2" i="1"/>
  <c r="AM222" i="1"/>
  <c r="AN222" i="1"/>
  <c r="AO222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23" i="1"/>
  <c r="AM223" i="1"/>
  <c r="AN223" i="1"/>
  <c r="AO223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24" i="1"/>
  <c r="AM224" i="1"/>
  <c r="AN224" i="1"/>
  <c r="AO224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5" i="1"/>
  <c r="AM225" i="1"/>
  <c r="AN225" i="1"/>
  <c r="AO225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26" i="1"/>
  <c r="AM226" i="1"/>
  <c r="AN226" i="1"/>
  <c r="AO226" i="1"/>
  <c r="K220" i="1"/>
  <c r="L220" i="1"/>
  <c r="M220" i="1"/>
  <c r="N220" i="1" s="1"/>
  <c r="V220" i="1"/>
  <c r="Y220" i="1"/>
  <c r="Z220" i="1"/>
  <c r="AA220" i="1" s="1"/>
  <c r="AB220" i="1"/>
  <c r="AC220" i="1"/>
  <c r="AD220" i="1"/>
  <c r="T220" i="1" s="1"/>
  <c r="AE220" i="1"/>
  <c r="AF220" i="1"/>
  <c r="AH227" i="1"/>
  <c r="AM227" i="1"/>
  <c r="AN227" i="1"/>
  <c r="AO22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8" i="1"/>
  <c r="AM228" i="1"/>
  <c r="AN228" i="1"/>
  <c r="AO22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9" i="1"/>
  <c r="AM229" i="1"/>
  <c r="AN229" i="1"/>
  <c r="AO22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0" i="1"/>
  <c r="AM230" i="1"/>
  <c r="AN230" i="1"/>
  <c r="AO230" i="1"/>
  <c r="M25" i="3"/>
  <c r="S25" i="3"/>
  <c r="U25" i="3"/>
  <c r="T25" i="3" s="1"/>
  <c r="V25" i="3"/>
  <c r="X25" i="3"/>
  <c r="M21" i="3"/>
  <c r="R21" i="3"/>
  <c r="U21" i="3"/>
  <c r="AC21" i="3" s="1"/>
  <c r="V21" i="3"/>
  <c r="X21" i="3"/>
  <c r="M26" i="3"/>
  <c r="R26" i="3"/>
  <c r="U26" i="3"/>
  <c r="AC26" i="3" s="1"/>
  <c r="V26" i="3"/>
  <c r="X26" i="3"/>
  <c r="M17" i="3"/>
  <c r="U17" i="3"/>
  <c r="AC17" i="3" s="1"/>
  <c r="V17" i="3"/>
  <c r="X17" i="3"/>
  <c r="M14" i="3"/>
  <c r="R14" i="3"/>
  <c r="U14" i="3"/>
  <c r="T14" i="3" s="1"/>
  <c r="V14" i="3"/>
  <c r="X14" i="3"/>
  <c r="M10" i="3"/>
  <c r="S10" i="3"/>
  <c r="U10" i="3"/>
  <c r="AC10" i="3" s="1"/>
  <c r="V10" i="3"/>
  <c r="X10" i="3"/>
  <c r="M16" i="3"/>
  <c r="S16" i="3"/>
  <c r="U16" i="3"/>
  <c r="AC16" i="3" s="1"/>
  <c r="V16" i="3"/>
  <c r="X16" i="3"/>
  <c r="M24" i="3"/>
  <c r="S24" i="3"/>
  <c r="U24" i="3"/>
  <c r="T24" i="3" s="1"/>
  <c r="V24" i="3"/>
  <c r="X24" i="3"/>
  <c r="AD16" i="3"/>
  <c r="M11" i="3"/>
  <c r="S11" i="3"/>
  <c r="U11" i="3"/>
  <c r="V11" i="3"/>
  <c r="X11" i="3"/>
  <c r="M18" i="3"/>
  <c r="U18" i="3"/>
  <c r="AC18" i="3" s="1"/>
  <c r="V18" i="3"/>
  <c r="X18" i="3"/>
  <c r="M8" i="3"/>
  <c r="U8" i="3"/>
  <c r="AC8" i="3" s="1"/>
  <c r="V8" i="3"/>
  <c r="X8" i="3"/>
  <c r="M23" i="3"/>
  <c r="U23" i="3"/>
  <c r="T23" i="3" s="1"/>
  <c r="V23" i="3"/>
  <c r="X23" i="3"/>
  <c r="M29" i="3"/>
  <c r="U29" i="3"/>
  <c r="AD21" i="3" s="1"/>
  <c r="V29" i="3"/>
  <c r="X29" i="3"/>
  <c r="M22" i="3"/>
  <c r="R22" i="3"/>
  <c r="U22" i="3"/>
  <c r="AC22" i="3" s="1"/>
  <c r="V22" i="3"/>
  <c r="X22" i="3"/>
  <c r="M28" i="3"/>
  <c r="U28" i="3"/>
  <c r="AC28" i="3" s="1"/>
  <c r="V28" i="3"/>
  <c r="X28" i="3"/>
  <c r="M27" i="3"/>
  <c r="U27" i="3"/>
  <c r="T27" i="3" s="1"/>
  <c r="V27" i="3"/>
  <c r="X27" i="3"/>
  <c r="M12" i="3"/>
  <c r="U12" i="3"/>
  <c r="AD25" i="3" s="1"/>
  <c r="V12" i="3"/>
  <c r="X12" i="3"/>
  <c r="M19" i="3"/>
  <c r="R19" i="3"/>
  <c r="U19" i="3"/>
  <c r="AC19" i="3" s="1"/>
  <c r="V19" i="3"/>
  <c r="X19" i="3"/>
  <c r="M9" i="3"/>
  <c r="U9" i="3"/>
  <c r="AC9" i="3" s="1"/>
  <c r="V9" i="3"/>
  <c r="X9" i="3"/>
  <c r="M20" i="3"/>
  <c r="R20" i="3"/>
  <c r="S20" i="3"/>
  <c r="U20" i="3"/>
  <c r="T20" i="3" s="1"/>
  <c r="V20" i="3"/>
  <c r="X20" i="3"/>
  <c r="M15" i="3"/>
  <c r="U15" i="3"/>
  <c r="V15" i="3"/>
  <c r="X15" i="3"/>
  <c r="M7" i="3"/>
  <c r="U7" i="3"/>
  <c r="AC7" i="3" s="1"/>
  <c r="V7" i="3"/>
  <c r="X7" i="3"/>
  <c r="AG204" i="1"/>
  <c r="AG200" i="1"/>
  <c r="AG196" i="1"/>
  <c r="AG188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6" i="1"/>
  <c r="AG74" i="1"/>
  <c r="AG82" i="1"/>
  <c r="AG89" i="1"/>
  <c r="AG97" i="1"/>
  <c r="AG105" i="1"/>
  <c r="AG65" i="1"/>
  <c r="AG77" i="1"/>
  <c r="AG85" i="1"/>
  <c r="AG92" i="1"/>
  <c r="AG100" i="1"/>
  <c r="AG107" i="1"/>
  <c r="AG109" i="1"/>
  <c r="AG115" i="1"/>
  <c r="AG119" i="1"/>
  <c r="AG123" i="1"/>
  <c r="AG15" i="1"/>
  <c r="AG21" i="1"/>
  <c r="AG26" i="1"/>
  <c r="AG31" i="1"/>
  <c r="AG37" i="1"/>
  <c r="AG42" i="1"/>
  <c r="AG47" i="1"/>
  <c r="AG58" i="1"/>
  <c r="AG63" i="1"/>
  <c r="AG76" i="1"/>
  <c r="AG95" i="1"/>
  <c r="AG73" i="1"/>
  <c r="AG94" i="1"/>
  <c r="AG116" i="1"/>
  <c r="AG126" i="1"/>
  <c r="AG138" i="1"/>
  <c r="AG154" i="1"/>
  <c r="AG225" i="1"/>
  <c r="AG168" i="1"/>
  <c r="AG197" i="1"/>
  <c r="AG17" i="1"/>
  <c r="AG22" i="1"/>
  <c r="AG27" i="1"/>
  <c r="AG33" i="1"/>
  <c r="AG38" i="1"/>
  <c r="AG43" i="1"/>
  <c r="AG49" i="1"/>
  <c r="AG54" i="1"/>
  <c r="AG59" i="1"/>
  <c r="AG70" i="1"/>
  <c r="AG78" i="1"/>
  <c r="AG88" i="1"/>
  <c r="AG99" i="1"/>
  <c r="AG68" i="1"/>
  <c r="AG75" i="1"/>
  <c r="AG87" i="1"/>
  <c r="AG96" i="1"/>
  <c r="AG108" i="1"/>
  <c r="AG112" i="1"/>
  <c r="AG117" i="1"/>
  <c r="AG122" i="1"/>
  <c r="AG127" i="1"/>
  <c r="AG131" i="1"/>
  <c r="AG135" i="1"/>
  <c r="AG139" i="1"/>
  <c r="AG143" i="1"/>
  <c r="AG147" i="1"/>
  <c r="AG151" i="1"/>
  <c r="AG155" i="1"/>
  <c r="AG208" i="1"/>
  <c r="AG212" i="1"/>
  <c r="AG216" i="1"/>
  <c r="AG226" i="1"/>
  <c r="AG230" i="1"/>
  <c r="AG161" i="1"/>
  <c r="AG165" i="1"/>
  <c r="AG169" i="1"/>
  <c r="AG170" i="1"/>
  <c r="AG174" i="1"/>
  <c r="AG178" i="1"/>
  <c r="AG182" i="1"/>
  <c r="AG189" i="1"/>
  <c r="AG193" i="1"/>
  <c r="AG198" i="1"/>
  <c r="AG203" i="1"/>
  <c r="AG221" i="1"/>
  <c r="AG18" i="1"/>
  <c r="AG23" i="1"/>
  <c r="AG29" i="1"/>
  <c r="AG34" i="1"/>
  <c r="AG39" i="1"/>
  <c r="AG45" i="1"/>
  <c r="AG50" i="1"/>
  <c r="AG55" i="1"/>
  <c r="AG61" i="1"/>
  <c r="AG67" i="1"/>
  <c r="AG80" i="1"/>
  <c r="AG91" i="1"/>
  <c r="AG101" i="1"/>
  <c r="AG72" i="1"/>
  <c r="AG79" i="1"/>
  <c r="AG98" i="1"/>
  <c r="AG111" i="1"/>
  <c r="AG113" i="1"/>
  <c r="AG118" i="1"/>
  <c r="AG124" i="1"/>
  <c r="AG128" i="1"/>
  <c r="AG132" i="1"/>
  <c r="AG136" i="1"/>
  <c r="AG140" i="1"/>
  <c r="AG144" i="1"/>
  <c r="AG148" i="1"/>
  <c r="AG152" i="1"/>
  <c r="AG156" i="1"/>
  <c r="AG209" i="1"/>
  <c r="AG213" i="1"/>
  <c r="AG217" i="1"/>
  <c r="AG227" i="1"/>
  <c r="AG158" i="1"/>
  <c r="AG162" i="1"/>
  <c r="AG166" i="1"/>
  <c r="AG218" i="1"/>
  <c r="AG171" i="1"/>
  <c r="AG175" i="1"/>
  <c r="AG179" i="1"/>
  <c r="AG183" i="1"/>
  <c r="AG185" i="1"/>
  <c r="AG190" i="1"/>
  <c r="AG194" i="1"/>
  <c r="AG199" i="1"/>
  <c r="AG205" i="1"/>
  <c r="AG223" i="1"/>
  <c r="AG53" i="1"/>
  <c r="AG86" i="1"/>
  <c r="AG64" i="1"/>
  <c r="AG83" i="1"/>
  <c r="AG104" i="1"/>
  <c r="AG121" i="1"/>
  <c r="AG134" i="1"/>
  <c r="AG146" i="1"/>
  <c r="AG207" i="1"/>
  <c r="AG215" i="1"/>
  <c r="AG160" i="1"/>
  <c r="AG222" i="1"/>
  <c r="AG177" i="1"/>
  <c r="AG187" i="1"/>
  <c r="AG202" i="1"/>
  <c r="AG14" i="1"/>
  <c r="AG19" i="1"/>
  <c r="AG25" i="1"/>
  <c r="AG30" i="1"/>
  <c r="AG35" i="1"/>
  <c r="AG41" i="1"/>
  <c r="AG46" i="1"/>
  <c r="AG51" i="1"/>
  <c r="AG57" i="1"/>
  <c r="AG62" i="1"/>
  <c r="AG71" i="1"/>
  <c r="AG84" i="1"/>
  <c r="AG93" i="1"/>
  <c r="AG103" i="1"/>
  <c r="AG69" i="1"/>
  <c r="AG81" i="1"/>
  <c r="AG90" i="1"/>
  <c r="AG102" i="1"/>
  <c r="AG106" i="1"/>
  <c r="AG114" i="1"/>
  <c r="AG120" i="1"/>
  <c r="AG125" i="1"/>
  <c r="AG129" i="1"/>
  <c r="AG133" i="1"/>
  <c r="AG137" i="1"/>
  <c r="AG141" i="1"/>
  <c r="AG145" i="1"/>
  <c r="AG149" i="1"/>
  <c r="AG153" i="1"/>
  <c r="AG157" i="1"/>
  <c r="AG210" i="1"/>
  <c r="AG214" i="1"/>
  <c r="AG224" i="1"/>
  <c r="AG228" i="1"/>
  <c r="AG159" i="1"/>
  <c r="AG163" i="1"/>
  <c r="AG167" i="1"/>
  <c r="AG220" i="1"/>
  <c r="AG172" i="1"/>
  <c r="AG176" i="1"/>
  <c r="AG180" i="1"/>
  <c r="AG184" i="1"/>
  <c r="AG186" i="1"/>
  <c r="AG191" i="1"/>
  <c r="AG195" i="1"/>
  <c r="AG201" i="1"/>
  <c r="AG206" i="1"/>
  <c r="AG110" i="1"/>
  <c r="AG130" i="1"/>
  <c r="AG142" i="1"/>
  <c r="AG150" i="1"/>
  <c r="AG211" i="1"/>
  <c r="AG229" i="1"/>
  <c r="AG164" i="1"/>
  <c r="AG173" i="1"/>
  <c r="AG181" i="1"/>
  <c r="AG192" i="1"/>
  <c r="AG219" i="1"/>
  <c r="W29" i="3"/>
  <c r="W26" i="3"/>
  <c r="W19" i="3"/>
  <c r="W28" i="3"/>
  <c r="W20" i="3"/>
  <c r="W15" i="3"/>
  <c r="W18" i="3"/>
  <c r="W17" i="3"/>
  <c r="W23" i="3"/>
  <c r="W14" i="3"/>
  <c r="W21" i="3"/>
  <c r="W12" i="3"/>
  <c r="W10" i="3"/>
  <c r="W7" i="3"/>
  <c r="W9" i="3"/>
  <c r="W25" i="3"/>
  <c r="W11" i="3"/>
  <c r="W8" i="3"/>
  <c r="W22" i="3"/>
  <c r="W16" i="3"/>
  <c r="W27" i="3"/>
  <c r="W24" i="3"/>
  <c r="S12" i="3" l="1"/>
  <c r="AA222" i="1"/>
  <c r="AA218" i="1"/>
  <c r="AA202" i="1"/>
  <c r="AA197" i="1"/>
  <c r="AA192" i="1"/>
  <c r="AA144" i="1"/>
  <c r="AA134" i="1"/>
  <c r="AA129" i="1"/>
  <c r="X196" i="1"/>
  <c r="X201" i="1"/>
  <c r="X135" i="1"/>
  <c r="AA39" i="1"/>
  <c r="AD28" i="3"/>
  <c r="AA189" i="1"/>
  <c r="AA184" i="1"/>
  <c r="AA180" i="1"/>
  <c r="AA176" i="1"/>
  <c r="X159" i="1"/>
  <c r="AA229" i="1"/>
  <c r="AA226" i="1"/>
  <c r="X225" i="1"/>
  <c r="AA216" i="1"/>
  <c r="X215" i="1"/>
  <c r="AA212" i="1"/>
  <c r="X211" i="1"/>
  <c r="AA208" i="1"/>
  <c r="AA155" i="1"/>
  <c r="X154" i="1"/>
  <c r="AA141" i="1"/>
  <c r="AA137" i="1"/>
  <c r="X136" i="1"/>
  <c r="AA133" i="1"/>
  <c r="AA128" i="1"/>
  <c r="AA111" i="1"/>
  <c r="AA71" i="1"/>
  <c r="AA60" i="1"/>
  <c r="AA45" i="1"/>
  <c r="AA41" i="1"/>
  <c r="X197" i="1"/>
  <c r="X205" i="1"/>
  <c r="AI204" i="1"/>
  <c r="U204" i="1"/>
  <c r="S204" i="1" s="1"/>
  <c r="W204" i="1"/>
  <c r="X204" i="1"/>
  <c r="AD24" i="3"/>
  <c r="AI200" i="1"/>
  <c r="U200" i="1"/>
  <c r="S200" i="1" s="1"/>
  <c r="W200" i="1"/>
  <c r="X200" i="1"/>
  <c r="T17" i="3"/>
  <c r="AD17" i="3"/>
  <c r="AI196" i="1"/>
  <c r="U196" i="1"/>
  <c r="S196" i="1" s="1"/>
  <c r="W196" i="1"/>
  <c r="AI188" i="1"/>
  <c r="U188" i="1"/>
  <c r="S188" i="1" s="1"/>
  <c r="W188" i="1"/>
  <c r="AD23" i="3"/>
  <c r="T8" i="3"/>
  <c r="AA221" i="1"/>
  <c r="AA206" i="1"/>
  <c r="AA201" i="1"/>
  <c r="AA195" i="1"/>
  <c r="AA177" i="1"/>
  <c r="AA173" i="1"/>
  <c r="AA169" i="1"/>
  <c r="AA164" i="1"/>
  <c r="X163" i="1"/>
  <c r="X162" i="1"/>
  <c r="AA145" i="1"/>
  <c r="X144" i="1"/>
  <c r="X140" i="1"/>
  <c r="AA136" i="1"/>
  <c r="AA131" i="1"/>
  <c r="AA99" i="1"/>
  <c r="AA47" i="1"/>
  <c r="AE23" i="3"/>
  <c r="AC11" i="3"/>
  <c r="AC25" i="3"/>
  <c r="AA223" i="1"/>
  <c r="AA219" i="1"/>
  <c r="AA203" i="1"/>
  <c r="AA198" i="1"/>
  <c r="AA193" i="1"/>
  <c r="AA175" i="1"/>
  <c r="AA171" i="1"/>
  <c r="AA167" i="1"/>
  <c r="AA162" i="1"/>
  <c r="AA161" i="1"/>
  <c r="AA152" i="1"/>
  <c r="AA149" i="1"/>
  <c r="AA147" i="1"/>
  <c r="X146" i="1"/>
  <c r="AA142" i="1"/>
  <c r="X141" i="1"/>
  <c r="AA140" i="1"/>
  <c r="AA138" i="1"/>
  <c r="AA97" i="1"/>
  <c r="AA96" i="1"/>
  <c r="AA93" i="1"/>
  <c r="AA92" i="1"/>
  <c r="AA88" i="1"/>
  <c r="AA87" i="1"/>
  <c r="AA70" i="1"/>
  <c r="AA65" i="1"/>
  <c r="AA56" i="1"/>
  <c r="AA55" i="1"/>
  <c r="AA49" i="1"/>
  <c r="AA42" i="1"/>
  <c r="T165" i="1"/>
  <c r="AA59" i="1"/>
  <c r="AA82" i="1"/>
  <c r="AA66" i="1"/>
  <c r="AA62" i="1"/>
  <c r="AA54" i="1"/>
  <c r="AA52" i="1"/>
  <c r="AA38" i="1"/>
  <c r="AA36" i="1"/>
  <c r="AA35" i="1"/>
  <c r="AA29" i="1"/>
  <c r="AA25" i="1"/>
  <c r="AA21" i="1"/>
  <c r="AA17" i="1"/>
  <c r="AA185" i="1"/>
  <c r="AA183" i="1"/>
  <c r="AA179" i="1"/>
  <c r="AA178" i="1"/>
  <c r="AA172" i="1"/>
  <c r="X170" i="1"/>
  <c r="AA168" i="1"/>
  <c r="X166" i="1"/>
  <c r="X161" i="1"/>
  <c r="X160" i="1"/>
  <c r="AA225" i="1"/>
  <c r="AA215" i="1"/>
  <c r="AA211" i="1"/>
  <c r="AA207" i="1"/>
  <c r="AA154" i="1"/>
  <c r="X133" i="1"/>
  <c r="X129" i="1"/>
  <c r="AA105" i="1"/>
  <c r="AA104" i="1"/>
  <c r="AA101" i="1"/>
  <c r="AA100" i="1"/>
  <c r="AA95" i="1"/>
  <c r="AA86" i="1"/>
  <c r="X142" i="1"/>
  <c r="X134" i="1"/>
  <c r="X130" i="1"/>
  <c r="AA46" i="1"/>
  <c r="AA44" i="1"/>
  <c r="AA43" i="1"/>
  <c r="AA31" i="1"/>
  <c r="AA27" i="1"/>
  <c r="AA23" i="1"/>
  <c r="AA19" i="1"/>
  <c r="AA15" i="1"/>
  <c r="AA190" i="1"/>
  <c r="AA187" i="1"/>
  <c r="AA181" i="1"/>
  <c r="AA174" i="1"/>
  <c r="AA170" i="1"/>
  <c r="AA160" i="1"/>
  <c r="AA230" i="1"/>
  <c r="AA217" i="1"/>
  <c r="AA213" i="1"/>
  <c r="AA209" i="1"/>
  <c r="AA156" i="1"/>
  <c r="AA151" i="1"/>
  <c r="AA143" i="1"/>
  <c r="AA135" i="1"/>
  <c r="X131" i="1"/>
  <c r="AA89" i="1"/>
  <c r="AA81" i="1"/>
  <c r="AA80" i="1"/>
  <c r="AA68" i="1"/>
  <c r="AA61" i="1"/>
  <c r="X59" i="1"/>
  <c r="AA50" i="1"/>
  <c r="AA48" i="1"/>
  <c r="AA34" i="1"/>
  <c r="AA32" i="1"/>
  <c r="AA28" i="1"/>
  <c r="AA24" i="1"/>
  <c r="AA20" i="1"/>
  <c r="AA16" i="1"/>
  <c r="T166" i="1"/>
  <c r="T146" i="1"/>
  <c r="T138" i="1"/>
  <c r="AA106" i="1"/>
  <c r="AA98" i="1"/>
  <c r="AA90" i="1"/>
  <c r="AA85" i="1"/>
  <c r="AA83" i="1"/>
  <c r="AA69" i="1"/>
  <c r="AA64" i="1"/>
  <c r="X63" i="1"/>
  <c r="AA58" i="1"/>
  <c r="AA57" i="1"/>
  <c r="X169" i="1"/>
  <c r="X168" i="1"/>
  <c r="AA159" i="1"/>
  <c r="AA158" i="1"/>
  <c r="X227" i="1"/>
  <c r="X207" i="1"/>
  <c r="T152" i="1"/>
  <c r="T144" i="1"/>
  <c r="T136" i="1"/>
  <c r="AA14" i="1"/>
  <c r="X167" i="1"/>
  <c r="X147" i="1"/>
  <c r="X139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0" i="1"/>
  <c r="AA102" i="1"/>
  <c r="AA94" i="1"/>
  <c r="AA79" i="1"/>
  <c r="AA78" i="1"/>
  <c r="AA77" i="1"/>
  <c r="AA76" i="1"/>
  <c r="AA75" i="1"/>
  <c r="AA74" i="1"/>
  <c r="AA73" i="1"/>
  <c r="AA72" i="1"/>
  <c r="AA67" i="1"/>
  <c r="AA63" i="1"/>
  <c r="X57" i="1"/>
  <c r="X164" i="1"/>
  <c r="T163" i="1"/>
  <c r="X158" i="1"/>
  <c r="AA228" i="1"/>
  <c r="AA227" i="1"/>
  <c r="T151" i="1"/>
  <c r="X145" i="1"/>
  <c r="T143" i="1"/>
  <c r="X137" i="1"/>
  <c r="T135" i="1"/>
  <c r="U223" i="1"/>
  <c r="S223" i="1" s="1"/>
  <c r="AI230" i="1"/>
  <c r="U221" i="1"/>
  <c r="S221" i="1" s="1"/>
  <c r="AI228" i="1"/>
  <c r="W221" i="1"/>
  <c r="U219" i="1"/>
  <c r="S219" i="1" s="1"/>
  <c r="AI226" i="1"/>
  <c r="AI224" i="1"/>
  <c r="U206" i="1"/>
  <c r="S206" i="1" s="1"/>
  <c r="U205" i="1"/>
  <c r="S205" i="1" s="1"/>
  <c r="AI223" i="1"/>
  <c r="U203" i="1"/>
  <c r="S203" i="1"/>
  <c r="AI222" i="1"/>
  <c r="U202" i="1"/>
  <c r="S202" i="1" s="1"/>
  <c r="AI221" i="1"/>
  <c r="U201" i="1"/>
  <c r="S201" i="1" s="1"/>
  <c r="AI220" i="1"/>
  <c r="U199" i="1"/>
  <c r="S199" i="1" s="1"/>
  <c r="AI219" i="1"/>
  <c r="U198" i="1"/>
  <c r="S198" i="1" s="1"/>
  <c r="AI218" i="1"/>
  <c r="U197" i="1"/>
  <c r="S197" i="1" s="1"/>
  <c r="AI217" i="1"/>
  <c r="U195" i="1"/>
  <c r="S195" i="1" s="1"/>
  <c r="AI216" i="1"/>
  <c r="U194" i="1"/>
  <c r="S194" i="1" s="1"/>
  <c r="AI215" i="1"/>
  <c r="U193" i="1"/>
  <c r="S193" i="1" s="1"/>
  <c r="AI214" i="1"/>
  <c r="U192" i="1"/>
  <c r="S192" i="1" s="1"/>
  <c r="AI213" i="1"/>
  <c r="U191" i="1"/>
  <c r="S191" i="1" s="1"/>
  <c r="AI212" i="1"/>
  <c r="U190" i="1"/>
  <c r="S190" i="1" s="1"/>
  <c r="AI211" i="1"/>
  <c r="U189" i="1"/>
  <c r="S189" i="1" s="1"/>
  <c r="AI210" i="1"/>
  <c r="U187" i="1"/>
  <c r="S187" i="1" s="1"/>
  <c r="AI209" i="1"/>
  <c r="U186" i="1"/>
  <c r="S186" i="1" s="1"/>
  <c r="AI208" i="1"/>
  <c r="U185" i="1"/>
  <c r="S185" i="1" s="1"/>
  <c r="AI207" i="1"/>
  <c r="AI206" i="1"/>
  <c r="AI205" i="1"/>
  <c r="U184" i="1"/>
  <c r="S184" i="1" s="1"/>
  <c r="AI203" i="1"/>
  <c r="U183" i="1"/>
  <c r="S183" i="1" s="1"/>
  <c r="AI202" i="1"/>
  <c r="U182" i="1"/>
  <c r="S182" i="1" s="1"/>
  <c r="AI201" i="1"/>
  <c r="U181" i="1"/>
  <c r="S181" i="1" s="1"/>
  <c r="AI199" i="1"/>
  <c r="U180" i="1"/>
  <c r="S180" i="1" s="1"/>
  <c r="AI198" i="1"/>
  <c r="U179" i="1"/>
  <c r="S179" i="1" s="1"/>
  <c r="AI197" i="1"/>
  <c r="U178" i="1"/>
  <c r="S178" i="1" s="1"/>
  <c r="AI195" i="1"/>
  <c r="U177" i="1"/>
  <c r="S177" i="1" s="1"/>
  <c r="AI194" i="1"/>
  <c r="U176" i="1"/>
  <c r="S176" i="1" s="1"/>
  <c r="AI193" i="1"/>
  <c r="U175" i="1"/>
  <c r="S175" i="1" s="1"/>
  <c r="AI192" i="1"/>
  <c r="U174" i="1"/>
  <c r="S174" i="1" s="1"/>
  <c r="AI191" i="1"/>
  <c r="U173" i="1"/>
  <c r="S173" i="1" s="1"/>
  <c r="AI190" i="1"/>
  <c r="U172" i="1"/>
  <c r="S172" i="1" s="1"/>
  <c r="AI189" i="1"/>
  <c r="U171" i="1"/>
  <c r="S171" i="1" s="1"/>
  <c r="AI187" i="1"/>
  <c r="U170" i="1"/>
  <c r="S170" i="1" s="1"/>
  <c r="AI186" i="1"/>
  <c r="U222" i="1"/>
  <c r="S222" i="1" s="1"/>
  <c r="AI229" i="1"/>
  <c r="U220" i="1"/>
  <c r="S220" i="1" s="1"/>
  <c r="AI227" i="1"/>
  <c r="U218" i="1"/>
  <c r="S218" i="1" s="1"/>
  <c r="W218" i="1"/>
  <c r="AI225" i="1"/>
  <c r="U169" i="1"/>
  <c r="S169" i="1" s="1"/>
  <c r="AI185" i="1"/>
  <c r="U168" i="1"/>
  <c r="S168" i="1" s="1"/>
  <c r="U167" i="1"/>
  <c r="S167" i="1" s="1"/>
  <c r="U166" i="1"/>
  <c r="S166" i="1" s="1"/>
  <c r="AI184" i="1"/>
  <c r="U165" i="1"/>
  <c r="S165" i="1" s="1"/>
  <c r="AI183" i="1"/>
  <c r="U164" i="1"/>
  <c r="S164" i="1" s="1"/>
  <c r="AI182" i="1"/>
  <c r="U163" i="1"/>
  <c r="S163" i="1" s="1"/>
  <c r="AI181" i="1"/>
  <c r="U162" i="1"/>
  <c r="S162" i="1" s="1"/>
  <c r="AI180" i="1"/>
  <c r="AI179" i="1"/>
  <c r="U160" i="1"/>
  <c r="S160" i="1" s="1"/>
  <c r="AI178" i="1"/>
  <c r="AI177" i="1"/>
  <c r="U158" i="1"/>
  <c r="S158" i="1" s="1"/>
  <c r="AI176" i="1"/>
  <c r="AI175" i="1"/>
  <c r="U229" i="1"/>
  <c r="S229" i="1" s="1"/>
  <c r="AI174" i="1"/>
  <c r="AI173" i="1"/>
  <c r="U227" i="1"/>
  <c r="S227" i="1" s="1"/>
  <c r="AI172" i="1"/>
  <c r="U226" i="1"/>
  <c r="S226" i="1" s="1"/>
  <c r="AI171" i="1"/>
  <c r="AI170" i="1"/>
  <c r="AI169" i="1"/>
  <c r="U224" i="1"/>
  <c r="S224" i="1" s="1"/>
  <c r="AI168" i="1"/>
  <c r="AI167" i="1"/>
  <c r="U216" i="1"/>
  <c r="S216" i="1" s="1"/>
  <c r="AI166" i="1"/>
  <c r="AI165" i="1"/>
  <c r="U214" i="1"/>
  <c r="S214" i="1" s="1"/>
  <c r="AI164" i="1"/>
  <c r="AI163" i="1"/>
  <c r="U212" i="1"/>
  <c r="S212" i="1" s="1"/>
  <c r="AI162" i="1"/>
  <c r="AI161" i="1"/>
  <c r="U210" i="1"/>
  <c r="S210" i="1" s="1"/>
  <c r="AI160" i="1"/>
  <c r="AI159" i="1"/>
  <c r="U208" i="1"/>
  <c r="S208" i="1" s="1"/>
  <c r="AI158" i="1"/>
  <c r="AI157" i="1"/>
  <c r="U157" i="1"/>
  <c r="AI156" i="1"/>
  <c r="AI155" i="1"/>
  <c r="U155" i="1"/>
  <c r="S155" i="1" s="1"/>
  <c r="AI154" i="1"/>
  <c r="AI153" i="1"/>
  <c r="U153" i="1"/>
  <c r="S153" i="1" s="1"/>
  <c r="U152" i="1"/>
  <c r="S152" i="1" s="1"/>
  <c r="AI152" i="1"/>
  <c r="U151" i="1"/>
  <c r="S151" i="1" s="1"/>
  <c r="AI151" i="1"/>
  <c r="W151" i="1"/>
  <c r="U150" i="1"/>
  <c r="S150" i="1" s="1"/>
  <c r="AI150" i="1"/>
  <c r="U149" i="1"/>
  <c r="S149" i="1" s="1"/>
  <c r="AI149" i="1"/>
  <c r="U148" i="1"/>
  <c r="S148" i="1" s="1"/>
  <c r="AI148" i="1"/>
  <c r="U147" i="1"/>
  <c r="S147" i="1" s="1"/>
  <c r="AI147" i="1"/>
  <c r="U146" i="1"/>
  <c r="S146" i="1" s="1"/>
  <c r="AI146" i="1"/>
  <c r="U145" i="1"/>
  <c r="S145" i="1" s="1"/>
  <c r="AI145" i="1"/>
  <c r="U144" i="1"/>
  <c r="S144" i="1" s="1"/>
  <c r="AI144" i="1"/>
  <c r="U143" i="1"/>
  <c r="S143" i="1" s="1"/>
  <c r="AI143" i="1"/>
  <c r="U142" i="1"/>
  <c r="S142" i="1" s="1"/>
  <c r="AI142" i="1"/>
  <c r="U141" i="1"/>
  <c r="S141" i="1" s="1"/>
  <c r="AI141" i="1"/>
  <c r="U140" i="1"/>
  <c r="S140" i="1" s="1"/>
  <c r="AI140" i="1"/>
  <c r="U139" i="1"/>
  <c r="S139" i="1" s="1"/>
  <c r="AI139" i="1"/>
  <c r="W139" i="1"/>
  <c r="U138" i="1"/>
  <c r="S138" i="1" s="1"/>
  <c r="AI138" i="1"/>
  <c r="U137" i="1"/>
  <c r="S137" i="1" s="1"/>
  <c r="AI137" i="1"/>
  <c r="U136" i="1"/>
  <c r="S136" i="1" s="1"/>
  <c r="AI136" i="1"/>
  <c r="U135" i="1"/>
  <c r="S135" i="1" s="1"/>
  <c r="AI135" i="1"/>
  <c r="W135" i="1"/>
  <c r="U134" i="1"/>
  <c r="S134" i="1" s="1"/>
  <c r="AI134" i="1"/>
  <c r="AI133" i="1"/>
  <c r="U132" i="1"/>
  <c r="S132" i="1" s="1"/>
  <c r="AI132" i="1"/>
  <c r="AI131" i="1"/>
  <c r="U130" i="1"/>
  <c r="S130" i="1" s="1"/>
  <c r="AI130" i="1"/>
  <c r="AI129" i="1"/>
  <c r="AI128" i="1"/>
  <c r="W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U116" i="1"/>
  <c r="S116" i="1" s="1"/>
  <c r="AI115" i="1"/>
  <c r="U115" i="1"/>
  <c r="S115" i="1" s="1"/>
  <c r="AI114" i="1"/>
  <c r="U114" i="1"/>
  <c r="S114" i="1" s="1"/>
  <c r="AI113" i="1"/>
  <c r="U113" i="1"/>
  <c r="S113" i="1" s="1"/>
  <c r="AI112" i="1"/>
  <c r="U112" i="1"/>
  <c r="S112" i="1" s="1"/>
  <c r="AI109" i="1"/>
  <c r="AI110" i="1"/>
  <c r="AI106" i="1"/>
  <c r="AI111" i="1"/>
  <c r="AI107" i="1"/>
  <c r="AI108" i="1"/>
  <c r="AI104" i="1"/>
  <c r="AI102" i="1"/>
  <c r="AI100" i="1"/>
  <c r="AI98" i="1"/>
  <c r="AI96" i="1"/>
  <c r="AI94" i="1"/>
  <c r="AI92" i="1"/>
  <c r="AI90" i="1"/>
  <c r="AI87" i="1"/>
  <c r="AI85" i="1"/>
  <c r="AI83" i="1"/>
  <c r="AI81" i="1"/>
  <c r="AI79" i="1"/>
  <c r="AI77" i="1"/>
  <c r="AI75" i="1"/>
  <c r="AI73" i="1"/>
  <c r="U69" i="1"/>
  <c r="S69" i="1" s="1"/>
  <c r="AI69" i="1"/>
  <c r="U65" i="1"/>
  <c r="S65" i="1" s="1"/>
  <c r="AI65" i="1"/>
  <c r="AI72" i="1"/>
  <c r="U72" i="1"/>
  <c r="S72" i="1" s="1"/>
  <c r="AI68" i="1"/>
  <c r="U68" i="1"/>
  <c r="S68" i="1" s="1"/>
  <c r="AI64" i="1"/>
  <c r="U64" i="1"/>
  <c r="S64" i="1" s="1"/>
  <c r="AI105" i="1"/>
  <c r="AI103" i="1"/>
  <c r="AI101" i="1"/>
  <c r="AI99" i="1"/>
  <c r="AI97" i="1"/>
  <c r="AI95" i="1"/>
  <c r="AI93" i="1"/>
  <c r="AI91" i="1"/>
  <c r="AI89" i="1"/>
  <c r="AI88" i="1"/>
  <c r="AI86" i="1"/>
  <c r="W84" i="1"/>
  <c r="AI84" i="1"/>
  <c r="W82" i="1"/>
  <c r="AI82" i="1"/>
  <c r="W80" i="1"/>
  <c r="AI80" i="1"/>
  <c r="AI78" i="1"/>
  <c r="AI76" i="1"/>
  <c r="AI74" i="1"/>
  <c r="U71" i="1"/>
  <c r="S71" i="1" s="1"/>
  <c r="AI71" i="1"/>
  <c r="U67" i="1"/>
  <c r="S67" i="1" s="1"/>
  <c r="AI67" i="1"/>
  <c r="U70" i="1"/>
  <c r="S70" i="1" s="1"/>
  <c r="AI70" i="1"/>
  <c r="U66" i="1"/>
  <c r="S66" i="1" s="1"/>
  <c r="AI66" i="1"/>
  <c r="U63" i="1"/>
  <c r="S63" i="1" s="1"/>
  <c r="AI63" i="1"/>
  <c r="U62" i="1"/>
  <c r="S62" i="1" s="1"/>
  <c r="AI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U57" i="1"/>
  <c r="S57" i="1" s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W35" i="1"/>
  <c r="AI34" i="1"/>
  <c r="W34" i="1"/>
  <c r="AI33" i="1"/>
  <c r="W33" i="1"/>
  <c r="AI32" i="1"/>
  <c r="W32" i="1"/>
  <c r="AI31" i="1"/>
  <c r="AI30" i="1"/>
  <c r="AI29" i="1"/>
  <c r="AI28" i="1"/>
  <c r="AI27" i="1"/>
  <c r="AI26" i="1"/>
  <c r="AI25" i="1"/>
  <c r="AI24" i="1"/>
  <c r="AI23" i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3" i="1"/>
  <c r="W222" i="1"/>
  <c r="W219" i="1"/>
  <c r="W203" i="1"/>
  <c r="W198" i="1"/>
  <c r="W193" i="1"/>
  <c r="W189" i="1"/>
  <c r="W176" i="1"/>
  <c r="W169" i="1"/>
  <c r="W164" i="1"/>
  <c r="W161" i="1"/>
  <c r="W160" i="1"/>
  <c r="W152" i="1"/>
  <c r="W149" i="1"/>
  <c r="W141" i="1"/>
  <c r="W133" i="1"/>
  <c r="W202" i="1"/>
  <c r="W197" i="1"/>
  <c r="W192" i="1"/>
  <c r="W187" i="1"/>
  <c r="W175" i="1"/>
  <c r="W174" i="1"/>
  <c r="W173" i="1"/>
  <c r="W172" i="1"/>
  <c r="W171" i="1"/>
  <c r="W170" i="1"/>
  <c r="W167" i="1"/>
  <c r="W162" i="1"/>
  <c r="W159" i="1"/>
  <c r="W158" i="1"/>
  <c r="W150" i="1"/>
  <c r="W147" i="1"/>
  <c r="W206" i="1"/>
  <c r="W201" i="1"/>
  <c r="W195" i="1"/>
  <c r="W191" i="1"/>
  <c r="W186" i="1"/>
  <c r="W185" i="1"/>
  <c r="W184" i="1"/>
  <c r="W183" i="1"/>
  <c r="W182" i="1"/>
  <c r="W181" i="1"/>
  <c r="W180" i="1"/>
  <c r="W179" i="1"/>
  <c r="W178" i="1"/>
  <c r="W168" i="1"/>
  <c r="W165" i="1"/>
  <c r="W230" i="1"/>
  <c r="W229" i="1"/>
  <c r="W145" i="1"/>
  <c r="W137" i="1"/>
  <c r="W220" i="1"/>
  <c r="W205" i="1"/>
  <c r="W199" i="1"/>
  <c r="W194" i="1"/>
  <c r="W190" i="1"/>
  <c r="W177" i="1"/>
  <c r="W166" i="1"/>
  <c r="W163" i="1"/>
  <c r="W228" i="1"/>
  <c r="W227" i="1"/>
  <c r="W143" i="1"/>
  <c r="T161" i="1"/>
  <c r="U161" i="1" s="1"/>
  <c r="S161" i="1" s="1"/>
  <c r="T159" i="1"/>
  <c r="U159" i="1" s="1"/>
  <c r="S159" i="1" s="1"/>
  <c r="T230" i="1"/>
  <c r="U230" i="1" s="1"/>
  <c r="S230" i="1" s="1"/>
  <c r="T228" i="1"/>
  <c r="U228" i="1" s="1"/>
  <c r="S228" i="1" s="1"/>
  <c r="X226" i="1"/>
  <c r="W225" i="1"/>
  <c r="T225" i="1"/>
  <c r="U225" i="1" s="1"/>
  <c r="S225" i="1" s="1"/>
  <c r="X224" i="1"/>
  <c r="W217" i="1"/>
  <c r="T217" i="1"/>
  <c r="U217" i="1" s="1"/>
  <c r="S217" i="1" s="1"/>
  <c r="X216" i="1"/>
  <c r="W215" i="1"/>
  <c r="T215" i="1"/>
  <c r="U215" i="1" s="1"/>
  <c r="S215" i="1" s="1"/>
  <c r="X214" i="1"/>
  <c r="W213" i="1"/>
  <c r="T213" i="1"/>
  <c r="U213" i="1" s="1"/>
  <c r="S213" i="1" s="1"/>
  <c r="X212" i="1"/>
  <c r="W211" i="1"/>
  <c r="T211" i="1"/>
  <c r="U211" i="1" s="1"/>
  <c r="S211" i="1" s="1"/>
  <c r="X210" i="1"/>
  <c r="W209" i="1"/>
  <c r="T209" i="1"/>
  <c r="U209" i="1" s="1"/>
  <c r="S209" i="1" s="1"/>
  <c r="X208" i="1"/>
  <c r="W207" i="1"/>
  <c r="T207" i="1"/>
  <c r="U207" i="1" s="1"/>
  <c r="S207" i="1" s="1"/>
  <c r="X157" i="1"/>
  <c r="W156" i="1"/>
  <c r="T156" i="1"/>
  <c r="U156" i="1" s="1"/>
  <c r="S156" i="1" s="1"/>
  <c r="X155" i="1"/>
  <c r="W154" i="1"/>
  <c r="T154" i="1"/>
  <c r="U154" i="1" s="1"/>
  <c r="S154" i="1" s="1"/>
  <c r="X153" i="1"/>
  <c r="W146" i="1"/>
  <c r="W142" i="1"/>
  <c r="W138" i="1"/>
  <c r="W134" i="1"/>
  <c r="W131" i="1"/>
  <c r="W129" i="1"/>
  <c r="W132" i="1"/>
  <c r="W130" i="1"/>
  <c r="W226" i="1"/>
  <c r="W224" i="1"/>
  <c r="W216" i="1"/>
  <c r="W214" i="1"/>
  <c r="W212" i="1"/>
  <c r="W210" i="1"/>
  <c r="W208" i="1"/>
  <c r="W157" i="1"/>
  <c r="W155" i="1"/>
  <c r="W153" i="1"/>
  <c r="W148" i="1"/>
  <c r="W144" i="1"/>
  <c r="W140" i="1"/>
  <c r="W136" i="1"/>
  <c r="X223" i="1"/>
  <c r="X222" i="1"/>
  <c r="X221" i="1"/>
  <c r="X220" i="1"/>
  <c r="X219" i="1"/>
  <c r="X218" i="1"/>
  <c r="X206" i="1"/>
  <c r="X203" i="1"/>
  <c r="X202" i="1"/>
  <c r="X199" i="1"/>
  <c r="X198" i="1"/>
  <c r="X195" i="1"/>
  <c r="X194" i="1"/>
  <c r="X193" i="1"/>
  <c r="X192" i="1"/>
  <c r="X191" i="1"/>
  <c r="X190" i="1"/>
  <c r="X183" i="1"/>
  <c r="X182" i="1"/>
  <c r="X181" i="1"/>
  <c r="X180" i="1"/>
  <c r="X179" i="1"/>
  <c r="X178" i="1"/>
  <c r="X177" i="1"/>
  <c r="X176" i="1"/>
  <c r="X175" i="1"/>
  <c r="X174" i="1"/>
  <c r="X173" i="1"/>
  <c r="X172" i="1"/>
  <c r="X171" i="1"/>
  <c r="W109" i="1"/>
  <c r="T133" i="1"/>
  <c r="U133" i="1" s="1"/>
  <c r="S133" i="1" s="1"/>
  <c r="T131" i="1"/>
  <c r="U131" i="1" s="1"/>
  <c r="S131" i="1" s="1"/>
  <c r="T129" i="1"/>
  <c r="U129" i="1" s="1"/>
  <c r="S129" i="1" s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0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W111" i="1"/>
  <c r="W107" i="1"/>
  <c r="W106" i="1"/>
  <c r="W101" i="1"/>
  <c r="W98" i="1"/>
  <c r="W93" i="1"/>
  <c r="W90" i="1"/>
  <c r="W85" i="1"/>
  <c r="W83" i="1"/>
  <c r="W69" i="1"/>
  <c r="W66" i="1"/>
  <c r="W64" i="1"/>
  <c r="X116" i="1"/>
  <c r="X115" i="1"/>
  <c r="X114" i="1"/>
  <c r="X113" i="1"/>
  <c r="X112" i="1"/>
  <c r="W108" i="1"/>
  <c r="W103" i="1"/>
  <c r="W100" i="1"/>
  <c r="W95" i="1"/>
  <c r="W92" i="1"/>
  <c r="W88" i="1"/>
  <c r="W81" i="1"/>
  <c r="W71" i="1"/>
  <c r="W65" i="1"/>
  <c r="W105" i="1"/>
  <c r="W102" i="1"/>
  <c r="W97" i="1"/>
  <c r="W94" i="1"/>
  <c r="W89" i="1"/>
  <c r="W86" i="1"/>
  <c r="W79" i="1"/>
  <c r="W78" i="1"/>
  <c r="W77" i="1"/>
  <c r="W76" i="1"/>
  <c r="W75" i="1"/>
  <c r="W74" i="1"/>
  <c r="W73" i="1"/>
  <c r="W72" i="1"/>
  <c r="W67" i="1"/>
  <c r="W104" i="1"/>
  <c r="W99" i="1"/>
  <c r="W96" i="1"/>
  <c r="W91" i="1"/>
  <c r="W87" i="1"/>
  <c r="W70" i="1"/>
  <c r="W68" i="1"/>
  <c r="X62" i="1"/>
  <c r="W60" i="1"/>
  <c r="X58" i="1"/>
  <c r="W56" i="1"/>
  <c r="W52" i="1"/>
  <c r="W48" i="1"/>
  <c r="W44" i="1"/>
  <c r="W40" i="1"/>
  <c r="W36" i="1"/>
  <c r="T111" i="1"/>
  <c r="U111" i="1" s="1"/>
  <c r="S111" i="1" s="1"/>
  <c r="X111" i="1"/>
  <c r="T109" i="1"/>
  <c r="U109" i="1" s="1"/>
  <c r="S109" i="1" s="1"/>
  <c r="X109" i="1"/>
  <c r="T107" i="1"/>
  <c r="U107" i="1" s="1"/>
  <c r="S107" i="1" s="1"/>
  <c r="X107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T89" i="1"/>
  <c r="U89" i="1" s="1"/>
  <c r="S89" i="1" s="1"/>
  <c r="T88" i="1"/>
  <c r="U88" i="1" s="1"/>
  <c r="S88" i="1" s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W61" i="1"/>
  <c r="W57" i="1"/>
  <c r="W55" i="1"/>
  <c r="W51" i="1"/>
  <c r="W47" i="1"/>
  <c r="W43" i="1"/>
  <c r="W39" i="1"/>
  <c r="W62" i="1"/>
  <c r="X60" i="1"/>
  <c r="W58" i="1"/>
  <c r="X56" i="1"/>
  <c r="W54" i="1"/>
  <c r="W50" i="1"/>
  <c r="W46" i="1"/>
  <c r="W42" i="1"/>
  <c r="W38" i="1"/>
  <c r="T110" i="1"/>
  <c r="U110" i="1" s="1"/>
  <c r="S110" i="1" s="1"/>
  <c r="X110" i="1"/>
  <c r="T108" i="1"/>
  <c r="U108" i="1" s="1"/>
  <c r="S108" i="1" s="1"/>
  <c r="X108" i="1"/>
  <c r="T106" i="1"/>
  <c r="U106" i="1" s="1"/>
  <c r="S106" i="1" s="1"/>
  <c r="X106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W63" i="1"/>
  <c r="X61" i="1"/>
  <c r="W59" i="1"/>
  <c r="W53" i="1"/>
  <c r="W49" i="1"/>
  <c r="W45" i="1"/>
  <c r="W41" i="1"/>
  <c r="W37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X72" i="1"/>
  <c r="X71" i="1"/>
  <c r="X70" i="1"/>
  <c r="X69" i="1"/>
  <c r="X68" i="1"/>
  <c r="X67" i="1"/>
  <c r="X66" i="1"/>
  <c r="X65" i="1"/>
  <c r="X6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X22" i="1"/>
  <c r="X21" i="1"/>
  <c r="X20" i="1"/>
  <c r="X19" i="1"/>
  <c r="X18" i="1"/>
  <c r="X17" i="1"/>
  <c r="X16" i="1"/>
  <c r="X15" i="1"/>
  <c r="T9" i="3"/>
  <c r="T28" i="3"/>
  <c r="AC29" i="3"/>
  <c r="AC23" i="3"/>
  <c r="AD27" i="3"/>
  <c r="AC12" i="3"/>
  <c r="AC20" i="3"/>
  <c r="T16" i="3"/>
  <c r="AE19" i="3"/>
  <c r="AD19" i="3"/>
  <c r="AD15" i="3"/>
  <c r="AD12" i="3"/>
  <c r="AC15" i="3"/>
  <c r="AC14" i="3"/>
  <c r="AE11" i="3"/>
  <c r="AD9" i="3"/>
  <c r="AD20" i="3"/>
  <c r="AE15" i="3"/>
  <c r="AD11" i="3"/>
  <c r="AD8" i="3"/>
  <c r="AC27" i="3"/>
  <c r="AC24" i="3"/>
  <c r="Y24" i="3"/>
  <c r="Y14" i="3"/>
  <c r="Y25" i="3"/>
  <c r="Y20" i="3"/>
  <c r="Y27" i="3"/>
  <c r="Y23" i="3"/>
  <c r="Y9" i="3"/>
  <c r="Y28" i="3"/>
  <c r="Y16" i="3"/>
  <c r="Y17" i="3"/>
  <c r="Y7" i="3"/>
  <c r="Y19" i="3"/>
  <c r="Y22" i="3"/>
  <c r="Y18" i="3"/>
  <c r="Y10" i="3"/>
  <c r="Y26" i="3"/>
  <c r="Y8" i="3"/>
  <c r="Y15" i="3"/>
  <c r="Y12" i="3"/>
  <c r="Y29" i="3"/>
  <c r="Y11" i="3"/>
  <c r="Y21" i="3"/>
  <c r="AE29" i="3"/>
  <c r="T7" i="3"/>
  <c r="AE22" i="3"/>
  <c r="T22" i="3"/>
  <c r="AE14" i="3"/>
  <c r="T10" i="3"/>
  <c r="AE10" i="3"/>
  <c r="T26" i="3"/>
  <c r="AE18" i="3"/>
  <c r="AD29" i="3"/>
  <c r="AE28" i="3"/>
  <c r="T15" i="3"/>
  <c r="AD26" i="3"/>
  <c r="AE25" i="3"/>
  <c r="T12" i="3"/>
  <c r="AD22" i="3"/>
  <c r="AE21" i="3"/>
  <c r="T29" i="3"/>
  <c r="AD18" i="3"/>
  <c r="AE17" i="3"/>
  <c r="T11" i="3"/>
  <c r="AD14" i="3"/>
  <c r="AD10" i="3"/>
  <c r="AE9" i="3"/>
  <c r="T21" i="3"/>
  <c r="AE26" i="3"/>
  <c r="T19" i="3"/>
  <c r="T18" i="3"/>
  <c r="AE27" i="3"/>
  <c r="AE24" i="3"/>
  <c r="AE20" i="3"/>
  <c r="AE16" i="3"/>
  <c r="AE12" i="3"/>
  <c r="AE8" i="3"/>
  <c r="M13" i="3" l="1"/>
  <c r="U13" i="3"/>
  <c r="V13" i="3"/>
  <c r="X13" i="3"/>
  <c r="W13" i="3"/>
  <c r="T13" i="3" l="1"/>
  <c r="AE13" i="3"/>
  <c r="AD13" i="3"/>
  <c r="AC13" i="3"/>
  <c r="Y13" i="3"/>
  <c r="V13" i="1" l="1"/>
  <c r="S13" i="3" s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R13" i="3" s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N25" i="3" s="1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N21" i="3" s="1"/>
  <c r="G47" i="4"/>
  <c r="G48" i="4"/>
  <c r="G49" i="4"/>
  <c r="G50" i="4"/>
  <c r="N26" i="3" s="1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N17" i="3" s="1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N14" i="3" s="1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N10" i="3" s="1"/>
  <c r="G117" i="4"/>
  <c r="G118" i="4"/>
  <c r="G119" i="4"/>
  <c r="G120" i="4"/>
  <c r="N16" i="3" s="1"/>
  <c r="G121" i="4"/>
  <c r="G122" i="4"/>
  <c r="G123" i="4"/>
  <c r="G124" i="4"/>
  <c r="G125" i="4"/>
  <c r="G126" i="4"/>
  <c r="G127" i="4"/>
  <c r="N24" i="3" s="1"/>
  <c r="G128" i="4"/>
  <c r="G129" i="4"/>
  <c r="G130" i="4"/>
  <c r="G131" i="4"/>
  <c r="G132" i="4"/>
  <c r="G133" i="4"/>
  <c r="G134" i="4"/>
  <c r="G135" i="4"/>
  <c r="G136" i="4"/>
  <c r="G137" i="4"/>
  <c r="G138" i="4"/>
  <c r="N11" i="3" s="1"/>
  <c r="G139" i="4"/>
  <c r="N18" i="3" s="1"/>
  <c r="G140" i="4"/>
  <c r="G141" i="4"/>
  <c r="G142" i="4"/>
  <c r="G143" i="4"/>
  <c r="G144" i="4"/>
  <c r="G145" i="4"/>
  <c r="G146" i="4"/>
  <c r="G147" i="4"/>
  <c r="N8" i="3" s="1"/>
  <c r="G148" i="4"/>
  <c r="G149" i="4"/>
  <c r="G150" i="4"/>
  <c r="G151" i="4"/>
  <c r="G152" i="4"/>
  <c r="N23" i="3" s="1"/>
  <c r="G153" i="4"/>
  <c r="G154" i="4"/>
  <c r="G155" i="4"/>
  <c r="G156" i="4"/>
  <c r="G157" i="4"/>
  <c r="G158" i="4"/>
  <c r="G159" i="4"/>
  <c r="G160" i="4"/>
  <c r="G161" i="4"/>
  <c r="G162" i="4"/>
  <c r="N29" i="3" s="1"/>
  <c r="G163" i="4"/>
  <c r="G164" i="4"/>
  <c r="G165" i="4"/>
  <c r="G166" i="4"/>
  <c r="G167" i="4"/>
  <c r="N22" i="3" s="1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N27" i="3" s="1"/>
  <c r="G185" i="4"/>
  <c r="N28" i="3" s="1"/>
  <c r="G186" i="4"/>
  <c r="G187" i="4"/>
  <c r="N9" i="3" s="1"/>
  <c r="G188" i="4"/>
  <c r="G189" i="4"/>
  <c r="G190" i="4"/>
  <c r="G191" i="4"/>
  <c r="G192" i="4"/>
  <c r="G193" i="4"/>
  <c r="G194" i="4"/>
  <c r="G195" i="4"/>
  <c r="G196" i="4"/>
  <c r="G197" i="4"/>
  <c r="G198" i="4"/>
  <c r="N15" i="3" s="1"/>
  <c r="G199" i="4"/>
  <c r="G200" i="4"/>
  <c r="G201" i="4"/>
  <c r="N7" i="3" s="1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9" i="3" l="1"/>
  <c r="N12" i="3"/>
  <c r="N20" i="3"/>
  <c r="N13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<sst xmlns="http://schemas.openxmlformats.org/spreadsheetml/2006/main" count="2763" uniqueCount="1119">
  <si>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</si>
  <si>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</si>
  <si>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</si>
  <si>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</si>
  <si>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</si>
  <si>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</si>
  <si>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</si>
  <si>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</si>
  <si>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</si>
  <si>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</si>
  <si>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</si>
  <si>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</si>
  <si>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</si>
  <si>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</si>
  <si>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</si>
  <si>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</si>
  <si>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</si>
  <si>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</si>
  <si>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</si>
  <si>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</si>
  <si>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</si>
  <si>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</si>
  <si>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</si>
  <si>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</si>
  <si>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</si>
  <si>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</si>
  <si>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</si>
  <si>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</si>
  <si>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</si>
  <si>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</si>
  <si>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</si>
  <si>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</si>
  <si>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</si>
  <si>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</si>
  <si>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</si>
  <si>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</si>
  <si>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</si>
  <si>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</si>
  <si>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</si>
  <si>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</si>
  <si>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</si>
  <si>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</si>
  <si>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</si>
  <si>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</si>
  <si>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</si>
  <si>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</si>
  <si>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</si>
  <si>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</si>
  <si>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</si>
  <si>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</si>
  <si>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</si>
  <si>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</si>
  <si>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</si>
  <si>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</si>
  <si>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</si>
  <si>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</si>
  <si>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</si>
  <si>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</si>
  <si>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</si>
  <si>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</si>
  <si>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</si>
  <si>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</si>
  <si>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</si>
  <si>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</si>
  <si>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</si>
  <si>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</si>
  <si>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</si>
  <si>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</si>
  <si>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</si>
  <si>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</si>
  <si>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</si>
  <si>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</si>
  <si>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</si>
  <si>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</si>
  <si>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</si>
  <si>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</si>
  <si>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</si>
  <si>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</si>
  <si>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</si>
  <si>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</si>
  <si>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</si>
  <si>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</si>
  <si>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</si>
  <si>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</si>
  <si>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</si>
  <si>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</si>
  <si>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</si>
  <si>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</si>
  <si>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</si>
  <si>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</si>
  <si>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</si>
  <si>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</si>
  <si>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</si>
  <si>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</si>
  <si>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</si>
  <si>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</si>
  <si>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</si>
  <si>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</si>
  <si>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</si>
  <si>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</si>
  <si>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</si>
  <si>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</si>
  <si>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</si>
  <si>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</si>
  <si>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</si>
  <si>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</si>
  <si>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</si>
  <si>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</si>
  <si>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</si>
  <si>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</si>
  <si>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</si>
  <si>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</si>
  <si>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</si>
  <si>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</si>
  <si>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</si>
  <si>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</si>
  <si>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</si>
  <si>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</si>
  <si>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</si>
  <si>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</si>
  <si>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</si>
  <si>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</si>
  <si>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</si>
  <si>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</si>
  <si>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</si>
  <si>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</si>
  <si>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</si>
  <si>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</si>
  <si>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</si>
  <si>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</si>
  <si>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</si>
  <si>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</si>
  <si>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</si>
  <si>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</si>
  <si>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</si>
  <si>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</si>
  <si>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</si>
  <si>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</si>
  <si>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</si>
  <si>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</si>
  <si>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</si>
  <si>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</si>
  <si>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</si>
  <si>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</si>
  <si>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</si>
  <si>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</si>
  <si>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</si>
  <si>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</si>
  <si>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</si>
  <si>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</si>
  <si>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</si>
  <si>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</si>
  <si>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</si>
  <si>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</si>
  <si>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</si>
  <si>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</si>
  <si>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</si>
  <si>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</si>
  <si>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</si>
  <si>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</si>
  <si>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</si>
  <si>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</si>
  <si>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</si>
  <si>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</si>
  <si>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</si>
  <si>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</si>
  <si>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</si>
  <si>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</si>
  <si>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</si>
  <si>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</si>
  <si>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</si>
  <si>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</si>
  <si>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</si>
  <si>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</si>
  <si>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</si>
  <si>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</si>
  <si>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</si>
  <si>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</si>
  <si>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</si>
  <si>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</si>
  <si>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</si>
  <si>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</si>
  <si>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</si>
  <si>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</si>
  <si>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</si>
  <si>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</si>
  <si>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</si>
  <si>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</si>
  <si>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</si>
  <si>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</si>
  <si>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</si>
  <si>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</si>
  <si>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</si>
  <si>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</si>
  <si>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</si>
  <si>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</si>
  <si>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</si>
  <si>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</si>
  <si>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</si>
  <si>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</si>
  <si>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</si>
  <si>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</si>
  <si>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</si>
  <si>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</si>
  <si>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</si>
  <si>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</si>
  <si>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</si>
  <si>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</si>
  <si>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</si>
  <si>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</si>
  <si>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</si>
  <si>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</si>
  <si>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</si>
  <si>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</si>
  <si>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</si>
  <si>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</si>
  <si>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</si>
  <si>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</si>
  <si>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</si>
  <si>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</si>
  <si>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</si>
  <si>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</si>
  <si>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</si>
  <si>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</si>
  <si>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</si>
  <si>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</si>
  <si>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</si>
  <si>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</si>
  <si>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</si>
  <si>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</si>
  <si>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</si>
  <si>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</si>
  <si>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</si>
  <si>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</si>
  <si>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</si>
  <si>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</si>
  <si>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</si>
  <si>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</si>
  <si>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</si>
  <si>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</si>
  <si>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</si>
  <si>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</si>
  <si>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</si>
  <si>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</si>
  <si>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</si>
  <si>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</si>
  <si>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</si>
  <si>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</si>
  <si>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</si>
  <si>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</si>
  <si>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</si>
  <si>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</si>
  <si>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</si>
  <si>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</si>
  <si>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</si>
  <si>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</si>
  <si>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</si>
  <si>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</si>
  <si>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</si>
  <si>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</si>
  <si>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</si>
  <si>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</si>
  <si>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</si>
  <si>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</si>
  <si>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</si>
  <si>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</si>
  <si>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</si>
  <si>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</si>
  <si>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</si>
  <si>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</si>
  <si>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</si>
  <si>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</si>
  <si>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</si>
  <si>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</si>
  <si>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</si>
  <si>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</si>
  <si>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</si>
  <si>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</si>
  <si>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</si>
  <si>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</si>
  <si>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</si>
  <si>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</si>
  <si>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</si>
  <si>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</si>
  <si>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</si>
  <si>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</si>
  <si>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</si>
  <si>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</si>
  <si>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</si>
  <si>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</si>
  <si>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</si>
  <si>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</si>
  <si>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</si>
  <si>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</si>
  <si>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</si>
  <si>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</si>
  <si>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</si>
  <si>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</si>
  <si>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</si>
  <si>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</si>
  <si>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</si>
  <si>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</si>
  <si>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</si>
  <si>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</si>
  <si>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</si>
  <si>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</si>
  <si>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</si>
  <si>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</si>
  <si>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</si>
  <si>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</si>
  <si>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</si>
  <si>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</si>
  <si>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</si>
  <si>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</si>
  <si>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</si>
  <si>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</si>
  <si>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</si>
  <si>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</si>
  <si>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</si>
  <si>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</si>
  <si>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</si>
  <si>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</si>
  <si>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</si>
  <si>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</si>
  <si>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</si>
  <si>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</si>
  <si>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</si>
  <si>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</si>
  <si>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</si>
  <si>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</si>
  <si>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</si>
  <si>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</si>
  <si>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</si>
  <si>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</si>
  <si>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</si>
  <si>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</si>
  <si>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</si>
  <si>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</si>
  <si>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</si>
  <si>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</si>
  <si>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</si>
  <si>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</si>
  <si>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</si>
  <si>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</si>
  <si>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</si>
  <si>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</si>
  <si>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</si>
  <si>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</si>
  <si>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</si>
  <si>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</si>
  <si>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</si>
  <si>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</si>
  <si>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</si>
  <si>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</si>
  <si>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</si>
  <si>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</si>
  <si>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</si>
  <si>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</si>
  <si>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</si>
  <si>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</si>
  <si>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</si>
  <si>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</si>
  <si>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</si>
  <si>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</si>
  <si>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</si>
  <si>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</si>
  <si>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rtdc.l.rtdc.4012:itc</t>
  </si>
  <si>
    <t>rtdc.l.rtdc.4011:itc</t>
  </si>
  <si>
    <t>GUNTHIER</t>
  </si>
  <si>
    <t>ERIC</t>
  </si>
  <si>
    <t>RESPASS</t>
  </si>
  <si>
    <t>AARON</t>
  </si>
  <si>
    <t>ANDREA</t>
  </si>
  <si>
    <t>rtdc.l.rtdc.4062:itc</t>
  </si>
  <si>
    <t>rtdc.l.rtdc.4022:itc</t>
  </si>
  <si>
    <t>rtdc.l.rtdc.4061:itc</t>
  </si>
  <si>
    <t>rtdc.l.rtdc.4029:itc</t>
  </si>
  <si>
    <t>232-31</t>
  </si>
  <si>
    <t>238-31</t>
  </si>
  <si>
    <t>rtdc.l.rtdc.4030:itc</t>
  </si>
  <si>
    <t>STAMBAUGH</t>
  </si>
  <si>
    <t>JAMES</t>
  </si>
  <si>
    <t>MOSES</t>
  </si>
  <si>
    <t>BRADLEY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</si>
  <si>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</si>
  <si>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</si>
  <si>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</si>
  <si>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</si>
  <si>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</si>
  <si>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</si>
  <si>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</si>
  <si>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</si>
  <si>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</si>
  <si>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</si>
  <si>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</si>
  <si>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</si>
  <si>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</si>
  <si>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</si>
  <si>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</si>
  <si>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</si>
  <si>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</si>
  <si>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</si>
  <si>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</si>
  <si>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</si>
  <si>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</si>
  <si>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</si>
  <si>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</si>
  <si>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Clear</t>
  </si>
  <si>
    <t>clear-night</t>
  </si>
  <si>
    <t>ELBAUM</t>
  </si>
  <si>
    <t>MIKE</t>
  </si>
  <si>
    <t>DAVID</t>
  </si>
  <si>
    <t>204:212</t>
  </si>
  <si>
    <t>rtdc.l.rtdc.4056:itc</t>
  </si>
  <si>
    <t>STEWART</t>
  </si>
  <si>
    <t>204:508</t>
  </si>
  <si>
    <t>204:232932</t>
  </si>
  <si>
    <t>204:540</t>
  </si>
  <si>
    <t>rtdc.l.rtdc.4025:itc</t>
  </si>
  <si>
    <t>rtdc.l.rtdc.4026:itc</t>
  </si>
  <si>
    <t>DONTE</t>
  </si>
  <si>
    <t>clear-day</t>
  </si>
  <si>
    <t>300:23346</t>
  </si>
  <si>
    <t>rtdc.l.rtdc.4044:itc</t>
  </si>
  <si>
    <t>rtdc.l.rtdc.4043:itc</t>
  </si>
  <si>
    <t>307-27</t>
  </si>
  <si>
    <t>rtdc.l.rtdc.4021:itc</t>
  </si>
  <si>
    <t>LORI</t>
  </si>
  <si>
    <t>SANTOS</t>
  </si>
  <si>
    <t>846-27</t>
  </si>
  <si>
    <t>237-27</t>
  </si>
  <si>
    <t>234-27</t>
  </si>
  <si>
    <t>849-27</t>
  </si>
  <si>
    <t>239-27</t>
  </si>
  <si>
    <t>236-27</t>
  </si>
  <si>
    <t>908-27</t>
  </si>
  <si>
    <t>238-27</t>
  </si>
  <si>
    <t>241-27</t>
  </si>
  <si>
    <t>240-27</t>
  </si>
  <si>
    <t>243-27</t>
  </si>
  <si>
    <t>313-27</t>
  </si>
  <si>
    <t>242-27</t>
  </si>
  <si>
    <t>244-27</t>
  </si>
  <si>
    <t>309-27</t>
  </si>
  <si>
    <t>311-27</t>
  </si>
  <si>
    <t>204:446</t>
  </si>
  <si>
    <t>Wi-MAX data drop</t>
  </si>
  <si>
    <t>rtdc.l.rtdc.4058:itc</t>
  </si>
  <si>
    <t>ANDERS</t>
  </si>
  <si>
    <t>STEVEN</t>
  </si>
  <si>
    <t>204:216</t>
  </si>
  <si>
    <t>204:158</t>
  </si>
  <si>
    <t>204:520</t>
  </si>
  <si>
    <t>204:517</t>
  </si>
  <si>
    <t>rtdc.l.rtdc.4031:itc</t>
  </si>
  <si>
    <t>rtdc.l.rtdc.4032:itc</t>
  </si>
  <si>
    <t>rtdc.l.rtdc.4006:itc</t>
  </si>
  <si>
    <t>311-29</t>
  </si>
  <si>
    <t>204:233230</t>
  </si>
  <si>
    <t>204:233297</t>
  </si>
  <si>
    <t>204:209</t>
  </si>
  <si>
    <t>204:163</t>
  </si>
  <si>
    <t>204:519</t>
  </si>
  <si>
    <t>204:232930</t>
  </si>
  <si>
    <t>204:484</t>
  </si>
  <si>
    <t>rtdc.l.rtdc.4054:itc</t>
  </si>
  <si>
    <t>204:178</t>
  </si>
  <si>
    <t>204:457</t>
  </si>
  <si>
    <t>204:233266</t>
  </si>
  <si>
    <t>204:444</t>
  </si>
  <si>
    <t>204:506</t>
  </si>
  <si>
    <t>204:233274</t>
  </si>
  <si>
    <t>rtdc.l.rtdc.4009:itc</t>
  </si>
  <si>
    <t>rtdc.l.rtdc.4010:itc</t>
  </si>
  <si>
    <t>rtdc.l.rtdc.4063:itc</t>
  </si>
  <si>
    <t>204:233291</t>
  </si>
  <si>
    <t>204:513</t>
  </si>
  <si>
    <t>204:233255</t>
  </si>
  <si>
    <t>204:233232</t>
  </si>
  <si>
    <t>204:232969</t>
  </si>
  <si>
    <t>204:524</t>
  </si>
  <si>
    <t>204:478</t>
  </si>
  <si>
    <t>204:232966</t>
  </si>
  <si>
    <t>204:150</t>
  </si>
  <si>
    <t>204:504</t>
  </si>
  <si>
    <t>300:58926</t>
  </si>
  <si>
    <t>204:466</t>
  </si>
  <si>
    <t>204:232942</t>
  </si>
  <si>
    <t>204:232906</t>
  </si>
  <si>
    <t>204:233276</t>
  </si>
  <si>
    <t>204:233264</t>
  </si>
  <si>
    <t>204:528</t>
  </si>
  <si>
    <t>204:471</t>
  </si>
  <si>
    <t>SWITCH UNKNOWN</t>
  </si>
  <si>
    <t>Track device (7)</t>
  </si>
  <si>
    <t>SPECTOR</t>
  </si>
  <si>
    <t>HAMMOND</t>
  </si>
  <si>
    <t>JUSTYNN</t>
  </si>
  <si>
    <t>rtdc.l.rtdc.4057:itc</t>
  </si>
  <si>
    <t>DAVIDSON</t>
  </si>
  <si>
    <t>YANAI</t>
  </si>
  <si>
    <t>IAN</t>
  </si>
  <si>
    <t>rtdc.l.rtdc.4064:itc</t>
  </si>
  <si>
    <t>LONG</t>
  </si>
  <si>
    <t>FULLER</t>
  </si>
  <si>
    <t>LEVIN</t>
  </si>
  <si>
    <t>SCOTT</t>
  </si>
  <si>
    <t>204:435</t>
  </si>
  <si>
    <t>204:464</t>
  </si>
  <si>
    <t>204:488</t>
  </si>
  <si>
    <t>204:229</t>
  </si>
  <si>
    <t>204:551</t>
  </si>
  <si>
    <t>204:233215</t>
  </si>
  <si>
    <t>204:531</t>
  </si>
  <si>
    <t>204:555</t>
  </si>
  <si>
    <t>204:450</t>
  </si>
  <si>
    <t>300:58609</t>
  </si>
  <si>
    <t>300:58619</t>
  </si>
  <si>
    <t>300:58946</t>
  </si>
  <si>
    <t>300:58941</t>
  </si>
  <si>
    <t>Early Arrival</t>
  </si>
  <si>
    <t>rtdc.l.rtdc.4015:itc</t>
  </si>
  <si>
    <t>rtdc.l.rtdc.4016:itc</t>
  </si>
  <si>
    <t>rtdc.l.rtdc.4060:itc</t>
  </si>
  <si>
    <t>FORTUNATO</t>
  </si>
  <si>
    <t>FRANK</t>
  </si>
  <si>
    <t>BRUDER</t>
  </si>
  <si>
    <t>RICHARD</t>
  </si>
  <si>
    <t>DE LA ROSA</t>
  </si>
  <si>
    <t>ALEX</t>
  </si>
  <si>
    <t>NEWELL</t>
  </si>
  <si>
    <t>WEST</t>
  </si>
  <si>
    <t>BRYAN</t>
  </si>
  <si>
    <t>ZEWDU</t>
  </si>
  <si>
    <t>DEREJE</t>
  </si>
  <si>
    <t>204:232979</t>
  </si>
  <si>
    <t>204:220</t>
  </si>
  <si>
    <t>204:232946</t>
  </si>
  <si>
    <t>204:458</t>
  </si>
  <si>
    <t>204:187</t>
  </si>
  <si>
    <t>204:223</t>
  </si>
  <si>
    <t>204:232977</t>
  </si>
  <si>
    <t>204:149</t>
  </si>
  <si>
    <t>204:183</t>
  </si>
  <si>
    <t>204:233288</t>
  </si>
  <si>
    <t>204:232957</t>
  </si>
  <si>
    <t>204:232994</t>
  </si>
  <si>
    <t>204:549</t>
  </si>
  <si>
    <t>204:221</t>
  </si>
  <si>
    <t>204:233257</t>
  </si>
  <si>
    <t>204:232886</t>
  </si>
  <si>
    <t>204:560</t>
  </si>
  <si>
    <t>204:533</t>
  </si>
  <si>
    <t>204:243</t>
  </si>
  <si>
    <t>204:233251</t>
  </si>
  <si>
    <t>204:459</t>
  </si>
  <si>
    <t>300:58978</t>
  </si>
  <si>
    <t>300:58933</t>
  </si>
  <si>
    <t>300:58611</t>
  </si>
  <si>
    <t>204:162</t>
  </si>
  <si>
    <t>204:153</t>
  </si>
  <si>
    <t>300:58632</t>
  </si>
  <si>
    <t>rtdc.l.rtdc.4041:itc</t>
  </si>
  <si>
    <t>rtdc.l.rtdc.4033:itc</t>
  </si>
  <si>
    <t>rtdc.l.rtdc.4050:itc</t>
  </si>
  <si>
    <t>845-06</t>
  </si>
  <si>
    <t>226-06</t>
  </si>
  <si>
    <t>228-06</t>
  </si>
  <si>
    <t>236-06</t>
  </si>
  <si>
    <t>LOPES</t>
  </si>
  <si>
    <t>KIMBERLY</t>
  </si>
  <si>
    <t>rtdc.l.rtdc.4049:itc</t>
  </si>
  <si>
    <t>71-06</t>
  </si>
  <si>
    <t>LEVERE</t>
  </si>
  <si>
    <t>CRAIG</t>
  </si>
  <si>
    <t>70-06</t>
  </si>
  <si>
    <t>CUSHING</t>
  </si>
  <si>
    <t>HARRY</t>
  </si>
  <si>
    <t>MCREYNOLDS</t>
  </si>
  <si>
    <t>KYLE</t>
  </si>
  <si>
    <t>222-06</t>
  </si>
  <si>
    <t>225-06</t>
  </si>
  <si>
    <t>843-06</t>
  </si>
  <si>
    <t>227-06</t>
  </si>
  <si>
    <t>224-06</t>
  </si>
  <si>
    <t>842-06</t>
  </si>
  <si>
    <t>229-06</t>
  </si>
  <si>
    <t>231-06</t>
  </si>
  <si>
    <t>844-06</t>
  </si>
  <si>
    <t>230-06</t>
  </si>
  <si>
    <t>233-06</t>
  </si>
  <si>
    <t>847-06</t>
  </si>
  <si>
    <t>235-06</t>
  </si>
  <si>
    <t>232-06</t>
  </si>
  <si>
    <t>846-06</t>
  </si>
  <si>
    <t>234-06</t>
  </si>
  <si>
    <t>237-06</t>
  </si>
  <si>
    <t>849-06</t>
  </si>
  <si>
    <t>239-06</t>
  </si>
  <si>
    <t>908-06</t>
  </si>
  <si>
    <t>238-06</t>
  </si>
  <si>
    <t>241-06</t>
  </si>
  <si>
    <t>243-06</t>
  </si>
  <si>
    <t>240-06</t>
  </si>
  <si>
    <t>313-06</t>
  </si>
  <si>
    <t>242-06</t>
  </si>
  <si>
    <t>307-06</t>
  </si>
  <si>
    <t>244-06</t>
  </si>
  <si>
    <t>309-06</t>
  </si>
  <si>
    <t>311-06</t>
  </si>
  <si>
    <t>partly-cloudy-night</t>
  </si>
  <si>
    <t>Partly Cloudy</t>
  </si>
  <si>
    <t>Mostly Cloudy</t>
  </si>
  <si>
    <t>partly-cloudy-day</t>
  </si>
  <si>
    <t>204:225</t>
  </si>
  <si>
    <t>204:460</t>
  </si>
  <si>
    <t>204:233295</t>
  </si>
  <si>
    <t>204:141</t>
  </si>
  <si>
    <t>204:233278</t>
  </si>
  <si>
    <t>204:205</t>
  </si>
  <si>
    <t>204:232998</t>
  </si>
  <si>
    <t>204:260</t>
  </si>
  <si>
    <t>204:442</t>
  </si>
  <si>
    <t>204:232940</t>
  </si>
  <si>
    <t>204:242</t>
  </si>
  <si>
    <t>204:453</t>
  </si>
  <si>
    <t>204:232959</t>
  </si>
  <si>
    <t>204:203</t>
  </si>
  <si>
    <t>204:232968</t>
  </si>
  <si>
    <t>204:233293</t>
  </si>
  <si>
    <t>204:233285</t>
  </si>
  <si>
    <t>204:211</t>
  </si>
  <si>
    <t>204:232980</t>
  </si>
  <si>
    <t>204:497</t>
  </si>
  <si>
    <t>204:196</t>
  </si>
  <si>
    <t>204:451</t>
  </si>
  <si>
    <t>204:233210</t>
  </si>
  <si>
    <t>204:232889</t>
  </si>
  <si>
    <t>204:462</t>
  </si>
  <si>
    <t>204:233268</t>
  </si>
  <si>
    <t>204:167</t>
  </si>
  <si>
    <t>204:232892</t>
  </si>
  <si>
    <t>204:232921</t>
  </si>
  <si>
    <t>204:214</t>
  </si>
  <si>
    <t>204:258</t>
  </si>
  <si>
    <t>204:232985</t>
  </si>
  <si>
    <t>204:515</t>
  </si>
  <si>
    <t>204:232902</t>
  </si>
  <si>
    <t>204:147</t>
  </si>
  <si>
    <t>204:274</t>
  </si>
  <si>
    <t>204:232904</t>
  </si>
  <si>
    <t>204:232983</t>
  </si>
  <si>
    <t>204:232949</t>
  </si>
  <si>
    <t>204:240</t>
  </si>
  <si>
    <t>204:232955</t>
  </si>
  <si>
    <t>204:495</t>
  </si>
  <si>
    <t>204:232896</t>
  </si>
  <si>
    <t>204:156</t>
  </si>
  <si>
    <t>300:23301</t>
  </si>
  <si>
    <t>204:542</t>
  </si>
  <si>
    <t>204:480</t>
  </si>
  <si>
    <t>204:3542</t>
  </si>
  <si>
    <t>204:1154</t>
  </si>
  <si>
    <t>300:23297</t>
  </si>
  <si>
    <t>204:164</t>
  </si>
  <si>
    <t>204:166</t>
  </si>
  <si>
    <t>300:58608</t>
  </si>
  <si>
    <t>300:58935</t>
  </si>
  <si>
    <t>300:58626</t>
  </si>
  <si>
    <t>300:58939</t>
  </si>
  <si>
    <t>204:432</t>
  </si>
  <si>
    <t>204:148</t>
  </si>
  <si>
    <t>204:455</t>
  </si>
  <si>
    <t>204:437</t>
  </si>
  <si>
    <t>300:58914</t>
  </si>
  <si>
    <t>204:3558</t>
  </si>
  <si>
    <t>300:28786</t>
  </si>
  <si>
    <t>300:58600</t>
  </si>
  <si>
    <t>101-07</t>
  </si>
  <si>
    <t>800-07</t>
  </si>
  <si>
    <t>120-07</t>
  </si>
  <si>
    <t>rtdc.l.rtdc.4024:itc</t>
  </si>
  <si>
    <t>807-07</t>
  </si>
  <si>
    <t>rtdc.l.rtdc.4027:itc</t>
  </si>
  <si>
    <t>146-07</t>
  </si>
  <si>
    <t>158-07</t>
  </si>
  <si>
    <t>rtdc.l.rtdc.4023:itc</t>
  </si>
  <si>
    <t>820-07</t>
  </si>
  <si>
    <t>TRACK WARRANT AUTHORITY</t>
  </si>
  <si>
    <t>Form based authority (4)</t>
  </si>
  <si>
    <t>172-07</t>
  </si>
  <si>
    <t>181-07</t>
  </si>
  <si>
    <t>185-07</t>
  </si>
  <si>
    <t>193-07</t>
  </si>
  <si>
    <t>188-07</t>
  </si>
  <si>
    <t>192-07</t>
  </si>
  <si>
    <t>rtdc.l.rtdc.4028:itc</t>
  </si>
  <si>
    <t>201-07</t>
  </si>
  <si>
    <t>77-07</t>
  </si>
  <si>
    <t>204-07</t>
  </si>
  <si>
    <t>301-07</t>
  </si>
  <si>
    <t>839-07</t>
  </si>
  <si>
    <t>221-07</t>
  </si>
  <si>
    <t>216-07</t>
  </si>
  <si>
    <t>225-07</t>
  </si>
  <si>
    <t>224-07</t>
  </si>
  <si>
    <t>300-07</t>
  </si>
  <si>
    <t>73-07</t>
  </si>
  <si>
    <t>302-07</t>
  </si>
  <si>
    <t>MAELZER</t>
  </si>
  <si>
    <t>KURT</t>
  </si>
  <si>
    <t>74-07</t>
  </si>
  <si>
    <t>103-07</t>
  </si>
  <si>
    <t>304-07</t>
  </si>
  <si>
    <t>rtdc.l.rtdc.4059:itc</t>
  </si>
  <si>
    <t>102-07</t>
  </si>
  <si>
    <t>306-07</t>
  </si>
  <si>
    <t>PAGE</t>
  </si>
  <si>
    <t>MARCUS</t>
  </si>
  <si>
    <t>105-07</t>
  </si>
  <si>
    <t>rtdc.l.rtdc.4053:itc</t>
  </si>
  <si>
    <t>308-07</t>
  </si>
  <si>
    <t>107-07</t>
  </si>
  <si>
    <t>104-07</t>
  </si>
  <si>
    <t>rtdc.l.rtdc.4013:itc</t>
  </si>
  <si>
    <t>310-07</t>
  </si>
  <si>
    <t>109-07</t>
  </si>
  <si>
    <t>901-07</t>
  </si>
  <si>
    <t>111-07</t>
  </si>
  <si>
    <t>rtdc.l.rtdc.4014:itc</t>
  </si>
  <si>
    <t>113-07</t>
  </si>
  <si>
    <t>106-07</t>
  </si>
  <si>
    <t>108-07</t>
  </si>
  <si>
    <t>312-07</t>
  </si>
  <si>
    <t>115-07</t>
  </si>
  <si>
    <t>801-07</t>
  </si>
  <si>
    <t>902-07</t>
  </si>
  <si>
    <t>110-07</t>
  </si>
  <si>
    <t>117-07</t>
  </si>
  <si>
    <t>112-07</t>
  </si>
  <si>
    <t>114-07</t>
  </si>
  <si>
    <t>802-07</t>
  </si>
  <si>
    <t>119-07</t>
  </si>
  <si>
    <t>803-07</t>
  </si>
  <si>
    <t>121-07</t>
  </si>
  <si>
    <t>116-07</t>
  </si>
  <si>
    <t>123-07</t>
  </si>
  <si>
    <t>118-07</t>
  </si>
  <si>
    <t>804-07</t>
  </si>
  <si>
    <t>805-07</t>
  </si>
  <si>
    <t>125-07</t>
  </si>
  <si>
    <t>122-07</t>
  </si>
  <si>
    <t>127-07</t>
  </si>
  <si>
    <t>806-07</t>
  </si>
  <si>
    <t>129-07</t>
  </si>
  <si>
    <t>124-07</t>
  </si>
  <si>
    <t>131-07</t>
  </si>
  <si>
    <t>808-07</t>
  </si>
  <si>
    <t>809-07</t>
  </si>
  <si>
    <t>126-07</t>
  </si>
  <si>
    <t>128-07</t>
  </si>
  <si>
    <t>133-07</t>
  </si>
  <si>
    <t>135-07</t>
  </si>
  <si>
    <t>810-07</t>
  </si>
  <si>
    <t>130-07</t>
  </si>
  <si>
    <t>811-07</t>
  </si>
  <si>
    <t>132-07</t>
  </si>
  <si>
    <t>137-07</t>
  </si>
  <si>
    <t>139-07</t>
  </si>
  <si>
    <t>812-07</t>
  </si>
  <si>
    <t>903-07</t>
  </si>
  <si>
    <t>134-07</t>
  </si>
  <si>
    <t>141-07</t>
  </si>
  <si>
    <t>136-07</t>
  </si>
  <si>
    <t>143-07</t>
  </si>
  <si>
    <t>813-07</t>
  </si>
  <si>
    <t>138-07</t>
  </si>
  <si>
    <t>145-07</t>
  </si>
  <si>
    <t>140-07</t>
  </si>
  <si>
    <t>142-07</t>
  </si>
  <si>
    <t>147-07</t>
  </si>
  <si>
    <t>814-07</t>
  </si>
  <si>
    <t>149-07</t>
  </si>
  <si>
    <t>144-07</t>
  </si>
  <si>
    <t>151-07</t>
  </si>
  <si>
    <t>815-07</t>
  </si>
  <si>
    <t>153-07</t>
  </si>
  <si>
    <t>150-07</t>
  </si>
  <si>
    <t>148-07</t>
  </si>
  <si>
    <t>816-07</t>
  </si>
  <si>
    <t>155-07</t>
  </si>
  <si>
    <t>157-07</t>
  </si>
  <si>
    <t>BADERTSCHER</t>
  </si>
  <si>
    <t>DIANE</t>
  </si>
  <si>
    <t>152-07</t>
  </si>
  <si>
    <t>159-07</t>
  </si>
  <si>
    <t>817-07</t>
  </si>
  <si>
    <t>154-07</t>
  </si>
  <si>
    <t>156-07</t>
  </si>
  <si>
    <t>161-07</t>
  </si>
  <si>
    <t>163-07</t>
  </si>
  <si>
    <t>818-07</t>
  </si>
  <si>
    <t>165-07</t>
  </si>
  <si>
    <t>160-07</t>
  </si>
  <si>
    <t>167-07</t>
  </si>
  <si>
    <t>ROBINSON</t>
  </si>
  <si>
    <t>KADDIBA</t>
  </si>
  <si>
    <t>819-07</t>
  </si>
  <si>
    <t>162-07</t>
  </si>
  <si>
    <t>169-07</t>
  </si>
  <si>
    <t>164-07</t>
  </si>
  <si>
    <t>171-07</t>
  </si>
  <si>
    <t>166-07</t>
  </si>
  <si>
    <t>173-07</t>
  </si>
  <si>
    <t>168-07</t>
  </si>
  <si>
    <t>175-07</t>
  </si>
  <si>
    <t>821-07</t>
  </si>
  <si>
    <t>170-07</t>
  </si>
  <si>
    <t>177-07</t>
  </si>
  <si>
    <t>179-07</t>
  </si>
  <si>
    <t>822-07</t>
  </si>
  <si>
    <t>174-07</t>
  </si>
  <si>
    <t>59-07</t>
  </si>
  <si>
    <t>176-07</t>
  </si>
  <si>
    <t>183-07</t>
  </si>
  <si>
    <t>823-07</t>
  </si>
  <si>
    <t>178-07</t>
  </si>
  <si>
    <t>180-07</t>
  </si>
  <si>
    <t>824-07</t>
  </si>
  <si>
    <t>187-07</t>
  </si>
  <si>
    <t>182-07</t>
  </si>
  <si>
    <t>189-07</t>
  </si>
  <si>
    <t>184-07</t>
  </si>
  <si>
    <t>191-07</t>
  </si>
  <si>
    <t>825-07</t>
  </si>
  <si>
    <t>186-07</t>
  </si>
  <si>
    <t>904-07</t>
  </si>
  <si>
    <t>195-07</t>
  </si>
  <si>
    <t>826-07</t>
  </si>
  <si>
    <t>827-07</t>
  </si>
  <si>
    <t>190-07</t>
  </si>
  <si>
    <t>197-07</t>
  </si>
  <si>
    <t>199-07</t>
  </si>
  <si>
    <t>828-07</t>
  </si>
  <si>
    <t>829-07</t>
  </si>
  <si>
    <t>194-07</t>
  </si>
  <si>
    <t>196-07</t>
  </si>
  <si>
    <t>203-07</t>
  </si>
  <si>
    <t>830-07</t>
  </si>
  <si>
    <t>75-07</t>
  </si>
  <si>
    <t>198-07</t>
  </si>
  <si>
    <t>831-07</t>
  </si>
  <si>
    <t>205-07</t>
  </si>
  <si>
    <t>200-07</t>
  </si>
  <si>
    <t>207-07</t>
  </si>
  <si>
    <t>SANTIZO</t>
  </si>
  <si>
    <t>D. EDY</t>
  </si>
  <si>
    <t>832-07</t>
  </si>
  <si>
    <t>833-07</t>
  </si>
  <si>
    <t>202-07</t>
  </si>
  <si>
    <t>209-07</t>
  </si>
  <si>
    <t>211-07</t>
  </si>
  <si>
    <t>834-07</t>
  </si>
  <si>
    <t>835-07</t>
  </si>
  <si>
    <t>206-07</t>
  </si>
  <si>
    <t>208-07</t>
  </si>
  <si>
    <t>213-07</t>
  </si>
  <si>
    <t>57-07</t>
  </si>
  <si>
    <t>215-07</t>
  </si>
  <si>
    <t>836-07</t>
  </si>
  <si>
    <t>210-07</t>
  </si>
  <si>
    <t>837-07</t>
  </si>
  <si>
    <t>217-07</t>
  </si>
  <si>
    <t>212-07</t>
  </si>
  <si>
    <t>838-07</t>
  </si>
  <si>
    <t>219-07</t>
  </si>
  <si>
    <t>214-07</t>
  </si>
  <si>
    <t>218-07</t>
  </si>
  <si>
    <t>906-07</t>
  </si>
  <si>
    <t>841-07</t>
  </si>
  <si>
    <t>303-07</t>
  </si>
  <si>
    <t>220-07</t>
  </si>
  <si>
    <t>840-07</t>
  </si>
  <si>
    <t>223-07</t>
  </si>
  <si>
    <t>305-07</t>
  </si>
  <si>
    <t>222-07</t>
  </si>
  <si>
    <t>843-07</t>
  </si>
  <si>
    <t>227-07</t>
  </si>
  <si>
    <t>842-07</t>
  </si>
  <si>
    <t>229-07</t>
  </si>
  <si>
    <t>226-07</t>
  </si>
  <si>
    <t>845-07</t>
  </si>
  <si>
    <t>228-07</t>
  </si>
  <si>
    <t>231-07</t>
  </si>
  <si>
    <t>844-07</t>
  </si>
  <si>
    <t>233-07</t>
  </si>
  <si>
    <t>230-07</t>
  </si>
  <si>
    <t>847-07</t>
  </si>
  <si>
    <t>235-07</t>
  </si>
  <si>
    <t>232-07</t>
  </si>
  <si>
    <t>846-07</t>
  </si>
  <si>
    <t>234-07</t>
  </si>
  <si>
    <t>237-07</t>
  </si>
  <si>
    <t>849-07</t>
  </si>
  <si>
    <t>236-07</t>
  </si>
  <si>
    <t>908-07</t>
  </si>
  <si>
    <t>239-07</t>
  </si>
  <si>
    <t>238-07</t>
  </si>
  <si>
    <t>241-07</t>
  </si>
  <si>
    <t>240-07</t>
  </si>
  <si>
    <t>243-07</t>
  </si>
  <si>
    <t>242-07</t>
  </si>
  <si>
    <t>313-07</t>
  </si>
  <si>
    <t>307-07</t>
  </si>
  <si>
    <t>244-07</t>
  </si>
  <si>
    <t>50-08</t>
  </si>
  <si>
    <t>precipAccumulation</t>
  </si>
  <si>
    <t>precipType</t>
  </si>
  <si>
    <t>snow</t>
  </si>
  <si>
    <t>cloudy</t>
  </si>
  <si>
    <t>Overcast</t>
  </si>
  <si>
    <t>204:785</t>
  </si>
  <si>
    <t>204:160</t>
  </si>
  <si>
    <t>204:233305</t>
  </si>
  <si>
    <t>204:174</t>
  </si>
  <si>
    <t>204:233289</t>
  </si>
  <si>
    <t>204:467</t>
  </si>
  <si>
    <t>204:232970</t>
  </si>
  <si>
    <t>204:233307</t>
  </si>
  <si>
    <t>204:232986</t>
  </si>
  <si>
    <t>204:152</t>
  </si>
  <si>
    <t>204:233319</t>
  </si>
  <si>
    <t>204:232938</t>
  </si>
  <si>
    <t>204:218</t>
  </si>
  <si>
    <t>204:232964</t>
  </si>
  <si>
    <t>204:511</t>
  </si>
  <si>
    <t>204:233240</t>
  </si>
  <si>
    <t>204:477</t>
  </si>
  <si>
    <t>204:233315</t>
  </si>
  <si>
    <t>204:233015</t>
  </si>
  <si>
    <t>204:233000</t>
  </si>
  <si>
    <t>204:233334</t>
  </si>
  <si>
    <t>204:233224</t>
  </si>
  <si>
    <t>204:233287</t>
  </si>
  <si>
    <t>204:17302</t>
  </si>
  <si>
    <t>204:232993</t>
  </si>
  <si>
    <t>204:509</t>
  </si>
  <si>
    <t>204:522</t>
  </si>
  <si>
    <t>204:233308</t>
  </si>
  <si>
    <t>204:233228</t>
  </si>
  <si>
    <t>204:232975</t>
  </si>
  <si>
    <t>204:233227</t>
  </si>
  <si>
    <t>204:233238</t>
  </si>
  <si>
    <t>204:232905</t>
  </si>
  <si>
    <t>204:181</t>
  </si>
  <si>
    <t>204:233006</t>
  </si>
  <si>
    <t>204:489</t>
  </si>
  <si>
    <t>204:233270</t>
  </si>
  <si>
    <t>204:238</t>
  </si>
  <si>
    <t>204:537</t>
  </si>
  <si>
    <t>204:233213</t>
  </si>
  <si>
    <t>204:232882</t>
  </si>
  <si>
    <t>204:233225</t>
  </si>
  <si>
    <t>204:232919</t>
  </si>
  <si>
    <t>204:493</t>
  </si>
  <si>
    <t>204:233320</t>
  </si>
  <si>
    <t>204:535</t>
  </si>
  <si>
    <t>204:233247</t>
  </si>
  <si>
    <t>204:232923</t>
  </si>
  <si>
    <t>204:233246</t>
  </si>
  <si>
    <t>204:232928</t>
  </si>
  <si>
    <t>204:1380</t>
  </si>
  <si>
    <t>204:233209</t>
  </si>
  <si>
    <t>204:194</t>
  </si>
  <si>
    <t>204:233212</t>
  </si>
  <si>
    <t>204:1494</t>
  </si>
  <si>
    <t>204:233174</t>
  </si>
  <si>
    <t>204:232856</t>
  </si>
  <si>
    <t>204:278</t>
  </si>
  <si>
    <t>204:232951</t>
  </si>
  <si>
    <t>204:896</t>
  </si>
  <si>
    <t>204:247</t>
  </si>
  <si>
    <t>204:233222</t>
  </si>
  <si>
    <t>204:232911</t>
  </si>
  <si>
    <t>204:491</t>
  </si>
  <si>
    <t>204:233249</t>
  </si>
  <si>
    <t>204:245</t>
  </si>
  <si>
    <t>204:233203</t>
  </si>
  <si>
    <t>204:568</t>
  </si>
  <si>
    <t>204:233234</t>
  </si>
  <si>
    <t>204:232909</t>
  </si>
  <si>
    <t>204:234</t>
  </si>
  <si>
    <t>204:233301</t>
  </si>
  <si>
    <t>204:232991</t>
  </si>
  <si>
    <t>204:252</t>
  </si>
  <si>
    <t>204:265</t>
  </si>
  <si>
    <t>204:553</t>
  </si>
  <si>
    <t>204:232927</t>
  </si>
  <si>
    <t>204:233217</t>
  </si>
  <si>
    <t>204:232925</t>
  </si>
  <si>
    <t>204:1041</t>
  </si>
  <si>
    <t>204:233221</t>
  </si>
  <si>
    <t>204:586</t>
  </si>
  <si>
    <t>204:232936</t>
  </si>
  <si>
    <t>204:201</t>
  </si>
  <si>
    <t>204:232900</t>
  </si>
  <si>
    <t>204:189</t>
  </si>
  <si>
    <t>204:498</t>
  </si>
  <si>
    <t>204:120129</t>
  </si>
  <si>
    <t>204:231</t>
  </si>
  <si>
    <t>204:500</t>
  </si>
  <si>
    <t>204:562</t>
  </si>
  <si>
    <t>204:232926</t>
  </si>
  <si>
    <t>204:273</t>
  </si>
  <si>
    <t>204:564</t>
  </si>
  <si>
    <t>204:580</t>
  </si>
  <si>
    <t>204:557</t>
  </si>
  <si>
    <t>204:198</t>
  </si>
  <si>
    <t>204:233284</t>
  </si>
  <si>
    <t>204:285</t>
  </si>
  <si>
    <t>204:232948</t>
  </si>
  <si>
    <t>204:236</t>
  </si>
  <si>
    <t>204:571</t>
  </si>
  <si>
    <t>204:232963</t>
  </si>
  <si>
    <t>204:262</t>
  </si>
  <si>
    <t>204:86353</t>
  </si>
  <si>
    <t>204:18768</t>
  </si>
  <si>
    <t>300:19521</t>
  </si>
  <si>
    <t>204:1374</t>
  </si>
  <si>
    <t>300:23289</t>
  </si>
  <si>
    <t>300:19335</t>
  </si>
  <si>
    <t>300:23521</t>
  </si>
  <si>
    <t>204:227</t>
  </si>
  <si>
    <t>300:23635</t>
  </si>
  <si>
    <t>204:548</t>
  </si>
  <si>
    <t>300:23215</t>
  </si>
  <si>
    <t>300:23557</t>
  </si>
  <si>
    <t>300:23745</t>
  </si>
  <si>
    <t>300:23010</t>
  </si>
  <si>
    <t>204:604</t>
  </si>
  <si>
    <t>300:23504</t>
  </si>
  <si>
    <t>204:950</t>
  </si>
  <si>
    <t>204:3213</t>
  </si>
  <si>
    <t>204:1171</t>
  </si>
  <si>
    <t>204:438</t>
  </si>
  <si>
    <t>204:3263</t>
  </si>
  <si>
    <t>204:1190</t>
  </si>
  <si>
    <t>204:1483</t>
  </si>
  <si>
    <t>300:23304</t>
  </si>
  <si>
    <t>204:4586</t>
  </si>
  <si>
    <t>300:58960</t>
  </si>
  <si>
    <t>300:58656</t>
  </si>
  <si>
    <t>204:138</t>
  </si>
  <si>
    <t>300:58971</t>
  </si>
  <si>
    <t>300:58645</t>
  </si>
  <si>
    <t>300:58975</t>
  </si>
  <si>
    <t>204:441</t>
  </si>
  <si>
    <t>300:58976</t>
  </si>
  <si>
    <t>300:58647</t>
  </si>
  <si>
    <t>300:58664</t>
  </si>
  <si>
    <t>300:58668</t>
  </si>
  <si>
    <t>204:439</t>
  </si>
  <si>
    <t>300:58660</t>
  </si>
  <si>
    <t>204:448</t>
  </si>
  <si>
    <t>300:58980</t>
  </si>
  <si>
    <t>300:58662</t>
  </si>
  <si>
    <t>300:58967</t>
  </si>
  <si>
    <t>300:58643</t>
  </si>
  <si>
    <t>204:213</t>
  </si>
  <si>
    <t>300:58990</t>
  </si>
  <si>
    <t>204:146</t>
  </si>
  <si>
    <t>204:157</t>
  </si>
  <si>
    <t>300:58997</t>
  </si>
  <si>
    <t>300:56111</t>
  </si>
  <si>
    <t>300:58928</t>
  </si>
  <si>
    <t>300:58604</t>
  </si>
  <si>
    <t>204:140</t>
  </si>
  <si>
    <t>300:58613</t>
  </si>
  <si>
    <t>300:58918</t>
  </si>
  <si>
    <t>300:58907</t>
  </si>
  <si>
    <t>300:58922</t>
  </si>
  <si>
    <t>300:58920</t>
  </si>
  <si>
    <t>300:30436</t>
  </si>
  <si>
    <t>300:58956</t>
  </si>
  <si>
    <t>300:23813</t>
  </si>
  <si>
    <t>300:19548</t>
  </si>
  <si>
    <t>300:24263</t>
  </si>
  <si>
    <t>300:23472</t>
  </si>
  <si>
    <t>204:195</t>
  </si>
  <si>
    <t>300:58606</t>
  </si>
  <si>
    <t>300:28782</t>
  </si>
  <si>
    <t>start /low /b %USERPROFILE%\Documents\GitHub\eaglep3\Utilities\DownloadLogsFromS3.py --loco 4013 --day 2017-12-07</t>
  </si>
  <si>
    <t>start /low /b %USERPROFILE%\Documents\GitHub\eaglep3\Utilities\DownloadLogsFromS3.py --loco 4022 --day 2017-12-07</t>
  </si>
  <si>
    <t>start /low /b %USERPROFILE%\Documents\GitHub\eaglep3\Utilities\DownloadLogsFromS3.py --loco 4060 --day 2017-12-07</t>
  </si>
  <si>
    <t>start /low /b %USERPROFILE%\Documents\GitHub\eaglep3\Utilities\DownloadLogsFromS3.py --loco 4057 --day 2017-12-08</t>
  </si>
  <si>
    <t>start /low /b %USERPROFILE%\Documents\GitHub\eaglep3\Utilities\DownloadLogsFromS3.py --loco 4043 --day 2017-12-07</t>
  </si>
  <si>
    <t>start /low /b %USERPROFILE%\Documents\GitHub\eaglep3\Utilities\DownloadLogsFromS3.py --loco 4023 --day 2017-12-07</t>
  </si>
  <si>
    <t>start /low /b %USERPROFILE%\Documents\GitHub\eaglep3\Utilities\DownloadLogsFromS3.py --loco 4055 --day 2017-12-08</t>
  </si>
  <si>
    <t>start /low /b %USERPROFILE%\Documents\GitHub\eaglep3\Utilities\DownloadLogsFromS3.py --loco 4057 --day 2017-12-07</t>
  </si>
  <si>
    <t>start /low /b %USERPROFILE%\Documents\GitHub\eaglep3\Utilities\DownloadLogsFromS3.py --loco 4027 --day 2017-12-08</t>
  </si>
  <si>
    <t>start /low /b %USERPROFILE%\Documents\GitHub\eaglep3\Utilities\DownloadLogsFromS3.py --loco 4055 --day 2017-12-07</t>
  </si>
  <si>
    <t>start /low /b %USERPROFILE%\Documents\GitHub\eaglep3\Utilities\DownloadLogsFromS3.py --loco 4054 --day 2017-12-07</t>
  </si>
  <si>
    <t>start /low /b %USERPROFILE%\Documents\GitHub\eaglep3\Utilities\DownloadLogsFromS3.py --loco 4060 --day 2017-12-08</t>
  </si>
  <si>
    <t>start /low /b %USERPROFILE%\Documents\GitHub\eaglep3\Utilities\DownloadLogsFromS3.py --loco 4036 --day 2017-12-08</t>
  </si>
  <si>
    <t>start /low /b %USERPROFILE%\Documents\GitHub\eaglep3\Utilities\DownloadLogsFromS3.py --loco 4027 --day 2017-12-07</t>
  </si>
  <si>
    <t>start /low /b %USERPROFILE%\Documents\GitHub\eaglep3\Utilities\DownloadLogsFromS3.py --loco 4035 --day 2017-12-07</t>
  </si>
  <si>
    <t>start /low /b %USERPROFILE%\Documents\GitHub\eaglep3\Utilities\DownloadLogsFromS3.py --loco 4035 --day 2017-12-08</t>
  </si>
  <si>
    <t>start /low /b %USERPROFILE%\Documents\GitHub\eaglep3\Utilities\DownloadLogsFromS3.py --loco 4028 --day 2017-12-07</t>
  </si>
  <si>
    <t>start /low /b %USERPROFILE%\Documents\GitHub\eaglep3\Utilities\DownloadLogsFromS3.py --loco 4056 --day 2017-12-07</t>
  </si>
  <si>
    <t>start /low /b %USERPROFILE%\Documents\GitHub\eaglep3\Utilities\DownloadLogsFromS3.py --loco 4024 --day 2017-12-07</t>
  </si>
  <si>
    <t>start /low /b %USERPROFILE%\Documents\GitHub\eaglep3\Utilities\DownloadLogsFromS3.py --loco 4044 --day 2017-12-08</t>
  </si>
  <si>
    <t>DUS signal house issue</t>
  </si>
  <si>
    <t>Delayed by brake pipe issue with RTDC4022</t>
  </si>
  <si>
    <t>Overspeed</t>
  </si>
  <si>
    <t>Poor  GPS @ Wewatta</t>
  </si>
  <si>
    <t>Brief Wi-MAX data drop caused unhealthy banner</t>
  </si>
  <si>
    <t>Unhealthy @ Chambers due to train stop</t>
  </si>
  <si>
    <t>Enforced for overspeed (58220)</t>
  </si>
  <si>
    <t>Delayed by inability to select map - reverser handle not in forward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</si>
</sst>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35"/>
  <sheetViews>
    <sheetView tabSelected="1" topLeftCell="A165" zoomScaleNormal="100" workbookViewId="0">
      <selection activeCell="R184" sqref="R184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7" customWidth="1"/>
    <col min="20" max="20" width="3.85546875" style="166" customWidth="1"/>
    <col min="21" max="21" width="5" style="194" customWidth="1"/>
    <col min="22" max="22" width="5.7109375" style="215" customWidth="1"/>
    <col min="23" max="23" width="3.85546875" style="200" customWidth="1"/>
    <col min="24" max="24" width="6.5703125" style="200" customWidth="1"/>
    <col min="25" max="25" width="8.85546875" style="200" customWidth="1"/>
    <col min="26" max="26" width="7.28515625" style="200" customWidth="1"/>
    <col min="27" max="27" width="9.140625" style="200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6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6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7"/>
      <c r="M1" s="35"/>
      <c r="N1" s="36"/>
      <c r="O1" s="2"/>
      <c r="P1" s="2"/>
      <c r="R1" s="159" t="s">
        <v>103</v>
      </c>
      <c r="S1" s="123"/>
      <c r="T1" s="167"/>
      <c r="U1" s="190"/>
      <c r="V1" s="206"/>
      <c r="W1" s="190"/>
      <c r="X1" s="194"/>
      <c r="Y1" s="200"/>
      <c r="Z1" s="200"/>
      <c r="AA1" s="200"/>
      <c r="AB1" s="52"/>
      <c r="AC1" s="49"/>
      <c r="AD1" s="2"/>
      <c r="AE1" s="1"/>
      <c r="AF1" s="1"/>
      <c r="AG1" s="180"/>
      <c r="AH1" s="47"/>
      <c r="AI1" s="1"/>
      <c r="AM1" s="141"/>
      <c r="AO1" s="166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43076</v>
      </c>
      <c r="J2" s="58"/>
      <c r="K2" s="59"/>
      <c r="L2" s="168"/>
      <c r="M2" s="60" t="s">
        <v>8</v>
      </c>
      <c r="N2" s="61"/>
      <c r="O2" s="62"/>
      <c r="P2" s="2"/>
      <c r="R2" s="57">
        <f>Variables!$A$2</f>
        <v>43076</v>
      </c>
      <c r="S2" s="203"/>
      <c r="T2" s="168"/>
      <c r="U2" s="191"/>
      <c r="V2" s="207" t="s">
        <v>8</v>
      </c>
      <c r="W2" s="208"/>
      <c r="X2" s="197"/>
      <c r="Y2" s="200"/>
      <c r="Z2" s="200"/>
      <c r="AA2" s="200"/>
      <c r="AB2" s="52"/>
      <c r="AC2" s="49"/>
      <c r="AD2" s="2"/>
      <c r="AE2" s="1"/>
      <c r="AF2" s="1"/>
      <c r="AG2" s="180"/>
      <c r="AH2" s="47"/>
      <c r="AI2" s="1"/>
      <c r="AM2" s="141"/>
      <c r="AO2" s="166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69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4"/>
      <c r="T3" s="169"/>
      <c r="U3" s="192"/>
      <c r="V3" s="209" t="s">
        <v>11</v>
      </c>
      <c r="W3" s="210" t="s">
        <v>12</v>
      </c>
      <c r="X3" s="198" t="s">
        <v>13</v>
      </c>
      <c r="Y3" s="200"/>
      <c r="Z3" s="200"/>
      <c r="AA3" s="200"/>
      <c r="AB3" s="52"/>
      <c r="AC3" s="49"/>
      <c r="AD3" s="2"/>
      <c r="AE3" s="1"/>
      <c r="AF3" s="1"/>
      <c r="AG3" s="180"/>
      <c r="AH3" s="47"/>
      <c r="AI3" s="1"/>
      <c r="AM3" s="141"/>
      <c r="AO3" s="166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0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5">
        <f>SUM(S5:S7)</f>
        <v>49</v>
      </c>
      <c r="T4" s="170"/>
      <c r="U4" s="193"/>
      <c r="V4" s="209" t="s">
        <v>15</v>
      </c>
      <c r="W4" s="210" t="s">
        <v>15</v>
      </c>
      <c r="X4" s="198" t="s">
        <v>15</v>
      </c>
      <c r="Y4" s="200"/>
      <c r="Z4" s="200"/>
      <c r="AA4" s="200"/>
      <c r="AB4" s="52"/>
      <c r="AC4" s="49"/>
      <c r="AD4" s="2"/>
      <c r="AE4" s="1"/>
      <c r="AF4" s="1"/>
      <c r="AG4" s="180"/>
      <c r="AH4" s="47"/>
      <c r="AI4" s="1"/>
      <c r="AM4" s="141"/>
      <c r="AO4" s="166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COUNTIFS($N$13:$N$9578,"&gt;0",$AG$13:$AG$9578,I1)</f>
        <v>141</v>
      </c>
      <c r="K5" s="39"/>
      <c r="L5" s="170"/>
      <c r="M5" s="40">
        <f>AVERAGEIFS($N$13:$N$9578,$AG$13:$AG$9578,I1)</f>
        <v>37.040780141870393</v>
      </c>
      <c r="N5" s="38">
        <f t="array" ref="N5">MIN(IF($AG$13:$AG$9578=I1,IF(ISNUMBER($N$13:$N$9578),IF($N$13:$N$9578&gt;0,$N$13:$N$9578))))</f>
        <v>33.433333332650363</v>
      </c>
      <c r="O5" s="3">
        <f t="array" ref="O5">MAX(IF($AG$13:$AG$9578=I1,IF(ISNUMBER($N$13:$N$9578),IF($N$13:$N$9578&gt;0,$N$13:$N$9578))))</f>
        <v>43.949999995529652</v>
      </c>
      <c r="P5" s="2"/>
      <c r="R5" s="162" t="s">
        <v>17</v>
      </c>
      <c r="S5" s="205">
        <f>COUNTIFS($N$13:$N$9578,"&gt;0",$AG$13:$AG$9578,R1)</f>
        <v>49</v>
      </c>
      <c r="T5" s="170"/>
      <c r="U5" s="193"/>
      <c r="V5" s="209">
        <f>AVERAGEIFS($N$13:$N$9578,$AG$13:$AG$9578,R1)</f>
        <v>13.969727891226469</v>
      </c>
      <c r="W5" s="210">
        <f t="array" ref="W5">MIN(IF($AG$13:$AG$9578=R1,IF(ISNUMBER($N$13:$N$9578),IF($N$13:$N$9578&gt;0,$N$13:$N$9578))))</f>
        <v>10.083333333022892</v>
      </c>
      <c r="X5" s="198">
        <f t="array" ref="X5">MAX(IF($AG$13:$AG$9578=R1,IF(ISNUMBER($N$13:$N$9578),IF($N$13:$N$9578&gt;0,$N$13:$N$9578))))</f>
        <v>17.916666663950309</v>
      </c>
      <c r="Y5" s="200"/>
      <c r="Z5" s="200"/>
      <c r="AA5" s="200"/>
      <c r="AB5" s="52"/>
      <c r="AC5" s="49"/>
      <c r="AD5" s="2"/>
      <c r="AE5" s="1"/>
      <c r="AF5" s="1"/>
      <c r="AG5" s="180"/>
      <c r="AH5" s="47"/>
      <c r="AI5" s="1"/>
      <c r="AM5" s="141"/>
      <c r="AO5" s="166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COUNT($O$13:$O$336)</f>
        <v>0</v>
      </c>
      <c r="K6" s="39"/>
      <c r="L6" s="170"/>
      <c r="M6" s="40">
        <f>IFERROR(AVERAGE($O$13:$O$336),0)</f>
        <v>0</v>
      </c>
      <c r="N6" s="38">
        <f>MIN($O$13:$O$336)</f>
        <v>0</v>
      </c>
      <c r="O6" s="3">
        <f>MAX($O$13:$O$336)</f>
        <v>0</v>
      </c>
      <c r="P6" s="2"/>
      <c r="R6" s="163" t="s">
        <v>43</v>
      </c>
      <c r="S6" s="205">
        <f>COUNT($O$13:$O$336)</f>
        <v>0</v>
      </c>
      <c r="T6" s="170"/>
      <c r="U6" s="193"/>
      <c r="V6" s="209">
        <f>IFERROR(AVERAGE($O$13:$O$336),0)</f>
        <v>0</v>
      </c>
      <c r="W6" s="210">
        <f>MIN($O$13:$O$336)</f>
        <v>0</v>
      </c>
      <c r="X6" s="198">
        <f>MAX($O$13:$O$336)</f>
        <v>0</v>
      </c>
      <c r="Y6" s="200"/>
      <c r="Z6" s="200"/>
      <c r="AA6" s="200"/>
      <c r="AB6" s="52"/>
      <c r="AC6" s="49"/>
      <c r="AD6" s="2"/>
      <c r="AE6" s="1"/>
      <c r="AF6" s="1"/>
      <c r="AG6" s="180"/>
      <c r="AH6" s="47"/>
      <c r="AI6" s="1"/>
      <c r="AM6" s="141"/>
      <c r="AO6" s="166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COUNTIFS($P$13:$P$9578,"&gt;0",$AG$13:$AG$9578,I1)</f>
        <v>3</v>
      </c>
      <c r="K7" s="39"/>
      <c r="L7" s="170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5">
        <f>COUNTIFS($P$13:$P$9578,"&gt;0",$AG$13:$AG$9578,R1)</f>
        <v>0</v>
      </c>
      <c r="T7" s="170"/>
      <c r="U7" s="193"/>
      <c r="V7" s="209" t="s">
        <v>15</v>
      </c>
      <c r="W7" s="210" t="s">
        <v>15</v>
      </c>
      <c r="X7" s="198" t="s">
        <v>15</v>
      </c>
      <c r="Y7" s="200"/>
      <c r="Z7" s="200"/>
      <c r="AA7" s="200"/>
      <c r="AB7" s="52"/>
      <c r="AC7" s="49"/>
      <c r="AD7" s="2"/>
      <c r="AE7" s="1"/>
      <c r="AF7" s="1"/>
      <c r="AG7" s="180"/>
      <c r="AH7" s="47"/>
      <c r="AI7" s="1"/>
      <c r="AM7" s="141"/>
      <c r="AO7" s="166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0"/>
      <c r="M8" s="40">
        <f>M5</f>
        <v>37.040780141870393</v>
      </c>
      <c r="N8" s="38">
        <f>N5</f>
        <v>33.433333332650363</v>
      </c>
      <c r="O8" s="3">
        <f>O5</f>
        <v>43.949999995529652</v>
      </c>
      <c r="P8" s="2"/>
      <c r="R8" s="162" t="s">
        <v>16</v>
      </c>
      <c r="S8" s="205">
        <f>S5</f>
        <v>49</v>
      </c>
      <c r="T8" s="170"/>
      <c r="U8" s="193"/>
      <c r="V8" s="209">
        <f>V5</f>
        <v>13.969727891226469</v>
      </c>
      <c r="W8" s="210">
        <f>W5</f>
        <v>10.083333333022892</v>
      </c>
      <c r="X8" s="198">
        <f>X5</f>
        <v>17.916666663950309</v>
      </c>
      <c r="Y8" s="200"/>
      <c r="Z8" s="200"/>
      <c r="AA8" s="200"/>
      <c r="AB8" s="52"/>
      <c r="AC8" s="49"/>
      <c r="AD8" s="2"/>
      <c r="AE8" s="1"/>
      <c r="AF8" s="1"/>
      <c r="AG8" s="180"/>
      <c r="AH8" s="47"/>
      <c r="AI8" s="1"/>
      <c r="AM8" s="141"/>
      <c r="AO8" s="166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67"/>
      <c r="M9" s="69"/>
      <c r="N9" s="36"/>
      <c r="O9" s="70"/>
      <c r="P9" s="2"/>
      <c r="R9" s="162" t="s">
        <v>19</v>
      </c>
      <c r="S9" s="123">
        <f>S8/S4</f>
        <v>1</v>
      </c>
      <c r="T9" s="167"/>
      <c r="U9" s="190"/>
      <c r="V9" s="211"/>
      <c r="W9" s="190"/>
      <c r="X9" s="199"/>
      <c r="Y9" s="200"/>
      <c r="Z9" s="200"/>
      <c r="AA9" s="200"/>
      <c r="AB9" s="52"/>
      <c r="AC9" s="49"/>
      <c r="AD9" s="2"/>
      <c r="AE9" s="1"/>
      <c r="AF9" s="1"/>
      <c r="AG9" s="180"/>
      <c r="AH9" s="47"/>
      <c r="AI9" s="1"/>
      <c r="AM9" s="141"/>
      <c r="AO9" s="166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7"/>
      <c r="M10" s="35"/>
      <c r="N10" s="36"/>
      <c r="O10" s="2"/>
      <c r="P10" s="2"/>
      <c r="R10" s="160"/>
      <c r="S10" s="217"/>
      <c r="T10" s="166"/>
      <c r="U10" s="194"/>
      <c r="V10" s="212"/>
      <c r="W10" s="200"/>
      <c r="X10" s="200"/>
      <c r="Y10" s="200"/>
      <c r="Z10" s="200"/>
      <c r="AA10" s="200"/>
      <c r="AB10" s="52"/>
      <c r="AC10" s="49"/>
      <c r="AD10" s="2"/>
      <c r="AE10" s="1"/>
      <c r="AF10" s="1"/>
      <c r="AG10" s="180"/>
      <c r="AH10" s="47"/>
      <c r="AI10" s="1"/>
      <c r="AM10" s="141"/>
      <c r="AO10" s="166"/>
    </row>
    <row r="11" spans="1:91" ht="16.5" thickBot="1" x14ac:dyDescent="0.3">
      <c r="A11" s="250" t="str">
        <f>"Eagle P3 System Performance - "&amp;TEXT(Variables!A2,"yyyy-mm-dd")</f>
        <v>Eagle P3 System Performance - 2017-12-07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7">
        <f>AVERAGE(S13:S138)</f>
        <v>1</v>
      </c>
      <c r="V11" s="212"/>
      <c r="AE11" s="1"/>
      <c r="AF11" s="1"/>
      <c r="AG11" s="180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2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8" t="s">
        <v>63</v>
      </c>
      <c r="T12" s="171" t="s">
        <v>64</v>
      </c>
      <c r="U12" s="195" t="s">
        <v>65</v>
      </c>
      <c r="V12" s="213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3" t="s">
        <v>39</v>
      </c>
      <c r="AC12" s="50" t="s">
        <v>40</v>
      </c>
      <c r="AD12" s="176" t="s">
        <v>82</v>
      </c>
      <c r="AE12" s="76" t="s">
        <v>89</v>
      </c>
      <c r="AF12" s="73" t="s">
        <v>93</v>
      </c>
      <c r="AG12" s="175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5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678</v>
      </c>
      <c r="B13" s="7">
        <v>4060</v>
      </c>
      <c r="C13" s="21" t="s">
        <v>192</v>
      </c>
      <c r="D13" s="21" t="s">
        <v>921</v>
      </c>
      <c r="E13" s="13">
        <v>43076.124756944446</v>
      </c>
      <c r="F13" s="13">
        <v>43076.135613425926</v>
      </c>
      <c r="G13" s="7">
        <v>61</v>
      </c>
      <c r="H13" s="21" t="s">
        <v>459</v>
      </c>
      <c r="I13" s="13">
        <v>43076.159814814811</v>
      </c>
      <c r="J13" s="7">
        <v>1</v>
      </c>
      <c r="K13" s="89" t="str">
        <f t="shared" ref="K13:K76" si="0">IF(ISEVEN(B13),(B13-1)&amp;"/"&amp;B13,B13&amp;"/"&amp;(B13+1))</f>
        <v>4059/4060</v>
      </c>
      <c r="L13" s="183" t="str">
        <f>VLOOKUP(A13,'Trips&amp;Operators'!$C$1:$G$99911,5,FALSE)</f>
        <v>YORK EDGAR</v>
      </c>
      <c r="M13" s="6">
        <f t="shared" ref="M13:M76" si="1">I13-F13</f>
        <v>2.4201388885558117E-2</v>
      </c>
      <c r="N13" s="7">
        <f t="shared" ref="N13:N53" si="2">24*60*SUM($M13:$M13)</f>
        <v>34.849999995203689</v>
      </c>
      <c r="O13" s="7"/>
      <c r="P13" s="225"/>
      <c r="Q13" s="22"/>
      <c r="R13" s="242"/>
      <c r="S13" s="249">
        <f t="shared" ref="S13:S44" si="3">1/IF(AG13="EC",12,1)*SUM(U13:U13)</f>
        <v>1</v>
      </c>
      <c r="T13" s="172" t="str">
        <f t="shared" ref="T13:T76" si="4">IF(ISEVEN(LEFT(AD13,4)),"Southbound","NorthBound")</f>
        <v>NorthBound</v>
      </c>
      <c r="U13" s="19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-07T01:59:39-0700',mode:absolute,to:'2017-12-07T04:50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" s="202" t="str">
        <f>IF(AA13&lt;VLOOKUP(AG13,Variables!$AC$3:$AD$8,2,FALSE),"Y","N")</f>
        <v>N</v>
      </c>
      <c r="X13" s="202" t="e">
        <f t="shared" ref="X13:X44" si="6">VALUE(LEFT(AD13,4))-VALUE(LEFT(AD12,4))</f>
        <v>#VALUE!</v>
      </c>
      <c r="Y13" s="202">
        <f t="shared" ref="Y13:Y44" si="7">RIGHT(D13,LEN(D13)-4)/10000</f>
        <v>7.85E-2</v>
      </c>
      <c r="Z13" s="202">
        <f t="shared" ref="Z13:Z44" si="8">RIGHT(H13,LEN(H13)-4)/10000</f>
        <v>23.329699999999999</v>
      </c>
      <c r="AA13" s="202">
        <f t="shared" ref="AA13:AA76" si="9">ABS(Z13-Y13)</f>
        <v>23.251200000000001</v>
      </c>
      <c r="AB13" s="54" t="e">
        <f>VLOOKUP(A13,Enforcements!$C$7:$K$9,8,0)</f>
        <v>#N/A</v>
      </c>
      <c r="AC13" s="51" t="e">
        <f>VLOOKUP(A13,Enforcements!$C$7:$E$9,3,0)</f>
        <v>#N/A</v>
      </c>
      <c r="AD13" s="177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s3://rtdc.mdm.uploadarchive.raw/RTDC4060/ "%USERPROFILE%\AppData\Local\Temp\OnboardLogs"\RTDC4060\2017-12-07 --exclude "*" --recursive --include "*20171207*" &amp; "%USERPROFILE%\Documents\GitHub\mrs-test-scripts\Headless Mode &amp; Sideloading\WalkAndUnGZ.bat" "%USERPROFILE%\AppData\Local\Temp\OnboardLogs"\RTDC4060\2017-12-07 &amp; aws s3 cp s3://rtdc.mdm.uploadarchive.raw/RTDC4060/ "%USERPROFILE%\AppData\Local\Temp\OnboardLogs"\RTDC4060\2017-12-08 --exclude "*" --recursive --include "*20171208*" &amp; "%USERPROFILE%\Documents\GitHub\mrs-test-scripts\Headless Mode &amp; Sideloading\WalkAndUnGZ.bat" "%USERPROFILE%\AppData\Local\Temp\OnboardLogs"\RTDC4060\2017-12-08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/stypes="app*4060*20171207*" /stext=" 10:.+((SYSTEM_STATE.+slice.+state.+changed )|(ment ac)|(multiple cpu faults)|(system.+state.+changed )|(\[timeout)|(PRM\|1\|D)|(kpr)|(kdp)|(train st.+moving)|(\|lc)|(penalty))"</v>
      </c>
      <c r="AG13" s="180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4060 --swversion DE.1.0.9.0 --startMP 204:785 --initTime 2017-12-07T02:59:39 --startdatetime 2017-12-07T03:15:17 --delay 61 --endMP 204:233297 --enddatetime 2017-12-07T03:50:08 --enforcementcount 1 &gt;&gt;%USERPROFILE%\Documents\GitHub\eaglep3-reporting\EC\2017-12-07-refined-times.txt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{"issue":{"subject":"","project_id":79,"tracker_id":40,"status_id":1,"priority_id":2,"assigned_to_id":338,"start_date":"2017-12-07","description":"","custom_fields":[{"id":1,"name":"Subdivision","value":"EC"},{"id":4,"name":"Milepost","value":"23.3297"},{"id":17,"name":"Train ID","value":"101-07"},{"id":16,"name":"Locomotive ID","value":"4060"},{"id":130,"name":"Impact","value":""},{"id":150,"name":"Time of Event (Mountain Time)","value":"03:50:08"},{"id":151,"name":"Denver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4060 --day 2017-12-07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10:50:08"},{"id":29,"name":"Sharepoint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6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-07T01:59:39-0700',mode:absolute,to:'2017-12-07T04:50:08-0700'))&amp;_a=(columns:!('Message%20ID',Summary),filters:!(),index:'emp_*',interval:auto,query:(query_string:(analyze_wildcard:!t,query:'%22rtdc.l.rtdc.4060%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9" t="s">
        <v>715</v>
      </c>
      <c r="B14" s="225">
        <v>4059</v>
      </c>
      <c r="C14" s="227" t="s">
        <v>192</v>
      </c>
      <c r="D14" s="227" t="s">
        <v>651</v>
      </c>
      <c r="E14" s="226">
        <v>43076.160752314812</v>
      </c>
      <c r="F14" s="226">
        <v>43076.175162037034</v>
      </c>
      <c r="G14" s="225">
        <v>49</v>
      </c>
      <c r="H14" s="227" t="s">
        <v>922</v>
      </c>
      <c r="I14" s="226">
        <v>43076.20039351852</v>
      </c>
      <c r="J14" s="225">
        <v>1</v>
      </c>
      <c r="K14" s="237" t="str">
        <f t="shared" si="0"/>
        <v>4059/4060</v>
      </c>
      <c r="L14" s="245" t="str">
        <f>VLOOKUP(A14,'Trips&amp;Operators'!$C$1:$G$99911,5,FALSE)</f>
        <v>YORK EDGAR</v>
      </c>
      <c r="M14" s="224">
        <f t="shared" si="1"/>
        <v>2.5231481486116536E-2</v>
      </c>
      <c r="N14" s="225">
        <f t="shared" si="2"/>
        <v>36.333333340007812</v>
      </c>
      <c r="O14" s="225"/>
      <c r="P14" s="225"/>
      <c r="Q14" s="228"/>
      <c r="R14" s="242"/>
      <c r="S14" s="249">
        <f t="shared" si="3"/>
        <v>1</v>
      </c>
      <c r="T14" s="242" t="str">
        <f t="shared" si="4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 t="shared" si="5"/>
        <v>https://d0f6bd738d7f1b3e5a7ca70fe4ff75f0.us-east-1.aws.found.io/app/kibana#/discover/Steve-Slow-Train-Analysis-(2080s-and-2083s)?_g=(refreshInterval:(display:Off,pause:!f,section:0,value:0),time:(from:'2017-12-07T02:51:29-0700',mode:absolute,to:'2017-12-07T05:48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" s="247" t="str">
        <f>IF(AA14&lt;VLOOKUP(AG14,Variables!$AC$3:$AD$8,2,FALSE),"Y","N")</f>
        <v>N</v>
      </c>
      <c r="X14" s="247">
        <f t="shared" si="6"/>
        <v>1</v>
      </c>
      <c r="Y14" s="247">
        <f t="shared" si="7"/>
        <v>23.298300000000001</v>
      </c>
      <c r="Z14" s="247">
        <f t="shared" si="8"/>
        <v>1.6E-2</v>
      </c>
      <c r="AA14" s="247">
        <f t="shared" si="9"/>
        <v>23.282300000000003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10"/>
        <v>102</v>
      </c>
      <c r="AE14" s="235" t="str">
        <f t="shared" si="11"/>
        <v>aws s3 cp s3://rtdc.mdm.uploadarchive.raw/RTDC4059/ "%USERPROFILE%\AppData\Local\Temp\OnboardLogs"\RTDC4059\2017-12-07 --exclude "*" --recursive --include "*20171207*" &amp; "%USERPROFILE%\Documents\GitHub\mrs-test-scripts\Headless Mode &amp; Sideloading\WalkAndUnGZ.bat" "%USERPROFILE%\AppData\Local\Temp\OnboardLogs"\RTDC4059\2017-12-07 &amp; aws s3 cp s3://rtdc.mdm.uploadarchive.raw/RTDC4059/ "%USERPROFILE%\AppData\Local\Temp\OnboardLogs"\RTDC4059\2017-12-08 --exclude "*" --recursive --include "*20171208*" &amp; "%USERPROFILE%\Documents\GitHub\mrs-test-scripts\Headless Mode &amp; Sideloading\WalkAndUnGZ.bat" "%USERPROFILE%\AppData\Local\Temp\OnboardLogs"\RTDC4059\2017-12-08</v>
      </c>
      <c r="AF14" s="234" t="str">
        <f t="shared" si="12"/>
        <v>"C:\Program Files (x86)\AstroGrep\AstroGrep.exe" /e /r /s /spath="%USERPROFILE%\AppData\Local\Temp\OnboardLogs" /stypes="app*4059*20171207*" /stext=" 11:.+((SYSTEM_STATE.+slice.+state.+changed )|(ment ac)|(multiple cpu faults)|(system.+state.+changed )|(\[timeout)|(PRM\|1\|D)|(kpr)|(kdp)|(train st.+moving)|(\|lc)|(penalty))"</v>
      </c>
      <c r="AG14" s="244" t="str">
        <f t="shared" si="13"/>
        <v>EC</v>
      </c>
      <c r="AH14" s="236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4059 --swversion DE.1.0.9.0 --startMP 204:232983 --initTime 2017-12-07T03:51:29 --startdatetime 2017-12-07T04:12:14 --delay 49 --endMP 204:160 --enddatetime 2017-12-07T04:48:34 --enforcementcount 1 &gt;&gt;%USERPROFILE%\Documents\GitHub\eaglep3-reporting\EC\2017-12-07-refined-times.txt</v>
      </c>
      <c r="AI14" s="238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{"issue":{"subject":"","project_id":79,"tracker_id":40,"status_id":1,"priority_id":2,"assigned_to_id":338,"start_date":"2017-12-07","description":"","custom_fields":[{"id":1,"name":"Subdivision","value":"EC"},{"id":4,"name":"Milepost","value":"0.016"},{"id":17,"name":"Train ID","value":"102-07"},{"id":16,"name":"Locomotive ID","value":"4059"},{"id":130,"name":"Impact","value":""},{"id":150,"name":"Time of Event (Mountain Time)","value":"04:48:34"},{"id":151,"name":"Denver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21">"start /low /b "&amp;dls3logs&amp;" --loco "&amp;B14&amp;" --day "&amp;TEXT(F14,"YYYY-MM-DD")</f>
        <v>start /low /b %USERPROFILE%\Documents\GitHub\eaglep3\Utilities\DownloadLogsFromS3.py --loco 4059 --day 2017-12-07</v>
      </c>
      <c r="AN14" s="24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11:48:34"},{"id":29,"name":"Sharepoint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-07T02:51:29-0700',mode:absolute,to:'2017-12-07T05:48:34-0700'))&amp;_a=(columns:!('Message%20ID',Summary),filters:!(),index:'emp_*',interval:auto,query:(query_string:(analyze_wildcard:!t,query:'%22rtdc.l.rtdc.4059%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9" t="s">
        <v>712</v>
      </c>
      <c r="B15" s="225">
        <v>4056</v>
      </c>
      <c r="C15" s="227" t="s">
        <v>192</v>
      </c>
      <c r="D15" s="227" t="s">
        <v>655</v>
      </c>
      <c r="E15" s="226">
        <v>43076.151585648149</v>
      </c>
      <c r="F15" s="226">
        <v>43076.156469907408</v>
      </c>
      <c r="G15" s="225">
        <v>63</v>
      </c>
      <c r="H15" s="227" t="s">
        <v>923</v>
      </c>
      <c r="I15" s="226">
        <v>43076.181192129632</v>
      </c>
      <c r="J15" s="225">
        <v>1</v>
      </c>
      <c r="K15" s="237" t="str">
        <f t="shared" si="0"/>
        <v>4055/4056</v>
      </c>
      <c r="L15" s="245" t="str">
        <f>VLOOKUP(A15,'Trips&amp;Operators'!$C$1:$G$99911,5,FALSE)</f>
        <v>MAELZER KURT</v>
      </c>
      <c r="M15" s="224">
        <f t="shared" si="1"/>
        <v>2.4722222224227153E-2</v>
      </c>
      <c r="N15" s="225">
        <f t="shared" si="2"/>
        <v>35.6000000028871</v>
      </c>
      <c r="O15" s="225"/>
      <c r="P15" s="225"/>
      <c r="Q15" s="228"/>
      <c r="R15" s="242"/>
      <c r="S15" s="249">
        <f t="shared" si="3"/>
        <v>1</v>
      </c>
      <c r="T15" s="242" t="str">
        <f t="shared" si="4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5"/>
        <v>https://d0f6bd738d7f1b3e5a7ca70fe4ff75f0.us-east-1.aws.found.io/app/kibana#/discover/Steve-Slow-Train-Analysis-(2080s-and-2083s)?_g=(refreshInterval:(display:Off,pause:!f,section:0,value:0),time:(from:'2017-12-07T02:38:17-0700',mode:absolute,to:'2017-12-07T05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" s="247" t="str">
        <f>IF(AA15&lt;VLOOKUP(AG15,Variables!$AC$3:$AD$8,2,FALSE),"Y","N")</f>
        <v>N</v>
      </c>
      <c r="X15" s="247">
        <f t="shared" si="6"/>
        <v>1</v>
      </c>
      <c r="Y15" s="247">
        <f t="shared" si="7"/>
        <v>4.9500000000000002E-2</v>
      </c>
      <c r="Z15" s="247">
        <f t="shared" si="8"/>
        <v>23.330500000000001</v>
      </c>
      <c r="AA15" s="247">
        <f t="shared" si="9"/>
        <v>23.281000000000002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10"/>
        <v>103</v>
      </c>
      <c r="AE15" s="235" t="str">
        <f t="shared" si="11"/>
        <v>aws s3 cp s3://rtdc.mdm.uploadarchive.raw/RTDC4056/ "%USERPROFILE%\AppData\Local\Temp\OnboardLogs"\RTDC4056\2017-12-07 --exclude "*" --recursive --include "*20171207*" &amp; "%USERPROFILE%\Documents\GitHub\mrs-test-scripts\Headless Mode &amp; Sideloading\WalkAndUnGZ.bat" "%USERPROFILE%\AppData\Local\Temp\OnboardLogs"\RTDC4056\2017-12-07 &amp; aws s3 cp s3://rtdc.mdm.uploadarchive.raw/RTDC4056/ "%USERPROFILE%\AppData\Local\Temp\OnboardLogs"\RTDC4056\2017-12-08 --exclude "*" --recursive --include "*20171208*" &amp; "%USERPROFILE%\Documents\GitHub\mrs-test-scripts\Headless Mode &amp; Sideloading\WalkAndUnGZ.bat" "%USERPROFILE%\AppData\Local\Temp\OnboardLogs"\RTDC4056\2017-12-08</v>
      </c>
      <c r="AF15" s="234" t="str">
        <f t="shared" si="12"/>
        <v>"C:\Program Files (x86)\AstroGrep\AstroGrep.exe" /e /r /s /spath="%USERPROFILE%\AppData\Local\Temp\OnboardLogs" /stypes="app*4056*20171207*" /stext=" 11:.+((SYSTEM_STATE.+slice.+state.+changed )|(ment ac)|(multiple cpu faults)|(system.+state.+changed )|(\[timeout)|(PRM\|1\|D)|(kpr)|(kdp)|(train st.+moving)|(\|lc)|(penalty))"</v>
      </c>
      <c r="AG15" s="244" t="str">
        <f t="shared" si="13"/>
        <v>EC</v>
      </c>
      <c r="AH15" s="236" t="str">
        <f t="shared" si="19"/>
        <v>"%USERPROFILE%\Documents\GitHub\eaglep3\Utilities\RefineRTDCRunTimes.py" --tripid 103-07 --locoid 4056 --swversion DE.1.0.9.0 --startMP 204:495 --initTime 2017-12-07T03:38:17 --startdatetime 2017-12-07T03:45:19 --delay 63 --endMP 204:233305 --enddatetime 2017-12-07T04:20:55 --enforcementcount 1 &gt;&gt;%USERPROFILE%\Documents\GitHub\eaglep3-reporting\EC\2017-12-07-refined-times.txt</v>
      </c>
      <c r="AI15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{"issue":{"subject":"","project_id":79,"tracker_id":40,"status_id":1,"priority_id":2,"assigned_to_id":338,"start_date":"2017-12-07","description":"","custom_fields":[{"id":1,"name":"Subdivision","value":"EC"},{"id":4,"name":"Milepost","value":"23.3305"},{"id":17,"name":"Train ID","value":"103-07"},{"id":16,"name":"Locomotive ID","value":"4056"},{"id":130,"name":"Impact","value":""},{"id":150,"name":"Time of Event (Mountain Time)","value":"04:20:55"},{"id":151,"name":"Denver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21"/>
        <v>start /low /b %USERPROFILE%\Documents\GitHub\eaglep3\Utilities\DownloadLogsFromS3.py --loco 4056 --day 2017-12-07</v>
      </c>
      <c r="AN15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11:20:55"},{"id":29,"name":"Sharepoint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23"/>
        <v>https://d0f6bd738d7f1b3e5a7ca70fe4ff75f0.us-east-1.aws.found.io/app/kibana#/discover/Steve-Slow-Train-Analysis-(2080s-and-2083s)?_g=(refreshInterval:(display:Off,pause:!f,section:0,value:0),time:(from:'2017-12-07T02:38:17-0700',mode:absolute,to:'2017-12-07T05:20:55-0700'))&amp;_a=(columns:!('Message%20ID',Summary),filters:!(),index:'emp_*',interval:auto,query:(query_string:(analyze_wildcard:!t,query:'%22rtdc.l.rtdc.4056%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9" t="s">
        <v>723</v>
      </c>
      <c r="B16" s="225">
        <v>4055</v>
      </c>
      <c r="C16" s="227" t="s">
        <v>192</v>
      </c>
      <c r="D16" s="227" t="s">
        <v>632</v>
      </c>
      <c r="E16" s="226">
        <v>43076.185648148145</v>
      </c>
      <c r="F16" s="226">
        <v>43076.196076388886</v>
      </c>
      <c r="G16" s="225">
        <v>48</v>
      </c>
      <c r="H16" s="227" t="s">
        <v>924</v>
      </c>
      <c r="I16" s="226">
        <v>43076.222581018519</v>
      </c>
      <c r="J16" s="225">
        <v>1</v>
      </c>
      <c r="K16" s="237" t="str">
        <f t="shared" si="0"/>
        <v>4055/4056</v>
      </c>
      <c r="L16" s="245" t="str">
        <f>VLOOKUP(A16,'Trips&amp;Operators'!$C$1:$G$99911,5,FALSE)</f>
        <v>MAELZER KURT</v>
      </c>
      <c r="M16" s="224">
        <f t="shared" si="1"/>
        <v>2.6504629633564036E-2</v>
      </c>
      <c r="N16" s="225">
        <f t="shared" si="2"/>
        <v>38.166666672332212</v>
      </c>
      <c r="O16" s="225"/>
      <c r="P16" s="225"/>
      <c r="Q16" s="228"/>
      <c r="R16" s="242"/>
      <c r="S16" s="249">
        <f t="shared" si="3"/>
        <v>1</v>
      </c>
      <c r="T16" s="242" t="str">
        <f t="shared" si="4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5"/>
        <v>https://d0f6bd738d7f1b3e5a7ca70fe4ff75f0.us-east-1.aws.found.io/app/kibana#/discover/Steve-Slow-Train-Analysis-(2080s-and-2083s)?_g=(refreshInterval:(display:Off,pause:!f,section:0,value:0),time:(from:'2017-12-07T03:27:20-0700',mode:absolute,to:'2017-12-07T06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" s="247" t="str">
        <f>IF(AA16&lt;VLOOKUP(AG16,Variables!$AC$3:$AD$8,2,FALSE),"Y","N")</f>
        <v>N</v>
      </c>
      <c r="X16" s="247">
        <f t="shared" si="6"/>
        <v>1</v>
      </c>
      <c r="Y16" s="247">
        <f t="shared" si="7"/>
        <v>23.297999999999998</v>
      </c>
      <c r="Z16" s="247">
        <f t="shared" si="8"/>
        <v>1.7399999999999999E-2</v>
      </c>
      <c r="AA16" s="247">
        <f t="shared" si="9"/>
        <v>23.2806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10"/>
        <v>104</v>
      </c>
      <c r="AE16" s="235" t="str">
        <f t="shared" si="11"/>
        <v>aws s3 cp s3://rtdc.mdm.uploadarchive.raw/RTDC4055/ "%USERPROFILE%\AppData\Local\Temp\OnboardLogs"\RTDC4055\2017-12-07 --exclude "*" --recursive --include "*20171207*" &amp; "%USERPROFILE%\Documents\GitHub\mrs-test-scripts\Headless Mode &amp; Sideloading\WalkAndUnGZ.bat" "%USERPROFILE%\AppData\Local\Temp\OnboardLogs"\RTDC4055\2017-12-07 &amp; aws s3 cp s3://rtdc.mdm.uploadarchive.raw/RTDC4055/ "%USERPROFILE%\AppData\Local\Temp\OnboardLogs"\RTDC4055\2017-12-08 --exclude "*" --recursive --include "*20171208*" &amp; "%USERPROFILE%\Documents\GitHub\mrs-test-scripts\Headless Mode &amp; Sideloading\WalkAndUnGZ.bat" "%USERPROFILE%\AppData\Local\Temp\OnboardLogs"\RTDC4055\2017-12-08</v>
      </c>
      <c r="AF16" s="234" t="str">
        <f t="shared" si="12"/>
        <v>"C:\Program Files (x86)\AstroGrep\AstroGrep.exe" /e /r /s /spath="%USERPROFILE%\AppData\Local\Temp\OnboardLogs" /stypes="app*4055*20171207*" /stext=" 12:.+((SYSTEM_STATE.+slice.+state.+changed )|(ment ac)|(multiple cpu faults)|(system.+state.+changed )|(\[timeout)|(PRM\|1\|D)|(kpr)|(kdp)|(train st.+moving)|(\|lc)|(penalty))"</v>
      </c>
      <c r="AG16" s="244" t="str">
        <f t="shared" si="13"/>
        <v>EC</v>
      </c>
      <c r="AH16" s="236" t="str">
        <f t="shared" si="19"/>
        <v>"%USERPROFILE%\Documents\GitHub\eaglep3\Utilities\RefineRTDCRunTimes.py" --tripid 104-07 --locoid 4055 --swversion DE.1.0.9.0 --startMP 204:232980 --initTime 2017-12-07T04:27:20 --startdatetime 2017-12-07T04:42:21 --delay 48 --endMP 204:174 --enddatetime 2017-12-07T05:20:31 --enforcementcount 1 &gt;&gt;%USERPROFILE%\Documents\GitHub\eaglep3-reporting\EC\2017-12-07-refined-times.txt</v>
      </c>
      <c r="AI16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{"issue":{"subject":"","project_id":79,"tracker_id":40,"status_id":1,"priority_id":2,"assigned_to_id":338,"start_date":"2017-12-07","description":"","custom_fields":[{"id":1,"name":"Subdivision","value":"EC"},{"id":4,"name":"Milepost","value":"0.0174"},{"id":17,"name":"Train ID","value":"104-07"},{"id":16,"name":"Locomotive ID","value":"4055"},{"id":130,"name":"Impact","value":""},{"id":150,"name":"Time of Event (Mountain Time)","value":"05:20:31"},{"id":151,"name":"Denver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21"/>
        <v>start /low /b %USERPROFILE%\Documents\GitHub\eaglep3\Utilities\DownloadLogsFromS3.py --loco 4055 --day 2017-12-07</v>
      </c>
      <c r="AN16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12:20:31"},{"id":29,"name":"Sharepoint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23"/>
        <v>https://d0f6bd738d7f1b3e5a7ca70fe4ff75f0.us-east-1.aws.found.io/app/kibana#/discover/Steve-Slow-Train-Analysis-(2080s-and-2083s)?_g=(refreshInterval:(display:Off,pause:!f,section:0,value:0),time:(from:'2017-12-07T03:27:20-0700',mode:absolute,to:'2017-12-07T06:20:31-0700'))&amp;_a=(columns:!('Message%20ID',Summary),filters:!(),index:'emp_*',interval:auto,query:(query_string:(analyze_wildcard:!t,query:'%22rtdc.l.rtdc.4055%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9" t="s">
        <v>719</v>
      </c>
      <c r="B17" s="225">
        <v>4036</v>
      </c>
      <c r="C17" s="227" t="s">
        <v>192</v>
      </c>
      <c r="D17" s="227" t="s">
        <v>417</v>
      </c>
      <c r="E17" s="226">
        <v>43076.172025462962</v>
      </c>
      <c r="F17" s="226">
        <v>43076.17732638889</v>
      </c>
      <c r="G17" s="225">
        <v>99</v>
      </c>
      <c r="H17" s="227" t="s">
        <v>468</v>
      </c>
      <c r="I17" s="226">
        <v>43076.202615740738</v>
      </c>
      <c r="J17" s="225">
        <v>1</v>
      </c>
      <c r="K17" s="237" t="str">
        <f t="shared" si="0"/>
        <v>4035/4036</v>
      </c>
      <c r="L17" s="245" t="str">
        <f>VLOOKUP(A17,'Trips&amp;Operators'!$C$1:$G$99911,5,FALSE)</f>
        <v>HAMMOND JUSTYNN</v>
      </c>
      <c r="M17" s="224">
        <f t="shared" si="1"/>
        <v>2.5289351848186925E-2</v>
      </c>
      <c r="N17" s="225">
        <f t="shared" si="2"/>
        <v>36.416666661389172</v>
      </c>
      <c r="O17" s="225"/>
      <c r="P17" s="225"/>
      <c r="Q17" s="228"/>
      <c r="R17" s="242"/>
      <c r="S17" s="249">
        <f t="shared" si="3"/>
        <v>1</v>
      </c>
      <c r="T17" s="242" t="str">
        <f t="shared" si="4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 t="shared" si="5"/>
        <v>https://d0f6bd738d7f1b3e5a7ca70fe4ff75f0.us-east-1.aws.found.io/app/kibana#/discover/Steve-Slow-Train-Analysis-(2080s-and-2083s)?_g=(refreshInterval:(display:Off,pause:!f,section:0,value:0),time:(from:'2017-12-07T03:07:43-0700',mode:absolute,to:'2017-12-07T05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" s="247" t="str">
        <f>IF(AA17&lt;VLOOKUP(AG17,Variables!$AC$3:$AD$8,2,FALSE),"Y","N")</f>
        <v>N</v>
      </c>
      <c r="X17" s="247">
        <f t="shared" si="6"/>
        <v>1</v>
      </c>
      <c r="Y17" s="247">
        <f t="shared" si="7"/>
        <v>5.3999999999999999E-2</v>
      </c>
      <c r="Z17" s="247">
        <f t="shared" si="8"/>
        <v>23.326599999999999</v>
      </c>
      <c r="AA17" s="247">
        <f t="shared" si="9"/>
        <v>23.272600000000001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10"/>
        <v>105</v>
      </c>
      <c r="AE17" s="235" t="str">
        <f t="shared" si="11"/>
        <v>aws s3 cp s3://rtdc.mdm.uploadarchive.raw/RTDC4036/ "%USERPROFILE%\AppData\Local\Temp\OnboardLogs"\RTDC4036\2017-12-07 --exclude "*" --recursive --include "*20171207*" &amp; "%USERPROFILE%\Documents\GitHub\mrs-test-scripts\Headless Mode &amp; Sideloading\WalkAndUnGZ.bat" "%USERPROFILE%\AppData\Local\Temp\OnboardLogs"\RTDC4036\2017-12-07 &amp; aws s3 cp s3://rtdc.mdm.uploadarchive.raw/RTDC4036/ "%USERPROFILE%\AppData\Local\Temp\OnboardLogs"\RTDC4036\2017-12-08 --exclude "*" --recursive --include "*20171208*" &amp; "%USERPROFILE%\Documents\GitHub\mrs-test-scripts\Headless Mode &amp; Sideloading\WalkAndUnGZ.bat" "%USERPROFILE%\AppData\Local\Temp\OnboardLogs"\RTDC4036\2017-12-08</v>
      </c>
      <c r="AF17" s="234" t="str">
        <f t="shared" si="12"/>
        <v>"C:\Program Files (x86)\AstroGrep\AstroGrep.exe" /e /r /s /spath="%USERPROFILE%\AppData\Local\Temp\OnboardLogs" /stypes="app*4036*20171207*" /stext=" 11:.+((SYSTEM_STATE.+slice.+state.+changed )|(ment ac)|(multiple cpu faults)|(system.+state.+changed )|(\[timeout)|(PRM\|1\|D)|(kpr)|(kdp)|(train st.+moving)|(\|lc)|(penalty))"</v>
      </c>
      <c r="AG17" s="244" t="str">
        <f t="shared" si="13"/>
        <v>EC</v>
      </c>
      <c r="AH17" s="236" t="str">
        <f t="shared" si="19"/>
        <v>"%USERPROFILE%\Documents\GitHub\eaglep3\Utilities\RefineRTDCRunTimes.py" --tripid 105-07 --locoid 4036 --swversion DE.1.0.9.0 --startMP 204:540 --initTime 2017-12-07T04:07:43 --startdatetime 2017-12-07T04:15:21 --delay 99 --endMP 204:233266 --enddatetime 2017-12-07T04:51:46 --enforcementcount 1 &gt;&gt;%USERPROFILE%\Documents\GitHub\eaglep3-reporting\EC\2017-12-07-refined-times.txt</v>
      </c>
      <c r="AI17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{"issue":{"subject":"","project_id":79,"tracker_id":40,"status_id":1,"priority_id":2,"assigned_to_id":338,"start_date":"2017-12-07","description":"","custom_fields":[{"id":1,"name":"Subdivision","value":"EC"},{"id":4,"name":"Milepost","value":"23.3266"},{"id":17,"name":"Train ID","value":"105-07"},{"id":16,"name":"Locomotive ID","value":"4036"},{"id":130,"name":"Impact","value":""},{"id":150,"name":"Time of Event (Mountain Time)","value":"04:51:46"},{"id":151,"name":"Denver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21"/>
        <v>start /low /b %USERPROFILE%\Documents\GitHub\eaglep3\Utilities\DownloadLogsFromS3.py --loco 4036 --day 2017-12-07</v>
      </c>
      <c r="AN17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11:51:46"},{"id":29,"name":"Sharepoint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23"/>
        <v>https://d0f6bd738d7f1b3e5a7ca70fe4ff75f0.us-east-1.aws.found.io/app/kibana#/discover/Steve-Slow-Train-Analysis-(2080s-and-2083s)?_g=(refreshInterval:(display:Off,pause:!f,section:0,value:0),time:(from:'2017-12-07T03:07:43-0700',mode:absolute,to:'2017-12-07T05:51:46-0700'))&amp;_a=(columns:!('Message%20ID',Summary),filters:!(),index:'emp_*',interval:auto,query:(query_string:(analyze_wildcard:!t,query:'%22rtdc.l.rtdc.4036%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9" t="s">
        <v>731</v>
      </c>
      <c r="B18" s="225">
        <v>4035</v>
      </c>
      <c r="C18" s="227" t="s">
        <v>192</v>
      </c>
      <c r="D18" s="227" t="s">
        <v>623</v>
      </c>
      <c r="E18" s="226">
        <v>43076.20853009259</v>
      </c>
      <c r="F18" s="226">
        <v>43076.216817129629</v>
      </c>
      <c r="G18" s="225">
        <v>62</v>
      </c>
      <c r="H18" s="227" t="s">
        <v>619</v>
      </c>
      <c r="I18" s="226">
        <v>43076.244074074071</v>
      </c>
      <c r="J18" s="225">
        <v>1</v>
      </c>
      <c r="K18" s="237" t="str">
        <f t="shared" si="0"/>
        <v>4035/4036</v>
      </c>
      <c r="L18" s="245" t="str">
        <f>VLOOKUP(A18,'Trips&amp;Operators'!$C$1:$G$99911,5,FALSE)</f>
        <v>HAMMOND JUSTYNN</v>
      </c>
      <c r="M18" s="224">
        <f t="shared" si="1"/>
        <v>2.7256944442342501E-2</v>
      </c>
      <c r="N18" s="225">
        <f t="shared" si="2"/>
        <v>39.249999996973202</v>
      </c>
      <c r="O18" s="225"/>
      <c r="P18" s="225"/>
      <c r="Q18" s="228"/>
      <c r="R18" s="242"/>
      <c r="S18" s="249">
        <f t="shared" si="3"/>
        <v>1</v>
      </c>
      <c r="T18" s="242" t="str">
        <f t="shared" si="4"/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5"/>
        <v>https://d0f6bd738d7f1b3e5a7ca70fe4ff75f0.us-east-1.aws.found.io/app/kibana#/discover/Steve-Slow-Train-Analysis-(2080s-and-2083s)?_g=(refreshInterval:(display:Off,pause:!f,section:0,value:0),time:(from:'2017-12-07T04:00:17-0700',mode:absolute,to:'2017-12-07T06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" s="247" t="str">
        <f>IF(AA18&lt;VLOOKUP(AG18,Variables!$AC$3:$AD$8,2,FALSE),"Y","N")</f>
        <v>N</v>
      </c>
      <c r="X18" s="247">
        <f t="shared" si="6"/>
        <v>1</v>
      </c>
      <c r="Y18" s="247">
        <f t="shared" si="7"/>
        <v>23.294</v>
      </c>
      <c r="Z18" s="247">
        <f t="shared" si="8"/>
        <v>2.0500000000000001E-2</v>
      </c>
      <c r="AA18" s="247">
        <f t="shared" si="9"/>
        <v>23.273500000000002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10"/>
        <v>106</v>
      </c>
      <c r="AE18" s="235" t="str">
        <f t="shared" si="11"/>
        <v>aws s3 cp s3://rtdc.mdm.uploadarchive.raw/RTDC4035/ "%USERPROFILE%\AppData\Local\Temp\OnboardLogs"\RTDC4035\2017-12-07 --exclude "*" --recursive --include "*20171207*" &amp; "%USERPROFILE%\Documents\GitHub\mrs-test-scripts\Headless Mode &amp; Sideloading\WalkAndUnGZ.bat" "%USERPROFILE%\AppData\Local\Temp\OnboardLogs"\RTDC4035\2017-12-07 &amp; aws s3 cp s3://rtdc.mdm.uploadarchive.raw/RTDC4035/ "%USERPROFILE%\AppData\Local\Temp\OnboardLogs"\RTDC4035\2017-12-08 --exclude "*" --recursive --include "*20171208*" &amp; "%USERPROFILE%\Documents\GitHub\mrs-test-scripts\Headless Mode &amp; Sideloading\WalkAndUnGZ.bat" "%USERPROFILE%\AppData\Local\Temp\OnboardLogs"\RTDC4035\2017-12-08</v>
      </c>
      <c r="AF18" s="234" t="str">
        <f t="shared" si="12"/>
        <v>"C:\Program Files (x86)\AstroGrep\AstroGrep.exe" /e /r /s /spath="%USERPROFILE%\AppData\Local\Temp\OnboardLogs" /stypes="app*4035*20171207*" /stext=" 12:.+((SYSTEM_STATE.+slice.+state.+changed )|(ment ac)|(multiple cpu faults)|(system.+state.+changed )|(\[timeout)|(PRM\|1\|D)|(kpr)|(kdp)|(train st.+moving)|(\|lc)|(penalty))"</v>
      </c>
      <c r="AG18" s="244" t="str">
        <f t="shared" si="13"/>
        <v>EC</v>
      </c>
      <c r="AH18" s="236" t="str">
        <f t="shared" si="19"/>
        <v>"%USERPROFILE%\Documents\GitHub\eaglep3\Utilities\RefineRTDCRunTimes.py" --tripid 106-07 --locoid 4035 --swversion DE.1.0.9.0 --startMP 204:232940 --initTime 2017-12-07T05:00:17 --startdatetime 2017-12-07T05:12:13 --delay 62 --endMP 204:205 --enddatetime 2017-12-07T05:51:28 --enforcementcount 1 &gt;&gt;%USERPROFILE%\Documents\GitHub\eaglep3-reporting\EC\2017-12-07-refined-times.txt</v>
      </c>
      <c r="AI18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{"issue":{"subject":"","project_id":79,"tracker_id":40,"status_id":1,"priority_id":2,"assigned_to_id":338,"start_date":"2017-12-07","description":"","custom_fields":[{"id":1,"name":"Subdivision","value":"EC"},{"id":4,"name":"Milepost","value":"0.0205"},{"id":17,"name":"Train ID","value":"106-07"},{"id":16,"name":"Locomotive ID","value":"4035"},{"id":130,"name":"Impact","value":""},{"id":150,"name":"Time of Event (Mountain Time)","value":"05:51:28"},{"id":151,"name":"Denver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21"/>
        <v>start /low /b %USERPROFILE%\Documents\GitHub\eaglep3\Utilities\DownloadLogsFromS3.py --loco 4035 --day 2017-12-07</v>
      </c>
      <c r="AN18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12:51:28"},{"id":29,"name":"Sharepoint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23"/>
        <v>https://d0f6bd738d7f1b3e5a7ca70fe4ff75f0.us-east-1.aws.found.io/app/kibana#/discover/Steve-Slow-Train-Analysis-(2080s-and-2083s)?_g=(refreshInterval:(display:Off,pause:!f,section:0,value:0),time:(from:'2017-12-07T04:00:17-0700',mode:absolute,to:'2017-12-07T06:51:28-0700'))&amp;_a=(columns:!('Message%20ID',Summary),filters:!(),index:'emp_*',interval:auto,query:(query_string:(analyze_wildcard:!t,query:'%22rtdc.l.rtdc.4035%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9" t="s">
        <v>722</v>
      </c>
      <c r="B19" s="225">
        <v>4022</v>
      </c>
      <c r="C19" s="227" t="s">
        <v>192</v>
      </c>
      <c r="D19" s="227" t="s">
        <v>646</v>
      </c>
      <c r="E19" s="226">
        <v>43076.180127314816</v>
      </c>
      <c r="F19" s="226">
        <v>43076.187685185185</v>
      </c>
      <c r="G19" s="225">
        <v>76</v>
      </c>
      <c r="H19" s="227" t="s">
        <v>925</v>
      </c>
      <c r="I19" s="226">
        <v>43076.212939814817</v>
      </c>
      <c r="J19" s="225">
        <v>1</v>
      </c>
      <c r="K19" s="237" t="str">
        <f t="shared" si="0"/>
        <v>4021/4022</v>
      </c>
      <c r="L19" s="245" t="str">
        <f>VLOOKUP(A19,'Trips&amp;Operators'!$C$1:$G$99911,5,FALSE)</f>
        <v>PAGE MARCUS</v>
      </c>
      <c r="M19" s="224">
        <f t="shared" si="1"/>
        <v>2.5254629632399883E-2</v>
      </c>
      <c r="N19" s="225">
        <f t="shared" si="2"/>
        <v>36.366666670655832</v>
      </c>
      <c r="O19" s="225"/>
      <c r="P19" s="225"/>
      <c r="Q19" s="228"/>
      <c r="R19" s="242"/>
      <c r="S19" s="249">
        <f t="shared" si="3"/>
        <v>1</v>
      </c>
      <c r="T19" s="242" t="str">
        <f t="shared" si="4"/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5"/>
        <v>https://d0f6bd738d7f1b3e5a7ca70fe4ff75f0.us-east-1.aws.found.io/app/kibana#/discover/Steve-Slow-Train-Analysis-(2080s-and-2083s)?_g=(refreshInterval:(display:Off,pause:!f,section:0,value:0),time:(from:'2017-12-07T03:19:23-0700',mode:absolute,to:'2017-12-07T06:06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247" t="str">
        <f>IF(AA19&lt;VLOOKUP(AG19,Variables!$AC$3:$AD$8,2,FALSE),"Y","N")</f>
        <v>N</v>
      </c>
      <c r="X19" s="247">
        <f t="shared" si="6"/>
        <v>1</v>
      </c>
      <c r="Y19" s="247">
        <f t="shared" si="7"/>
        <v>5.1499999999999997E-2</v>
      </c>
      <c r="Z19" s="247">
        <f t="shared" si="8"/>
        <v>23.328900000000001</v>
      </c>
      <c r="AA19" s="247">
        <f t="shared" si="9"/>
        <v>23.2774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10"/>
        <v>107</v>
      </c>
      <c r="AE19" s="235" t="str">
        <f t="shared" si="11"/>
        <v>aws s3 cp s3://rtdc.mdm.uploadarchive.raw/RTDC4022/ "%USERPROFILE%\AppData\Local\Temp\OnboardLogs"\RTDC4022\2017-12-07 --exclude "*" --recursive --include "*20171207*" &amp; "%USERPROFILE%\Documents\GitHub\mrs-test-scripts\Headless Mode &amp; Sideloading\WalkAndUnGZ.bat" "%USERPROFILE%\AppData\Local\Temp\OnboardLogs"\RTDC4022\2017-12-07 &amp; aws s3 cp s3://rtdc.mdm.uploadarchive.raw/RTDC4022/ "%USERPROFILE%\AppData\Local\Temp\OnboardLogs"\RTDC4022\2017-12-08 --exclude "*" --recursive --include "*20171208*" &amp; "%USERPROFILE%\Documents\GitHub\mrs-test-scripts\Headless Mode &amp; Sideloading\WalkAndUnGZ.bat" "%USERPROFILE%\AppData\Local\Temp\OnboardLogs"\RTDC4022\2017-12-08</v>
      </c>
      <c r="AF19" s="234" t="str">
        <f t="shared" si="12"/>
        <v>"C:\Program Files (x86)\AstroGrep\AstroGrep.exe" /e /r /s /spath="%USERPROFILE%\AppData\Local\Temp\OnboardLogs" /stypes="app*4022*20171207*" /stext=" 12:.+((SYSTEM_STATE.+slice.+state.+changed )|(ment ac)|(multiple cpu faults)|(system.+state.+changed )|(\[timeout)|(PRM\|1\|D)|(kpr)|(kdp)|(train st.+moving)|(\|lc)|(penalty))"</v>
      </c>
      <c r="AG19" s="244" t="str">
        <f t="shared" si="13"/>
        <v>EC</v>
      </c>
      <c r="AH19" s="236" t="str">
        <f t="shared" si="19"/>
        <v>"%USERPROFILE%\Documents\GitHub\eaglep3\Utilities\RefineRTDCRunTimes.py" --tripid 107-07 --locoid 4022 --swversion DE.1.0.9.0 --startMP 204:515 --initTime 2017-12-07T04:19:23 --startdatetime 2017-12-07T04:30:16 --delay 76 --endMP 204:233289 --enddatetime 2017-12-07T05:06:38 --enforcementcount 1 &gt;&gt;%USERPROFILE%\Documents\GitHub\eaglep3-reporting\EC\2017-12-07-refined-times.txt</v>
      </c>
      <c r="AI19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{"issue":{"subject":"","project_id":79,"tracker_id":40,"status_id":1,"priority_id":2,"assigned_to_id":338,"start_date":"2017-12-07","description":"","custom_fields":[{"id":1,"name":"Subdivision","value":"EC"},{"id":4,"name":"Milepost","value":"23.3289"},{"id":17,"name":"Train ID","value":"107-07"},{"id":16,"name":"Locomotive ID","value":"4022"},{"id":130,"name":"Impact","value":""},{"id":150,"name":"Time of Event (Mountain Time)","value":"05:06:38"},{"id":151,"name":"Denver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21"/>
        <v>start /low /b %USERPROFILE%\Documents\GitHub\eaglep3\Utilities\DownloadLogsFromS3.py --loco 4022 --day 2017-12-07</v>
      </c>
      <c r="AN19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12:06:38"},{"id":29,"name":"Sharepoint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23"/>
        <v>https://d0f6bd738d7f1b3e5a7ca70fe4ff75f0.us-east-1.aws.found.io/app/kibana#/discover/Steve-Slow-Train-Analysis-(2080s-and-2083s)?_g=(refreshInterval:(display:Off,pause:!f,section:0,value:0),time:(from:'2017-12-07T03:19:23-0700',mode:absolute,to:'2017-12-07T06:06:38-0700'))&amp;_a=(columns:!('Message%20ID',Summary),filters:!(),index:'emp_*',interval:auto,query:(query_string:(analyze_wildcard:!t,query:'%22rtdc.l.rtdc.4022%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9" t="s">
        <v>732</v>
      </c>
      <c r="B20" s="225">
        <v>4021</v>
      </c>
      <c r="C20" s="227" t="s">
        <v>192</v>
      </c>
      <c r="D20" s="227" t="s">
        <v>628</v>
      </c>
      <c r="E20" s="226">
        <v>43076.21434027778</v>
      </c>
      <c r="F20" s="226">
        <v>43076.22724537037</v>
      </c>
      <c r="G20" s="225">
        <v>56</v>
      </c>
      <c r="H20" s="227" t="s">
        <v>460</v>
      </c>
      <c r="I20" s="226">
        <v>43076.253206018519</v>
      </c>
      <c r="J20" s="225">
        <v>1</v>
      </c>
      <c r="K20" s="237" t="str">
        <f t="shared" si="0"/>
        <v>4021/4022</v>
      </c>
      <c r="L20" s="245" t="str">
        <f>VLOOKUP(A20,'Trips&amp;Operators'!$C$1:$G$99911,5,FALSE)</f>
        <v>PAGE MARCUS</v>
      </c>
      <c r="M20" s="224">
        <f t="shared" si="1"/>
        <v>2.5960648148611654E-2</v>
      </c>
      <c r="N20" s="225">
        <f t="shared" si="2"/>
        <v>37.383333334000781</v>
      </c>
      <c r="O20" s="225"/>
      <c r="P20" s="225"/>
      <c r="Q20" s="228"/>
      <c r="R20" s="242"/>
      <c r="S20" s="249">
        <f t="shared" si="3"/>
        <v>1</v>
      </c>
      <c r="T20" s="242" t="str">
        <f t="shared" si="4"/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 t="shared" si="5"/>
        <v>https://d0f6bd738d7f1b3e5a7ca70fe4ff75f0.us-east-1.aws.found.io/app/kibana#/discover/Steve-Slow-Train-Analysis-(2080s-and-2083s)?_g=(refreshInterval:(display:Off,pause:!f,section:0,value:0),time:(from:'2017-12-07T04:08:39-0700',mode:absolute,to:'2017-12-07T07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247" t="str">
        <f>IF(AA20&lt;VLOOKUP(AG20,Variables!$AC$3:$AD$8,2,FALSE),"Y","N")</f>
        <v>N</v>
      </c>
      <c r="X20" s="247">
        <f t="shared" si="6"/>
        <v>1</v>
      </c>
      <c r="Y20" s="247">
        <f t="shared" si="7"/>
        <v>23.296800000000001</v>
      </c>
      <c r="Z20" s="247">
        <f t="shared" si="8"/>
        <v>2.0899999999999998E-2</v>
      </c>
      <c r="AA20" s="247">
        <f t="shared" si="9"/>
        <v>23.2759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10"/>
        <v>108</v>
      </c>
      <c r="AE20" s="235" t="str">
        <f t="shared" si="11"/>
        <v>aws s3 cp s3://rtdc.mdm.uploadarchive.raw/RTDC4021/ "%USERPROFILE%\AppData\Local\Temp\OnboardLogs"\RTDC4021\2017-12-07 --exclude "*" --recursive --include "*20171207*" &amp; "%USERPROFILE%\Documents\GitHub\mrs-test-scripts\Headless Mode &amp; Sideloading\WalkAndUnGZ.bat" "%USERPROFILE%\AppData\Local\Temp\OnboardLogs"\RTDC4021\2017-12-07 &amp; aws s3 cp s3://rtdc.mdm.uploadarchive.raw/RTDC4021/ "%USERPROFILE%\AppData\Local\Temp\OnboardLogs"\RTDC4021\2017-12-08 --exclude "*" --recursive --include "*20171208*" &amp; "%USERPROFILE%\Documents\GitHub\mrs-test-scripts\Headless Mode &amp; Sideloading\WalkAndUnGZ.bat" "%USERPROFILE%\AppData\Local\Temp\OnboardLogs"\RTDC4021\2017-12-08</v>
      </c>
      <c r="AF20" s="234" t="str">
        <f t="shared" si="12"/>
        <v>"C:\Program Files (x86)\AstroGrep\AstroGrep.exe" /e /r /s /spath="%USERPROFILE%\AppData\Local\Temp\OnboardLogs" /stypes="app*4021*20171207*" /stext=" 13:.+((SYSTEM_STATE.+slice.+state.+changed )|(ment ac)|(multiple cpu faults)|(system.+state.+changed )|(\[timeout)|(PRM\|1\|D)|(kpr)|(kdp)|(train st.+moving)|(\|lc)|(penalty))"</v>
      </c>
      <c r="AG20" s="244" t="str">
        <f t="shared" si="13"/>
        <v>EC</v>
      </c>
      <c r="AH20" s="236" t="str">
        <f t="shared" si="19"/>
        <v>"%USERPROFILE%\Documents\GitHub\eaglep3\Utilities\RefineRTDCRunTimes.py" --tripid 108-07 --locoid 4021 --swversion DE.1.0.9.0 --startMP 204:232968 --initTime 2017-12-07T05:08:39 --startdatetime 2017-12-07T05:27:14 --delay 56 --endMP 204:209 --enddatetime 2017-12-07T06:04:37 --enforcementcount 1 &gt;&gt;%USERPROFILE%\Documents\GitHub\eaglep3-reporting\EC\2017-12-07-refined-times.txt</v>
      </c>
      <c r="AI20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{"issue":{"subject":"","project_id":79,"tracker_id":40,"status_id":1,"priority_id":2,"assigned_to_id":338,"start_date":"2017-12-07","description":"","custom_fields":[{"id":1,"name":"Subdivision","value":"EC"},{"id":4,"name":"Milepost","value":"0.0209"},{"id":17,"name":"Train ID","value":"108-07"},{"id":16,"name":"Locomotive ID","value":"4021"},{"id":130,"name":"Impact","value":""},{"id":150,"name":"Time of Event (Mountain Time)","value":"06:04:37"},{"id":151,"name":"Denver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21"/>
        <v>start /low /b %USERPROFILE%\Documents\GitHub\eaglep3\Utilities\DownloadLogsFromS3.py --loco 4021 --day 2017-12-07</v>
      </c>
      <c r="AN20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13:04:37"},{"id":29,"name":"Sharepoint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23"/>
        <v>https://d0f6bd738d7f1b3e5a7ca70fe4ff75f0.us-east-1.aws.found.io/app/kibana#/discover/Steve-Slow-Train-Analysis-(2080s-and-2083s)?_g=(refreshInterval:(display:Off,pause:!f,section:0,value:0),time:(from:'2017-12-07T04:08:39-0700',mode:absolute,to:'2017-12-07T07:04:37-0700'))&amp;_a=(columns:!('Message%20ID',Summary),filters:!(),index:'emp_*',interval:auto,query:(query_string:(analyze_wildcard:!t,query:'%22rtdc.l.rtdc.4021%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9" t="s">
        <v>726</v>
      </c>
      <c r="B21" s="225">
        <v>4054</v>
      </c>
      <c r="C21" s="227" t="s">
        <v>192</v>
      </c>
      <c r="D21" s="227" t="s">
        <v>491</v>
      </c>
      <c r="E21" s="226">
        <v>43076.193356481483</v>
      </c>
      <c r="F21" s="226">
        <v>43076.198125000003</v>
      </c>
      <c r="G21" s="225">
        <v>125</v>
      </c>
      <c r="H21" s="227" t="s">
        <v>475</v>
      </c>
      <c r="I21" s="226">
        <v>43076.223321759258</v>
      </c>
      <c r="J21" s="225">
        <v>1</v>
      </c>
      <c r="K21" s="237" t="str">
        <f t="shared" si="0"/>
        <v>4053/4054</v>
      </c>
      <c r="L21" s="245" t="str">
        <f>VLOOKUP(A21,'Trips&amp;Operators'!$C$1:$G$99911,5,FALSE)</f>
        <v>WILLIAMS DONTE</v>
      </c>
      <c r="M21" s="224">
        <f t="shared" si="1"/>
        <v>2.5196759255777579E-2</v>
      </c>
      <c r="N21" s="225">
        <f t="shared" si="2"/>
        <v>36.283333328319713</v>
      </c>
      <c r="O21" s="225"/>
      <c r="P21" s="225"/>
      <c r="Q21" s="228"/>
      <c r="R21" s="242"/>
      <c r="S21" s="249">
        <f t="shared" si="3"/>
        <v>1</v>
      </c>
      <c r="T21" s="242" t="str">
        <f t="shared" si="4"/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5"/>
        <v>https://d0f6bd738d7f1b3e5a7ca70fe4ff75f0.us-east-1.aws.found.io/app/kibana#/discover/Steve-Slow-Train-Analysis-(2080s-and-2083s)?_g=(refreshInterval:(display:Off,pause:!f,section:0,value:0),time:(from:'2017-12-07T03:38:26-0700',mode:absolute,to:'2017-12-07T06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" s="247" t="str">
        <f>IF(AA21&lt;VLOOKUP(AG21,Variables!$AC$3:$AD$8,2,FALSE),"Y","N")</f>
        <v>N</v>
      </c>
      <c r="X21" s="247">
        <f t="shared" si="6"/>
        <v>1</v>
      </c>
      <c r="Y21" s="247">
        <f t="shared" si="7"/>
        <v>5.28E-2</v>
      </c>
      <c r="Z21" s="247">
        <f t="shared" si="8"/>
        <v>23.3291</v>
      </c>
      <c r="AA21" s="247">
        <f t="shared" si="9"/>
        <v>23.276299999999999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10"/>
        <v>109</v>
      </c>
      <c r="AE21" s="235" t="str">
        <f t="shared" si="11"/>
        <v>aws s3 cp s3://rtdc.mdm.uploadarchive.raw/RTDC4054/ "%USERPROFILE%\AppData\Local\Temp\OnboardLogs"\RTDC4054\2017-12-07 --exclude "*" --recursive --include "*20171207*" &amp; "%USERPROFILE%\Documents\GitHub\mrs-test-scripts\Headless Mode &amp; Sideloading\WalkAndUnGZ.bat" "%USERPROFILE%\AppData\Local\Temp\OnboardLogs"\RTDC4054\2017-12-07 &amp; aws s3 cp s3://rtdc.mdm.uploadarchive.raw/RTDC4054/ "%USERPROFILE%\AppData\Local\Temp\OnboardLogs"\RTDC4054\2017-12-08 --exclude "*" --recursive --include "*20171208*" &amp; "%USERPROFILE%\Documents\GitHub\mrs-test-scripts\Headless Mode &amp; Sideloading\WalkAndUnGZ.bat" "%USERPROFILE%\AppData\Local\Temp\OnboardLogs"\RTDC4054\2017-12-08</v>
      </c>
      <c r="AF21" s="234" t="str">
        <f t="shared" si="12"/>
        <v>"C:\Program Files (x86)\AstroGrep\AstroGrep.exe" /e /r /s /spath="%USERPROFILE%\AppData\Local\Temp\OnboardLogs" /stypes="app*4054*20171207*" /stext=" 12:.+((SYSTEM_STATE.+slice.+state.+changed )|(ment ac)|(multiple cpu faults)|(system.+state.+changed )|(\[timeout)|(PRM\|1\|D)|(kpr)|(kdp)|(train st.+moving)|(\|lc)|(penalty))"</v>
      </c>
      <c r="AG21" s="244" t="str">
        <f t="shared" si="13"/>
        <v>EC</v>
      </c>
      <c r="AH21" s="236" t="str">
        <f t="shared" si="19"/>
        <v>"%USERPROFILE%\Documents\GitHub\eaglep3\Utilities\RefineRTDCRunTimes.py" --tripid 109-07 --locoid 4054 --swversion DE.1.0.9.0 --startMP 204:528 --initTime 2017-12-07T04:38:26 --startdatetime 2017-12-07T04:45:18 --delay 125 --endMP 204:233291 --enddatetime 2017-12-07T05:21:35 --enforcementcount 1 &gt;&gt;%USERPROFILE%\Documents\GitHub\eaglep3-reporting\EC\2017-12-07-refined-times.txt</v>
      </c>
      <c r="AI21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{"issue":{"subject":"","project_id":79,"tracker_id":40,"status_id":1,"priority_id":2,"assigned_to_id":338,"start_date":"2017-12-07","description":"","custom_fields":[{"id":1,"name":"Subdivision","value":"EC"},{"id":4,"name":"Milepost","value":"23.3291"},{"id":17,"name":"Train ID","value":"109-07"},{"id":16,"name":"Locomotive ID","value":"4054"},{"id":130,"name":"Impact","value":""},{"id":150,"name":"Time of Event (Mountain Time)","value":"05:21:35"},{"id":151,"name":"Denver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21"/>
        <v>start /low /b %USERPROFILE%\Documents\GitHub\eaglep3\Utilities\DownloadLogsFromS3.py --loco 4054 --day 2017-12-07</v>
      </c>
      <c r="AN21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12:21:35"},{"id":29,"name":"Sharepoint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23"/>
        <v>https://d0f6bd738d7f1b3e5a7ca70fe4ff75f0.us-east-1.aws.found.io/app/kibana#/discover/Steve-Slow-Train-Analysis-(2080s-and-2083s)?_g=(refreshInterval:(display:Off,pause:!f,section:0,value:0),time:(from:'2017-12-07T03:38:26-0700',mode:absolute,to:'2017-12-07T06:21:35-0700'))&amp;_a=(columns:!('Message%20ID',Summary),filters:!(),index:'emp_*',interval:auto,query:(query_string:(analyze_wildcard:!t,query:'%22rtdc.l.rtdc.4054%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9" t="s">
        <v>737</v>
      </c>
      <c r="B22" s="225">
        <v>4053</v>
      </c>
      <c r="C22" s="227" t="s">
        <v>192</v>
      </c>
      <c r="D22" s="227" t="s">
        <v>623</v>
      </c>
      <c r="E22" s="226">
        <v>43076.233993055554</v>
      </c>
      <c r="F22" s="226">
        <v>43076.237673611111</v>
      </c>
      <c r="G22" s="225">
        <v>89</v>
      </c>
      <c r="H22" s="227" t="s">
        <v>406</v>
      </c>
      <c r="I22" s="226">
        <v>43076.264618055553</v>
      </c>
      <c r="J22" s="225">
        <v>1</v>
      </c>
      <c r="K22" s="237" t="str">
        <f t="shared" si="0"/>
        <v>4053/4054</v>
      </c>
      <c r="L22" s="245" t="str">
        <f>VLOOKUP(A22,'Trips&amp;Operators'!$C$1:$G$99911,5,FALSE)</f>
        <v>WILLIAMS DONTE</v>
      </c>
      <c r="M22" s="224">
        <f t="shared" si="1"/>
        <v>2.6944444442051463E-2</v>
      </c>
      <c r="N22" s="225">
        <f t="shared" si="2"/>
        <v>38.799999996554106</v>
      </c>
      <c r="O22" s="225"/>
      <c r="P22" s="225"/>
      <c r="Q22" s="228"/>
      <c r="R22" s="242"/>
      <c r="S22" s="249">
        <f t="shared" si="3"/>
        <v>1</v>
      </c>
      <c r="T22" s="242" t="str">
        <f t="shared" si="4"/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5"/>
        <v>https://d0f6bd738d7f1b3e5a7ca70fe4ff75f0.us-east-1.aws.found.io/app/kibana#/discover/Steve-Slow-Train-Analysis-(2080s-and-2083s)?_g=(refreshInterval:(display:Off,pause:!f,section:0,value:0),time:(from:'2017-12-07T04:36:57-0700',mode:absolute,to:'2017-12-07T07:21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" s="247" t="str">
        <f>IF(AA22&lt;VLOOKUP(AG22,Variables!$AC$3:$AD$8,2,FALSE),"Y","N")</f>
        <v>N</v>
      </c>
      <c r="X22" s="247">
        <f t="shared" si="6"/>
        <v>1</v>
      </c>
      <c r="Y22" s="247">
        <f t="shared" si="7"/>
        <v>23.294</v>
      </c>
      <c r="Z22" s="247">
        <f t="shared" si="8"/>
        <v>2.07E-2</v>
      </c>
      <c r="AA22" s="247">
        <f t="shared" si="9"/>
        <v>23.273299999999999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10"/>
        <v>110</v>
      </c>
      <c r="AE22" s="235" t="str">
        <f t="shared" si="11"/>
        <v>aws s3 cp s3://rtdc.mdm.uploadarchive.raw/RTDC4053/ "%USERPROFILE%\AppData\Local\Temp\OnboardLogs"\RTDC4053\2017-12-07 --exclude "*" --recursive --include "*20171207*" &amp; "%USERPROFILE%\Documents\GitHub\mrs-test-scripts\Headless Mode &amp; Sideloading\WalkAndUnGZ.bat" "%USERPROFILE%\AppData\Local\Temp\OnboardLogs"\RTDC4053\2017-12-07 &amp; aws s3 cp s3://rtdc.mdm.uploadarchive.raw/RTDC4053/ "%USERPROFILE%\AppData\Local\Temp\OnboardLogs"\RTDC4053\2017-12-08 --exclude "*" --recursive --include "*20171208*" &amp; "%USERPROFILE%\Documents\GitHub\mrs-test-scripts\Headless Mode &amp; Sideloading\WalkAndUnGZ.bat" "%USERPROFILE%\AppData\Local\Temp\OnboardLogs"\RTDC4053\2017-12-08</v>
      </c>
      <c r="AF22" s="234" t="str">
        <f t="shared" si="12"/>
        <v>"C:\Program Files (x86)\AstroGrep\AstroGrep.exe" /e /r /s /spath="%USERPROFILE%\AppData\Local\Temp\OnboardLogs" /stypes="app*4053*20171207*" /stext=" 13:.+((SYSTEM_STATE.+slice.+state.+changed )|(ment ac)|(multiple cpu faults)|(system.+state.+changed )|(\[timeout)|(PRM\|1\|D)|(kpr)|(kdp)|(train st.+moving)|(\|lc)|(penalty))"</v>
      </c>
      <c r="AG22" s="244" t="str">
        <f t="shared" si="13"/>
        <v>EC</v>
      </c>
      <c r="AH22" s="236" t="str">
        <f t="shared" si="19"/>
        <v>"%USERPROFILE%\Documents\GitHub\eaglep3\Utilities\RefineRTDCRunTimes.py" --tripid 110-07 --locoid 4053 --swversion DE.1.0.9.0 --startMP 204:232940 --initTime 2017-12-07T05:36:57 --startdatetime 2017-12-07T05:42:15 --delay 89 --endMP 204:207 --enddatetime 2017-12-07T06:21:03 --enforcementcount 1 &gt;&gt;%USERPROFILE%\Documents\GitHub\eaglep3-reporting\EC\2017-12-07-refined-times.txt</v>
      </c>
      <c r="AI22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{"issue":{"subject":"","project_id":79,"tracker_id":40,"status_id":1,"priority_id":2,"assigned_to_id":338,"start_date":"2017-12-07","description":"","custom_fields":[{"id":1,"name":"Subdivision","value":"EC"},{"id":4,"name":"Milepost","value":"0.0207"},{"id":17,"name":"Train ID","value":"110-07"},{"id":16,"name":"Locomotive ID","value":"4053"},{"id":130,"name":"Impact","value":""},{"id":150,"name":"Time of Event (Mountain Time)","value":"06:21:03"},{"id":151,"name":"Denver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21"/>
        <v>start /low /b %USERPROFILE%\Documents\GitHub\eaglep3\Utilities\DownloadLogsFromS3.py --loco 4053 --day 2017-12-07</v>
      </c>
      <c r="AN22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13:21:03"},{"id":29,"name":"Sharepoint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23"/>
        <v>https://d0f6bd738d7f1b3e5a7ca70fe4ff75f0.us-east-1.aws.found.io/app/kibana#/discover/Steve-Slow-Train-Analysis-(2080s-and-2083s)?_g=(refreshInterval:(display:Off,pause:!f,section:0,value:0),time:(from:'2017-12-07T04:36:57-0700',mode:absolute,to:'2017-12-07T07:21:03-0700'))&amp;_a=(columns:!('Message%20ID',Summary),filters:!(),index:'emp_*',interval:auto,query:(query_string:(analyze_wildcard:!t,query:'%22rtdc.l.rtdc.4053%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9" t="s">
        <v>728</v>
      </c>
      <c r="B23" s="225">
        <v>4060</v>
      </c>
      <c r="C23" s="227" t="s">
        <v>192</v>
      </c>
      <c r="D23" s="227" t="s">
        <v>926</v>
      </c>
      <c r="E23" s="226">
        <v>43076.202430555553</v>
      </c>
      <c r="F23" s="226">
        <v>43076.20857638889</v>
      </c>
      <c r="G23" s="225">
        <v>47</v>
      </c>
      <c r="H23" s="227" t="s">
        <v>630</v>
      </c>
      <c r="I23" s="226">
        <v>43076.232743055552</v>
      </c>
      <c r="J23" s="225">
        <v>1</v>
      </c>
      <c r="K23" s="237" t="str">
        <f t="shared" si="0"/>
        <v>4059/4060</v>
      </c>
      <c r="L23" s="245" t="str">
        <f>VLOOKUP(A23,'Trips&amp;Operators'!$C$1:$G$99911,5,FALSE)</f>
        <v>YORK EDGAR</v>
      </c>
      <c r="M23" s="224">
        <f t="shared" si="1"/>
        <v>2.4166666662495118E-2</v>
      </c>
      <c r="N23" s="225">
        <f t="shared" si="2"/>
        <v>34.799999993992969</v>
      </c>
      <c r="O23" s="225"/>
      <c r="P23" s="225"/>
      <c r="Q23" s="228"/>
      <c r="R23" s="242"/>
      <c r="S23" s="249">
        <f t="shared" si="3"/>
        <v>1</v>
      </c>
      <c r="T23" s="242" t="str">
        <f t="shared" si="4"/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5"/>
        <v>https://d0f6bd738d7f1b3e5a7ca70fe4ff75f0.us-east-1.aws.found.io/app/kibana#/discover/Steve-Slow-Train-Analysis-(2080s-and-2083s)?_g=(refreshInterval:(display:Off,pause:!f,section:0,value:0),time:(from:'2017-12-07T03:51:30-0700',mode:absolute,to:'2017-12-07T06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" s="247" t="str">
        <f>IF(AA23&lt;VLOOKUP(AG23,Variables!$AC$3:$AD$8,2,FALSE),"Y","N")</f>
        <v>N</v>
      </c>
      <c r="X23" s="247">
        <f t="shared" si="6"/>
        <v>1</v>
      </c>
      <c r="Y23" s="247">
        <f t="shared" si="7"/>
        <v>4.6699999999999998E-2</v>
      </c>
      <c r="Z23" s="247">
        <f t="shared" si="8"/>
        <v>23.328499999999998</v>
      </c>
      <c r="AA23" s="247">
        <f t="shared" si="9"/>
        <v>23.281799999999997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10"/>
        <v>111</v>
      </c>
      <c r="AE23" s="235" t="str">
        <f t="shared" si="11"/>
        <v>aws s3 cp s3://rtdc.mdm.uploadarchive.raw/RTDC4060/ "%USERPROFILE%\AppData\Local\Temp\OnboardLogs"\RTDC4060\2017-12-07 --exclude "*" --recursive --include "*20171207*" &amp; "%USERPROFILE%\Documents\GitHub\mrs-test-scripts\Headless Mode &amp; Sideloading\WalkAndUnGZ.bat" "%USERPROFILE%\AppData\Local\Temp\OnboardLogs"\RTDC4060\2017-12-07 &amp; aws s3 cp s3://rtdc.mdm.uploadarchive.raw/RTDC4060/ "%USERPROFILE%\AppData\Local\Temp\OnboardLogs"\RTDC4060\2017-12-08 --exclude "*" --recursive --include "*20171208*" &amp; "%USERPROFILE%\Documents\GitHub\mrs-test-scripts\Headless Mode &amp; Sideloading\WalkAndUnGZ.bat" "%USERPROFILE%\AppData\Local\Temp\OnboardLogs"\RTDC4060\2017-12-08</v>
      </c>
      <c r="AF23" s="234" t="str">
        <f t="shared" si="12"/>
        <v>"C:\Program Files (x86)\AstroGrep\AstroGrep.exe" /e /r /s /spath="%USERPROFILE%\AppData\Local\Temp\OnboardLogs" /stypes="app*4060*20171207*" /stext=" 12:.+((SYSTEM_STATE.+slice.+state.+changed )|(ment ac)|(multiple cpu faults)|(system.+state.+changed )|(\[timeout)|(PRM\|1\|D)|(kpr)|(kdp)|(train st.+moving)|(\|lc)|(penalty))"</v>
      </c>
      <c r="AG23" s="244" t="str">
        <f t="shared" si="13"/>
        <v>EC</v>
      </c>
      <c r="AH23" s="236" t="str">
        <f t="shared" si="19"/>
        <v>"%USERPROFILE%\Documents\GitHub\eaglep3\Utilities\RefineRTDCRunTimes.py" --tripid 111-07 --locoid 4060 --swversion DE.1.0.9.0 --startMP 204:467 --initTime 2017-12-07T04:51:30 --startdatetime 2017-12-07T05:00:21 --delay 47 --endMP 204:233285 --enddatetime 2017-12-07T05:35:09 --enforcementcount 1 &gt;&gt;%USERPROFILE%\Documents\GitHub\eaglep3-reporting\EC\2017-12-07-refined-times.txt</v>
      </c>
      <c r="AI23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{"issue":{"subject":"","project_id":79,"tracker_id":40,"status_id":1,"priority_id":2,"assigned_to_id":338,"start_date":"2017-12-07","description":"","custom_fields":[{"id":1,"name":"Subdivision","value":"EC"},{"id":4,"name":"Milepost","value":"23.3285"},{"id":17,"name":"Train ID","value":"111-07"},{"id":16,"name":"Locomotive ID","value":"4060"},{"id":130,"name":"Impact","value":""},{"id":150,"name":"Time of Event (Mountain Time)","value":"05:35:09"},{"id":151,"name":"Denver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21"/>
        <v>start /low /b %USERPROFILE%\Documents\GitHub\eaglep3\Utilities\DownloadLogsFromS3.py --loco 4060 --day 2017-12-07</v>
      </c>
      <c r="AN23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12:35:09"},{"id":29,"name":"Sharepoint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23"/>
        <v>https://d0f6bd738d7f1b3e5a7ca70fe4ff75f0.us-east-1.aws.found.io/app/kibana#/discover/Steve-Slow-Train-Analysis-(2080s-and-2083s)?_g=(refreshInterval:(display:Off,pause:!f,section:0,value:0),time:(from:'2017-12-07T03:51:30-0700',mode:absolute,to:'2017-12-07T06:35:09-0700'))&amp;_a=(columns:!('Message%20ID',Summary),filters:!(),index:'emp_*',interval:auto,query:(query_string:(analyze_wildcard:!t,query:'%22rtdc.l.rtdc.4060%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9" t="s">
        <v>739</v>
      </c>
      <c r="B24" s="225">
        <v>4059</v>
      </c>
      <c r="C24" s="227" t="s">
        <v>192</v>
      </c>
      <c r="D24" s="227" t="s">
        <v>927</v>
      </c>
      <c r="E24" s="226">
        <v>43076.244641203702</v>
      </c>
      <c r="F24" s="226">
        <v>43076.248067129629</v>
      </c>
      <c r="G24" s="225">
        <v>46</v>
      </c>
      <c r="H24" s="227" t="s">
        <v>924</v>
      </c>
      <c r="I24" s="226">
        <v>43076.273472222223</v>
      </c>
      <c r="J24" s="225">
        <v>1</v>
      </c>
      <c r="K24" s="237" t="str">
        <f t="shared" si="0"/>
        <v>4059/4060</v>
      </c>
      <c r="L24" s="245" t="str">
        <f>VLOOKUP(A24,'Trips&amp;Operators'!$C$1:$G$99911,5,FALSE)</f>
        <v>YORK EDGAR</v>
      </c>
      <c r="M24" s="224">
        <f t="shared" si="1"/>
        <v>2.5405092594155576E-2</v>
      </c>
      <c r="N24" s="225">
        <f t="shared" si="2"/>
        <v>36.58333333558403</v>
      </c>
      <c r="O24" s="225"/>
      <c r="P24" s="225"/>
      <c r="Q24" s="228"/>
      <c r="R24" s="242"/>
      <c r="S24" s="249">
        <f t="shared" si="3"/>
        <v>1</v>
      </c>
      <c r="T24" s="242" t="str">
        <f t="shared" si="4"/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5"/>
        <v>https://d0f6bd738d7f1b3e5a7ca70fe4ff75f0.us-east-1.aws.found.io/app/kibana#/discover/Steve-Slow-Train-Analysis-(2080s-and-2083s)?_g=(refreshInterval:(display:Off,pause:!f,section:0,value:0),time:(from:'2017-12-07T04:52:17-0700',mode:absolute,to:'2017-12-07T07:33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4" s="247" t="str">
        <f>IF(AA24&lt;VLOOKUP(AG24,Variables!$AC$3:$AD$8,2,FALSE),"Y","N")</f>
        <v>N</v>
      </c>
      <c r="X24" s="247">
        <f t="shared" si="6"/>
        <v>1</v>
      </c>
      <c r="Y24" s="247">
        <f t="shared" si="7"/>
        <v>23.297000000000001</v>
      </c>
      <c r="Z24" s="247">
        <f t="shared" si="8"/>
        <v>1.7399999999999999E-2</v>
      </c>
      <c r="AA24" s="247">
        <f t="shared" si="9"/>
        <v>23.279600000000002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10"/>
        <v>112</v>
      </c>
      <c r="AE24" s="235" t="str">
        <f t="shared" si="11"/>
        <v>aws s3 cp s3://rtdc.mdm.uploadarchive.raw/RTDC4059/ "%USERPROFILE%\AppData\Local\Temp\OnboardLogs"\RTDC4059\2017-12-07 --exclude "*" --recursive --include "*20171207*" &amp; "%USERPROFILE%\Documents\GitHub\mrs-test-scripts\Headless Mode &amp; Sideloading\WalkAndUnGZ.bat" "%USERPROFILE%\AppData\Local\Temp\OnboardLogs"\RTDC4059\2017-12-07 &amp; aws s3 cp s3://rtdc.mdm.uploadarchive.raw/RTDC4059/ "%USERPROFILE%\AppData\Local\Temp\OnboardLogs"\RTDC4059\2017-12-08 --exclude "*" --recursive --include "*20171208*" &amp; "%USERPROFILE%\Documents\GitHub\mrs-test-scripts\Headless Mode &amp; Sideloading\WalkAndUnGZ.bat" "%USERPROFILE%\AppData\Local\Temp\OnboardLogs"\RTDC4059\2017-12-08</v>
      </c>
      <c r="AF24" s="234" t="str">
        <f t="shared" si="12"/>
        <v>"C:\Program Files (x86)\AstroGrep\AstroGrep.exe" /e /r /s /spath="%USERPROFILE%\AppData\Local\Temp\OnboardLogs" /stypes="app*4059*20171207*" /stext=" 13:.+((SYSTEM_STATE.+slice.+state.+changed )|(ment ac)|(multiple cpu faults)|(system.+state.+changed )|(\[timeout)|(PRM\|1\|D)|(kpr)|(kdp)|(train st.+moving)|(\|lc)|(penalty))"</v>
      </c>
      <c r="AG24" s="244" t="str">
        <f t="shared" si="13"/>
        <v>EC</v>
      </c>
      <c r="AH24" s="236" t="str">
        <f t="shared" si="19"/>
        <v>"%USERPROFILE%\Documents\GitHub\eaglep3\Utilities\RefineRTDCRunTimes.py" --tripid 112-07 --locoid 4059 --swversion DE.1.0.9.0 --startMP 204:232970 --initTime 2017-12-07T05:52:17 --startdatetime 2017-12-07T05:57:13 --delay 46 --endMP 204:174 --enddatetime 2017-12-07T06:33:48 --enforcementcount 1 &gt;&gt;%USERPROFILE%\Documents\GitHub\eaglep3-reporting\EC\2017-12-07-refined-times.txt</v>
      </c>
      <c r="AI24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{"issue":{"subject":"","project_id":79,"tracker_id":40,"status_id":1,"priority_id":2,"assigned_to_id":338,"start_date":"2017-12-07","description":"","custom_fields":[{"id":1,"name":"Subdivision","value":"EC"},{"id":4,"name":"Milepost","value":"0.0174"},{"id":17,"name":"Train ID","value":"112-07"},{"id":16,"name":"Locomotive ID","value":"4059"},{"id":130,"name":"Impact","value":""},{"id":150,"name":"Time of Event (Mountain Time)","value":"06:33:48"},{"id":151,"name":"Denver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21"/>
        <v>start /low /b %USERPROFILE%\Documents\GitHub\eaglep3\Utilities\DownloadLogsFromS3.py --loco 4059 --day 2017-12-07</v>
      </c>
      <c r="AN24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13:33:48"},{"id":29,"name":"Sharepoint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23"/>
        <v>https://d0f6bd738d7f1b3e5a7ca70fe4ff75f0.us-east-1.aws.found.io/app/kibana#/discover/Steve-Slow-Train-Analysis-(2080s-and-2083s)?_g=(refreshInterval:(display:Off,pause:!f,section:0,value:0),time:(from:'2017-12-07T04:52:17-0700',mode:absolute,to:'2017-12-07T07:33:48-0700'))&amp;_a=(columns:!('Message%20ID',Summary),filters:!(),index:'emp_*',interval:auto,query:(query_string:(analyze_wildcard:!t,query:'%22rtdc.l.rtdc.4059%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9" t="s">
        <v>730</v>
      </c>
      <c r="B25" s="225">
        <v>4014</v>
      </c>
      <c r="C25" s="227" t="s">
        <v>192</v>
      </c>
      <c r="D25" s="227" t="s">
        <v>486</v>
      </c>
      <c r="E25" s="226">
        <v>43076.203449074077</v>
      </c>
      <c r="F25" s="226">
        <v>43076.218958333331</v>
      </c>
      <c r="G25" s="225">
        <v>71</v>
      </c>
      <c r="H25" s="227" t="s">
        <v>928</v>
      </c>
      <c r="I25" s="226">
        <v>43076.243171296293</v>
      </c>
      <c r="J25" s="225">
        <v>1</v>
      </c>
      <c r="K25" s="237" t="str">
        <f t="shared" si="0"/>
        <v>4013/4014</v>
      </c>
      <c r="L25" s="245" t="str">
        <f>VLOOKUP(A25,'Trips&amp;Operators'!$C$1:$G$99911,5,FALSE)</f>
        <v>YANAI IAN</v>
      </c>
      <c r="M25" s="224">
        <f t="shared" si="1"/>
        <v>2.421296296233777E-2</v>
      </c>
      <c r="N25" s="225">
        <f t="shared" si="2"/>
        <v>34.866666665766388</v>
      </c>
      <c r="O25" s="225"/>
      <c r="P25" s="225"/>
      <c r="Q25" s="228"/>
      <c r="R25" s="242"/>
      <c r="S25" s="249">
        <f t="shared" si="3"/>
        <v>1</v>
      </c>
      <c r="T25" s="242" t="str">
        <f t="shared" si="4"/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 t="shared" si="5"/>
        <v>https://d0f6bd738d7f1b3e5a7ca70fe4ff75f0.us-east-1.aws.found.io/app/kibana#/discover/Steve-Slow-Train-Analysis-(2080s-and-2083s)?_g=(refreshInterval:(display:Off,pause:!f,section:0,value:0),time:(from:'2017-12-07T03:52:58-0700',mode:absolute,to:'2017-12-07T06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" s="247" t="str">
        <f>IF(AA25&lt;VLOOKUP(AG25,Variables!$AC$3:$AD$8,2,FALSE),"Y","N")</f>
        <v>N</v>
      </c>
      <c r="X25" s="247">
        <f t="shared" si="6"/>
        <v>1</v>
      </c>
      <c r="Y25" s="247">
        <f t="shared" si="7"/>
        <v>4.6600000000000003E-2</v>
      </c>
      <c r="Z25" s="247">
        <f t="shared" si="8"/>
        <v>23.3307</v>
      </c>
      <c r="AA25" s="247">
        <f t="shared" si="9"/>
        <v>23.284099999999999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10"/>
        <v>113</v>
      </c>
      <c r="AE25" s="235" t="str">
        <f t="shared" si="11"/>
        <v>aws s3 cp s3://rtdc.mdm.uploadarchive.raw/RTDC4014/ "%USERPROFILE%\AppData\Local\Temp\OnboardLogs"\RTDC4014\2017-12-07 --exclude "*" --recursive --include "*20171207*" &amp; "%USERPROFILE%\Documents\GitHub\mrs-test-scripts\Headless Mode &amp; Sideloading\WalkAndUnGZ.bat" "%USERPROFILE%\AppData\Local\Temp\OnboardLogs"\RTDC4014\2017-12-07 &amp; aws s3 cp s3://rtdc.mdm.uploadarchive.raw/RTDC4014/ "%USERPROFILE%\AppData\Local\Temp\OnboardLogs"\RTDC4014\2017-12-08 --exclude "*" --recursive --include "*20171208*" &amp; "%USERPROFILE%\Documents\GitHub\mrs-test-scripts\Headless Mode &amp; Sideloading\WalkAndUnGZ.bat" "%USERPROFILE%\AppData\Local\Temp\OnboardLogs"\RTDC4014\2017-12-08</v>
      </c>
      <c r="AF25" s="234" t="str">
        <f t="shared" si="12"/>
        <v>"C:\Program Files (x86)\AstroGrep\AstroGrep.exe" /e /r /s /spath="%USERPROFILE%\AppData\Local\Temp\OnboardLogs" /stypes="app*4014*20171207*" /stext=" 12:.+((SYSTEM_STATE.+slice.+state.+changed )|(ment ac)|(multiple cpu faults)|(system.+state.+changed )|(\[timeout)|(PRM\|1\|D)|(kpr)|(kdp)|(train st.+moving)|(\|lc)|(penalty))"</v>
      </c>
      <c r="AG25" s="244" t="str">
        <f t="shared" si="13"/>
        <v>EC</v>
      </c>
      <c r="AH25" s="236" t="str">
        <f t="shared" si="19"/>
        <v>"%USERPROFILE%\Documents\GitHub\eaglep3\Utilities\RefineRTDCRunTimes.py" --tripid 113-07 --locoid 4014 --swversion DE.1.0.9.0 --startMP 204:466 --initTime 2017-12-07T04:52:58 --startdatetime 2017-12-07T05:15:18 --delay 71 --endMP 204:233307 --enddatetime 2017-12-07T05:50:10 --enforcementcount 1 &gt;&gt;%USERPROFILE%\Documents\GitHub\eaglep3-reporting\EC\2017-12-07-refined-times.txt</v>
      </c>
      <c r="AI25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{"issue":{"subject":"","project_id":79,"tracker_id":40,"status_id":1,"priority_id":2,"assigned_to_id":338,"start_date":"2017-12-07","description":"","custom_fields":[{"id":1,"name":"Subdivision","value":"EC"},{"id":4,"name":"Milepost","value":"23.3307"},{"id":17,"name":"Train ID","value":"113-07"},{"id":16,"name":"Locomotive ID","value":"4014"},{"id":130,"name":"Impact","value":""},{"id":150,"name":"Time of Event (Mountain Time)","value":"05:50:10"},{"id":151,"name":"Denver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21"/>
        <v>start /low /b %USERPROFILE%\Documents\GitHub\eaglep3\Utilities\DownloadLogsFromS3.py --loco 4014 --day 2017-12-07</v>
      </c>
      <c r="AN25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12:50:10"},{"id":29,"name":"Sharepoint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23"/>
        <v>https://d0f6bd738d7f1b3e5a7ca70fe4ff75f0.us-east-1.aws.found.io/app/kibana#/discover/Steve-Slow-Train-Analysis-(2080s-and-2083s)?_g=(refreshInterval:(display:Off,pause:!f,section:0,value:0),time:(from:'2017-12-07T03:52:58-0700',mode:absolute,to:'2017-12-07T06:50:10-0700'))&amp;_a=(columns:!('Message%20ID',Summary),filters:!(),index:'emp_*',interval:auto,query:(query_string:(analyze_wildcard:!t,query:'%22rtdc.l.rtdc.4014%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9" t="s">
        <v>740</v>
      </c>
      <c r="B26" s="225">
        <v>4013</v>
      </c>
      <c r="C26" s="227" t="s">
        <v>192</v>
      </c>
      <c r="D26" s="227" t="s">
        <v>929</v>
      </c>
      <c r="E26" s="226">
        <v>43076.244432870371</v>
      </c>
      <c r="F26" s="226">
        <v>43076.25849537037</v>
      </c>
      <c r="G26" s="225">
        <v>77</v>
      </c>
      <c r="H26" s="227" t="s">
        <v>930</v>
      </c>
      <c r="I26" s="226">
        <v>43076.284814814811</v>
      </c>
      <c r="J26" s="225">
        <v>1</v>
      </c>
      <c r="K26" s="237" t="str">
        <f t="shared" si="0"/>
        <v>4013/4014</v>
      </c>
      <c r="L26" s="245" t="str">
        <f>VLOOKUP(A26,'Trips&amp;Operators'!$C$1:$G$99911,5,FALSE)</f>
        <v>YANAI IAN</v>
      </c>
      <c r="M26" s="224">
        <f t="shared" si="1"/>
        <v>2.6319444441469386E-2</v>
      </c>
      <c r="N26" s="225">
        <f t="shared" si="2"/>
        <v>37.899999995715916</v>
      </c>
      <c r="O26" s="225"/>
      <c r="P26" s="225"/>
      <c r="Q26" s="228"/>
      <c r="R26" s="242"/>
      <c r="S26" s="249">
        <f t="shared" si="3"/>
        <v>1</v>
      </c>
      <c r="T26" s="242" t="str">
        <f t="shared" si="4"/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5"/>
        <v>https://d0f6bd738d7f1b3e5a7ca70fe4ff75f0.us-east-1.aws.found.io/app/kibana#/discover/Steve-Slow-Train-Analysis-(2080s-and-2083s)?_g=(refreshInterval:(display:Off,pause:!f,section:0,value:0),time:(from:'2017-12-07T04:51:59-0700',mode:absolute,to:'2017-12-07T07:50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" s="247" t="str">
        <f>IF(AA26&lt;VLOOKUP(AG26,Variables!$AC$3:$AD$8,2,FALSE),"Y","N")</f>
        <v>N</v>
      </c>
      <c r="X26" s="247">
        <f t="shared" si="6"/>
        <v>1</v>
      </c>
      <c r="Y26" s="247">
        <f t="shared" si="7"/>
        <v>23.2986</v>
      </c>
      <c r="Z26" s="247">
        <f t="shared" si="8"/>
        <v>1.52E-2</v>
      </c>
      <c r="AA26" s="247">
        <f t="shared" si="9"/>
        <v>23.2834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10"/>
        <v>114</v>
      </c>
      <c r="AE26" s="235" t="str">
        <f t="shared" si="11"/>
        <v>aws s3 cp s3://rtdc.mdm.uploadarchive.raw/RTDC4013/ "%USERPROFILE%\AppData\Local\Temp\OnboardLogs"\RTDC4013\2017-12-07 --exclude "*" --recursive --include "*20171207*" &amp; "%USERPROFILE%\Documents\GitHub\mrs-test-scripts\Headless Mode &amp; Sideloading\WalkAndUnGZ.bat" "%USERPROFILE%\AppData\Local\Temp\OnboardLogs"\RTDC4013\2017-12-07 &amp; aws s3 cp s3://rtdc.mdm.uploadarchive.raw/RTDC4013/ "%USERPROFILE%\AppData\Local\Temp\OnboardLogs"\RTDC4013\2017-12-08 --exclude "*" --recursive --include "*20171208*" &amp; "%USERPROFILE%\Documents\GitHub\mrs-test-scripts\Headless Mode &amp; Sideloading\WalkAndUnGZ.bat" "%USERPROFILE%\AppData\Local\Temp\OnboardLogs"\RTDC4013\2017-12-08</v>
      </c>
      <c r="AF26" s="234" t="str">
        <f t="shared" si="12"/>
        <v>"C:\Program Files (x86)\AstroGrep\AstroGrep.exe" /e /r /s /spath="%USERPROFILE%\AppData\Local\Temp\OnboardLogs" /stypes="app*4013*20171207*" /stext=" 13:.+((SYSTEM_STATE.+slice.+state.+changed )|(ment ac)|(multiple cpu faults)|(system.+state.+changed )|(\[timeout)|(PRM\|1\|D)|(kpr)|(kdp)|(train st.+moving)|(\|lc)|(penalty))"</v>
      </c>
      <c r="AG26" s="244" t="str">
        <f t="shared" si="13"/>
        <v>EC</v>
      </c>
      <c r="AH26" s="236" t="str">
        <f t="shared" si="19"/>
        <v>"%USERPROFILE%\Documents\GitHub\eaglep3\Utilities\RefineRTDCRunTimes.py" --tripid 114-07 --locoid 4013 --swversion DE.1.0.9.0 --startMP 204:232986 --initTime 2017-12-07T05:51:59 --startdatetime 2017-12-07T06:12:14 --delay 77 --endMP 204:152 --enddatetime 2017-12-07T06:50:08 --enforcementcount 1 &gt;&gt;%USERPROFILE%\Documents\GitHub\eaglep3-reporting\EC\2017-12-07-refined-times.txt</v>
      </c>
      <c r="AI26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{"issue":{"subject":"","project_id":79,"tracker_id":40,"status_id":1,"priority_id":2,"assigned_to_id":338,"start_date":"2017-12-07","description":"","custom_fields":[{"id":1,"name":"Subdivision","value":"EC"},{"id":4,"name":"Milepost","value":"0.0152"},{"id":17,"name":"Train ID","value":"114-07"},{"id":16,"name":"Locomotive ID","value":"4013"},{"id":130,"name":"Impact","value":""},{"id":150,"name":"Time of Event (Mountain Time)","value":"06:50:08"},{"id":151,"name":"Denver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21"/>
        <v>start /low /b %USERPROFILE%\Documents\GitHub\eaglep3\Utilities\DownloadLogsFromS3.py --loco 4013 --day 2017-12-07</v>
      </c>
      <c r="AN26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13:50:08"},{"id":29,"name":"Sharepoint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23"/>
        <v>https://d0f6bd738d7f1b3e5a7ca70fe4ff75f0.us-east-1.aws.found.io/app/kibana#/discover/Steve-Slow-Train-Analysis-(2080s-and-2083s)?_g=(refreshInterval:(display:Off,pause:!f,section:0,value:0),time:(from:'2017-12-07T04:51:59-0700',mode:absolute,to:'2017-12-07T07:50:08-0700'))&amp;_a=(columns:!('Message%20ID',Summary),filters:!(),index:'emp_*',interval:auto,query:(query_string:(analyze_wildcard:!t,query:'%22rtdc.l.rtdc.4013%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9" t="s">
        <v>734</v>
      </c>
      <c r="B27" s="225">
        <v>4056</v>
      </c>
      <c r="C27" s="227" t="s">
        <v>192</v>
      </c>
      <c r="D27" s="227" t="s">
        <v>453</v>
      </c>
      <c r="E27" s="226">
        <v>43076.224629629629</v>
      </c>
      <c r="F27" s="226">
        <v>43076.229456018518</v>
      </c>
      <c r="G27" s="225">
        <v>56</v>
      </c>
      <c r="H27" s="227" t="s">
        <v>931</v>
      </c>
      <c r="I27" s="226">
        <v>43076.25439814815</v>
      </c>
      <c r="J27" s="225">
        <v>1</v>
      </c>
      <c r="K27" s="237" t="str">
        <f t="shared" si="0"/>
        <v>4055/4056</v>
      </c>
      <c r="L27" s="245" t="str">
        <f>VLOOKUP(A27,'Trips&amp;Operators'!$C$1:$G$99911,5,FALSE)</f>
        <v>MAELZER KURT</v>
      </c>
      <c r="M27" s="224">
        <f t="shared" si="1"/>
        <v>2.4942129632108845E-2</v>
      </c>
      <c r="N27" s="225">
        <f t="shared" si="2"/>
        <v>35.916666670236737</v>
      </c>
      <c r="O27" s="225"/>
      <c r="P27" s="225"/>
      <c r="Q27" s="228"/>
      <c r="R27" s="242"/>
      <c r="S27" s="249">
        <f t="shared" si="3"/>
        <v>1</v>
      </c>
      <c r="T27" s="242" t="str">
        <f t="shared" si="4"/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5"/>
        <v>https://d0f6bd738d7f1b3e5a7ca70fe4ff75f0.us-east-1.aws.found.io/app/kibana#/discover/Steve-Slow-Train-Analysis-(2080s-and-2083s)?_g=(refreshInterval:(display:Off,pause:!f,section:0,value:0),time:(from:'2017-12-07T04:23:28-0700',mode:absolute,to:'2017-12-07T07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7" s="247" t="str">
        <f>IF(AA27&lt;VLOOKUP(AG27,Variables!$AC$3:$AD$8,2,FALSE),"Y","N")</f>
        <v>N</v>
      </c>
      <c r="X27" s="247">
        <f t="shared" si="6"/>
        <v>1</v>
      </c>
      <c r="Y27" s="247">
        <f t="shared" si="7"/>
        <v>5.1700000000000003E-2</v>
      </c>
      <c r="Z27" s="247">
        <f t="shared" si="8"/>
        <v>23.331900000000001</v>
      </c>
      <c r="AA27" s="247">
        <f t="shared" si="9"/>
        <v>23.280200000000001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10"/>
        <v>115</v>
      </c>
      <c r="AE27" s="235" t="str">
        <f t="shared" si="11"/>
        <v>aws s3 cp s3://rtdc.mdm.uploadarchive.raw/RTDC4056/ "%USERPROFILE%\AppData\Local\Temp\OnboardLogs"\RTDC4056\2017-12-07 --exclude "*" --recursive --include "*20171207*" &amp; "%USERPROFILE%\Documents\GitHub\mrs-test-scripts\Headless Mode &amp; Sideloading\WalkAndUnGZ.bat" "%USERPROFILE%\AppData\Local\Temp\OnboardLogs"\RTDC4056\2017-12-07 &amp; aws s3 cp s3://rtdc.mdm.uploadarchive.raw/RTDC4056/ "%USERPROFILE%\AppData\Local\Temp\OnboardLogs"\RTDC4056\2017-12-08 --exclude "*" --recursive --include "*20171208*" &amp; "%USERPROFILE%\Documents\GitHub\mrs-test-scripts\Headless Mode &amp; Sideloading\WalkAndUnGZ.bat" "%USERPROFILE%\AppData\Local\Temp\OnboardLogs"\RTDC4056\2017-12-08</v>
      </c>
      <c r="AF27" s="234" t="str">
        <f t="shared" si="12"/>
        <v>"C:\Program Files (x86)\AstroGrep\AstroGrep.exe" /e /r /s /spath="%USERPROFILE%\AppData\Local\Temp\OnboardLogs" /stypes="app*4056*20171207*" /stext=" 13:.+((SYSTEM_STATE.+slice.+state.+changed )|(ment ac)|(multiple cpu faults)|(system.+state.+changed )|(\[timeout)|(PRM\|1\|D)|(kpr)|(kdp)|(train st.+moving)|(\|lc)|(penalty))"</v>
      </c>
      <c r="AG27" s="244" t="str">
        <f t="shared" si="13"/>
        <v>EC</v>
      </c>
      <c r="AH27" s="236" t="str">
        <f t="shared" si="19"/>
        <v>"%USERPROFILE%\Documents\GitHub\eaglep3\Utilities\RefineRTDCRunTimes.py" --tripid 115-07 --locoid 4056 --swversion DE.1.0.9.0 --startMP 204:517 --initTime 2017-12-07T05:23:28 --startdatetime 2017-12-07T05:30:25 --delay 56 --endMP 204:233319 --enddatetime 2017-12-07T06:06:20 --enforcementcount 1 &gt;&gt;%USERPROFILE%\Documents\GitHub\eaglep3-reporting\EC\2017-12-07-refined-times.txt</v>
      </c>
      <c r="AI27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{"issue":{"subject":"","project_id":79,"tracker_id":40,"status_id":1,"priority_id":2,"assigned_to_id":338,"start_date":"2017-12-07","description":"","custom_fields":[{"id":1,"name":"Subdivision","value":"EC"},{"id":4,"name":"Milepost","value":"23.3319"},{"id":17,"name":"Train ID","value":"115-07"},{"id":16,"name":"Locomotive ID","value":"4056"},{"id":130,"name":"Impact","value":""},{"id":150,"name":"Time of Event (Mountain Time)","value":"06:06:20"},{"id":151,"name":"Denver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21"/>
        <v>start /low /b %USERPROFILE%\Documents\GitHub\eaglep3\Utilities\DownloadLogsFromS3.py --loco 4056 --day 2017-12-07</v>
      </c>
      <c r="AN27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13:06:20"},{"id":29,"name":"Sharepoint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23"/>
        <v>https://d0f6bd738d7f1b3e5a7ca70fe4ff75f0.us-east-1.aws.found.io/app/kibana#/discover/Steve-Slow-Train-Analysis-(2080s-and-2083s)?_g=(refreshInterval:(display:Off,pause:!f,section:0,value:0),time:(from:'2017-12-07T04:23:28-0700',mode:absolute,to:'2017-12-07T07:06:20-0700'))&amp;_a=(columns:!('Message%20ID',Summary),filters:!(),index:'emp_*',interval:auto,query:(query_string:(analyze_wildcard:!t,query:'%22rtdc.l.rtdc.4056%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9" t="s">
        <v>745</v>
      </c>
      <c r="B28" s="225">
        <v>4055</v>
      </c>
      <c r="C28" s="227" t="s">
        <v>192</v>
      </c>
      <c r="D28" s="227" t="s">
        <v>651</v>
      </c>
      <c r="E28" s="226">
        <v>43076.263668981483</v>
      </c>
      <c r="F28" s="226">
        <v>43076.268993055557</v>
      </c>
      <c r="G28" s="225">
        <v>76</v>
      </c>
      <c r="H28" s="227" t="s">
        <v>539</v>
      </c>
      <c r="I28" s="226">
        <v>43076.29546296296</v>
      </c>
      <c r="J28" s="225">
        <v>1</v>
      </c>
      <c r="K28" s="237" t="str">
        <f t="shared" si="0"/>
        <v>4055/4056</v>
      </c>
      <c r="L28" s="245" t="str">
        <f>VLOOKUP(A28,'Trips&amp;Operators'!$C$1:$G$99911,5,FALSE)</f>
        <v>MAELZER KURT</v>
      </c>
      <c r="M28" s="224">
        <f t="shared" si="1"/>
        <v>2.6469907403225079E-2</v>
      </c>
      <c r="N28" s="225">
        <f t="shared" si="2"/>
        <v>38.116666660644114</v>
      </c>
      <c r="O28" s="225"/>
      <c r="P28" s="225"/>
      <c r="Q28" s="228"/>
      <c r="R28" s="242"/>
      <c r="S28" s="249">
        <f t="shared" si="3"/>
        <v>1</v>
      </c>
      <c r="T28" s="242" t="str">
        <f t="shared" si="4"/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5"/>
        <v>https://d0f6bd738d7f1b3e5a7ca70fe4ff75f0.us-east-1.aws.found.io/app/kibana#/discover/Steve-Slow-Train-Analysis-(2080s-and-2083s)?_g=(refreshInterval:(display:Off,pause:!f,section:0,value:0),time:(from:'2017-12-07T05:19:41-0700',mode:absolute,to:'2017-12-07T08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8" s="247" t="str">
        <f>IF(AA28&lt;VLOOKUP(AG28,Variables!$AC$3:$AD$8,2,FALSE),"Y","N")</f>
        <v>N</v>
      </c>
      <c r="X28" s="247">
        <f t="shared" si="6"/>
        <v>1</v>
      </c>
      <c r="Y28" s="247">
        <f t="shared" si="7"/>
        <v>23.298300000000001</v>
      </c>
      <c r="Z28" s="247">
        <f t="shared" si="8"/>
        <v>1.8700000000000001E-2</v>
      </c>
      <c r="AA28" s="247">
        <f t="shared" si="9"/>
        <v>23.279600000000002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10"/>
        <v>116</v>
      </c>
      <c r="AE28" s="235" t="str">
        <f t="shared" si="11"/>
        <v>aws s3 cp s3://rtdc.mdm.uploadarchive.raw/RTDC4055/ "%USERPROFILE%\AppData\Local\Temp\OnboardLogs"\RTDC4055\2017-12-07 --exclude "*" --recursive --include "*20171207*" &amp; "%USERPROFILE%\Documents\GitHub\mrs-test-scripts\Headless Mode &amp; Sideloading\WalkAndUnGZ.bat" "%USERPROFILE%\AppData\Local\Temp\OnboardLogs"\RTDC4055\2017-12-07 &amp; aws s3 cp s3://rtdc.mdm.uploadarchive.raw/RTDC4055/ "%USERPROFILE%\AppData\Local\Temp\OnboardLogs"\RTDC4055\2017-12-08 --exclude "*" --recursive --include "*20171208*" &amp; "%USERPROFILE%\Documents\GitHub\mrs-test-scripts\Headless Mode &amp; Sideloading\WalkAndUnGZ.bat" "%USERPROFILE%\AppData\Local\Temp\OnboardLogs"\RTDC4055\2017-12-08</v>
      </c>
      <c r="AF28" s="234" t="str">
        <f t="shared" si="12"/>
        <v>"C:\Program Files (x86)\AstroGrep\AstroGrep.exe" /e /r /s /spath="%USERPROFILE%\AppData\Local\Temp\OnboardLogs" /stypes="app*4055*20171207*" /stext=" 14:.+((SYSTEM_STATE.+slice.+state.+changed )|(ment ac)|(multiple cpu faults)|(system.+state.+changed )|(\[timeout)|(PRM\|1\|D)|(kpr)|(kdp)|(train st.+moving)|(\|lc)|(penalty))"</v>
      </c>
      <c r="AG28" s="244" t="str">
        <f t="shared" si="13"/>
        <v>EC</v>
      </c>
      <c r="AH28" s="236" t="str">
        <f t="shared" si="19"/>
        <v>"%USERPROFILE%\Documents\GitHub\eaglep3\Utilities\RefineRTDCRunTimes.py" --tripid 116-07 --locoid 4055 --swversion DE.1.0.9.0 --startMP 204:232983 --initTime 2017-12-07T06:19:41 --startdatetime 2017-12-07T06:27:21 --delay 76 --endMP 204:187 --enddatetime 2017-12-07T07:05:28 --enforcementcount 1 &gt;&gt;%USERPROFILE%\Documents\GitHub\eaglep3-reporting\EC\2017-12-07-refined-times.txt</v>
      </c>
      <c r="AI28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{"issue":{"subject":"","project_id":79,"tracker_id":40,"status_id":1,"priority_id":2,"assigned_to_id":338,"start_date":"2017-12-07","description":"","custom_fields":[{"id":1,"name":"Subdivision","value":"EC"},{"id":4,"name":"Milepost","value":"0.0187"},{"id":17,"name":"Train ID","value":"116-07"},{"id":16,"name":"Locomotive ID","value":"4055"},{"id":130,"name":"Impact","value":""},{"id":150,"name":"Time of Event (Mountain Time)","value":"07:05:28"},{"id":151,"name":"Denver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21"/>
        <v>start /low /b %USERPROFILE%\Documents\GitHub\eaglep3\Utilities\DownloadLogsFromS3.py --loco 4055 --day 2017-12-07</v>
      </c>
      <c r="AN28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14:05:28"},{"id":29,"name":"Sharepoint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23"/>
        <v>https://d0f6bd738d7f1b3e5a7ca70fe4ff75f0.us-east-1.aws.found.io/app/kibana#/discover/Steve-Slow-Train-Analysis-(2080s-and-2083s)?_g=(refreshInterval:(display:Off,pause:!f,section:0,value:0),time:(from:'2017-12-07T05:19:41-0700',mode:absolute,to:'2017-12-07T08:05:28-0700'))&amp;_a=(columns:!('Message%20ID',Summary),filters:!(),index:'emp_*',interval:auto,query:(query_string:(analyze_wildcard:!t,query:'%22rtdc.l.rtdc.4055%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9" t="s">
        <v>738</v>
      </c>
      <c r="B29" s="225">
        <v>4028</v>
      </c>
      <c r="C29" s="227" t="s">
        <v>192</v>
      </c>
      <c r="D29" s="227" t="s">
        <v>646</v>
      </c>
      <c r="E29" s="226">
        <v>43076.234293981484</v>
      </c>
      <c r="F29" s="226">
        <v>43076.239803240744</v>
      </c>
      <c r="G29" s="225">
        <v>75</v>
      </c>
      <c r="H29" s="227" t="s">
        <v>471</v>
      </c>
      <c r="I29" s="226">
        <v>43076.265057870369</v>
      </c>
      <c r="J29" s="225">
        <v>1</v>
      </c>
      <c r="K29" s="237" t="str">
        <f t="shared" si="0"/>
        <v>4027/4028</v>
      </c>
      <c r="L29" s="245" t="str">
        <f>VLOOKUP(A29,'Trips&amp;Operators'!$C$1:$G$99911,5,FALSE)</f>
        <v>DAVIDSON DAVID</v>
      </c>
      <c r="M29" s="224">
        <f t="shared" si="1"/>
        <v>2.5254629625123926E-2</v>
      </c>
      <c r="N29" s="225">
        <f t="shared" si="2"/>
        <v>36.366666660178453</v>
      </c>
      <c r="O29" s="225"/>
      <c r="P29" s="225"/>
      <c r="Q29" s="228"/>
      <c r="R29" s="242"/>
      <c r="S29" s="249">
        <f t="shared" si="3"/>
        <v>1</v>
      </c>
      <c r="T29" s="242" t="str">
        <f t="shared" si="4"/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5"/>
        <v>https://d0f6bd738d7f1b3e5a7ca70fe4ff75f0.us-east-1.aws.found.io/app/kibana#/discover/Steve-Slow-Train-Analysis-(2080s-and-2083s)?_g=(refreshInterval:(display:Off,pause:!f,section:0,value:0),time:(from:'2017-12-07T04:37:23-0700',mode:absolute,to:'2017-12-07T07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9" s="247" t="str">
        <f>IF(AA29&lt;VLOOKUP(AG29,Variables!$AC$3:$AD$8,2,FALSE),"Y","N")</f>
        <v>N</v>
      </c>
      <c r="X29" s="247">
        <f t="shared" si="6"/>
        <v>1</v>
      </c>
      <c r="Y29" s="247">
        <f t="shared" si="7"/>
        <v>5.1499999999999997E-2</v>
      </c>
      <c r="Z29" s="247">
        <f t="shared" si="8"/>
        <v>23.327400000000001</v>
      </c>
      <c r="AA29" s="247">
        <f t="shared" si="9"/>
        <v>23.2759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10"/>
        <v>117</v>
      </c>
      <c r="AE29" s="235" t="str">
        <f t="shared" si="11"/>
        <v>aws s3 cp s3://rtdc.mdm.uploadarchive.raw/RTDC4028/ "%USERPROFILE%\AppData\Local\Temp\OnboardLogs"\RTDC4028\2017-12-07 --exclude "*" --recursive --include "*20171207*" &amp; "%USERPROFILE%\Documents\GitHub\mrs-test-scripts\Headless Mode &amp; Sideloading\WalkAndUnGZ.bat" "%USERPROFILE%\AppData\Local\Temp\OnboardLogs"\RTDC4028\2017-12-07 &amp; aws s3 cp s3://rtdc.mdm.uploadarchive.raw/RTDC4028/ "%USERPROFILE%\AppData\Local\Temp\OnboardLogs"\RTDC4028\2017-12-08 --exclude "*" --recursive --include "*20171208*" &amp; "%USERPROFILE%\Documents\GitHub\mrs-test-scripts\Headless Mode &amp; Sideloading\WalkAndUnGZ.bat" "%USERPROFILE%\AppData\Local\Temp\OnboardLogs"\RTDC4028\2017-12-08</v>
      </c>
      <c r="AF29" s="234" t="str">
        <f t="shared" si="12"/>
        <v>"C:\Program Files (x86)\AstroGrep\AstroGrep.exe" /e /r /s /spath="%USERPROFILE%\AppData\Local\Temp\OnboardLogs" /stypes="app*4028*20171207*" /stext=" 13:.+((SYSTEM_STATE.+slice.+state.+changed )|(ment ac)|(multiple cpu faults)|(system.+state.+changed )|(\[timeout)|(PRM\|1\|D)|(kpr)|(kdp)|(train st.+moving)|(\|lc)|(penalty))"</v>
      </c>
      <c r="AG29" s="244" t="str">
        <f t="shared" si="13"/>
        <v>EC</v>
      </c>
      <c r="AH29" s="236" t="str">
        <f t="shared" si="19"/>
        <v>"%USERPROFILE%\Documents\GitHub\eaglep3\Utilities\RefineRTDCRunTimes.py" --tripid 117-07 --locoid 4028 --swversion DE.1.0.9.0 --startMP 204:515 --initTime 2017-12-07T05:37:23 --startdatetime 2017-12-07T05:45:19 --delay 75 --endMP 204:233274 --enddatetime 2017-12-07T06:21:41 --enforcementcount 1 &gt;&gt;%USERPROFILE%\Documents\GitHub\eaglep3-reporting\EC\2017-12-07-refined-times.txt</v>
      </c>
      <c r="AI29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{"issue":{"subject":"","project_id":79,"tracker_id":40,"status_id":1,"priority_id":2,"assigned_to_id":338,"start_date":"2017-12-07","description":"","custom_fields":[{"id":1,"name":"Subdivision","value":"EC"},{"id":4,"name":"Milepost","value":"23.3274"},{"id":17,"name":"Train ID","value":"117-07"},{"id":16,"name":"Locomotive ID","value":"4028"},{"id":130,"name":"Impact","value":""},{"id":150,"name":"Time of Event (Mountain Time)","value":"06:21:41"},{"id":151,"name":"Denver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21"/>
        <v>start /low /b %USERPROFILE%\Documents\GitHub\eaglep3\Utilities\DownloadLogsFromS3.py --loco 4028 --day 2017-12-07</v>
      </c>
      <c r="AN29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13:21:41"},{"id":29,"name":"Sharepoint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23"/>
        <v>https://d0f6bd738d7f1b3e5a7ca70fe4ff75f0.us-east-1.aws.found.io/app/kibana#/discover/Steve-Slow-Train-Analysis-(2080s-and-2083s)?_g=(refreshInterval:(display:Off,pause:!f,section:0,value:0),time:(from:'2017-12-07T04:37:23-0700',mode:absolute,to:'2017-12-07T07:21:41-0700'))&amp;_a=(columns:!('Message%20ID',Summary),filters:!(),index:'emp_*',interval:auto,query:(query_string:(analyze_wildcard:!t,query:'%22rtdc.l.rtdc.4028%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9" t="s">
        <v>747</v>
      </c>
      <c r="B30" s="225">
        <v>4027</v>
      </c>
      <c r="C30" s="227" t="s">
        <v>192</v>
      </c>
      <c r="D30" s="227" t="s">
        <v>932</v>
      </c>
      <c r="E30" s="226">
        <v>43076.267048611109</v>
      </c>
      <c r="F30" s="226">
        <v>43076.280069444445</v>
      </c>
      <c r="G30" s="225">
        <v>57</v>
      </c>
      <c r="H30" s="227" t="s">
        <v>933</v>
      </c>
      <c r="I30" s="226">
        <v>43076.306909722225</v>
      </c>
      <c r="J30" s="225">
        <v>1</v>
      </c>
      <c r="K30" s="237" t="str">
        <f t="shared" si="0"/>
        <v>4027/4028</v>
      </c>
      <c r="L30" s="245" t="str">
        <f>VLOOKUP(A30,'Trips&amp;Operators'!$C$1:$G$99911,5,FALSE)</f>
        <v>DAVIDSON DAVID</v>
      </c>
      <c r="M30" s="224">
        <f t="shared" si="1"/>
        <v>2.6840277780138422E-2</v>
      </c>
      <c r="N30" s="225">
        <f t="shared" si="2"/>
        <v>38.650000003399327</v>
      </c>
      <c r="O30" s="225"/>
      <c r="P30" s="225"/>
      <c r="Q30" s="228"/>
      <c r="R30" s="242"/>
      <c r="S30" s="249">
        <f t="shared" si="3"/>
        <v>1</v>
      </c>
      <c r="T30" s="242" t="str">
        <f t="shared" si="4"/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5"/>
        <v>https://d0f6bd738d7f1b3e5a7ca70fe4ff75f0.us-east-1.aws.found.io/app/kibana#/discover/Steve-Slow-Train-Analysis-(2080s-and-2083s)?_g=(refreshInterval:(display:Off,pause:!f,section:0,value:0),time:(from:'2017-12-07T05:24:33-0700',mode:absolute,to:'2017-12-07T08:21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0" s="247" t="str">
        <f>IF(AA30&lt;VLOOKUP(AG30,Variables!$AC$3:$AD$8,2,FALSE),"Y","N")</f>
        <v>N</v>
      </c>
      <c r="X30" s="247">
        <f t="shared" si="6"/>
        <v>1</v>
      </c>
      <c r="Y30" s="247">
        <f t="shared" si="7"/>
        <v>23.293800000000001</v>
      </c>
      <c r="Z30" s="247">
        <f t="shared" si="8"/>
        <v>2.18E-2</v>
      </c>
      <c r="AA30" s="247">
        <f t="shared" si="9"/>
        <v>23.272000000000002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10"/>
        <v>118</v>
      </c>
      <c r="AE30" s="235" t="str">
        <f t="shared" si="11"/>
        <v>aws s3 cp s3://rtdc.mdm.uploadarchive.raw/RTDC4027/ "%USERPROFILE%\AppData\Local\Temp\OnboardLogs"\RTDC4027\2017-12-07 --exclude "*" --recursive --include "*20171207*" &amp; "%USERPROFILE%\Documents\GitHub\mrs-test-scripts\Headless Mode &amp; Sideloading\WalkAndUnGZ.bat" "%USERPROFILE%\AppData\Local\Temp\OnboardLogs"\RTDC4027\2017-12-07 &amp; aws s3 cp s3://rtdc.mdm.uploadarchive.raw/RTDC4027/ "%USERPROFILE%\AppData\Local\Temp\OnboardLogs"\RTDC4027\2017-12-08 --exclude "*" --recursive --include "*20171208*" &amp; "%USERPROFILE%\Documents\GitHub\mrs-test-scripts\Headless Mode &amp; Sideloading\WalkAndUnGZ.bat" "%USERPROFILE%\AppData\Local\Temp\OnboardLogs"\RTDC4027\2017-12-08</v>
      </c>
      <c r="AF30" s="234" t="str">
        <f t="shared" si="12"/>
        <v>"C:\Program Files (x86)\AstroGrep\AstroGrep.exe" /e /r /s /spath="%USERPROFILE%\AppData\Local\Temp\OnboardLogs" /stypes="app*4027*20171207*" /stext=" 14:.+((SYSTEM_STATE.+slice.+state.+changed )|(ment ac)|(multiple cpu faults)|(system.+state.+changed )|(\[timeout)|(PRM\|1\|D)|(kpr)|(kdp)|(train st.+moving)|(\|lc)|(penalty))"</v>
      </c>
      <c r="AG30" s="244" t="str">
        <f t="shared" si="13"/>
        <v>EC</v>
      </c>
      <c r="AH30" s="236" t="str">
        <f t="shared" si="19"/>
        <v>"%USERPROFILE%\Documents\GitHub\eaglep3\Utilities\RefineRTDCRunTimes.py" --tripid 118-07 --locoid 4027 --swversion DE.1.0.9.0 --startMP 204:232938 --initTime 2017-12-07T06:24:33 --startdatetime 2017-12-07T06:43:18 --delay 57 --endMP 204:218 --enddatetime 2017-12-07T07:21:57 --enforcementcount 1 &gt;&gt;%USERPROFILE%\Documents\GitHub\eaglep3-reporting\EC\2017-12-07-refined-times.txt</v>
      </c>
      <c r="AI30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{"issue":{"subject":"","project_id":79,"tracker_id":40,"status_id":1,"priority_id":2,"assigned_to_id":338,"start_date":"2017-12-07","description":"","custom_fields":[{"id":1,"name":"Subdivision","value":"EC"},{"id":4,"name":"Milepost","value":"0.0218"},{"id":17,"name":"Train ID","value":"118-07"},{"id":16,"name":"Locomotive ID","value":"4027"},{"id":130,"name":"Impact","value":""},{"id":150,"name":"Time of Event (Mountain Time)","value":"07:21:57"},{"id":151,"name":"Denver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21"/>
        <v>start /low /b %USERPROFILE%\Documents\GitHub\eaglep3\Utilities\DownloadLogsFromS3.py --loco 4027 --day 2017-12-07</v>
      </c>
      <c r="AN30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14:21:57"},{"id":29,"name":"Sharepoint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23"/>
        <v>https://d0f6bd738d7f1b3e5a7ca70fe4ff75f0.us-east-1.aws.found.io/app/kibana#/discover/Steve-Slow-Train-Analysis-(2080s-and-2083s)?_g=(refreshInterval:(display:Off,pause:!f,section:0,value:0),time:(from:'2017-12-07T05:24:33-0700',mode:absolute,to:'2017-12-07T08:21:57-0700'))&amp;_a=(columns:!('Message%20ID',Summary),filters:!(),index:'emp_*',interval:auto,query:(query_string:(analyze_wildcard:!t,query:'%22rtdc.l.rtdc.4027%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9" t="s">
        <v>742</v>
      </c>
      <c r="B31" s="225">
        <v>4036</v>
      </c>
      <c r="C31" s="227" t="s">
        <v>192</v>
      </c>
      <c r="D31" s="227" t="s">
        <v>415</v>
      </c>
      <c r="E31" s="226">
        <v>43076.246261574073</v>
      </c>
      <c r="F31" s="226">
        <v>43076.250486111108</v>
      </c>
      <c r="G31" s="225">
        <v>65</v>
      </c>
      <c r="H31" s="227" t="s">
        <v>629</v>
      </c>
      <c r="I31" s="226">
        <v>43076.276273148149</v>
      </c>
      <c r="J31" s="225">
        <v>1</v>
      </c>
      <c r="K31" s="237" t="str">
        <f t="shared" si="0"/>
        <v>4035/4036</v>
      </c>
      <c r="L31" s="245" t="str">
        <f>VLOOKUP(A31,'Trips&amp;Operators'!$C$1:$G$99911,5,FALSE)</f>
        <v>HAMMOND JUSTYNN</v>
      </c>
      <c r="M31" s="224">
        <f t="shared" si="1"/>
        <v>2.5787037040572613E-2</v>
      </c>
      <c r="N31" s="225">
        <f t="shared" si="2"/>
        <v>37.133333338424563</v>
      </c>
      <c r="O31" s="225"/>
      <c r="P31" s="225"/>
      <c r="Q31" s="228"/>
      <c r="R31" s="242"/>
      <c r="S31" s="249">
        <f t="shared" si="3"/>
        <v>1</v>
      </c>
      <c r="T31" s="242" t="str">
        <f t="shared" si="4"/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5"/>
        <v>https://d0f6bd738d7f1b3e5a7ca70fe4ff75f0.us-east-1.aws.found.io/app/kibana#/discover/Steve-Slow-Train-Analysis-(2080s-and-2083s)?_g=(refreshInterval:(display:Off,pause:!f,section:0,value:0),time:(from:'2017-12-07T04:54:37-0700',mode:absolute,to:'2017-12-07T07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1" s="247" t="str">
        <f>IF(AA31&lt;VLOOKUP(AG31,Variables!$AC$3:$AD$8,2,FALSE),"Y","N")</f>
        <v>N</v>
      </c>
      <c r="X31" s="247">
        <f t="shared" si="6"/>
        <v>1</v>
      </c>
      <c r="Y31" s="247">
        <f t="shared" si="7"/>
        <v>5.0799999999999998E-2</v>
      </c>
      <c r="Z31" s="247">
        <f t="shared" si="8"/>
        <v>23.3293</v>
      </c>
      <c r="AA31" s="247">
        <f t="shared" si="9"/>
        <v>23.278500000000001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10"/>
        <v>119</v>
      </c>
      <c r="AE31" s="235" t="str">
        <f t="shared" si="11"/>
        <v>aws s3 cp s3://rtdc.mdm.uploadarchive.raw/RTDC4036/ "%USERPROFILE%\AppData\Local\Temp\OnboardLogs"\RTDC4036\2017-12-07 --exclude "*" --recursive --include "*20171207*" &amp; "%USERPROFILE%\Documents\GitHub\mrs-test-scripts\Headless Mode &amp; Sideloading\WalkAndUnGZ.bat" "%USERPROFILE%\AppData\Local\Temp\OnboardLogs"\RTDC4036\2017-12-07 &amp; aws s3 cp s3://rtdc.mdm.uploadarchive.raw/RTDC4036/ "%USERPROFILE%\AppData\Local\Temp\OnboardLogs"\RTDC4036\2017-12-08 --exclude "*" --recursive --include "*20171208*" &amp; "%USERPROFILE%\Documents\GitHub\mrs-test-scripts\Headless Mode &amp; Sideloading\WalkAndUnGZ.bat" "%USERPROFILE%\AppData\Local\Temp\OnboardLogs"\RTDC4036\2017-12-08</v>
      </c>
      <c r="AF31" s="234" t="str">
        <f t="shared" si="12"/>
        <v>"C:\Program Files (x86)\AstroGrep\AstroGrep.exe" /e /r /s /spath="%USERPROFILE%\AppData\Local\Temp\OnboardLogs" /stypes="app*4036*20171207*" /stext=" 13:.+((SYSTEM_STATE.+slice.+state.+changed )|(ment ac)|(multiple cpu faults)|(system.+state.+changed )|(\[timeout)|(PRM\|1\|D)|(kpr)|(kdp)|(train st.+moving)|(\|lc)|(penalty))"</v>
      </c>
      <c r="AG31" s="244" t="str">
        <f t="shared" si="13"/>
        <v>EC</v>
      </c>
      <c r="AH31" s="236" t="str">
        <f t="shared" si="19"/>
        <v>"%USERPROFILE%\Documents\GitHub\eaglep3\Utilities\RefineRTDCRunTimes.py" --tripid 119-07 --locoid 4036 --swversion DE.1.0.9.0 --startMP 204:508 --initTime 2017-12-07T05:54:37 --startdatetime 2017-12-07T06:00:42 --delay 65 --endMP 204:233293 --enddatetime 2017-12-07T06:37:50 --enforcementcount 1 &gt;&gt;%USERPROFILE%\Documents\GitHub\eaglep3-reporting\EC\2017-12-07-refined-times.txt</v>
      </c>
      <c r="AI31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{"issue":{"subject":"","project_id":79,"tracker_id":40,"status_id":1,"priority_id":2,"assigned_to_id":338,"start_date":"2017-12-07","description":"","custom_fields":[{"id":1,"name":"Subdivision","value":"EC"},{"id":4,"name":"Milepost","value":"23.3293"},{"id":17,"name":"Train ID","value":"119-07"},{"id":16,"name":"Locomotive ID","value":"4036"},{"id":130,"name":"Impact","value":""},{"id":150,"name":"Time of Event (Mountain Time)","value":"06:37:50"},{"id":151,"name":"Denver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21"/>
        <v>start /low /b %USERPROFILE%\Documents\GitHub\eaglep3\Utilities\DownloadLogsFromS3.py --loco 4036 --day 2017-12-07</v>
      </c>
      <c r="AN31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13:37:50"},{"id":29,"name":"Sharepoint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23"/>
        <v>https://d0f6bd738d7f1b3e5a7ca70fe4ff75f0.us-east-1.aws.found.io/app/kibana#/discover/Steve-Slow-Train-Analysis-(2080s-and-2083s)?_g=(refreshInterval:(display:Off,pause:!f,section:0,value:0),time:(from:'2017-12-07T04:54:37-0700',mode:absolute,to:'2017-12-07T07:37:50-0700'))&amp;_a=(columns:!('Message%20ID',Summary),filters:!(),index:'emp_*',interval:auto,query:(query_string:(analyze_wildcard:!t,query:'%22rtdc.l.rtdc.4036%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9" t="s">
        <v>680</v>
      </c>
      <c r="B32" s="225">
        <v>4035</v>
      </c>
      <c r="C32" s="227" t="s">
        <v>192</v>
      </c>
      <c r="D32" s="227" t="s">
        <v>934</v>
      </c>
      <c r="E32" s="226">
        <v>43076.286145833335</v>
      </c>
      <c r="F32" s="226">
        <v>43076.28974537037</v>
      </c>
      <c r="G32" s="225">
        <v>59</v>
      </c>
      <c r="H32" s="227" t="s">
        <v>624</v>
      </c>
      <c r="I32" s="226">
        <v>43076.318090277775</v>
      </c>
      <c r="J32" s="225">
        <v>1</v>
      </c>
      <c r="K32" s="237" t="str">
        <f t="shared" si="0"/>
        <v>4035/4036</v>
      </c>
      <c r="L32" s="245" t="str">
        <f>VLOOKUP(A32,'Trips&amp;Operators'!$C$1:$G$99911,5,FALSE)</f>
        <v>HAMMOND JUSTYNN</v>
      </c>
      <c r="M32" s="224">
        <f t="shared" si="1"/>
        <v>2.8344907404971309E-2</v>
      </c>
      <c r="N32" s="225">
        <f t="shared" si="2"/>
        <v>40.816666663158685</v>
      </c>
      <c r="O32" s="225"/>
      <c r="P32" s="225"/>
      <c r="Q32" s="228"/>
      <c r="R32" s="242"/>
      <c r="S32" s="249">
        <f t="shared" si="3"/>
        <v>1</v>
      </c>
      <c r="T32" s="242" t="str">
        <f t="shared" si="4"/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5"/>
        <v>https://d0f6bd738d7f1b3e5a7ca70fe4ff75f0.us-east-1.aws.found.io/app/kibana#/discover/Steve-Slow-Train-Analysis-(2080s-and-2083s)?_g=(refreshInterval:(display:Off,pause:!f,section:0,value:0),time:(from:'2017-12-07T05:52:03-0700',mode:absolute,to:'2017-12-07T08:38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2" s="247" t="str">
        <f>IF(AA32&lt;VLOOKUP(AG32,Variables!$AC$3:$AD$8,2,FALSE),"Y","N")</f>
        <v>N</v>
      </c>
      <c r="X32" s="247">
        <f t="shared" si="6"/>
        <v>1</v>
      </c>
      <c r="Y32" s="247">
        <f t="shared" si="7"/>
        <v>23.296399999999998</v>
      </c>
      <c r="Z32" s="247">
        <f t="shared" si="8"/>
        <v>2.4199999999999999E-2</v>
      </c>
      <c r="AA32" s="247">
        <f t="shared" si="9"/>
        <v>23.272199999999998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10"/>
        <v>120</v>
      </c>
      <c r="AE32" s="235" t="str">
        <f t="shared" si="11"/>
        <v>aws s3 cp s3://rtdc.mdm.uploadarchive.raw/RTDC4035/ "%USERPROFILE%\AppData\Local\Temp\OnboardLogs"\RTDC4035\2017-12-07 --exclude "*" --recursive --include "*20171207*" &amp; "%USERPROFILE%\Documents\GitHub\mrs-test-scripts\Headless Mode &amp; Sideloading\WalkAndUnGZ.bat" "%USERPROFILE%\AppData\Local\Temp\OnboardLogs"\RTDC4035\2017-12-07 &amp; aws s3 cp s3://rtdc.mdm.uploadarchive.raw/RTDC4035/ "%USERPROFILE%\AppData\Local\Temp\OnboardLogs"\RTDC4035\2017-12-08 --exclude "*" --recursive --include "*20171208*" &amp; "%USERPROFILE%\Documents\GitHub\mrs-test-scripts\Headless Mode &amp; Sideloading\WalkAndUnGZ.bat" "%USERPROFILE%\AppData\Local\Temp\OnboardLogs"\RTDC4035\2017-12-08</v>
      </c>
      <c r="AF32" s="234" t="str">
        <f t="shared" si="12"/>
        <v>"C:\Program Files (x86)\AstroGrep\AstroGrep.exe" /e /r /s /spath="%USERPROFILE%\AppData\Local\Temp\OnboardLogs" /stypes="app*4035*20171207*" /stext=" 14:.+((SYSTEM_STATE.+slice.+state.+changed )|(ment ac)|(multiple cpu faults)|(system.+state.+changed )|(\[timeout)|(PRM\|1\|D)|(kpr)|(kdp)|(train st.+moving)|(\|lc)|(penalty))"</v>
      </c>
      <c r="AG32" s="244" t="str">
        <f t="shared" si="13"/>
        <v>EC</v>
      </c>
      <c r="AH32" s="236" t="str">
        <f t="shared" si="19"/>
        <v>"%USERPROFILE%\Documents\GitHub\eaglep3\Utilities\RefineRTDCRunTimes.py" --tripid 120-07 --locoid 4035 --swversion DE.1.0.9.0 --startMP 204:232964 --initTime 2017-12-07T06:52:03 --startdatetime 2017-12-07T06:57:14 --delay 59 --endMP 204:242 --enddatetime 2017-12-07T07:38:03 --enforcementcount 1 &gt;&gt;%USERPROFILE%\Documents\GitHub\eaglep3-reporting\EC\2017-12-07-refined-times.txt</v>
      </c>
      <c r="AI32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{"issue":{"subject":"","project_id":79,"tracker_id":40,"status_id":1,"priority_id":2,"assigned_to_id":338,"start_date":"2017-12-07","description":"","custom_fields":[{"id":1,"name":"Subdivision","value":"EC"},{"id":4,"name":"Milepost","value":"0.0242"},{"id":17,"name":"Train ID","value":"120-07"},{"id":16,"name":"Locomotive ID","value":"4035"},{"id":130,"name":"Impact","value":""},{"id":150,"name":"Time of Event (Mountain Time)","value":"07:38:03"},{"id":151,"name":"Denver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21"/>
        <v>start /low /b %USERPROFILE%\Documents\GitHub\eaglep3\Utilities\DownloadLogsFromS3.py --loco 4035 --day 2017-12-07</v>
      </c>
      <c r="AN32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14:38:03"},{"id":29,"name":"Sharepoint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23"/>
        <v>https://d0f6bd738d7f1b3e5a7ca70fe4ff75f0.us-east-1.aws.found.io/app/kibana#/discover/Steve-Slow-Train-Analysis-(2080s-and-2083s)?_g=(refreshInterval:(display:Off,pause:!f,section:0,value:0),time:(from:'2017-12-07T05:52:03-0700',mode:absolute,to:'2017-12-07T08:38:03-0700'))&amp;_a=(columns:!('Message%20ID',Summary),filters:!(),index:'emp_*',interval:auto,query:(query_string:(analyze_wildcard:!t,query:'%22rtdc.l.rtdc.4035%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9" t="s">
        <v>744</v>
      </c>
      <c r="B33" s="225">
        <v>4022</v>
      </c>
      <c r="C33" s="227" t="s">
        <v>192</v>
      </c>
      <c r="D33" s="227" t="s">
        <v>452</v>
      </c>
      <c r="E33" s="226">
        <v>43076.255497685182</v>
      </c>
      <c r="F33" s="226">
        <v>43076.260578703703</v>
      </c>
      <c r="G33" s="225">
        <v>53</v>
      </c>
      <c r="H33" s="227" t="s">
        <v>471</v>
      </c>
      <c r="I33" s="226">
        <v>43076.285196759258</v>
      </c>
      <c r="J33" s="225">
        <v>1</v>
      </c>
      <c r="K33" s="237" t="str">
        <f t="shared" si="0"/>
        <v>4021/4022</v>
      </c>
      <c r="L33" s="245" t="str">
        <f>VLOOKUP(A33,'Trips&amp;Operators'!$C$1:$G$99911,5,FALSE)</f>
        <v>PAGE MARCUS</v>
      </c>
      <c r="M33" s="224">
        <f t="shared" si="1"/>
        <v>2.4618055555038154E-2</v>
      </c>
      <c r="N33" s="225">
        <f t="shared" si="2"/>
        <v>35.449999999254942</v>
      </c>
      <c r="O33" s="225"/>
      <c r="P33" s="225"/>
      <c r="Q33" s="228"/>
      <c r="R33" s="242"/>
      <c r="S33" s="249">
        <f t="shared" si="3"/>
        <v>1</v>
      </c>
      <c r="T33" s="242" t="str">
        <f t="shared" si="4"/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5"/>
        <v>https://d0f6bd738d7f1b3e5a7ca70fe4ff75f0.us-east-1.aws.found.io/app/kibana#/discover/Steve-Slow-Train-Analysis-(2080s-and-2083s)?_g=(refreshInterval:(display:Off,pause:!f,section:0,value:0),time:(from:'2017-12-07T05:07:55-0700',mode:absolute,to:'2017-12-07T07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3" s="247" t="str">
        <f>IF(AA33&lt;VLOOKUP(AG33,Variables!$AC$3:$AD$8,2,FALSE),"Y","N")</f>
        <v>N</v>
      </c>
      <c r="X33" s="247">
        <f t="shared" si="6"/>
        <v>1</v>
      </c>
      <c r="Y33" s="247">
        <f t="shared" si="7"/>
        <v>5.1999999999999998E-2</v>
      </c>
      <c r="Z33" s="247">
        <f t="shared" si="8"/>
        <v>23.327400000000001</v>
      </c>
      <c r="AA33" s="247">
        <f t="shared" si="9"/>
        <v>23.275400000000001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10"/>
        <v>121</v>
      </c>
      <c r="AE33" s="235" t="str">
        <f t="shared" si="11"/>
        <v>aws s3 cp s3://rtdc.mdm.uploadarchive.raw/RTDC4022/ "%USERPROFILE%\AppData\Local\Temp\OnboardLogs"\RTDC4022\2017-12-07 --exclude "*" --recursive --include "*20171207*" &amp; "%USERPROFILE%\Documents\GitHub\mrs-test-scripts\Headless Mode &amp; Sideloading\WalkAndUnGZ.bat" "%USERPROFILE%\AppData\Local\Temp\OnboardLogs"\RTDC4022\2017-12-07 &amp; aws s3 cp s3://rtdc.mdm.uploadarchive.raw/RTDC4022/ "%USERPROFILE%\AppData\Local\Temp\OnboardLogs"\RTDC4022\2017-12-08 --exclude "*" --recursive --include "*20171208*" &amp; "%USERPROFILE%\Documents\GitHub\mrs-test-scripts\Headless Mode &amp; Sideloading\WalkAndUnGZ.bat" "%USERPROFILE%\AppData\Local\Temp\OnboardLogs"\RTDC4022\2017-12-08</v>
      </c>
      <c r="AF33" s="234" t="str">
        <f t="shared" si="12"/>
        <v>"C:\Program Files (x86)\AstroGrep\AstroGrep.exe" /e /r /s /spath="%USERPROFILE%\AppData\Local\Temp\OnboardLogs" /stypes="app*4022*20171207*" /stext=" 13:.+((SYSTEM_STATE.+slice.+state.+changed )|(ment ac)|(multiple cpu faults)|(system.+state.+changed )|(\[timeout)|(PRM\|1\|D)|(kpr)|(kdp)|(train st.+moving)|(\|lc)|(penalty))"</v>
      </c>
      <c r="AG33" s="244" t="str">
        <f t="shared" si="13"/>
        <v>EC</v>
      </c>
      <c r="AH33" s="236" t="str">
        <f t="shared" si="19"/>
        <v>"%USERPROFILE%\Documents\GitHub\eaglep3\Utilities\RefineRTDCRunTimes.py" --tripid 121-07 --locoid 4022 --swversion DE.1.0.9.0 --startMP 204:520 --initTime 2017-12-07T06:07:55 --startdatetime 2017-12-07T06:15:14 --delay 53 --endMP 204:233274 --enddatetime 2017-12-07T06:50:41 --enforcementcount 1 &gt;&gt;%USERPROFILE%\Documents\GitHub\eaglep3-reporting\EC\2017-12-07-refined-times.txt</v>
      </c>
      <c r="AI33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{"issue":{"subject":"","project_id":79,"tracker_id":40,"status_id":1,"priority_id":2,"assigned_to_id":338,"start_date":"2017-12-07","description":"","custom_fields":[{"id":1,"name":"Subdivision","value":"EC"},{"id":4,"name":"Milepost","value":"23.3274"},{"id":17,"name":"Train ID","value":"121-07"},{"id":16,"name":"Locomotive ID","value":"4022"},{"id":130,"name":"Impact","value":""},{"id":150,"name":"Time of Event (Mountain Time)","value":"06:50:41"},{"id":151,"name":"Denver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21"/>
        <v>start /low /b %USERPROFILE%\Documents\GitHub\eaglep3\Utilities\DownloadLogsFromS3.py --loco 4022 --day 2017-12-07</v>
      </c>
      <c r="AN33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13:50:41"},{"id":29,"name":"Sharepoint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23"/>
        <v>https://d0f6bd738d7f1b3e5a7ca70fe4ff75f0.us-east-1.aws.found.io/app/kibana#/discover/Steve-Slow-Train-Analysis-(2080s-and-2083s)?_g=(refreshInterval:(display:Off,pause:!f,section:0,value:0),time:(from:'2017-12-07T05:07:55-0700',mode:absolute,to:'2017-12-07T07:50:41-0700'))&amp;_a=(columns:!('Message%20ID',Summary),filters:!(),index:'emp_*',interval:auto,query:(query_string:(analyze_wildcard:!t,query:'%22rtdc.l.rtdc.4022%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9" t="s">
        <v>751</v>
      </c>
      <c r="B34" s="225">
        <v>4021</v>
      </c>
      <c r="C34" s="227" t="s">
        <v>192</v>
      </c>
      <c r="D34" s="227" t="s">
        <v>537</v>
      </c>
      <c r="E34" s="226">
        <v>43076.286412037036</v>
      </c>
      <c r="F34" s="226">
        <v>43076.300324074073</v>
      </c>
      <c r="G34" s="225">
        <v>52</v>
      </c>
      <c r="H34" s="227" t="s">
        <v>619</v>
      </c>
      <c r="I34" s="226">
        <v>43076.326562499999</v>
      </c>
      <c r="J34" s="225">
        <v>1</v>
      </c>
      <c r="K34" s="237" t="str">
        <f t="shared" si="0"/>
        <v>4021/4022</v>
      </c>
      <c r="L34" s="245" t="str">
        <f>VLOOKUP(A34,'Trips&amp;Operators'!$C$1:$G$99911,5,FALSE)</f>
        <v>PAGE MARCUS</v>
      </c>
      <c r="M34" s="224">
        <f t="shared" si="1"/>
        <v>2.6238425925839692E-2</v>
      </c>
      <c r="N34" s="225">
        <f t="shared" si="2"/>
        <v>37.783333333209157</v>
      </c>
      <c r="O34" s="225"/>
      <c r="P34" s="225"/>
      <c r="Q34" s="228"/>
      <c r="R34" s="242"/>
      <c r="S34" s="249">
        <f t="shared" si="3"/>
        <v>1</v>
      </c>
      <c r="T34" s="242" t="str">
        <f t="shared" si="4"/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5"/>
        <v>https://d0f6bd738d7f1b3e5a7ca70fe4ff75f0.us-east-1.aws.found.io/app/kibana#/discover/Steve-Slow-Train-Analysis-(2080s-and-2083s)?_g=(refreshInterval:(display:Off,pause:!f,section:0,value:0),time:(from:'2017-12-07T05:52:26-0700',mode:absolute,to:'2017-12-07T08:50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4" s="247" t="str">
        <f>IF(AA34&lt;VLOOKUP(AG34,Variables!$AC$3:$AD$8,2,FALSE),"Y","N")</f>
        <v>N</v>
      </c>
      <c r="X34" s="247">
        <f t="shared" si="6"/>
        <v>1</v>
      </c>
      <c r="Y34" s="247">
        <f t="shared" si="7"/>
        <v>23.294599999999999</v>
      </c>
      <c r="Z34" s="247">
        <f t="shared" si="8"/>
        <v>2.0500000000000001E-2</v>
      </c>
      <c r="AA34" s="247">
        <f t="shared" si="9"/>
        <v>23.274100000000001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10"/>
        <v>122</v>
      </c>
      <c r="AE34" s="235" t="str">
        <f t="shared" si="11"/>
        <v>aws s3 cp s3://rtdc.mdm.uploadarchive.raw/RTDC4021/ "%USERPROFILE%\AppData\Local\Temp\OnboardLogs"\RTDC4021\2017-12-07 --exclude "*" --recursive --include "*20171207*" &amp; "%USERPROFILE%\Documents\GitHub\mrs-test-scripts\Headless Mode &amp; Sideloading\WalkAndUnGZ.bat" "%USERPROFILE%\AppData\Local\Temp\OnboardLogs"\RTDC4021\2017-12-07 &amp; aws s3 cp s3://rtdc.mdm.uploadarchive.raw/RTDC4021/ "%USERPROFILE%\AppData\Local\Temp\OnboardLogs"\RTDC4021\2017-12-08 --exclude "*" --recursive --include "*20171208*" &amp; "%USERPROFILE%\Documents\GitHub\mrs-test-scripts\Headless Mode &amp; Sideloading\WalkAndUnGZ.bat" "%USERPROFILE%\AppData\Local\Temp\OnboardLogs"\RTDC4021\2017-12-08</v>
      </c>
      <c r="AF34" s="234" t="str">
        <f t="shared" si="12"/>
        <v>"C:\Program Files (x86)\AstroGrep\AstroGrep.exe" /e /r /s /spath="%USERPROFILE%\AppData\Local\Temp\OnboardLogs" /stypes="app*4021*20171207*" /stext=" 14:.+((SYSTEM_STATE.+slice.+state.+changed )|(ment ac)|(multiple cpu faults)|(system.+state.+changed )|(\[timeout)|(PRM\|1\|D)|(kpr)|(kdp)|(train st.+moving)|(\|lc)|(penalty))"</v>
      </c>
      <c r="AG34" s="244" t="str">
        <f t="shared" si="13"/>
        <v>EC</v>
      </c>
      <c r="AH34" s="236" t="str">
        <f t="shared" si="19"/>
        <v>"%USERPROFILE%\Documents\GitHub\eaglep3\Utilities\RefineRTDCRunTimes.py" --tripid 122-07 --locoid 4021 --swversion DE.1.0.9.0 --startMP 204:232946 --initTime 2017-12-07T06:52:26 --startdatetime 2017-12-07T07:12:28 --delay 52 --endMP 204:205 --enddatetime 2017-12-07T07:50:15 --enforcementcount 1 &gt;&gt;%USERPROFILE%\Documents\GitHub\eaglep3-reporting\EC\2017-12-07-refined-times.txt</v>
      </c>
      <c r="AI34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{"issue":{"subject":"","project_id":79,"tracker_id":40,"status_id":1,"priority_id":2,"assigned_to_id":338,"start_date":"2017-12-07","description":"","custom_fields":[{"id":1,"name":"Subdivision","value":"EC"},{"id":4,"name":"Milepost","value":"0.0205"},{"id":17,"name":"Train ID","value":"122-07"},{"id":16,"name":"Locomotive ID","value":"4021"},{"id":130,"name":"Impact","value":""},{"id":150,"name":"Time of Event (Mountain Time)","value":"07:50:15"},{"id":151,"name":"Denver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21"/>
        <v>start /low /b %USERPROFILE%\Documents\GitHub\eaglep3\Utilities\DownloadLogsFromS3.py --loco 4021 --day 2017-12-07</v>
      </c>
      <c r="AN34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14:50:15"},{"id":29,"name":"Sharepoint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23"/>
        <v>https://d0f6bd738d7f1b3e5a7ca70fe4ff75f0.us-east-1.aws.found.io/app/kibana#/discover/Steve-Slow-Train-Analysis-(2080s-and-2083s)?_g=(refreshInterval:(display:Off,pause:!f,section:0,value:0),time:(from:'2017-12-07T05:52:26-0700',mode:absolute,to:'2017-12-07T08:50:15-0700'))&amp;_a=(columns:!('Message%20ID',Summary),filters:!(),index:'emp_*',interval:auto,query:(query_string:(analyze_wildcard:!t,query:'%22rtdc.l.rtdc.4021%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9" t="s">
        <v>746</v>
      </c>
      <c r="B35" s="225">
        <v>4054</v>
      </c>
      <c r="C35" s="227" t="s">
        <v>192</v>
      </c>
      <c r="D35" s="227" t="s">
        <v>935</v>
      </c>
      <c r="E35" s="226">
        <v>43076.265625</v>
      </c>
      <c r="F35" s="226">
        <v>43076.272037037037</v>
      </c>
      <c r="G35" s="225">
        <v>91</v>
      </c>
      <c r="H35" s="227" t="s">
        <v>936</v>
      </c>
      <c r="I35" s="226">
        <v>43076.296689814815</v>
      </c>
      <c r="J35" s="225">
        <v>1</v>
      </c>
      <c r="K35" s="237" t="str">
        <f t="shared" si="0"/>
        <v>4053/4054</v>
      </c>
      <c r="L35" s="245" t="str">
        <f>VLOOKUP(A35,'Trips&amp;Operators'!$C$1:$G$99911,5,FALSE)</f>
        <v>WILLIAMS DONTE</v>
      </c>
      <c r="M35" s="224">
        <f t="shared" si="1"/>
        <v>2.4652777778101154E-2</v>
      </c>
      <c r="N35" s="225">
        <f t="shared" si="2"/>
        <v>35.500000000465661</v>
      </c>
      <c r="O35" s="225"/>
      <c r="P35" s="225"/>
      <c r="Q35" s="228"/>
      <c r="R35" s="242"/>
      <c r="S35" s="249">
        <f t="shared" si="3"/>
        <v>1</v>
      </c>
      <c r="T35" s="242" t="str">
        <f t="shared" si="4"/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 t="shared" si="5"/>
        <v>https://d0f6bd738d7f1b3e5a7ca70fe4ff75f0.us-east-1.aws.found.io/app/kibana#/discover/Steve-Slow-Train-Analysis-(2080s-and-2083s)?_g=(refreshInterval:(display:Off,pause:!f,section:0,value:0),time:(from:'2017-12-07T05:22:30-0700',mode:absolute,to:'2017-12-07T08:07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5" s="247" t="str">
        <f>IF(AA35&lt;VLOOKUP(AG35,Variables!$AC$3:$AD$8,2,FALSE),"Y","N")</f>
        <v>N</v>
      </c>
      <c r="X35" s="247">
        <f t="shared" si="6"/>
        <v>1</v>
      </c>
      <c r="Y35" s="247">
        <f t="shared" si="7"/>
        <v>5.11E-2</v>
      </c>
      <c r="Z35" s="247">
        <f t="shared" si="8"/>
        <v>23.324000000000002</v>
      </c>
      <c r="AA35" s="247">
        <f t="shared" si="9"/>
        <v>23.2729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10"/>
        <v>123</v>
      </c>
      <c r="AE35" s="235" t="str">
        <f t="shared" si="11"/>
        <v>aws s3 cp s3://rtdc.mdm.uploadarchive.raw/RTDC4054/ "%USERPROFILE%\AppData\Local\Temp\OnboardLogs"\RTDC4054\2017-12-07 --exclude "*" --recursive --include "*20171207*" &amp; "%USERPROFILE%\Documents\GitHub\mrs-test-scripts\Headless Mode &amp; Sideloading\WalkAndUnGZ.bat" "%USERPROFILE%\AppData\Local\Temp\OnboardLogs"\RTDC4054\2017-12-07 &amp; aws s3 cp s3://rtdc.mdm.uploadarchive.raw/RTDC4054/ "%USERPROFILE%\AppData\Local\Temp\OnboardLogs"\RTDC4054\2017-12-08 --exclude "*" --recursive --include "*20171208*" &amp; "%USERPROFILE%\Documents\GitHub\mrs-test-scripts\Headless Mode &amp; Sideloading\WalkAndUnGZ.bat" "%USERPROFILE%\AppData\Local\Temp\OnboardLogs"\RTDC4054\2017-12-08</v>
      </c>
      <c r="AF35" s="234" t="str">
        <f t="shared" si="12"/>
        <v>"C:\Program Files (x86)\AstroGrep\AstroGrep.exe" /e /r /s /spath="%USERPROFILE%\AppData\Local\Temp\OnboardLogs" /stypes="app*4054*20171207*" /stext=" 14:.+((SYSTEM_STATE.+slice.+state.+changed )|(ment ac)|(multiple cpu faults)|(system.+state.+changed )|(\[timeout)|(PRM\|1\|D)|(kpr)|(kdp)|(train st.+moving)|(\|lc)|(penalty))"</v>
      </c>
      <c r="AG35" s="244" t="str">
        <f t="shared" si="13"/>
        <v>EC</v>
      </c>
      <c r="AH35" s="236" t="str">
        <f t="shared" si="19"/>
        <v>"%USERPROFILE%\Documents\GitHub\eaglep3\Utilities\RefineRTDCRunTimes.py" --tripid 123-07 --locoid 4054 --swversion DE.1.0.9.0 --startMP 204:511 --initTime 2017-12-07T06:22:30 --startdatetime 2017-12-07T06:31:44 --delay 91 --endMP 204:233240 --enddatetime 2017-12-07T07:07:14 --enforcementcount 1 &gt;&gt;%USERPROFILE%\Documents\GitHub\eaglep3-reporting\EC\2017-12-07-refined-times.txt</v>
      </c>
      <c r="AI35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{"issue":{"subject":"","project_id":79,"tracker_id":40,"status_id":1,"priority_id":2,"assigned_to_id":338,"start_date":"2017-12-07","description":"","custom_fields":[{"id":1,"name":"Subdivision","value":"EC"},{"id":4,"name":"Milepost","value":"23.324"},{"id":17,"name":"Train ID","value":"123-07"},{"id":16,"name":"Locomotive ID","value":"4054"},{"id":130,"name":"Impact","value":""},{"id":150,"name":"Time of Event (Mountain Time)","value":"07:07:14"},{"id":151,"name":"Denver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21"/>
        <v>start /low /b %USERPROFILE%\Documents\GitHub\eaglep3\Utilities\DownloadLogsFromS3.py --loco 4054 --day 2017-12-07</v>
      </c>
      <c r="AN35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14:07:14"},{"id":29,"name":"Sharepoint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23"/>
        <v>https://d0f6bd738d7f1b3e5a7ca70fe4ff75f0.us-east-1.aws.found.io/app/kibana#/discover/Steve-Slow-Train-Analysis-(2080s-and-2083s)?_g=(refreshInterval:(display:Off,pause:!f,section:0,value:0),time:(from:'2017-12-07T05:22:30-0700',mode:absolute,to:'2017-12-07T08:07:14-0700'))&amp;_a=(columns:!('Message%20ID',Summary),filters:!(),index:'emp_*',interval:auto,query:(query_string:(analyze_wildcard:!t,query:'%22rtdc.l.rtdc.4054%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9" t="s">
        <v>755</v>
      </c>
      <c r="B36" s="225">
        <v>4053</v>
      </c>
      <c r="C36" s="227" t="s">
        <v>192</v>
      </c>
      <c r="D36" s="227" t="s">
        <v>463</v>
      </c>
      <c r="E36" s="226">
        <v>43076.305185185185</v>
      </c>
      <c r="F36" s="226">
        <v>43076.310613425929</v>
      </c>
      <c r="G36" s="225">
        <v>98</v>
      </c>
      <c r="H36" s="227" t="s">
        <v>627</v>
      </c>
      <c r="I36" s="226">
        <v>43076.338182870371</v>
      </c>
      <c r="J36" s="225">
        <v>1</v>
      </c>
      <c r="K36" s="237" t="str">
        <f t="shared" si="0"/>
        <v>4053/4054</v>
      </c>
      <c r="L36" s="245" t="str">
        <f>VLOOKUP(A36,'Trips&amp;Operators'!$C$1:$G$99911,5,FALSE)</f>
        <v>WILLIAMS DONTE</v>
      </c>
      <c r="M36" s="224">
        <f t="shared" si="1"/>
        <v>2.7569444442633539E-2</v>
      </c>
      <c r="N36" s="225">
        <f t="shared" si="2"/>
        <v>39.699999997392297</v>
      </c>
      <c r="O36" s="225"/>
      <c r="P36" s="225"/>
      <c r="Q36" s="228"/>
      <c r="R36" s="242" t="s">
        <v>1115</v>
      </c>
      <c r="S36" s="249">
        <f t="shared" si="3"/>
        <v>1</v>
      </c>
      <c r="T36" s="242" t="str">
        <f t="shared" si="4"/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5"/>
        <v>https://d0f6bd738d7f1b3e5a7ca70fe4ff75f0.us-east-1.aws.found.io/app/kibana#/discover/Steve-Slow-Train-Analysis-(2080s-and-2083s)?_g=(refreshInterval:(display:Off,pause:!f,section:0,value:0),time:(from:'2017-12-07T06:19:28-0700',mode:absolute,to:'2017-12-07T09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6" s="247" t="str">
        <f>IF(AA36&lt;VLOOKUP(AG36,Variables!$AC$3:$AD$8,2,FALSE),"Y","N")</f>
        <v>N</v>
      </c>
      <c r="X36" s="247">
        <f t="shared" si="6"/>
        <v>1</v>
      </c>
      <c r="Y36" s="247">
        <f t="shared" si="7"/>
        <v>23.292999999999999</v>
      </c>
      <c r="Z36" s="247">
        <f t="shared" si="8"/>
        <v>2.0299999999999999E-2</v>
      </c>
      <c r="AA36" s="247">
        <f t="shared" si="9"/>
        <v>23.2727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10"/>
        <v>124</v>
      </c>
      <c r="AE36" s="235" t="str">
        <f t="shared" si="11"/>
        <v>aws s3 cp s3://rtdc.mdm.uploadarchive.raw/RTDC4053/ "%USERPROFILE%\AppData\Local\Temp\OnboardLogs"\RTDC4053\2017-12-07 --exclude "*" --recursive --include "*20171207*" &amp; "%USERPROFILE%\Documents\GitHub\mrs-test-scripts\Headless Mode &amp; Sideloading\WalkAndUnGZ.bat" "%USERPROFILE%\AppData\Local\Temp\OnboardLogs"\RTDC4053\2017-12-07 &amp; aws s3 cp s3://rtdc.mdm.uploadarchive.raw/RTDC4053/ "%USERPROFILE%\AppData\Local\Temp\OnboardLogs"\RTDC4053\2017-12-08 --exclude "*" --recursive --include "*20171208*" &amp; "%USERPROFILE%\Documents\GitHub\mrs-test-scripts\Headless Mode &amp; Sideloading\WalkAndUnGZ.bat" "%USERPROFILE%\AppData\Local\Temp\OnboardLogs"\RTDC4053\2017-12-08</v>
      </c>
      <c r="AF36" s="234" t="str">
        <f t="shared" si="12"/>
        <v>"C:\Program Files (x86)\AstroGrep\AstroGrep.exe" /e /r /s /spath="%USERPROFILE%\AppData\Local\Temp\OnboardLogs" /stypes="app*4053*20171207*" /stext=" 15:.+((SYSTEM_STATE.+slice.+state.+changed )|(ment ac)|(multiple cpu faults)|(system.+state.+changed )|(\[timeout)|(PRM\|1\|D)|(kpr)|(kdp)|(train st.+moving)|(\|lc)|(penalty))"</v>
      </c>
      <c r="AG36" s="244" t="str">
        <f t="shared" si="13"/>
        <v>EC</v>
      </c>
      <c r="AH36" s="236" t="str">
        <f t="shared" si="19"/>
        <v>"%USERPROFILE%\Documents\GitHub\eaglep3\Utilities\RefineRTDCRunTimes.py" --tripid 124-07 --locoid 4053 --swversion DE.1.0.9.0 --startMP 204:232930 --initTime 2017-12-07T07:19:28 --startdatetime 2017-12-07T07:27:17 --delay 98 --endMP 204:203 --enddatetime 2017-12-07T08:06:59 --enforcementcount 1 &gt;&gt;%USERPROFILE%\Documents\GitHub\eaglep3-reporting\EC\2017-12-07-refined-times.txt</v>
      </c>
      <c r="AI36" s="238" t="str">
        <f t="shared" si="20"/>
        <v>echo {"issue":{"subject":"Brief Wi-MAX data drop caused unhealthy banner","project_id":79,"tracker_id":40,"status_id":1,"priority_id":2,"assigned_to_id":338,"start_date":"2017-12-07","description":"","custom_fields":[{"id":1,"name":"Subdivision","value":"EC"},{"id":4,"name":"Milepost","value":"0.0203"},{"id":17,"name":"Train ID","value":"124-07"},{"id":16,"name":"Locomotive ID","value":"4053"},{"id":130,"name":"Impact","value":""},{"id":150,"name":"Time of Event (Mountain Time)","value":"08:06:59"},{"id":151,"name":"Denver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21"/>
        <v>start /low /b %USERPROFILE%\Documents\GitHub\eaglep3\Utilities\DownloadLogsFromS3.py --loco 4053 --day 2017-12-07</v>
      </c>
      <c r="AN36" s="241" t="str">
        <f t="shared" si="22"/>
        <v>echo {"issue":{"subject":"Brief Wi-MAX data drop caused unhealthy banner","project_id":30,"tracker_id":4,"status_id":1,"priority_id":1,"assigned_to_id":10,"start_date":"2017-12-07","description":"","custom_fields":[{"id":30,"name":"Category","value":"Issue"},{"id":3,"name":"Functional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15:06:59"},{"id":29,"name":"Sharepoint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23"/>
        <v>https://d0f6bd738d7f1b3e5a7ca70fe4ff75f0.us-east-1.aws.found.io/app/kibana#/discover/Steve-Slow-Train-Analysis-(2080s-and-2083s)?_g=(refreshInterval:(display:Off,pause:!f,section:0,value:0),time:(from:'2017-12-07T06:19:28-0700',mode:absolute,to:'2017-12-07T09:06:59-0700'))&amp;_a=(columns:!('Message%20ID',Summary),filters:!(),index:'emp_*',interval:auto,query:(query_string:(analyze_wildcard:!t,query:'%22rtdc.l.rtdc.4053%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9" t="s">
        <v>750</v>
      </c>
      <c r="B37" s="225">
        <v>4060</v>
      </c>
      <c r="C37" s="227" t="s">
        <v>192</v>
      </c>
      <c r="D37" s="227" t="s">
        <v>469</v>
      </c>
      <c r="E37" s="226">
        <v>43076.274861111109</v>
      </c>
      <c r="F37" s="226">
        <v>43076.282141203701</v>
      </c>
      <c r="G37" s="225">
        <v>44</v>
      </c>
      <c r="H37" s="227" t="s">
        <v>616</v>
      </c>
      <c r="I37" s="226">
        <v>43076.305358796293</v>
      </c>
      <c r="J37" s="225">
        <v>1</v>
      </c>
      <c r="K37" s="237" t="str">
        <f t="shared" si="0"/>
        <v>4059/4060</v>
      </c>
      <c r="L37" s="245" t="str">
        <f>VLOOKUP(A37,'Trips&amp;Operators'!$C$1:$G$99911,5,FALSE)</f>
        <v>YORK EDGAR</v>
      </c>
      <c r="M37" s="224">
        <f t="shared" si="1"/>
        <v>2.3217592592118308E-2</v>
      </c>
      <c r="N37" s="225">
        <f t="shared" si="2"/>
        <v>33.433333332650363</v>
      </c>
      <c r="O37" s="225"/>
      <c r="P37" s="225"/>
      <c r="Q37" s="228"/>
      <c r="R37" s="242"/>
      <c r="S37" s="249">
        <f t="shared" si="3"/>
        <v>1</v>
      </c>
      <c r="T37" s="242" t="str">
        <f t="shared" si="4"/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5"/>
        <v>https://d0f6bd738d7f1b3e5a7ca70fe4ff75f0.us-east-1.aws.found.io/app/kibana#/discover/Steve-Slow-Train-Analysis-(2080s-and-2083s)?_g=(refreshInterval:(display:Off,pause:!f,section:0,value:0),time:(from:'2017-12-07T05:35:48-0700',mode:absolute,to:'2017-12-07T08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7" s="247" t="str">
        <f>IF(AA37&lt;VLOOKUP(AG37,Variables!$AC$3:$AD$8,2,FALSE),"Y","N")</f>
        <v>N</v>
      </c>
      <c r="X37" s="247">
        <f t="shared" si="6"/>
        <v>1</v>
      </c>
      <c r="Y37" s="247">
        <f t="shared" si="7"/>
        <v>4.4400000000000002E-2</v>
      </c>
      <c r="Z37" s="247">
        <f t="shared" si="8"/>
        <v>23.329499999999999</v>
      </c>
      <c r="AA37" s="247">
        <f t="shared" si="9"/>
        <v>23.2851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10"/>
        <v>125</v>
      </c>
      <c r="AE37" s="235" t="str">
        <f t="shared" si="11"/>
        <v>aws s3 cp s3://rtdc.mdm.uploadarchive.raw/RTDC4060/ "%USERPROFILE%\AppData\Local\Temp\OnboardLogs"\RTDC4060\2017-12-07 --exclude "*" --recursive --include "*20171207*" &amp; "%USERPROFILE%\Documents\GitHub\mrs-test-scripts\Headless Mode &amp; Sideloading\WalkAndUnGZ.bat" "%USERPROFILE%\AppData\Local\Temp\OnboardLogs"\RTDC4060\2017-12-07 &amp; aws s3 cp s3://rtdc.mdm.uploadarchive.raw/RTDC4060/ "%USERPROFILE%\AppData\Local\Temp\OnboardLogs"\RTDC4060\2017-12-08 --exclude "*" --recursive --include "*20171208*" &amp; "%USERPROFILE%\Documents\GitHub\mrs-test-scripts\Headless Mode &amp; Sideloading\WalkAndUnGZ.bat" "%USERPROFILE%\AppData\Local\Temp\OnboardLogs"\RTDC4060\2017-12-08</v>
      </c>
      <c r="AF37" s="234" t="str">
        <f t="shared" si="12"/>
        <v>"C:\Program Files (x86)\AstroGrep\AstroGrep.exe" /e /r /s /spath="%USERPROFILE%\AppData\Local\Temp\OnboardLogs" /stypes="app*4060*20171207*" /stext=" 14:.+((SYSTEM_STATE.+slice.+state.+changed )|(ment ac)|(multiple cpu faults)|(system.+state.+changed )|(\[timeout)|(PRM\|1\|D)|(kpr)|(kdp)|(train st.+moving)|(\|lc)|(penalty))"</v>
      </c>
      <c r="AG37" s="244" t="str">
        <f t="shared" si="13"/>
        <v>EC</v>
      </c>
      <c r="AH37" s="236" t="str">
        <f t="shared" si="19"/>
        <v>"%USERPROFILE%\Documents\GitHub\eaglep3\Utilities\RefineRTDCRunTimes.py" --tripid 125-07 --locoid 4060 --swversion DE.1.0.9.0 --startMP 204:444 --initTime 2017-12-07T06:35:48 --startdatetime 2017-12-07T06:46:17 --delay 44 --endMP 204:233295 --enddatetime 2017-12-07T07:19:43 --enforcementcount 1 &gt;&gt;%USERPROFILE%\Documents\GitHub\eaglep3-reporting\EC\2017-12-07-refined-times.txt</v>
      </c>
      <c r="AI37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{"issue":{"subject":"","project_id":79,"tracker_id":40,"status_id":1,"priority_id":2,"assigned_to_id":338,"start_date":"2017-12-07","description":"","custom_fields":[{"id":1,"name":"Subdivision","value":"EC"},{"id":4,"name":"Milepost","value":"23.3295"},{"id":17,"name":"Train ID","value":"125-07"},{"id":16,"name":"Locomotive ID","value":"4060"},{"id":130,"name":"Impact","value":""},{"id":150,"name":"Time of Event (Mountain Time)","value":"07:19:43"},{"id":151,"name":"Denver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21"/>
        <v>start /low /b %USERPROFILE%\Documents\GitHub\eaglep3\Utilities\DownloadLogsFromS3.py --loco 4060 --day 2017-12-07</v>
      </c>
      <c r="AN37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14:19:43"},{"id":29,"name":"Sharepoint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23"/>
        <v>https://d0f6bd738d7f1b3e5a7ca70fe4ff75f0.us-east-1.aws.found.io/app/kibana#/discover/Steve-Slow-Train-Analysis-(2080s-and-2083s)?_g=(refreshInterval:(display:Off,pause:!f,section:0,value:0),time:(from:'2017-12-07T05:35:48-0700',mode:absolute,to:'2017-12-07T08:19:43-0700'))&amp;_a=(columns:!('Message%20ID',Summary),filters:!(),index:'emp_*',interval:auto,query:(query_string:(analyze_wildcard:!t,query:'%22rtdc.l.rtdc.4060%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9" t="s">
        <v>759</v>
      </c>
      <c r="B38" s="225">
        <v>4059</v>
      </c>
      <c r="C38" s="227" t="s">
        <v>192</v>
      </c>
      <c r="D38" s="227" t="s">
        <v>479</v>
      </c>
      <c r="E38" s="226">
        <v>43076.317731481482</v>
      </c>
      <c r="F38" s="226">
        <v>43076.321030092593</v>
      </c>
      <c r="G38" s="225">
        <v>58</v>
      </c>
      <c r="H38" s="227" t="s">
        <v>617</v>
      </c>
      <c r="I38" s="226">
        <v>43076.346689814818</v>
      </c>
      <c r="J38" s="225">
        <v>1</v>
      </c>
      <c r="K38" s="237" t="str">
        <f t="shared" si="0"/>
        <v>4059/4060</v>
      </c>
      <c r="L38" s="245" t="str">
        <f>VLOOKUP(A38,'Trips&amp;Operators'!$C$1:$G$99911,5,FALSE)</f>
        <v>YORK EDGAR</v>
      </c>
      <c r="M38" s="224">
        <f t="shared" si="1"/>
        <v>2.5659722225100268E-2</v>
      </c>
      <c r="N38" s="225">
        <f t="shared" si="2"/>
        <v>36.950000004144385</v>
      </c>
      <c r="O38" s="225"/>
      <c r="P38" s="225"/>
      <c r="Q38" s="228"/>
      <c r="R38" s="242" t="s">
        <v>1116</v>
      </c>
      <c r="S38" s="249">
        <f t="shared" si="3"/>
        <v>1</v>
      </c>
      <c r="T38" s="242" t="str">
        <f t="shared" si="4"/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5"/>
        <v>https://d0f6bd738d7f1b3e5a7ca70fe4ff75f0.us-east-1.aws.found.io/app/kibana#/discover/Steve-Slow-Train-Analysis-(2080s-and-2083s)?_g=(refreshInterval:(display:Off,pause:!f,section:0,value:0),time:(from:'2017-12-07T06:37:32-0700',mode:absolute,to:'2017-12-07T09:19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8" s="247" t="str">
        <f>IF(AA38&lt;VLOOKUP(AG38,Variables!$AC$3:$AD$8,2,FALSE),"Y","N")</f>
        <v>N</v>
      </c>
      <c r="X38" s="247">
        <f t="shared" si="6"/>
        <v>1</v>
      </c>
      <c r="Y38" s="247">
        <f t="shared" si="7"/>
        <v>23.296900000000001</v>
      </c>
      <c r="Z38" s="247">
        <f t="shared" si="8"/>
        <v>1.41E-2</v>
      </c>
      <c r="AA38" s="247">
        <f t="shared" si="9"/>
        <v>23.282800000000002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 t="shared" si="10"/>
        <v>126</v>
      </c>
      <c r="AE38" s="235" t="str">
        <f t="shared" si="11"/>
        <v>aws s3 cp s3://rtdc.mdm.uploadarchive.raw/RTDC4059/ "%USERPROFILE%\AppData\Local\Temp\OnboardLogs"\RTDC4059\2017-12-07 --exclude "*" --recursive --include "*20171207*" &amp; "%USERPROFILE%\Documents\GitHub\mrs-test-scripts\Headless Mode &amp; Sideloading\WalkAndUnGZ.bat" "%USERPROFILE%\AppData\Local\Temp\OnboardLogs"\RTDC4059\2017-12-07 &amp; aws s3 cp s3://rtdc.mdm.uploadarchive.raw/RTDC4059/ "%USERPROFILE%\AppData\Local\Temp\OnboardLogs"\RTDC4059\2017-12-08 --exclude "*" --recursive --include "*20171208*" &amp; "%USERPROFILE%\Documents\GitHub\mrs-test-scripts\Headless Mode &amp; Sideloading\WalkAndUnGZ.bat" "%USERPROFILE%\AppData\Local\Temp\OnboardLogs"\RTDC4059\2017-12-08</v>
      </c>
      <c r="AF38" s="234" t="str">
        <f t="shared" si="12"/>
        <v>"C:\Program Files (x86)\AstroGrep\AstroGrep.exe" /e /r /s /spath="%USERPROFILE%\AppData\Local\Temp\OnboardLogs" /stypes="app*4059*20171207*" /stext=" 15:.+((SYSTEM_STATE.+slice.+state.+changed )|(ment ac)|(multiple cpu faults)|(system.+state.+changed )|(\[timeout)|(PRM\|1\|D)|(kpr)|(kdp)|(train st.+moving)|(\|lc)|(penalty))"</v>
      </c>
      <c r="AG38" s="244" t="str">
        <f t="shared" si="13"/>
        <v>EC</v>
      </c>
      <c r="AH38" s="236" t="str">
        <f t="shared" si="19"/>
        <v>"%USERPROFILE%\Documents\GitHub\eaglep3\Utilities\RefineRTDCRunTimes.py" --tripid 126-07 --locoid 4059 --swversion DE.1.0.9.0 --startMP 204:232969 --initTime 2017-12-07T07:37:32 --startdatetime 2017-12-07T07:42:17 --delay 58 --endMP 204:141 --enddatetime 2017-12-07T08:19:14 --enforcementcount 1 &gt;&gt;%USERPROFILE%\Documents\GitHub\eaglep3-reporting\EC\2017-12-07-refined-times.txt</v>
      </c>
      <c r="AI38" s="238" t="str">
        <f t="shared" si="20"/>
        <v>echo {"issue":{"subject":"Unhealthy @ Chambers due to train stop","project_id":79,"tracker_id":40,"status_id":1,"priority_id":2,"assigned_to_id":338,"start_date":"2017-12-07","description":"","custom_fields":[{"id":1,"name":"Subdivision","value":"EC"},{"id":4,"name":"Milepost","value":"0.0141"},{"id":17,"name":"Train ID","value":"126-07"},{"id":16,"name":"Locomotive ID","value":"4059"},{"id":130,"name":"Impact","value":""},{"id":150,"name":"Time of Event (Mountain Time)","value":"08:19:14"},{"id":151,"name":"Denver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21"/>
        <v>start /low /b %USERPROFILE%\Documents\GitHub\eaglep3\Utilities\DownloadLogsFromS3.py --loco 4059 --day 2017-12-07</v>
      </c>
      <c r="AN38" s="241" t="str">
        <f t="shared" si="22"/>
        <v>echo {"issue":{"subject":"Unhealthy @ Chambers due to train stop","project_id":30,"tracker_id":4,"status_id":1,"priority_id":1,"assigned_to_id":10,"start_date":"2017-12-07","description":"","custom_fields":[{"id":30,"name":"Category","value":"Issue"},{"id":3,"name":"Functional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15:19:14"},{"id":29,"name":"Sharepoint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23"/>
        <v>https://d0f6bd738d7f1b3e5a7ca70fe4ff75f0.us-east-1.aws.found.io/app/kibana#/discover/Steve-Slow-Train-Analysis-(2080s-and-2083s)?_g=(refreshInterval:(display:Off,pause:!f,section:0,value:0),time:(from:'2017-12-07T06:37:32-0700',mode:absolute,to:'2017-12-07T09:19:14-0700'))&amp;_a=(columns:!('Message%20ID',Summary),filters:!(),index:'emp_*',interval:auto,query:(query_string:(analyze_wildcard:!t,query:'%22rtdc.l.rtdc.4059%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9" t="s">
        <v>752</v>
      </c>
      <c r="B39" s="225">
        <v>4014</v>
      </c>
      <c r="C39" s="227" t="s">
        <v>192</v>
      </c>
      <c r="D39" s="227" t="s">
        <v>937</v>
      </c>
      <c r="E39" s="226">
        <v>43076.286863425928</v>
      </c>
      <c r="F39" s="226">
        <v>43076.291817129626</v>
      </c>
      <c r="G39" s="225">
        <v>76</v>
      </c>
      <c r="H39" s="227" t="s">
        <v>938</v>
      </c>
      <c r="I39" s="226">
        <v>43076.317129629628</v>
      </c>
      <c r="J39" s="225">
        <v>1</v>
      </c>
      <c r="K39" s="237" t="str">
        <f t="shared" si="0"/>
        <v>4013/4014</v>
      </c>
      <c r="L39" s="245" t="str">
        <f>VLOOKUP(A39,'Trips&amp;Operators'!$C$1:$G$99911,5,FALSE)</f>
        <v>YANAI IAN</v>
      </c>
      <c r="M39" s="224">
        <f t="shared" si="1"/>
        <v>2.531250000174623E-2</v>
      </c>
      <c r="N39" s="225">
        <f t="shared" si="2"/>
        <v>36.450000002514571</v>
      </c>
      <c r="O39" s="225"/>
      <c r="P39" s="225"/>
      <c r="Q39" s="228"/>
      <c r="R39" s="242"/>
      <c r="S39" s="249">
        <f t="shared" si="3"/>
        <v>1</v>
      </c>
      <c r="T39" s="242" t="str">
        <f t="shared" si="4"/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5"/>
        <v>https://d0f6bd738d7f1b3e5a7ca70fe4ff75f0.us-east-1.aws.found.io/app/kibana#/discover/Steve-Slow-Train-Analysis-(2080s-and-2083s)?_g=(refreshInterval:(display:Off,pause:!f,section:0,value:0),time:(from:'2017-12-07T05:53:05-0700',mode:absolute,to:'2017-12-07T08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9" s="247" t="str">
        <f>IF(AA39&lt;VLOOKUP(AG39,Variables!$AC$3:$AD$8,2,FALSE),"Y","N")</f>
        <v>N</v>
      </c>
      <c r="X39" s="247">
        <f t="shared" si="6"/>
        <v>1</v>
      </c>
      <c r="Y39" s="247">
        <f t="shared" si="7"/>
        <v>4.7699999999999999E-2</v>
      </c>
      <c r="Z39" s="247">
        <f t="shared" si="8"/>
        <v>23.331499999999998</v>
      </c>
      <c r="AA39" s="247">
        <f t="shared" si="9"/>
        <v>23.283799999999999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10"/>
        <v>127</v>
      </c>
      <c r="AE39" s="235" t="str">
        <f t="shared" si="11"/>
        <v>aws s3 cp s3://rtdc.mdm.uploadarchive.raw/RTDC4014/ "%USERPROFILE%\AppData\Local\Temp\OnboardLogs"\RTDC4014\2017-12-07 --exclude "*" --recursive --include "*20171207*" &amp; "%USERPROFILE%\Documents\GitHub\mrs-test-scripts\Headless Mode &amp; Sideloading\WalkAndUnGZ.bat" "%USERPROFILE%\AppData\Local\Temp\OnboardLogs"\RTDC4014\2017-12-07 &amp; aws s3 cp s3://rtdc.mdm.uploadarchive.raw/RTDC4014/ "%USERPROFILE%\AppData\Local\Temp\OnboardLogs"\RTDC4014\2017-12-08 --exclude "*" --recursive --include "*20171208*" &amp; "%USERPROFILE%\Documents\GitHub\mrs-test-scripts\Headless Mode &amp; Sideloading\WalkAndUnGZ.bat" "%USERPROFILE%\AppData\Local\Temp\OnboardLogs"\RTDC4014\2017-12-08</v>
      </c>
      <c r="AF39" s="234" t="str">
        <f t="shared" si="12"/>
        <v>"C:\Program Files (x86)\AstroGrep\AstroGrep.exe" /e /r /s /spath="%USERPROFILE%\AppData\Local\Temp\OnboardLogs" /stypes="app*4014*20171207*" /stext=" 14:.+((SYSTEM_STATE.+slice.+state.+changed )|(ment ac)|(multiple cpu faults)|(system.+state.+changed )|(\[timeout)|(PRM\|1\|D)|(kpr)|(kdp)|(train st.+moving)|(\|lc)|(penalty))"</v>
      </c>
      <c r="AG39" s="244" t="str">
        <f t="shared" si="13"/>
        <v>EC</v>
      </c>
      <c r="AH39" s="236" t="str">
        <f t="shared" si="19"/>
        <v>"%USERPROFILE%\Documents\GitHub\eaglep3\Utilities\RefineRTDCRunTimes.py" --tripid 127-07 --locoid 4014 --swversion DE.1.0.9.0 --startMP 204:477 --initTime 2017-12-07T06:53:05 --startdatetime 2017-12-07T07:00:13 --delay 76 --endMP 204:233315 --enddatetime 2017-12-07T07:36:40 --enforcementcount 1 &gt;&gt;%USERPROFILE%\Documents\GitHub\eaglep3-reporting\EC\2017-12-07-refined-times.txt</v>
      </c>
      <c r="AI39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{"issue":{"subject":"","project_id":79,"tracker_id":40,"status_id":1,"priority_id":2,"assigned_to_id":338,"start_date":"2017-12-07","description":"","custom_fields":[{"id":1,"name":"Subdivision","value":"EC"},{"id":4,"name":"Milepost","value":"23.3315"},{"id":17,"name":"Train ID","value":"127-07"},{"id":16,"name":"Locomotive ID","value":"4014"},{"id":130,"name":"Impact","value":""},{"id":150,"name":"Time of Event (Mountain Time)","value":"07:36:40"},{"id":151,"name":"Denver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21"/>
        <v>start /low /b %USERPROFILE%\Documents\GitHub\eaglep3\Utilities\DownloadLogsFromS3.py --loco 4014 --day 2017-12-07</v>
      </c>
      <c r="AN39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14:36:40"},{"id":29,"name":"Sharepoint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23"/>
        <v>https://d0f6bd738d7f1b3e5a7ca70fe4ff75f0.us-east-1.aws.found.io/app/kibana#/discover/Steve-Slow-Train-Analysis-(2080s-and-2083s)?_g=(refreshInterval:(display:Off,pause:!f,section:0,value:0),time:(from:'2017-12-07T05:53:05-0700',mode:absolute,to:'2017-12-07T08:36:40-0700'))&amp;_a=(columns:!('Message%20ID',Summary),filters:!(),index:'emp_*',interval:auto,query:(query_string:(analyze_wildcard:!t,query:'%22rtdc.l.rtdc.4014%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9" t="s">
        <v>760</v>
      </c>
      <c r="B40" s="225">
        <v>4013</v>
      </c>
      <c r="C40" s="227" t="s">
        <v>192</v>
      </c>
      <c r="D40" s="227" t="s">
        <v>939</v>
      </c>
      <c r="E40" s="226">
        <v>43076.318437499998</v>
      </c>
      <c r="F40" s="226">
        <v>43076.331412037034</v>
      </c>
      <c r="G40" s="225">
        <v>57</v>
      </c>
      <c r="H40" s="227" t="s">
        <v>653</v>
      </c>
      <c r="I40" s="226">
        <v>43076.35701388889</v>
      </c>
      <c r="J40" s="225">
        <v>1</v>
      </c>
      <c r="K40" s="237" t="str">
        <f t="shared" si="0"/>
        <v>4013/4014</v>
      </c>
      <c r="L40" s="245" t="str">
        <f>VLOOKUP(A40,'Trips&amp;Operators'!$C$1:$G$99911,5,FALSE)</f>
        <v>YANAI IAN</v>
      </c>
      <c r="M40" s="224">
        <f t="shared" si="1"/>
        <v>2.5601851855753921E-2</v>
      </c>
      <c r="N40" s="225">
        <f t="shared" si="2"/>
        <v>36.866666672285646</v>
      </c>
      <c r="O40" s="225"/>
      <c r="P40" s="225"/>
      <c r="Q40" s="228"/>
      <c r="R40" s="242"/>
      <c r="S40" s="249">
        <f t="shared" si="3"/>
        <v>1</v>
      </c>
      <c r="T40" s="242" t="str">
        <f t="shared" si="4"/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5"/>
        <v>https://d0f6bd738d7f1b3e5a7ca70fe4ff75f0.us-east-1.aws.found.io/app/kibana#/discover/Steve-Slow-Train-Analysis-(2080s-and-2083s)?_g=(refreshInterval:(display:Off,pause:!f,section:0,value:0),time:(from:'2017-12-07T06:38:33-0700',mode:absolute,to:'2017-12-07T09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0" s="247" t="str">
        <f>IF(AA40&lt;VLOOKUP(AG40,Variables!$AC$3:$AD$8,2,FALSE),"Y","N")</f>
        <v>N</v>
      </c>
      <c r="X40" s="247">
        <f t="shared" si="6"/>
        <v>1</v>
      </c>
      <c r="Y40" s="247">
        <f t="shared" si="7"/>
        <v>23.301500000000001</v>
      </c>
      <c r="Z40" s="247">
        <f t="shared" si="8"/>
        <v>2.4E-2</v>
      </c>
      <c r="AA40" s="247">
        <f t="shared" si="9"/>
        <v>23.2775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10"/>
        <v>128</v>
      </c>
      <c r="AE40" s="235" t="str">
        <f t="shared" si="11"/>
        <v>aws s3 cp s3://rtdc.mdm.uploadarchive.raw/RTDC4013/ "%USERPROFILE%\AppData\Local\Temp\OnboardLogs"\RTDC4013\2017-12-07 --exclude "*" --recursive --include "*20171207*" &amp; "%USERPROFILE%\Documents\GitHub\mrs-test-scripts\Headless Mode &amp; Sideloading\WalkAndUnGZ.bat" "%USERPROFILE%\AppData\Local\Temp\OnboardLogs"\RTDC4013\2017-12-07 &amp; aws s3 cp s3://rtdc.mdm.uploadarchive.raw/RTDC4013/ "%USERPROFILE%\AppData\Local\Temp\OnboardLogs"\RTDC4013\2017-12-08 --exclude "*" --recursive --include "*20171208*" &amp; "%USERPROFILE%\Documents\GitHub\mrs-test-scripts\Headless Mode &amp; Sideloading\WalkAndUnGZ.bat" "%USERPROFILE%\AppData\Local\Temp\OnboardLogs"\RTDC4013\2017-12-08</v>
      </c>
      <c r="AF40" s="234" t="str">
        <f t="shared" si="12"/>
        <v>"C:\Program Files (x86)\AstroGrep\AstroGrep.exe" /e /r /s /spath="%USERPROFILE%\AppData\Local\Temp\OnboardLogs" /stypes="app*4013*20171207*" /stext=" 15:.+((SYSTEM_STATE.+slice.+state.+changed )|(ment ac)|(multiple cpu faults)|(system.+state.+changed )|(\[timeout)|(PRM\|1\|D)|(kpr)|(kdp)|(train st.+moving)|(\|lc)|(penalty))"</v>
      </c>
      <c r="AG40" s="244" t="str">
        <f t="shared" si="13"/>
        <v>EC</v>
      </c>
      <c r="AH40" s="236" t="str">
        <f t="shared" si="19"/>
        <v>"%USERPROFILE%\Documents\GitHub\eaglep3\Utilities\RefineRTDCRunTimes.py" --tripid 128-07 --locoid 4013 --swversion DE.1.0.9.0 --startMP 204:233015 --initTime 2017-12-07T07:38:33 --startdatetime 2017-12-07T07:57:14 --delay 57 --endMP 204:240 --enddatetime 2017-12-07T08:34:06 --enforcementcount 1 &gt;&gt;%USERPROFILE%\Documents\GitHub\eaglep3-reporting\EC\2017-12-07-refined-times.txt</v>
      </c>
      <c r="AI40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{"issue":{"subject":"","project_id":79,"tracker_id":40,"status_id":1,"priority_id":2,"assigned_to_id":338,"start_date":"2017-12-07","description":"","custom_fields":[{"id":1,"name":"Subdivision","value":"EC"},{"id":4,"name":"Milepost","value":"0.024"},{"id":17,"name":"Train ID","value":"128-07"},{"id":16,"name":"Locomotive ID","value":"4013"},{"id":130,"name":"Impact","value":""},{"id":150,"name":"Time of Event (Mountain Time)","value":"08:34:06"},{"id":151,"name":"Denver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21"/>
        <v>start /low /b %USERPROFILE%\Documents\GitHub\eaglep3\Utilities\DownloadLogsFromS3.py --loco 4013 --day 2017-12-07</v>
      </c>
      <c r="AN40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15:34:06"},{"id":29,"name":"Sharepoint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23"/>
        <v>https://d0f6bd738d7f1b3e5a7ca70fe4ff75f0.us-east-1.aws.found.io/app/kibana#/discover/Steve-Slow-Train-Analysis-(2080s-and-2083s)?_g=(refreshInterval:(display:Off,pause:!f,section:0,value:0),time:(from:'2017-12-07T06:38:33-0700',mode:absolute,to:'2017-12-07T09:34:06-0700'))&amp;_a=(columns:!('Message%20ID',Summary),filters:!(),index:'emp_*',interval:auto,query:(query_string:(analyze_wildcard:!t,query:'%22rtdc.l.rtdc.4013%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9" t="s">
        <v>754</v>
      </c>
      <c r="B41" s="225">
        <v>4056</v>
      </c>
      <c r="C41" s="227" t="s">
        <v>192</v>
      </c>
      <c r="D41" s="227" t="s">
        <v>937</v>
      </c>
      <c r="E41" s="226">
        <v>43076.297835648147</v>
      </c>
      <c r="F41" s="226">
        <v>43076.302291666667</v>
      </c>
      <c r="G41" s="225">
        <v>45</v>
      </c>
      <c r="H41" s="227" t="s">
        <v>925</v>
      </c>
      <c r="I41" s="226">
        <v>43076.326701388891</v>
      </c>
      <c r="J41" s="225">
        <v>1</v>
      </c>
      <c r="K41" s="237" t="str">
        <f t="shared" si="0"/>
        <v>4055/4056</v>
      </c>
      <c r="L41" s="245" t="str">
        <f>VLOOKUP(A41,'Trips&amp;Operators'!$C$1:$G$99911,5,FALSE)</f>
        <v>MAELZER KURT</v>
      </c>
      <c r="M41" s="224">
        <f t="shared" si="1"/>
        <v>2.4409722223936114E-2</v>
      </c>
      <c r="N41" s="225">
        <f t="shared" si="2"/>
        <v>35.150000002468005</v>
      </c>
      <c r="O41" s="225"/>
      <c r="P41" s="225"/>
      <c r="Q41" s="228"/>
      <c r="R41" s="242"/>
      <c r="S41" s="249">
        <f t="shared" si="3"/>
        <v>1</v>
      </c>
      <c r="T41" s="242" t="str">
        <f t="shared" si="4"/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5"/>
        <v>https://d0f6bd738d7f1b3e5a7ca70fe4ff75f0.us-east-1.aws.found.io/app/kibana#/discover/Steve-Slow-Train-Analysis-(2080s-and-2083s)?_g=(refreshInterval:(display:Off,pause:!f,section:0,value:0),time:(from:'2017-12-07T06:08:53-0700',mode:absolute,to:'2017-12-07T08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1" s="247" t="str">
        <f>IF(AA41&lt;VLOOKUP(AG41,Variables!$AC$3:$AD$8,2,FALSE),"Y","N")</f>
        <v>N</v>
      </c>
      <c r="X41" s="247">
        <f t="shared" si="6"/>
        <v>1</v>
      </c>
      <c r="Y41" s="247">
        <f t="shared" si="7"/>
        <v>4.7699999999999999E-2</v>
      </c>
      <c r="Z41" s="247">
        <f t="shared" si="8"/>
        <v>23.328900000000001</v>
      </c>
      <c r="AA41" s="247">
        <f t="shared" si="9"/>
        <v>23.281200000000002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10"/>
        <v>129</v>
      </c>
      <c r="AE41" s="235" t="str">
        <f t="shared" si="11"/>
        <v>aws s3 cp s3://rtdc.mdm.uploadarchive.raw/RTDC4056/ "%USERPROFILE%\AppData\Local\Temp\OnboardLogs"\RTDC4056\2017-12-07 --exclude "*" --recursive --include "*20171207*" &amp; "%USERPROFILE%\Documents\GitHub\mrs-test-scripts\Headless Mode &amp; Sideloading\WalkAndUnGZ.bat" "%USERPROFILE%\AppData\Local\Temp\OnboardLogs"\RTDC4056\2017-12-07 &amp; aws s3 cp s3://rtdc.mdm.uploadarchive.raw/RTDC4056/ "%USERPROFILE%\AppData\Local\Temp\OnboardLogs"\RTDC4056\2017-12-08 --exclude "*" --recursive --include "*20171208*" &amp; "%USERPROFILE%\Documents\GitHub\mrs-test-scripts\Headless Mode &amp; Sideloading\WalkAndUnGZ.bat" "%USERPROFILE%\AppData\Local\Temp\OnboardLogs"\RTDC4056\2017-12-08</v>
      </c>
      <c r="AF41" s="234" t="str">
        <f t="shared" si="12"/>
        <v>"C:\Program Files (x86)\AstroGrep\AstroGrep.exe" /e /r /s /spath="%USERPROFILE%\AppData\Local\Temp\OnboardLogs" /stypes="app*4056*20171207*" /stext=" 14:.+((SYSTEM_STATE.+slice.+state.+changed )|(ment ac)|(multiple cpu faults)|(system.+state.+changed )|(\[timeout)|(PRM\|1\|D)|(kpr)|(kdp)|(train st.+moving)|(\|lc)|(penalty))"</v>
      </c>
      <c r="AG41" s="244" t="str">
        <f t="shared" si="13"/>
        <v>EC</v>
      </c>
      <c r="AH41" s="236" t="str">
        <f t="shared" si="19"/>
        <v>"%USERPROFILE%\Documents\GitHub\eaglep3\Utilities\RefineRTDCRunTimes.py" --tripid 129-07 --locoid 4056 --swversion DE.1.0.9.0 --startMP 204:477 --initTime 2017-12-07T07:08:53 --startdatetime 2017-12-07T07:15:18 --delay 45 --endMP 204:233289 --enddatetime 2017-12-07T07:50:27 --enforcementcount 1 &gt;&gt;%USERPROFILE%\Documents\GitHub\eaglep3-reporting\EC\2017-12-07-refined-times.txt</v>
      </c>
      <c r="AI41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{"issue":{"subject":"","project_id":79,"tracker_id":40,"status_id":1,"priority_id":2,"assigned_to_id":338,"start_date":"2017-12-07","description":"","custom_fields":[{"id":1,"name":"Subdivision","value":"EC"},{"id":4,"name":"Milepost","value":"23.3289"},{"id":17,"name":"Train ID","value":"129-07"},{"id":16,"name":"Locomotive ID","value":"4056"},{"id":130,"name":"Impact","value":""},{"id":150,"name":"Time of Event (Mountain Time)","value":"07:50:27"},{"id":151,"name":"Denver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21"/>
        <v>start /low /b %USERPROFILE%\Documents\GitHub\eaglep3\Utilities\DownloadLogsFromS3.py --loco 4056 --day 2017-12-07</v>
      </c>
      <c r="AN41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14:50:27"},{"id":29,"name":"Sharepoint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23"/>
        <v>https://d0f6bd738d7f1b3e5a7ca70fe4ff75f0.us-east-1.aws.found.io/app/kibana#/discover/Steve-Slow-Train-Analysis-(2080s-and-2083s)?_g=(refreshInterval:(display:Off,pause:!f,section:0,value:0),time:(from:'2017-12-07T06:08:53-0700',mode:absolute,to:'2017-12-07T08:50:27-0700'))&amp;_a=(columns:!('Message%20ID',Summary),filters:!(),index:'emp_*',interval:auto,query:(query_string:(analyze_wildcard:!t,query:'%22rtdc.l.rtdc.4056%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9" t="s">
        <v>764</v>
      </c>
      <c r="B42" s="225">
        <v>4055</v>
      </c>
      <c r="C42" s="227" t="s">
        <v>192</v>
      </c>
      <c r="D42" s="227" t="s">
        <v>940</v>
      </c>
      <c r="E42" s="226">
        <v>43076.330972222226</v>
      </c>
      <c r="F42" s="226">
        <v>43076.341840277775</v>
      </c>
      <c r="G42" s="225">
        <v>45</v>
      </c>
      <c r="H42" s="227" t="s">
        <v>466</v>
      </c>
      <c r="I42" s="226">
        <v>43076.368287037039</v>
      </c>
      <c r="J42" s="225">
        <v>1</v>
      </c>
      <c r="K42" s="237" t="str">
        <f t="shared" si="0"/>
        <v>4055/4056</v>
      </c>
      <c r="L42" s="245" t="str">
        <f>VLOOKUP(A42,'Trips&amp;Operators'!$C$1:$G$99911,5,FALSE)</f>
        <v>MAELZER KURT</v>
      </c>
      <c r="M42" s="224">
        <f t="shared" si="1"/>
        <v>2.644675926421769E-2</v>
      </c>
      <c r="N42" s="225">
        <f t="shared" si="2"/>
        <v>38.083333340473473</v>
      </c>
      <c r="O42" s="225"/>
      <c r="P42" s="225"/>
      <c r="Q42" s="228"/>
      <c r="R42" s="242"/>
      <c r="S42" s="249">
        <f t="shared" si="3"/>
        <v>1</v>
      </c>
      <c r="T42" s="242" t="str">
        <f t="shared" si="4"/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5"/>
        <v>https://d0f6bd738d7f1b3e5a7ca70fe4ff75f0.us-east-1.aws.found.io/app/kibana#/discover/Steve-Slow-Train-Analysis-(2080s-and-2083s)?_g=(refreshInterval:(display:Off,pause:!f,section:0,value:0),time:(from:'2017-12-07T06:56:36-0700',mode:absolute,to:'2017-12-07T09:50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2" s="247" t="str">
        <f>IF(AA42&lt;VLOOKUP(AG42,Variables!$AC$3:$AD$8,2,FALSE),"Y","N")</f>
        <v>N</v>
      </c>
      <c r="X42" s="247">
        <f t="shared" si="6"/>
        <v>1</v>
      </c>
      <c r="Y42" s="247">
        <f t="shared" si="7"/>
        <v>23.3</v>
      </c>
      <c r="Z42" s="247">
        <f t="shared" si="8"/>
        <v>1.78E-2</v>
      </c>
      <c r="AA42" s="247">
        <f t="shared" si="9"/>
        <v>23.2822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10"/>
        <v>130</v>
      </c>
      <c r="AE42" s="235" t="str">
        <f t="shared" si="11"/>
        <v>aws s3 cp s3://rtdc.mdm.uploadarchive.raw/RTDC4055/ "%USERPROFILE%\AppData\Local\Temp\OnboardLogs"\RTDC4055\2017-12-07 --exclude "*" --recursive --include "*20171207*" &amp; "%USERPROFILE%\Documents\GitHub\mrs-test-scripts\Headless Mode &amp; Sideloading\WalkAndUnGZ.bat" "%USERPROFILE%\AppData\Local\Temp\OnboardLogs"\RTDC4055\2017-12-07 &amp; aws s3 cp s3://rtdc.mdm.uploadarchive.raw/RTDC4055/ "%USERPROFILE%\AppData\Local\Temp\OnboardLogs"\RTDC4055\2017-12-08 --exclude "*" --recursive --include "*20171208*" &amp; "%USERPROFILE%\Documents\GitHub\mrs-test-scripts\Headless Mode &amp; Sideloading\WalkAndUnGZ.bat" "%USERPROFILE%\AppData\Local\Temp\OnboardLogs"\RTDC4055\2017-12-08</v>
      </c>
      <c r="AF42" s="234" t="str">
        <f t="shared" si="12"/>
        <v>"C:\Program Files (x86)\AstroGrep\AstroGrep.exe" /e /r /s /spath="%USERPROFILE%\AppData\Local\Temp\OnboardLogs" /stypes="app*4055*20171207*" /stext=" 15:.+((SYSTEM_STATE.+slice.+state.+changed )|(ment ac)|(multiple cpu faults)|(system.+state.+changed )|(\[timeout)|(PRM\|1\|D)|(kpr)|(kdp)|(train st.+moving)|(\|lc)|(penalty))"</v>
      </c>
      <c r="AG42" s="244" t="str">
        <f t="shared" si="13"/>
        <v>EC</v>
      </c>
      <c r="AH42" s="236" t="str">
        <f t="shared" si="19"/>
        <v>"%USERPROFILE%\Documents\GitHub\eaglep3\Utilities\RefineRTDCRunTimes.py" --tripid 130-07 --locoid 4055 --swversion DE.1.0.9.0 --startMP 204:233000 --initTime 2017-12-07T07:56:36 --startdatetime 2017-12-07T08:12:15 --delay 45 --endMP 204:178 --enddatetime 2017-12-07T08:50:20 --enforcementcount 1 &gt;&gt;%USERPROFILE%\Documents\GitHub\eaglep3-reporting\EC\2017-12-07-refined-times.txt</v>
      </c>
      <c r="AI42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{"issue":{"subject":"","project_id":79,"tracker_id":40,"status_id":1,"priority_id":2,"assigned_to_id":338,"start_date":"2017-12-07","description":"","custom_fields":[{"id":1,"name":"Subdivision","value":"EC"},{"id":4,"name":"Milepost","value":"0.0178"},{"id":17,"name":"Train ID","value":"130-07"},{"id":16,"name":"Locomotive ID","value":"4055"},{"id":130,"name":"Impact","value":""},{"id":150,"name":"Time of Event (Mountain Time)","value":"08:50:20"},{"id":151,"name":"Denver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21"/>
        <v>start /low /b %USERPROFILE%\Documents\GitHub\eaglep3\Utilities\DownloadLogsFromS3.py --loco 4055 --day 2017-12-07</v>
      </c>
      <c r="AN42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15:50:20"},{"id":29,"name":"Sharepoint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23"/>
        <v>https://d0f6bd738d7f1b3e5a7ca70fe4ff75f0.us-east-1.aws.found.io/app/kibana#/discover/Steve-Slow-Train-Analysis-(2080s-and-2083s)?_g=(refreshInterval:(display:Off,pause:!f,section:0,value:0),time:(from:'2017-12-07T06:56:36-0700',mode:absolute,to:'2017-12-07T09:50:20-0700'))&amp;_a=(columns:!('Message%20ID',Summary),filters:!(),index:'emp_*',interval:auto,query:(query_string:(analyze_wildcard:!t,query:'%22rtdc.l.rtdc.4055%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9" t="s">
        <v>756</v>
      </c>
      <c r="B43" s="225">
        <v>4028</v>
      </c>
      <c r="C43" s="227" t="s">
        <v>192</v>
      </c>
      <c r="D43" s="227" t="s">
        <v>491</v>
      </c>
      <c r="E43" s="226">
        <v>43076.308333333334</v>
      </c>
      <c r="F43" s="226">
        <v>43076.312708333331</v>
      </c>
      <c r="G43" s="225">
        <v>57</v>
      </c>
      <c r="H43" s="227" t="s">
        <v>941</v>
      </c>
      <c r="I43" s="226">
        <v>43076.337824074071</v>
      </c>
      <c r="J43" s="225">
        <v>1</v>
      </c>
      <c r="K43" s="237" t="str">
        <f t="shared" si="0"/>
        <v>4027/4028</v>
      </c>
      <c r="L43" s="245" t="str">
        <f>VLOOKUP(A43,'Trips&amp;Operators'!$C$1:$G$99911,5,FALSE)</f>
        <v>DAVIDSON DAVID</v>
      </c>
      <c r="M43" s="224">
        <f t="shared" si="1"/>
        <v>2.5115740740147885E-2</v>
      </c>
      <c r="N43" s="225">
        <f t="shared" si="2"/>
        <v>36.166666665812954</v>
      </c>
      <c r="O43" s="225"/>
      <c r="P43" s="225"/>
      <c r="Q43" s="228"/>
      <c r="R43" s="242"/>
      <c r="S43" s="249">
        <f t="shared" si="3"/>
        <v>1</v>
      </c>
      <c r="T43" s="242" t="str">
        <f t="shared" si="4"/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5"/>
        <v>https://d0f6bd738d7f1b3e5a7ca70fe4ff75f0.us-east-1.aws.found.io/app/kibana#/discover/Steve-Slow-Train-Analysis-(2080s-and-2083s)?_g=(refreshInterval:(display:Off,pause:!f,section:0,value:0),time:(from:'2017-12-07T06:24:00-0700',mode:absolute,to:'2017-12-07T09:06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3" s="247" t="str">
        <f>IF(AA43&lt;VLOOKUP(AG43,Variables!$AC$3:$AD$8,2,FALSE),"Y","N")</f>
        <v>N</v>
      </c>
      <c r="X43" s="247">
        <f t="shared" si="6"/>
        <v>1</v>
      </c>
      <c r="Y43" s="247">
        <f t="shared" si="7"/>
        <v>5.28E-2</v>
      </c>
      <c r="Z43" s="247">
        <f t="shared" si="8"/>
        <v>23.333400000000001</v>
      </c>
      <c r="AA43" s="247">
        <f t="shared" si="9"/>
        <v>23.2806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10"/>
        <v>131</v>
      </c>
      <c r="AE43" s="235" t="str">
        <f t="shared" si="11"/>
        <v>aws s3 cp s3://rtdc.mdm.uploadarchive.raw/RTDC4028/ "%USERPROFILE%\AppData\Local\Temp\OnboardLogs"\RTDC4028\2017-12-07 --exclude "*" --recursive --include "*20171207*" &amp; "%USERPROFILE%\Documents\GitHub\mrs-test-scripts\Headless Mode &amp; Sideloading\WalkAndUnGZ.bat" "%USERPROFILE%\AppData\Local\Temp\OnboardLogs"\RTDC4028\2017-12-07 &amp; aws s3 cp s3://rtdc.mdm.uploadarchive.raw/RTDC4028/ "%USERPROFILE%\AppData\Local\Temp\OnboardLogs"\RTDC4028\2017-12-08 --exclude "*" --recursive --include "*20171208*" &amp; "%USERPROFILE%\Documents\GitHub\mrs-test-scripts\Headless Mode &amp; Sideloading\WalkAndUnGZ.bat" "%USERPROFILE%\AppData\Local\Temp\OnboardLogs"\RTDC4028\2017-12-08</v>
      </c>
      <c r="AF43" s="234" t="str">
        <f t="shared" si="12"/>
        <v>"C:\Program Files (x86)\AstroGrep\AstroGrep.exe" /e /r /s /spath="%USERPROFILE%\AppData\Local\Temp\OnboardLogs" /stypes="app*4028*20171207*" /stext=" 15:.+((SYSTEM_STATE.+slice.+state.+changed )|(ment ac)|(multiple cpu faults)|(system.+state.+changed )|(\[timeout)|(PRM\|1\|D)|(kpr)|(kdp)|(train st.+moving)|(\|lc)|(penalty))"</v>
      </c>
      <c r="AG43" s="244" t="str">
        <f t="shared" si="13"/>
        <v>EC</v>
      </c>
      <c r="AH43" s="236" t="str">
        <f t="shared" si="19"/>
        <v>"%USERPROFILE%\Documents\GitHub\eaglep3\Utilities\RefineRTDCRunTimes.py" --tripid 131-07 --locoid 4028 --swversion DE.1.0.9.0 --startMP 204:528 --initTime 2017-12-07T07:24:00 --startdatetime 2017-12-07T07:30:18 --delay 57 --endMP 204:233334 --enddatetime 2017-12-07T08:06:28 --enforcementcount 1 &gt;&gt;%USERPROFILE%\Documents\GitHub\eaglep3-reporting\EC\2017-12-07-refined-times.txt</v>
      </c>
      <c r="AI43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{"issue":{"subject":"","project_id":79,"tracker_id":40,"status_id":1,"priority_id":2,"assigned_to_id":338,"start_date":"2017-12-07","description":"","custom_fields":[{"id":1,"name":"Subdivision","value":"EC"},{"id":4,"name":"Milepost","value":"23.3334"},{"id":17,"name":"Train ID","value":"131-07"},{"id":16,"name":"Locomotive ID","value":"4028"},{"id":130,"name":"Impact","value":""},{"id":150,"name":"Time of Event (Mountain Time)","value":"08:06:28"},{"id":151,"name":"Denver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21"/>
        <v>start /low /b %USERPROFILE%\Documents\GitHub\eaglep3\Utilities\DownloadLogsFromS3.py --loco 4028 --day 2017-12-07</v>
      </c>
      <c r="AN43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15:06:28"},{"id":29,"name":"Sharepoint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23"/>
        <v>https://d0f6bd738d7f1b3e5a7ca70fe4ff75f0.us-east-1.aws.found.io/app/kibana#/discover/Steve-Slow-Train-Analysis-(2080s-and-2083s)?_g=(refreshInterval:(display:Off,pause:!f,section:0,value:0),time:(from:'2017-12-07T06:24:00-0700',mode:absolute,to:'2017-12-07T09:06:28-0700'))&amp;_a=(columns:!('Message%20ID',Summary),filters:!(),index:'emp_*',interval:auto,query:(query_string:(analyze_wildcard:!t,query:'%22rtdc.l.rtdc.4028%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9" t="s">
        <v>766</v>
      </c>
      <c r="B44" s="225">
        <v>4027</v>
      </c>
      <c r="C44" s="227" t="s">
        <v>192</v>
      </c>
      <c r="D44" s="227" t="s">
        <v>535</v>
      </c>
      <c r="E44" s="226">
        <v>43076.339178240742</v>
      </c>
      <c r="F44" s="226">
        <v>43076.352280092593</v>
      </c>
      <c r="G44" s="225">
        <v>54</v>
      </c>
      <c r="H44" s="227" t="s">
        <v>540</v>
      </c>
      <c r="I44" s="226">
        <v>43076.379027777781</v>
      </c>
      <c r="J44" s="225">
        <v>1</v>
      </c>
      <c r="K44" s="237" t="str">
        <f t="shared" si="0"/>
        <v>4027/4028</v>
      </c>
      <c r="L44" s="245" t="str">
        <f>VLOOKUP(A44,'Trips&amp;Operators'!$C$1:$G$99911,5,FALSE)</f>
        <v>DAVIDSON DAVID</v>
      </c>
      <c r="M44" s="224">
        <f t="shared" si="1"/>
        <v>2.6747685187729076E-2</v>
      </c>
      <c r="N44" s="225">
        <f t="shared" si="2"/>
        <v>38.516666670329869</v>
      </c>
      <c r="O44" s="225"/>
      <c r="P44" s="225"/>
      <c r="Q44" s="228"/>
      <c r="R44" s="242"/>
      <c r="S44" s="249">
        <f t="shared" si="3"/>
        <v>1</v>
      </c>
      <c r="T44" s="242" t="str">
        <f t="shared" si="4"/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5"/>
        <v>https://d0f6bd738d7f1b3e5a7ca70fe4ff75f0.us-east-1.aws.found.io/app/kibana#/discover/Steve-Slow-Train-Analysis-(2080s-and-2083s)?_g=(refreshInterval:(display:Off,pause:!f,section:0,value:0),time:(from:'2017-12-07T07:08:25-0700',mode:absolute,to:'2017-12-07T10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4" s="247" t="str">
        <f>IF(AA44&lt;VLOOKUP(AG44,Variables!$AC$3:$AD$8,2,FALSE),"Y","N")</f>
        <v>N</v>
      </c>
      <c r="X44" s="247">
        <f t="shared" si="6"/>
        <v>1</v>
      </c>
      <c r="Y44" s="247">
        <f t="shared" si="7"/>
        <v>23.297899999999998</v>
      </c>
      <c r="Z44" s="247">
        <f t="shared" si="8"/>
        <v>2.23E-2</v>
      </c>
      <c r="AA44" s="247">
        <f t="shared" si="9"/>
        <v>23.275599999999997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10"/>
        <v>132</v>
      </c>
      <c r="AE44" s="235" t="str">
        <f t="shared" si="11"/>
        <v>aws s3 cp s3://rtdc.mdm.uploadarchive.raw/RTDC4027/ "%USERPROFILE%\AppData\Local\Temp\OnboardLogs"\RTDC4027\2017-12-07 --exclude "*" --recursive --include "*20171207*" &amp; "%USERPROFILE%\Documents\GitHub\mrs-test-scripts\Headless Mode &amp; Sideloading\WalkAndUnGZ.bat" "%USERPROFILE%\AppData\Local\Temp\OnboardLogs"\RTDC4027\2017-12-07 &amp; aws s3 cp s3://rtdc.mdm.uploadarchive.raw/RTDC4027/ "%USERPROFILE%\AppData\Local\Temp\OnboardLogs"\RTDC4027\2017-12-08 --exclude "*" --recursive --include "*20171208*" &amp; "%USERPROFILE%\Documents\GitHub\mrs-test-scripts\Headless Mode &amp; Sideloading\WalkAndUnGZ.bat" "%USERPROFILE%\AppData\Local\Temp\OnboardLogs"\RTDC4027\2017-12-08</v>
      </c>
      <c r="AF44" s="234" t="str">
        <f t="shared" si="12"/>
        <v>"C:\Program Files (x86)\AstroGrep\AstroGrep.exe" /e /r /s /spath="%USERPROFILE%\AppData\Local\Temp\OnboardLogs" /stypes="app*4027*20171207*" /stext=" 16:.+((SYSTEM_STATE.+slice.+state.+changed )|(ment ac)|(multiple cpu faults)|(system.+state.+changed )|(\[timeout)|(PRM\|1\|D)|(kpr)|(kdp)|(train st.+moving)|(\|lc)|(penalty))"</v>
      </c>
      <c r="AG44" s="244" t="str">
        <f t="shared" si="13"/>
        <v>EC</v>
      </c>
      <c r="AH44" s="236" t="str">
        <f t="shared" si="19"/>
        <v>"%USERPROFILE%\Documents\GitHub\eaglep3\Utilities\RefineRTDCRunTimes.py" --tripid 132-07 --locoid 4027 --swversion DE.1.0.9.0 --startMP 204:232979 --initTime 2017-12-07T08:08:25 --startdatetime 2017-12-07T08:27:17 --delay 54 --endMP 204:223 --enddatetime 2017-12-07T09:05:48 --enforcementcount 1 &gt;&gt;%USERPROFILE%\Documents\GitHub\eaglep3-reporting\EC\2017-12-07-refined-times.txt</v>
      </c>
      <c r="AI44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{"issue":{"subject":"","project_id":79,"tracker_id":40,"status_id":1,"priority_id":2,"assigned_to_id":338,"start_date":"2017-12-07","description":"","custom_fields":[{"id":1,"name":"Subdivision","value":"EC"},{"id":4,"name":"Milepost","value":"0.0223"},{"id":17,"name":"Train ID","value":"132-07"},{"id":16,"name":"Locomotive ID","value":"4027"},{"id":130,"name":"Impact","value":""},{"id":150,"name":"Time of Event (Mountain Time)","value":"09:05:48"},{"id":151,"name":"Denver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21"/>
        <v>start /low /b %USERPROFILE%\Documents\GitHub\eaglep3\Utilities\DownloadLogsFromS3.py --loco 4027 --day 2017-12-07</v>
      </c>
      <c r="AN44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16:05:48"},{"id":29,"name":"Sharepoint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23"/>
        <v>https://d0f6bd738d7f1b3e5a7ca70fe4ff75f0.us-east-1.aws.found.io/app/kibana#/discover/Steve-Slow-Train-Analysis-(2080s-and-2083s)?_g=(refreshInterval:(display:Off,pause:!f,section:0,value:0),time:(from:'2017-12-07T07:08:25-0700',mode:absolute,to:'2017-12-07T10:05:48-0700'))&amp;_a=(columns:!('Message%20ID',Summary),filters:!(),index:'emp_*',interval:auto,query:(query_string:(analyze_wildcard:!t,query:'%22rtdc.l.rtdc.4027%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9" t="s">
        <v>761</v>
      </c>
      <c r="B45" s="225">
        <v>4036</v>
      </c>
      <c r="C45" s="227" t="s">
        <v>192</v>
      </c>
      <c r="D45" s="227" t="s">
        <v>552</v>
      </c>
      <c r="E45" s="226">
        <v>43076.319479166668</v>
      </c>
      <c r="F45" s="226">
        <v>43076.323136574072</v>
      </c>
      <c r="G45" s="225">
        <v>84</v>
      </c>
      <c r="H45" s="227" t="s">
        <v>471</v>
      </c>
      <c r="I45" s="226">
        <v>43076.347962962966</v>
      </c>
      <c r="J45" s="225">
        <v>1</v>
      </c>
      <c r="K45" s="237" t="str">
        <f t="shared" si="0"/>
        <v>4035/4036</v>
      </c>
      <c r="L45" s="245" t="str">
        <f>VLOOKUP(A45,'Trips&amp;Operators'!$C$1:$G$99911,5,FALSE)</f>
        <v>HAMMOND JUSTYNN</v>
      </c>
      <c r="M45" s="224">
        <f t="shared" si="1"/>
        <v>2.4826388893416151E-2</v>
      </c>
      <c r="N45" s="225">
        <f t="shared" si="2"/>
        <v>35.750000006519258</v>
      </c>
      <c r="O45" s="225"/>
      <c r="P45" s="225"/>
      <c r="Q45" s="228"/>
      <c r="R45" s="242"/>
      <c r="S45" s="249">
        <f t="shared" ref="S45:S76" si="24">1/IF(AG45="EC",12,1)*SUM(U45:U45)</f>
        <v>1</v>
      </c>
      <c r="T45" s="242" t="str">
        <f t="shared" si="4"/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5"/>
        <v>https://d0f6bd738d7f1b3e5a7ca70fe4ff75f0.us-east-1.aws.found.io/app/kibana#/discover/Steve-Slow-Train-Analysis-(2080s-and-2083s)?_g=(refreshInterval:(display:Off,pause:!f,section:0,value:0),time:(from:'2017-12-07T06:40:03-0700',mode:absolute,to:'2017-12-07T09:21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5" s="247" t="str">
        <f>IF(AA45&lt;VLOOKUP(AG45,Variables!$AC$3:$AD$8,2,FALSE),"Y","N")</f>
        <v>N</v>
      </c>
      <c r="X45" s="247">
        <f t="shared" ref="X45:X76" si="25">VALUE(LEFT(AD45,4))-VALUE(LEFT(AD44,4))</f>
        <v>1</v>
      </c>
      <c r="Y45" s="247">
        <f t="shared" ref="Y45:Y76" si="26">RIGHT(D45,LEN(D45)-4)/10000</f>
        <v>5.33E-2</v>
      </c>
      <c r="Z45" s="247">
        <f t="shared" ref="Z45:Z76" si="27">RIGHT(H45,LEN(H45)-4)/10000</f>
        <v>23.327400000000001</v>
      </c>
      <c r="AA45" s="247">
        <f t="shared" si="9"/>
        <v>23.274100000000001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10"/>
        <v>133</v>
      </c>
      <c r="AE45" s="235" t="str">
        <f t="shared" si="11"/>
        <v>aws s3 cp s3://rtdc.mdm.uploadarchive.raw/RTDC4036/ "%USERPROFILE%\AppData\Local\Temp\OnboardLogs"\RTDC4036\2017-12-07 --exclude "*" --recursive --include "*20171207*" &amp; "%USERPROFILE%\Documents\GitHub\mrs-test-scripts\Headless Mode &amp; Sideloading\WalkAndUnGZ.bat" "%USERPROFILE%\AppData\Local\Temp\OnboardLogs"\RTDC4036\2017-12-07 &amp; aws s3 cp s3://rtdc.mdm.uploadarchive.raw/RTDC4036/ "%USERPROFILE%\AppData\Local\Temp\OnboardLogs"\RTDC4036\2017-12-08 --exclude "*" --recursive --include "*20171208*" &amp; "%USERPROFILE%\Documents\GitHub\mrs-test-scripts\Headless Mode &amp; Sideloading\WalkAndUnGZ.bat" "%USERPROFILE%\AppData\Local\Temp\OnboardLogs"\RTDC4036\2017-12-08</v>
      </c>
      <c r="AF45" s="234" t="str">
        <f t="shared" si="12"/>
        <v>"C:\Program Files (x86)\AstroGrep\AstroGrep.exe" /e /r /s /spath="%USERPROFILE%\AppData\Local\Temp\OnboardLogs" /stypes="app*4036*20171207*" /stext=" 15:.+((SYSTEM_STATE.+slice.+state.+changed )|(ment ac)|(multiple cpu faults)|(system.+state.+changed )|(\[timeout)|(PRM\|1\|D)|(kpr)|(kdp)|(train st.+moving)|(\|lc)|(penalty))"</v>
      </c>
      <c r="AG45" s="244" t="str">
        <f t="shared" si="13"/>
        <v>EC</v>
      </c>
      <c r="AH45" s="236" t="str">
        <f t="shared" si="19"/>
        <v>"%USERPROFILE%\Documents\GitHub\eaglep3\Utilities\RefineRTDCRunTimes.py" --tripid 133-07 --locoid 4036 --swversion DE.1.0.9.0 --startMP 204:533 --initTime 2017-12-07T07:40:03 --startdatetime 2017-12-07T07:45:19 --delay 84 --endMP 204:233274 --enddatetime 2017-12-07T08:21:04 --enforcementcount 1 &gt;&gt;%USERPROFILE%\Documents\GitHub\eaglep3-reporting\EC\2017-12-07-refined-times.txt</v>
      </c>
      <c r="AI45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{"issue":{"subject":"","project_id":79,"tracker_id":40,"status_id":1,"priority_id":2,"assigned_to_id":338,"start_date":"2017-12-07","description":"","custom_fields":[{"id":1,"name":"Subdivision","value":"EC"},{"id":4,"name":"Milepost","value":"23.3274"},{"id":17,"name":"Train ID","value":"133-07"},{"id":16,"name":"Locomotive ID","value":"4036"},{"id":130,"name":"Impact","value":""},{"id":150,"name":"Time of Event (Mountain Time)","value":"08:21:04"},{"id":151,"name":"Denver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21"/>
        <v>start /low /b %USERPROFILE%\Documents\GitHub\eaglep3\Utilities\DownloadLogsFromS3.py --loco 4036 --day 2017-12-07</v>
      </c>
      <c r="AN45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15:21:04"},{"id":29,"name":"Sharepoint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23"/>
        <v>https://d0f6bd738d7f1b3e5a7ca70fe4ff75f0.us-east-1.aws.found.io/app/kibana#/discover/Steve-Slow-Train-Analysis-(2080s-and-2083s)?_g=(refreshInterval:(display:Off,pause:!f,section:0,value:0),time:(from:'2017-12-07T06:40:03-0700',mode:absolute,to:'2017-12-07T09:21:04-0700'))&amp;_a=(columns:!('Message%20ID',Summary),filters:!(),index:'emp_*',interval:auto,query:(query_string:(analyze_wildcard:!t,query:'%22rtdc.l.rtdc.4036%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9" t="s">
        <v>771</v>
      </c>
      <c r="B46" s="225">
        <v>4035</v>
      </c>
      <c r="C46" s="227" t="s">
        <v>192</v>
      </c>
      <c r="D46" s="227" t="s">
        <v>654</v>
      </c>
      <c r="E46" s="226">
        <v>43076.35665509259</v>
      </c>
      <c r="F46" s="226">
        <v>43076.362662037034</v>
      </c>
      <c r="G46" s="225">
        <v>74</v>
      </c>
      <c r="H46" s="227" t="s">
        <v>450</v>
      </c>
      <c r="I46" s="226">
        <v>43076.389918981484</v>
      </c>
      <c r="J46" s="225">
        <v>1</v>
      </c>
      <c r="K46" s="237" t="str">
        <f t="shared" si="0"/>
        <v>4035/4036</v>
      </c>
      <c r="L46" s="245" t="str">
        <f>VLOOKUP(A46,'Trips&amp;Operators'!$C$1:$G$99911,5,FALSE)</f>
        <v>HAMMOND JUSTYNN</v>
      </c>
      <c r="M46" s="224">
        <f t="shared" si="1"/>
        <v>2.7256944449618459E-2</v>
      </c>
      <c r="N46" s="225">
        <f t="shared" si="2"/>
        <v>39.250000007450581</v>
      </c>
      <c r="O46" s="225"/>
      <c r="P46" s="225"/>
      <c r="Q46" s="228"/>
      <c r="R46" s="242"/>
      <c r="S46" s="249">
        <f t="shared" si="24"/>
        <v>1</v>
      </c>
      <c r="T46" s="242" t="str">
        <f t="shared" si="4"/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5"/>
        <v>https://d0f6bd738d7f1b3e5a7ca70fe4ff75f0.us-east-1.aws.found.io/app/kibana#/discover/Steve-Slow-Train-Analysis-(2080s-and-2083s)?_g=(refreshInterval:(display:Off,pause:!f,section:0,value:0),time:(from:'2017-12-07T07:33:35-0700',mode:absolute,to:'2017-12-07T10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6" s="247" t="str">
        <f>IF(AA46&lt;VLOOKUP(AG46,Variables!$AC$3:$AD$8,2,FALSE),"Y","N")</f>
        <v>N</v>
      </c>
      <c r="X46" s="247">
        <f t="shared" si="25"/>
        <v>1</v>
      </c>
      <c r="Y46" s="247">
        <f t="shared" si="26"/>
        <v>23.295500000000001</v>
      </c>
      <c r="Z46" s="247">
        <f t="shared" si="27"/>
        <v>2.1600000000000001E-2</v>
      </c>
      <c r="AA46" s="247">
        <f t="shared" si="9"/>
        <v>23.273900000000001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10"/>
        <v>134</v>
      </c>
      <c r="AE46" s="235" t="str">
        <f t="shared" si="11"/>
        <v>aws s3 cp s3://rtdc.mdm.uploadarchive.raw/RTDC4035/ "%USERPROFILE%\AppData\Local\Temp\OnboardLogs"\RTDC4035\2017-12-07 --exclude "*" --recursive --include "*20171207*" &amp; "%USERPROFILE%\Documents\GitHub\mrs-test-scripts\Headless Mode &amp; Sideloading\WalkAndUnGZ.bat" "%USERPROFILE%\AppData\Local\Temp\OnboardLogs"\RTDC4035\2017-12-07 &amp; aws s3 cp s3://rtdc.mdm.uploadarchive.raw/RTDC4035/ "%USERPROFILE%\AppData\Local\Temp\OnboardLogs"\RTDC4035\2017-12-08 --exclude "*" --recursive --include "*20171208*" &amp; "%USERPROFILE%\Documents\GitHub\mrs-test-scripts\Headless Mode &amp; Sideloading\WalkAndUnGZ.bat" "%USERPROFILE%\AppData\Local\Temp\OnboardLogs"\RTDC4035\2017-12-08</v>
      </c>
      <c r="AF46" s="234" t="str">
        <f t="shared" si="12"/>
        <v>"C:\Program Files (x86)\AstroGrep\AstroGrep.exe" /e /r /s /spath="%USERPROFILE%\AppData\Local\Temp\OnboardLogs" /stypes="app*4035*20171207*" /stext=" 16:.+((SYSTEM_STATE.+slice.+state.+changed )|(ment ac)|(multiple cpu faults)|(system.+state.+changed )|(\[timeout)|(PRM\|1\|D)|(kpr)|(kdp)|(train st.+moving)|(\|lc)|(penalty))"</v>
      </c>
      <c r="AG46" s="244" t="str">
        <f t="shared" si="13"/>
        <v>EC</v>
      </c>
      <c r="AH46" s="236" t="str">
        <f t="shared" si="19"/>
        <v>"%USERPROFILE%\Documents\GitHub\eaglep3\Utilities\RefineRTDCRunTimes.py" --tripid 134-07 --locoid 4035 --swversion DE.1.0.9.0 --startMP 204:232955 --initTime 2017-12-07T08:33:35 --startdatetime 2017-12-07T08:42:14 --delay 74 --endMP 204:216 --enddatetime 2017-12-07T09:21:29 --enforcementcount 1 &gt;&gt;%USERPROFILE%\Documents\GitHub\eaglep3-reporting\EC\2017-12-07-refined-times.txt</v>
      </c>
      <c r="AI46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{"issue":{"subject":"","project_id":79,"tracker_id":40,"status_id":1,"priority_id":2,"assigned_to_id":338,"start_date":"2017-12-07","description":"","custom_fields":[{"id":1,"name":"Subdivision","value":"EC"},{"id":4,"name":"Milepost","value":"0.0216"},{"id":17,"name":"Train ID","value":"134-07"},{"id":16,"name":"Locomotive ID","value":"4035"},{"id":130,"name":"Impact","value":""},{"id":150,"name":"Time of Event (Mountain Time)","value":"09:21:29"},{"id":151,"name":"Denver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21"/>
        <v>start /low /b %USERPROFILE%\Documents\GitHub\eaglep3\Utilities\DownloadLogsFromS3.py --loco 4035 --day 2017-12-07</v>
      </c>
      <c r="AN46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16:21:29"},{"id":29,"name":"Sharepoint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23"/>
        <v>https://d0f6bd738d7f1b3e5a7ca70fe4ff75f0.us-east-1.aws.found.io/app/kibana#/discover/Steve-Slow-Train-Analysis-(2080s-and-2083s)?_g=(refreshInterval:(display:Off,pause:!f,section:0,value:0),time:(from:'2017-12-07T07:33:35-0700',mode:absolute,to:'2017-12-07T10:21:29-0700'))&amp;_a=(columns:!('Message%20ID',Summary),filters:!(),index:'emp_*',interval:auto,query:(query_string:(analyze_wildcard:!t,query:'%22rtdc.l.rtdc.4035%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9" t="s">
        <v>762</v>
      </c>
      <c r="B47" s="225">
        <v>4022</v>
      </c>
      <c r="C47" s="227" t="s">
        <v>192</v>
      </c>
      <c r="D47" s="227" t="s">
        <v>453</v>
      </c>
      <c r="E47" s="226">
        <v>43076.328634259262</v>
      </c>
      <c r="F47" s="226">
        <v>43076.333495370367</v>
      </c>
      <c r="G47" s="225">
        <v>70</v>
      </c>
      <c r="H47" s="227" t="s">
        <v>925</v>
      </c>
      <c r="I47" s="226">
        <v>43076.358194444445</v>
      </c>
      <c r="J47" s="225">
        <v>1</v>
      </c>
      <c r="K47" s="237" t="str">
        <f t="shared" si="0"/>
        <v>4021/4022</v>
      </c>
      <c r="L47" s="245" t="str">
        <f>VLOOKUP(A47,'Trips&amp;Operators'!$C$1:$G$99911,5,FALSE)</f>
        <v>PAGE MARCUS</v>
      </c>
      <c r="M47" s="224">
        <f t="shared" si="1"/>
        <v>2.4699074077943806E-2</v>
      </c>
      <c r="N47" s="225">
        <f t="shared" si="2"/>
        <v>35.56666667223908</v>
      </c>
      <c r="O47" s="225"/>
      <c r="P47" s="225"/>
      <c r="Q47" s="228"/>
      <c r="R47" s="242"/>
      <c r="S47" s="249">
        <f t="shared" si="24"/>
        <v>1</v>
      </c>
      <c r="T47" s="242" t="str">
        <f t="shared" si="4"/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5"/>
        <v>https://d0f6bd738d7f1b3e5a7ca70fe4ff75f0.us-east-1.aws.found.io/app/kibana#/discover/Steve-Slow-Train-Analysis-(2080s-and-2083s)?_g=(refreshInterval:(display:Off,pause:!f,section:0,value:0),time:(from:'2017-12-07T06:53:14-0700',mode:absolute,to:'2017-12-07T09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7" s="247" t="str">
        <f>IF(AA47&lt;VLOOKUP(AG47,Variables!$AC$3:$AD$8,2,FALSE),"Y","N")</f>
        <v>N</v>
      </c>
      <c r="X47" s="247">
        <f t="shared" si="25"/>
        <v>1</v>
      </c>
      <c r="Y47" s="247">
        <f t="shared" si="26"/>
        <v>5.1700000000000003E-2</v>
      </c>
      <c r="Z47" s="247">
        <f t="shared" si="27"/>
        <v>23.328900000000001</v>
      </c>
      <c r="AA47" s="247">
        <f t="shared" si="9"/>
        <v>23.277200000000001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10"/>
        <v>135</v>
      </c>
      <c r="AE47" s="235" t="str">
        <f t="shared" si="11"/>
        <v>aws s3 cp s3://rtdc.mdm.uploadarchive.raw/RTDC4022/ "%USERPROFILE%\AppData\Local\Temp\OnboardLogs"\RTDC4022\2017-12-07 --exclude "*" --recursive --include "*20171207*" &amp; "%USERPROFILE%\Documents\GitHub\mrs-test-scripts\Headless Mode &amp; Sideloading\WalkAndUnGZ.bat" "%USERPROFILE%\AppData\Local\Temp\OnboardLogs"\RTDC4022\2017-12-07 &amp; aws s3 cp s3://rtdc.mdm.uploadarchive.raw/RTDC4022/ "%USERPROFILE%\AppData\Local\Temp\OnboardLogs"\RTDC4022\2017-12-08 --exclude "*" --recursive --include "*20171208*" &amp; "%USERPROFILE%\Documents\GitHub\mrs-test-scripts\Headless Mode &amp; Sideloading\WalkAndUnGZ.bat" "%USERPROFILE%\AppData\Local\Temp\OnboardLogs"\RTDC4022\2017-12-08</v>
      </c>
      <c r="AF47" s="234" t="str">
        <f t="shared" si="12"/>
        <v>"C:\Program Files (x86)\AstroGrep\AstroGrep.exe" /e /r /s /spath="%USERPROFILE%\AppData\Local\Temp\OnboardLogs" /stypes="app*4022*20171207*" /stext=" 15:.+((SYSTEM_STATE.+slice.+state.+changed )|(ment ac)|(multiple cpu faults)|(system.+state.+changed )|(\[timeout)|(PRM\|1\|D)|(kpr)|(kdp)|(train st.+moving)|(\|lc)|(penalty))"</v>
      </c>
      <c r="AG47" s="244" t="str">
        <f t="shared" si="13"/>
        <v>EC</v>
      </c>
      <c r="AH47" s="236" t="str">
        <f t="shared" si="19"/>
        <v>"%USERPROFILE%\Documents\GitHub\eaglep3\Utilities\RefineRTDCRunTimes.py" --tripid 135-07 --locoid 4022 --swversion DE.1.0.9.0 --startMP 204:517 --initTime 2017-12-07T07:53:14 --startdatetime 2017-12-07T08:00:14 --delay 70 --endMP 204:233289 --enddatetime 2017-12-07T08:35:48 --enforcementcount 1 &gt;&gt;%USERPROFILE%\Documents\GitHub\eaglep3-reporting\EC\2017-12-07-refined-times.txt</v>
      </c>
      <c r="AI47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{"issue":{"subject":"","project_id":79,"tracker_id":40,"status_id":1,"priority_id":2,"assigned_to_id":338,"start_date":"2017-12-07","description":"","custom_fields":[{"id":1,"name":"Subdivision","value":"EC"},{"id":4,"name":"Milepost","value":"23.3289"},{"id":17,"name":"Train ID","value":"135-07"},{"id":16,"name":"Locomotive ID","value":"4022"},{"id":130,"name":"Impact","value":""},{"id":150,"name":"Time of Event (Mountain Time)","value":"08:35:48"},{"id":151,"name":"Denver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21"/>
        <v>start /low /b %USERPROFILE%\Documents\GitHub\eaglep3\Utilities\DownloadLogsFromS3.py --loco 4022 --day 2017-12-07</v>
      </c>
      <c r="AN47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15:35:48"},{"id":29,"name":"Sharepoint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23"/>
        <v>https://d0f6bd738d7f1b3e5a7ca70fe4ff75f0.us-east-1.aws.found.io/app/kibana#/discover/Steve-Slow-Train-Analysis-(2080s-and-2083s)?_g=(refreshInterval:(display:Off,pause:!f,section:0,value:0),time:(from:'2017-12-07T06:53:14-0700',mode:absolute,to:'2017-12-07T09:35:48-0700'))&amp;_a=(columns:!('Message%20ID',Summary),filters:!(),index:'emp_*',interval:auto,query:(query_string:(analyze_wildcard:!t,query:'%22rtdc.l.rtdc.4022%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9" t="s">
        <v>773</v>
      </c>
      <c r="B48" s="225">
        <v>4021</v>
      </c>
      <c r="C48" s="227" t="s">
        <v>192</v>
      </c>
      <c r="D48" s="227" t="s">
        <v>545</v>
      </c>
      <c r="E48" s="226">
        <v>43076.359456018516</v>
      </c>
      <c r="F48" s="226">
        <v>43076.373078703706</v>
      </c>
      <c r="G48" s="225">
        <v>66</v>
      </c>
      <c r="H48" s="227" t="s">
        <v>460</v>
      </c>
      <c r="I48" s="226">
        <v>43076.398414351854</v>
      </c>
      <c r="J48" s="225">
        <v>1</v>
      </c>
      <c r="K48" s="237" t="str">
        <f t="shared" si="0"/>
        <v>4021/4022</v>
      </c>
      <c r="L48" s="245" t="str">
        <f>VLOOKUP(A48,'Trips&amp;Operators'!$C$1:$G$99911,5,FALSE)</f>
        <v>PAGE MARCUS</v>
      </c>
      <c r="M48" s="224">
        <f t="shared" si="1"/>
        <v>2.5335648148029577E-2</v>
      </c>
      <c r="N48" s="225">
        <f t="shared" si="2"/>
        <v>36.483333333162591</v>
      </c>
      <c r="O48" s="225"/>
      <c r="P48" s="225"/>
      <c r="Q48" s="228"/>
      <c r="R48" s="242"/>
      <c r="S48" s="249">
        <f t="shared" si="24"/>
        <v>1</v>
      </c>
      <c r="T48" s="242" t="str">
        <f t="shared" si="4"/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5"/>
        <v>https://d0f6bd738d7f1b3e5a7ca70fe4ff75f0.us-east-1.aws.found.io/app/kibana#/discover/Steve-Slow-Train-Analysis-(2080s-and-2083s)?_g=(refreshInterval:(display:Off,pause:!f,section:0,value:0),time:(from:'2017-12-07T07:37:37-0700',mode:absolute,to:'2017-12-07T10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8" s="247" t="str">
        <f>IF(AA48&lt;VLOOKUP(AG48,Variables!$AC$3:$AD$8,2,FALSE),"Y","N")</f>
        <v>N</v>
      </c>
      <c r="X48" s="247">
        <f t="shared" si="25"/>
        <v>1</v>
      </c>
      <c r="Y48" s="247">
        <f t="shared" si="26"/>
        <v>23.2957</v>
      </c>
      <c r="Z48" s="247">
        <f t="shared" si="27"/>
        <v>2.0899999999999998E-2</v>
      </c>
      <c r="AA48" s="247">
        <f t="shared" si="9"/>
        <v>23.274799999999999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10"/>
        <v>136</v>
      </c>
      <c r="AE48" s="235" t="str">
        <f t="shared" si="11"/>
        <v>aws s3 cp s3://rtdc.mdm.uploadarchive.raw/RTDC4021/ "%USERPROFILE%\AppData\Local\Temp\OnboardLogs"\RTDC4021\2017-12-07 --exclude "*" --recursive --include "*20171207*" &amp; "%USERPROFILE%\Documents\GitHub\mrs-test-scripts\Headless Mode &amp; Sideloading\WalkAndUnGZ.bat" "%USERPROFILE%\AppData\Local\Temp\OnboardLogs"\RTDC4021\2017-12-07 &amp; aws s3 cp s3://rtdc.mdm.uploadarchive.raw/RTDC4021/ "%USERPROFILE%\AppData\Local\Temp\OnboardLogs"\RTDC4021\2017-12-08 --exclude "*" --recursive --include "*20171208*" &amp; "%USERPROFILE%\Documents\GitHub\mrs-test-scripts\Headless Mode &amp; Sideloading\WalkAndUnGZ.bat" "%USERPROFILE%\AppData\Local\Temp\OnboardLogs"\RTDC4021\2017-12-08</v>
      </c>
      <c r="AF48" s="234" t="str">
        <f t="shared" si="12"/>
        <v>"C:\Program Files (x86)\AstroGrep\AstroGrep.exe" /e /r /s /spath="%USERPROFILE%\AppData\Local\Temp\OnboardLogs" /stypes="app*4021*20171207*" /stext=" 16:.+((SYSTEM_STATE.+slice.+state.+changed )|(ment ac)|(multiple cpu faults)|(system.+state.+changed )|(\[timeout)|(PRM\|1\|D)|(kpr)|(kdp)|(train st.+moving)|(\|lc)|(penalty))"</v>
      </c>
      <c r="AG48" s="244" t="str">
        <f t="shared" si="13"/>
        <v>EC</v>
      </c>
      <c r="AH48" s="236" t="str">
        <f t="shared" si="19"/>
        <v>"%USERPROFILE%\Documents\GitHub\eaglep3\Utilities\RefineRTDCRunTimes.py" --tripid 136-07 --locoid 4021 --swversion DE.1.0.9.0 --startMP 204:232957 --initTime 2017-12-07T08:37:37 --startdatetime 2017-12-07T08:57:14 --delay 66 --endMP 204:209 --enddatetime 2017-12-07T09:33:43 --enforcementcount 1 &gt;&gt;%USERPROFILE%\Documents\GitHub\eaglep3-reporting\EC\2017-12-07-refined-times.txt</v>
      </c>
      <c r="AI48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{"issue":{"subject":"","project_id":79,"tracker_id":40,"status_id":1,"priority_id":2,"assigned_to_id":338,"start_date":"2017-12-07","description":"","custom_fields":[{"id":1,"name":"Subdivision","value":"EC"},{"id":4,"name":"Milepost","value":"0.0209"},{"id":17,"name":"Train ID","value":"136-07"},{"id":16,"name":"Locomotive ID","value":"4021"},{"id":130,"name":"Impact","value":""},{"id":150,"name":"Time of Event (Mountain Time)","value":"09:33:43"},{"id":151,"name":"Denver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21"/>
        <v>start /low /b %USERPROFILE%\Documents\GitHub\eaglep3\Utilities\DownloadLogsFromS3.py --loco 4021 --day 2017-12-07</v>
      </c>
      <c r="AN48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16:33:43"},{"id":29,"name":"Sharepoint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23"/>
        <v>https://d0f6bd738d7f1b3e5a7ca70fe4ff75f0.us-east-1.aws.found.io/app/kibana#/discover/Steve-Slow-Train-Analysis-(2080s-and-2083s)?_g=(refreshInterval:(display:Off,pause:!f,section:0,value:0),time:(from:'2017-12-07T07:37:37-0700',mode:absolute,to:'2017-12-07T10:33:43-0700'))&amp;_a=(columns:!('Message%20ID',Summary),filters:!(),index:'emp_*',interval:auto,query:(query_string:(analyze_wildcard:!t,query:'%22rtdc.l.rtdc.4021%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9" t="s">
        <v>767</v>
      </c>
      <c r="B49" s="225">
        <v>4054</v>
      </c>
      <c r="C49" s="227" t="s">
        <v>192</v>
      </c>
      <c r="D49" s="227" t="s">
        <v>633</v>
      </c>
      <c r="E49" s="226">
        <v>43076.339560185188</v>
      </c>
      <c r="F49" s="226">
        <v>43076.344270833331</v>
      </c>
      <c r="G49" s="225">
        <v>87</v>
      </c>
      <c r="H49" s="227" t="s">
        <v>942</v>
      </c>
      <c r="I49" s="226">
        <v>43076.368506944447</v>
      </c>
      <c r="J49" s="225">
        <v>1</v>
      </c>
      <c r="K49" s="237" t="str">
        <f t="shared" si="0"/>
        <v>4053/4054</v>
      </c>
      <c r="L49" s="245" t="str">
        <f>VLOOKUP(A49,'Trips&amp;Operators'!$C$1:$G$99911,5,FALSE)</f>
        <v>WILLIAMS DONTE</v>
      </c>
      <c r="M49" s="224">
        <f t="shared" si="1"/>
        <v>2.4236111115897074E-2</v>
      </c>
      <c r="N49" s="225">
        <f t="shared" si="2"/>
        <v>34.900000006891787</v>
      </c>
      <c r="O49" s="225"/>
      <c r="P49" s="225"/>
      <c r="Q49" s="228"/>
      <c r="R49" s="242"/>
      <c r="S49" s="249">
        <f t="shared" si="24"/>
        <v>1</v>
      </c>
      <c r="T49" s="242" t="str">
        <f t="shared" si="4"/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5"/>
        <v>https://d0f6bd738d7f1b3e5a7ca70fe4ff75f0.us-east-1.aws.found.io/app/kibana#/discover/Steve-Slow-Train-Analysis-(2080s-and-2083s)?_g=(refreshInterval:(display:Off,pause:!f,section:0,value:0),time:(from:'2017-12-07T07:08:58-0700',mode:absolute,to:'2017-12-07T09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9" s="247" t="str">
        <f>IF(AA49&lt;VLOOKUP(AG49,Variables!$AC$3:$AD$8,2,FALSE),"Y","N")</f>
        <v>N</v>
      </c>
      <c r="X49" s="247">
        <f t="shared" si="25"/>
        <v>1</v>
      </c>
      <c r="Y49" s="247">
        <f t="shared" si="26"/>
        <v>4.9700000000000001E-2</v>
      </c>
      <c r="Z49" s="247">
        <f t="shared" si="27"/>
        <v>23.322399999999998</v>
      </c>
      <c r="AA49" s="247">
        <f t="shared" si="9"/>
        <v>23.272699999999997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10"/>
        <v>137</v>
      </c>
      <c r="AE49" s="235" t="str">
        <f t="shared" si="11"/>
        <v>aws s3 cp s3://rtdc.mdm.uploadarchive.raw/RTDC4054/ "%USERPROFILE%\AppData\Local\Temp\OnboardLogs"\RTDC4054\2017-12-07 --exclude "*" --recursive --include "*20171207*" &amp; "%USERPROFILE%\Documents\GitHub\mrs-test-scripts\Headless Mode &amp; Sideloading\WalkAndUnGZ.bat" "%USERPROFILE%\AppData\Local\Temp\OnboardLogs"\RTDC4054\2017-12-07 &amp; aws s3 cp s3://rtdc.mdm.uploadarchive.raw/RTDC4054/ "%USERPROFILE%\AppData\Local\Temp\OnboardLogs"\RTDC4054\2017-12-08 --exclude "*" --recursive --include "*20171208*" &amp; "%USERPROFILE%\Documents\GitHub\mrs-test-scripts\Headless Mode &amp; Sideloading\WalkAndUnGZ.bat" "%USERPROFILE%\AppData\Local\Temp\OnboardLogs"\RTDC4054\2017-12-08</v>
      </c>
      <c r="AF49" s="234" t="str">
        <f t="shared" si="12"/>
        <v>"C:\Program Files (x86)\AstroGrep\AstroGrep.exe" /e /r /s /spath="%USERPROFILE%\AppData\Local\Temp\OnboardLogs" /stypes="app*4054*20171207*" /stext=" 15:.+((SYSTEM_STATE.+slice.+state.+changed )|(ment ac)|(multiple cpu faults)|(system.+state.+changed )|(\[timeout)|(PRM\|1\|D)|(kpr)|(kdp)|(train st.+moving)|(\|lc)|(penalty))"</v>
      </c>
      <c r="AG49" s="244" t="str">
        <f t="shared" si="13"/>
        <v>EC</v>
      </c>
      <c r="AH49" s="236" t="str">
        <f t="shared" si="19"/>
        <v>"%USERPROFILE%\Documents\GitHub\eaglep3\Utilities\RefineRTDCRunTimes.py" --tripid 137-07 --locoid 4054 --swversion DE.1.0.9.0 --startMP 204:497 --initTime 2017-12-07T08:08:58 --startdatetime 2017-12-07T08:15:45 --delay 87 --endMP 204:233224 --enddatetime 2017-12-07T08:50:39 --enforcementcount 1 &gt;&gt;%USERPROFILE%\Documents\GitHub\eaglep3-reporting\EC\2017-12-07-refined-times.txt</v>
      </c>
      <c r="AI49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{"issue":{"subject":"","project_id":79,"tracker_id":40,"status_id":1,"priority_id":2,"assigned_to_id":338,"start_date":"2017-12-07","description":"","custom_fields":[{"id":1,"name":"Subdivision","value":"EC"},{"id":4,"name":"Milepost","value":"23.3224"},{"id":17,"name":"Train ID","value":"137-07"},{"id":16,"name":"Locomotive ID","value":"4054"},{"id":130,"name":"Impact","value":""},{"id":150,"name":"Time of Event (Mountain Time)","value":"08:50:39"},{"id":151,"name":"Denver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21"/>
        <v>start /low /b %USERPROFILE%\Documents\GitHub\eaglep3\Utilities\DownloadLogsFromS3.py --loco 4054 --day 2017-12-07</v>
      </c>
      <c r="AN49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15:50:39"},{"id":29,"name":"Sharepoint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23"/>
        <v>https://d0f6bd738d7f1b3e5a7ca70fe4ff75f0.us-east-1.aws.found.io/app/kibana#/discover/Steve-Slow-Train-Analysis-(2080s-and-2083s)?_g=(refreshInterval:(display:Off,pause:!f,section:0,value:0),time:(from:'2017-12-07T07:08:58-0700',mode:absolute,to:'2017-12-07T09:50:39-0700'))&amp;_a=(columns:!('Message%20ID',Summary),filters:!(),index:'emp_*',interval:auto,query:(query_string:(analyze_wildcard:!t,query:'%22rtdc.l.rtdc.4054%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9" t="s">
        <v>776</v>
      </c>
      <c r="B50" s="225">
        <v>4053</v>
      </c>
      <c r="C50" s="227" t="s">
        <v>192</v>
      </c>
      <c r="D50" s="227" t="s">
        <v>647</v>
      </c>
      <c r="E50" s="226">
        <v>43076.375567129631</v>
      </c>
      <c r="F50" s="226">
        <v>43076.383506944447</v>
      </c>
      <c r="G50" s="225">
        <v>56</v>
      </c>
      <c r="H50" s="227" t="s">
        <v>536</v>
      </c>
      <c r="I50" s="226">
        <v>43076.411041666666</v>
      </c>
      <c r="J50" s="225">
        <v>1</v>
      </c>
      <c r="K50" s="237" t="str">
        <f t="shared" si="0"/>
        <v>4053/4054</v>
      </c>
      <c r="L50" s="245" t="str">
        <f>VLOOKUP(A50,'Trips&amp;Operators'!$C$1:$G$99911,5,FALSE)</f>
        <v>WILLIAMS DONTE</v>
      </c>
      <c r="M50" s="224">
        <f t="shared" si="1"/>
        <v>2.753472221957054E-2</v>
      </c>
      <c r="N50" s="225">
        <f t="shared" si="2"/>
        <v>39.649999996181577</v>
      </c>
      <c r="O50" s="225"/>
      <c r="P50" s="225"/>
      <c r="Q50" s="228"/>
      <c r="R50" s="242"/>
      <c r="S50" s="249">
        <f t="shared" si="24"/>
        <v>1</v>
      </c>
      <c r="T50" s="242" t="str">
        <f t="shared" si="4"/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5"/>
        <v>https://d0f6bd738d7f1b3e5a7ca70fe4ff75f0.us-east-1.aws.found.io/app/kibana#/discover/Steve-Slow-Train-Analysis-(2080s-and-2083s)?_g=(refreshInterval:(display:Off,pause:!f,section:0,value:0),time:(from:'2017-12-07T08:00:49-0700',mode:absolute,to:'2017-12-07T10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0" s="247" t="str">
        <f>IF(AA50&lt;VLOOKUP(AG50,Variables!$AC$3:$AD$8,2,FALSE),"Y","N")</f>
        <v>N</v>
      </c>
      <c r="X50" s="247">
        <f t="shared" si="25"/>
        <v>1</v>
      </c>
      <c r="Y50" s="247">
        <f t="shared" si="26"/>
        <v>23.290199999999999</v>
      </c>
      <c r="Z50" s="247">
        <f t="shared" si="27"/>
        <v>2.1999999999999999E-2</v>
      </c>
      <c r="AA50" s="247">
        <f t="shared" si="9"/>
        <v>23.2682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10"/>
        <v>138</v>
      </c>
      <c r="AE50" s="235" t="str">
        <f t="shared" si="11"/>
        <v>aws s3 cp s3://rtdc.mdm.uploadarchive.raw/RTDC4053/ "%USERPROFILE%\AppData\Local\Temp\OnboardLogs"\RTDC4053\2017-12-07 --exclude "*" --recursive --include "*20171207*" &amp; "%USERPROFILE%\Documents\GitHub\mrs-test-scripts\Headless Mode &amp; Sideloading\WalkAndUnGZ.bat" "%USERPROFILE%\AppData\Local\Temp\OnboardLogs"\RTDC4053\2017-12-07 &amp; aws s3 cp s3://rtdc.mdm.uploadarchive.raw/RTDC4053/ "%USERPROFILE%\AppData\Local\Temp\OnboardLogs"\RTDC4053\2017-12-08 --exclude "*" --recursive --include "*20171208*" &amp; "%USERPROFILE%\Documents\GitHub\mrs-test-scripts\Headless Mode &amp; Sideloading\WalkAndUnGZ.bat" "%USERPROFILE%\AppData\Local\Temp\OnboardLogs"\RTDC4053\2017-12-08</v>
      </c>
      <c r="AF50" s="234" t="str">
        <f t="shared" si="12"/>
        <v>"C:\Program Files (x86)\AstroGrep\AstroGrep.exe" /e /r /s /spath="%USERPROFILE%\AppData\Local\Temp\OnboardLogs" /stypes="app*4053*20171207*" /stext=" 16:.+((SYSTEM_STATE.+slice.+state.+changed )|(ment ac)|(multiple cpu faults)|(system.+state.+changed )|(\[timeout)|(PRM\|1\|D)|(kpr)|(kdp)|(train st.+moving)|(\|lc)|(penalty))"</v>
      </c>
      <c r="AG50" s="244" t="str">
        <f t="shared" si="13"/>
        <v>EC</v>
      </c>
      <c r="AH50" s="236" t="str">
        <f t="shared" si="19"/>
        <v>"%USERPROFILE%\Documents\GitHub\eaglep3\Utilities\RefineRTDCRunTimes.py" --tripid 138-07 --locoid 4053 --swversion DE.1.0.9.0 --startMP 204:232902 --initTime 2017-12-07T09:00:49 --startdatetime 2017-12-07T09:12:15 --delay 56 --endMP 204:220 --enddatetime 2017-12-07T09:51:54 --enforcementcount 1 &gt;&gt;%USERPROFILE%\Documents\GitHub\eaglep3-reporting\EC\2017-12-07-refined-times.txt</v>
      </c>
      <c r="AI50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{"issue":{"subject":"","project_id":79,"tracker_id":40,"status_id":1,"priority_id":2,"assigned_to_id":338,"start_date":"2017-12-07","description":"","custom_fields":[{"id":1,"name":"Subdivision","value":"EC"},{"id":4,"name":"Milepost","value":"0.022"},{"id":17,"name":"Train ID","value":"138-07"},{"id":16,"name":"Locomotive ID","value":"4053"},{"id":130,"name":"Impact","value":""},{"id":150,"name":"Time of Event (Mountain Time)","value":"09:51:54"},{"id":151,"name":"Denver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21"/>
        <v>start /low /b %USERPROFILE%\Documents\GitHub\eaglep3\Utilities\DownloadLogsFromS3.py --loco 4053 --day 2017-12-07</v>
      </c>
      <c r="AN50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16:51:54"},{"id":29,"name":"Sharepoint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23"/>
        <v>https://d0f6bd738d7f1b3e5a7ca70fe4ff75f0.us-east-1.aws.found.io/app/kibana#/discover/Steve-Slow-Train-Analysis-(2080s-and-2083s)?_g=(refreshInterval:(display:Off,pause:!f,section:0,value:0),time:(from:'2017-12-07T08:00:49-0700',mode:absolute,to:'2017-12-07T10:51:54-0700'))&amp;_a=(columns:!('Message%20ID',Summary),filters:!(),index:'emp_*',interval:auto,query:(query_string:(analyze_wildcard:!t,query:'%22rtdc.l.rtdc.4053%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9" t="s">
        <v>768</v>
      </c>
      <c r="B51" s="225">
        <v>4060</v>
      </c>
      <c r="C51" s="227" t="s">
        <v>192</v>
      </c>
      <c r="D51" s="227" t="s">
        <v>467</v>
      </c>
      <c r="E51" s="226">
        <v>43076.351111111115</v>
      </c>
      <c r="F51" s="226">
        <v>43076.354328703703</v>
      </c>
      <c r="G51" s="225">
        <v>52</v>
      </c>
      <c r="H51" s="227" t="s">
        <v>943</v>
      </c>
      <c r="I51" s="226">
        <v>43076.378587962965</v>
      </c>
      <c r="J51" s="225">
        <v>1</v>
      </c>
      <c r="K51" s="237" t="str">
        <f t="shared" si="0"/>
        <v>4059/4060</v>
      </c>
      <c r="L51" s="245" t="str">
        <f>VLOOKUP(A51,'Trips&amp;Operators'!$C$1:$G$99911,5,FALSE)</f>
        <v>YORK EDGAR</v>
      </c>
      <c r="M51" s="224">
        <f t="shared" si="1"/>
        <v>2.4259259262180422E-2</v>
      </c>
      <c r="N51" s="225">
        <f t="shared" si="2"/>
        <v>34.933333337539807</v>
      </c>
      <c r="O51" s="225"/>
      <c r="P51" s="225"/>
      <c r="Q51" s="228"/>
      <c r="R51" s="242"/>
      <c r="S51" s="249">
        <f t="shared" si="24"/>
        <v>1</v>
      </c>
      <c r="T51" s="242" t="str">
        <f t="shared" si="4"/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5"/>
        <v>https://d0f6bd738d7f1b3e5a7ca70fe4ff75f0.us-east-1.aws.found.io/app/kibana#/discover/Steve-Slow-Train-Analysis-(2080s-and-2083s)?_g=(refreshInterval:(display:Off,pause:!f,section:0,value:0),time:(from:'2017-12-07T07:25:36-0700',mode:absolute,to:'2017-12-07T10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1" s="247" t="str">
        <f>IF(AA51&lt;VLOOKUP(AG51,Variables!$AC$3:$AD$8,2,FALSE),"Y","N")</f>
        <v>N</v>
      </c>
      <c r="X51" s="247">
        <f t="shared" si="25"/>
        <v>1</v>
      </c>
      <c r="Y51" s="247">
        <f t="shared" si="26"/>
        <v>4.5699999999999998E-2</v>
      </c>
      <c r="Z51" s="247">
        <f t="shared" si="27"/>
        <v>23.328700000000001</v>
      </c>
      <c r="AA51" s="247">
        <f t="shared" si="9"/>
        <v>23.283000000000001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10"/>
        <v>139</v>
      </c>
      <c r="AE51" s="235" t="str">
        <f t="shared" si="11"/>
        <v>aws s3 cp s3://rtdc.mdm.uploadarchive.raw/RTDC4060/ "%USERPROFILE%\AppData\Local\Temp\OnboardLogs"\RTDC4060\2017-12-07 --exclude "*" --recursive --include "*20171207*" &amp; "%USERPROFILE%\Documents\GitHub\mrs-test-scripts\Headless Mode &amp; Sideloading\WalkAndUnGZ.bat" "%USERPROFILE%\AppData\Local\Temp\OnboardLogs"\RTDC4060\2017-12-07 &amp; aws s3 cp s3://rtdc.mdm.uploadarchive.raw/RTDC4060/ "%USERPROFILE%\AppData\Local\Temp\OnboardLogs"\RTDC4060\2017-12-08 --exclude "*" --recursive --include "*20171208*" &amp; "%USERPROFILE%\Documents\GitHub\mrs-test-scripts\Headless Mode &amp; Sideloading\WalkAndUnGZ.bat" "%USERPROFILE%\AppData\Local\Temp\OnboardLogs"\RTDC4060\2017-12-08</v>
      </c>
      <c r="AF51" s="234" t="str">
        <f t="shared" si="12"/>
        <v>"C:\Program Files (x86)\AstroGrep\AstroGrep.exe" /e /r /s /spath="%USERPROFILE%\AppData\Local\Temp\OnboardLogs" /stypes="app*4060*20171207*" /stext=" 16:.+((SYSTEM_STATE.+slice.+state.+changed )|(ment ac)|(multiple cpu faults)|(system.+state.+changed )|(\[timeout)|(PRM\|1\|D)|(kpr)|(kdp)|(train st.+moving)|(\|lc)|(penalty))"</v>
      </c>
      <c r="AG51" s="244" t="str">
        <f t="shared" si="13"/>
        <v>EC</v>
      </c>
      <c r="AH51" s="236" t="str">
        <f t="shared" si="19"/>
        <v>"%USERPROFILE%\Documents\GitHub\eaglep3\Utilities\RefineRTDCRunTimes.py" --tripid 139-07 --locoid 4060 --swversion DE.1.0.9.0 --startMP 204:457 --initTime 2017-12-07T08:25:36 --startdatetime 2017-12-07T08:30:14 --delay 52 --endMP 204:233287 --enddatetime 2017-12-07T09:05:10 --enforcementcount 1 &gt;&gt;%USERPROFILE%\Documents\GitHub\eaglep3-reporting\EC\2017-12-07-refined-times.txt</v>
      </c>
      <c r="AI51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{"issue":{"subject":"","project_id":79,"tracker_id":40,"status_id":1,"priority_id":2,"assigned_to_id":338,"start_date":"2017-12-07","description":"","custom_fields":[{"id":1,"name":"Subdivision","value":"EC"},{"id":4,"name":"Milepost","value":"23.3287"},{"id":17,"name":"Train ID","value":"139-07"},{"id":16,"name":"Locomotive ID","value":"4060"},{"id":130,"name":"Impact","value":""},{"id":150,"name":"Time of Event (Mountain Time)","value":"09:05:10"},{"id":151,"name":"Denver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21"/>
        <v>start /low /b %USERPROFILE%\Documents\GitHub\eaglep3\Utilities\DownloadLogsFromS3.py --loco 4060 --day 2017-12-07</v>
      </c>
      <c r="AN51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16:05:10"},{"id":29,"name":"Sharepoint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23"/>
        <v>https://d0f6bd738d7f1b3e5a7ca70fe4ff75f0.us-east-1.aws.found.io/app/kibana#/discover/Steve-Slow-Train-Analysis-(2080s-and-2083s)?_g=(refreshInterval:(display:Off,pause:!f,section:0,value:0),time:(from:'2017-12-07T07:25:36-0700',mode:absolute,to:'2017-12-07T10:05:10-0700'))&amp;_a=(columns:!('Message%20ID',Summary),filters:!(),index:'emp_*',interval:auto,query:(query_string:(analyze_wildcard:!t,query:'%22rtdc.l.rtdc.4060%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9" t="s">
        <v>778</v>
      </c>
      <c r="B52" s="225">
        <v>4059</v>
      </c>
      <c r="C52" s="227" t="s">
        <v>192</v>
      </c>
      <c r="D52" s="227" t="s">
        <v>927</v>
      </c>
      <c r="E52" s="226">
        <v>43076.387997685182</v>
      </c>
      <c r="F52" s="226">
        <v>43076.394363425927</v>
      </c>
      <c r="G52" s="225">
        <v>60</v>
      </c>
      <c r="H52" s="227" t="s">
        <v>922</v>
      </c>
      <c r="I52" s="226">
        <v>43076.419166666667</v>
      </c>
      <c r="J52" s="225">
        <v>1</v>
      </c>
      <c r="K52" s="237" t="str">
        <f t="shared" si="0"/>
        <v>4059/4060</v>
      </c>
      <c r="L52" s="245" t="str">
        <f>VLOOKUP(A52,'Trips&amp;Operators'!$C$1:$G$99911,5,FALSE)</f>
        <v>YORK EDGAR</v>
      </c>
      <c r="M52" s="224">
        <f t="shared" si="1"/>
        <v>2.4803240739856847E-2</v>
      </c>
      <c r="N52" s="225">
        <f t="shared" si="2"/>
        <v>35.716666665393859</v>
      </c>
      <c r="O52" s="225"/>
      <c r="P52" s="225"/>
      <c r="Q52" s="228"/>
      <c r="R52" s="242"/>
      <c r="S52" s="249">
        <f t="shared" si="24"/>
        <v>1</v>
      </c>
      <c r="T52" s="242" t="str">
        <f t="shared" si="4"/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5"/>
        <v>https://d0f6bd738d7f1b3e5a7ca70fe4ff75f0.us-east-1.aws.found.io/app/kibana#/discover/Steve-Slow-Train-Analysis-(2080s-and-2083s)?_g=(refreshInterval:(display:Off,pause:!f,section:0,value:0),time:(from:'2017-12-07T08:18:43-0700',mode:absolute,to:'2017-12-07T11:03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2" s="247" t="str">
        <f>IF(AA52&lt;VLOOKUP(AG52,Variables!$AC$3:$AD$8,2,FALSE),"Y","N")</f>
        <v>N</v>
      </c>
      <c r="X52" s="247">
        <f t="shared" si="25"/>
        <v>1</v>
      </c>
      <c r="Y52" s="247">
        <f t="shared" si="26"/>
        <v>23.297000000000001</v>
      </c>
      <c r="Z52" s="247">
        <f t="shared" si="27"/>
        <v>1.6E-2</v>
      </c>
      <c r="AA52" s="247">
        <f t="shared" si="9"/>
        <v>23.281000000000002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10"/>
        <v>140</v>
      </c>
      <c r="AE52" s="235" t="str">
        <f t="shared" si="11"/>
        <v>aws s3 cp s3://rtdc.mdm.uploadarchive.raw/RTDC4059/ "%USERPROFILE%\AppData\Local\Temp\OnboardLogs"\RTDC4059\2017-12-07 --exclude "*" --recursive --include "*20171207*" &amp; "%USERPROFILE%\Documents\GitHub\mrs-test-scripts\Headless Mode &amp; Sideloading\WalkAndUnGZ.bat" "%USERPROFILE%\AppData\Local\Temp\OnboardLogs"\RTDC4059\2017-12-07 &amp; aws s3 cp s3://rtdc.mdm.uploadarchive.raw/RTDC4059/ "%USERPROFILE%\AppData\Local\Temp\OnboardLogs"\RTDC4059\2017-12-08 --exclude "*" --recursive --include "*20171208*" &amp; "%USERPROFILE%\Documents\GitHub\mrs-test-scripts\Headless Mode &amp; Sideloading\WalkAndUnGZ.bat" "%USERPROFILE%\AppData\Local\Temp\OnboardLogs"\RTDC4059\2017-12-08</v>
      </c>
      <c r="AF52" s="234" t="str">
        <f t="shared" si="12"/>
        <v>"C:\Program Files (x86)\AstroGrep\AstroGrep.exe" /e /r /s /spath="%USERPROFILE%\AppData\Local\Temp\OnboardLogs" /stypes="app*4059*20171207*" /stext=" 17:.+((SYSTEM_STATE.+slice.+state.+changed )|(ment ac)|(multiple cpu faults)|(system.+state.+changed )|(\[timeout)|(PRM\|1\|D)|(kpr)|(kdp)|(train st.+moving)|(\|lc)|(penalty))"</v>
      </c>
      <c r="AG52" s="244" t="str">
        <f t="shared" si="13"/>
        <v>EC</v>
      </c>
      <c r="AH52" s="236" t="str">
        <f t="shared" si="19"/>
        <v>"%USERPROFILE%\Documents\GitHub\eaglep3\Utilities\RefineRTDCRunTimes.py" --tripid 140-07 --locoid 4059 --swversion DE.1.0.9.0 --startMP 204:232970 --initTime 2017-12-07T09:18:43 --startdatetime 2017-12-07T09:27:53 --delay 60 --endMP 204:160 --enddatetime 2017-12-07T10:03:36 --enforcementcount 1 &gt;&gt;%USERPROFILE%\Documents\GitHub\eaglep3-reporting\EC\2017-12-07-refined-times.txt</v>
      </c>
      <c r="AI52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{"issue":{"subject":"","project_id":79,"tracker_id":40,"status_id":1,"priority_id":2,"assigned_to_id":338,"start_date":"2017-12-07","description":"","custom_fields":[{"id":1,"name":"Subdivision","value":"EC"},{"id":4,"name":"Milepost","value":"0.016"},{"id":17,"name":"Train ID","value":"140-07"},{"id":16,"name":"Locomotive ID","value":"4059"},{"id":130,"name":"Impact","value":""},{"id":150,"name":"Time of Event (Mountain Time)","value":"10:03:36"},{"id":151,"name":"Denver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21"/>
        <v>start /low /b %USERPROFILE%\Documents\GitHub\eaglep3\Utilities\DownloadLogsFromS3.py --loco 4059 --day 2017-12-07</v>
      </c>
      <c r="AN52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17:03:36"},{"id":29,"name":"Sharepoint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23"/>
        <v>https://d0f6bd738d7f1b3e5a7ca70fe4ff75f0.us-east-1.aws.found.io/app/kibana#/discover/Steve-Slow-Train-Analysis-(2080s-and-2083s)?_g=(refreshInterval:(display:Off,pause:!f,section:0,value:0),time:(from:'2017-12-07T08:18:43-0700',mode:absolute,to:'2017-12-07T11:03:36-0700'))&amp;_a=(columns:!('Message%20ID',Summary),filters:!(),index:'emp_*',interval:auto,query:(query_string:(analyze_wildcard:!t,query:'%22rtdc.l.rtdc.4059%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9" t="s">
        <v>772</v>
      </c>
      <c r="B53" s="225">
        <v>4014</v>
      </c>
      <c r="C53" s="227" t="s">
        <v>192</v>
      </c>
      <c r="D53" s="227" t="s">
        <v>417</v>
      </c>
      <c r="E53" s="226">
        <v>43076.358217592591</v>
      </c>
      <c r="F53" s="226">
        <v>43076.364733796298</v>
      </c>
      <c r="G53" s="225">
        <v>46</v>
      </c>
      <c r="H53" s="227" t="s">
        <v>928</v>
      </c>
      <c r="I53" s="226">
        <v>43076.388819444444</v>
      </c>
      <c r="J53" s="225">
        <v>1</v>
      </c>
      <c r="K53" s="237" t="str">
        <f t="shared" si="0"/>
        <v>4013/4014</v>
      </c>
      <c r="L53" s="245" t="str">
        <f>VLOOKUP(A53,'Trips&amp;Operators'!$C$1:$G$99911,5,FALSE)</f>
        <v>YANAI IAN</v>
      </c>
      <c r="M53" s="224">
        <f t="shared" si="1"/>
        <v>2.4085648146865424E-2</v>
      </c>
      <c r="N53" s="225">
        <f t="shared" si="2"/>
        <v>34.68333333148621</v>
      </c>
      <c r="O53" s="225"/>
      <c r="P53" s="225"/>
      <c r="Q53" s="228"/>
      <c r="R53" s="242"/>
      <c r="S53" s="249">
        <f t="shared" si="24"/>
        <v>1</v>
      </c>
      <c r="T53" s="242" t="str">
        <f t="shared" si="4"/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5"/>
        <v>https://d0f6bd738d7f1b3e5a7ca70fe4ff75f0.us-east-1.aws.found.io/app/kibana#/discover/Steve-Slow-Train-Analysis-(2080s-and-2083s)?_g=(refreshInterval:(display:Off,pause:!f,section:0,value:0),time:(from:'2017-12-07T07:35:50-0700',mode:absolute,to:'2017-12-07T10:19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3" s="247" t="str">
        <f>IF(AA53&lt;VLOOKUP(AG53,Variables!$AC$3:$AD$8,2,FALSE),"Y","N")</f>
        <v>N</v>
      </c>
      <c r="X53" s="247">
        <f t="shared" si="25"/>
        <v>1</v>
      </c>
      <c r="Y53" s="247">
        <f t="shared" si="26"/>
        <v>5.3999999999999999E-2</v>
      </c>
      <c r="Z53" s="247">
        <f t="shared" si="27"/>
        <v>23.3307</v>
      </c>
      <c r="AA53" s="247">
        <f t="shared" si="9"/>
        <v>23.276700000000002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10"/>
        <v>141</v>
      </c>
      <c r="AE53" s="235" t="str">
        <f t="shared" si="11"/>
        <v>aws s3 cp s3://rtdc.mdm.uploadarchive.raw/RTDC4014/ "%USERPROFILE%\AppData\Local\Temp\OnboardLogs"\RTDC4014\2017-12-07 --exclude "*" --recursive --include "*20171207*" &amp; "%USERPROFILE%\Documents\GitHub\mrs-test-scripts\Headless Mode &amp; Sideloading\WalkAndUnGZ.bat" "%USERPROFILE%\AppData\Local\Temp\OnboardLogs"\RTDC4014\2017-12-07 &amp; aws s3 cp s3://rtdc.mdm.uploadarchive.raw/RTDC4014/ "%USERPROFILE%\AppData\Local\Temp\OnboardLogs"\RTDC4014\2017-12-08 --exclude "*" --recursive --include "*20171208*" &amp; "%USERPROFILE%\Documents\GitHub\mrs-test-scripts\Headless Mode &amp; Sideloading\WalkAndUnGZ.bat" "%USERPROFILE%\AppData\Local\Temp\OnboardLogs"\RTDC4014\2017-12-08</v>
      </c>
      <c r="AF53" s="234" t="str">
        <f t="shared" si="12"/>
        <v>"C:\Program Files (x86)\AstroGrep\AstroGrep.exe" /e /r /s /spath="%USERPROFILE%\AppData\Local\Temp\OnboardLogs" /stypes="app*4014*20171207*" /stext=" 16:.+((SYSTEM_STATE.+slice.+state.+changed )|(ment ac)|(multiple cpu faults)|(system.+state.+changed )|(\[timeout)|(PRM\|1\|D)|(kpr)|(kdp)|(train st.+moving)|(\|lc)|(penalty))"</v>
      </c>
      <c r="AG53" s="244" t="str">
        <f t="shared" si="13"/>
        <v>EC</v>
      </c>
      <c r="AH53" s="236" t="str">
        <f t="shared" si="19"/>
        <v>"%USERPROFILE%\Documents\GitHub\eaglep3\Utilities\RefineRTDCRunTimes.py" --tripid 141-07 --locoid 4014 --swversion DE.1.0.9.0 --startMP 204:540 --initTime 2017-12-07T08:35:50 --startdatetime 2017-12-07T08:45:13 --delay 46 --endMP 204:233307 --enddatetime 2017-12-07T09:19:54 --enforcementcount 1 &gt;&gt;%USERPROFILE%\Documents\GitHub\eaglep3-reporting\EC\2017-12-07-refined-times.txt</v>
      </c>
      <c r="AI53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{"issue":{"subject":"","project_id":79,"tracker_id":40,"status_id":1,"priority_id":2,"assigned_to_id":338,"start_date":"2017-12-07","description":"","custom_fields":[{"id":1,"name":"Subdivision","value":"EC"},{"id":4,"name":"Milepost","value":"23.3307"},{"id":17,"name":"Train ID","value":"141-07"},{"id":16,"name":"Locomotive ID","value":"4014"},{"id":130,"name":"Impact","value":""},{"id":150,"name":"Time of Event (Mountain Time)","value":"09:19:54"},{"id":151,"name":"Denver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21"/>
        <v>start /low /b %USERPROFILE%\Documents\GitHub\eaglep3\Utilities\DownloadLogsFromS3.py --loco 4014 --day 2017-12-07</v>
      </c>
      <c r="AN53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16:19:54"},{"id":29,"name":"Sharepoint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23"/>
        <v>https://d0f6bd738d7f1b3e5a7ca70fe4ff75f0.us-east-1.aws.found.io/app/kibana#/discover/Steve-Slow-Train-Analysis-(2080s-and-2083s)?_g=(refreshInterval:(display:Off,pause:!f,section:0,value:0),time:(from:'2017-12-07T07:35:50-0700',mode:absolute,to:'2017-12-07T10:19:54-0700'))&amp;_a=(columns:!('Message%20ID',Summary),filters:!(),index:'emp_*',interval:auto,query:(query_string:(analyze_wildcard:!t,query:'%22rtdc.l.rtdc.4014%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9" t="s">
        <v>779</v>
      </c>
      <c r="B54" s="225">
        <v>4013</v>
      </c>
      <c r="C54" s="227" t="s">
        <v>192</v>
      </c>
      <c r="D54" s="227" t="s">
        <v>620</v>
      </c>
      <c r="E54" s="226">
        <v>43076.389826388891</v>
      </c>
      <c r="F54" s="226">
        <v>43076.404444444444</v>
      </c>
      <c r="G54" s="225">
        <v>61</v>
      </c>
      <c r="H54" s="227" t="s">
        <v>944</v>
      </c>
      <c r="I54" s="226">
        <v>43076.429201388892</v>
      </c>
      <c r="J54" s="225">
        <v>1</v>
      </c>
      <c r="K54" s="237" t="str">
        <f t="shared" si="0"/>
        <v>4013/4014</v>
      </c>
      <c r="L54" s="245" t="str">
        <f>VLOOKUP(A54,'Trips&amp;Operators'!$C$1:$G$99911,5,FALSE)</f>
        <v>YANAI IAN</v>
      </c>
      <c r="M54" s="224">
        <f t="shared" si="1"/>
        <v>2.4756944447290152E-2</v>
      </c>
      <c r="N54" s="225"/>
      <c r="O54" s="225"/>
      <c r="P54" s="225">
        <f>24*60*SUM($M54:$M54)</f>
        <v>35.650000004097819</v>
      </c>
      <c r="Q54" s="228"/>
      <c r="R54" s="242" t="s">
        <v>1111</v>
      </c>
      <c r="S54" s="249">
        <f t="shared" si="24"/>
        <v>1</v>
      </c>
      <c r="T54" s="242" t="str">
        <f t="shared" si="4"/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5"/>
        <v>https://d0f6bd738d7f1b3e5a7ca70fe4ff75f0.us-east-1.aws.found.io/app/kibana#/discover/Steve-Slow-Train-Analysis-(2080s-and-2083s)?_g=(refreshInterval:(display:Off,pause:!f,section:0,value:0),time:(from:'2017-12-07T08:21:21-0700',mode:absolute,to:'2017-12-07T11:18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4" s="247" t="str">
        <f>IF(AA54&lt;VLOOKUP(AG54,Variables!$AC$3:$AD$8,2,FALSE),"Y","N")</f>
        <v>Y</v>
      </c>
      <c r="X54" s="247">
        <f t="shared" si="25"/>
        <v>1</v>
      </c>
      <c r="Y54" s="247">
        <f t="shared" si="26"/>
        <v>23.299800000000001</v>
      </c>
      <c r="Z54" s="247">
        <f t="shared" si="27"/>
        <v>1.7302</v>
      </c>
      <c r="AA54" s="247">
        <f t="shared" si="9"/>
        <v>21.569600000000001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10"/>
        <v>142</v>
      </c>
      <c r="AE54" s="235" t="str">
        <f t="shared" si="11"/>
        <v>aws s3 cp s3://rtdc.mdm.uploadarchive.raw/RTDC4013/ "%USERPROFILE%\AppData\Local\Temp\OnboardLogs"\RTDC4013\2017-12-07 --exclude "*" --recursive --include "*20171207*" &amp; "%USERPROFILE%\Documents\GitHub\mrs-test-scripts\Headless Mode &amp; Sideloading\WalkAndUnGZ.bat" "%USERPROFILE%\AppData\Local\Temp\OnboardLogs"\RTDC4013\2017-12-07 &amp; aws s3 cp s3://rtdc.mdm.uploadarchive.raw/RTDC4013/ "%USERPROFILE%\AppData\Local\Temp\OnboardLogs"\RTDC4013\2017-12-08 --exclude "*" --recursive --include "*20171208*" &amp; "%USERPROFILE%\Documents\GitHub\mrs-test-scripts\Headless Mode &amp; Sideloading\WalkAndUnGZ.bat" "%USERPROFILE%\AppData\Local\Temp\OnboardLogs"\RTDC4013\2017-12-08</v>
      </c>
      <c r="AF54" s="234" t="str">
        <f t="shared" si="12"/>
        <v>"C:\Program Files (x86)\AstroGrep\AstroGrep.exe" /e /r /s /spath="%USERPROFILE%\AppData\Local\Temp\OnboardLogs" /stypes="app*4013*20171207*" /stext=" 17:.+((SYSTEM_STATE.+slice.+state.+changed )|(ment ac)|(multiple cpu faults)|(system.+state.+changed )|(\[timeout)|(PRM\|1\|D)|(kpr)|(kdp)|(train st.+moving)|(\|lc)|(penalty))"</v>
      </c>
      <c r="AG54" s="244" t="str">
        <f t="shared" si="13"/>
        <v>EC</v>
      </c>
      <c r="AH54" s="236" t="str">
        <f t="shared" si="19"/>
        <v>"%USERPROFILE%\Documents\GitHub\eaglep3\Utilities\RefineRTDCRunTimes.py" --tripid 142-07 --locoid 4013 --swversion DE.1.0.9.0 --startMP 204:232998 --initTime 2017-12-07T09:21:21 --startdatetime 2017-12-07T09:42:24 --delay 61 --endMP 204:17302 --enddatetime 2017-12-07T10:18:03 --enforcementcount 1 &gt;&gt;%USERPROFILE%\Documents\GitHub\eaglep3-reporting\EC\2017-12-07-refined-times.txt</v>
      </c>
      <c r="AI54" s="238" t="str">
        <f t="shared" si="20"/>
        <v>echo {"issue":{"subject":"DUS signal house issue","project_id":79,"tracker_id":40,"status_id":1,"priority_id":2,"assigned_to_id":338,"start_date":"2017-12-07","description":"","custom_fields":[{"id":1,"name":"Subdivision","value":"EC"},{"id":4,"name":"Milepost","value":"1.7302"},{"id":17,"name":"Train ID","value":"142-07"},{"id":16,"name":"Locomotive ID","value":"4013"},{"id":130,"name":"Impact","value":""},{"id":150,"name":"Time of Event (Mountain Time)","value":"10:18:03"},{"id":151,"name":"Denver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21"/>
        <v>start /low /b %USERPROFILE%\Documents\GitHub\eaglep3\Utilities\DownloadLogsFromS3.py --loco 4013 --day 2017-12-07</v>
      </c>
      <c r="AN54" s="241" t="str">
        <f t="shared" si="22"/>
        <v>echo {"issue":{"subject":"DUS signal house issue","project_id":30,"tracker_id":4,"status_id":1,"priority_id":1,"assigned_to_id":10,"start_date":"2017-12-07","description":"","custom_fields":[{"id":30,"name":"Category","value":"Issue"},{"id":3,"name":"Functional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17:18:03"},{"id":29,"name":"Sharepoint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23"/>
        <v>https://d0f6bd738d7f1b3e5a7ca70fe4ff75f0.us-east-1.aws.found.io/app/kibana#/discover/Steve-Slow-Train-Analysis-(2080s-and-2083s)?_g=(refreshInterval:(display:Off,pause:!f,section:0,value:0),time:(from:'2017-12-07T08:21:21-0700',mode:absolute,to:'2017-12-07T11:18:03-0700'))&amp;_a=(columns:!('Message%20ID',Summary),filters:!(),index:'emp_*',interval:auto,query:(query_string:(analyze_wildcard:!t,query:'%22rtdc.l.rtdc.4013%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9" t="s">
        <v>774</v>
      </c>
      <c r="B55" s="225">
        <v>4056</v>
      </c>
      <c r="C55" s="227" t="s">
        <v>192</v>
      </c>
      <c r="D55" s="227" t="s">
        <v>481</v>
      </c>
      <c r="E55" s="226">
        <v>43076.37091435185</v>
      </c>
      <c r="F55" s="226">
        <v>43076.375486111108</v>
      </c>
      <c r="G55" s="225">
        <v>52</v>
      </c>
      <c r="H55" s="227" t="s">
        <v>616</v>
      </c>
      <c r="I55" s="226">
        <v>43076.400405092594</v>
      </c>
      <c r="J55" s="225">
        <v>1</v>
      </c>
      <c r="K55" s="237" t="str">
        <f t="shared" si="0"/>
        <v>4055/4056</v>
      </c>
      <c r="L55" s="245" t="str">
        <f>VLOOKUP(A55,'Trips&amp;Operators'!$C$1:$G$99911,5,FALSE)</f>
        <v>MAELZER KURT</v>
      </c>
      <c r="M55" s="224">
        <f t="shared" si="1"/>
        <v>2.4918981485825498E-2</v>
      </c>
      <c r="N55" s="225">
        <f t="shared" ref="N55:N86" si="28">24*60*SUM($M55:$M55)</f>
        <v>35.883333339588717</v>
      </c>
      <c r="O55" s="225"/>
      <c r="P55" s="225"/>
      <c r="Q55" s="228"/>
      <c r="R55" s="242"/>
      <c r="S55" s="249">
        <f t="shared" si="24"/>
        <v>1</v>
      </c>
      <c r="T55" s="242" t="str">
        <f t="shared" si="4"/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 t="shared" si="5"/>
        <v>https://d0f6bd738d7f1b3e5a7ca70fe4ff75f0.us-east-1.aws.found.io/app/kibana#/discover/Steve-Slow-Train-Analysis-(2080s-and-2083s)?_g=(refreshInterval:(display:Off,pause:!f,section:0,value:0),time:(from:'2017-12-07T07:54:07-0700',mode:absolute,to:'2017-12-07T10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5" s="247" t="str">
        <f>IF(AA55&lt;VLOOKUP(AG55,Variables!$AC$3:$AD$8,2,FALSE),"Y","N")</f>
        <v>N</v>
      </c>
      <c r="X55" s="247">
        <f t="shared" si="25"/>
        <v>1</v>
      </c>
      <c r="Y55" s="247">
        <f t="shared" si="26"/>
        <v>4.7800000000000002E-2</v>
      </c>
      <c r="Z55" s="247">
        <f t="shared" si="27"/>
        <v>23.329499999999999</v>
      </c>
      <c r="AA55" s="247">
        <f t="shared" si="9"/>
        <v>23.281700000000001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10"/>
        <v>143</v>
      </c>
      <c r="AE55" s="235" t="str">
        <f t="shared" si="11"/>
        <v>aws s3 cp s3://rtdc.mdm.uploadarchive.raw/RTDC4056/ "%USERPROFILE%\AppData\Local\Temp\OnboardLogs"\RTDC4056\2017-12-07 --exclude "*" --recursive --include "*20171207*" &amp; "%USERPROFILE%\Documents\GitHub\mrs-test-scripts\Headless Mode &amp; Sideloading\WalkAndUnGZ.bat" "%USERPROFILE%\AppData\Local\Temp\OnboardLogs"\RTDC4056\2017-12-07 &amp; aws s3 cp s3://rtdc.mdm.uploadarchive.raw/RTDC4056/ "%USERPROFILE%\AppData\Local\Temp\OnboardLogs"\RTDC4056\2017-12-08 --exclude "*" --recursive --include "*20171208*" &amp; "%USERPROFILE%\Documents\GitHub\mrs-test-scripts\Headless Mode &amp; Sideloading\WalkAndUnGZ.bat" "%USERPROFILE%\AppData\Local\Temp\OnboardLogs"\RTDC4056\2017-12-08</v>
      </c>
      <c r="AF55" s="234" t="str">
        <f t="shared" si="12"/>
        <v>"C:\Program Files (x86)\AstroGrep\AstroGrep.exe" /e /r /s /spath="%USERPROFILE%\AppData\Local\Temp\OnboardLogs" /stypes="app*4056*20171207*" /stext=" 16:.+((SYSTEM_STATE.+slice.+state.+changed )|(ment ac)|(multiple cpu faults)|(system.+state.+changed )|(\[timeout)|(PRM\|1\|D)|(kpr)|(kdp)|(train st.+moving)|(\|lc)|(penalty))"</v>
      </c>
      <c r="AG55" s="244" t="str">
        <f t="shared" si="13"/>
        <v>EC</v>
      </c>
      <c r="AH55" s="236" t="str">
        <f t="shared" si="19"/>
        <v>"%USERPROFILE%\Documents\GitHub\eaglep3\Utilities\RefineRTDCRunTimes.py" --tripid 143-07 --locoid 4056 --swversion DE.1.0.9.0 --startMP 204:478 --initTime 2017-12-07T08:54:07 --startdatetime 2017-12-07T09:00:42 --delay 52 --endMP 204:233295 --enddatetime 2017-12-07T09:36:35 --enforcementcount 1 &gt;&gt;%USERPROFILE%\Documents\GitHub\eaglep3-reporting\EC\2017-12-07-refined-times.txt</v>
      </c>
      <c r="AI55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{"issue":{"subject":"","project_id":79,"tracker_id":40,"status_id":1,"priority_id":2,"assigned_to_id":338,"start_date":"2017-12-07","description":"","custom_fields":[{"id":1,"name":"Subdivision","value":"EC"},{"id":4,"name":"Milepost","value":"23.3295"},{"id":17,"name":"Train ID","value":"143-07"},{"id":16,"name":"Locomotive ID","value":"4056"},{"id":130,"name":"Impact","value":""},{"id":150,"name":"Time of Event (Mountain Time)","value":"09:36:35"},{"id":151,"name":"Denver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21"/>
        <v>start /low /b %USERPROFILE%\Documents\GitHub\eaglep3\Utilities\DownloadLogsFromS3.py --loco 4056 --day 2017-12-07</v>
      </c>
      <c r="AN55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16:36:35"},{"id":29,"name":"Sharepoint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23"/>
        <v>https://d0f6bd738d7f1b3e5a7ca70fe4ff75f0.us-east-1.aws.found.io/app/kibana#/discover/Steve-Slow-Train-Analysis-(2080s-and-2083s)?_g=(refreshInterval:(display:Off,pause:!f,section:0,value:0),time:(from:'2017-12-07T07:54:07-0700',mode:absolute,to:'2017-12-07T10:36:35-0700'))&amp;_a=(columns:!('Message%20ID',Summary),filters:!(),index:'emp_*',interval:auto,query:(query_string:(analyze_wildcard:!t,query:'%22rtdc.l.rtdc.4056%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9" t="s">
        <v>783</v>
      </c>
      <c r="B56" s="225">
        <v>4055</v>
      </c>
      <c r="C56" s="227" t="s">
        <v>192</v>
      </c>
      <c r="D56" s="227" t="s">
        <v>945</v>
      </c>
      <c r="E56" s="226">
        <v>43076.405497685184</v>
      </c>
      <c r="F56" s="226">
        <v>43076.414837962962</v>
      </c>
      <c r="G56" s="225">
        <v>51</v>
      </c>
      <c r="H56" s="227" t="s">
        <v>543</v>
      </c>
      <c r="I56" s="226">
        <v>43076.441504629627</v>
      </c>
      <c r="J56" s="225">
        <v>1</v>
      </c>
      <c r="K56" s="237" t="str">
        <f t="shared" si="0"/>
        <v>4055/4056</v>
      </c>
      <c r="L56" s="245" t="str">
        <f>VLOOKUP(A56,'Trips&amp;Operators'!$C$1:$G$99911,5,FALSE)</f>
        <v>MAELZER KURT</v>
      </c>
      <c r="M56" s="224">
        <f t="shared" si="1"/>
        <v>2.6666666664823424E-2</v>
      </c>
      <c r="N56" s="225">
        <f t="shared" si="28"/>
        <v>38.399999997345731</v>
      </c>
      <c r="O56" s="225"/>
      <c r="P56" s="225"/>
      <c r="Q56" s="228"/>
      <c r="R56" s="242"/>
      <c r="S56" s="249">
        <f t="shared" si="24"/>
        <v>1</v>
      </c>
      <c r="T56" s="242" t="str">
        <f t="shared" si="4"/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 t="shared" si="5"/>
        <v>https://d0f6bd738d7f1b3e5a7ca70fe4ff75f0.us-east-1.aws.found.io/app/kibana#/discover/Steve-Slow-Train-Analysis-(2080s-and-2083s)?_g=(refreshInterval:(display:Off,pause:!f,section:0,value:0),time:(from:'2017-12-07T08:43:55-0700',mode:absolute,to:'2017-12-07T11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6" s="247" t="str">
        <f>IF(AA56&lt;VLOOKUP(AG56,Variables!$AC$3:$AD$8,2,FALSE),"Y","N")</f>
        <v>N</v>
      </c>
      <c r="X56" s="247">
        <f t="shared" si="25"/>
        <v>1</v>
      </c>
      <c r="Y56" s="247">
        <f t="shared" si="26"/>
        <v>23.299299999999999</v>
      </c>
      <c r="Z56" s="247">
        <f t="shared" si="27"/>
        <v>1.83E-2</v>
      </c>
      <c r="AA56" s="247">
        <f t="shared" si="9"/>
        <v>23.280999999999999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10"/>
        <v>144</v>
      </c>
      <c r="AE56" s="235" t="str">
        <f t="shared" si="11"/>
        <v>aws s3 cp s3://rtdc.mdm.uploadarchive.raw/RTDC4055/ "%USERPROFILE%\AppData\Local\Temp\OnboardLogs"\RTDC4055\2017-12-07 --exclude "*" --recursive --include "*20171207*" &amp; "%USERPROFILE%\Documents\GitHub\mrs-test-scripts\Headless Mode &amp; Sideloading\WalkAndUnGZ.bat" "%USERPROFILE%\AppData\Local\Temp\OnboardLogs"\RTDC4055\2017-12-07 &amp; aws s3 cp s3://rtdc.mdm.uploadarchive.raw/RTDC4055/ "%USERPROFILE%\AppData\Local\Temp\OnboardLogs"\RTDC4055\2017-12-08 --exclude "*" --recursive --include "*20171208*" &amp; "%USERPROFILE%\Documents\GitHub\mrs-test-scripts\Headless Mode &amp; Sideloading\WalkAndUnGZ.bat" "%USERPROFILE%\AppData\Local\Temp\OnboardLogs"\RTDC4055\2017-12-08</v>
      </c>
      <c r="AF56" s="234" t="str">
        <f t="shared" si="12"/>
        <v>"C:\Program Files (x86)\AstroGrep\AstroGrep.exe" /e /r /s /spath="%USERPROFILE%\AppData\Local\Temp\OnboardLogs" /stypes="app*4055*20171207*" /stext=" 17:.+((SYSTEM_STATE.+slice.+state.+changed )|(ment ac)|(multiple cpu faults)|(system.+state.+changed )|(\[timeout)|(PRM\|1\|D)|(kpr)|(kdp)|(train st.+moving)|(\|lc)|(penalty))"</v>
      </c>
      <c r="AG56" s="244" t="str">
        <f t="shared" si="13"/>
        <v>EC</v>
      </c>
      <c r="AH56" s="236" t="str">
        <f t="shared" si="19"/>
        <v>"%USERPROFILE%\Documents\GitHub\eaglep3\Utilities\RefineRTDCRunTimes.py" --tripid 144-07 --locoid 4055 --swversion DE.1.0.9.0 --startMP 204:232993 --initTime 2017-12-07T09:43:55 --startdatetime 2017-12-07T09:57:22 --delay 51 --endMP 204:183 --enddatetime 2017-12-07T10:35:46 --enforcementcount 1 &gt;&gt;%USERPROFILE%\Documents\GitHub\eaglep3-reporting\EC\2017-12-07-refined-times.txt</v>
      </c>
      <c r="AI56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{"issue":{"subject":"","project_id":79,"tracker_id":40,"status_id":1,"priority_id":2,"assigned_to_id":338,"start_date":"2017-12-07","description":"","custom_fields":[{"id":1,"name":"Subdivision","value":"EC"},{"id":4,"name":"Milepost","value":"0.0183"},{"id":17,"name":"Train ID","value":"144-07"},{"id":16,"name":"Locomotive ID","value":"4055"},{"id":130,"name":"Impact","value":""},{"id":150,"name":"Time of Event (Mountain Time)","value":"10:35:46"},{"id":151,"name":"Denver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21"/>
        <v>start /low /b %USERPROFILE%\Documents\GitHub\eaglep3\Utilities\DownloadLogsFromS3.py --loco 4055 --day 2017-12-07</v>
      </c>
      <c r="AN56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17:35:46"},{"id":29,"name":"Sharepoint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23"/>
        <v>https://d0f6bd738d7f1b3e5a7ca70fe4ff75f0.us-east-1.aws.found.io/app/kibana#/discover/Steve-Slow-Train-Analysis-(2080s-and-2083s)?_g=(refreshInterval:(display:Off,pause:!f,section:0,value:0),time:(from:'2017-12-07T08:43:55-0700',mode:absolute,to:'2017-12-07T11:35:46-0700'))&amp;_a=(columns:!('Message%20ID',Summary),filters:!(),index:'emp_*',interval:auto,query:(query_string:(analyze_wildcard:!t,query:'%22rtdc.l.rtdc.4055%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9" t="s">
        <v>777</v>
      </c>
      <c r="B57" s="225">
        <v>4028</v>
      </c>
      <c r="C57" s="227" t="s">
        <v>192</v>
      </c>
      <c r="D57" s="227" t="s">
        <v>946</v>
      </c>
      <c r="E57" s="226">
        <v>43076.380347222221</v>
      </c>
      <c r="F57" s="226">
        <v>43076.385659722226</v>
      </c>
      <c r="G57" s="225">
        <v>52</v>
      </c>
      <c r="H57" s="227" t="s">
        <v>544</v>
      </c>
      <c r="I57" s="226">
        <v>43076.410393518519</v>
      </c>
      <c r="J57" s="225">
        <v>1</v>
      </c>
      <c r="K57" s="237" t="str">
        <f t="shared" si="0"/>
        <v>4027/4028</v>
      </c>
      <c r="L57" s="245" t="str">
        <f>VLOOKUP(A57,'Trips&amp;Operators'!$C$1:$G$99911,5,FALSE)</f>
        <v>DAVIDSON DAVID</v>
      </c>
      <c r="M57" s="224">
        <f t="shared" si="1"/>
        <v>2.4733796293730848E-2</v>
      </c>
      <c r="N57" s="225">
        <f t="shared" si="28"/>
        <v>35.61666666297242</v>
      </c>
      <c r="O57" s="225"/>
      <c r="P57" s="225"/>
      <c r="Q57" s="228"/>
      <c r="R57" s="242"/>
      <c r="S57" s="249">
        <f t="shared" si="24"/>
        <v>1</v>
      </c>
      <c r="T57" s="242" t="str">
        <f t="shared" si="4"/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5"/>
        <v>https://d0f6bd738d7f1b3e5a7ca70fe4ff75f0.us-east-1.aws.found.io/app/kibana#/discover/Steve-Slow-Train-Analysis-(2080s-and-2083s)?_g=(refreshInterval:(display:Off,pause:!f,section:0,value:0),time:(from:'2017-12-07T08:07:42-0700',mode:absolute,to:'2017-12-07T10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7" s="247" t="str">
        <f>IF(AA57&lt;VLOOKUP(AG57,Variables!$AC$3:$AD$8,2,FALSE),"Y","N")</f>
        <v>N</v>
      </c>
      <c r="X57" s="247">
        <f t="shared" si="25"/>
        <v>1</v>
      </c>
      <c r="Y57" s="247">
        <f t="shared" si="26"/>
        <v>5.0900000000000001E-2</v>
      </c>
      <c r="Z57" s="247">
        <f t="shared" si="27"/>
        <v>23.328800000000001</v>
      </c>
      <c r="AA57" s="247">
        <f t="shared" si="9"/>
        <v>23.277900000000002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10"/>
        <v>145</v>
      </c>
      <c r="AE57" s="235" t="str">
        <f t="shared" si="11"/>
        <v>aws s3 cp s3://rtdc.mdm.uploadarchive.raw/RTDC4028/ "%USERPROFILE%\AppData\Local\Temp\OnboardLogs"\RTDC4028\2017-12-07 --exclude "*" --recursive --include "*20171207*" &amp; "%USERPROFILE%\Documents\GitHub\mrs-test-scripts\Headless Mode &amp; Sideloading\WalkAndUnGZ.bat" "%USERPROFILE%\AppData\Local\Temp\OnboardLogs"\RTDC4028\2017-12-07 &amp; aws s3 cp s3://rtdc.mdm.uploadarchive.raw/RTDC4028/ "%USERPROFILE%\AppData\Local\Temp\OnboardLogs"\RTDC4028\2017-12-08 --exclude "*" --recursive --include "*20171208*" &amp; "%USERPROFILE%\Documents\GitHub\mrs-test-scripts\Headless Mode &amp; Sideloading\WalkAndUnGZ.bat" "%USERPROFILE%\AppData\Local\Temp\OnboardLogs"\RTDC4028\2017-12-08</v>
      </c>
      <c r="AF57" s="234" t="str">
        <f t="shared" si="12"/>
        <v>"C:\Program Files (x86)\AstroGrep\AstroGrep.exe" /e /r /s /spath="%USERPROFILE%\AppData\Local\Temp\OnboardLogs" /stypes="app*4028*20171207*" /stext=" 16:.+((SYSTEM_STATE.+slice.+state.+changed )|(ment ac)|(multiple cpu faults)|(system.+state.+changed )|(\[timeout)|(PRM\|1\|D)|(kpr)|(kdp)|(train st.+moving)|(\|lc)|(penalty))"</v>
      </c>
      <c r="AG57" s="244" t="str">
        <f t="shared" si="13"/>
        <v>EC</v>
      </c>
      <c r="AH57" s="236" t="str">
        <f t="shared" si="19"/>
        <v>"%USERPROFILE%\Documents\GitHub\eaglep3\Utilities\RefineRTDCRunTimes.py" --tripid 145-07 --locoid 4028 --swversion DE.1.0.9.0 --startMP 204:509 --initTime 2017-12-07T09:07:42 --startdatetime 2017-12-07T09:15:21 --delay 52 --endMP 204:233288 --enddatetime 2017-12-07T09:50:58 --enforcementcount 1 &gt;&gt;%USERPROFILE%\Documents\GitHub\eaglep3-reporting\EC\2017-12-07-refined-times.txt</v>
      </c>
      <c r="AI57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{"issue":{"subject":"","project_id":79,"tracker_id":40,"status_id":1,"priority_id":2,"assigned_to_id":338,"start_date":"2017-12-07","description":"","custom_fields":[{"id":1,"name":"Subdivision","value":"EC"},{"id":4,"name":"Milepost","value":"23.3288"},{"id":17,"name":"Train ID","value":"145-07"},{"id":16,"name":"Locomotive ID","value":"4028"},{"id":130,"name":"Impact","value":""},{"id":150,"name":"Time of Event (Mountain Time)","value":"09:50:58"},{"id":151,"name":"Denver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21"/>
        <v>start /low /b %USERPROFILE%\Documents\GitHub\eaglep3\Utilities\DownloadLogsFromS3.py --loco 4028 --day 2017-12-07</v>
      </c>
      <c r="AN57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16:50:58"},{"id":29,"name":"Sharepoint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23"/>
        <v>https://d0f6bd738d7f1b3e5a7ca70fe4ff75f0.us-east-1.aws.found.io/app/kibana#/discover/Steve-Slow-Train-Analysis-(2080s-and-2083s)?_g=(refreshInterval:(display:Off,pause:!f,section:0,value:0),time:(from:'2017-12-07T08:07:42-0700',mode:absolute,to:'2017-12-07T10:50:58-0700'))&amp;_a=(columns:!('Message%20ID',Summary),filters:!(),index:'emp_*',interval:auto,query:(query_string:(analyze_wildcard:!t,query:'%22rtdc.l.rtdc.4028%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9" t="s">
        <v>684</v>
      </c>
      <c r="B58" s="225">
        <v>4027</v>
      </c>
      <c r="C58" s="227" t="s">
        <v>192</v>
      </c>
      <c r="D58" s="227" t="s">
        <v>632</v>
      </c>
      <c r="E58" s="226">
        <v>43076.411898148152</v>
      </c>
      <c r="F58" s="226">
        <v>43076.425196759257</v>
      </c>
      <c r="G58" s="225">
        <v>57</v>
      </c>
      <c r="H58" s="227" t="s">
        <v>627</v>
      </c>
      <c r="I58" s="226">
        <v>43076.452326388891</v>
      </c>
      <c r="J58" s="225">
        <v>1</v>
      </c>
      <c r="K58" s="237" t="str">
        <f t="shared" si="0"/>
        <v>4027/4028</v>
      </c>
      <c r="L58" s="245" t="str">
        <f>VLOOKUP(A58,'Trips&amp;Operators'!$C$1:$G$99911,5,FALSE)</f>
        <v>DAVIDSON DAVID</v>
      </c>
      <c r="M58" s="224">
        <f t="shared" si="1"/>
        <v>2.7129629634146113E-2</v>
      </c>
      <c r="N58" s="225">
        <f t="shared" si="28"/>
        <v>39.066666673170403</v>
      </c>
      <c r="O58" s="225"/>
      <c r="P58" s="225"/>
      <c r="Q58" s="228"/>
      <c r="R58" s="242"/>
      <c r="S58" s="249">
        <f t="shared" si="24"/>
        <v>1</v>
      </c>
      <c r="T58" s="242" t="str">
        <f t="shared" si="4"/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5"/>
        <v>https://d0f6bd738d7f1b3e5a7ca70fe4ff75f0.us-east-1.aws.found.io/app/kibana#/discover/Steve-Slow-Train-Analysis-(2080s-and-2083s)?_g=(refreshInterval:(display:Off,pause:!f,section:0,value:0),time:(from:'2017-12-07T08:53:08-0700',mode:absolute,to:'2017-12-07T11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8" s="247" t="str">
        <f>IF(AA58&lt;VLOOKUP(AG58,Variables!$AC$3:$AD$8,2,FALSE),"Y","N")</f>
        <v>N</v>
      </c>
      <c r="X58" s="247">
        <f t="shared" si="25"/>
        <v>1</v>
      </c>
      <c r="Y58" s="247">
        <f t="shared" si="26"/>
        <v>23.297999999999998</v>
      </c>
      <c r="Z58" s="247">
        <f t="shared" si="27"/>
        <v>2.0299999999999999E-2</v>
      </c>
      <c r="AA58" s="247">
        <f t="shared" si="9"/>
        <v>23.277699999999999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10"/>
        <v>146</v>
      </c>
      <c r="AE58" s="235" t="str">
        <f t="shared" si="11"/>
        <v>aws s3 cp s3://rtdc.mdm.uploadarchive.raw/RTDC4027/ "%USERPROFILE%\AppData\Local\Temp\OnboardLogs"\RTDC4027\2017-12-07 --exclude "*" --recursive --include "*20171207*" &amp; "%USERPROFILE%\Documents\GitHub\mrs-test-scripts\Headless Mode &amp; Sideloading\WalkAndUnGZ.bat" "%USERPROFILE%\AppData\Local\Temp\OnboardLogs"\RTDC4027\2017-12-07 &amp; aws s3 cp s3://rtdc.mdm.uploadarchive.raw/RTDC4027/ "%USERPROFILE%\AppData\Local\Temp\OnboardLogs"\RTDC4027\2017-12-08 --exclude "*" --recursive --include "*20171208*" &amp; "%USERPROFILE%\Documents\GitHub\mrs-test-scripts\Headless Mode &amp; Sideloading\WalkAndUnGZ.bat" "%USERPROFILE%\AppData\Local\Temp\OnboardLogs"\RTDC4027\2017-12-08</v>
      </c>
      <c r="AF58" s="234" t="str">
        <f t="shared" si="12"/>
        <v>"C:\Program Files (x86)\AstroGrep\AstroGrep.exe" /e /r /s /spath="%USERPROFILE%\AppData\Local\Temp\OnboardLogs" /stypes="app*4027*20171207*" /stext=" 17:.+((SYSTEM_STATE.+slice.+state.+changed )|(ment ac)|(multiple cpu faults)|(system.+state.+changed )|(\[timeout)|(PRM\|1\|D)|(kpr)|(kdp)|(train st.+moving)|(\|lc)|(penalty))"</v>
      </c>
      <c r="AG58" s="244" t="str">
        <f t="shared" si="13"/>
        <v>EC</v>
      </c>
      <c r="AH58" s="236" t="str">
        <f t="shared" si="19"/>
        <v>"%USERPROFILE%\Documents\GitHub\eaglep3\Utilities\RefineRTDCRunTimes.py" --tripid 146-07 --locoid 4027 --swversion DE.1.0.9.0 --startMP 204:232980 --initTime 2017-12-07T09:53:08 --startdatetime 2017-12-07T10:12:17 --delay 57 --endMP 204:203 --enddatetime 2017-12-07T10:51:21 --enforcementcount 1 &gt;&gt;%USERPROFILE%\Documents\GitHub\eaglep3-reporting\EC\2017-12-07-refined-times.txt</v>
      </c>
      <c r="AI58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{"issue":{"subject":"","project_id":79,"tracker_id":40,"status_id":1,"priority_id":2,"assigned_to_id":338,"start_date":"2017-12-07","description":"","custom_fields":[{"id":1,"name":"Subdivision","value":"EC"},{"id":4,"name":"Milepost","value":"0.0203"},{"id":17,"name":"Train ID","value":"146-07"},{"id":16,"name":"Locomotive ID","value":"4027"},{"id":130,"name":"Impact","value":""},{"id":150,"name":"Time of Event (Mountain Time)","value":"10:51:21"},{"id":151,"name":"Denver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21"/>
        <v>start /low /b %USERPROFILE%\Documents\GitHub\eaglep3\Utilities\DownloadLogsFromS3.py --loco 4027 --day 2017-12-07</v>
      </c>
      <c r="AN58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17:51:21"},{"id":29,"name":"Sharepoint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23"/>
        <v>https://d0f6bd738d7f1b3e5a7ca70fe4ff75f0.us-east-1.aws.found.io/app/kibana#/discover/Steve-Slow-Train-Analysis-(2080s-and-2083s)?_g=(refreshInterval:(display:Off,pause:!f,section:0,value:0),time:(from:'2017-12-07T08:53:08-0700',mode:absolute,to:'2017-12-07T11:51:21-0700'))&amp;_a=(columns:!('Message%20ID',Summary),filters:!(),index:'emp_*',interval:auto,query:(query_string:(analyze_wildcard:!t,query:'%22rtdc.l.rtdc.4027%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9" t="s">
        <v>780</v>
      </c>
      <c r="B59" s="225">
        <v>4036</v>
      </c>
      <c r="C59" s="227" t="s">
        <v>192</v>
      </c>
      <c r="D59" s="227" t="s">
        <v>947</v>
      </c>
      <c r="E59" s="226">
        <v>43076.392118055555</v>
      </c>
      <c r="F59" s="226">
        <v>43076.396064814813</v>
      </c>
      <c r="G59" s="225">
        <v>56</v>
      </c>
      <c r="H59" s="227" t="s">
        <v>948</v>
      </c>
      <c r="I59" s="226">
        <v>43076.421307870369</v>
      </c>
      <c r="J59" s="225">
        <v>1</v>
      </c>
      <c r="K59" s="237" t="str">
        <f t="shared" si="0"/>
        <v>4035/4036</v>
      </c>
      <c r="L59" s="245" t="str">
        <f>VLOOKUP(A59,'Trips&amp;Operators'!$C$1:$G$99911,5,FALSE)</f>
        <v>HAMMOND JUSTYNN</v>
      </c>
      <c r="M59" s="224">
        <f t="shared" si="1"/>
        <v>2.5243055555620231E-2</v>
      </c>
      <c r="N59" s="225">
        <f t="shared" si="28"/>
        <v>36.350000000093132</v>
      </c>
      <c r="O59" s="225"/>
      <c r="P59" s="225"/>
      <c r="Q59" s="228"/>
      <c r="R59" s="242"/>
      <c r="S59" s="249">
        <f t="shared" si="24"/>
        <v>1</v>
      </c>
      <c r="T59" s="242" t="str">
        <f t="shared" si="4"/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5"/>
        <v>https://d0f6bd738d7f1b3e5a7ca70fe4ff75f0.us-east-1.aws.found.io/app/kibana#/discover/Steve-Slow-Train-Analysis-(2080s-and-2083s)?_g=(refreshInterval:(display:Off,pause:!f,section:0,value:0),time:(from:'2017-12-07T08:24:39-0700',mode:absolute,to:'2017-12-07T11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59" s="247" t="str">
        <f>IF(AA59&lt;VLOOKUP(AG59,Variables!$AC$3:$AD$8,2,FALSE),"Y","N")</f>
        <v>N</v>
      </c>
      <c r="X59" s="247">
        <f t="shared" si="25"/>
        <v>1</v>
      </c>
      <c r="Y59" s="247">
        <f t="shared" si="26"/>
        <v>5.2200000000000003E-2</v>
      </c>
      <c r="Z59" s="247">
        <f t="shared" si="27"/>
        <v>23.3308</v>
      </c>
      <c r="AA59" s="247">
        <f t="shared" si="9"/>
        <v>23.278600000000001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 t="shared" si="10"/>
        <v>147</v>
      </c>
      <c r="AE59" s="235" t="str">
        <f t="shared" si="11"/>
        <v>aws s3 cp s3://rtdc.mdm.uploadarchive.raw/RTDC4036/ "%USERPROFILE%\AppData\Local\Temp\OnboardLogs"\RTDC4036\2017-12-07 --exclude "*" --recursive --include "*20171207*" &amp; "%USERPROFILE%\Documents\GitHub\mrs-test-scripts\Headless Mode &amp; Sideloading\WalkAndUnGZ.bat" "%USERPROFILE%\AppData\Local\Temp\OnboardLogs"\RTDC4036\2017-12-07 &amp; aws s3 cp s3://rtdc.mdm.uploadarchive.raw/RTDC4036/ "%USERPROFILE%\AppData\Local\Temp\OnboardLogs"\RTDC4036\2017-12-08 --exclude "*" --recursive --include "*20171208*" &amp; "%USERPROFILE%\Documents\GitHub\mrs-test-scripts\Headless Mode &amp; Sideloading\WalkAndUnGZ.bat" "%USERPROFILE%\AppData\Local\Temp\OnboardLogs"\RTDC4036\2017-12-08</v>
      </c>
      <c r="AF59" s="234" t="str">
        <f t="shared" si="12"/>
        <v>"C:\Program Files (x86)\AstroGrep\AstroGrep.exe" /e /r /s /spath="%USERPROFILE%\AppData\Local\Temp\OnboardLogs" /stypes="app*4036*20171207*" /stext=" 17:.+((SYSTEM_STATE.+slice.+state.+changed )|(ment ac)|(multiple cpu faults)|(system.+state.+changed )|(\[timeout)|(PRM\|1\|D)|(kpr)|(kdp)|(train st.+moving)|(\|lc)|(penalty))"</v>
      </c>
      <c r="AG59" s="244" t="str">
        <f t="shared" si="13"/>
        <v>EC</v>
      </c>
      <c r="AH59" s="236" t="str">
        <f t="shared" si="19"/>
        <v>"%USERPROFILE%\Documents\GitHub\eaglep3\Utilities\RefineRTDCRunTimes.py" --tripid 147-07 --locoid 4036 --swversion DE.1.0.9.0 --startMP 204:522 --initTime 2017-12-07T09:24:39 --startdatetime 2017-12-07T09:30:20 --delay 56 --endMP 204:233308 --enddatetime 2017-12-07T10:06:41 --enforcementcount 1 &gt;&gt;%USERPROFILE%\Documents\GitHub\eaglep3-reporting\EC\2017-12-07-refined-times.txt</v>
      </c>
      <c r="AI59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{"issue":{"subject":"","project_id":79,"tracker_id":40,"status_id":1,"priority_id":2,"assigned_to_id":338,"start_date":"2017-12-07","description":"","custom_fields":[{"id":1,"name":"Subdivision","value":"EC"},{"id":4,"name":"Milepost","value":"23.3308"},{"id":17,"name":"Train ID","value":"147-07"},{"id":16,"name":"Locomotive ID","value":"4036"},{"id":130,"name":"Impact","value":""},{"id":150,"name":"Time of Event (Mountain Time)","value":"10:06:41"},{"id":151,"name":"Denver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21"/>
        <v>start /low /b %USERPROFILE%\Documents\GitHub\eaglep3\Utilities\DownloadLogsFromS3.py --loco 4036 --day 2017-12-07</v>
      </c>
      <c r="AN59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17:06:41"},{"id":29,"name":"Sharepoint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23"/>
        <v>https://d0f6bd738d7f1b3e5a7ca70fe4ff75f0.us-east-1.aws.found.io/app/kibana#/discover/Steve-Slow-Train-Analysis-(2080s-and-2083s)?_g=(refreshInterval:(display:Off,pause:!f,section:0,value:0),time:(from:'2017-12-07T08:24:39-0700',mode:absolute,to:'2017-12-07T11:06:41-0700'))&amp;_a=(columns:!('Message%20ID',Summary),filters:!(),index:'emp_*',interval:auto,query:(query_string:(analyze_wildcard:!t,query:'%22rtdc.l.rtdc.4036%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9" t="s">
        <v>788</v>
      </c>
      <c r="B60" s="225">
        <v>4035</v>
      </c>
      <c r="C60" s="227" t="s">
        <v>192</v>
      </c>
      <c r="D60" s="227" t="s">
        <v>645</v>
      </c>
      <c r="E60" s="226">
        <v>43076.433310185188</v>
      </c>
      <c r="F60" s="226">
        <v>43076.435567129629</v>
      </c>
      <c r="G60" s="225">
        <v>62</v>
      </c>
      <c r="H60" s="227" t="s">
        <v>406</v>
      </c>
      <c r="I60" s="226">
        <v>43076.462083333332</v>
      </c>
      <c r="J60" s="225">
        <v>1</v>
      </c>
      <c r="K60" s="237" t="str">
        <f t="shared" si="0"/>
        <v>4035/4036</v>
      </c>
      <c r="L60" s="245" t="str">
        <f>VLOOKUP(A60,'Trips&amp;Operators'!$C$1:$G$99911,5,FALSE)</f>
        <v>HAMMOND JUSTYNN</v>
      </c>
      <c r="M60" s="224">
        <f t="shared" si="1"/>
        <v>2.6516203703067731E-2</v>
      </c>
      <c r="N60" s="225">
        <f t="shared" si="28"/>
        <v>38.183333332417533</v>
      </c>
      <c r="O60" s="225"/>
      <c r="P60" s="225"/>
      <c r="Q60" s="228"/>
      <c r="R60" s="242"/>
      <c r="S60" s="249">
        <f t="shared" si="24"/>
        <v>1</v>
      </c>
      <c r="T60" s="242" t="str">
        <f t="shared" si="4"/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5"/>
        <v>https://d0f6bd738d7f1b3e5a7ca70fe4ff75f0.us-east-1.aws.found.io/app/kibana#/discover/Steve-Slow-Train-Analysis-(2080s-and-2083s)?_g=(refreshInterval:(display:Off,pause:!f,section:0,value:0),time:(from:'2017-12-07T09:23:58-0700',mode:absolute,to:'2017-12-07T12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0" s="247" t="str">
        <f>IF(AA60&lt;VLOOKUP(AG60,Variables!$AC$3:$AD$8,2,FALSE),"Y","N")</f>
        <v>N</v>
      </c>
      <c r="X60" s="247">
        <f t="shared" si="25"/>
        <v>1</v>
      </c>
      <c r="Y60" s="247">
        <f t="shared" si="26"/>
        <v>23.298500000000001</v>
      </c>
      <c r="Z60" s="247">
        <f t="shared" si="27"/>
        <v>2.07E-2</v>
      </c>
      <c r="AA60" s="247">
        <f t="shared" si="9"/>
        <v>23.277799999999999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10"/>
        <v>148</v>
      </c>
      <c r="AE60" s="235" t="str">
        <f t="shared" si="11"/>
        <v>aws s3 cp s3://rtdc.mdm.uploadarchive.raw/RTDC4035/ "%USERPROFILE%\AppData\Local\Temp\OnboardLogs"\RTDC4035\2017-12-07 --exclude "*" --recursive --include "*20171207*" &amp; "%USERPROFILE%\Documents\GitHub\mrs-test-scripts\Headless Mode &amp; Sideloading\WalkAndUnGZ.bat" "%USERPROFILE%\AppData\Local\Temp\OnboardLogs"\RTDC4035\2017-12-07 &amp; aws s3 cp s3://rtdc.mdm.uploadarchive.raw/RTDC4035/ "%USERPROFILE%\AppData\Local\Temp\OnboardLogs"\RTDC4035\2017-12-08 --exclude "*" --recursive --include "*20171208*" &amp; "%USERPROFILE%\Documents\GitHub\mrs-test-scripts\Headless Mode &amp; Sideloading\WalkAndUnGZ.bat" "%USERPROFILE%\AppData\Local\Temp\OnboardLogs"\RTDC4035\2017-12-08</v>
      </c>
      <c r="AF60" s="234" t="str">
        <f t="shared" si="12"/>
        <v>"C:\Program Files (x86)\AstroGrep\AstroGrep.exe" /e /r /s /spath="%USERPROFILE%\AppData\Local\Temp\OnboardLogs" /stypes="app*4035*20171207*" /stext=" 18:.+((SYSTEM_STATE.+slice.+state.+changed )|(ment ac)|(multiple cpu faults)|(system.+state.+changed )|(\[timeout)|(PRM\|1\|D)|(kpr)|(kdp)|(train st.+moving)|(\|lc)|(penalty))"</v>
      </c>
      <c r="AG60" s="244" t="str">
        <f t="shared" si="13"/>
        <v>EC</v>
      </c>
      <c r="AH60" s="236" t="str">
        <f t="shared" si="19"/>
        <v>"%USERPROFILE%\Documents\GitHub\eaglep3\Utilities\RefineRTDCRunTimes.py" --tripid 148-07 --locoid 4035 --swversion DE.1.0.9.0 --startMP 204:232985 --initTime 2017-12-07T10:23:58 --startdatetime 2017-12-07T10:27:13 --delay 62 --endMP 204:207 --enddatetime 2017-12-07T11:05:24 --enforcementcount 1 &gt;&gt;%USERPROFILE%\Documents\GitHub\eaglep3-reporting\EC\2017-12-07-refined-times.txt</v>
      </c>
      <c r="AI60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{"issue":{"subject":"","project_id":79,"tracker_id":40,"status_id":1,"priority_id":2,"assigned_to_id":338,"start_date":"2017-12-07","description":"","custom_fields":[{"id":1,"name":"Subdivision","value":"EC"},{"id":4,"name":"Milepost","value":"0.0207"},{"id":17,"name":"Train ID","value":"148-07"},{"id":16,"name":"Locomotive ID","value":"4035"},{"id":130,"name":"Impact","value":""},{"id":150,"name":"Time of Event (Mountain Time)","value":"11:05:24"},{"id":151,"name":"Denver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21"/>
        <v>start /low /b %USERPROFILE%\Documents\GitHub\eaglep3\Utilities\DownloadLogsFromS3.py --loco 4035 --day 2017-12-07</v>
      </c>
      <c r="AN60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18:05:24"},{"id":29,"name":"Sharepoint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23"/>
        <v>https://d0f6bd738d7f1b3e5a7ca70fe4ff75f0.us-east-1.aws.found.io/app/kibana#/discover/Steve-Slow-Train-Analysis-(2080s-and-2083s)?_g=(refreshInterval:(display:Off,pause:!f,section:0,value:0),time:(from:'2017-12-07T09:23:58-0700',mode:absolute,to:'2017-12-07T12:05:24-0700'))&amp;_a=(columns:!('Message%20ID',Summary),filters:!(),index:'emp_*',interval:auto,query:(query_string:(analyze_wildcard:!t,query:'%22rtdc.l.rtdc.4035%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9" t="s">
        <v>782</v>
      </c>
      <c r="B61" s="225">
        <v>4022</v>
      </c>
      <c r="C61" s="227" t="s">
        <v>192</v>
      </c>
      <c r="D61" s="227" t="s">
        <v>660</v>
      </c>
      <c r="E61" s="226">
        <v>43076.400555555556</v>
      </c>
      <c r="F61" s="226">
        <v>43076.406423611108</v>
      </c>
      <c r="G61" s="225">
        <v>66</v>
      </c>
      <c r="H61" s="227" t="s">
        <v>949</v>
      </c>
      <c r="I61" s="226">
        <v>43076.43037037037</v>
      </c>
      <c r="J61" s="225">
        <v>1</v>
      </c>
      <c r="K61" s="237" t="str">
        <f t="shared" si="0"/>
        <v>4021/4022</v>
      </c>
      <c r="L61" s="245" t="str">
        <f>VLOOKUP(A61,'Trips&amp;Operators'!$C$1:$G$99911,5,FALSE)</f>
        <v>PAGE MARCUS</v>
      </c>
      <c r="M61" s="224">
        <f t="shared" si="1"/>
        <v>2.3946759261889383E-2</v>
      </c>
      <c r="N61" s="225">
        <f t="shared" si="28"/>
        <v>34.483333337120712</v>
      </c>
      <c r="O61" s="225"/>
      <c r="P61" s="225"/>
      <c r="Q61" s="228"/>
      <c r="R61" s="242"/>
      <c r="S61" s="249">
        <f t="shared" si="24"/>
        <v>1</v>
      </c>
      <c r="T61" s="242" t="str">
        <f t="shared" si="4"/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5"/>
        <v>https://d0f6bd738d7f1b3e5a7ca70fe4ff75f0.us-east-1.aws.found.io/app/kibana#/discover/Steve-Slow-Train-Analysis-(2080s-and-2083s)?_g=(refreshInterval:(display:Off,pause:!f,section:0,value:0),time:(from:'2017-12-07T08:36:48-0700',mode:absolute,to:'2017-12-07T11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1" s="247" t="str">
        <f>IF(AA61&lt;VLOOKUP(AG61,Variables!$AC$3:$AD$8,2,FALSE),"Y","N")</f>
        <v>N</v>
      </c>
      <c r="X61" s="247">
        <f t="shared" si="25"/>
        <v>1</v>
      </c>
      <c r="Y61" s="247">
        <f t="shared" si="26"/>
        <v>4.8000000000000001E-2</v>
      </c>
      <c r="Z61" s="247">
        <f t="shared" si="27"/>
        <v>23.322800000000001</v>
      </c>
      <c r="AA61" s="247">
        <f t="shared" si="9"/>
        <v>23.274800000000003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10"/>
        <v>149</v>
      </c>
      <c r="AE61" s="235" t="str">
        <f t="shared" si="11"/>
        <v>aws s3 cp s3://rtdc.mdm.uploadarchive.raw/RTDC4022/ "%USERPROFILE%\AppData\Local\Temp\OnboardLogs"\RTDC4022\2017-12-07 --exclude "*" --recursive --include "*20171207*" &amp; "%USERPROFILE%\Documents\GitHub\mrs-test-scripts\Headless Mode &amp; Sideloading\WalkAndUnGZ.bat" "%USERPROFILE%\AppData\Local\Temp\OnboardLogs"\RTDC4022\2017-12-07 &amp; aws s3 cp s3://rtdc.mdm.uploadarchive.raw/RTDC4022/ "%USERPROFILE%\AppData\Local\Temp\OnboardLogs"\RTDC4022\2017-12-08 --exclude "*" --recursive --include "*20171208*" &amp; "%USERPROFILE%\Documents\GitHub\mrs-test-scripts\Headless Mode &amp; Sideloading\WalkAndUnGZ.bat" "%USERPROFILE%\AppData\Local\Temp\OnboardLogs"\RTDC4022\2017-12-08</v>
      </c>
      <c r="AF61" s="234" t="str">
        <f t="shared" si="12"/>
        <v>"C:\Program Files (x86)\AstroGrep\AstroGrep.exe" /e /r /s /spath="%USERPROFILE%\AppData\Local\Temp\OnboardLogs" /stypes="app*4022*20171207*" /stext=" 17:.+((SYSTEM_STATE.+slice.+state.+changed )|(ment ac)|(multiple cpu faults)|(system.+state.+changed )|(\[timeout)|(PRM\|1\|D)|(kpr)|(kdp)|(train st.+moving)|(\|lc)|(penalty))"</v>
      </c>
      <c r="AG61" s="244" t="str">
        <f t="shared" si="13"/>
        <v>EC</v>
      </c>
      <c r="AH61" s="236" t="str">
        <f t="shared" si="19"/>
        <v>"%USERPROFILE%\Documents\GitHub\eaglep3\Utilities\RefineRTDCRunTimes.py" --tripid 149-07 --locoid 4022 --swversion DE.1.0.9.0 --startMP 204:480 --initTime 2017-12-07T09:36:48 --startdatetime 2017-12-07T09:45:15 --delay 66 --endMP 204:233228 --enddatetime 2017-12-07T10:19:44 --enforcementcount 1 &gt;&gt;%USERPROFILE%\Documents\GitHub\eaglep3-reporting\EC\2017-12-07-refined-times.txt</v>
      </c>
      <c r="AI61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{"issue":{"subject":"","project_id":79,"tracker_id":40,"status_id":1,"priority_id":2,"assigned_to_id":338,"start_date":"2017-12-07","description":"","custom_fields":[{"id":1,"name":"Subdivision","value":"EC"},{"id":4,"name":"Milepost","value":"23.3228"},{"id":17,"name":"Train ID","value":"149-07"},{"id":16,"name":"Locomotive ID","value":"4022"},{"id":130,"name":"Impact","value":""},{"id":150,"name":"Time of Event (Mountain Time)","value":"10:19:44"},{"id":151,"name":"Denver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21"/>
        <v>start /low /b %USERPROFILE%\Documents\GitHub\eaglep3\Utilities\DownloadLogsFromS3.py --loco 4022 --day 2017-12-07</v>
      </c>
      <c r="AN61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17:19:44"},{"id":29,"name":"Sharepoint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23"/>
        <v>https://d0f6bd738d7f1b3e5a7ca70fe4ff75f0.us-east-1.aws.found.io/app/kibana#/discover/Steve-Slow-Train-Analysis-(2080s-and-2083s)?_g=(refreshInterval:(display:Off,pause:!f,section:0,value:0),time:(from:'2017-12-07T08:36:48-0700',mode:absolute,to:'2017-12-07T11:19:44-0700'))&amp;_a=(columns:!('Message%20ID',Summary),filters:!(),index:'emp_*',interval:auto,query:(query_string:(analyze_wildcard:!t,query:'%22rtdc.l.rtdc.4022%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9" t="s">
        <v>787</v>
      </c>
      <c r="B62" s="225">
        <v>4021</v>
      </c>
      <c r="C62" s="227" t="s">
        <v>192</v>
      </c>
      <c r="D62" s="227" t="s">
        <v>950</v>
      </c>
      <c r="E62" s="226">
        <v>43076.431597222225</v>
      </c>
      <c r="F62" s="226">
        <v>43076.446331018517</v>
      </c>
      <c r="G62" s="225">
        <v>54</v>
      </c>
      <c r="H62" s="227" t="s">
        <v>548</v>
      </c>
      <c r="I62" s="226">
        <v>43076.47216435185</v>
      </c>
      <c r="J62" s="225">
        <v>1</v>
      </c>
      <c r="K62" s="237" t="str">
        <f t="shared" si="0"/>
        <v>4021/4022</v>
      </c>
      <c r="L62" s="245" t="str">
        <f>VLOOKUP(A62,'Trips&amp;Operators'!$C$1:$G$99911,5,FALSE)</f>
        <v>PAGE MARCUS</v>
      </c>
      <c r="M62" s="224">
        <f t="shared" si="1"/>
        <v>2.5833333333139308E-2</v>
      </c>
      <c r="N62" s="225">
        <f t="shared" si="28"/>
        <v>37.199999999720603</v>
      </c>
      <c r="O62" s="225"/>
      <c r="P62" s="225"/>
      <c r="Q62" s="228"/>
      <c r="R62" s="242"/>
      <c r="S62" s="249">
        <f t="shared" si="24"/>
        <v>1</v>
      </c>
      <c r="T62" s="242" t="str">
        <f t="shared" si="4"/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5"/>
        <v>https://d0f6bd738d7f1b3e5a7ca70fe4ff75f0.us-east-1.aws.found.io/app/kibana#/discover/Steve-Slow-Train-Analysis-(2080s-and-2083s)?_g=(refreshInterval:(display:Off,pause:!f,section:0,value:0),time:(from:'2017-12-07T09:21:30-0700',mode:absolute,to:'2017-12-07T12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2" s="247" t="str">
        <f>IF(AA62&lt;VLOOKUP(AG62,Variables!$AC$3:$AD$8,2,FALSE),"Y","N")</f>
        <v>N</v>
      </c>
      <c r="X62" s="247">
        <f t="shared" si="25"/>
        <v>1</v>
      </c>
      <c r="Y62" s="247">
        <f t="shared" si="26"/>
        <v>23.297499999999999</v>
      </c>
      <c r="Z62" s="247">
        <f t="shared" si="27"/>
        <v>2.2100000000000002E-2</v>
      </c>
      <c r="AA62" s="247">
        <f t="shared" si="9"/>
        <v>23.275400000000001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 t="shared" si="10"/>
        <v>150</v>
      </c>
      <c r="AE62" s="235" t="str">
        <f t="shared" si="11"/>
        <v>aws s3 cp s3://rtdc.mdm.uploadarchive.raw/RTDC4021/ "%USERPROFILE%\AppData\Local\Temp\OnboardLogs"\RTDC4021\2017-12-07 --exclude "*" --recursive --include "*20171207*" &amp; "%USERPROFILE%\Documents\GitHub\mrs-test-scripts\Headless Mode &amp; Sideloading\WalkAndUnGZ.bat" "%USERPROFILE%\AppData\Local\Temp\OnboardLogs"\RTDC4021\2017-12-07 &amp; aws s3 cp s3://rtdc.mdm.uploadarchive.raw/RTDC4021/ "%USERPROFILE%\AppData\Local\Temp\OnboardLogs"\RTDC4021\2017-12-08 --exclude "*" --recursive --include "*20171208*" &amp; "%USERPROFILE%\Documents\GitHub\mrs-test-scripts\Headless Mode &amp; Sideloading\WalkAndUnGZ.bat" "%USERPROFILE%\AppData\Local\Temp\OnboardLogs"\RTDC4021\2017-12-08</v>
      </c>
      <c r="AF62" s="234" t="str">
        <f t="shared" si="12"/>
        <v>"C:\Program Files (x86)\AstroGrep\AstroGrep.exe" /e /r /s /spath="%USERPROFILE%\AppData\Local\Temp\OnboardLogs" /stypes="app*4021*20171207*" /stext=" 18:.+((SYSTEM_STATE.+slice.+state.+changed )|(ment ac)|(multiple cpu faults)|(system.+state.+changed )|(\[timeout)|(PRM\|1\|D)|(kpr)|(kdp)|(train st.+moving)|(\|lc)|(penalty))"</v>
      </c>
      <c r="AG62" s="244" t="str">
        <f t="shared" si="13"/>
        <v>EC</v>
      </c>
      <c r="AH62" s="236" t="str">
        <f t="shared" si="19"/>
        <v>"%USERPROFILE%\Documents\GitHub\eaglep3\Utilities\RefineRTDCRunTimes.py" --tripid 150-07 --locoid 4021 --swversion DE.1.0.9.0 --startMP 204:232975 --initTime 2017-12-07T10:21:30 --startdatetime 2017-12-07T10:42:43 --delay 54 --endMP 204:221 --enddatetime 2017-12-07T11:19:55 --enforcementcount 1 &gt;&gt;%USERPROFILE%\Documents\GitHub\eaglep3-reporting\EC\2017-12-07-refined-times.txt</v>
      </c>
      <c r="AI62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{"issue":{"subject":"","project_id":79,"tracker_id":40,"status_id":1,"priority_id":2,"assigned_to_id":338,"start_date":"2017-12-07","description":"","custom_fields":[{"id":1,"name":"Subdivision","value":"EC"},{"id":4,"name":"Milepost","value":"0.0221"},{"id":17,"name":"Train ID","value":"150-07"},{"id":16,"name":"Locomotive ID","value":"4021"},{"id":130,"name":"Impact","value":""},{"id":150,"name":"Time of Event (Mountain Time)","value":"11:19:55"},{"id":151,"name":"Denver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21"/>
        <v>start /low /b %USERPROFILE%\Documents\GitHub\eaglep3\Utilities\DownloadLogsFromS3.py --loco 4021 --day 2017-12-07</v>
      </c>
      <c r="AN62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18:19:55"},{"id":29,"name":"Sharepoint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23"/>
        <v>https://d0f6bd738d7f1b3e5a7ca70fe4ff75f0.us-east-1.aws.found.io/app/kibana#/discover/Steve-Slow-Train-Analysis-(2080s-and-2083s)?_g=(refreshInterval:(display:Off,pause:!f,section:0,value:0),time:(from:'2017-12-07T09:21:30-0700',mode:absolute,to:'2017-12-07T12:19:55-0700'))&amp;_a=(columns:!('Message%20ID',Summary),filters:!(),index:'emp_*',interval:auto,query:(query_string:(analyze_wildcard:!t,query:'%22rtdc.l.rtdc.4021%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9" t="s">
        <v>784</v>
      </c>
      <c r="B63" s="225">
        <v>4054</v>
      </c>
      <c r="C63" s="227" t="s">
        <v>192</v>
      </c>
      <c r="D63" s="227" t="s">
        <v>491</v>
      </c>
      <c r="E63" s="226">
        <v>43076.412824074076</v>
      </c>
      <c r="F63" s="226">
        <v>43076.41684027778</v>
      </c>
      <c r="G63" s="225">
        <v>87</v>
      </c>
      <c r="H63" s="227" t="s">
        <v>951</v>
      </c>
      <c r="I63" s="226">
        <v>43076.441967592589</v>
      </c>
      <c r="J63" s="225">
        <v>1</v>
      </c>
      <c r="K63" s="237" t="str">
        <f t="shared" si="0"/>
        <v>4053/4054</v>
      </c>
      <c r="L63" s="245" t="str">
        <f>VLOOKUP(A63,'Trips&amp;Operators'!$C$1:$G$99911,5,FALSE)</f>
        <v>WILLIAMS DONTE</v>
      </c>
      <c r="M63" s="224">
        <f t="shared" si="1"/>
        <v>2.512731480965158E-2</v>
      </c>
      <c r="N63" s="225">
        <f t="shared" si="28"/>
        <v>36.183333325898275</v>
      </c>
      <c r="O63" s="225"/>
      <c r="P63" s="225"/>
      <c r="Q63" s="228"/>
      <c r="R63" s="242"/>
      <c r="S63" s="249">
        <f t="shared" si="24"/>
        <v>1</v>
      </c>
      <c r="T63" s="242" t="str">
        <f t="shared" si="4"/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 t="shared" si="5"/>
        <v>https://d0f6bd738d7f1b3e5a7ca70fe4ff75f0.us-east-1.aws.found.io/app/kibana#/discover/Steve-Slow-Train-Analysis-(2080s-and-2083s)?_g=(refreshInterval:(display:Off,pause:!f,section:0,value:0),time:(from:'2017-12-07T08:54:28-0700',mode:absolute,to:'2017-12-07T11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3" s="247" t="str">
        <f>IF(AA63&lt;VLOOKUP(AG63,Variables!$AC$3:$AD$8,2,FALSE),"Y","N")</f>
        <v>N</v>
      </c>
      <c r="X63" s="247">
        <f t="shared" si="25"/>
        <v>1</v>
      </c>
      <c r="Y63" s="247">
        <f t="shared" si="26"/>
        <v>5.28E-2</v>
      </c>
      <c r="Z63" s="247">
        <f t="shared" si="27"/>
        <v>23.322700000000001</v>
      </c>
      <c r="AA63" s="247">
        <f t="shared" si="9"/>
        <v>23.2699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10"/>
        <v>151</v>
      </c>
      <c r="AE63" s="235" t="str">
        <f t="shared" si="11"/>
        <v>aws s3 cp s3://rtdc.mdm.uploadarchive.raw/RTDC4054/ "%USERPROFILE%\AppData\Local\Temp\OnboardLogs"\RTDC4054\2017-12-07 --exclude "*" --recursive --include "*20171207*" &amp; "%USERPROFILE%\Documents\GitHub\mrs-test-scripts\Headless Mode &amp; Sideloading\WalkAndUnGZ.bat" "%USERPROFILE%\AppData\Local\Temp\OnboardLogs"\RTDC4054\2017-12-07 &amp; aws s3 cp s3://rtdc.mdm.uploadarchive.raw/RTDC4054/ "%USERPROFILE%\AppData\Local\Temp\OnboardLogs"\RTDC4054\2017-12-08 --exclude "*" --recursive --include "*20171208*" &amp; "%USERPROFILE%\Documents\GitHub\mrs-test-scripts\Headless Mode &amp; Sideloading\WalkAndUnGZ.bat" "%USERPROFILE%\AppData\Local\Temp\OnboardLogs"\RTDC4054\2017-12-08</v>
      </c>
      <c r="AF63" s="234" t="str">
        <f t="shared" si="12"/>
        <v>"C:\Program Files (x86)\AstroGrep\AstroGrep.exe" /e /r /s /spath="%USERPROFILE%\AppData\Local\Temp\OnboardLogs" /stypes="app*4054*20171207*" /stext=" 17:.+((SYSTEM_STATE.+slice.+state.+changed )|(ment ac)|(multiple cpu faults)|(system.+state.+changed )|(\[timeout)|(PRM\|1\|D)|(kpr)|(kdp)|(train st.+moving)|(\|lc)|(penalty))"</v>
      </c>
      <c r="AG63" s="244" t="str">
        <f t="shared" si="13"/>
        <v>EC</v>
      </c>
      <c r="AH63" s="236" t="str">
        <f t="shared" si="19"/>
        <v>"%USERPROFILE%\Documents\GitHub\eaglep3\Utilities\RefineRTDCRunTimes.py" --tripid 151-07 --locoid 4054 --swversion DE.1.0.9.0 --startMP 204:528 --initTime 2017-12-07T09:54:28 --startdatetime 2017-12-07T10:00:15 --delay 87 --endMP 204:233227 --enddatetime 2017-12-07T10:36:26 --enforcementcount 1 &gt;&gt;%USERPROFILE%\Documents\GitHub\eaglep3-reporting\EC\2017-12-07-refined-times.txt</v>
      </c>
      <c r="AI63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{"issue":{"subject":"","project_id":79,"tracker_id":40,"status_id":1,"priority_id":2,"assigned_to_id":338,"start_date":"2017-12-07","description":"","custom_fields":[{"id":1,"name":"Subdivision","value":"EC"},{"id":4,"name":"Milepost","value":"23.3227"},{"id":17,"name":"Train ID","value":"151-07"},{"id":16,"name":"Locomotive ID","value":"4054"},{"id":130,"name":"Impact","value":""},{"id":150,"name":"Time of Event (Mountain Time)","value":"10:36:26"},{"id":151,"name":"Denver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21"/>
        <v>start /low /b %USERPROFILE%\Documents\GitHub\eaglep3\Utilities\DownloadLogsFromS3.py --loco 4054 --day 2017-12-07</v>
      </c>
      <c r="AN63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17:36:26"},{"id":29,"name":"Sharepoint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23"/>
        <v>https://d0f6bd738d7f1b3e5a7ca70fe4ff75f0.us-east-1.aws.found.io/app/kibana#/discover/Steve-Slow-Train-Analysis-(2080s-and-2083s)?_g=(refreshInterval:(display:Off,pause:!f,section:0,value:0),time:(from:'2017-12-07T08:54:28-0700',mode:absolute,to:'2017-12-07T11:36:26-0700'))&amp;_a=(columns:!('Message%20ID',Summary),filters:!(),index:'emp_*',interval:auto,query:(query_string:(analyze_wildcard:!t,query:'%22rtdc.l.rtdc.4054%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9" t="s">
        <v>794</v>
      </c>
      <c r="B64" s="225">
        <v>4053</v>
      </c>
      <c r="C64" s="227" t="s">
        <v>192</v>
      </c>
      <c r="D64" s="227" t="s">
        <v>642</v>
      </c>
      <c r="E64" s="226">
        <v>43076.451192129629</v>
      </c>
      <c r="F64" s="226">
        <v>43076.45648148148</v>
      </c>
      <c r="G64" s="225">
        <v>98</v>
      </c>
      <c r="H64" s="227" t="s">
        <v>643</v>
      </c>
      <c r="I64" s="226">
        <v>43076.482731481483</v>
      </c>
      <c r="J64" s="225">
        <v>1</v>
      </c>
      <c r="K64" s="237" t="str">
        <f t="shared" si="0"/>
        <v>4053/4054</v>
      </c>
      <c r="L64" s="245" t="str">
        <f>VLOOKUP(A64,'Trips&amp;Operators'!$C$1:$G$99911,5,FALSE)</f>
        <v>WILLIAMS DONTE</v>
      </c>
      <c r="M64" s="224">
        <f t="shared" si="1"/>
        <v>2.6250000002619345E-2</v>
      </c>
      <c r="N64" s="225">
        <f t="shared" si="28"/>
        <v>37.800000003771856</v>
      </c>
      <c r="O64" s="225"/>
      <c r="P64" s="225"/>
      <c r="Q64" s="228"/>
      <c r="R64" s="242"/>
      <c r="S64" s="249">
        <f t="shared" si="24"/>
        <v>1</v>
      </c>
      <c r="T64" s="242" t="str">
        <f t="shared" si="4"/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5"/>
        <v>https://d0f6bd738d7f1b3e5a7ca70fe4ff75f0.us-east-1.aws.found.io/app/kibana#/discover/Steve-Slow-Train-Analysis-(2080s-and-2083s)?_g=(refreshInterval:(display:Off,pause:!f,section:0,value:0),time:(from:'2017-12-07T09:49:43-0700',mode:absolute,to:'2017-12-07T12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4" s="247" t="str">
        <f>IF(AA64&lt;VLOOKUP(AG64,Variables!$AC$3:$AD$8,2,FALSE),"Y","N")</f>
        <v>N</v>
      </c>
      <c r="X64" s="247">
        <f t="shared" si="25"/>
        <v>1</v>
      </c>
      <c r="Y64" s="247">
        <f t="shared" si="26"/>
        <v>23.292100000000001</v>
      </c>
      <c r="Z64" s="247">
        <f t="shared" si="27"/>
        <v>2.1399999999999999E-2</v>
      </c>
      <c r="AA64" s="247">
        <f t="shared" si="9"/>
        <v>23.270700000000001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10"/>
        <v>152</v>
      </c>
      <c r="AE64" s="235" t="str">
        <f t="shared" si="11"/>
        <v>aws s3 cp s3://rtdc.mdm.uploadarchive.raw/RTDC4053/ "%USERPROFILE%\AppData\Local\Temp\OnboardLogs"\RTDC4053\2017-12-07 --exclude "*" --recursive --include "*20171207*" &amp; "%USERPROFILE%\Documents\GitHub\mrs-test-scripts\Headless Mode &amp; Sideloading\WalkAndUnGZ.bat" "%USERPROFILE%\AppData\Local\Temp\OnboardLogs"\RTDC4053\2017-12-07 &amp; aws s3 cp s3://rtdc.mdm.uploadarchive.raw/RTDC4053/ "%USERPROFILE%\AppData\Local\Temp\OnboardLogs"\RTDC4053\2017-12-08 --exclude "*" --recursive --include "*20171208*" &amp; "%USERPROFILE%\Documents\GitHub\mrs-test-scripts\Headless Mode &amp; Sideloading\WalkAndUnGZ.bat" "%USERPROFILE%\AppData\Local\Temp\OnboardLogs"\RTDC4053\2017-12-08</v>
      </c>
      <c r="AF64" s="234" t="str">
        <f t="shared" si="12"/>
        <v>"C:\Program Files (x86)\AstroGrep\AstroGrep.exe" /e /r /s /spath="%USERPROFILE%\AppData\Local\Temp\OnboardLogs" /stypes="app*4053*20171207*" /stext=" 18:.+((SYSTEM_STATE.+slice.+state.+changed )|(ment ac)|(multiple cpu faults)|(system.+state.+changed )|(\[timeout)|(PRM\|1\|D)|(kpr)|(kdp)|(train st.+moving)|(\|lc)|(penalty))"</v>
      </c>
      <c r="AG64" s="244" t="str">
        <f t="shared" si="13"/>
        <v>EC</v>
      </c>
      <c r="AH64" s="236" t="str">
        <f t="shared" si="19"/>
        <v>"%USERPROFILE%\Documents\GitHub\eaglep3\Utilities\RefineRTDCRunTimes.py" --tripid 152-07 --locoid 4053 --swversion DE.1.0.9.0 --startMP 204:232921 --initTime 2017-12-07T10:49:43 --startdatetime 2017-12-07T10:57:20 --delay 98 --endMP 204:214 --enddatetime 2017-12-07T11:35:08 --enforcementcount 1 &gt;&gt;%USERPROFILE%\Documents\GitHub\eaglep3-reporting\EC\2017-12-07-refined-times.txt</v>
      </c>
      <c r="AI64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{"issue":{"subject":"","project_id":79,"tracker_id":40,"status_id":1,"priority_id":2,"assigned_to_id":338,"start_date":"2017-12-07","description":"","custom_fields":[{"id":1,"name":"Subdivision","value":"EC"},{"id":4,"name":"Milepost","value":"0.0214"},{"id":17,"name":"Train ID","value":"152-07"},{"id":16,"name":"Locomotive ID","value":"4053"},{"id":130,"name":"Impact","value":""},{"id":150,"name":"Time of Event (Mountain Time)","value":"11:35:08"},{"id":151,"name":"Denver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21"/>
        <v>start /low /b %USERPROFILE%\Documents\GitHub\eaglep3\Utilities\DownloadLogsFromS3.py --loco 4053 --day 2017-12-07</v>
      </c>
      <c r="AN64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18:35:08"},{"id":29,"name":"Sharepoint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23"/>
        <v>https://d0f6bd738d7f1b3e5a7ca70fe4ff75f0.us-east-1.aws.found.io/app/kibana#/discover/Steve-Slow-Train-Analysis-(2080s-and-2083s)?_g=(refreshInterval:(display:Off,pause:!f,section:0,value:0),time:(from:'2017-12-07T09:49:43-0700',mode:absolute,to:'2017-12-07T12:35:08-0700'))&amp;_a=(columns:!('Message%20ID',Summary),filters:!(),index:'emp_*',interval:auto,query:(query_string:(analyze_wildcard:!t,query:'%22rtdc.l.rtdc.4053%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9" t="s">
        <v>786</v>
      </c>
      <c r="B65" s="225">
        <v>4060</v>
      </c>
      <c r="C65" s="227" t="s">
        <v>192</v>
      </c>
      <c r="D65" s="227" t="s">
        <v>467</v>
      </c>
      <c r="E65" s="226">
        <v>43076.421365740738</v>
      </c>
      <c r="F65" s="226">
        <v>43076.427256944444</v>
      </c>
      <c r="G65" s="225">
        <v>65</v>
      </c>
      <c r="H65" s="227" t="s">
        <v>952</v>
      </c>
      <c r="I65" s="226">
        <v>43076.451006944444</v>
      </c>
      <c r="J65" s="225">
        <v>1</v>
      </c>
      <c r="K65" s="237" t="str">
        <f t="shared" si="0"/>
        <v>4059/4060</v>
      </c>
      <c r="L65" s="245" t="str">
        <f>VLOOKUP(A65,'Trips&amp;Operators'!$C$1:$G$99911,5,FALSE)</f>
        <v>LOPES KIMBERLY</v>
      </c>
      <c r="M65" s="224">
        <f t="shared" si="1"/>
        <v>2.3750000000291038E-2</v>
      </c>
      <c r="N65" s="225">
        <f t="shared" si="28"/>
        <v>34.200000000419095</v>
      </c>
      <c r="O65" s="225"/>
      <c r="P65" s="225"/>
      <c r="Q65" s="228"/>
      <c r="R65" s="242"/>
      <c r="S65" s="249">
        <f t="shared" si="24"/>
        <v>1</v>
      </c>
      <c r="T65" s="242" t="str">
        <f t="shared" si="4"/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5"/>
        <v>https://d0f6bd738d7f1b3e5a7ca70fe4ff75f0.us-east-1.aws.found.io/app/kibana#/discover/Steve-Slow-Train-Analysis-(2080s-and-2083s)?_g=(refreshInterval:(display:Off,pause:!f,section:0,value:0),time:(from:'2017-12-07T09:06:46-0700',mode:absolute,to:'2017-12-07T11:49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5" s="247" t="str">
        <f>IF(AA65&lt;VLOOKUP(AG65,Variables!$AC$3:$AD$8,2,FALSE),"Y","N")</f>
        <v>N</v>
      </c>
      <c r="X65" s="247">
        <f t="shared" si="25"/>
        <v>1</v>
      </c>
      <c r="Y65" s="247">
        <f t="shared" si="26"/>
        <v>4.5699999999999998E-2</v>
      </c>
      <c r="Z65" s="247">
        <f t="shared" si="27"/>
        <v>23.323799999999999</v>
      </c>
      <c r="AA65" s="247">
        <f t="shared" si="9"/>
        <v>23.278099999999998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10"/>
        <v>153</v>
      </c>
      <c r="AE65" s="235" t="str">
        <f t="shared" si="11"/>
        <v>aws s3 cp s3://rtdc.mdm.uploadarchive.raw/RTDC4060/ "%USERPROFILE%\AppData\Local\Temp\OnboardLogs"\RTDC4060\2017-12-07 --exclude "*" --recursive --include "*20171207*" &amp; "%USERPROFILE%\Documents\GitHub\mrs-test-scripts\Headless Mode &amp; Sideloading\WalkAndUnGZ.bat" "%USERPROFILE%\AppData\Local\Temp\OnboardLogs"\RTDC4060\2017-12-07 &amp; aws s3 cp s3://rtdc.mdm.uploadarchive.raw/RTDC4060/ "%USERPROFILE%\AppData\Local\Temp\OnboardLogs"\RTDC4060\2017-12-08 --exclude "*" --recursive --include "*20171208*" &amp; "%USERPROFILE%\Documents\GitHub\mrs-test-scripts\Headless Mode &amp; Sideloading\WalkAndUnGZ.bat" "%USERPROFILE%\AppData\Local\Temp\OnboardLogs"\RTDC4060\2017-12-08</v>
      </c>
      <c r="AF65" s="234" t="str">
        <f t="shared" si="12"/>
        <v>"C:\Program Files (x86)\AstroGrep\AstroGrep.exe" /e /r /s /spath="%USERPROFILE%\AppData\Local\Temp\OnboardLogs" /stypes="app*4060*20171207*" /stext=" 17:.+((SYSTEM_STATE.+slice.+state.+changed )|(ment ac)|(multiple cpu faults)|(system.+state.+changed )|(\[timeout)|(PRM\|1\|D)|(kpr)|(kdp)|(train st.+moving)|(\|lc)|(penalty))"</v>
      </c>
      <c r="AG65" s="244" t="str">
        <f t="shared" si="13"/>
        <v>EC</v>
      </c>
      <c r="AH65" s="236" t="str">
        <f t="shared" si="19"/>
        <v>"%USERPROFILE%\Documents\GitHub\eaglep3\Utilities\RefineRTDCRunTimes.py" --tripid 153-07 --locoid 4060 --swversion DE.1.0.9.0 --startMP 204:457 --initTime 2017-12-07T10:06:46 --startdatetime 2017-12-07T10:15:15 --delay 65 --endMP 204:233238 --enddatetime 2017-12-07T10:49:27 --enforcementcount 1 &gt;&gt;%USERPROFILE%\Documents\GitHub\eaglep3-reporting\EC\2017-12-07-refined-times.txt</v>
      </c>
      <c r="AI65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{"issue":{"subject":"","project_id":79,"tracker_id":40,"status_id":1,"priority_id":2,"assigned_to_id":338,"start_date":"2017-12-07","description":"","custom_fields":[{"id":1,"name":"Subdivision","value":"EC"},{"id":4,"name":"Milepost","value":"23.3238"},{"id":17,"name":"Train ID","value":"153-07"},{"id":16,"name":"Locomotive ID","value":"4060"},{"id":130,"name":"Impact","value":""},{"id":150,"name":"Time of Event (Mountain Time)","value":"10:49:27"},{"id":151,"name":"Denver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21"/>
        <v>start /low /b %USERPROFILE%\Documents\GitHub\eaglep3\Utilities\DownloadLogsFromS3.py --loco 4060 --day 2017-12-07</v>
      </c>
      <c r="AN65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17:49:27"},{"id":29,"name":"Sharepoint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23"/>
        <v>https://d0f6bd738d7f1b3e5a7ca70fe4ff75f0.us-east-1.aws.found.io/app/kibana#/discover/Steve-Slow-Train-Analysis-(2080s-and-2083s)?_g=(refreshInterval:(display:Off,pause:!f,section:0,value:0),time:(from:'2017-12-07T09:06:46-0700',mode:absolute,to:'2017-12-07T11:49:27-0700'))&amp;_a=(columns:!('Message%20ID',Summary),filters:!(),index:'emp_*',interval:auto,query:(query_string:(analyze_wildcard:!t,query:'%22rtdc.l.rtdc.4060%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9" t="s">
        <v>797</v>
      </c>
      <c r="B66" s="225">
        <v>4059</v>
      </c>
      <c r="C66" s="227" t="s">
        <v>192</v>
      </c>
      <c r="D66" s="227" t="s">
        <v>953</v>
      </c>
      <c r="E66" s="226">
        <v>43076.463113425925</v>
      </c>
      <c r="F66" s="226">
        <v>43076.466828703706</v>
      </c>
      <c r="G66" s="225">
        <v>88</v>
      </c>
      <c r="H66" s="227" t="s">
        <v>954</v>
      </c>
      <c r="I66" s="226">
        <v>43076.492858796293</v>
      </c>
      <c r="J66" s="225">
        <v>1</v>
      </c>
      <c r="K66" s="237" t="str">
        <f t="shared" si="0"/>
        <v>4059/4060</v>
      </c>
      <c r="L66" s="245" t="str">
        <f>VLOOKUP(A66,'Trips&amp;Operators'!$C$1:$G$99911,5,FALSE)</f>
        <v>LOPES KIMBERLY</v>
      </c>
      <c r="M66" s="224">
        <f t="shared" si="1"/>
        <v>2.6030092587461695E-2</v>
      </c>
      <c r="N66" s="225">
        <f t="shared" si="28"/>
        <v>37.483333325944841</v>
      </c>
      <c r="O66" s="225"/>
      <c r="P66" s="225"/>
      <c r="Q66" s="228"/>
      <c r="R66" s="242"/>
      <c r="S66" s="249">
        <f t="shared" si="24"/>
        <v>1</v>
      </c>
      <c r="T66" s="242" t="str">
        <f t="shared" si="4"/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5"/>
        <v>https://d0f6bd738d7f1b3e5a7ca70fe4ff75f0.us-east-1.aws.found.io/app/kibana#/discover/Steve-Slow-Train-Analysis-(2080s-and-2083s)?_g=(refreshInterval:(display:Off,pause:!f,section:0,value:0),time:(from:'2017-12-07T10:06:53-0700',mode:absolute,to:'2017-12-07T12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6" s="247" t="str">
        <f>IF(AA66&lt;VLOOKUP(AG66,Variables!$AC$3:$AD$8,2,FALSE),"Y","N")</f>
        <v>N</v>
      </c>
      <c r="X66" s="247">
        <f t="shared" si="25"/>
        <v>1</v>
      </c>
      <c r="Y66" s="247">
        <f t="shared" si="26"/>
        <v>23.290500000000002</v>
      </c>
      <c r="Z66" s="247">
        <f t="shared" si="27"/>
        <v>1.8100000000000002E-2</v>
      </c>
      <c r="AA66" s="247">
        <f t="shared" si="9"/>
        <v>23.272400000000001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10"/>
        <v>154</v>
      </c>
      <c r="AE66" s="235" t="str">
        <f t="shared" si="11"/>
        <v>aws s3 cp s3://rtdc.mdm.uploadarchive.raw/RTDC4059/ "%USERPROFILE%\AppData\Local\Temp\OnboardLogs"\RTDC4059\2017-12-07 --exclude "*" --recursive --include "*20171207*" &amp; "%USERPROFILE%\Documents\GitHub\mrs-test-scripts\Headless Mode &amp; Sideloading\WalkAndUnGZ.bat" "%USERPROFILE%\AppData\Local\Temp\OnboardLogs"\RTDC4059\2017-12-07 &amp; aws s3 cp s3://rtdc.mdm.uploadarchive.raw/RTDC4059/ "%USERPROFILE%\AppData\Local\Temp\OnboardLogs"\RTDC4059\2017-12-08 --exclude "*" --recursive --include "*20171208*" &amp; "%USERPROFILE%\Documents\GitHub\mrs-test-scripts\Headless Mode &amp; Sideloading\WalkAndUnGZ.bat" "%USERPROFILE%\AppData\Local\Temp\OnboardLogs"\RTDC4059\2017-12-08</v>
      </c>
      <c r="AF66" s="234" t="str">
        <f t="shared" si="12"/>
        <v>"C:\Program Files (x86)\AstroGrep\AstroGrep.exe" /e /r /s /spath="%USERPROFILE%\AppData\Local\Temp\OnboardLogs" /stypes="app*4059*20171207*" /stext=" 18:.+((SYSTEM_STATE.+slice.+state.+changed )|(ment ac)|(multiple cpu faults)|(system.+state.+changed )|(\[timeout)|(PRM\|1\|D)|(kpr)|(kdp)|(train st.+moving)|(\|lc)|(penalty))"</v>
      </c>
      <c r="AG66" s="244" t="str">
        <f t="shared" si="13"/>
        <v>EC</v>
      </c>
      <c r="AH66" s="236" t="str">
        <f t="shared" si="19"/>
        <v>"%USERPROFILE%\Documents\GitHub\eaglep3\Utilities\RefineRTDCRunTimes.py" --tripid 154-07 --locoid 4059 --swversion DE.1.0.9.0 --startMP 204:232905 --initTime 2017-12-07T11:06:53 --startdatetime 2017-12-07T11:12:14 --delay 88 --endMP 204:181 --enddatetime 2017-12-07T11:49:43 --enforcementcount 1 &gt;&gt;%USERPROFILE%\Documents\GitHub\eaglep3-reporting\EC\2017-12-07-refined-times.txt</v>
      </c>
      <c r="AI66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{"issue":{"subject":"","project_id":79,"tracker_id":40,"status_id":1,"priority_id":2,"assigned_to_id":338,"start_date":"2017-12-07","description":"","custom_fields":[{"id":1,"name":"Subdivision","value":"EC"},{"id":4,"name":"Milepost","value":"0.0181"},{"id":17,"name":"Train ID","value":"154-07"},{"id":16,"name":"Locomotive ID","value":"4059"},{"id":130,"name":"Impact","value":""},{"id":150,"name":"Time of Event (Mountain Time)","value":"11:49:43"},{"id":151,"name":"Denver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21"/>
        <v>start /low /b %USERPROFILE%\Documents\GitHub\eaglep3\Utilities\DownloadLogsFromS3.py --loco 4059 --day 2017-12-07</v>
      </c>
      <c r="AN66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18:49:43"},{"id":29,"name":"Sharepoint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23"/>
        <v>https://d0f6bd738d7f1b3e5a7ca70fe4ff75f0.us-east-1.aws.found.io/app/kibana#/discover/Steve-Slow-Train-Analysis-(2080s-and-2083s)?_g=(refreshInterval:(display:Off,pause:!f,section:0,value:0),time:(from:'2017-12-07T10:06:53-0700',mode:absolute,to:'2017-12-07T12:49:43-0700'))&amp;_a=(columns:!('Message%20ID',Summary),filters:!(),index:'emp_*',interval:auto,query:(query_string:(analyze_wildcard:!t,query:'%22rtdc.l.rtdc.4059%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9" t="s">
        <v>790</v>
      </c>
      <c r="B67" s="225">
        <v>4014</v>
      </c>
      <c r="C67" s="227" t="s">
        <v>192</v>
      </c>
      <c r="D67" s="227" t="s">
        <v>673</v>
      </c>
      <c r="E67" s="226">
        <v>43076.436168981483</v>
      </c>
      <c r="F67" s="226">
        <v>43076.437650462962</v>
      </c>
      <c r="G67" s="225">
        <v>46</v>
      </c>
      <c r="H67" s="227" t="s">
        <v>938</v>
      </c>
      <c r="I67" s="226">
        <v>43076.463067129633</v>
      </c>
      <c r="J67" s="225">
        <v>1</v>
      </c>
      <c r="K67" s="237" t="str">
        <f t="shared" si="0"/>
        <v>4013/4014</v>
      </c>
      <c r="L67" s="245" t="str">
        <f>VLOOKUP(A67,'Trips&amp;Operators'!$C$1:$G$99911,5,FALSE)</f>
        <v>YANAI IAN</v>
      </c>
      <c r="M67" s="224">
        <f t="shared" si="1"/>
        <v>2.5416666670935228E-2</v>
      </c>
      <c r="N67" s="225">
        <f t="shared" si="28"/>
        <v>36.600000006146729</v>
      </c>
      <c r="O67" s="225"/>
      <c r="P67" s="225"/>
      <c r="Q67" s="228"/>
      <c r="R67" s="242"/>
      <c r="S67" s="249">
        <f t="shared" si="24"/>
        <v>1</v>
      </c>
      <c r="T67" s="242" t="str">
        <f t="shared" si="4"/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5"/>
        <v>https://d0f6bd738d7f1b3e5a7ca70fe4ff75f0.us-east-1.aws.found.io/app/kibana#/discover/Steve-Slow-Train-Analysis-(2080s-and-2083s)?_g=(refreshInterval:(display:Off,pause:!f,section:0,value:0),time:(from:'2017-12-07T09:28:05-0700',mode:absolute,to:'2017-12-07T12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7" s="247" t="str">
        <f>IF(AA67&lt;VLOOKUP(AG67,Variables!$AC$3:$AD$8,2,FALSE),"Y","N")</f>
        <v>N</v>
      </c>
      <c r="X67" s="247">
        <f t="shared" si="25"/>
        <v>1</v>
      </c>
      <c r="Y67" s="247">
        <f t="shared" si="26"/>
        <v>4.3700000000000003E-2</v>
      </c>
      <c r="Z67" s="247">
        <f t="shared" si="27"/>
        <v>23.331499999999998</v>
      </c>
      <c r="AA67" s="247">
        <f t="shared" si="9"/>
        <v>23.287799999999997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10"/>
        <v>155</v>
      </c>
      <c r="AE67" s="235" t="str">
        <f t="shared" si="11"/>
        <v>aws s3 cp s3://rtdc.mdm.uploadarchive.raw/RTDC4014/ "%USERPROFILE%\AppData\Local\Temp\OnboardLogs"\RTDC4014\2017-12-07 --exclude "*" --recursive --include "*20171207*" &amp; "%USERPROFILE%\Documents\GitHub\mrs-test-scripts\Headless Mode &amp; Sideloading\WalkAndUnGZ.bat" "%USERPROFILE%\AppData\Local\Temp\OnboardLogs"\RTDC4014\2017-12-07 &amp; aws s3 cp s3://rtdc.mdm.uploadarchive.raw/RTDC4014/ "%USERPROFILE%\AppData\Local\Temp\OnboardLogs"\RTDC4014\2017-12-08 --exclude "*" --recursive --include "*20171208*" &amp; "%USERPROFILE%\Documents\GitHub\mrs-test-scripts\Headless Mode &amp; Sideloading\WalkAndUnGZ.bat" "%USERPROFILE%\AppData\Local\Temp\OnboardLogs"\RTDC4014\2017-12-08</v>
      </c>
      <c r="AF67" s="234" t="str">
        <f t="shared" si="12"/>
        <v>"C:\Program Files (x86)\AstroGrep\AstroGrep.exe" /e /r /s /spath="%USERPROFILE%\AppData\Local\Temp\OnboardLogs" /stypes="app*4014*20171207*" /stext=" 18:.+((SYSTEM_STATE.+slice.+state.+changed )|(ment ac)|(multiple cpu faults)|(system.+state.+changed )|(\[timeout)|(PRM\|1\|D)|(kpr)|(kdp)|(train st.+moving)|(\|lc)|(penalty))"</v>
      </c>
      <c r="AG67" s="244" t="str">
        <f t="shared" si="13"/>
        <v>EC</v>
      </c>
      <c r="AH67" s="236" t="str">
        <f t="shared" si="19"/>
        <v>"%USERPROFILE%\Documents\GitHub\eaglep3\Utilities\RefineRTDCRunTimes.py" --tripid 155-07 --locoid 4014 --swversion DE.1.0.9.0 --startMP 204:437 --initTime 2017-12-07T10:28:05 --startdatetime 2017-12-07T10:30:13 --delay 46 --endMP 204:233315 --enddatetime 2017-12-07T11:06:49 --enforcementcount 1 &gt;&gt;%USERPROFILE%\Documents\GitHub\eaglep3-reporting\EC\2017-12-07-refined-times.txt</v>
      </c>
      <c r="AI67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{"issue":{"subject":"","project_id":79,"tracker_id":40,"status_id":1,"priority_id":2,"assigned_to_id":338,"start_date":"2017-12-07","description":"","custom_fields":[{"id":1,"name":"Subdivision","value":"EC"},{"id":4,"name":"Milepost","value":"23.3315"},{"id":17,"name":"Train ID","value":"155-07"},{"id":16,"name":"Locomotive ID","value":"4014"},{"id":130,"name":"Impact","value":""},{"id":150,"name":"Time of Event (Mountain Time)","value":"11:06:49"},{"id":151,"name":"Denver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21"/>
        <v>start /low /b %USERPROFILE%\Documents\GitHub\eaglep3\Utilities\DownloadLogsFromS3.py --loco 4014 --day 2017-12-07</v>
      </c>
      <c r="AN67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18:06:49"},{"id":29,"name":"Sharepoint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23"/>
        <v>https://d0f6bd738d7f1b3e5a7ca70fe4ff75f0.us-east-1.aws.found.io/app/kibana#/discover/Steve-Slow-Train-Analysis-(2080s-and-2083s)?_g=(refreshInterval:(display:Off,pause:!f,section:0,value:0),time:(from:'2017-12-07T09:28:05-0700',mode:absolute,to:'2017-12-07T12:06:49-0700'))&amp;_a=(columns:!('Message%20ID',Summary),filters:!(),index:'emp_*',interval:auto,query:(query_string:(analyze_wildcard:!t,query:'%22rtdc.l.rtdc.4014%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9" t="s">
        <v>798</v>
      </c>
      <c r="B68" s="225">
        <v>4013</v>
      </c>
      <c r="C68" s="227" t="s">
        <v>192</v>
      </c>
      <c r="D68" s="227" t="s">
        <v>955</v>
      </c>
      <c r="E68" s="226">
        <v>43076.465289351851</v>
      </c>
      <c r="F68" s="226">
        <v>43076.47724537037</v>
      </c>
      <c r="G68" s="225">
        <v>62</v>
      </c>
      <c r="H68" s="227" t="s">
        <v>648</v>
      </c>
      <c r="I68" s="226">
        <v>43076.50277777778</v>
      </c>
      <c r="J68" s="225">
        <v>1</v>
      </c>
      <c r="K68" s="237" t="str">
        <f t="shared" si="0"/>
        <v>4013/4014</v>
      </c>
      <c r="L68" s="245" t="str">
        <f>VLOOKUP(A68,'Trips&amp;Operators'!$C$1:$G$99911,5,FALSE)</f>
        <v>YANAI IAN</v>
      </c>
      <c r="M68" s="224">
        <f t="shared" si="1"/>
        <v>2.5532407409627922E-2</v>
      </c>
      <c r="N68" s="225">
        <f t="shared" si="28"/>
        <v>36.766666669864208</v>
      </c>
      <c r="O68" s="225"/>
      <c r="P68" s="225"/>
      <c r="Q68" s="228"/>
      <c r="R68" s="242"/>
      <c r="S68" s="249">
        <f t="shared" si="24"/>
        <v>1</v>
      </c>
      <c r="T68" s="242" t="str">
        <f t="shared" si="4"/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5"/>
        <v>https://d0f6bd738d7f1b3e5a7ca70fe4ff75f0.us-east-1.aws.found.io/app/kibana#/discover/Steve-Slow-Train-Analysis-(2080s-and-2083s)?_g=(refreshInterval:(display:Off,pause:!f,section:0,value:0),time:(from:'2017-12-07T10:10:01-0700',mode:absolute,to:'2017-12-07T13:04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8" s="247" t="str">
        <f>IF(AA68&lt;VLOOKUP(AG68,Variables!$AC$3:$AD$8,2,FALSE),"Y","N")</f>
        <v>N</v>
      </c>
      <c r="X68" s="247">
        <f t="shared" si="25"/>
        <v>1</v>
      </c>
      <c r="Y68" s="247">
        <f t="shared" si="26"/>
        <v>23.300599999999999</v>
      </c>
      <c r="Z68" s="247">
        <f t="shared" si="27"/>
        <v>1.47E-2</v>
      </c>
      <c r="AA68" s="247">
        <f t="shared" si="9"/>
        <v>23.285899999999998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10"/>
        <v>156</v>
      </c>
      <c r="AE68" s="235" t="str">
        <f t="shared" si="11"/>
        <v>aws s3 cp s3://rtdc.mdm.uploadarchive.raw/RTDC4013/ "%USERPROFILE%\AppData\Local\Temp\OnboardLogs"\RTDC4013\2017-12-07 --exclude "*" --recursive --include "*20171207*" &amp; "%USERPROFILE%\Documents\GitHub\mrs-test-scripts\Headless Mode &amp; Sideloading\WalkAndUnGZ.bat" "%USERPROFILE%\AppData\Local\Temp\OnboardLogs"\RTDC4013\2017-12-07 &amp; aws s3 cp s3://rtdc.mdm.uploadarchive.raw/RTDC4013/ "%USERPROFILE%\AppData\Local\Temp\OnboardLogs"\RTDC4013\2017-12-08 --exclude "*" --recursive --include "*20171208*" &amp; "%USERPROFILE%\Documents\GitHub\mrs-test-scripts\Headless Mode &amp; Sideloading\WalkAndUnGZ.bat" "%USERPROFILE%\AppData\Local\Temp\OnboardLogs"\RTDC4013\2017-12-08</v>
      </c>
      <c r="AF68" s="234" t="str">
        <f t="shared" si="12"/>
        <v>"C:\Program Files (x86)\AstroGrep\AstroGrep.exe" /e /r /s /spath="%USERPROFILE%\AppData\Local\Temp\OnboardLogs" /stypes="app*4013*20171207*" /stext=" 19:.+((SYSTEM_STATE.+slice.+state.+changed )|(ment ac)|(multiple cpu faults)|(system.+state.+changed )|(\[timeout)|(PRM\|1\|D)|(kpr)|(kdp)|(train st.+moving)|(\|lc)|(penalty))"</v>
      </c>
      <c r="AG68" s="244" t="str">
        <f t="shared" si="13"/>
        <v>EC</v>
      </c>
      <c r="AH68" s="236" t="str">
        <f t="shared" si="19"/>
        <v>"%USERPROFILE%\Documents\GitHub\eaglep3\Utilities\RefineRTDCRunTimes.py" --tripid 156-07 --locoid 4013 --swversion DE.1.0.9.0 --startMP 204:233006 --initTime 2017-12-07T11:10:01 --startdatetime 2017-12-07T11:27:14 --delay 62 --endMP 204:147 --enddatetime 2017-12-07T12:04:00 --enforcementcount 1 &gt;&gt;%USERPROFILE%\Documents\GitHub\eaglep3-reporting\EC\2017-12-07-refined-times.txt</v>
      </c>
      <c r="AI68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{"issue":{"subject":"","project_id":79,"tracker_id":40,"status_id":1,"priority_id":2,"assigned_to_id":338,"start_date":"2017-12-07","description":"","custom_fields":[{"id":1,"name":"Subdivision","value":"EC"},{"id":4,"name":"Milepost","value":"0.0147"},{"id":17,"name":"Train ID","value":"156-07"},{"id":16,"name":"Locomotive ID","value":"4013"},{"id":130,"name":"Impact","value":""},{"id":150,"name":"Time of Event (Mountain Time)","value":"12:04:00"},{"id":151,"name":"Denver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21"/>
        <v>start /low /b %USERPROFILE%\Documents\GitHub\eaglep3\Utilities\DownloadLogsFromS3.py --loco 4013 --day 2017-12-07</v>
      </c>
      <c r="AN68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19:04:00"},{"id":29,"name":"Sharepoint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23"/>
        <v>https://d0f6bd738d7f1b3e5a7ca70fe4ff75f0.us-east-1.aws.found.io/app/kibana#/discover/Steve-Slow-Train-Analysis-(2080s-and-2083s)?_g=(refreshInterval:(display:Off,pause:!f,section:0,value:0),time:(from:'2017-12-07T10:10:01-0700',mode:absolute,to:'2017-12-07T13:04:00-0700'))&amp;_a=(columns:!('Message%20ID',Summary),filters:!(),index:'emp_*',interval:auto,query:(query_string:(analyze_wildcard:!t,query:'%22rtdc.l.rtdc.4013%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9" t="s">
        <v>791</v>
      </c>
      <c r="B69" s="225">
        <v>4056</v>
      </c>
      <c r="C69" s="227" t="s">
        <v>192</v>
      </c>
      <c r="D69" s="227" t="s">
        <v>956</v>
      </c>
      <c r="E69" s="226">
        <v>43076.444398148145</v>
      </c>
      <c r="F69" s="226">
        <v>43076.448240740741</v>
      </c>
      <c r="G69" s="225">
        <v>76</v>
      </c>
      <c r="H69" s="227" t="s">
        <v>957</v>
      </c>
      <c r="I69" s="226">
        <v>43076.473043981481</v>
      </c>
      <c r="J69" s="225">
        <v>1</v>
      </c>
      <c r="K69" s="237" t="str">
        <f t="shared" si="0"/>
        <v>4055/4056</v>
      </c>
      <c r="L69" s="245" t="str">
        <f>VLOOKUP(A69,'Trips&amp;Operators'!$C$1:$G$99911,5,FALSE)</f>
        <v>BADERTSCHER DIANE</v>
      </c>
      <c r="M69" s="224">
        <f t="shared" si="1"/>
        <v>2.4803240739856847E-2</v>
      </c>
      <c r="N69" s="225">
        <f t="shared" si="28"/>
        <v>35.716666665393859</v>
      </c>
      <c r="O69" s="225"/>
      <c r="P69" s="225"/>
      <c r="Q69" s="228"/>
      <c r="R69" s="242"/>
      <c r="S69" s="249">
        <f t="shared" si="24"/>
        <v>1</v>
      </c>
      <c r="T69" s="242" t="str">
        <f t="shared" si="4"/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 t="shared" si="5"/>
        <v>https://d0f6bd738d7f1b3e5a7ca70fe4ff75f0.us-east-1.aws.found.io/app/kibana#/discover/Steve-Slow-Train-Analysis-(2080s-and-2083s)?_g=(refreshInterval:(display:Off,pause:!f,section:0,value:0),time:(from:'2017-12-07T09:39:56-0700',mode:absolute,to:'2017-12-07T12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9" s="247" t="str">
        <f>IF(AA69&lt;VLOOKUP(AG69,Variables!$AC$3:$AD$8,2,FALSE),"Y","N")</f>
        <v>N</v>
      </c>
      <c r="X69" s="247">
        <f t="shared" si="25"/>
        <v>1</v>
      </c>
      <c r="Y69" s="247">
        <f t="shared" si="26"/>
        <v>4.8899999999999999E-2</v>
      </c>
      <c r="Z69" s="247">
        <f t="shared" si="27"/>
        <v>23.327000000000002</v>
      </c>
      <c r="AA69" s="247">
        <f t="shared" si="9"/>
        <v>23.278100000000002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10"/>
        <v>157</v>
      </c>
      <c r="AE69" s="235" t="str">
        <f t="shared" si="11"/>
        <v>aws s3 cp s3://rtdc.mdm.uploadarchive.raw/RTDC4056/ "%USERPROFILE%\AppData\Local\Temp\OnboardLogs"\RTDC4056\2017-12-07 --exclude "*" --recursive --include "*20171207*" &amp; "%USERPROFILE%\Documents\GitHub\mrs-test-scripts\Headless Mode &amp; Sideloading\WalkAndUnGZ.bat" "%USERPROFILE%\AppData\Local\Temp\OnboardLogs"\RTDC4056\2017-12-07 &amp; aws s3 cp s3://rtdc.mdm.uploadarchive.raw/RTDC4056/ "%USERPROFILE%\AppData\Local\Temp\OnboardLogs"\RTDC4056\2017-12-08 --exclude "*" --recursive --include "*20171208*" &amp; "%USERPROFILE%\Documents\GitHub\mrs-test-scripts\Headless Mode &amp; Sideloading\WalkAndUnGZ.bat" "%USERPROFILE%\AppData\Local\Temp\OnboardLogs"\RTDC4056\2017-12-08</v>
      </c>
      <c r="AF69" s="234" t="str">
        <f t="shared" si="12"/>
        <v>"C:\Program Files (x86)\AstroGrep\AstroGrep.exe" /e /r /s /spath="%USERPROFILE%\AppData\Local\Temp\OnboardLogs" /stypes="app*4056*20171207*" /stext=" 18:.+((SYSTEM_STATE.+slice.+state.+changed )|(ment ac)|(multiple cpu faults)|(system.+state.+changed )|(\[timeout)|(PRM\|1\|D)|(kpr)|(kdp)|(train st.+moving)|(\|lc)|(penalty))"</v>
      </c>
      <c r="AG69" s="244" t="str">
        <f t="shared" si="13"/>
        <v>EC</v>
      </c>
      <c r="AH69" s="236" t="str">
        <f t="shared" si="19"/>
        <v>"%USERPROFILE%\Documents\GitHub\eaglep3\Utilities\RefineRTDCRunTimes.py" --tripid 157-07 --locoid 4056 --swversion DE.1.0.9.0 --startMP 204:489 --initTime 2017-12-07T10:39:56 --startdatetime 2017-12-07T10:45:28 --delay 76 --endMP 204:233270 --enddatetime 2017-12-07T11:21:11 --enforcementcount 1 &gt;&gt;%USERPROFILE%\Documents\GitHub\eaglep3-reporting\EC\2017-12-07-refined-times.txt</v>
      </c>
      <c r="AI69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{"issue":{"subject":"","project_id":79,"tracker_id":40,"status_id":1,"priority_id":2,"assigned_to_id":338,"start_date":"2017-12-07","description":"","custom_fields":[{"id":1,"name":"Subdivision","value":"EC"},{"id":4,"name":"Milepost","value":"23.327"},{"id":17,"name":"Train ID","value":"157-07"},{"id":16,"name":"Locomotive ID","value":"4056"},{"id":130,"name":"Impact","value":""},{"id":150,"name":"Time of Event (Mountain Time)","value":"11:21:11"},{"id":151,"name":"Denver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21"/>
        <v>start /low /b %USERPROFILE%\Documents\GitHub\eaglep3\Utilities\DownloadLogsFromS3.py --loco 4056 --day 2017-12-07</v>
      </c>
      <c r="AN69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18:21:11"},{"id":29,"name":"Sharepoint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23"/>
        <v>https://d0f6bd738d7f1b3e5a7ca70fe4ff75f0.us-east-1.aws.found.io/app/kibana#/discover/Steve-Slow-Train-Analysis-(2080s-and-2083s)?_g=(refreshInterval:(display:Off,pause:!f,section:0,value:0),time:(from:'2017-12-07T09:39:56-0700',mode:absolute,to:'2017-12-07T12:21:11-0700'))&amp;_a=(columns:!('Message%20ID',Summary),filters:!(),index:'emp_*',interval:auto,query:(query_string:(analyze_wildcard:!t,query:'%22rtdc.l.rtdc.4056%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9" t="s">
        <v>685</v>
      </c>
      <c r="B70" s="225">
        <v>4055</v>
      </c>
      <c r="C70" s="227" t="s">
        <v>192</v>
      </c>
      <c r="D70" s="227" t="s">
        <v>537</v>
      </c>
      <c r="E70" s="226">
        <v>43076.483877314815</v>
      </c>
      <c r="F70" s="226">
        <v>43076.487673611111</v>
      </c>
      <c r="G70" s="225">
        <v>77</v>
      </c>
      <c r="H70" s="227" t="s">
        <v>958</v>
      </c>
      <c r="I70" s="226">
        <v>43076.515763888892</v>
      </c>
      <c r="J70" s="225">
        <v>1</v>
      </c>
      <c r="K70" s="237" t="str">
        <f t="shared" si="0"/>
        <v>4055/4056</v>
      </c>
      <c r="L70" s="245" t="str">
        <f>VLOOKUP(A70,'Trips&amp;Operators'!$C$1:$G$99911,5,FALSE)</f>
        <v>BADERTSCHER DIANE</v>
      </c>
      <c r="M70" s="224">
        <f t="shared" si="1"/>
        <v>2.8090277781302575E-2</v>
      </c>
      <c r="N70" s="225">
        <f t="shared" si="28"/>
        <v>40.450000005075708</v>
      </c>
      <c r="O70" s="225"/>
      <c r="P70" s="225"/>
      <c r="Q70" s="228"/>
      <c r="R70" s="242"/>
      <c r="S70" s="249">
        <f t="shared" si="24"/>
        <v>1</v>
      </c>
      <c r="T70" s="242" t="str">
        <f t="shared" si="4"/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 t="shared" si="5"/>
        <v>https://d0f6bd738d7f1b3e5a7ca70fe4ff75f0.us-east-1.aws.found.io/app/kibana#/discover/Steve-Slow-Train-Analysis-(2080s-and-2083s)?_g=(refreshInterval:(display:Off,pause:!f,section:0,value:0),time:(from:'2017-12-07T10:36:47-0700',mode:absolute,to:'2017-12-07T13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0" s="247" t="str">
        <f>IF(AA70&lt;VLOOKUP(AG70,Variables!$AC$3:$AD$8,2,FALSE),"Y","N")</f>
        <v>N</v>
      </c>
      <c r="X70" s="247">
        <f t="shared" si="25"/>
        <v>1</v>
      </c>
      <c r="Y70" s="247">
        <f t="shared" si="26"/>
        <v>23.294599999999999</v>
      </c>
      <c r="Z70" s="247">
        <f t="shared" si="27"/>
        <v>2.3800000000000002E-2</v>
      </c>
      <c r="AA70" s="247">
        <f t="shared" si="9"/>
        <v>23.270799999999998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10"/>
        <v>158</v>
      </c>
      <c r="AE70" s="235" t="str">
        <f t="shared" si="11"/>
        <v>aws s3 cp s3://rtdc.mdm.uploadarchive.raw/RTDC4055/ "%USERPROFILE%\AppData\Local\Temp\OnboardLogs"\RTDC4055\2017-12-07 --exclude "*" --recursive --include "*20171207*" &amp; "%USERPROFILE%\Documents\GitHub\mrs-test-scripts\Headless Mode &amp; Sideloading\WalkAndUnGZ.bat" "%USERPROFILE%\AppData\Local\Temp\OnboardLogs"\RTDC4055\2017-12-07 &amp; aws s3 cp s3://rtdc.mdm.uploadarchive.raw/RTDC4055/ "%USERPROFILE%\AppData\Local\Temp\OnboardLogs"\RTDC4055\2017-12-08 --exclude "*" --recursive --include "*20171208*" &amp; "%USERPROFILE%\Documents\GitHub\mrs-test-scripts\Headless Mode &amp; Sideloading\WalkAndUnGZ.bat" "%USERPROFILE%\AppData\Local\Temp\OnboardLogs"\RTDC4055\2017-12-08</v>
      </c>
      <c r="AF70" s="234" t="str">
        <f t="shared" si="12"/>
        <v>"C:\Program Files (x86)\AstroGrep\AstroGrep.exe" /e /r /s /spath="%USERPROFILE%\AppData\Local\Temp\OnboardLogs" /stypes="app*4055*20171207*" /stext=" 19:.+((SYSTEM_STATE.+slice.+state.+changed )|(ment ac)|(multiple cpu faults)|(system.+state.+changed )|(\[timeout)|(PRM\|1\|D)|(kpr)|(kdp)|(train st.+moving)|(\|lc)|(penalty))"</v>
      </c>
      <c r="AG70" s="244" t="str">
        <f t="shared" si="13"/>
        <v>EC</v>
      </c>
      <c r="AH70" s="236" t="str">
        <f t="shared" si="19"/>
        <v>"%USERPROFILE%\Documents\GitHub\eaglep3\Utilities\RefineRTDCRunTimes.py" --tripid 158-07 --locoid 4055 --swversion DE.1.0.9.0 --startMP 204:232946 --initTime 2017-12-07T11:36:47 --startdatetime 2017-12-07T11:42:15 --delay 77 --endMP 204:238 --enddatetime 2017-12-07T12:22:42 --enforcementcount 1 &gt;&gt;%USERPROFILE%\Documents\GitHub\eaglep3-reporting\EC\2017-12-07-refined-times.txt</v>
      </c>
      <c r="AI70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{"issue":{"subject":"","project_id":79,"tracker_id":40,"status_id":1,"priority_id":2,"assigned_to_id":338,"start_date":"2017-12-07","description":"","custom_fields":[{"id":1,"name":"Subdivision","value":"EC"},{"id":4,"name":"Milepost","value":"0.0238"},{"id":17,"name":"Train ID","value":"158-07"},{"id":16,"name":"Locomotive ID","value":"4055"},{"id":130,"name":"Impact","value":""},{"id":150,"name":"Time of Event (Mountain Time)","value":"12:22:42"},{"id":151,"name":"Denver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21"/>
        <v>start /low /b %USERPROFILE%\Documents\GitHub\eaglep3\Utilities\DownloadLogsFromS3.py --loco 4055 --day 2017-12-07</v>
      </c>
      <c r="AN70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19:22:42"},{"id":29,"name":"Sharepoint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23"/>
        <v>https://d0f6bd738d7f1b3e5a7ca70fe4ff75f0.us-east-1.aws.found.io/app/kibana#/discover/Steve-Slow-Train-Analysis-(2080s-and-2083s)?_g=(refreshInterval:(display:Off,pause:!f,section:0,value:0),time:(from:'2017-12-07T10:36:47-0700',mode:absolute,to:'2017-12-07T13:22:42-0700'))&amp;_a=(columns:!('Message%20ID',Summary),filters:!(),index:'emp_*',interval:auto,query:(query_string:(analyze_wildcard:!t,query:'%22rtdc.l.rtdc.4055%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9" t="s">
        <v>795</v>
      </c>
      <c r="B71" s="225">
        <v>4028</v>
      </c>
      <c r="C71" s="227" t="s">
        <v>192</v>
      </c>
      <c r="D71" s="227" t="s">
        <v>415</v>
      </c>
      <c r="E71" s="226">
        <v>43076.453912037039</v>
      </c>
      <c r="F71" s="226">
        <v>43076.45853009259</v>
      </c>
      <c r="G71" s="225">
        <v>55</v>
      </c>
      <c r="H71" s="227" t="s">
        <v>618</v>
      </c>
      <c r="I71" s="226">
        <v>43076.483981481484</v>
      </c>
      <c r="J71" s="225">
        <v>1</v>
      </c>
      <c r="K71" s="237" t="str">
        <f t="shared" si="0"/>
        <v>4027/4028</v>
      </c>
      <c r="L71" s="245" t="str">
        <f>VLOOKUP(A71,'Trips&amp;Operators'!$C$1:$G$99911,5,FALSE)</f>
        <v>DAVIDSON DAVID</v>
      </c>
      <c r="M71" s="224">
        <f t="shared" si="1"/>
        <v>2.5451388893998228E-2</v>
      </c>
      <c r="N71" s="225">
        <f t="shared" si="28"/>
        <v>36.650000007357448</v>
      </c>
      <c r="O71" s="225"/>
      <c r="P71" s="225"/>
      <c r="Q71" s="228"/>
      <c r="R71" s="242"/>
      <c r="S71" s="249">
        <f t="shared" si="24"/>
        <v>1</v>
      </c>
      <c r="T71" s="242" t="str">
        <f t="shared" si="4"/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5"/>
        <v>https://d0f6bd738d7f1b3e5a7ca70fe4ff75f0.us-east-1.aws.found.io/app/kibana#/discover/Steve-Slow-Train-Analysis-(2080s-and-2083s)?_g=(refreshInterval:(display:Off,pause:!f,section:0,value:0),time:(from:'2017-12-07T09:53:38-0700',mode:absolute,to:'2017-12-07T12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1" s="247" t="str">
        <f>IF(AA71&lt;VLOOKUP(AG71,Variables!$AC$3:$AD$8,2,FALSE),"Y","N")</f>
        <v>N</v>
      </c>
      <c r="X71" s="247">
        <f t="shared" si="25"/>
        <v>1</v>
      </c>
      <c r="Y71" s="247">
        <f t="shared" si="26"/>
        <v>5.0799999999999998E-2</v>
      </c>
      <c r="Z71" s="247">
        <f t="shared" si="27"/>
        <v>23.3278</v>
      </c>
      <c r="AA71" s="247">
        <f t="shared" si="9"/>
        <v>23.277000000000001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10"/>
        <v>159</v>
      </c>
      <c r="AE71" s="235" t="str">
        <f t="shared" si="11"/>
        <v>aws s3 cp s3://rtdc.mdm.uploadarchive.raw/RTDC4028/ "%USERPROFILE%\AppData\Local\Temp\OnboardLogs"\RTDC4028\2017-12-07 --exclude "*" --recursive --include "*20171207*" &amp; "%USERPROFILE%\Documents\GitHub\mrs-test-scripts\Headless Mode &amp; Sideloading\WalkAndUnGZ.bat" "%USERPROFILE%\AppData\Local\Temp\OnboardLogs"\RTDC4028\2017-12-07 &amp; aws s3 cp s3://rtdc.mdm.uploadarchive.raw/RTDC4028/ "%USERPROFILE%\AppData\Local\Temp\OnboardLogs"\RTDC4028\2017-12-08 --exclude "*" --recursive --include "*20171208*" &amp; "%USERPROFILE%\Documents\GitHub\mrs-test-scripts\Headless Mode &amp; Sideloading\WalkAndUnGZ.bat" "%USERPROFILE%\AppData\Local\Temp\OnboardLogs"\RTDC4028\2017-12-08</v>
      </c>
      <c r="AF71" s="234" t="str">
        <f t="shared" si="12"/>
        <v>"C:\Program Files (x86)\AstroGrep\AstroGrep.exe" /e /r /s /spath="%USERPROFILE%\AppData\Local\Temp\OnboardLogs" /stypes="app*4028*20171207*" /stext=" 18:.+((SYSTEM_STATE.+slice.+state.+changed )|(ment ac)|(multiple cpu faults)|(system.+state.+changed )|(\[timeout)|(PRM\|1\|D)|(kpr)|(kdp)|(train st.+moving)|(\|lc)|(penalty))"</v>
      </c>
      <c r="AG71" s="244" t="str">
        <f t="shared" si="13"/>
        <v>EC</v>
      </c>
      <c r="AH71" s="236" t="str">
        <f t="shared" si="19"/>
        <v>"%USERPROFILE%\Documents\GitHub\eaglep3\Utilities\RefineRTDCRunTimes.py" --tripid 159-07 --locoid 4028 --swversion DE.1.0.9.0 --startMP 204:508 --initTime 2017-12-07T10:53:38 --startdatetime 2017-12-07T11:00:17 --delay 55 --endMP 204:233278 --enddatetime 2017-12-07T11:36:56 --enforcementcount 1 &gt;&gt;%USERPROFILE%\Documents\GitHub\eaglep3-reporting\EC\2017-12-07-refined-times.txt</v>
      </c>
      <c r="AI71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{"issue":{"subject":"","project_id":79,"tracker_id":40,"status_id":1,"priority_id":2,"assigned_to_id":338,"start_date":"2017-12-07","description":"","custom_fields":[{"id":1,"name":"Subdivision","value":"EC"},{"id":4,"name":"Milepost","value":"23.3278"},{"id":17,"name":"Train ID","value":"159-07"},{"id":16,"name":"Locomotive ID","value":"4028"},{"id":130,"name":"Impact","value":""},{"id":150,"name":"Time of Event (Mountain Time)","value":"11:36:56"},{"id":151,"name":"Denver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21"/>
        <v>start /low /b %USERPROFILE%\Documents\GitHub\eaglep3\Utilities\DownloadLogsFromS3.py --loco 4028 --day 2017-12-07</v>
      </c>
      <c r="AN71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18:36:56"},{"id":29,"name":"Sharepoint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23"/>
        <v>https://d0f6bd738d7f1b3e5a7ca70fe4ff75f0.us-east-1.aws.found.io/app/kibana#/discover/Steve-Slow-Train-Analysis-(2080s-and-2083s)?_g=(refreshInterval:(display:Off,pause:!f,section:0,value:0),time:(from:'2017-12-07T09:53:38-0700',mode:absolute,to:'2017-12-07T12:36:56-0700'))&amp;_a=(columns:!('Message%20ID',Summary),filters:!(),index:'emp_*',interval:auto,query:(query_string:(analyze_wildcard:!t,query:'%22rtdc.l.rtdc.4028%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9" t="s">
        <v>803</v>
      </c>
      <c r="B72" s="225">
        <v>4027</v>
      </c>
      <c r="C72" s="227" t="s">
        <v>192</v>
      </c>
      <c r="D72" s="227" t="s">
        <v>482</v>
      </c>
      <c r="E72" s="226">
        <v>43076.485497685186</v>
      </c>
      <c r="F72" s="226">
        <v>43076.498101851852</v>
      </c>
      <c r="G72" s="225">
        <v>49</v>
      </c>
      <c r="H72" s="227" t="s">
        <v>540</v>
      </c>
      <c r="I72" s="226">
        <v>43076.524189814816</v>
      </c>
      <c r="J72" s="225">
        <v>1</v>
      </c>
      <c r="K72" s="237" t="str">
        <f t="shared" si="0"/>
        <v>4027/4028</v>
      </c>
      <c r="L72" s="245" t="str">
        <f>VLOOKUP(A72,'Trips&amp;Operators'!$C$1:$G$99911,5,FALSE)</f>
        <v>DAVIDSON DAVID</v>
      </c>
      <c r="M72" s="224">
        <f t="shared" si="1"/>
        <v>2.6087962964083999E-2</v>
      </c>
      <c r="N72" s="225">
        <f t="shared" si="28"/>
        <v>37.566666668280959</v>
      </c>
      <c r="O72" s="225"/>
      <c r="P72" s="225"/>
      <c r="Q72" s="228"/>
      <c r="R72" s="242"/>
      <c r="S72" s="249">
        <f t="shared" si="24"/>
        <v>1</v>
      </c>
      <c r="T72" s="242" t="str">
        <f t="shared" si="4"/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5"/>
        <v>https://d0f6bd738d7f1b3e5a7ca70fe4ff75f0.us-east-1.aws.found.io/app/kibana#/discover/Steve-Slow-Train-Analysis-(2080s-and-2083s)?_g=(refreshInterval:(display:Off,pause:!f,section:0,value:0),time:(from:'2017-12-07T10:39:07-0700',mode:absolute,to:'2017-12-07T13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2" s="247" t="str">
        <f>IF(AA72&lt;VLOOKUP(AG72,Variables!$AC$3:$AD$8,2,FALSE),"Y","N")</f>
        <v>N</v>
      </c>
      <c r="X72" s="247">
        <f t="shared" si="25"/>
        <v>1</v>
      </c>
      <c r="Y72" s="247">
        <f t="shared" si="26"/>
        <v>23.296600000000002</v>
      </c>
      <c r="Z72" s="247">
        <f t="shared" si="27"/>
        <v>2.23E-2</v>
      </c>
      <c r="AA72" s="247">
        <f t="shared" si="9"/>
        <v>23.2743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10"/>
        <v>160</v>
      </c>
      <c r="AE72" s="235" t="str">
        <f t="shared" si="11"/>
        <v>aws s3 cp s3://rtdc.mdm.uploadarchive.raw/RTDC4027/ "%USERPROFILE%\AppData\Local\Temp\OnboardLogs"\RTDC4027\2017-12-07 --exclude "*" --recursive --include "*20171207*" &amp; "%USERPROFILE%\Documents\GitHub\mrs-test-scripts\Headless Mode &amp; Sideloading\WalkAndUnGZ.bat" "%USERPROFILE%\AppData\Local\Temp\OnboardLogs"\RTDC4027\2017-12-07 &amp; aws s3 cp s3://rtdc.mdm.uploadarchive.raw/RTDC4027/ "%USERPROFILE%\AppData\Local\Temp\OnboardLogs"\RTDC4027\2017-12-08 --exclude "*" --recursive --include "*20171208*" &amp; "%USERPROFILE%\Documents\GitHub\mrs-test-scripts\Headless Mode &amp; Sideloading\WalkAndUnGZ.bat" "%USERPROFILE%\AppData\Local\Temp\OnboardLogs"\RTDC4027\2017-12-08</v>
      </c>
      <c r="AF72" s="234" t="str">
        <f t="shared" si="12"/>
        <v>"C:\Program Files (x86)\AstroGrep\AstroGrep.exe" /e /r /s /spath="%USERPROFILE%\AppData\Local\Temp\OnboardLogs" /stypes="app*4027*20171207*" /stext=" 19:.+((SYSTEM_STATE.+slice.+state.+changed )|(ment ac)|(multiple cpu faults)|(system.+state.+changed )|(\[timeout)|(PRM\|1\|D)|(kpr)|(kdp)|(train st.+moving)|(\|lc)|(penalty))"</v>
      </c>
      <c r="AG72" s="244" t="str">
        <f t="shared" si="13"/>
        <v>EC</v>
      </c>
      <c r="AH72" s="236" t="str">
        <f t="shared" si="19"/>
        <v>"%USERPROFILE%\Documents\GitHub\eaglep3\Utilities\RefineRTDCRunTimes.py" --tripid 160-07 --locoid 4027 --swversion DE.1.0.9.0 --startMP 204:232966 --initTime 2017-12-07T11:39:07 --startdatetime 2017-12-07T11:57:16 --delay 49 --endMP 204:223 --enddatetime 2017-12-07T12:34:50 --enforcementcount 1 &gt;&gt;%USERPROFILE%\Documents\GitHub\eaglep3-reporting\EC\2017-12-07-refined-times.txt</v>
      </c>
      <c r="AI72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{"issue":{"subject":"","project_id":79,"tracker_id":40,"status_id":1,"priority_id":2,"assigned_to_id":338,"start_date":"2017-12-07","description":"","custom_fields":[{"id":1,"name":"Subdivision","value":"EC"},{"id":4,"name":"Milepost","value":"0.0223"},{"id":17,"name":"Train ID","value":"160-07"},{"id":16,"name":"Locomotive ID","value":"4027"},{"id":130,"name":"Impact","value":""},{"id":150,"name":"Time of Event (Mountain Time)","value":"12:34:50"},{"id":151,"name":"Denver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21"/>
        <v>start /low /b %USERPROFILE%\Documents\GitHub\eaglep3\Utilities\DownloadLogsFromS3.py --loco 4027 --day 2017-12-07</v>
      </c>
      <c r="AN72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19:34:50"},{"id":29,"name":"Sharepoint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23"/>
        <v>https://d0f6bd738d7f1b3e5a7ca70fe4ff75f0.us-east-1.aws.found.io/app/kibana#/discover/Steve-Slow-Train-Analysis-(2080s-and-2083s)?_g=(refreshInterval:(display:Off,pause:!f,section:0,value:0),time:(from:'2017-12-07T10:39:07-0700',mode:absolute,to:'2017-12-07T13:34:50-0700'))&amp;_a=(columns:!('Message%20ID',Summary),filters:!(),index:'emp_*',interval:auto,query:(query_string:(analyze_wildcard:!t,query:'%22rtdc.l.rtdc.4027%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9" t="s">
        <v>799</v>
      </c>
      <c r="B73" s="225">
        <v>4036</v>
      </c>
      <c r="C73" s="227" t="s">
        <v>192</v>
      </c>
      <c r="D73" s="227" t="s">
        <v>959</v>
      </c>
      <c r="E73" s="226">
        <v>43076.465416666666</v>
      </c>
      <c r="F73" s="226">
        <v>43076.468958333331</v>
      </c>
      <c r="G73" s="225">
        <v>146</v>
      </c>
      <c r="H73" s="227" t="s">
        <v>960</v>
      </c>
      <c r="I73" s="226">
        <v>43076.49324074074</v>
      </c>
      <c r="J73" s="225">
        <v>1</v>
      </c>
      <c r="K73" s="237" t="str">
        <f t="shared" si="0"/>
        <v>4035/4036</v>
      </c>
      <c r="L73" s="245" t="str">
        <f>VLOOKUP(A73,'Trips&amp;Operators'!$C$1:$G$99911,5,FALSE)</f>
        <v>BRUDER RICHARD</v>
      </c>
      <c r="M73" s="224">
        <f t="shared" si="1"/>
        <v>2.4282407408463769E-2</v>
      </c>
      <c r="N73" s="225">
        <f t="shared" si="28"/>
        <v>34.966666668187827</v>
      </c>
      <c r="O73" s="225"/>
      <c r="P73" s="225"/>
      <c r="Q73" s="228"/>
      <c r="R73" s="242"/>
      <c r="S73" s="249">
        <f t="shared" si="24"/>
        <v>1</v>
      </c>
      <c r="T73" s="242" t="str">
        <f t="shared" si="4"/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5"/>
        <v>https://d0f6bd738d7f1b3e5a7ca70fe4ff75f0.us-east-1.aws.found.io/app/kibana#/discover/Steve-Slow-Train-Analysis-(2080s-and-2083s)?_g=(refreshInterval:(display:Off,pause:!f,section:0,value:0),time:(from:'2017-12-07T10:10:12-0700',mode:absolute,to:'2017-12-07T12:50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3" s="247" t="str">
        <f>IF(AA73&lt;VLOOKUP(AG73,Variables!$AC$3:$AD$8,2,FALSE),"Y","N")</f>
        <v>N</v>
      </c>
      <c r="X73" s="247">
        <f t="shared" si="25"/>
        <v>1</v>
      </c>
      <c r="Y73" s="247">
        <f t="shared" si="26"/>
        <v>5.3699999999999998E-2</v>
      </c>
      <c r="Z73" s="247">
        <f t="shared" si="27"/>
        <v>23.321300000000001</v>
      </c>
      <c r="AA73" s="247">
        <f t="shared" si="9"/>
        <v>23.267600000000002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10"/>
        <v>161</v>
      </c>
      <c r="AE73" s="235" t="str">
        <f t="shared" si="11"/>
        <v>aws s3 cp s3://rtdc.mdm.uploadarchive.raw/RTDC4036/ "%USERPROFILE%\AppData\Local\Temp\OnboardLogs"\RTDC4036\2017-12-07 --exclude "*" --recursive --include "*20171207*" &amp; "%USERPROFILE%\Documents\GitHub\mrs-test-scripts\Headless Mode &amp; Sideloading\WalkAndUnGZ.bat" "%USERPROFILE%\AppData\Local\Temp\OnboardLogs"\RTDC4036\2017-12-07 &amp; aws s3 cp s3://rtdc.mdm.uploadarchive.raw/RTDC4036/ "%USERPROFILE%\AppData\Local\Temp\OnboardLogs"\RTDC4036\2017-12-08 --exclude "*" --recursive --include "*20171208*" &amp; "%USERPROFILE%\Documents\GitHub\mrs-test-scripts\Headless Mode &amp; Sideloading\WalkAndUnGZ.bat" "%USERPROFILE%\AppData\Local\Temp\OnboardLogs"\RTDC4036\2017-12-08</v>
      </c>
      <c r="AF73" s="234" t="str">
        <f t="shared" si="12"/>
        <v>"C:\Program Files (x86)\AstroGrep\AstroGrep.exe" /e /r /s /spath="%USERPROFILE%\AppData\Local\Temp\OnboardLogs" /stypes="app*4036*20171207*" /stext=" 18:.+((SYSTEM_STATE.+slice.+state.+changed )|(ment ac)|(multiple cpu faults)|(system.+state.+changed )|(\[timeout)|(PRM\|1\|D)|(kpr)|(kdp)|(train st.+moving)|(\|lc)|(penalty))"</v>
      </c>
      <c r="AG73" s="244" t="str">
        <f t="shared" si="13"/>
        <v>EC</v>
      </c>
      <c r="AH73" s="236" t="str">
        <f t="shared" si="19"/>
        <v>"%USERPROFILE%\Documents\GitHub\eaglep3\Utilities\RefineRTDCRunTimes.py" --tripid 161-07 --locoid 4036 --swversion DE.1.0.9.0 --startMP 204:537 --initTime 2017-12-07T11:10:12 --startdatetime 2017-12-07T11:15:18 --delay 146 --endMP 204:233213 --enddatetime 2017-12-07T11:50:16 --enforcementcount 1 &gt;&gt;%USERPROFILE%\Documents\GitHub\eaglep3-reporting\EC\2017-12-07-refined-times.txt</v>
      </c>
      <c r="AI73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{"issue":{"subject":"","project_id":79,"tracker_id":40,"status_id":1,"priority_id":2,"assigned_to_id":338,"start_date":"2017-12-07","description":"","custom_fields":[{"id":1,"name":"Subdivision","value":"EC"},{"id":4,"name":"Milepost","value":"23.3213"},{"id":17,"name":"Train ID","value":"161-07"},{"id":16,"name":"Locomotive ID","value":"4036"},{"id":130,"name":"Impact","value":""},{"id":150,"name":"Time of Event (Mountain Time)","value":"11:50:16"},{"id":151,"name":"Denver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21"/>
        <v>start /low /b %USERPROFILE%\Documents\GitHub\eaglep3\Utilities\DownloadLogsFromS3.py --loco 4036 --day 2017-12-07</v>
      </c>
      <c r="AN73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18:50:16"},{"id":29,"name":"Sharepoint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23"/>
        <v>https://d0f6bd738d7f1b3e5a7ca70fe4ff75f0.us-east-1.aws.found.io/app/kibana#/discover/Steve-Slow-Train-Analysis-(2080s-and-2083s)?_g=(refreshInterval:(display:Off,pause:!f,section:0,value:0),time:(from:'2017-12-07T10:10:12-0700',mode:absolute,to:'2017-12-07T12:50:16-0700'))&amp;_a=(columns:!('Message%20ID',Summary),filters:!(),index:'emp_*',interval:auto,query:(query_string:(analyze_wildcard:!t,query:'%22rtdc.l.rtdc.4036%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9" t="s">
        <v>808</v>
      </c>
      <c r="B74" s="225">
        <v>4035</v>
      </c>
      <c r="C74" s="227" t="s">
        <v>192</v>
      </c>
      <c r="D74" s="227" t="s">
        <v>961</v>
      </c>
      <c r="E74" s="226">
        <v>43076.505069444444</v>
      </c>
      <c r="F74" s="226">
        <v>43076.50849537037</v>
      </c>
      <c r="G74" s="225">
        <v>130</v>
      </c>
      <c r="H74" s="227" t="s">
        <v>510</v>
      </c>
      <c r="I74" s="226">
        <v>43076.534826388888</v>
      </c>
      <c r="J74" s="225">
        <v>1</v>
      </c>
      <c r="K74" s="237" t="str">
        <f t="shared" si="0"/>
        <v>4035/4036</v>
      </c>
      <c r="L74" s="245" t="str">
        <f>VLOOKUP(A74,'Trips&amp;Operators'!$C$1:$G$99911,5,FALSE)</f>
        <v>BRUDER RICHARD</v>
      </c>
      <c r="M74" s="224">
        <f t="shared" si="1"/>
        <v>2.6331018518249039E-2</v>
      </c>
      <c r="N74" s="225">
        <f t="shared" si="28"/>
        <v>37.916666666278616</v>
      </c>
      <c r="O74" s="225"/>
      <c r="P74" s="225"/>
      <c r="Q74" s="228"/>
      <c r="R74" s="242"/>
      <c r="S74" s="249">
        <f t="shared" si="24"/>
        <v>1</v>
      </c>
      <c r="T74" s="242" t="str">
        <f t="shared" si="4"/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5"/>
        <v>https://d0f6bd738d7f1b3e5a7ca70fe4ff75f0.us-east-1.aws.found.io/app/kibana#/discover/Steve-Slow-Train-Analysis-(2080s-and-2083s)?_g=(refreshInterval:(display:Off,pause:!f,section:0,value:0),time:(from:'2017-12-07T11:07:18-0700',mode:absolute,to:'2017-12-07T13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4" s="247" t="str">
        <f>IF(AA74&lt;VLOOKUP(AG74,Variables!$AC$3:$AD$8,2,FALSE),"Y","N")</f>
        <v>N</v>
      </c>
      <c r="X74" s="247">
        <f t="shared" si="25"/>
        <v>1</v>
      </c>
      <c r="Y74" s="247">
        <f t="shared" si="26"/>
        <v>23.2882</v>
      </c>
      <c r="Z74" s="247">
        <f t="shared" si="27"/>
        <v>2.29E-2</v>
      </c>
      <c r="AA74" s="247">
        <f t="shared" si="9"/>
        <v>23.2653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10"/>
        <v>162</v>
      </c>
      <c r="AE74" s="235" t="str">
        <f t="shared" si="11"/>
        <v>aws s3 cp s3://rtdc.mdm.uploadarchive.raw/RTDC4035/ "%USERPROFILE%\AppData\Local\Temp\OnboardLogs"\RTDC4035\2017-12-07 --exclude "*" --recursive --include "*20171207*" &amp; "%USERPROFILE%\Documents\GitHub\mrs-test-scripts\Headless Mode &amp; Sideloading\WalkAndUnGZ.bat" "%USERPROFILE%\AppData\Local\Temp\OnboardLogs"\RTDC4035\2017-12-07 &amp; aws s3 cp s3://rtdc.mdm.uploadarchive.raw/RTDC4035/ "%USERPROFILE%\AppData\Local\Temp\OnboardLogs"\RTDC4035\2017-12-08 --exclude "*" --recursive --include "*20171208*" &amp; "%USERPROFILE%\Documents\GitHub\mrs-test-scripts\Headless Mode &amp; Sideloading\WalkAndUnGZ.bat" "%USERPROFILE%\AppData\Local\Temp\OnboardLogs"\RTDC4035\2017-12-08</v>
      </c>
      <c r="AF74" s="234" t="str">
        <f t="shared" si="12"/>
        <v>"C:\Program Files (x86)\AstroGrep\AstroGrep.exe" /e /r /s /spath="%USERPROFILE%\AppData\Local\Temp\OnboardLogs" /stypes="app*4035*20171207*" /stext=" 19:.+((SYSTEM_STATE.+slice.+state.+changed )|(ment ac)|(multiple cpu faults)|(system.+state.+changed )|(\[timeout)|(PRM\|1\|D)|(kpr)|(kdp)|(train st.+moving)|(\|lc)|(penalty))"</v>
      </c>
      <c r="AG74" s="244" t="str">
        <f t="shared" si="13"/>
        <v>EC</v>
      </c>
      <c r="AH74" s="236" t="str">
        <f t="shared" si="19"/>
        <v>"%USERPROFILE%\Documents\GitHub\eaglep3\Utilities\RefineRTDCRunTimes.py" --tripid 162-07 --locoid 4035 --swversion DE.1.0.9.0 --startMP 204:232882 --initTime 2017-12-07T12:07:18 --startdatetime 2017-12-07T12:12:14 --delay 130 --endMP 204:229 --enddatetime 2017-12-07T12:50:09 --enforcementcount 1 &gt;&gt;%USERPROFILE%\Documents\GitHub\eaglep3-reporting\EC\2017-12-07-refined-times.txt</v>
      </c>
      <c r="AI74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{"issue":{"subject":"","project_id":79,"tracker_id":40,"status_id":1,"priority_id":2,"assigned_to_id":338,"start_date":"2017-12-07","description":"","custom_fields":[{"id":1,"name":"Subdivision","value":"EC"},{"id":4,"name":"Milepost","value":"0.0229"},{"id":17,"name":"Train ID","value":"162-07"},{"id":16,"name":"Locomotive ID","value":"4035"},{"id":130,"name":"Impact","value":""},{"id":150,"name":"Time of Event (Mountain Time)","value":"12:50:09"},{"id":151,"name":"Denver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21"/>
        <v>start /low /b %USERPROFILE%\Documents\GitHub\eaglep3\Utilities\DownloadLogsFromS3.py --loco 4035 --day 2017-12-07</v>
      </c>
      <c r="AN74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19:50:09"},{"id":29,"name":"Sharepoint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23"/>
        <v>https://d0f6bd738d7f1b3e5a7ca70fe4ff75f0.us-east-1.aws.found.io/app/kibana#/discover/Steve-Slow-Train-Analysis-(2080s-and-2083s)?_g=(refreshInterval:(display:Off,pause:!f,section:0,value:0),time:(from:'2017-12-07T11:07:18-0700',mode:absolute,to:'2017-12-07T13:50:09-0700'))&amp;_a=(columns:!('Message%20ID',Summary),filters:!(),index:'emp_*',interval:auto,query:(query_string:(analyze_wildcard:!t,query:'%22rtdc.l.rtdc.4035%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9" t="s">
        <v>800</v>
      </c>
      <c r="B75" s="225">
        <v>4022</v>
      </c>
      <c r="C75" s="227" t="s">
        <v>192</v>
      </c>
      <c r="D75" s="227" t="s">
        <v>959</v>
      </c>
      <c r="E75" s="226">
        <v>43076.474861111114</v>
      </c>
      <c r="F75" s="226">
        <v>43076.479421296295</v>
      </c>
      <c r="G75" s="225">
        <v>99</v>
      </c>
      <c r="H75" s="227" t="s">
        <v>962</v>
      </c>
      <c r="I75" s="226">
        <v>43076.504317129627</v>
      </c>
      <c r="J75" s="225">
        <v>1</v>
      </c>
      <c r="K75" s="237" t="str">
        <f t="shared" si="0"/>
        <v>4021/4022</v>
      </c>
      <c r="L75" s="245" t="str">
        <f>VLOOKUP(A75,'Trips&amp;Operators'!$C$1:$G$99911,5,FALSE)</f>
        <v>STEWART MICHAEL</v>
      </c>
      <c r="M75" s="224">
        <f t="shared" si="1"/>
        <v>2.4895833332266193E-2</v>
      </c>
      <c r="N75" s="225">
        <f t="shared" si="28"/>
        <v>35.849999998463318</v>
      </c>
      <c r="O75" s="225"/>
      <c r="P75" s="225"/>
      <c r="Q75" s="228"/>
      <c r="R75" s="242"/>
      <c r="S75" s="249">
        <f t="shared" si="24"/>
        <v>1</v>
      </c>
      <c r="T75" s="242" t="str">
        <f t="shared" si="4"/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5"/>
        <v>https://d0f6bd738d7f1b3e5a7ca70fe4ff75f0.us-east-1.aws.found.io/app/kibana#/discover/Steve-Slow-Train-Analysis-(2080s-and-2083s)?_g=(refreshInterval:(display:Off,pause:!f,section:0,value:0),time:(from:'2017-12-07T10:23:48-0700',mode:absolute,to:'2017-12-07T13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5" s="247" t="str">
        <f>IF(AA75&lt;VLOOKUP(AG75,Variables!$AC$3:$AD$8,2,FALSE),"Y","N")</f>
        <v>N</v>
      </c>
      <c r="X75" s="247">
        <f t="shared" si="25"/>
        <v>1</v>
      </c>
      <c r="Y75" s="247">
        <f t="shared" si="26"/>
        <v>5.3699999999999998E-2</v>
      </c>
      <c r="Z75" s="247">
        <f t="shared" si="27"/>
        <v>23.322500000000002</v>
      </c>
      <c r="AA75" s="247">
        <f t="shared" si="9"/>
        <v>23.268800000000002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10"/>
        <v>163</v>
      </c>
      <c r="AE75" s="235" t="str">
        <f t="shared" si="11"/>
        <v>aws s3 cp s3://rtdc.mdm.uploadarchive.raw/RTDC4022/ "%USERPROFILE%\AppData\Local\Temp\OnboardLogs"\RTDC4022\2017-12-07 --exclude "*" --recursive --include "*20171207*" &amp; "%USERPROFILE%\Documents\GitHub\mrs-test-scripts\Headless Mode &amp; Sideloading\WalkAndUnGZ.bat" "%USERPROFILE%\AppData\Local\Temp\OnboardLogs"\RTDC4022\2017-12-07 &amp; aws s3 cp s3://rtdc.mdm.uploadarchive.raw/RTDC4022/ "%USERPROFILE%\AppData\Local\Temp\OnboardLogs"\RTDC4022\2017-12-08 --exclude "*" --recursive --include "*20171208*" &amp; "%USERPROFILE%\Documents\GitHub\mrs-test-scripts\Headless Mode &amp; Sideloading\WalkAndUnGZ.bat" "%USERPROFILE%\AppData\Local\Temp\OnboardLogs"\RTDC4022\2017-12-08</v>
      </c>
      <c r="AF75" s="234" t="str">
        <f t="shared" si="12"/>
        <v>"C:\Program Files (x86)\AstroGrep\AstroGrep.exe" /e /r /s /spath="%USERPROFILE%\AppData\Local\Temp\OnboardLogs" /stypes="app*4022*20171207*" /stext=" 19:.+((SYSTEM_STATE.+slice.+state.+changed )|(ment ac)|(multiple cpu faults)|(system.+state.+changed )|(\[timeout)|(PRM\|1\|D)|(kpr)|(kdp)|(train st.+moving)|(\|lc)|(penalty))"</v>
      </c>
      <c r="AG75" s="244" t="str">
        <f t="shared" si="13"/>
        <v>EC</v>
      </c>
      <c r="AH75" s="236" t="str">
        <f t="shared" si="19"/>
        <v>"%USERPROFILE%\Documents\GitHub\eaglep3\Utilities\RefineRTDCRunTimes.py" --tripid 163-07 --locoid 4022 --swversion DE.1.0.9.0 --startMP 204:537 --initTime 2017-12-07T11:23:48 --startdatetime 2017-12-07T11:30:22 --delay 99 --endMP 204:233225 --enddatetime 2017-12-07T12:06:13 --enforcementcount 1 &gt;&gt;%USERPROFILE%\Documents\GitHub\eaglep3-reporting\EC\2017-12-07-refined-times.txt</v>
      </c>
      <c r="AI75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{"issue":{"subject":"","project_id":79,"tracker_id":40,"status_id":1,"priority_id":2,"assigned_to_id":338,"start_date":"2017-12-07","description":"","custom_fields":[{"id":1,"name":"Subdivision","value":"EC"},{"id":4,"name":"Milepost","value":"23.3225"},{"id":17,"name":"Train ID","value":"163-07"},{"id":16,"name":"Locomotive ID","value":"4022"},{"id":130,"name":"Impact","value":""},{"id":150,"name":"Time of Event (Mountain Time)","value":"12:06:13"},{"id":151,"name":"Denver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21"/>
        <v>start /low /b %USERPROFILE%\Documents\GitHub\eaglep3\Utilities\DownloadLogsFromS3.py --loco 4022 --day 2017-12-07</v>
      </c>
      <c r="AN75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19:06:13"},{"id":29,"name":"Sharepoint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23"/>
        <v>https://d0f6bd738d7f1b3e5a7ca70fe4ff75f0.us-east-1.aws.found.io/app/kibana#/discover/Steve-Slow-Train-Analysis-(2080s-and-2083s)?_g=(refreshInterval:(display:Off,pause:!f,section:0,value:0),time:(from:'2017-12-07T10:23:48-0700',mode:absolute,to:'2017-12-07T13:06:13-0700'))&amp;_a=(columns:!('Message%20ID',Summary),filters:!(),index:'emp_*',interval:auto,query:(query_string:(analyze_wildcard:!t,query:'%22rtdc.l.rtdc.4022%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9" t="s">
        <v>810</v>
      </c>
      <c r="B76" s="225">
        <v>4021</v>
      </c>
      <c r="C76" s="227" t="s">
        <v>192</v>
      </c>
      <c r="D76" s="227" t="s">
        <v>963</v>
      </c>
      <c r="E76" s="226">
        <v>43076.515335648146</v>
      </c>
      <c r="F76" s="226">
        <v>43076.518935185188</v>
      </c>
      <c r="G76" s="225">
        <v>74</v>
      </c>
      <c r="H76" s="227" t="s">
        <v>540</v>
      </c>
      <c r="I76" s="226">
        <v>43076.544999999998</v>
      </c>
      <c r="J76" s="225">
        <v>1</v>
      </c>
      <c r="K76" s="237" t="str">
        <f t="shared" si="0"/>
        <v>4021/4022</v>
      </c>
      <c r="L76" s="245" t="str">
        <f>VLOOKUP(A76,'Trips&amp;Operators'!$C$1:$G$99911,5,FALSE)</f>
        <v>STEWART MICHAEL</v>
      </c>
      <c r="M76" s="224">
        <f t="shared" si="1"/>
        <v>2.6064814810524695E-2</v>
      </c>
      <c r="N76" s="225">
        <f t="shared" si="28"/>
        <v>37.53333332715556</v>
      </c>
      <c r="O76" s="225"/>
      <c r="P76" s="225"/>
      <c r="Q76" s="228"/>
      <c r="R76" s="242"/>
      <c r="S76" s="249">
        <f t="shared" si="24"/>
        <v>1</v>
      </c>
      <c r="T76" s="242" t="str">
        <f t="shared" si="4"/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5"/>
        <v>https://d0f6bd738d7f1b3e5a7ca70fe4ff75f0.us-east-1.aws.found.io/app/kibana#/discover/Steve-Slow-Train-Analysis-(2080s-and-2083s)?_g=(refreshInterval:(display:Off,pause:!f,section:0,value:0),time:(from:'2017-12-07T11:22:05-0700',mode:absolute,to:'2017-12-07T14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6" s="247" t="str">
        <f>IF(AA76&lt;VLOOKUP(AG76,Variables!$AC$3:$AD$8,2,FALSE),"Y","N")</f>
        <v>N</v>
      </c>
      <c r="X76" s="247">
        <f t="shared" si="25"/>
        <v>1</v>
      </c>
      <c r="Y76" s="247">
        <f t="shared" si="26"/>
        <v>23.291899999999998</v>
      </c>
      <c r="Z76" s="247">
        <f t="shared" si="27"/>
        <v>2.23E-2</v>
      </c>
      <c r="AA76" s="247">
        <f t="shared" si="9"/>
        <v>23.269599999999997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10"/>
        <v>164</v>
      </c>
      <c r="AE76" s="235" t="str">
        <f t="shared" si="11"/>
        <v>aws s3 cp s3://rtdc.mdm.uploadarchive.raw/RTDC4021/ "%USERPROFILE%\AppData\Local\Temp\OnboardLogs"\RTDC4021\2017-12-07 --exclude "*" --recursive --include "*20171207*" &amp; "%USERPROFILE%\Documents\GitHub\mrs-test-scripts\Headless Mode &amp; Sideloading\WalkAndUnGZ.bat" "%USERPROFILE%\AppData\Local\Temp\OnboardLogs"\RTDC4021\2017-12-07 &amp; aws s3 cp s3://rtdc.mdm.uploadarchive.raw/RTDC4021/ "%USERPROFILE%\AppData\Local\Temp\OnboardLogs"\RTDC4021\2017-12-08 --exclude "*" --recursive --include "*20171208*" &amp; "%USERPROFILE%\Documents\GitHub\mrs-test-scripts\Headless Mode &amp; Sideloading\WalkAndUnGZ.bat" "%USERPROFILE%\AppData\Local\Temp\OnboardLogs"\RTDC4021\2017-12-08</v>
      </c>
      <c r="AF76" s="234" t="str">
        <f t="shared" si="12"/>
        <v>"C:\Program Files (x86)\AstroGrep\AstroGrep.exe" /e /r /s /spath="%USERPROFILE%\AppData\Local\Temp\OnboardLogs" /stypes="app*4021*20171207*" /stext=" 20:.+((SYSTEM_STATE.+slice.+state.+changed )|(ment ac)|(multiple cpu faults)|(system.+state.+changed )|(\[timeout)|(PRM\|1\|D)|(kpr)|(kdp)|(train st.+moving)|(\|lc)|(penalty))"</v>
      </c>
      <c r="AG76" s="244" t="str">
        <f t="shared" si="13"/>
        <v>EC</v>
      </c>
      <c r="AH76" s="236" t="str">
        <f t="shared" si="19"/>
        <v>"%USERPROFILE%\Documents\GitHub\eaglep3\Utilities\RefineRTDCRunTimes.py" --tripid 164-07 --locoid 4021 --swversion DE.1.0.9.0 --startMP 204:232919 --initTime 2017-12-07T12:22:05 --startdatetime 2017-12-07T12:27:16 --delay 74 --endMP 204:223 --enddatetime 2017-12-07T13:04:48 --enforcementcount 1 &gt;&gt;%USERPROFILE%\Documents\GitHub\eaglep3-reporting\EC\2017-12-07-refined-times.txt</v>
      </c>
      <c r="AI76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{"issue":{"subject":"","project_id":79,"tracker_id":40,"status_id":1,"priority_id":2,"assigned_to_id":338,"start_date":"2017-12-07","description":"","custom_fields":[{"id":1,"name":"Subdivision","value":"EC"},{"id":4,"name":"Milepost","value":"0.0223"},{"id":17,"name":"Train ID","value":"164-07"},{"id":16,"name":"Locomotive ID","value":"4021"},{"id":130,"name":"Impact","value":""},{"id":150,"name":"Time of Event (Mountain Time)","value":"13:04:48"},{"id":151,"name":"Denver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21"/>
        <v>start /low /b %USERPROFILE%\Documents\GitHub\eaglep3\Utilities\DownloadLogsFromS3.py --loco 4021 --day 2017-12-07</v>
      </c>
      <c r="AN76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20:04:48"},{"id":29,"name":"Sharepoint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23"/>
        <v>https://d0f6bd738d7f1b3e5a7ca70fe4ff75f0.us-east-1.aws.found.io/app/kibana#/discover/Steve-Slow-Train-Analysis-(2080s-and-2083s)?_g=(refreshInterval:(display:Off,pause:!f,section:0,value:0),time:(from:'2017-12-07T11:22:05-0700',mode:absolute,to:'2017-12-07T14:04:48-0700'))&amp;_a=(columns:!('Message%20ID',Summary),filters:!(),index:'emp_*',interval:auto,query:(query_string:(analyze_wildcard:!t,query:'%22rtdc.l.rtdc.4021%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9" t="s">
        <v>802</v>
      </c>
      <c r="B77" s="225">
        <v>4054</v>
      </c>
      <c r="C77" s="227" t="s">
        <v>192</v>
      </c>
      <c r="D77" s="227" t="s">
        <v>964</v>
      </c>
      <c r="E77" s="226">
        <v>43076.484479166669</v>
      </c>
      <c r="F77" s="226">
        <v>43076.489745370367</v>
      </c>
      <c r="G77" s="225">
        <v>156</v>
      </c>
      <c r="H77" s="227" t="s">
        <v>965</v>
      </c>
      <c r="I77" s="226">
        <v>43076.513715277775</v>
      </c>
      <c r="J77" s="225">
        <v>1</v>
      </c>
      <c r="K77" s="237" t="str">
        <f t="shared" ref="K77:K140" si="29">IF(ISEVEN(B77),(B77-1)&amp;"/"&amp;B77,B77&amp;"/"&amp;(B77+1))</f>
        <v>4053/4054</v>
      </c>
      <c r="L77" s="245" t="str">
        <f>VLOOKUP(A77,'Trips&amp;Operators'!$C$1:$G$99911,5,FALSE)</f>
        <v>LEVIN SCOTT</v>
      </c>
      <c r="M77" s="224">
        <f t="shared" ref="M77:M140" si="30">I77-F77</f>
        <v>2.396990740817273E-2</v>
      </c>
      <c r="N77" s="225">
        <f t="shared" si="28"/>
        <v>34.516666667768732</v>
      </c>
      <c r="O77" s="225"/>
      <c r="P77" s="225"/>
      <c r="Q77" s="228"/>
      <c r="R77" s="242"/>
      <c r="S77" s="249">
        <f t="shared" ref="S77:S108" si="31">1/IF(AG77="EC",12,1)*SUM(U77:U77)</f>
        <v>1</v>
      </c>
      <c r="T77" s="242" t="str">
        <f t="shared" ref="T77:T140" si="32"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-07T10:37:39-0700',mode:absolute,to:'2017-12-07T13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7" s="247" t="str">
        <f>IF(AA77&lt;VLOOKUP(AG77,Variables!$AC$3:$AD$8,2,FALSE),"Y","N")</f>
        <v>N</v>
      </c>
      <c r="X77" s="247">
        <f t="shared" ref="X77:X87" si="34">VALUE(LEFT(AD77,4))-VALUE(LEFT(AD76,4))</f>
        <v>1</v>
      </c>
      <c r="Y77" s="247">
        <f t="shared" ref="Y77:Y108" si="35">RIGHT(D77,LEN(D77)-4)/10000</f>
        <v>4.9299999999999997E-2</v>
      </c>
      <c r="Z77" s="247">
        <f t="shared" ref="Z77:Z108" si="36">RIGHT(H77,LEN(H77)-4)/10000</f>
        <v>23.332000000000001</v>
      </c>
      <c r="AA77" s="247">
        <f t="shared" ref="AA77:AA140" si="37">ABS(Z77-Y77)</f>
        <v>23.282700000000002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38">VALUE(LEFT(A77,LEN(A77)-3))</f>
        <v>165</v>
      </c>
      <c r="AE77" s="235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s3://rtdc.mdm.uploadarchive.raw/RTDC4054/ "%USERPROFILE%\AppData\Local\Temp\OnboardLogs"\RTDC4054\2017-12-07 --exclude "*" --recursive --include "*20171207*" &amp; "%USERPROFILE%\Documents\GitHub\mrs-test-scripts\Headless Mode &amp; Sideloading\WalkAndUnGZ.bat" "%USERPROFILE%\AppData\Local\Temp\OnboardLogs"\RTDC4054\2017-12-07 &amp; aws s3 cp s3://rtdc.mdm.uploadarchive.raw/RTDC4054/ "%USERPROFILE%\AppData\Local\Temp\OnboardLogs"\RTDC4054\2017-12-08 --exclude "*" --recursive --include "*20171208*" &amp; "%USERPROFILE%\Documents\GitHub\mrs-test-scripts\Headless Mode &amp; Sideloading\WalkAndUnGZ.bat" "%USERPROFILE%\AppData\Local\Temp\OnboardLogs"\RTDC4054\2017-12-08</v>
      </c>
      <c r="AF77" s="234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/stypes="app*4054*20171207*" /stext=" 19:.+((SYSTEM_STATE.+slice.+state.+changed )|(ment ac)|(multiple cpu faults)|(system.+state.+changed )|(\[timeout)|(PRM\|1\|D)|(kpr)|(kdp)|(train st.+moving)|(\|lc)|(penalty))"</v>
      </c>
      <c r="AG77" s="244" t="str">
        <f t="shared" ref="AG77:AG140" si="41">DetSubdiv(A77)</f>
        <v>EC</v>
      </c>
      <c r="AH77" s="236" t="str">
        <f t="shared" si="19"/>
        <v>"%USERPROFILE%\Documents\GitHub\eaglep3\Utilities\RefineRTDCRunTimes.py" --tripid 165-07 --locoid 4054 --swversion DE.1.0.9.0 --startMP 204:493 --initTime 2017-12-07T11:37:39 --startdatetime 2017-12-07T11:45:14 --delay 156 --endMP 204:233320 --enddatetime 2017-12-07T12:19:45 --enforcementcount 1 &gt;&gt;%USERPROFILE%\Documents\GitHub\eaglep3-reporting\EC\2017-12-07-refined-times.txt</v>
      </c>
      <c r="AI77" s="238" t="str">
        <f t="shared" si="20"/>
        <v>echo {"issue":{"subject":"","project_id":79,"tracker_id":40,"status_id":1,"priority_id":2,"assigned_to_id":338,"start_date":"2017-12-07","description":"","custom_fields":[{"id":1,"name":"Subdivision","value":"EC"},{"id":4,"name":"Milepost","value":"23.332"},{"id":17,"name":"Train ID","value":"165-07"},{"id":16,"name":"Locomotive ID","value":"4054"},{"id":130,"name":"Impact","value":""},{"id":150,"name":"Time of Event (Mountain Time)","value":"12:19:45"},{"id":151,"name":"Denver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21"/>
        <v>start /low /b %USERPROFILE%\Documents\GitHub\eaglep3\Utilities\DownloadLogsFromS3.py --loco 4054 --day 2017-12-07</v>
      </c>
      <c r="AN77" s="241" t="str">
        <f t="shared" si="22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19:19:45"},{"id":29,"name":"Sharepoint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23"/>
        <v>https://d0f6bd738d7f1b3e5a7ca70fe4ff75f0.us-east-1.aws.found.io/app/kibana#/discover/Steve-Slow-Train-Analysis-(2080s-and-2083s)?_g=(refreshInterval:(display:Off,pause:!f,section:0,value:0),time:(from:'2017-12-07T10:37:39-0700',mode:absolute,to:'2017-12-07T13:19:45-0700'))&amp;_a=(columns:!('Message%20ID',Summary),filters:!(),index:'emp_*',interval:auto,query:(query_string:(analyze_wildcard:!t,query:'%22rtdc.l.rtdc.4054%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9" t="s">
        <v>812</v>
      </c>
      <c r="B78" s="225">
        <v>4053</v>
      </c>
      <c r="C78" s="227" t="s">
        <v>192</v>
      </c>
      <c r="D78" s="227" t="s">
        <v>929</v>
      </c>
      <c r="E78" s="226">
        <v>43076.524305555555</v>
      </c>
      <c r="F78" s="226">
        <v>43076.529351851852</v>
      </c>
      <c r="G78" s="225">
        <v>98</v>
      </c>
      <c r="H78" s="227" t="s">
        <v>461</v>
      </c>
      <c r="I78" s="226">
        <v>43076.555555555555</v>
      </c>
      <c r="J78" s="225">
        <v>1</v>
      </c>
      <c r="K78" s="237" t="str">
        <f t="shared" si="29"/>
        <v>4053/4054</v>
      </c>
      <c r="L78" s="245" t="str">
        <f>VLOOKUP(A78,'Trips&amp;Operators'!$C$1:$G$99911,5,FALSE)</f>
        <v>LEVIN SCOTT</v>
      </c>
      <c r="M78" s="224">
        <f t="shared" si="30"/>
        <v>2.6203703702776693E-2</v>
      </c>
      <c r="N78" s="225">
        <f t="shared" si="28"/>
        <v>37.733333331998438</v>
      </c>
      <c r="O78" s="225"/>
      <c r="P78" s="225"/>
      <c r="Q78" s="228"/>
      <c r="R78" s="242"/>
      <c r="S78" s="249">
        <f t="shared" si="31"/>
        <v>1</v>
      </c>
      <c r="T78" s="242" t="str">
        <f t="shared" si="32"/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33"/>
        <v>https://d0f6bd738d7f1b3e5a7ca70fe4ff75f0.us-east-1.aws.found.io/app/kibana#/discover/Steve-Slow-Train-Analysis-(2080s-and-2083s)?_g=(refreshInterval:(display:Off,pause:!f,section:0,value:0),time:(from:'2017-12-07T11:35:00-0700',mode:absolute,to:'2017-12-07T14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8" s="247" t="str">
        <f>IF(AA78&lt;VLOOKUP(AG78,Variables!$AC$3:$AD$8,2,FALSE),"Y","N")</f>
        <v>N</v>
      </c>
      <c r="X78" s="247">
        <f t="shared" si="34"/>
        <v>1</v>
      </c>
      <c r="Y78" s="247">
        <f t="shared" si="35"/>
        <v>23.2986</v>
      </c>
      <c r="Z78" s="247">
        <f t="shared" si="36"/>
        <v>1.6299999999999999E-2</v>
      </c>
      <c r="AA78" s="247">
        <f t="shared" si="37"/>
        <v>23.282299999999999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38"/>
        <v>166</v>
      </c>
      <c r="AE78" s="235" t="str">
        <f t="shared" si="39"/>
        <v>aws s3 cp s3://rtdc.mdm.uploadarchive.raw/RTDC4053/ "%USERPROFILE%\AppData\Local\Temp\OnboardLogs"\RTDC4053\2017-12-07 --exclude "*" --recursive --include "*20171207*" &amp; "%USERPROFILE%\Documents\GitHub\mrs-test-scripts\Headless Mode &amp; Sideloading\WalkAndUnGZ.bat" "%USERPROFILE%\AppData\Local\Temp\OnboardLogs"\RTDC4053\2017-12-07 &amp; aws s3 cp s3://rtdc.mdm.uploadarchive.raw/RTDC4053/ "%USERPROFILE%\AppData\Local\Temp\OnboardLogs"\RTDC4053\2017-12-08 --exclude "*" --recursive --include "*20171208*" &amp; "%USERPROFILE%\Documents\GitHub\mrs-test-scripts\Headless Mode &amp; Sideloading\WalkAndUnGZ.bat" "%USERPROFILE%\AppData\Local\Temp\OnboardLogs"\RTDC4053\2017-12-08</v>
      </c>
      <c r="AF78" s="234" t="str">
        <f t="shared" si="40"/>
        <v>"C:\Program Files (x86)\AstroGrep\AstroGrep.exe" /e /r /s /spath="%USERPROFILE%\AppData\Local\Temp\OnboardLogs" /stypes="app*4053*20171207*" /stext=" 20:.+((SYSTEM_STATE.+slice.+state.+changed )|(ment ac)|(multiple cpu faults)|(system.+state.+changed )|(\[timeout)|(PRM\|1\|D)|(kpr)|(kdp)|(train st.+moving)|(\|lc)|(penalty))"</v>
      </c>
      <c r="AG78" s="244" t="str">
        <f t="shared" si="41"/>
        <v>EC</v>
      </c>
      <c r="AH78" s="236" t="str">
        <f t="shared" ref="AH78:AH140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166-07 --locoid 4053 --swversion DE.1.0.9.0 --startMP 204:232986 --initTime 2017-12-07T12:35:00 --startdatetime 2017-12-07T12:42:16 --delay 98 --endMP 204:163 --enddatetime 2017-12-07T13:20:00 --enforcementcount 1 &gt;&gt;%USERPROFILE%\Documents\GitHub\eaglep3-reporting\EC\2017-12-07-refined-times.txt</v>
      </c>
      <c r="AI78" s="238" t="str">
        <f t="shared" ref="AI78:AI140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{"issue":{"subject":"","project_id":79,"tracker_id":40,"status_id":1,"priority_id":2,"assigned_to_id":338,"start_date":"2017-12-07","description":"","custom_fields":[{"id":1,"name":"Subdivision","value":"EC"},{"id":4,"name":"Milepost","value":"0.0163"},{"id":17,"name":"Train ID","value":"166-07"},{"id":16,"name":"Locomotive ID","value":"4053"},{"id":130,"name":"Impact","value":""},{"id":150,"name":"Time of Event (Mountain Time)","value":"13:20:00"},{"id":151,"name":"Denver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0" si="44">"start /low /b "&amp;dls3logs&amp;" --loco "&amp;B78&amp;" --day "&amp;TEXT(F78,"YYYY-MM-DD")</f>
        <v>start /low /b %USERPROFILE%\Documents\GitHub\eaglep3\Utilities\DownloadLogsFromS3.py --loco 4053 --day 2017-12-07</v>
      </c>
      <c r="AN78" s="241" t="str">
        <f t="shared" ref="AN78:AN140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20:20:00"},{"id":29,"name":"Sharepoint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0" si="46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-07T11:35:00-0700',mode:absolute,to:'2017-12-07T14:20:00-0700'))&amp;_a=(columns:!('Message%20ID',Summary),filters:!(),index:'emp_*',interval:auto,query:(query_string:(analyze_wildcard:!t,query:'%22rtdc.l.rtdc.4053%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9" t="s">
        <v>804</v>
      </c>
      <c r="B79" s="225">
        <v>4060</v>
      </c>
      <c r="C79" s="227" t="s">
        <v>192</v>
      </c>
      <c r="D79" s="227" t="s">
        <v>464</v>
      </c>
      <c r="E79" s="226">
        <v>43076.495972222219</v>
      </c>
      <c r="F79" s="226">
        <v>43076.500150462962</v>
      </c>
      <c r="G79" s="225">
        <v>93</v>
      </c>
      <c r="H79" s="227" t="s">
        <v>943</v>
      </c>
      <c r="I79" s="226">
        <v>43076.524930555555</v>
      </c>
      <c r="J79" s="225">
        <v>1</v>
      </c>
      <c r="K79" s="237" t="str">
        <f t="shared" si="29"/>
        <v>4059/4060</v>
      </c>
      <c r="L79" s="245" t="str">
        <f>VLOOKUP(A79,'Trips&amp;Operators'!$C$1:$G$99911,5,FALSE)</f>
        <v>ROBINSON KADDIBA</v>
      </c>
      <c r="M79" s="224">
        <f t="shared" si="30"/>
        <v>2.4780092593573499E-2</v>
      </c>
      <c r="N79" s="225">
        <f t="shared" si="28"/>
        <v>35.683333334745839</v>
      </c>
      <c r="O79" s="225"/>
      <c r="P79" s="225"/>
      <c r="Q79" s="228"/>
      <c r="R79" s="242"/>
      <c r="S79" s="249">
        <f t="shared" si="31"/>
        <v>1</v>
      </c>
      <c r="T79" s="242" t="str">
        <f t="shared" si="32"/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33"/>
        <v>https://d0f6bd738d7f1b3e5a7ca70fe4ff75f0.us-east-1.aws.found.io/app/kibana#/discover/Steve-Slow-Train-Analysis-(2080s-and-2083s)?_g=(refreshInterval:(display:Off,pause:!f,section:0,value:0),time:(from:'2017-12-07T10:54:12-0700',mode:absolute,to:'2017-12-07T13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9" s="247" t="str">
        <f>IF(AA79&lt;VLOOKUP(AG79,Variables!$AC$3:$AD$8,2,FALSE),"Y","N")</f>
        <v>N</v>
      </c>
      <c r="X79" s="247">
        <f t="shared" si="34"/>
        <v>1</v>
      </c>
      <c r="Y79" s="247">
        <f t="shared" si="35"/>
        <v>4.8399999999999999E-2</v>
      </c>
      <c r="Z79" s="247">
        <f t="shared" si="36"/>
        <v>23.328700000000001</v>
      </c>
      <c r="AA79" s="247">
        <f t="shared" si="37"/>
        <v>23.2803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38"/>
        <v>167</v>
      </c>
      <c r="AE79" s="235" t="str">
        <f t="shared" si="39"/>
        <v>aws s3 cp s3://rtdc.mdm.uploadarchive.raw/RTDC4060/ "%USERPROFILE%\AppData\Local\Temp\OnboardLogs"\RTDC4060\2017-12-07 --exclude "*" --recursive --include "*20171207*" &amp; "%USERPROFILE%\Documents\GitHub\mrs-test-scripts\Headless Mode &amp; Sideloading\WalkAndUnGZ.bat" "%USERPROFILE%\AppData\Local\Temp\OnboardLogs"\RTDC4060\2017-12-07 &amp; aws s3 cp s3://rtdc.mdm.uploadarchive.raw/RTDC4060/ "%USERPROFILE%\AppData\Local\Temp\OnboardLogs"\RTDC4060\2017-12-08 --exclude "*" --recursive --include "*20171208*" &amp; "%USERPROFILE%\Documents\GitHub\mrs-test-scripts\Headless Mode &amp; Sideloading\WalkAndUnGZ.bat" "%USERPROFILE%\AppData\Local\Temp\OnboardLogs"\RTDC4060\2017-12-08</v>
      </c>
      <c r="AF79" s="234" t="str">
        <f t="shared" si="40"/>
        <v>"C:\Program Files (x86)\AstroGrep\AstroGrep.exe" /e /r /s /spath="%USERPROFILE%\AppData\Local\Temp\OnboardLogs" /stypes="app*4060*20171207*" /stext=" 19:.+((SYSTEM_STATE.+slice.+state.+changed )|(ment ac)|(multiple cpu faults)|(system.+state.+changed )|(\[timeout)|(PRM\|1\|D)|(kpr)|(kdp)|(train st.+moving)|(\|lc)|(penalty))"</v>
      </c>
      <c r="AG79" s="244" t="str">
        <f t="shared" si="41"/>
        <v>EC</v>
      </c>
      <c r="AH79" s="236" t="str">
        <f t="shared" si="42"/>
        <v>"%USERPROFILE%\Documents\GitHub\eaglep3\Utilities\RefineRTDCRunTimes.py" --tripid 167-07 --locoid 4060 --swversion DE.1.0.9.0 --startMP 204:484 --initTime 2017-12-07T11:54:12 --startdatetime 2017-12-07T12:00:13 --delay 93 --endMP 204:233287 --enddatetime 2017-12-07T12:35:54 --enforcementcount 1 &gt;&gt;%USERPROFILE%\Documents\GitHub\eaglep3-reporting\EC\2017-12-07-refined-times.txt</v>
      </c>
      <c r="AI79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{"issue":{"subject":"","project_id":79,"tracker_id":40,"status_id":1,"priority_id":2,"assigned_to_id":338,"start_date":"2017-12-07","description":"","custom_fields":[{"id":1,"name":"Subdivision","value":"EC"},{"id":4,"name":"Milepost","value":"23.3287"},{"id":17,"name":"Train ID","value":"167-07"},{"id":16,"name":"Locomotive ID","value":"4060"},{"id":130,"name":"Impact","value":""},{"id":150,"name":"Time of Event (Mountain Time)","value":"12:35:54"},{"id":151,"name":"Denver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44"/>
        <v>start /low /b %USERPROFILE%\Documents\GitHub\eaglep3\Utilities\DownloadLogsFromS3.py --loco 4060 --day 2017-12-07</v>
      </c>
      <c r="AN79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19:35:54"},{"id":29,"name":"Sharepoint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46"/>
        <v>https://d0f6bd738d7f1b3e5a7ca70fe4ff75f0.us-east-1.aws.found.io/app/kibana#/discover/Steve-Slow-Train-Analysis-(2080s-and-2083s)?_g=(refreshInterval:(display:Off,pause:!f,section:0,value:0),time:(from:'2017-12-07T10:54:12-0700',mode:absolute,to:'2017-12-07T13:35:54-0700'))&amp;_a=(columns:!('Message%20ID',Summary),filters:!(),index:'emp_*',interval:auto,query:(query_string:(analyze_wildcard:!t,query:'%22rtdc.l.rtdc.4060%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9" t="s">
        <v>814</v>
      </c>
      <c r="B80" s="225">
        <v>4059</v>
      </c>
      <c r="C80" s="227" t="s">
        <v>192</v>
      </c>
      <c r="D80" s="227" t="s">
        <v>546</v>
      </c>
      <c r="E80" s="226">
        <v>43076.530474537038</v>
      </c>
      <c r="F80" s="226">
        <v>43076.539722222224</v>
      </c>
      <c r="G80" s="225">
        <v>63</v>
      </c>
      <c r="H80" s="227" t="s">
        <v>966</v>
      </c>
      <c r="I80" s="226">
        <v>43076.567129629628</v>
      </c>
      <c r="J80" s="225">
        <v>1</v>
      </c>
      <c r="K80" s="237" t="str">
        <f t="shared" si="29"/>
        <v>4059/4060</v>
      </c>
      <c r="L80" s="245" t="str">
        <f>VLOOKUP(A80,'Trips&amp;Operators'!$C$1:$G$99911,5,FALSE)</f>
        <v>ROBINSON KADDIBA</v>
      </c>
      <c r="M80" s="224">
        <f t="shared" si="30"/>
        <v>2.7407407404098194E-2</v>
      </c>
      <c r="N80" s="225">
        <f t="shared" si="28"/>
        <v>39.466666661901399</v>
      </c>
      <c r="O80" s="225"/>
      <c r="P80" s="225"/>
      <c r="Q80" s="228"/>
      <c r="R80" s="242"/>
      <c r="S80" s="249">
        <f t="shared" si="31"/>
        <v>1</v>
      </c>
      <c r="T80" s="242" t="str">
        <f t="shared" si="32"/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33"/>
        <v>https://d0f6bd738d7f1b3e5a7ca70fe4ff75f0.us-east-1.aws.found.io/app/kibana#/discover/Steve-Slow-Train-Analysis-(2080s-and-2083s)?_g=(refreshInterval:(display:Off,pause:!f,section:0,value:0),time:(from:'2017-12-07T11:43:53-0700',mode:absolute,to:'2017-12-07T14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0" s="247" t="str">
        <f>IF(AA80&lt;VLOOKUP(AG80,Variables!$AC$3:$AD$8,2,FALSE),"Y","N")</f>
        <v>N</v>
      </c>
      <c r="X80" s="247">
        <f t="shared" si="34"/>
        <v>1</v>
      </c>
      <c r="Y80" s="247">
        <f t="shared" si="35"/>
        <v>23.299399999999999</v>
      </c>
      <c r="Z80" s="247">
        <f t="shared" si="36"/>
        <v>5.3499999999999999E-2</v>
      </c>
      <c r="AA80" s="247">
        <f t="shared" si="37"/>
        <v>23.245899999999999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38"/>
        <v>168</v>
      </c>
      <c r="AE80" s="235" t="str">
        <f t="shared" si="39"/>
        <v>aws s3 cp s3://rtdc.mdm.uploadarchive.raw/RTDC4059/ "%USERPROFILE%\AppData\Local\Temp\OnboardLogs"\RTDC4059\2017-12-07 --exclude "*" --recursive --include "*20171207*" &amp; "%USERPROFILE%\Documents\GitHub\mrs-test-scripts\Headless Mode &amp; Sideloading\WalkAndUnGZ.bat" "%USERPROFILE%\AppData\Local\Temp\OnboardLogs"\RTDC4059\2017-12-07 &amp; aws s3 cp s3://rtdc.mdm.uploadarchive.raw/RTDC4059/ "%USERPROFILE%\AppData\Local\Temp\OnboardLogs"\RTDC4059\2017-12-08 --exclude "*" --recursive --include "*20171208*" &amp; "%USERPROFILE%\Documents\GitHub\mrs-test-scripts\Headless Mode &amp; Sideloading\WalkAndUnGZ.bat" "%USERPROFILE%\AppData\Local\Temp\OnboardLogs"\RTDC4059\2017-12-08</v>
      </c>
      <c r="AF80" s="234" t="str">
        <f t="shared" si="40"/>
        <v>"C:\Program Files (x86)\AstroGrep\AstroGrep.exe" /e /r /s /spath="%USERPROFILE%\AppData\Local\Temp\OnboardLogs" /stypes="app*4059*20171207*" /stext=" 20:.+((SYSTEM_STATE.+slice.+state.+changed )|(ment ac)|(multiple cpu faults)|(system.+state.+changed )|(\[timeout)|(PRM\|1\|D)|(kpr)|(kdp)|(train st.+moving)|(\|lc)|(penalty))"</v>
      </c>
      <c r="AG80" s="244" t="str">
        <f t="shared" si="41"/>
        <v>EC</v>
      </c>
      <c r="AH80" s="236" t="str">
        <f t="shared" si="42"/>
        <v>"%USERPROFILE%\Documents\GitHub\eaglep3\Utilities\RefineRTDCRunTimes.py" --tripid 168-07 --locoid 4059 --swversion DE.1.0.9.0 --startMP 204:232994 --initTime 2017-12-07T12:43:53 --startdatetime 2017-12-07T12:57:12 --delay 63 --endMP 204:535 --enddatetime 2017-12-07T13:36:40 --enforcementcount 1 &gt;&gt;%USERPROFILE%\Documents\GitHub\eaglep3-reporting\EC\2017-12-07-refined-times.txt</v>
      </c>
      <c r="AI80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{"issue":{"subject":"","project_id":79,"tracker_id":40,"status_id":1,"priority_id":2,"assigned_to_id":338,"start_date":"2017-12-07","description":"","custom_fields":[{"id":1,"name":"Subdivision","value":"EC"},{"id":4,"name":"Milepost","value":"0.0535"},{"id":17,"name":"Train ID","value":"168-07"},{"id":16,"name":"Locomotive ID","value":"4059"},{"id":130,"name":"Impact","value":""},{"id":150,"name":"Time of Event (Mountain Time)","value":"13:36:40"},{"id":151,"name":"Denver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44"/>
        <v>start /low /b %USERPROFILE%\Documents\GitHub\eaglep3\Utilities\DownloadLogsFromS3.py --loco 4059 --day 2017-12-07</v>
      </c>
      <c r="AN80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20:36:40"},{"id":29,"name":"Sharepoint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46"/>
        <v>https://d0f6bd738d7f1b3e5a7ca70fe4ff75f0.us-east-1.aws.found.io/app/kibana#/discover/Steve-Slow-Train-Analysis-(2080s-and-2083s)?_g=(refreshInterval:(display:Off,pause:!f,section:0,value:0),time:(from:'2017-12-07T11:43:53-0700',mode:absolute,to:'2017-12-07T14:36:40-0700'))&amp;_a=(columns:!('Message%20ID',Summary),filters:!(),index:'emp_*',interval:auto,query:(query_string:(analyze_wildcard:!t,query:'%22rtdc.l.rtdc.4059%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9" t="s">
        <v>809</v>
      </c>
      <c r="B81" s="225">
        <v>4014</v>
      </c>
      <c r="C81" s="227" t="s">
        <v>192</v>
      </c>
      <c r="D81" s="227" t="s">
        <v>486</v>
      </c>
      <c r="E81" s="226">
        <v>43076.506006944444</v>
      </c>
      <c r="F81" s="226">
        <v>43076.510601851849</v>
      </c>
      <c r="G81" s="225">
        <v>95</v>
      </c>
      <c r="H81" s="227" t="s">
        <v>967</v>
      </c>
      <c r="I81" s="226">
        <v>43076.535300925927</v>
      </c>
      <c r="J81" s="225">
        <v>1</v>
      </c>
      <c r="K81" s="237" t="str">
        <f t="shared" si="29"/>
        <v>4013/4014</v>
      </c>
      <c r="L81" s="245" t="str">
        <f>VLOOKUP(A81,'Trips&amp;Operators'!$C$1:$G$99911,5,FALSE)</f>
        <v>LEVERE CRAIG</v>
      </c>
      <c r="M81" s="224">
        <f t="shared" si="30"/>
        <v>2.4699074077943806E-2</v>
      </c>
      <c r="N81" s="225">
        <f t="shared" si="28"/>
        <v>35.56666667223908</v>
      </c>
      <c r="O81" s="225"/>
      <c r="P81" s="225"/>
      <c r="Q81" s="228"/>
      <c r="R81" s="242"/>
      <c r="S81" s="249">
        <f t="shared" si="31"/>
        <v>1</v>
      </c>
      <c r="T81" s="242" t="str">
        <f t="shared" si="32"/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33"/>
        <v>https://d0f6bd738d7f1b3e5a7ca70fe4ff75f0.us-east-1.aws.found.io/app/kibana#/discover/Steve-Slow-Train-Analysis-(2080s-and-2083s)?_g=(refreshInterval:(display:Off,pause:!f,section:0,value:0),time:(from:'2017-12-07T11:08:39-0700',mode:absolute,to:'2017-12-07T13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1" s="247" t="str">
        <f>IF(AA81&lt;VLOOKUP(AG81,Variables!$AC$3:$AD$8,2,FALSE),"Y","N")</f>
        <v>N</v>
      </c>
      <c r="X81" s="247">
        <f t="shared" si="34"/>
        <v>1</v>
      </c>
      <c r="Y81" s="247">
        <f t="shared" si="35"/>
        <v>4.6600000000000003E-2</v>
      </c>
      <c r="Z81" s="247">
        <f t="shared" si="36"/>
        <v>23.3247</v>
      </c>
      <c r="AA81" s="247">
        <f t="shared" si="37"/>
        <v>23.278099999999998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38"/>
        <v>169</v>
      </c>
      <c r="AE81" s="235" t="str">
        <f t="shared" si="39"/>
        <v>aws s3 cp s3://rtdc.mdm.uploadarchive.raw/RTDC4014/ "%USERPROFILE%\AppData\Local\Temp\OnboardLogs"\RTDC4014\2017-12-07 --exclude "*" --recursive --include "*20171207*" &amp; "%USERPROFILE%\Documents\GitHub\mrs-test-scripts\Headless Mode &amp; Sideloading\WalkAndUnGZ.bat" "%USERPROFILE%\AppData\Local\Temp\OnboardLogs"\RTDC4014\2017-12-07 &amp; aws s3 cp s3://rtdc.mdm.uploadarchive.raw/RTDC4014/ "%USERPROFILE%\AppData\Local\Temp\OnboardLogs"\RTDC4014\2017-12-08 --exclude "*" --recursive --include "*20171208*" &amp; "%USERPROFILE%\Documents\GitHub\mrs-test-scripts\Headless Mode &amp; Sideloading\WalkAndUnGZ.bat" "%USERPROFILE%\AppData\Local\Temp\OnboardLogs"\RTDC4014\2017-12-08</v>
      </c>
      <c r="AF81" s="234" t="str">
        <f t="shared" si="40"/>
        <v>"C:\Program Files (x86)\AstroGrep\AstroGrep.exe" /e /r /s /spath="%USERPROFILE%\AppData\Local\Temp\OnboardLogs" /stypes="app*4014*20171207*" /stext=" 19:.+((SYSTEM_STATE.+slice.+state.+changed )|(ment ac)|(multiple cpu faults)|(system.+state.+changed )|(\[timeout)|(PRM\|1\|D)|(kpr)|(kdp)|(train st.+moving)|(\|lc)|(penalty))"</v>
      </c>
      <c r="AG81" s="244" t="str">
        <f t="shared" si="41"/>
        <v>EC</v>
      </c>
      <c r="AH81" s="236" t="str">
        <f t="shared" si="42"/>
        <v>"%USERPROFILE%\Documents\GitHub\eaglep3\Utilities\RefineRTDCRunTimes.py" --tripid 169-07 --locoid 4014 --swversion DE.1.0.9.0 --startMP 204:466 --initTime 2017-12-07T12:08:39 --startdatetime 2017-12-07T12:15:16 --delay 95 --endMP 204:233247 --enddatetime 2017-12-07T12:50:50 --enforcementcount 1 &gt;&gt;%USERPROFILE%\Documents\GitHub\eaglep3-reporting\EC\2017-12-07-refined-times.txt</v>
      </c>
      <c r="AI81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{"issue":{"subject":"","project_id":79,"tracker_id":40,"status_id":1,"priority_id":2,"assigned_to_id":338,"start_date":"2017-12-07","description":"","custom_fields":[{"id":1,"name":"Subdivision","value":"EC"},{"id":4,"name":"Milepost","value":"23.3247"},{"id":17,"name":"Train ID","value":"169-07"},{"id":16,"name":"Locomotive ID","value":"4014"},{"id":130,"name":"Impact","value":""},{"id":150,"name":"Time of Event (Mountain Time)","value":"12:50:50"},{"id":151,"name":"Denver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44"/>
        <v>start /low /b %USERPROFILE%\Documents\GitHub\eaglep3\Utilities\DownloadLogsFromS3.py --loco 4014 --day 2017-12-07</v>
      </c>
      <c r="AN81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19:50:50"},{"id":29,"name":"Sharepoint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46"/>
        <v>https://d0f6bd738d7f1b3e5a7ca70fe4ff75f0.us-east-1.aws.found.io/app/kibana#/discover/Steve-Slow-Train-Analysis-(2080s-and-2083s)?_g=(refreshInterval:(display:Off,pause:!f,section:0,value:0),time:(from:'2017-12-07T11:08:39-0700',mode:absolute,to:'2017-12-07T13:50:50-0700'))&amp;_a=(columns:!('Message%20ID',Summary),filters:!(),index:'emp_*',interval:auto,query:(query_string:(analyze_wildcard:!t,query:'%22rtdc.l.rtdc.4014%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9" t="s">
        <v>817</v>
      </c>
      <c r="B82" s="225">
        <v>4013</v>
      </c>
      <c r="C82" s="227" t="s">
        <v>192</v>
      </c>
      <c r="D82" s="227" t="s">
        <v>968</v>
      </c>
      <c r="E82" s="226">
        <v>43076.543090277781</v>
      </c>
      <c r="F82" s="226">
        <v>43076.550185185188</v>
      </c>
      <c r="G82" s="225">
        <v>74</v>
      </c>
      <c r="H82" s="227" t="s">
        <v>553</v>
      </c>
      <c r="I82" s="226">
        <v>43076.577025462961</v>
      </c>
      <c r="J82" s="225">
        <v>1</v>
      </c>
      <c r="K82" s="237" t="str">
        <f t="shared" si="29"/>
        <v>4013/4014</v>
      </c>
      <c r="L82" s="245" t="str">
        <f>VLOOKUP(A82,'Trips&amp;Operators'!$C$1:$G$99911,5,FALSE)</f>
        <v>LEVERE CRAIG</v>
      </c>
      <c r="M82" s="224">
        <f t="shared" si="30"/>
        <v>2.6840277772862464E-2</v>
      </c>
      <c r="N82" s="225">
        <f t="shared" si="28"/>
        <v>38.649999992921948</v>
      </c>
      <c r="O82" s="225"/>
      <c r="P82" s="225"/>
      <c r="Q82" s="228"/>
      <c r="R82" s="242"/>
      <c r="S82" s="249">
        <f t="shared" si="31"/>
        <v>1</v>
      </c>
      <c r="T82" s="242" t="str">
        <f t="shared" si="32"/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 t="shared" si="33"/>
        <v>https://d0f6bd738d7f1b3e5a7ca70fe4ff75f0.us-east-1.aws.found.io/app/kibana#/discover/Steve-Slow-Train-Analysis-(2080s-and-2083s)?_g=(refreshInterval:(display:Off,pause:!f,section:0,value:0),time:(from:'2017-12-07T12:02:03-0700',mode:absolute,to:'2017-12-07T14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2" s="247" t="str">
        <f>IF(AA82&lt;VLOOKUP(AG82,Variables!$AC$3:$AD$8,2,FALSE),"Y","N")</f>
        <v>N</v>
      </c>
      <c r="X82" s="247">
        <f t="shared" si="34"/>
        <v>1</v>
      </c>
      <c r="Y82" s="247">
        <f t="shared" si="35"/>
        <v>23.292300000000001</v>
      </c>
      <c r="Z82" s="247">
        <f t="shared" si="36"/>
        <v>2.4299999999999999E-2</v>
      </c>
      <c r="AA82" s="247">
        <f t="shared" si="37"/>
        <v>23.268000000000001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 t="shared" si="38"/>
        <v>170</v>
      </c>
      <c r="AE82" s="235" t="str">
        <f t="shared" si="39"/>
        <v>aws s3 cp s3://rtdc.mdm.uploadarchive.raw/RTDC4013/ "%USERPROFILE%\AppData\Local\Temp\OnboardLogs"\RTDC4013\2017-12-07 --exclude "*" --recursive --include "*20171207*" &amp; "%USERPROFILE%\Documents\GitHub\mrs-test-scripts\Headless Mode &amp; Sideloading\WalkAndUnGZ.bat" "%USERPROFILE%\AppData\Local\Temp\OnboardLogs"\RTDC4013\2017-12-07 &amp; aws s3 cp s3://rtdc.mdm.uploadarchive.raw/RTDC4013/ "%USERPROFILE%\AppData\Local\Temp\OnboardLogs"\RTDC4013\2017-12-08 --exclude "*" --recursive --include "*20171208*" &amp; "%USERPROFILE%\Documents\GitHub\mrs-test-scripts\Headless Mode &amp; Sideloading\WalkAndUnGZ.bat" "%USERPROFILE%\AppData\Local\Temp\OnboardLogs"\RTDC4013\2017-12-08</v>
      </c>
      <c r="AF82" s="234" t="str">
        <f t="shared" si="40"/>
        <v>"C:\Program Files (x86)\AstroGrep\AstroGrep.exe" /e /r /s /spath="%USERPROFILE%\AppData\Local\Temp\OnboardLogs" /stypes="app*4013*20171207*" /stext=" 20:.+((SYSTEM_STATE.+slice.+state.+changed )|(ment ac)|(multiple cpu faults)|(system.+state.+changed )|(\[timeout)|(PRM\|1\|D)|(kpr)|(kdp)|(train st.+moving)|(\|lc)|(penalty))"</v>
      </c>
      <c r="AG82" s="244" t="str">
        <f t="shared" si="41"/>
        <v>EC</v>
      </c>
      <c r="AH82" s="236" t="str">
        <f t="shared" si="42"/>
        <v>"%USERPROFILE%\Documents\GitHub\eaglep3\Utilities\RefineRTDCRunTimes.py" --tripid 170-07 --locoid 4013 --swversion DE.1.0.9.0 --startMP 204:232923 --initTime 2017-12-07T13:02:03 --startdatetime 2017-12-07T13:12:16 --delay 74 --endMP 204:243 --enddatetime 2017-12-07T13:50:55 --enforcementcount 1 &gt;&gt;%USERPROFILE%\Documents\GitHub\eaglep3-reporting\EC\2017-12-07-refined-times.txt</v>
      </c>
      <c r="AI82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{"issue":{"subject":"","project_id":79,"tracker_id":40,"status_id":1,"priority_id":2,"assigned_to_id":338,"start_date":"2017-12-07","description":"","custom_fields":[{"id":1,"name":"Subdivision","value":"EC"},{"id":4,"name":"Milepost","value":"0.0243"},{"id":17,"name":"Train ID","value":"170-07"},{"id":16,"name":"Locomotive ID","value":"4013"},{"id":130,"name":"Impact","value":""},{"id":150,"name":"Time of Event (Mountain Time)","value":"13:50:55"},{"id":151,"name":"Denver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44"/>
        <v>start /low /b %USERPROFILE%\Documents\GitHub\eaglep3\Utilities\DownloadLogsFromS3.py --loco 4013 --day 2017-12-07</v>
      </c>
      <c r="AN82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20:50:55"},{"id":29,"name":"Sharepoint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46"/>
        <v>https://d0f6bd738d7f1b3e5a7ca70fe4ff75f0.us-east-1.aws.found.io/app/kibana#/discover/Steve-Slow-Train-Analysis-(2080s-and-2083s)?_g=(refreshInterval:(display:Off,pause:!f,section:0,value:0),time:(from:'2017-12-07T12:02:03-0700',mode:absolute,to:'2017-12-07T14:50:55-0700'))&amp;_a=(columns:!('Message%20ID',Summary),filters:!(),index:'emp_*',interval:auto,query:(query_string:(analyze_wildcard:!t,query:'%22rtdc.l.rtdc.4013%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9" t="s">
        <v>811</v>
      </c>
      <c r="B83" s="225">
        <v>4056</v>
      </c>
      <c r="C83" s="227" t="s">
        <v>192</v>
      </c>
      <c r="D83" s="227" t="s">
        <v>959</v>
      </c>
      <c r="E83" s="226">
        <v>43076.517442129632</v>
      </c>
      <c r="F83" s="226">
        <v>43076.521006944444</v>
      </c>
      <c r="G83" s="225">
        <v>50</v>
      </c>
      <c r="H83" s="227" t="s">
        <v>969</v>
      </c>
      <c r="I83" s="226">
        <v>43076.5468287037</v>
      </c>
      <c r="J83" s="225">
        <v>1</v>
      </c>
      <c r="K83" s="237" t="str">
        <f t="shared" si="29"/>
        <v>4055/4056</v>
      </c>
      <c r="L83" s="245" t="str">
        <f>VLOOKUP(A83,'Trips&amp;Operators'!$C$1:$G$99911,5,FALSE)</f>
        <v>BADERTSCHER DIANE</v>
      </c>
      <c r="M83" s="224">
        <f t="shared" si="30"/>
        <v>2.5821759256359655E-2</v>
      </c>
      <c r="N83" s="225">
        <f t="shared" si="28"/>
        <v>37.183333329157904</v>
      </c>
      <c r="O83" s="225"/>
      <c r="P83" s="225"/>
      <c r="Q83" s="228"/>
      <c r="R83" s="242"/>
      <c r="S83" s="249">
        <f t="shared" si="31"/>
        <v>1</v>
      </c>
      <c r="T83" s="242" t="str">
        <f t="shared" si="32"/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33"/>
        <v>https://d0f6bd738d7f1b3e5a7ca70fe4ff75f0.us-east-1.aws.found.io/app/kibana#/discover/Steve-Slow-Train-Analysis-(2080s-and-2083s)?_g=(refreshInterval:(display:Off,pause:!f,section:0,value:0),time:(from:'2017-12-07T11:25:07-0700',mode:absolute,to:'2017-12-07T14:07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3" s="247" t="str">
        <f>IF(AA83&lt;VLOOKUP(AG83,Variables!$AC$3:$AD$8,2,FALSE),"Y","N")</f>
        <v>N</v>
      </c>
      <c r="X83" s="247">
        <f t="shared" si="34"/>
        <v>1</v>
      </c>
      <c r="Y83" s="247">
        <f t="shared" si="35"/>
        <v>5.3699999999999998E-2</v>
      </c>
      <c r="Z83" s="247">
        <f t="shared" si="36"/>
        <v>23.3246</v>
      </c>
      <c r="AA83" s="247">
        <f t="shared" si="37"/>
        <v>23.270900000000001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38"/>
        <v>171</v>
      </c>
      <c r="AE83" s="235" t="str">
        <f t="shared" si="39"/>
        <v>aws s3 cp s3://rtdc.mdm.uploadarchive.raw/RTDC4056/ "%USERPROFILE%\AppData\Local\Temp\OnboardLogs"\RTDC4056\2017-12-07 --exclude "*" --recursive --include "*20171207*" &amp; "%USERPROFILE%\Documents\GitHub\mrs-test-scripts\Headless Mode &amp; Sideloading\WalkAndUnGZ.bat" "%USERPROFILE%\AppData\Local\Temp\OnboardLogs"\RTDC4056\2017-12-07 &amp; aws s3 cp s3://rtdc.mdm.uploadarchive.raw/RTDC4056/ "%USERPROFILE%\AppData\Local\Temp\OnboardLogs"\RTDC4056\2017-12-08 --exclude "*" --recursive --include "*20171208*" &amp; "%USERPROFILE%\Documents\GitHub\mrs-test-scripts\Headless Mode &amp; Sideloading\WalkAndUnGZ.bat" "%USERPROFILE%\AppData\Local\Temp\OnboardLogs"\RTDC4056\2017-12-08</v>
      </c>
      <c r="AF83" s="234" t="str">
        <f t="shared" si="40"/>
        <v>"C:\Program Files (x86)\AstroGrep\AstroGrep.exe" /e /r /s /spath="%USERPROFILE%\AppData\Local\Temp\OnboardLogs" /stypes="app*4056*20171207*" /stext=" 20:.+((SYSTEM_STATE.+slice.+state.+changed )|(ment ac)|(multiple cpu faults)|(system.+state.+changed )|(\[timeout)|(PRM\|1\|D)|(kpr)|(kdp)|(train st.+moving)|(\|lc)|(penalty))"</v>
      </c>
      <c r="AG83" s="244" t="str">
        <f t="shared" si="41"/>
        <v>EC</v>
      </c>
      <c r="AH83" s="236" t="str">
        <f t="shared" si="42"/>
        <v>"%USERPROFILE%\Documents\GitHub\eaglep3\Utilities\RefineRTDCRunTimes.py" --tripid 171-07 --locoid 4056 --swversion DE.1.0.9.0 --startMP 204:537 --initTime 2017-12-07T12:25:07 --startdatetime 2017-12-07T12:30:15 --delay 50 --endMP 204:233246 --enddatetime 2017-12-07T13:07:26 --enforcementcount 1 &gt;&gt;%USERPROFILE%\Documents\GitHub\eaglep3-reporting\EC\2017-12-07-refined-times.txt</v>
      </c>
      <c r="AI83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{"issue":{"subject":"","project_id":79,"tracker_id":40,"status_id":1,"priority_id":2,"assigned_to_id":338,"start_date":"2017-12-07","description":"","custom_fields":[{"id":1,"name":"Subdivision","value":"EC"},{"id":4,"name":"Milepost","value":"23.3246"},{"id":17,"name":"Train ID","value":"171-07"},{"id":16,"name":"Locomotive ID","value":"4056"},{"id":130,"name":"Impact","value":""},{"id":150,"name":"Time of Event (Mountain Time)","value":"13:07:26"},{"id":151,"name":"Denver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44"/>
        <v>start /low /b %USERPROFILE%\Documents\GitHub\eaglep3\Utilities\DownloadLogsFromS3.py --loco 4056 --day 2017-12-07</v>
      </c>
      <c r="AN83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20:07:26"},{"id":29,"name":"Sharepoint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46"/>
        <v>https://d0f6bd738d7f1b3e5a7ca70fe4ff75f0.us-east-1.aws.found.io/app/kibana#/discover/Steve-Slow-Train-Analysis-(2080s-and-2083s)?_g=(refreshInterval:(display:Off,pause:!f,section:0,value:0),time:(from:'2017-12-07T11:25:07-0700',mode:absolute,to:'2017-12-07T14:07:26-0700'))&amp;_a=(columns:!('Message%20ID',Summary),filters:!(),index:'emp_*',interval:auto,query:(query_string:(analyze_wildcard:!t,query:'%22rtdc.l.rtdc.4056%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9" t="s">
        <v>690</v>
      </c>
      <c r="B84" s="225">
        <v>4055</v>
      </c>
      <c r="C84" s="227" t="s">
        <v>192</v>
      </c>
      <c r="D84" s="227" t="s">
        <v>970</v>
      </c>
      <c r="E84" s="226">
        <v>43076.555567129632</v>
      </c>
      <c r="F84" s="226">
        <v>43076.560590277775</v>
      </c>
      <c r="G84" s="225">
        <v>58</v>
      </c>
      <c r="H84" s="227" t="s">
        <v>631</v>
      </c>
      <c r="I84" s="226">
        <v>43076.589050925926</v>
      </c>
      <c r="J84" s="225">
        <v>1</v>
      </c>
      <c r="K84" s="237" t="str">
        <f t="shared" si="29"/>
        <v>4055/4056</v>
      </c>
      <c r="L84" s="245" t="str">
        <f>VLOOKUP(A84,'Trips&amp;Operators'!$C$1:$G$99911,5,FALSE)</f>
        <v>BADERTSCHER DIANE</v>
      </c>
      <c r="M84" s="224">
        <f t="shared" si="30"/>
        <v>2.846064815093996E-2</v>
      </c>
      <c r="N84" s="225">
        <f t="shared" si="28"/>
        <v>40.983333337353542</v>
      </c>
      <c r="O84" s="225"/>
      <c r="P84" s="225"/>
      <c r="Q84" s="228"/>
      <c r="R84" s="242"/>
      <c r="S84" s="249">
        <f t="shared" si="31"/>
        <v>1</v>
      </c>
      <c r="T84" s="242" t="str">
        <f t="shared" si="32"/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33"/>
        <v>https://d0f6bd738d7f1b3e5a7ca70fe4ff75f0.us-east-1.aws.found.io/app/kibana#/discover/Steve-Slow-Train-Analysis-(2080s-and-2083s)?_g=(refreshInterval:(display:Off,pause:!f,section:0,value:0),time:(from:'2017-12-07T12:20:01-0700',mode:absolute,to:'2017-12-07T15:08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4" s="247" t="str">
        <f>IF(AA84&lt;VLOOKUP(AG84,Variables!$AC$3:$AD$8,2,FALSE),"Y","N")</f>
        <v>N</v>
      </c>
      <c r="X84" s="247">
        <f t="shared" si="34"/>
        <v>1</v>
      </c>
      <c r="Y84" s="247">
        <f t="shared" si="35"/>
        <v>23.2928</v>
      </c>
      <c r="Z84" s="247">
        <f t="shared" si="36"/>
        <v>2.1100000000000001E-2</v>
      </c>
      <c r="AA84" s="247">
        <f t="shared" si="37"/>
        <v>23.271699999999999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38"/>
        <v>172</v>
      </c>
      <c r="AE84" s="235" t="str">
        <f t="shared" si="39"/>
        <v>aws s3 cp s3://rtdc.mdm.uploadarchive.raw/RTDC4055/ "%USERPROFILE%\AppData\Local\Temp\OnboardLogs"\RTDC4055\2017-12-07 --exclude "*" --recursive --include "*20171207*" &amp; "%USERPROFILE%\Documents\GitHub\mrs-test-scripts\Headless Mode &amp; Sideloading\WalkAndUnGZ.bat" "%USERPROFILE%\AppData\Local\Temp\OnboardLogs"\RTDC4055\2017-12-07 &amp; aws s3 cp s3://rtdc.mdm.uploadarchive.raw/RTDC4055/ "%USERPROFILE%\AppData\Local\Temp\OnboardLogs"\RTDC4055\2017-12-08 --exclude "*" --recursive --include "*20171208*" &amp; "%USERPROFILE%\Documents\GitHub\mrs-test-scripts\Headless Mode &amp; Sideloading\WalkAndUnGZ.bat" "%USERPROFILE%\AppData\Local\Temp\OnboardLogs"\RTDC4055\2017-12-08</v>
      </c>
      <c r="AF84" s="234" t="str">
        <f t="shared" si="40"/>
        <v>"C:\Program Files (x86)\AstroGrep\AstroGrep.exe" /e /r /s /spath="%USERPROFILE%\AppData\Local\Temp\OnboardLogs" /stypes="app*4055*20171207*" /stext=" 21:.+((SYSTEM_STATE.+slice.+state.+changed )|(ment ac)|(multiple cpu faults)|(system.+state.+changed )|(\[timeout)|(PRM\|1\|D)|(kpr)|(kdp)|(train st.+moving)|(\|lc)|(penalty))"</v>
      </c>
      <c r="AG84" s="244" t="str">
        <f t="shared" si="41"/>
        <v>EC</v>
      </c>
      <c r="AH84" s="236" t="str">
        <f t="shared" si="42"/>
        <v>"%USERPROFILE%\Documents\GitHub\eaglep3\Utilities\RefineRTDCRunTimes.py" --tripid 172-07 --locoid 4055 --swversion DE.1.0.9.0 --startMP 204:232928 --initTime 2017-12-07T13:20:01 --startdatetime 2017-12-07T13:27:15 --delay 58 --endMP 204:211 --enddatetime 2017-12-07T14:08:14 --enforcementcount 1 &gt;&gt;%USERPROFILE%\Documents\GitHub\eaglep3-reporting\EC\2017-12-07-refined-times.txt</v>
      </c>
      <c r="AI84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{"issue":{"subject":"","project_id":79,"tracker_id":40,"status_id":1,"priority_id":2,"assigned_to_id":338,"start_date":"2017-12-07","description":"","custom_fields":[{"id":1,"name":"Subdivision","value":"EC"},{"id":4,"name":"Milepost","value":"0.0211"},{"id":17,"name":"Train ID","value":"172-07"},{"id":16,"name":"Locomotive ID","value":"4055"},{"id":130,"name":"Impact","value":""},{"id":150,"name":"Time of Event (Mountain Time)","value":"14:08:14"},{"id":151,"name":"Denver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44"/>
        <v>start /low /b %USERPROFILE%\Documents\GitHub\eaglep3\Utilities\DownloadLogsFromS3.py --loco 4055 --day 2017-12-07</v>
      </c>
      <c r="AN84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21:08:14"},{"id":29,"name":"Sharepoint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46"/>
        <v>https://d0f6bd738d7f1b3e5a7ca70fe4ff75f0.us-east-1.aws.found.io/app/kibana#/discover/Steve-Slow-Train-Analysis-(2080s-and-2083s)?_g=(refreshInterval:(display:Off,pause:!f,section:0,value:0),time:(from:'2017-12-07T12:20:01-0700',mode:absolute,to:'2017-12-07T15:08:14-0700'))&amp;_a=(columns:!('Message%20ID',Summary),filters:!(),index:'emp_*',interval:auto,query:(query_string:(analyze_wildcard:!t,query:'%22rtdc.l.rtdc.4055%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9" t="s">
        <v>813</v>
      </c>
      <c r="B85" s="225">
        <v>4028</v>
      </c>
      <c r="C85" s="227" t="s">
        <v>192</v>
      </c>
      <c r="D85" s="227" t="s">
        <v>971</v>
      </c>
      <c r="E85" s="226">
        <v>43076.528414351851</v>
      </c>
      <c r="F85" s="226">
        <v>43076.531817129631</v>
      </c>
      <c r="G85" s="225">
        <v>162</v>
      </c>
      <c r="H85" s="227" t="s">
        <v>972</v>
      </c>
      <c r="I85" s="226">
        <v>43076.556446759256</v>
      </c>
      <c r="J85" s="225">
        <v>1</v>
      </c>
      <c r="K85" s="237" t="str">
        <f t="shared" si="29"/>
        <v>4027/4028</v>
      </c>
      <c r="L85" s="245" t="str">
        <f>VLOOKUP(A85,'Trips&amp;Operators'!$C$1:$G$99911,5,FALSE)</f>
        <v>LONG FULLER</v>
      </c>
      <c r="M85" s="224">
        <f t="shared" si="30"/>
        <v>2.4629629624541849E-2</v>
      </c>
      <c r="N85" s="225">
        <f t="shared" si="28"/>
        <v>35.466666659340262</v>
      </c>
      <c r="O85" s="225"/>
      <c r="P85" s="225"/>
      <c r="Q85" s="228"/>
      <c r="R85" s="242"/>
      <c r="S85" s="249">
        <f t="shared" si="31"/>
        <v>1</v>
      </c>
      <c r="T85" s="242" t="str">
        <f t="shared" si="32"/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33"/>
        <v>https://d0f6bd738d7f1b3e5a7ca70fe4ff75f0.us-east-1.aws.found.io/app/kibana#/discover/Steve-Slow-Train-Analysis-(2080s-and-2083s)?_g=(refreshInterval:(display:Off,pause:!f,section:0,value:0),time:(from:'2017-12-07T11:40:55-0700',mode:absolute,to:'2017-12-07T14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5" s="247" t="str">
        <f>IF(AA85&lt;VLOOKUP(AG85,Variables!$AC$3:$AD$8,2,FALSE),"Y","N")</f>
        <v>N</v>
      </c>
      <c r="X85" s="247">
        <f t="shared" si="34"/>
        <v>1</v>
      </c>
      <c r="Y85" s="247">
        <f t="shared" si="35"/>
        <v>0.13800000000000001</v>
      </c>
      <c r="Z85" s="247">
        <f t="shared" si="36"/>
        <v>23.320900000000002</v>
      </c>
      <c r="AA85" s="247">
        <f t="shared" si="37"/>
        <v>23.1829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38"/>
        <v>173</v>
      </c>
      <c r="AE85" s="235" t="str">
        <f t="shared" si="39"/>
        <v>aws s3 cp s3://rtdc.mdm.uploadarchive.raw/RTDC4028/ "%USERPROFILE%\AppData\Local\Temp\OnboardLogs"\RTDC4028\2017-12-07 --exclude "*" --recursive --include "*20171207*" &amp; "%USERPROFILE%\Documents\GitHub\mrs-test-scripts\Headless Mode &amp; Sideloading\WalkAndUnGZ.bat" "%USERPROFILE%\AppData\Local\Temp\OnboardLogs"\RTDC4028\2017-12-07 &amp; aws s3 cp s3://rtdc.mdm.uploadarchive.raw/RTDC4028/ "%USERPROFILE%\AppData\Local\Temp\OnboardLogs"\RTDC4028\2017-12-08 --exclude "*" --recursive --include "*20171208*" &amp; "%USERPROFILE%\Documents\GitHub\mrs-test-scripts\Headless Mode &amp; Sideloading\WalkAndUnGZ.bat" "%USERPROFILE%\AppData\Local\Temp\OnboardLogs"\RTDC4028\2017-12-08</v>
      </c>
      <c r="AF85" s="234" t="str">
        <f t="shared" si="40"/>
        <v>"C:\Program Files (x86)\AstroGrep\AstroGrep.exe" /e /r /s /spath="%USERPROFILE%\AppData\Local\Temp\OnboardLogs" /stypes="app*4028*20171207*" /stext=" 20:.+((SYSTEM_STATE.+slice.+state.+changed )|(ment ac)|(multiple cpu faults)|(system.+state.+changed )|(\[timeout)|(PRM\|1\|D)|(kpr)|(kdp)|(train st.+moving)|(\|lc)|(penalty))"</v>
      </c>
      <c r="AG85" s="244" t="str">
        <f t="shared" si="41"/>
        <v>EC</v>
      </c>
      <c r="AH85" s="236" t="str">
        <f t="shared" si="42"/>
        <v>"%USERPROFILE%\Documents\GitHub\eaglep3\Utilities\RefineRTDCRunTimes.py" --tripid 173-07 --locoid 4028 --swversion DE.1.0.9.0 --startMP 204:1380 --initTime 2017-12-07T12:40:55 --startdatetime 2017-12-07T12:45:49 --delay 162 --endMP 204:233209 --enddatetime 2017-12-07T13:21:17 --enforcementcount 1 &gt;&gt;%USERPROFILE%\Documents\GitHub\eaglep3-reporting\EC\2017-12-07-refined-times.txt</v>
      </c>
      <c r="AI85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{"issue":{"subject":"","project_id":79,"tracker_id":40,"status_id":1,"priority_id":2,"assigned_to_id":338,"start_date":"2017-12-07","description":"","custom_fields":[{"id":1,"name":"Subdivision","value":"EC"},{"id":4,"name":"Milepost","value":"23.3209"},{"id":17,"name":"Train ID","value":"173-07"},{"id":16,"name":"Locomotive ID","value":"4028"},{"id":130,"name":"Impact","value":""},{"id":150,"name":"Time of Event (Mountain Time)","value":"13:21:17"},{"id":151,"name":"Denver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44"/>
        <v>start /low /b %USERPROFILE%\Documents\GitHub\eaglep3\Utilities\DownloadLogsFromS3.py --loco 4028 --day 2017-12-07</v>
      </c>
      <c r="AN85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20:21:17"},{"id":29,"name":"Sharepoint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46"/>
        <v>https://d0f6bd738d7f1b3e5a7ca70fe4ff75f0.us-east-1.aws.found.io/app/kibana#/discover/Steve-Slow-Train-Analysis-(2080s-and-2083s)?_g=(refreshInterval:(display:Off,pause:!f,section:0,value:0),time:(from:'2017-12-07T11:40:55-0700',mode:absolute,to:'2017-12-07T14:21:17-0700'))&amp;_a=(columns:!('Message%20ID',Summary),filters:!(),index:'emp_*',interval:auto,query:(query_string:(analyze_wildcard:!t,query:'%22rtdc.l.rtdc.4028%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9" t="s">
        <v>821</v>
      </c>
      <c r="B86" s="225">
        <v>4027</v>
      </c>
      <c r="C86" s="227" t="s">
        <v>192</v>
      </c>
      <c r="D86" s="227" t="s">
        <v>550</v>
      </c>
      <c r="E86" s="226">
        <v>43076.560983796298</v>
      </c>
      <c r="F86" s="226">
        <v>43076.571967592594</v>
      </c>
      <c r="G86" s="225">
        <v>95</v>
      </c>
      <c r="H86" s="227" t="s">
        <v>973</v>
      </c>
      <c r="I86" s="226">
        <v>43076.599039351851</v>
      </c>
      <c r="J86" s="225">
        <v>1</v>
      </c>
      <c r="K86" s="237" t="str">
        <f t="shared" si="29"/>
        <v>4027/4028</v>
      </c>
      <c r="L86" s="245" t="str">
        <f>VLOOKUP(A86,'Trips&amp;Operators'!$C$1:$G$99911,5,FALSE)</f>
        <v>LONG FULLER</v>
      </c>
      <c r="M86" s="224">
        <f t="shared" si="30"/>
        <v>2.7071759257523809E-2</v>
      </c>
      <c r="N86" s="225">
        <f t="shared" si="28"/>
        <v>38.983333330834284</v>
      </c>
      <c r="O86" s="225"/>
      <c r="P86" s="225"/>
      <c r="Q86" s="228"/>
      <c r="R86" s="242"/>
      <c r="S86" s="249">
        <f t="shared" si="31"/>
        <v>1</v>
      </c>
      <c r="T86" s="242" t="str">
        <f t="shared" si="32"/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33"/>
        <v>https://d0f6bd738d7f1b3e5a7ca70fe4ff75f0.us-east-1.aws.found.io/app/kibana#/discover/Steve-Slow-Train-Analysis-(2080s-and-2083s)?_g=(refreshInterval:(display:Off,pause:!f,section:0,value:0),time:(from:'2017-12-07T12:27:49-0700',mode:absolute,to:'2017-12-07T15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6" s="247" t="str">
        <f>IF(AA86&lt;VLOOKUP(AG86,Variables!$AC$3:$AD$8,2,FALSE),"Y","N")</f>
        <v>N</v>
      </c>
      <c r="X86" s="247">
        <f t="shared" si="34"/>
        <v>1</v>
      </c>
      <c r="Y86" s="247">
        <f t="shared" si="35"/>
        <v>23.288599999999999</v>
      </c>
      <c r="Z86" s="247">
        <f t="shared" si="36"/>
        <v>1.9400000000000001E-2</v>
      </c>
      <c r="AA86" s="247">
        <f t="shared" si="37"/>
        <v>23.269199999999998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 t="shared" si="38"/>
        <v>174</v>
      </c>
      <c r="AE86" s="235" t="str">
        <f t="shared" si="39"/>
        <v>aws s3 cp s3://rtdc.mdm.uploadarchive.raw/RTDC4027/ "%USERPROFILE%\AppData\Local\Temp\OnboardLogs"\RTDC4027\2017-12-07 --exclude "*" --recursive --include "*20171207*" &amp; "%USERPROFILE%\Documents\GitHub\mrs-test-scripts\Headless Mode &amp; Sideloading\WalkAndUnGZ.bat" "%USERPROFILE%\AppData\Local\Temp\OnboardLogs"\RTDC4027\2017-12-07 &amp; aws s3 cp s3://rtdc.mdm.uploadarchive.raw/RTDC4027/ "%USERPROFILE%\AppData\Local\Temp\OnboardLogs"\RTDC4027\2017-12-08 --exclude "*" --recursive --include "*20171208*" &amp; "%USERPROFILE%\Documents\GitHub\mrs-test-scripts\Headless Mode &amp; Sideloading\WalkAndUnGZ.bat" "%USERPROFILE%\AppData\Local\Temp\OnboardLogs"\RTDC4027\2017-12-08</v>
      </c>
      <c r="AF86" s="234" t="str">
        <f t="shared" si="40"/>
        <v>"C:\Program Files (x86)\AstroGrep\AstroGrep.exe" /e /r /s /spath="%USERPROFILE%\AppData\Local\Temp\OnboardLogs" /stypes="app*4027*20171207*" /stext=" 21:.+((SYSTEM_STATE.+slice.+state.+changed )|(ment ac)|(multiple cpu faults)|(system.+state.+changed )|(\[timeout)|(PRM\|1\|D)|(kpr)|(kdp)|(train st.+moving)|(\|lc)|(penalty))"</v>
      </c>
      <c r="AG86" s="244" t="str">
        <f t="shared" si="41"/>
        <v>EC</v>
      </c>
      <c r="AH86" s="236" t="str">
        <f t="shared" si="42"/>
        <v>"%USERPROFILE%\Documents\GitHub\eaglep3\Utilities\RefineRTDCRunTimes.py" --tripid 174-07 --locoid 4027 --swversion DE.1.0.9.0 --startMP 204:232886 --initTime 2017-12-07T13:27:49 --startdatetime 2017-12-07T13:43:38 --delay 95 --endMP 204:194 --enddatetime 2017-12-07T14:22:37 --enforcementcount 1 &gt;&gt;%USERPROFILE%\Documents\GitHub\eaglep3-reporting\EC\2017-12-07-refined-times.txt</v>
      </c>
      <c r="AI86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{"issue":{"subject":"","project_id":79,"tracker_id":40,"status_id":1,"priority_id":2,"assigned_to_id":338,"start_date":"2017-12-07","description":"","custom_fields":[{"id":1,"name":"Subdivision","value":"EC"},{"id":4,"name":"Milepost","value":"0.0194"},{"id":17,"name":"Train ID","value":"174-07"},{"id":16,"name":"Locomotive ID","value":"4027"},{"id":130,"name":"Impact","value":""},{"id":150,"name":"Time of Event (Mountain Time)","value":"14:22:37"},{"id":151,"name":"Denver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44"/>
        <v>start /low /b %USERPROFILE%\Documents\GitHub\eaglep3\Utilities\DownloadLogsFromS3.py --loco 4027 --day 2017-12-07</v>
      </c>
      <c r="AN86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21:22:37"},{"id":29,"name":"Sharepoint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46"/>
        <v>https://d0f6bd738d7f1b3e5a7ca70fe4ff75f0.us-east-1.aws.found.io/app/kibana#/discover/Steve-Slow-Train-Analysis-(2080s-and-2083s)?_g=(refreshInterval:(display:Off,pause:!f,section:0,value:0),time:(from:'2017-12-07T12:27:49-0700',mode:absolute,to:'2017-12-07T15:22:37-0700'))&amp;_a=(columns:!('Message%20ID',Summary),filters:!(),index:'emp_*',interval:auto,query:(query_string:(analyze_wildcard:!t,query:'%22rtdc.l.rtdc.4027%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9" t="s">
        <v>815</v>
      </c>
      <c r="B87" s="225">
        <v>4036</v>
      </c>
      <c r="C87" s="227" t="s">
        <v>192</v>
      </c>
      <c r="D87" s="227" t="s">
        <v>513</v>
      </c>
      <c r="E87" s="226">
        <v>43076.538391203707</v>
      </c>
      <c r="F87" s="226">
        <v>43076.54184027778</v>
      </c>
      <c r="G87" s="225">
        <v>92</v>
      </c>
      <c r="H87" s="227" t="s">
        <v>974</v>
      </c>
      <c r="I87" s="226">
        <v>43076.566631944443</v>
      </c>
      <c r="J87" s="225">
        <v>1</v>
      </c>
      <c r="K87" s="237" t="str">
        <f t="shared" si="29"/>
        <v>4035/4036</v>
      </c>
      <c r="L87" s="245" t="str">
        <f>VLOOKUP(A87,'Trips&amp;Operators'!$C$1:$G$99911,5,FALSE)</f>
        <v>BRUDER RICHARD</v>
      </c>
      <c r="M87" s="224">
        <f t="shared" si="30"/>
        <v>2.4791666663077194E-2</v>
      </c>
      <c r="N87" s="225">
        <f t="shared" ref="N87:N118" si="47">24*60*SUM($M87:$M87)</f>
        <v>35.69999999483116</v>
      </c>
      <c r="O87" s="225"/>
      <c r="P87" s="225"/>
      <c r="Q87" s="228"/>
      <c r="R87" s="242"/>
      <c r="S87" s="249">
        <f t="shared" si="31"/>
        <v>1</v>
      </c>
      <c r="T87" s="242" t="str">
        <f t="shared" si="32"/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33"/>
        <v>https://d0f6bd738d7f1b3e5a7ca70fe4ff75f0.us-east-1.aws.found.io/app/kibana#/discover/Steve-Slow-Train-Analysis-(2080s-and-2083s)?_g=(refreshInterval:(display:Off,pause:!f,section:0,value:0),time:(from:'2017-12-07T11:55:17-0700',mode:absolute,to:'2017-12-07T14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7" s="247" t="str">
        <f>IF(AA87&lt;VLOOKUP(AG87,Variables!$AC$3:$AD$8,2,FALSE),"Y","N")</f>
        <v>N</v>
      </c>
      <c r="X87" s="247">
        <f t="shared" si="34"/>
        <v>1</v>
      </c>
      <c r="Y87" s="247">
        <f t="shared" si="35"/>
        <v>5.3100000000000001E-2</v>
      </c>
      <c r="Z87" s="247">
        <f t="shared" si="36"/>
        <v>23.321200000000001</v>
      </c>
      <c r="AA87" s="247">
        <f t="shared" si="37"/>
        <v>23.2681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38"/>
        <v>175</v>
      </c>
      <c r="AE87" s="235" t="str">
        <f t="shared" si="39"/>
        <v>aws s3 cp s3://rtdc.mdm.uploadarchive.raw/RTDC4036/ "%USERPROFILE%\AppData\Local\Temp\OnboardLogs"\RTDC4036\2017-12-07 --exclude "*" --recursive --include "*20171207*" &amp; "%USERPROFILE%\Documents\GitHub\mrs-test-scripts\Headless Mode &amp; Sideloading\WalkAndUnGZ.bat" "%USERPROFILE%\AppData\Local\Temp\OnboardLogs"\RTDC4036\2017-12-07 &amp; aws s3 cp s3://rtdc.mdm.uploadarchive.raw/RTDC4036/ "%USERPROFILE%\AppData\Local\Temp\OnboardLogs"\RTDC4036\2017-12-08 --exclude "*" --recursive --include "*20171208*" &amp; "%USERPROFILE%\Documents\GitHub\mrs-test-scripts\Headless Mode &amp; Sideloading\WalkAndUnGZ.bat" "%USERPROFILE%\AppData\Local\Temp\OnboardLogs"\RTDC4036\2017-12-08</v>
      </c>
      <c r="AF87" s="234" t="str">
        <f t="shared" si="40"/>
        <v>"C:\Program Files (x86)\AstroGrep\AstroGrep.exe" /e /r /s /spath="%USERPROFILE%\AppData\Local\Temp\OnboardLogs" /stypes="app*4036*20171207*" /stext=" 20:.+((SYSTEM_STATE.+slice.+state.+changed )|(ment ac)|(multiple cpu faults)|(system.+state.+changed )|(\[timeout)|(PRM\|1\|D)|(kpr)|(kdp)|(train st.+moving)|(\|lc)|(penalty))"</v>
      </c>
      <c r="AG87" s="244" t="str">
        <f t="shared" si="41"/>
        <v>EC</v>
      </c>
      <c r="AH87" s="236" t="str">
        <f t="shared" si="42"/>
        <v>"%USERPROFILE%\Documents\GitHub\eaglep3\Utilities\RefineRTDCRunTimes.py" --tripid 175-07 --locoid 4036 --swversion DE.1.0.9.0 --startMP 204:531 --initTime 2017-12-07T12:55:17 --startdatetime 2017-12-07T13:00:15 --delay 92 --endMP 204:233212 --enddatetime 2017-12-07T13:35:57 --enforcementcount 1 &gt;&gt;%USERPROFILE%\Documents\GitHub\eaglep3-reporting\EC\2017-12-07-refined-times.txt</v>
      </c>
      <c r="AI87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{"issue":{"subject":"","project_id":79,"tracker_id":40,"status_id":1,"priority_id":2,"assigned_to_id":338,"start_date":"2017-12-07","description":"","custom_fields":[{"id":1,"name":"Subdivision","value":"EC"},{"id":4,"name":"Milepost","value":"23.3212"},{"id":17,"name":"Train ID","value":"175-07"},{"id":16,"name":"Locomotive ID","value":"4036"},{"id":130,"name":"Impact","value":""},{"id":150,"name":"Time of Event (Mountain Time)","value":"13:35:57"},{"id":151,"name":"Denver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44"/>
        <v>start /low /b %USERPROFILE%\Documents\GitHub\eaglep3\Utilities\DownloadLogsFromS3.py --loco 4036 --day 2017-12-07</v>
      </c>
      <c r="AN87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20:35:57"},{"id":29,"name":"Sharepoint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46"/>
        <v>https://d0f6bd738d7f1b3e5a7ca70fe4ff75f0.us-east-1.aws.found.io/app/kibana#/discover/Steve-Slow-Train-Analysis-(2080s-and-2083s)?_g=(refreshInterval:(display:Off,pause:!f,section:0,value:0),time:(from:'2017-12-07T11:55:17-0700',mode:absolute,to:'2017-12-07T14:35:57-0700'))&amp;_a=(columns:!('Message%20ID',Summary),filters:!(),index:'emp_*',interval:auto,query:(query_string:(analyze_wildcard:!t,query:'%22rtdc.l.rtdc.4036%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9" t="s">
        <v>823</v>
      </c>
      <c r="B88" s="225">
        <v>4035</v>
      </c>
      <c r="C88" s="227" t="s">
        <v>192</v>
      </c>
      <c r="D88" s="227" t="s">
        <v>656</v>
      </c>
      <c r="E88" s="226">
        <v>43076.578148148146</v>
      </c>
      <c r="F88" s="226">
        <v>43076.581423611111</v>
      </c>
      <c r="G88" s="225">
        <v>76</v>
      </c>
      <c r="H88" s="227" t="s">
        <v>614</v>
      </c>
      <c r="I88" s="226">
        <v>43076.607488425929</v>
      </c>
      <c r="J88" s="225">
        <v>1</v>
      </c>
      <c r="K88" s="237" t="str">
        <f t="shared" si="29"/>
        <v>4035/4036</v>
      </c>
      <c r="L88" s="245" t="str">
        <f>VLOOKUP(A88,'Trips&amp;Operators'!$C$1:$G$99911,5,FALSE)</f>
        <v>BRUDER RICHARD</v>
      </c>
      <c r="M88" s="224">
        <f t="shared" si="30"/>
        <v>2.6064814817800652E-2</v>
      </c>
      <c r="N88" s="225">
        <f t="shared" si="47"/>
        <v>37.533333337632939</v>
      </c>
      <c r="O88" s="225"/>
      <c r="P88" s="225"/>
      <c r="Q88" s="228"/>
      <c r="R88" s="242"/>
      <c r="S88" s="249">
        <f t="shared" si="31"/>
        <v>1</v>
      </c>
      <c r="T88" s="242" t="str">
        <f t="shared" si="32"/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33"/>
        <v>https://d0f6bd738d7f1b3e5a7ca70fe4ff75f0.us-east-1.aws.found.io/app/kibana#/discover/Steve-Slow-Train-Analysis-(2080s-and-2083s)?_g=(refreshInterval:(display:Off,pause:!f,section:0,value:0),time:(from:'2017-12-07T12:52:32-0700',mode:absolute,to:'2017-12-07T15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88" s="247" t="str">
        <f>IF(AA88&lt;VLOOKUP(AG88,Variables!$AC$3:$AD$8,2,FALSE),"Y","N")</f>
        <v>N</v>
      </c>
      <c r="X88" s="247">
        <f t="shared" ref="X88:X91" si="48">VALUE(LEFT(AD88,4))-VALUE(LEFT(AD87,4))</f>
        <v>1</v>
      </c>
      <c r="Y88" s="247">
        <f t="shared" si="35"/>
        <v>23.2896</v>
      </c>
      <c r="Z88" s="247">
        <f t="shared" si="36"/>
        <v>2.2499999999999999E-2</v>
      </c>
      <c r="AA88" s="247">
        <f t="shared" si="37"/>
        <v>23.267099999999999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38"/>
        <v>176</v>
      </c>
      <c r="AE88" s="235" t="str">
        <f t="shared" si="39"/>
        <v>aws s3 cp s3://rtdc.mdm.uploadarchive.raw/RTDC4035/ "%USERPROFILE%\AppData\Local\Temp\OnboardLogs"\RTDC4035\2017-12-07 --exclude "*" --recursive --include "*20171207*" &amp; "%USERPROFILE%\Documents\GitHub\mrs-test-scripts\Headless Mode &amp; Sideloading\WalkAndUnGZ.bat" "%USERPROFILE%\AppData\Local\Temp\OnboardLogs"\RTDC4035\2017-12-07 &amp; aws s3 cp s3://rtdc.mdm.uploadarchive.raw/RTDC4035/ "%USERPROFILE%\AppData\Local\Temp\OnboardLogs"\RTDC4035\2017-12-08 --exclude "*" --recursive --include "*20171208*" &amp; "%USERPROFILE%\Documents\GitHub\mrs-test-scripts\Headless Mode &amp; Sideloading\WalkAndUnGZ.bat" "%USERPROFILE%\AppData\Local\Temp\OnboardLogs"\RTDC4035\2017-12-08</v>
      </c>
      <c r="AF88" s="234" t="str">
        <f t="shared" si="40"/>
        <v>"C:\Program Files (x86)\AstroGrep\AstroGrep.exe" /e /r /s /spath="%USERPROFILE%\AppData\Local\Temp\OnboardLogs" /stypes="app*4035*20171207*" /stext=" 21:.+((SYSTEM_STATE.+slice.+state.+changed )|(ment ac)|(multiple cpu faults)|(system.+state.+changed )|(\[timeout)|(PRM\|1\|D)|(kpr)|(kdp)|(train st.+moving)|(\|lc)|(penalty))"</v>
      </c>
      <c r="AG88" s="244" t="str">
        <f t="shared" si="41"/>
        <v>EC</v>
      </c>
      <c r="AH88" s="236" t="str">
        <f t="shared" si="42"/>
        <v>"%USERPROFILE%\Documents\GitHub\eaglep3\Utilities\RefineRTDCRunTimes.py" --tripid 176-07 --locoid 4035 --swversion DE.1.0.9.0 --startMP 204:232896 --initTime 2017-12-07T13:52:32 --startdatetime 2017-12-07T13:57:15 --delay 76 --endMP 204:225 --enddatetime 2017-12-07T14:34:47 --enforcementcount 1 &gt;&gt;%USERPROFILE%\Documents\GitHub\eaglep3-reporting\EC\2017-12-07-refined-times.txt</v>
      </c>
      <c r="AI88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{"issue":{"subject":"","project_id":79,"tracker_id":40,"status_id":1,"priority_id":2,"assigned_to_id":338,"start_date":"2017-12-07","description":"","custom_fields":[{"id":1,"name":"Subdivision","value":"EC"},{"id":4,"name":"Milepost","value":"0.0225"},{"id":17,"name":"Train ID","value":"176-07"},{"id":16,"name":"Locomotive ID","value":"4035"},{"id":130,"name":"Impact","value":""},{"id":150,"name":"Time of Event (Mountain Time)","value":"14:34:47"},{"id":151,"name":"Denver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44"/>
        <v>start /low /b %USERPROFILE%\Documents\GitHub\eaglep3\Utilities\DownloadLogsFromS3.py --loco 4035 --day 2017-12-07</v>
      </c>
      <c r="AN88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21:34:47"},{"id":29,"name":"Sharepoint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46"/>
        <v>https://d0f6bd738d7f1b3e5a7ca70fe4ff75f0.us-east-1.aws.found.io/app/kibana#/discover/Steve-Slow-Train-Analysis-(2080s-and-2083s)?_g=(refreshInterval:(display:Off,pause:!f,section:0,value:0),time:(from:'2017-12-07T12:52:32-0700',mode:absolute,to:'2017-12-07T15:34:47-0700'))&amp;_a=(columns:!('Message%20ID',Summary),filters:!(),index:'emp_*',interval:auto,query:(query_string:(analyze_wildcard:!t,query:'%22rtdc.l.rtdc.4035%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9" t="s">
        <v>818</v>
      </c>
      <c r="B89" s="225">
        <v>4058</v>
      </c>
      <c r="C89" s="227" t="s">
        <v>192</v>
      </c>
      <c r="D89" s="227" t="s">
        <v>975</v>
      </c>
      <c r="E89" s="226">
        <v>43076.553310185183</v>
      </c>
      <c r="F89" s="226">
        <v>43076.555960648147</v>
      </c>
      <c r="G89" s="225">
        <v>64</v>
      </c>
      <c r="H89" s="227" t="s">
        <v>976</v>
      </c>
      <c r="I89" s="226">
        <v>43076.579398148147</v>
      </c>
      <c r="J89" s="225">
        <v>1</v>
      </c>
      <c r="K89" s="237" t="str">
        <f t="shared" si="29"/>
        <v>4057/4058</v>
      </c>
      <c r="L89" s="245" t="str">
        <f>VLOOKUP(A89,'Trips&amp;Operators'!$C$1:$G$99911,5,FALSE)</f>
        <v>STEWART MICHAEL</v>
      </c>
      <c r="M89" s="224">
        <f t="shared" si="30"/>
        <v>2.34375E-2</v>
      </c>
      <c r="N89" s="225">
        <f t="shared" si="47"/>
        <v>33.75</v>
      </c>
      <c r="O89" s="225"/>
      <c r="P89" s="225"/>
      <c r="Q89" s="228"/>
      <c r="R89" s="242" t="s">
        <v>1112</v>
      </c>
      <c r="S89" s="249">
        <f t="shared" si="31"/>
        <v>1</v>
      </c>
      <c r="T89" s="242" t="str">
        <f t="shared" si="32"/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33"/>
        <v>https://d0f6bd738d7f1b3e5a7ca70fe4ff75f0.us-east-1.aws.found.io/app/kibana#/discover/Steve-Slow-Train-Analysis-(2080s-and-2083s)?_g=(refreshInterval:(display:Off,pause:!f,section:0,value:0),time:(from:'2017-12-07T12:16:46-0700',mode:absolute,to:'2017-12-07T14:54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9" s="247" t="str">
        <f>IF(AA89&lt;VLOOKUP(AG89,Variables!$AC$3:$AD$8,2,FALSE),"Y","N")</f>
        <v>N</v>
      </c>
      <c r="X89" s="247">
        <f t="shared" si="48"/>
        <v>1</v>
      </c>
      <c r="Y89" s="247">
        <f t="shared" si="35"/>
        <v>0.14940000000000001</v>
      </c>
      <c r="Z89" s="247">
        <f t="shared" si="36"/>
        <v>23.317399999999999</v>
      </c>
      <c r="AA89" s="247">
        <f t="shared" si="37"/>
        <v>23.167999999999999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38"/>
        <v>177</v>
      </c>
      <c r="AE89" s="235" t="str">
        <f t="shared" si="39"/>
        <v>aws s3 cp s3://rtdc.mdm.uploadarchive.raw/RTDC4058/ "%USERPROFILE%\AppData\Local\Temp\OnboardLogs"\RTDC4058\2017-12-07 --exclude "*" --recursive --include "*20171207*" &amp; "%USERPROFILE%\Documents\GitHub\mrs-test-scripts\Headless Mode &amp; Sideloading\WalkAndUnGZ.bat" "%USERPROFILE%\AppData\Local\Temp\OnboardLogs"\RTDC4058\2017-12-07 &amp; aws s3 cp s3://rtdc.mdm.uploadarchive.raw/RTDC4058/ "%USERPROFILE%\AppData\Local\Temp\OnboardLogs"\RTDC4058\2017-12-08 --exclude "*" --recursive --include "*20171208*" &amp; "%USERPROFILE%\Documents\GitHub\mrs-test-scripts\Headless Mode &amp; Sideloading\WalkAndUnGZ.bat" "%USERPROFILE%\AppData\Local\Temp\OnboardLogs"\RTDC4058\2017-12-08</v>
      </c>
      <c r="AF89" s="234" t="str">
        <f t="shared" si="40"/>
        <v>"C:\Program Files (x86)\AstroGrep\AstroGrep.exe" /e /r /s /spath="%USERPROFILE%\AppData\Local\Temp\OnboardLogs" /stypes="app*4058*20171207*" /stext=" 20:.+((SYSTEM_STATE.+slice.+state.+changed )|(ment ac)|(multiple cpu faults)|(system.+state.+changed )|(\[timeout)|(PRM\|1\|D)|(kpr)|(kdp)|(train st.+moving)|(\|lc)|(penalty))"</v>
      </c>
      <c r="AG89" s="244" t="str">
        <f t="shared" si="41"/>
        <v>EC</v>
      </c>
      <c r="AH89" s="236" t="str">
        <f t="shared" si="42"/>
        <v>"%USERPROFILE%\Documents\GitHub\eaglep3\Utilities\RefineRTDCRunTimes.py" --tripid 177-07 --locoid 4058 --swversion DE.1.0.9.0 --startMP 204:1494 --initTime 2017-12-07T13:16:46 --startdatetime 2017-12-07T13:20:35 --delay 64 --endMP 204:233174 --enddatetime 2017-12-07T13:54:20 --enforcementcount 1 &gt;&gt;%USERPROFILE%\Documents\GitHub\eaglep3-reporting\EC\2017-12-07-refined-times.txt</v>
      </c>
      <c r="AI89" s="238" t="str">
        <f t="shared" si="43"/>
        <v>echo {"issue":{"subject":"Delayed by brake pipe issue with RTDC4022","project_id":79,"tracker_id":40,"status_id":1,"priority_id":2,"assigned_to_id":338,"start_date":"2017-12-07","description":"","custom_fields":[{"id":1,"name":"Subdivision","value":"EC"},{"id":4,"name":"Milepost","value":"23.3174"},{"id":17,"name":"Train ID","value":"177-07"},{"id":16,"name":"Locomotive ID","value":"4058"},{"id":130,"name":"Impact","value":""},{"id":150,"name":"Time of Event (Mountain Time)","value":"13:54:20"},{"id":151,"name":"Denver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44"/>
        <v>start /low /b %USERPROFILE%\Documents\GitHub\eaglep3\Utilities\DownloadLogsFromS3.py --loco 4058 --day 2017-12-07</v>
      </c>
      <c r="AN89" s="241" t="str">
        <f t="shared" si="45"/>
        <v>echo {"issue":{"subject":"Delayed by brake pipe issue with RTDC4022","project_id":30,"tracker_id":4,"status_id":1,"priority_id":1,"assigned_to_id":10,"start_date":"2017-12-07","description":"","custom_fields":[{"id":30,"name":"Category","value":"Issue"},{"id":3,"name":"Functional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20:54:20"},{"id":29,"name":"Sharepoint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46"/>
        <v>https://d0f6bd738d7f1b3e5a7ca70fe4ff75f0.us-east-1.aws.found.io/app/kibana#/discover/Steve-Slow-Train-Analysis-(2080s-and-2083s)?_g=(refreshInterval:(display:Off,pause:!f,section:0,value:0),time:(from:'2017-12-07T12:16:46-0700',mode:absolute,to:'2017-12-07T14:54:20-0700'))&amp;_a=(columns:!('Message%20ID',Summary),filters:!(),index:'emp_*',interval:auto,query:(query_string:(analyze_wildcard:!t,query:'%22rtdc.l.rtdc.4058%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9" t="s">
        <v>826</v>
      </c>
      <c r="B90" s="225">
        <v>4057</v>
      </c>
      <c r="C90" s="227" t="s">
        <v>192</v>
      </c>
      <c r="D90" s="227" t="s">
        <v>977</v>
      </c>
      <c r="E90" s="226">
        <v>43076.588182870371</v>
      </c>
      <c r="F90" s="226">
        <v>43076.591817129629</v>
      </c>
      <c r="G90" s="225">
        <v>63</v>
      </c>
      <c r="H90" s="227" t="s">
        <v>978</v>
      </c>
      <c r="I90" s="226">
        <v>43076.617268518516</v>
      </c>
      <c r="J90" s="225">
        <v>1</v>
      </c>
      <c r="K90" s="237" t="str">
        <f t="shared" si="29"/>
        <v>4057/4058</v>
      </c>
      <c r="L90" s="245" t="str">
        <f>VLOOKUP(A90,'Trips&amp;Operators'!$C$1:$G$99911,5,FALSE)</f>
        <v>NEWELL JAMES</v>
      </c>
      <c r="M90" s="224">
        <f t="shared" si="30"/>
        <v>2.545138888672227E-2</v>
      </c>
      <c r="N90" s="225">
        <f t="shared" si="47"/>
        <v>36.649999996880069</v>
      </c>
      <c r="O90" s="225"/>
      <c r="P90" s="225"/>
      <c r="Q90" s="228"/>
      <c r="R90" s="242"/>
      <c r="S90" s="249">
        <f t="shared" si="31"/>
        <v>1</v>
      </c>
      <c r="T90" s="242" t="str">
        <f t="shared" si="32"/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33"/>
        <v>https://d0f6bd738d7f1b3e5a7ca70fe4ff75f0.us-east-1.aws.found.io/app/kibana#/discover/Steve-Slow-Train-Analysis-(2080s-and-2083s)?_g=(refreshInterval:(display:Off,pause:!f,section:0,value:0),time:(from:'2017-12-07T13:06:59-0700',mode:absolute,to:'2017-12-07T15:48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0" s="247" t="str">
        <f>IF(AA90&lt;VLOOKUP(AG90,Variables!$AC$3:$AD$8,2,FALSE),"Y","N")</f>
        <v>N</v>
      </c>
      <c r="X90" s="247">
        <f t="shared" si="48"/>
        <v>1</v>
      </c>
      <c r="Y90" s="247">
        <f t="shared" si="35"/>
        <v>23.285599999999999</v>
      </c>
      <c r="Z90" s="247">
        <f t="shared" si="36"/>
        <v>2.7799999999999998E-2</v>
      </c>
      <c r="AA90" s="247">
        <f t="shared" si="37"/>
        <v>23.2578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38"/>
        <v>178</v>
      </c>
      <c r="AE90" s="235" t="str">
        <f t="shared" si="39"/>
        <v>aws s3 cp s3://rtdc.mdm.uploadarchive.raw/RTDC4057/ "%USERPROFILE%\AppData\Local\Temp\OnboardLogs"\RTDC4057\2017-12-07 --exclude "*" --recursive --include "*20171207*" &amp; "%USERPROFILE%\Documents\GitHub\mrs-test-scripts\Headless Mode &amp; Sideloading\WalkAndUnGZ.bat" "%USERPROFILE%\AppData\Local\Temp\OnboardLogs"\RTDC4057\2017-12-07 &amp; aws s3 cp s3://rtdc.mdm.uploadarchive.raw/RTDC4057/ "%USERPROFILE%\AppData\Local\Temp\OnboardLogs"\RTDC4057\2017-12-08 --exclude "*" --recursive --include "*20171208*" &amp; "%USERPROFILE%\Documents\GitHub\mrs-test-scripts\Headless Mode &amp; Sideloading\WalkAndUnGZ.bat" "%USERPROFILE%\AppData\Local\Temp\OnboardLogs"\RTDC4057\2017-12-08</v>
      </c>
      <c r="AF90" s="234" t="str">
        <f t="shared" si="40"/>
        <v>"C:\Program Files (x86)\AstroGrep\AstroGrep.exe" /e /r /s /spath="%USERPROFILE%\AppData\Local\Temp\OnboardLogs" /stypes="app*4057*20171207*" /stext=" 21:.+((SYSTEM_STATE.+slice.+state.+changed )|(ment ac)|(multiple cpu faults)|(system.+state.+changed )|(\[timeout)|(PRM\|1\|D)|(kpr)|(kdp)|(train st.+moving)|(\|lc)|(penalty))"</v>
      </c>
      <c r="AG90" s="244" t="str">
        <f t="shared" si="41"/>
        <v>EC</v>
      </c>
      <c r="AH90" s="236" t="str">
        <f t="shared" si="42"/>
        <v>"%USERPROFILE%\Documents\GitHub\eaglep3\Utilities\RefineRTDCRunTimes.py" --tripid 178-07 --locoid 4057 --swversion DE.1.0.9.0 --startMP 204:232856 --initTime 2017-12-07T14:06:59 --startdatetime 2017-12-07T14:12:13 --delay 63 --endMP 204:278 --enddatetime 2017-12-07T14:48:52 --enforcementcount 1 &gt;&gt;%USERPROFILE%\Documents\GitHub\eaglep3-reporting\EC\2017-12-07-refined-times.txt</v>
      </c>
      <c r="AI90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{"issue":{"subject":"","project_id":79,"tracker_id":40,"status_id":1,"priority_id":2,"assigned_to_id":338,"start_date":"2017-12-07","description":"","custom_fields":[{"id":1,"name":"Subdivision","value":"EC"},{"id":4,"name":"Milepost","value":"0.0278"},{"id":17,"name":"Train ID","value":"178-07"},{"id":16,"name":"Locomotive ID","value":"4057"},{"id":130,"name":"Impact","value":""},{"id":150,"name":"Time of Event (Mountain Time)","value":"14:48:52"},{"id":151,"name":"Denver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44"/>
        <v>start /low /b %USERPROFILE%\Documents\GitHub\eaglep3\Utilities\DownloadLogsFromS3.py --loco 4057 --day 2017-12-07</v>
      </c>
      <c r="AN90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21:48:52"},{"id":29,"name":"Sharepoint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46"/>
        <v>https://d0f6bd738d7f1b3e5a7ca70fe4ff75f0.us-east-1.aws.found.io/app/kibana#/discover/Steve-Slow-Train-Analysis-(2080s-and-2083s)?_g=(refreshInterval:(display:Off,pause:!f,section:0,value:0),time:(from:'2017-12-07T13:06:59-0700',mode:absolute,to:'2017-12-07T15:48:52-0700'))&amp;_a=(columns:!('Message%20ID',Summary),filters:!(),index:'emp_*',interval:auto,query:(query_string:(analyze_wildcard:!t,query:'%22rtdc.l.rtdc.4057%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9" t="s">
        <v>819</v>
      </c>
      <c r="B91" s="225">
        <v>4054</v>
      </c>
      <c r="C91" s="227" t="s">
        <v>192</v>
      </c>
      <c r="D91" s="227" t="s">
        <v>538</v>
      </c>
      <c r="E91" s="226">
        <v>43076.560023148151</v>
      </c>
      <c r="F91" s="226">
        <v>43076.562800925924</v>
      </c>
      <c r="G91" s="225">
        <v>84</v>
      </c>
      <c r="H91" s="227" t="s">
        <v>639</v>
      </c>
      <c r="I91" s="226">
        <v>43076.58766203704</v>
      </c>
      <c r="J91" s="225">
        <v>1</v>
      </c>
      <c r="K91" s="237" t="str">
        <f t="shared" si="29"/>
        <v>4053/4054</v>
      </c>
      <c r="L91" s="245" t="str">
        <f>VLOOKUP(A91,'Trips&amp;Operators'!$C$1:$G$99911,5,FALSE)</f>
        <v>LEVIN SCOTT</v>
      </c>
      <c r="M91" s="224">
        <f t="shared" si="30"/>
        <v>2.4861111116479151E-2</v>
      </c>
      <c r="N91" s="225">
        <f t="shared" si="47"/>
        <v>35.800000007729977</v>
      </c>
      <c r="O91" s="225"/>
      <c r="P91" s="225"/>
      <c r="Q91" s="228"/>
      <c r="R91" s="242"/>
      <c r="S91" s="249">
        <f t="shared" si="31"/>
        <v>1</v>
      </c>
      <c r="T91" s="242" t="str">
        <f t="shared" si="32"/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33"/>
        <v>https://d0f6bd738d7f1b3e5a7ca70fe4ff75f0.us-east-1.aws.found.io/app/kibana#/discover/Steve-Slow-Train-Analysis-(2080s-and-2083s)?_g=(refreshInterval:(display:Off,pause:!f,section:0,value:0),time:(from:'2017-12-07T12:26:26-0700',mode:absolute,to:'2017-12-07T15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1" s="247" t="str">
        <f>IF(AA91&lt;VLOOKUP(AG91,Variables!$AC$3:$AD$8,2,FALSE),"Y","N")</f>
        <v>N</v>
      </c>
      <c r="X91" s="247">
        <f t="shared" si="48"/>
        <v>1</v>
      </c>
      <c r="Y91" s="247">
        <f t="shared" si="35"/>
        <v>4.58E-2</v>
      </c>
      <c r="Z91" s="247">
        <f t="shared" si="36"/>
        <v>23.326799999999999</v>
      </c>
      <c r="AA91" s="247">
        <f t="shared" si="37"/>
        <v>23.280999999999999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38"/>
        <v>179</v>
      </c>
      <c r="AE91" s="235" t="str">
        <f t="shared" si="39"/>
        <v>aws s3 cp s3://rtdc.mdm.uploadarchive.raw/RTDC4054/ "%USERPROFILE%\AppData\Local\Temp\OnboardLogs"\RTDC4054\2017-12-07 --exclude "*" --recursive --include "*20171207*" &amp; "%USERPROFILE%\Documents\GitHub\mrs-test-scripts\Headless Mode &amp; Sideloading\WalkAndUnGZ.bat" "%USERPROFILE%\AppData\Local\Temp\OnboardLogs"\RTDC4054\2017-12-07 &amp; aws s3 cp s3://rtdc.mdm.uploadarchive.raw/RTDC4054/ "%USERPROFILE%\AppData\Local\Temp\OnboardLogs"\RTDC4054\2017-12-08 --exclude "*" --recursive --include "*20171208*" &amp; "%USERPROFILE%\Documents\GitHub\mrs-test-scripts\Headless Mode &amp; Sideloading\WalkAndUnGZ.bat" "%USERPROFILE%\AppData\Local\Temp\OnboardLogs"\RTDC4054\2017-12-08</v>
      </c>
      <c r="AF91" s="234" t="str">
        <f t="shared" si="40"/>
        <v>"C:\Program Files (x86)\AstroGrep\AstroGrep.exe" /e /r /s /spath="%USERPROFILE%\AppData\Local\Temp\OnboardLogs" /stypes="app*4054*20171207*" /stext=" 21:.+((SYSTEM_STATE.+slice.+state.+changed )|(ment ac)|(multiple cpu faults)|(system.+state.+changed )|(\[timeout)|(PRM\|1\|D)|(kpr)|(kdp)|(train st.+moving)|(\|lc)|(penalty))"</v>
      </c>
      <c r="AG91" s="244" t="str">
        <f t="shared" si="41"/>
        <v>EC</v>
      </c>
      <c r="AH91" s="236" t="str">
        <f t="shared" si="42"/>
        <v>"%USERPROFILE%\Documents\GitHub\eaglep3\Utilities\RefineRTDCRunTimes.py" --tripid 179-07 --locoid 4054 --swversion DE.1.0.9.0 --startMP 204:458 --initTime 2017-12-07T13:26:26 --startdatetime 2017-12-07T13:30:26 --delay 84 --endMP 204:233268 --enddatetime 2017-12-07T14:06:14 --enforcementcount 1 &gt;&gt;%USERPROFILE%\Documents\GitHub\eaglep3-reporting\EC\2017-12-07-refined-times.txt</v>
      </c>
      <c r="AI91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{"issue":{"subject":"","project_id":79,"tracker_id":40,"status_id":1,"priority_id":2,"assigned_to_id":338,"start_date":"2017-12-07","description":"","custom_fields":[{"id":1,"name":"Subdivision","value":"EC"},{"id":4,"name":"Milepost","value":"23.3268"},{"id":17,"name":"Train ID","value":"179-07"},{"id":16,"name":"Locomotive ID","value":"4054"},{"id":130,"name":"Impact","value":""},{"id":150,"name":"Time of Event (Mountain Time)","value":"14:06:14"},{"id":151,"name":"Denver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44"/>
        <v>start /low /b %USERPROFILE%\Documents\GitHub\eaglep3\Utilities\DownloadLogsFromS3.py --loco 4054 --day 2017-12-07</v>
      </c>
      <c r="AN91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21:06:14"},{"id":29,"name":"Sharepoint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46"/>
        <v>https://d0f6bd738d7f1b3e5a7ca70fe4ff75f0.us-east-1.aws.found.io/app/kibana#/discover/Steve-Slow-Train-Analysis-(2080s-and-2083s)?_g=(refreshInterval:(display:Off,pause:!f,section:0,value:0),time:(from:'2017-12-07T12:26:26-0700',mode:absolute,to:'2017-12-07T15:06:14-0700'))&amp;_a=(columns:!('Message%20ID',Summary),filters:!(),index:'emp_*',interval:auto,query:(query_string:(analyze_wildcard:!t,query:'%22rtdc.l.rtdc.4054%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9" t="s">
        <v>827</v>
      </c>
      <c r="B92" s="225">
        <v>4053</v>
      </c>
      <c r="C92" s="227" t="s">
        <v>192</v>
      </c>
      <c r="D92" s="227" t="s">
        <v>979</v>
      </c>
      <c r="E92" s="226">
        <v>43076.592118055552</v>
      </c>
      <c r="F92" s="226">
        <v>43076.602442129632</v>
      </c>
      <c r="G92" s="225">
        <v>64</v>
      </c>
      <c r="H92" s="227" t="s">
        <v>483</v>
      </c>
      <c r="I92" s="226">
        <v>43076.628032407411</v>
      </c>
      <c r="J92" s="225">
        <v>1</v>
      </c>
      <c r="K92" s="237" t="str">
        <f t="shared" si="29"/>
        <v>4053/4054</v>
      </c>
      <c r="L92" s="245" t="str">
        <f>VLOOKUP(A92,'Trips&amp;Operators'!$C$1:$G$99911,5,FALSE)</f>
        <v>LEVIN SCOTT</v>
      </c>
      <c r="M92" s="224">
        <f t="shared" si="30"/>
        <v>2.5590277778974269E-2</v>
      </c>
      <c r="N92" s="225">
        <f t="shared" si="47"/>
        <v>36.850000001722947</v>
      </c>
      <c r="O92" s="225"/>
      <c r="P92" s="225"/>
      <c r="Q92" s="228"/>
      <c r="R92" s="242"/>
      <c r="S92" s="249">
        <f t="shared" si="31"/>
        <v>1</v>
      </c>
      <c r="T92" s="242" t="str">
        <f t="shared" si="32"/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33"/>
        <v>https://d0f6bd738d7f1b3e5a7ca70fe4ff75f0.us-east-1.aws.found.io/app/kibana#/discover/Steve-Slow-Train-Analysis-(2080s-and-2083s)?_g=(refreshInterval:(display:Off,pause:!f,section:0,value:0),time:(from:'2017-12-07T13:12:39-0700',mode:absolute,to:'2017-12-07T16:04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2" s="247" t="str">
        <f>IF(AA92&lt;VLOOKUP(AG92,Variables!$AC$3:$AD$8,2,FALSE),"Y","N")</f>
        <v>N</v>
      </c>
      <c r="X92" s="247">
        <f t="shared" ref="X92:X123" si="49">VALUE(LEFT(AD92,4))-VALUE(LEFT(AD91,4))</f>
        <v>1</v>
      </c>
      <c r="Y92" s="247">
        <f t="shared" si="35"/>
        <v>23.295100000000001</v>
      </c>
      <c r="Z92" s="247">
        <f t="shared" si="36"/>
        <v>1.4999999999999999E-2</v>
      </c>
      <c r="AA92" s="247">
        <f t="shared" si="37"/>
        <v>23.280100000000001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38"/>
        <v>180</v>
      </c>
      <c r="AE92" s="235" t="str">
        <f t="shared" si="39"/>
        <v>aws s3 cp s3://rtdc.mdm.uploadarchive.raw/RTDC4053/ "%USERPROFILE%\AppData\Local\Temp\OnboardLogs"\RTDC4053\2017-12-07 --exclude "*" --recursive --include "*20171207*" &amp; "%USERPROFILE%\Documents\GitHub\mrs-test-scripts\Headless Mode &amp; Sideloading\WalkAndUnGZ.bat" "%USERPROFILE%\AppData\Local\Temp\OnboardLogs"\RTDC4053\2017-12-07 &amp; aws s3 cp s3://rtdc.mdm.uploadarchive.raw/RTDC4053/ "%USERPROFILE%\AppData\Local\Temp\OnboardLogs"\RTDC4053\2017-12-08 --exclude "*" --recursive --include "*20171208*" &amp; "%USERPROFILE%\Documents\GitHub\mrs-test-scripts\Headless Mode &amp; Sideloading\WalkAndUnGZ.bat" "%USERPROFILE%\AppData\Local\Temp\OnboardLogs"\RTDC4053\2017-12-08</v>
      </c>
      <c r="AF92" s="234" t="str">
        <f t="shared" si="40"/>
        <v>"C:\Program Files (x86)\AstroGrep\AstroGrep.exe" /e /r /s /spath="%USERPROFILE%\AppData\Local\Temp\OnboardLogs" /stypes="app*4053*20171207*" /stext=" 22:.+((SYSTEM_STATE.+slice.+state.+changed )|(ment ac)|(multiple cpu faults)|(system.+state.+changed )|(\[timeout)|(PRM\|1\|D)|(kpr)|(kdp)|(train st.+moving)|(\|lc)|(penalty))"</v>
      </c>
      <c r="AG92" s="244" t="str">
        <f t="shared" si="41"/>
        <v>EC</v>
      </c>
      <c r="AH92" s="236" t="str">
        <f t="shared" si="42"/>
        <v>"%USERPROFILE%\Documents\GitHub\eaglep3\Utilities\RefineRTDCRunTimes.py" --tripid 180-07 --locoid 4053 --swversion DE.1.0.9.0 --startMP 204:232951 --initTime 2017-12-07T14:12:39 --startdatetime 2017-12-07T14:27:31 --delay 64 --endMP 204:150 --enddatetime 2017-12-07T15:04:22 --enforcementcount 1 &gt;&gt;%USERPROFILE%\Documents\GitHub\eaglep3-reporting\EC\2017-12-07-refined-times.txt</v>
      </c>
      <c r="AI92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{"issue":{"subject":"","project_id":79,"tracker_id":40,"status_id":1,"priority_id":2,"assigned_to_id":338,"start_date":"2017-12-07","description":"","custom_fields":[{"id":1,"name":"Subdivision","value":"EC"},{"id":4,"name":"Milepost","value":"0.015"},{"id":17,"name":"Train ID","value":"180-07"},{"id":16,"name":"Locomotive ID","value":"4053"},{"id":130,"name":"Impact","value":""},{"id":150,"name":"Time of Event (Mountain Time)","value":"15:04:22"},{"id":151,"name":"Denver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44"/>
        <v>start /low /b %USERPROFILE%\Documents\GitHub\eaglep3\Utilities\DownloadLogsFromS3.py --loco 4053 --day 2017-12-07</v>
      </c>
      <c r="AN92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22:04:22"},{"id":29,"name":"Sharepoint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46"/>
        <v>https://d0f6bd738d7f1b3e5a7ca70fe4ff75f0.us-east-1.aws.found.io/app/kibana#/discover/Steve-Slow-Train-Analysis-(2080s-and-2083s)?_g=(refreshInterval:(display:Off,pause:!f,section:0,value:0),time:(from:'2017-12-07T13:12:39-0700',mode:absolute,to:'2017-12-07T16:04:22-0700'))&amp;_a=(columns:!('Message%20ID',Summary),filters:!(),index:'emp_*',interval:auto,query:(query_string:(analyze_wildcard:!t,query:'%22rtdc.l.rtdc.4053%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9" t="s">
        <v>691</v>
      </c>
      <c r="B93" s="225">
        <v>4060</v>
      </c>
      <c r="C93" s="227" t="s">
        <v>192</v>
      </c>
      <c r="D93" s="227" t="s">
        <v>980</v>
      </c>
      <c r="E93" s="226">
        <v>43076.568703703706</v>
      </c>
      <c r="F93" s="226">
        <v>43076.573148148149</v>
      </c>
      <c r="G93" s="225">
        <v>56</v>
      </c>
      <c r="H93" s="227" t="s">
        <v>957</v>
      </c>
      <c r="I93" s="226">
        <v>43076.597592592596</v>
      </c>
      <c r="J93" s="225">
        <v>1</v>
      </c>
      <c r="K93" s="237" t="str">
        <f t="shared" si="29"/>
        <v>4059/4060</v>
      </c>
      <c r="L93" s="245" t="str">
        <f>VLOOKUP(A93,'Trips&amp;Operators'!$C$1:$G$99911,5,FALSE)</f>
        <v>ROBINSON KADDIBA</v>
      </c>
      <c r="M93" s="224">
        <f t="shared" si="30"/>
        <v>2.4444444446999114E-2</v>
      </c>
      <c r="N93" s="225">
        <f t="shared" si="47"/>
        <v>35.200000003678724</v>
      </c>
      <c r="O93" s="225"/>
      <c r="P93" s="225"/>
      <c r="Q93" s="228"/>
      <c r="R93" s="242"/>
      <c r="S93" s="249">
        <f t="shared" si="31"/>
        <v>1</v>
      </c>
      <c r="T93" s="242" t="str">
        <f t="shared" si="32"/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 t="shared" si="33"/>
        <v>https://d0f6bd738d7f1b3e5a7ca70fe4ff75f0.us-east-1.aws.found.io/app/kibana#/discover/Steve-Slow-Train-Analysis-(2080s-and-2083s)?_g=(refreshInterval:(display:Off,pause:!f,section:0,value:0),time:(from:'2017-12-07T12:38:56-0700',mode:absolute,to:'2017-12-07T15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3" s="247" t="str">
        <f>IF(AA93&lt;VLOOKUP(AG93,Variables!$AC$3:$AD$8,2,FALSE),"Y","N")</f>
        <v>N</v>
      </c>
      <c r="X93" s="247">
        <f t="shared" si="49"/>
        <v>1</v>
      </c>
      <c r="Y93" s="247">
        <f t="shared" si="35"/>
        <v>8.9599999999999999E-2</v>
      </c>
      <c r="Z93" s="247">
        <f t="shared" si="36"/>
        <v>23.327000000000002</v>
      </c>
      <c r="AA93" s="247">
        <f t="shared" si="37"/>
        <v>23.237400000000001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38"/>
        <v>181</v>
      </c>
      <c r="AE93" s="235" t="str">
        <f t="shared" si="39"/>
        <v>aws s3 cp s3://rtdc.mdm.uploadarchive.raw/RTDC4060/ "%USERPROFILE%\AppData\Local\Temp\OnboardLogs"\RTDC4060\2017-12-07 --exclude "*" --recursive --include "*20171207*" &amp; "%USERPROFILE%\Documents\GitHub\mrs-test-scripts\Headless Mode &amp; Sideloading\WalkAndUnGZ.bat" "%USERPROFILE%\AppData\Local\Temp\OnboardLogs"\RTDC4060\2017-12-07 &amp; aws s3 cp s3://rtdc.mdm.uploadarchive.raw/RTDC4060/ "%USERPROFILE%\AppData\Local\Temp\OnboardLogs"\RTDC4060\2017-12-08 --exclude "*" --recursive --include "*20171208*" &amp; "%USERPROFILE%\Documents\GitHub\mrs-test-scripts\Headless Mode &amp; Sideloading\WalkAndUnGZ.bat" "%USERPROFILE%\AppData\Local\Temp\OnboardLogs"\RTDC4060\2017-12-08</v>
      </c>
      <c r="AF93" s="234" t="str">
        <f t="shared" si="40"/>
        <v>"C:\Program Files (x86)\AstroGrep\AstroGrep.exe" /e /r /s /spath="%USERPROFILE%\AppData\Local\Temp\OnboardLogs" /stypes="app*4060*20171207*" /stext=" 21:.+((SYSTEM_STATE.+slice.+state.+changed )|(ment ac)|(multiple cpu faults)|(system.+state.+changed )|(\[timeout)|(PRM\|1\|D)|(kpr)|(kdp)|(train st.+moving)|(\|lc)|(penalty))"</v>
      </c>
      <c r="AG93" s="244" t="str">
        <f t="shared" si="41"/>
        <v>EC</v>
      </c>
      <c r="AH93" s="236" t="str">
        <f t="shared" si="42"/>
        <v>"%USERPROFILE%\Documents\GitHub\eaglep3\Utilities\RefineRTDCRunTimes.py" --tripid 181-07 --locoid 4060 --swversion DE.1.0.9.0 --startMP 204:896 --initTime 2017-12-07T13:38:56 --startdatetime 2017-12-07T13:45:20 --delay 56 --endMP 204:233270 --enddatetime 2017-12-07T14:20:32 --enforcementcount 1 &gt;&gt;%USERPROFILE%\Documents\GitHub\eaglep3-reporting\EC\2017-12-07-refined-times.txt</v>
      </c>
      <c r="AI93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{"issue":{"subject":"","project_id":79,"tracker_id":40,"status_id":1,"priority_id":2,"assigned_to_id":338,"start_date":"2017-12-07","description":"","custom_fields":[{"id":1,"name":"Subdivision","value":"EC"},{"id":4,"name":"Milepost","value":"23.327"},{"id":17,"name":"Train ID","value":"181-07"},{"id":16,"name":"Locomotive ID","value":"4060"},{"id":130,"name":"Impact","value":""},{"id":150,"name":"Time of Event (Mountain Time)","value":"14:20:32"},{"id":151,"name":"Denver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44"/>
        <v>start /low /b %USERPROFILE%\Documents\GitHub\eaglep3\Utilities\DownloadLogsFromS3.py --loco 4060 --day 2017-12-07</v>
      </c>
      <c r="AN93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21:20:32"},{"id":29,"name":"Sharepoint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46"/>
        <v>https://d0f6bd738d7f1b3e5a7ca70fe4ff75f0.us-east-1.aws.found.io/app/kibana#/discover/Steve-Slow-Train-Analysis-(2080s-and-2083s)?_g=(refreshInterval:(display:Off,pause:!f,section:0,value:0),time:(from:'2017-12-07T12:38:56-0700',mode:absolute,to:'2017-12-07T15:20:32-0700'))&amp;_a=(columns:!('Message%20ID',Summary),filters:!(),index:'emp_*',interval:auto,query:(query_string:(analyze_wildcard:!t,query:'%22rtdc.l.rtdc.4060%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9" t="s">
        <v>830</v>
      </c>
      <c r="B94" s="225">
        <v>4059</v>
      </c>
      <c r="C94" s="227" t="s">
        <v>192</v>
      </c>
      <c r="D94" s="227" t="s">
        <v>537</v>
      </c>
      <c r="E94" s="226">
        <v>43076.605567129627</v>
      </c>
      <c r="F94" s="226">
        <v>43076.612638888888</v>
      </c>
      <c r="G94" s="225">
        <v>66</v>
      </c>
      <c r="H94" s="227" t="s">
        <v>627</v>
      </c>
      <c r="I94" s="226">
        <v>43076.638738425929</v>
      </c>
      <c r="J94" s="225">
        <v>1</v>
      </c>
      <c r="K94" s="237" t="str">
        <f t="shared" si="29"/>
        <v>4059/4060</v>
      </c>
      <c r="L94" s="245" t="str">
        <f>VLOOKUP(A94,'Trips&amp;Operators'!$C$1:$G$99911,5,FALSE)</f>
        <v>ROBINSON KADDIBA</v>
      </c>
      <c r="M94" s="224">
        <f t="shared" si="30"/>
        <v>2.6099537040863652E-2</v>
      </c>
      <c r="N94" s="225">
        <f t="shared" si="47"/>
        <v>37.583333338843659</v>
      </c>
      <c r="O94" s="225"/>
      <c r="P94" s="225"/>
      <c r="Q94" s="228"/>
      <c r="R94" s="242"/>
      <c r="S94" s="249">
        <f t="shared" si="31"/>
        <v>1</v>
      </c>
      <c r="T94" s="242" t="str">
        <f t="shared" si="32"/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33"/>
        <v>https://d0f6bd738d7f1b3e5a7ca70fe4ff75f0.us-east-1.aws.found.io/app/kibana#/discover/Steve-Slow-Train-Analysis-(2080s-and-2083s)?_g=(refreshInterval:(display:Off,pause:!f,section:0,value:0),time:(from:'2017-12-07T13:32:01-0700',mode:absolute,to:'2017-12-07T16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4" s="247" t="str">
        <f>IF(AA94&lt;VLOOKUP(AG94,Variables!$AC$3:$AD$8,2,FALSE),"Y","N")</f>
        <v>N</v>
      </c>
      <c r="X94" s="247">
        <f t="shared" si="49"/>
        <v>1</v>
      </c>
      <c r="Y94" s="247">
        <f t="shared" si="35"/>
        <v>23.294599999999999</v>
      </c>
      <c r="Z94" s="247">
        <f t="shared" si="36"/>
        <v>2.0299999999999999E-2</v>
      </c>
      <c r="AA94" s="247">
        <f t="shared" si="37"/>
        <v>23.2743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38"/>
        <v>182</v>
      </c>
      <c r="AE94" s="235" t="str">
        <f t="shared" si="39"/>
        <v>aws s3 cp s3://rtdc.mdm.uploadarchive.raw/RTDC4059/ "%USERPROFILE%\AppData\Local\Temp\OnboardLogs"\RTDC4059\2017-12-07 --exclude "*" --recursive --include "*20171207*" &amp; "%USERPROFILE%\Documents\GitHub\mrs-test-scripts\Headless Mode &amp; Sideloading\WalkAndUnGZ.bat" "%USERPROFILE%\AppData\Local\Temp\OnboardLogs"\RTDC4059\2017-12-07 &amp; aws s3 cp s3://rtdc.mdm.uploadarchive.raw/RTDC4059/ "%USERPROFILE%\AppData\Local\Temp\OnboardLogs"\RTDC4059\2017-12-08 --exclude "*" --recursive --include "*20171208*" &amp; "%USERPROFILE%\Documents\GitHub\mrs-test-scripts\Headless Mode &amp; Sideloading\WalkAndUnGZ.bat" "%USERPROFILE%\AppData\Local\Temp\OnboardLogs"\RTDC4059\2017-12-08</v>
      </c>
      <c r="AF94" s="234" t="str">
        <f t="shared" si="40"/>
        <v>"C:\Program Files (x86)\AstroGrep\AstroGrep.exe" /e /r /s /spath="%USERPROFILE%\AppData\Local\Temp\OnboardLogs" /stypes="app*4059*20171207*" /stext=" 22:.+((SYSTEM_STATE.+slice.+state.+changed )|(ment ac)|(multiple cpu faults)|(system.+state.+changed )|(\[timeout)|(PRM\|1\|D)|(kpr)|(kdp)|(train st.+moving)|(\|lc)|(penalty))"</v>
      </c>
      <c r="AG94" s="244" t="str">
        <f t="shared" si="41"/>
        <v>EC</v>
      </c>
      <c r="AH94" s="236" t="str">
        <f t="shared" si="42"/>
        <v>"%USERPROFILE%\Documents\GitHub\eaglep3\Utilities\RefineRTDCRunTimes.py" --tripid 182-07 --locoid 4059 --swversion DE.1.0.9.0 --startMP 204:232946 --initTime 2017-12-07T14:32:01 --startdatetime 2017-12-07T14:42:12 --delay 66 --endMP 204:203 --enddatetime 2017-12-07T15:19:47 --enforcementcount 1 &gt;&gt;%USERPROFILE%\Documents\GitHub\eaglep3-reporting\EC\2017-12-07-refined-times.txt</v>
      </c>
      <c r="AI94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{"issue":{"subject":"","project_id":79,"tracker_id":40,"status_id":1,"priority_id":2,"assigned_to_id":338,"start_date":"2017-12-07","description":"","custom_fields":[{"id":1,"name":"Subdivision","value":"EC"},{"id":4,"name":"Milepost","value":"0.0203"},{"id":17,"name":"Train ID","value":"182-07"},{"id":16,"name":"Locomotive ID","value":"4059"},{"id":130,"name":"Impact","value":""},{"id":150,"name":"Time of Event (Mountain Time)","value":"15:19:47"},{"id":151,"name":"Denver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44"/>
        <v>start /low /b %USERPROFILE%\Documents\GitHub\eaglep3\Utilities\DownloadLogsFromS3.py --loco 4059 --day 2017-12-07</v>
      </c>
      <c r="AN94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22:19:47"},{"id":29,"name":"Sharepoint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46"/>
        <v>https://d0f6bd738d7f1b3e5a7ca70fe4ff75f0.us-east-1.aws.found.io/app/kibana#/discover/Steve-Slow-Train-Analysis-(2080s-and-2083s)?_g=(refreshInterval:(display:Off,pause:!f,section:0,value:0),time:(from:'2017-12-07T13:32:01-0700',mode:absolute,to:'2017-12-07T16:19:47-0700'))&amp;_a=(columns:!('Message%20ID',Summary),filters:!(),index:'emp_*',interval:auto,query:(query_string:(analyze_wildcard:!t,query:'%22rtdc.l.rtdc.4059%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9" t="s">
        <v>824</v>
      </c>
      <c r="B95" s="225">
        <v>4014</v>
      </c>
      <c r="C95" s="227" t="s">
        <v>192</v>
      </c>
      <c r="D95" s="227" t="s">
        <v>514</v>
      </c>
      <c r="E95" s="226">
        <v>43076.580092592594</v>
      </c>
      <c r="F95" s="226">
        <v>43076.583553240744</v>
      </c>
      <c r="G95" s="225">
        <v>69</v>
      </c>
      <c r="H95" s="227" t="s">
        <v>636</v>
      </c>
      <c r="I95" s="226">
        <v>43076.61273148148</v>
      </c>
      <c r="J95" s="225">
        <v>1</v>
      </c>
      <c r="K95" s="237" t="str">
        <f t="shared" si="29"/>
        <v>4013/4014</v>
      </c>
      <c r="L95" s="245" t="str">
        <f>VLOOKUP(A95,'Trips&amp;Operators'!$C$1:$G$99911,5,FALSE)</f>
        <v>LEVERE CRAIG</v>
      </c>
      <c r="M95" s="224">
        <f t="shared" si="30"/>
        <v>2.9178240736655425E-2</v>
      </c>
      <c r="N95" s="225">
        <f t="shared" si="47"/>
        <v>42.016666660783812</v>
      </c>
      <c r="O95" s="225"/>
      <c r="P95" s="225"/>
      <c r="Q95" s="228"/>
      <c r="R95" s="242"/>
      <c r="S95" s="249">
        <f t="shared" si="31"/>
        <v>1</v>
      </c>
      <c r="T95" s="242" t="str">
        <f t="shared" si="32"/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33"/>
        <v>https://d0f6bd738d7f1b3e5a7ca70fe4ff75f0.us-east-1.aws.found.io/app/kibana#/discover/Steve-Slow-Train-Analysis-(2080s-and-2083s)?_g=(refreshInterval:(display:Off,pause:!f,section:0,value:0),time:(from:'2017-12-07T12:55:20-0700',mode:absolute,to:'2017-12-07T15:42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5" s="247" t="str">
        <f>IF(AA95&lt;VLOOKUP(AG95,Variables!$AC$3:$AD$8,2,FALSE),"Y","N")</f>
        <v>N</v>
      </c>
      <c r="X95" s="247">
        <f t="shared" si="49"/>
        <v>1</v>
      </c>
      <c r="Y95" s="247">
        <f t="shared" si="35"/>
        <v>5.5500000000000001E-2</v>
      </c>
      <c r="Z95" s="247">
        <f t="shared" si="36"/>
        <v>23.321000000000002</v>
      </c>
      <c r="AA95" s="247">
        <f t="shared" si="37"/>
        <v>23.265500000000003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38"/>
        <v>183</v>
      </c>
      <c r="AE95" s="235" t="str">
        <f t="shared" si="39"/>
        <v>aws s3 cp s3://rtdc.mdm.uploadarchive.raw/RTDC4014/ "%USERPROFILE%\AppData\Local\Temp\OnboardLogs"\RTDC4014\2017-12-07 --exclude "*" --recursive --include "*20171207*" &amp; "%USERPROFILE%\Documents\GitHub\mrs-test-scripts\Headless Mode &amp; Sideloading\WalkAndUnGZ.bat" "%USERPROFILE%\AppData\Local\Temp\OnboardLogs"\RTDC4014\2017-12-07 &amp; aws s3 cp s3://rtdc.mdm.uploadarchive.raw/RTDC4014/ "%USERPROFILE%\AppData\Local\Temp\OnboardLogs"\RTDC4014\2017-12-08 --exclude "*" --recursive --include "*20171208*" &amp; "%USERPROFILE%\Documents\GitHub\mrs-test-scripts\Headless Mode &amp; Sideloading\WalkAndUnGZ.bat" "%USERPROFILE%\AppData\Local\Temp\OnboardLogs"\RTDC4014\2017-12-08</v>
      </c>
      <c r="AF95" s="234" t="str">
        <f t="shared" si="40"/>
        <v>"C:\Program Files (x86)\AstroGrep\AstroGrep.exe" /e /r /s /spath="%USERPROFILE%\AppData\Local\Temp\OnboardLogs" /stypes="app*4014*20171207*" /stext=" 21:.+((SYSTEM_STATE.+slice.+state.+changed )|(ment ac)|(multiple cpu faults)|(system.+state.+changed )|(\[timeout)|(PRM\|1\|D)|(kpr)|(kdp)|(train st.+moving)|(\|lc)|(penalty))"</v>
      </c>
      <c r="AG95" s="244" t="str">
        <f t="shared" si="41"/>
        <v>EC</v>
      </c>
      <c r="AH95" s="236" t="str">
        <f t="shared" si="42"/>
        <v>"%USERPROFILE%\Documents\GitHub\eaglep3\Utilities\RefineRTDCRunTimes.py" --tripid 183-07 --locoid 4014 --swversion DE.1.0.9.0 --startMP 204:555 --initTime 2017-12-07T13:55:20 --startdatetime 2017-12-07T14:00:19 --delay 69 --endMP 204:233210 --enddatetime 2017-12-07T14:42:20 --enforcementcount 1 &gt;&gt;%USERPROFILE%\Documents\GitHub\eaglep3-reporting\EC\2017-12-07-refined-times.txt</v>
      </c>
      <c r="AI95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{"issue":{"subject":"","project_id":79,"tracker_id":40,"status_id":1,"priority_id":2,"assigned_to_id":338,"start_date":"2017-12-07","description":"","custom_fields":[{"id":1,"name":"Subdivision","value":"EC"},{"id":4,"name":"Milepost","value":"23.321"},{"id":17,"name":"Train ID","value":"183-07"},{"id":16,"name":"Locomotive ID","value":"4014"},{"id":130,"name":"Impact","value":""},{"id":150,"name":"Time of Event (Mountain Time)","value":"14:42:20"},{"id":151,"name":"Denver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44"/>
        <v>start /low /b %USERPROFILE%\Documents\GitHub\eaglep3\Utilities\DownloadLogsFromS3.py --loco 4014 --day 2017-12-07</v>
      </c>
      <c r="AN95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21:42:20"},{"id":29,"name":"Sharepoint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46"/>
        <v>https://d0f6bd738d7f1b3e5a7ca70fe4ff75f0.us-east-1.aws.found.io/app/kibana#/discover/Steve-Slow-Train-Analysis-(2080s-and-2083s)?_g=(refreshInterval:(display:Off,pause:!f,section:0,value:0),time:(from:'2017-12-07T12:55:20-0700',mode:absolute,to:'2017-12-07T15:42:20-0700'))&amp;_a=(columns:!('Message%20ID',Summary),filters:!(),index:'emp_*',interval:auto,query:(query_string:(analyze_wildcard:!t,query:'%22rtdc.l.rtdc.4014%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9" t="s">
        <v>832</v>
      </c>
      <c r="B96" s="225">
        <v>4013</v>
      </c>
      <c r="C96" s="227" t="s">
        <v>192</v>
      </c>
      <c r="D96" s="227" t="s">
        <v>637</v>
      </c>
      <c r="E96" s="226">
        <v>43076.616423611114</v>
      </c>
      <c r="F96" s="226">
        <v>43076.623194444444</v>
      </c>
      <c r="G96" s="225">
        <v>64</v>
      </c>
      <c r="H96" s="227" t="s">
        <v>981</v>
      </c>
      <c r="I96" s="226">
        <v>43076.650196759256</v>
      </c>
      <c r="J96" s="225">
        <v>1</v>
      </c>
      <c r="K96" s="237" t="str">
        <f t="shared" si="29"/>
        <v>4013/4014</v>
      </c>
      <c r="L96" s="245" t="str">
        <f>VLOOKUP(A96,'Trips&amp;Operators'!$C$1:$G$99911,5,FALSE)</f>
        <v>LEVERE CRAIG</v>
      </c>
      <c r="M96" s="224">
        <f t="shared" si="30"/>
        <v>2.700231481139781E-2</v>
      </c>
      <c r="N96" s="225">
        <f t="shared" si="47"/>
        <v>38.883333328412846</v>
      </c>
      <c r="O96" s="225"/>
      <c r="P96" s="225"/>
      <c r="Q96" s="228"/>
      <c r="R96" s="242"/>
      <c r="S96" s="249">
        <f t="shared" si="31"/>
        <v>1</v>
      </c>
      <c r="T96" s="242" t="str">
        <f t="shared" si="32"/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33"/>
        <v>https://d0f6bd738d7f1b3e5a7ca70fe4ff75f0.us-east-1.aws.found.io/app/kibana#/discover/Steve-Slow-Train-Analysis-(2080s-and-2083s)?_g=(refreshInterval:(display:Off,pause:!f,section:0,value:0),time:(from:'2017-12-07T13:47:39-0700',mode:absolute,to:'2017-12-07T16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6" s="247" t="str">
        <f>IF(AA96&lt;VLOOKUP(AG96,Variables!$AC$3:$AD$8,2,FALSE),"Y","N")</f>
        <v>N</v>
      </c>
      <c r="X96" s="247">
        <f t="shared" si="49"/>
        <v>1</v>
      </c>
      <c r="Y96" s="247">
        <f t="shared" si="35"/>
        <v>23.288900000000002</v>
      </c>
      <c r="Z96" s="247">
        <f t="shared" si="36"/>
        <v>2.47E-2</v>
      </c>
      <c r="AA96" s="247">
        <f t="shared" si="37"/>
        <v>23.264200000000002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38"/>
        <v>184</v>
      </c>
      <c r="AE96" s="235" t="str">
        <f t="shared" si="39"/>
        <v>aws s3 cp s3://rtdc.mdm.uploadarchive.raw/RTDC4013/ "%USERPROFILE%\AppData\Local\Temp\OnboardLogs"\RTDC4013\2017-12-07 --exclude "*" --recursive --include "*20171207*" &amp; "%USERPROFILE%\Documents\GitHub\mrs-test-scripts\Headless Mode &amp; Sideloading\WalkAndUnGZ.bat" "%USERPROFILE%\AppData\Local\Temp\OnboardLogs"\RTDC4013\2017-12-07 &amp; aws s3 cp s3://rtdc.mdm.uploadarchive.raw/RTDC4013/ "%USERPROFILE%\AppData\Local\Temp\OnboardLogs"\RTDC4013\2017-12-08 --exclude "*" --recursive --include "*20171208*" &amp; "%USERPROFILE%\Documents\GitHub\mrs-test-scripts\Headless Mode &amp; Sideloading\WalkAndUnGZ.bat" "%USERPROFILE%\AppData\Local\Temp\OnboardLogs"\RTDC4013\2017-12-08</v>
      </c>
      <c r="AF96" s="234" t="str">
        <f t="shared" si="40"/>
        <v>"C:\Program Files (x86)\AstroGrep\AstroGrep.exe" /e /r /s /spath="%USERPROFILE%\AppData\Local\Temp\OnboardLogs" /stypes="app*4013*20171207*" /stext=" 22:.+((SYSTEM_STATE.+slice.+state.+changed )|(ment ac)|(multiple cpu faults)|(system.+state.+changed )|(\[timeout)|(PRM\|1\|D)|(kpr)|(kdp)|(train st.+moving)|(\|lc)|(penalty))"</v>
      </c>
      <c r="AG96" s="244" t="str">
        <f t="shared" si="41"/>
        <v>EC</v>
      </c>
      <c r="AH96" s="236" t="str">
        <f t="shared" si="42"/>
        <v>"%USERPROFILE%\Documents\GitHub\eaglep3\Utilities\RefineRTDCRunTimes.py" --tripid 184-07 --locoid 4013 --swversion DE.1.0.9.0 --startMP 204:232889 --initTime 2017-12-07T14:47:39 --startdatetime 2017-12-07T14:57:24 --delay 64 --endMP 204:247 --enddatetime 2017-12-07T15:36:17 --enforcementcount 1 &gt;&gt;%USERPROFILE%\Documents\GitHub\eaglep3-reporting\EC\2017-12-07-refined-times.txt</v>
      </c>
      <c r="AI96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{"issue":{"subject":"","project_id":79,"tracker_id":40,"status_id":1,"priority_id":2,"assigned_to_id":338,"start_date":"2017-12-07","description":"","custom_fields":[{"id":1,"name":"Subdivision","value":"EC"},{"id":4,"name":"Milepost","value":"0.0247"},{"id":17,"name":"Train ID","value":"184-07"},{"id":16,"name":"Locomotive ID","value":"4013"},{"id":130,"name":"Impact","value":""},{"id":150,"name":"Time of Event (Mountain Time)","value":"15:36:17"},{"id":151,"name":"Denver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44"/>
        <v>start /low /b %USERPROFILE%\Documents\GitHub\eaglep3\Utilities\DownloadLogsFromS3.py --loco 4013 --day 2017-12-07</v>
      </c>
      <c r="AN96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22:36:17"},{"id":29,"name":"Sharepoint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46"/>
        <v>https://d0f6bd738d7f1b3e5a7ca70fe4ff75f0.us-east-1.aws.found.io/app/kibana#/discover/Steve-Slow-Train-Analysis-(2080s-and-2083s)?_g=(refreshInterval:(display:Off,pause:!f,section:0,value:0),time:(from:'2017-12-07T13:47:39-0700',mode:absolute,to:'2017-12-07T16:36:17-0700'))&amp;_a=(columns:!('Message%20ID',Summary),filters:!(),index:'emp_*',interval:auto,query:(query_string:(analyze_wildcard:!t,query:'%22rtdc.l.rtdc.4013%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9" t="s">
        <v>692</v>
      </c>
      <c r="B97" s="225">
        <v>4056</v>
      </c>
      <c r="C97" s="227" t="s">
        <v>192</v>
      </c>
      <c r="D97" s="227" t="s">
        <v>484</v>
      </c>
      <c r="E97" s="226">
        <v>43076.590775462966</v>
      </c>
      <c r="F97" s="226">
        <v>43076.594085648147</v>
      </c>
      <c r="G97" s="225">
        <v>60</v>
      </c>
      <c r="H97" s="227" t="s">
        <v>982</v>
      </c>
      <c r="I97" s="226">
        <v>43076.620092592595</v>
      </c>
      <c r="J97" s="225">
        <v>1</v>
      </c>
      <c r="K97" s="237" t="str">
        <f t="shared" si="29"/>
        <v>4055/4056</v>
      </c>
      <c r="L97" s="245" t="str">
        <f>VLOOKUP(A97,'Trips&amp;Operators'!$C$1:$G$99911,5,FALSE)</f>
        <v>BADERTSCHER DIANE</v>
      </c>
      <c r="M97" s="224">
        <f t="shared" si="30"/>
        <v>2.6006944448454306E-2</v>
      </c>
      <c r="N97" s="225">
        <f t="shared" si="47"/>
        <v>37.4500000057742</v>
      </c>
      <c r="O97" s="225"/>
      <c r="P97" s="225"/>
      <c r="Q97" s="228"/>
      <c r="R97" s="242"/>
      <c r="S97" s="249">
        <f t="shared" si="31"/>
        <v>1</v>
      </c>
      <c r="T97" s="242" t="str">
        <f t="shared" si="32"/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33"/>
        <v>https://d0f6bd738d7f1b3e5a7ca70fe4ff75f0.us-east-1.aws.found.io/app/kibana#/discover/Steve-Slow-Train-Analysis-(2080s-and-2083s)?_g=(refreshInterval:(display:Off,pause:!f,section:0,value:0),time:(from:'2017-12-07T13:10:43-0700',mode:absolute,to:'2017-12-07T15:52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7" s="247" t="str">
        <f>IF(AA97&lt;VLOOKUP(AG97,Variables!$AC$3:$AD$8,2,FALSE),"Y","N")</f>
        <v>N</v>
      </c>
      <c r="X97" s="247">
        <f t="shared" si="49"/>
        <v>1</v>
      </c>
      <c r="Y97" s="247">
        <f t="shared" si="35"/>
        <v>5.04E-2</v>
      </c>
      <c r="Z97" s="247">
        <f t="shared" si="36"/>
        <v>23.322199999999999</v>
      </c>
      <c r="AA97" s="247">
        <f t="shared" si="37"/>
        <v>23.271799999999999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38"/>
        <v>185</v>
      </c>
      <c r="AE97" s="235" t="str">
        <f t="shared" si="39"/>
        <v>aws s3 cp s3://rtdc.mdm.uploadarchive.raw/RTDC4056/ "%USERPROFILE%\AppData\Local\Temp\OnboardLogs"\RTDC4056\2017-12-07 --exclude "*" --recursive --include "*20171207*" &amp; "%USERPROFILE%\Documents\GitHub\mrs-test-scripts\Headless Mode &amp; Sideloading\WalkAndUnGZ.bat" "%USERPROFILE%\AppData\Local\Temp\OnboardLogs"\RTDC4056\2017-12-07 &amp; aws s3 cp s3://rtdc.mdm.uploadarchive.raw/RTDC4056/ "%USERPROFILE%\AppData\Local\Temp\OnboardLogs"\RTDC4056\2017-12-08 --exclude "*" --recursive --include "*20171208*" &amp; "%USERPROFILE%\Documents\GitHub\mrs-test-scripts\Headless Mode &amp; Sideloading\WalkAndUnGZ.bat" "%USERPROFILE%\AppData\Local\Temp\OnboardLogs"\RTDC4056\2017-12-08</v>
      </c>
      <c r="AF97" s="234" t="str">
        <f t="shared" si="40"/>
        <v>"C:\Program Files (x86)\AstroGrep\AstroGrep.exe" /e /r /s /spath="%USERPROFILE%\AppData\Local\Temp\OnboardLogs" /stypes="app*4056*20171207*" /stext=" 21:.+((SYSTEM_STATE.+slice.+state.+changed )|(ment ac)|(multiple cpu faults)|(system.+state.+changed )|(\[timeout)|(PRM\|1\|D)|(kpr)|(kdp)|(train st.+moving)|(\|lc)|(penalty))"</v>
      </c>
      <c r="AG97" s="244" t="str">
        <f t="shared" si="41"/>
        <v>EC</v>
      </c>
      <c r="AH97" s="236" t="str">
        <f t="shared" si="42"/>
        <v>"%USERPROFILE%\Documents\GitHub\eaglep3\Utilities\RefineRTDCRunTimes.py" --tripid 185-07 --locoid 4056 --swversion DE.1.0.9.0 --startMP 204:504 --initTime 2017-12-07T14:10:43 --startdatetime 2017-12-07T14:15:29 --delay 60 --endMP 204:233222 --enddatetime 2017-12-07T14:52:56 --enforcementcount 1 &gt;&gt;%USERPROFILE%\Documents\GitHub\eaglep3-reporting\EC\2017-12-07-refined-times.txt</v>
      </c>
      <c r="AI97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{"issue":{"subject":"","project_id":79,"tracker_id":40,"status_id":1,"priority_id":2,"assigned_to_id":338,"start_date":"2017-12-07","description":"","custom_fields":[{"id":1,"name":"Subdivision","value":"EC"},{"id":4,"name":"Milepost","value":"23.3222"},{"id":17,"name":"Train ID","value":"185-07"},{"id":16,"name":"Locomotive ID","value":"4056"},{"id":130,"name":"Impact","value":""},{"id":150,"name":"Time of Event (Mountain Time)","value":"14:52:56"},{"id":151,"name":"Denver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44"/>
        <v>start /low /b %USERPROFILE%\Documents\GitHub\eaglep3\Utilities\DownloadLogsFromS3.py --loco 4056 --day 2017-12-07</v>
      </c>
      <c r="AN97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21:52:56"},{"id":29,"name":"Sharepoint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46"/>
        <v>https://d0f6bd738d7f1b3e5a7ca70fe4ff75f0.us-east-1.aws.found.io/app/kibana#/discover/Steve-Slow-Train-Analysis-(2080s-and-2083s)?_g=(refreshInterval:(display:Off,pause:!f,section:0,value:0),time:(from:'2017-12-07T13:10:43-0700',mode:absolute,to:'2017-12-07T15:52:56-0700'))&amp;_a=(columns:!('Message%20ID',Summary),filters:!(),index:'emp_*',interval:auto,query:(query_string:(analyze_wildcard:!t,query:'%22rtdc.l.rtdc.4056%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9" t="s">
        <v>835</v>
      </c>
      <c r="B98" s="225">
        <v>4055</v>
      </c>
      <c r="C98" s="227" t="s">
        <v>192</v>
      </c>
      <c r="D98" s="227" t="s">
        <v>983</v>
      </c>
      <c r="E98" s="226">
        <v>43076.627442129633</v>
      </c>
      <c r="F98" s="226">
        <v>43076.63349537037</v>
      </c>
      <c r="G98" s="225">
        <v>74</v>
      </c>
      <c r="H98" s="227" t="s">
        <v>643</v>
      </c>
      <c r="I98" s="226">
        <v>43076.661412037036</v>
      </c>
      <c r="J98" s="225">
        <v>1</v>
      </c>
      <c r="K98" s="237" t="str">
        <f t="shared" si="29"/>
        <v>4055/4056</v>
      </c>
      <c r="L98" s="245" t="str">
        <f>VLOOKUP(A98,'Trips&amp;Operators'!$C$1:$G$99911,5,FALSE)</f>
        <v>BADERTSCHER DIANE</v>
      </c>
      <c r="M98" s="224">
        <f t="shared" si="30"/>
        <v>2.7916666665987577E-2</v>
      </c>
      <c r="N98" s="225">
        <f t="shared" si="47"/>
        <v>40.199999999022111</v>
      </c>
      <c r="O98" s="225"/>
      <c r="P98" s="225"/>
      <c r="Q98" s="228"/>
      <c r="R98" s="242"/>
      <c r="S98" s="249">
        <f t="shared" si="31"/>
        <v>1</v>
      </c>
      <c r="T98" s="242" t="str">
        <f t="shared" si="32"/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33"/>
        <v>https://d0f6bd738d7f1b3e5a7ca70fe4ff75f0.us-east-1.aws.found.io/app/kibana#/discover/Steve-Slow-Train-Analysis-(2080s-and-2083s)?_g=(refreshInterval:(display:Off,pause:!f,section:0,value:0),time:(from:'2017-12-07T14:03:31-0700',mode:absolute,to:'2017-12-07T16:52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8" s="247" t="str">
        <f>IF(AA98&lt;VLOOKUP(AG98,Variables!$AC$3:$AD$8,2,FALSE),"Y","N")</f>
        <v>N</v>
      </c>
      <c r="X98" s="247">
        <f t="shared" si="49"/>
        <v>1</v>
      </c>
      <c r="Y98" s="247">
        <f t="shared" si="35"/>
        <v>23.2911</v>
      </c>
      <c r="Z98" s="247">
        <f t="shared" si="36"/>
        <v>2.1399999999999999E-2</v>
      </c>
      <c r="AA98" s="247">
        <f t="shared" si="37"/>
        <v>23.2697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38"/>
        <v>186</v>
      </c>
      <c r="AE98" s="235" t="str">
        <f t="shared" si="39"/>
        <v>aws s3 cp s3://rtdc.mdm.uploadarchive.raw/RTDC4055/ "%USERPROFILE%\AppData\Local\Temp\OnboardLogs"\RTDC4055\2017-12-07 --exclude "*" --recursive --include "*20171207*" &amp; "%USERPROFILE%\Documents\GitHub\mrs-test-scripts\Headless Mode &amp; Sideloading\WalkAndUnGZ.bat" "%USERPROFILE%\AppData\Local\Temp\OnboardLogs"\RTDC4055\2017-12-07 &amp; aws s3 cp s3://rtdc.mdm.uploadarchive.raw/RTDC4055/ "%USERPROFILE%\AppData\Local\Temp\OnboardLogs"\RTDC4055\2017-12-08 --exclude "*" --recursive --include "*20171208*" &amp; "%USERPROFILE%\Documents\GitHub\mrs-test-scripts\Headless Mode &amp; Sideloading\WalkAndUnGZ.bat" "%USERPROFILE%\AppData\Local\Temp\OnboardLogs"\RTDC4055\2017-12-08</v>
      </c>
      <c r="AF98" s="234" t="str">
        <f t="shared" si="40"/>
        <v>"C:\Program Files (x86)\AstroGrep\AstroGrep.exe" /e /r /s /spath="%USERPROFILE%\AppData\Local\Temp\OnboardLogs" /stypes="app*4055*20171207*" /stext=" 22:.+((SYSTEM_STATE.+slice.+state.+changed )|(ment ac)|(multiple cpu faults)|(system.+state.+changed )|(\[timeout)|(PRM\|1\|D)|(kpr)|(kdp)|(train st.+moving)|(\|lc)|(penalty))"</v>
      </c>
      <c r="AG98" s="244" t="str">
        <f t="shared" si="41"/>
        <v>EC</v>
      </c>
      <c r="AH98" s="236" t="str">
        <f t="shared" si="42"/>
        <v>"%USERPROFILE%\Documents\GitHub\eaglep3\Utilities\RefineRTDCRunTimes.py" --tripid 186-07 --locoid 4055 --swversion DE.1.0.9.0 --startMP 204:232911 --initTime 2017-12-07T15:03:31 --startdatetime 2017-12-07T15:12:14 --delay 74 --endMP 204:214 --enddatetime 2017-12-07T15:52:26 --enforcementcount 1 &gt;&gt;%USERPROFILE%\Documents\GitHub\eaglep3-reporting\EC\2017-12-07-refined-times.txt</v>
      </c>
      <c r="AI98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{"issue":{"subject":"","project_id":79,"tracker_id":40,"status_id":1,"priority_id":2,"assigned_to_id":338,"start_date":"2017-12-07","description":"","custom_fields":[{"id":1,"name":"Subdivision","value":"EC"},{"id":4,"name":"Milepost","value":"0.0214"},{"id":17,"name":"Train ID","value":"186-07"},{"id":16,"name":"Locomotive ID","value":"4055"},{"id":130,"name":"Impact","value":""},{"id":150,"name":"Time of Event (Mountain Time)","value":"15:52:26"},{"id":151,"name":"Denver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44"/>
        <v>start /low /b %USERPROFILE%\Documents\GitHub\eaglep3\Utilities\DownloadLogsFromS3.py --loco 4055 --day 2017-12-07</v>
      </c>
      <c r="AN98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22:52:26"},{"id":29,"name":"Sharepoint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46"/>
        <v>https://d0f6bd738d7f1b3e5a7ca70fe4ff75f0.us-east-1.aws.found.io/app/kibana#/discover/Steve-Slow-Train-Analysis-(2080s-and-2083s)?_g=(refreshInterval:(display:Off,pause:!f,section:0,value:0),time:(from:'2017-12-07T14:03:31-0700',mode:absolute,to:'2017-12-07T16:52:26-0700'))&amp;_a=(columns:!('Message%20ID',Summary),filters:!(),index:'emp_*',interval:auto,query:(query_string:(analyze_wildcard:!t,query:'%22rtdc.l.rtdc.4055%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9" t="s">
        <v>829</v>
      </c>
      <c r="B99" s="225">
        <v>4028</v>
      </c>
      <c r="C99" s="227" t="s">
        <v>192</v>
      </c>
      <c r="D99" s="227" t="s">
        <v>984</v>
      </c>
      <c r="E99" s="226">
        <v>43076.600324074076</v>
      </c>
      <c r="F99" s="226">
        <v>43076.604467592595</v>
      </c>
      <c r="G99" s="225">
        <v>47</v>
      </c>
      <c r="H99" s="227" t="s">
        <v>985</v>
      </c>
      <c r="I99" s="226">
        <v>43076.628668981481</v>
      </c>
      <c r="J99" s="225">
        <v>1</v>
      </c>
      <c r="K99" s="237" t="str">
        <f t="shared" si="29"/>
        <v>4027/4028</v>
      </c>
      <c r="L99" s="245" t="str">
        <f>VLOOKUP(A99,'Trips&amp;Operators'!$C$1:$G$99911,5,FALSE)</f>
        <v>LONG FULLER</v>
      </c>
      <c r="M99" s="224">
        <f t="shared" si="30"/>
        <v>2.4201388885558117E-2</v>
      </c>
      <c r="N99" s="225">
        <f t="shared" si="47"/>
        <v>34.849999995203689</v>
      </c>
      <c r="O99" s="225"/>
      <c r="P99" s="225"/>
      <c r="Q99" s="228"/>
      <c r="R99" s="242"/>
      <c r="S99" s="249">
        <f t="shared" si="31"/>
        <v>1</v>
      </c>
      <c r="T99" s="242" t="str">
        <f t="shared" si="32"/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33"/>
        <v>https://d0f6bd738d7f1b3e5a7ca70fe4ff75f0.us-east-1.aws.found.io/app/kibana#/discover/Steve-Slow-Train-Analysis-(2080s-and-2083s)?_g=(refreshInterval:(display:Off,pause:!f,section:0,value:0),time:(from:'2017-12-07T13:24:28-0700',mode:absolute,to:'2017-12-07T16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9" s="247" t="str">
        <f>IF(AA99&lt;VLOOKUP(AG99,Variables!$AC$3:$AD$8,2,FALSE),"Y","N")</f>
        <v>N</v>
      </c>
      <c r="X99" s="247">
        <f t="shared" si="49"/>
        <v>1</v>
      </c>
      <c r="Y99" s="247">
        <f t="shared" si="35"/>
        <v>4.9099999999999998E-2</v>
      </c>
      <c r="Z99" s="247">
        <f t="shared" si="36"/>
        <v>23.3249</v>
      </c>
      <c r="AA99" s="247">
        <f t="shared" si="37"/>
        <v>23.2758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38"/>
        <v>187</v>
      </c>
      <c r="AE99" s="235" t="str">
        <f t="shared" si="39"/>
        <v>aws s3 cp s3://rtdc.mdm.uploadarchive.raw/RTDC4028/ "%USERPROFILE%\AppData\Local\Temp\OnboardLogs"\RTDC4028\2017-12-07 --exclude "*" --recursive --include "*20171207*" &amp; "%USERPROFILE%\Documents\GitHub\mrs-test-scripts\Headless Mode &amp; Sideloading\WalkAndUnGZ.bat" "%USERPROFILE%\AppData\Local\Temp\OnboardLogs"\RTDC4028\2017-12-07 &amp; aws s3 cp s3://rtdc.mdm.uploadarchive.raw/RTDC4028/ "%USERPROFILE%\AppData\Local\Temp\OnboardLogs"\RTDC4028\2017-12-08 --exclude "*" --recursive --include "*20171208*" &amp; "%USERPROFILE%\Documents\GitHub\mrs-test-scripts\Headless Mode &amp; Sideloading\WalkAndUnGZ.bat" "%USERPROFILE%\AppData\Local\Temp\OnboardLogs"\RTDC4028\2017-12-08</v>
      </c>
      <c r="AF99" s="234" t="str">
        <f t="shared" si="40"/>
        <v>"C:\Program Files (x86)\AstroGrep\AstroGrep.exe" /e /r /s /spath="%USERPROFILE%\AppData\Local\Temp\OnboardLogs" /stypes="app*4028*20171207*" /stext=" 22:.+((SYSTEM_STATE.+slice.+state.+changed )|(ment ac)|(multiple cpu faults)|(system.+state.+changed )|(\[timeout)|(PRM\|1\|D)|(kpr)|(kdp)|(train st.+moving)|(\|lc)|(penalty))"</v>
      </c>
      <c r="AG99" s="244" t="str">
        <f t="shared" si="41"/>
        <v>EC</v>
      </c>
      <c r="AH99" s="236" t="str">
        <f t="shared" si="42"/>
        <v>"%USERPROFILE%\Documents\GitHub\eaglep3\Utilities\RefineRTDCRunTimes.py" --tripid 187-07 --locoid 4028 --swversion DE.1.0.9.0 --startMP 204:491 --initTime 2017-12-07T14:24:28 --startdatetime 2017-12-07T14:30:26 --delay 47 --endMP 204:233249 --enddatetime 2017-12-07T15:05:17 --enforcementcount 1 &gt;&gt;%USERPROFILE%\Documents\GitHub\eaglep3-reporting\EC\2017-12-07-refined-times.txt</v>
      </c>
      <c r="AI99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{"issue":{"subject":"","project_id":79,"tracker_id":40,"status_id":1,"priority_id":2,"assigned_to_id":338,"start_date":"2017-12-07","description":"","custom_fields":[{"id":1,"name":"Subdivision","value":"EC"},{"id":4,"name":"Milepost","value":"23.3249"},{"id":17,"name":"Train ID","value":"187-07"},{"id":16,"name":"Locomotive ID","value":"4028"},{"id":130,"name":"Impact","value":""},{"id":150,"name":"Time of Event (Mountain Time)","value":"15:05:17"},{"id":151,"name":"Denver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44"/>
        <v>start /low /b %USERPROFILE%\Documents\GitHub\eaglep3\Utilities\DownloadLogsFromS3.py --loco 4028 --day 2017-12-07</v>
      </c>
      <c r="AN99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22:05:17"},{"id":29,"name":"Sharepoint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46"/>
        <v>https://d0f6bd738d7f1b3e5a7ca70fe4ff75f0.us-east-1.aws.found.io/app/kibana#/discover/Steve-Slow-Train-Analysis-(2080s-and-2083s)?_g=(refreshInterval:(display:Off,pause:!f,section:0,value:0),time:(from:'2017-12-07T13:24:28-0700',mode:absolute,to:'2017-12-07T16:05:17-0700'))&amp;_a=(columns:!('Message%20ID',Summary),filters:!(),index:'emp_*',interval:auto,query:(query_string:(analyze_wildcard:!t,query:'%22rtdc.l.rtdc.4028%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9" t="s">
        <v>694</v>
      </c>
      <c r="B100" s="225">
        <v>4027</v>
      </c>
      <c r="C100" s="227" t="s">
        <v>192</v>
      </c>
      <c r="D100" s="227" t="s">
        <v>642</v>
      </c>
      <c r="E100" s="226">
        <v>43076.637685185182</v>
      </c>
      <c r="F100" s="226">
        <v>43076.643969907411</v>
      </c>
      <c r="G100" s="225">
        <v>68</v>
      </c>
      <c r="H100" s="227" t="s">
        <v>986</v>
      </c>
      <c r="I100" s="226">
        <v>43076.674490740741</v>
      </c>
      <c r="J100" s="225">
        <v>1</v>
      </c>
      <c r="K100" s="237" t="str">
        <f t="shared" si="29"/>
        <v>4027/4028</v>
      </c>
      <c r="L100" s="245" t="str">
        <f>VLOOKUP(A100,'Trips&amp;Operators'!$C$1:$G$99911,5,FALSE)</f>
        <v>LONG FULLER</v>
      </c>
      <c r="M100" s="224">
        <f t="shared" si="30"/>
        <v>3.0520833330228925E-2</v>
      </c>
      <c r="N100" s="225">
        <f t="shared" si="47"/>
        <v>43.949999995529652</v>
      </c>
      <c r="O100" s="225"/>
      <c r="P100" s="225"/>
      <c r="Q100" s="228"/>
      <c r="R100" s="242"/>
      <c r="S100" s="249">
        <f t="shared" si="31"/>
        <v>1</v>
      </c>
      <c r="T100" s="242" t="str">
        <f t="shared" si="32"/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33"/>
        <v>https://d0f6bd738d7f1b3e5a7ca70fe4ff75f0.us-east-1.aws.found.io/app/kibana#/discover/Steve-Slow-Train-Analysis-(2080s-and-2083s)?_g=(refreshInterval:(display:Off,pause:!f,section:0,value:0),time:(from:'2017-12-07T14:18:16-0700',mode:absolute,to:'2017-12-07T17:11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0" s="247" t="str">
        <f>IF(AA100&lt;VLOOKUP(AG100,Variables!$AC$3:$AD$8,2,FALSE),"Y","N")</f>
        <v>N</v>
      </c>
      <c r="X100" s="247">
        <f t="shared" si="49"/>
        <v>1</v>
      </c>
      <c r="Y100" s="247">
        <f t="shared" si="35"/>
        <v>23.292100000000001</v>
      </c>
      <c r="Z100" s="247">
        <f t="shared" si="36"/>
        <v>2.4500000000000001E-2</v>
      </c>
      <c r="AA100" s="247">
        <f t="shared" si="37"/>
        <v>23.267600000000002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38"/>
        <v>188</v>
      </c>
      <c r="AE100" s="235" t="str">
        <f t="shared" si="39"/>
        <v>aws s3 cp s3://rtdc.mdm.uploadarchive.raw/RTDC4027/ "%USERPROFILE%\AppData\Local\Temp\OnboardLogs"\RTDC4027\2017-12-07 --exclude "*" --recursive --include "*20171207*" &amp; "%USERPROFILE%\Documents\GitHub\mrs-test-scripts\Headless Mode &amp; Sideloading\WalkAndUnGZ.bat" "%USERPROFILE%\AppData\Local\Temp\OnboardLogs"\RTDC4027\2017-12-07 &amp; aws s3 cp s3://rtdc.mdm.uploadarchive.raw/RTDC4027/ "%USERPROFILE%\AppData\Local\Temp\OnboardLogs"\RTDC4027\2017-12-08 --exclude "*" --recursive --include "*20171208*" &amp; "%USERPROFILE%\Documents\GitHub\mrs-test-scripts\Headless Mode &amp; Sideloading\WalkAndUnGZ.bat" "%USERPROFILE%\AppData\Local\Temp\OnboardLogs"\RTDC4027\2017-12-08</v>
      </c>
      <c r="AF100" s="234" t="str">
        <f t="shared" si="40"/>
        <v>"C:\Program Files (x86)\AstroGrep\AstroGrep.exe" /e /r /s /spath="%USERPROFILE%\AppData\Local\Temp\OnboardLogs" /stypes="app*4027*20171207*" /stext=" 23:.+((SYSTEM_STATE.+slice.+state.+changed )|(ment ac)|(multiple cpu faults)|(system.+state.+changed )|(\[timeout)|(PRM\|1\|D)|(kpr)|(kdp)|(train st.+moving)|(\|lc)|(penalty))"</v>
      </c>
      <c r="AG100" s="244" t="str">
        <f t="shared" si="41"/>
        <v>EC</v>
      </c>
      <c r="AH100" s="236" t="str">
        <f t="shared" si="42"/>
        <v>"%USERPROFILE%\Documents\GitHub\eaglep3\Utilities\RefineRTDCRunTimes.py" --tripid 188-07 --locoid 4027 --swversion DE.1.0.9.0 --startMP 204:232921 --initTime 2017-12-07T15:18:16 --startdatetime 2017-12-07T15:27:19 --delay 68 --endMP 204:245 --enddatetime 2017-12-07T16:11:16 --enforcementcount 1 &gt;&gt;%USERPROFILE%\Documents\GitHub\eaglep3-reporting\EC\2017-12-07-refined-times.txt</v>
      </c>
      <c r="AI100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{"issue":{"subject":"","project_id":79,"tracker_id":40,"status_id":1,"priority_id":2,"assigned_to_id":338,"start_date":"2017-12-07","description":"","custom_fields":[{"id":1,"name":"Subdivision","value":"EC"},{"id":4,"name":"Milepost","value":"0.0245"},{"id":17,"name":"Train ID","value":"188-07"},{"id":16,"name":"Locomotive ID","value":"4027"},{"id":130,"name":"Impact","value":""},{"id":150,"name":"Time of Event (Mountain Time)","value":"16:11:16"},{"id":151,"name":"Denver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44"/>
        <v>start /low /b %USERPROFILE%\Documents\GitHub\eaglep3\Utilities\DownloadLogsFromS3.py --loco 4027 --day 2017-12-07</v>
      </c>
      <c r="AN100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23:11:16"},{"id":29,"name":"Sharepoint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46"/>
        <v>https://d0f6bd738d7f1b3e5a7ca70fe4ff75f0.us-east-1.aws.found.io/app/kibana#/discover/Steve-Slow-Train-Analysis-(2080s-and-2083s)?_g=(refreshInterval:(display:Off,pause:!f,section:0,value:0),time:(from:'2017-12-07T14:18:16-0700',mode:absolute,to:'2017-12-07T17:11:16-0700'))&amp;_a=(columns:!('Message%20ID',Summary),filters:!(),index:'emp_*',interval:auto,query:(query_string:(analyze_wildcard:!t,query:'%22rtdc.l.rtdc.4027%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9" t="s">
        <v>831</v>
      </c>
      <c r="B101" s="225">
        <v>4036</v>
      </c>
      <c r="C101" s="227" t="s">
        <v>192</v>
      </c>
      <c r="D101" s="227" t="s">
        <v>547</v>
      </c>
      <c r="E101" s="226">
        <v>43076.611284722225</v>
      </c>
      <c r="F101" s="226">
        <v>43076.614837962959</v>
      </c>
      <c r="G101" s="225">
        <v>67</v>
      </c>
      <c r="H101" s="227" t="s">
        <v>987</v>
      </c>
      <c r="I101" s="226">
        <v>43076.639502314814</v>
      </c>
      <c r="J101" s="225">
        <v>1</v>
      </c>
      <c r="K101" s="237" t="str">
        <f t="shared" si="29"/>
        <v>4035/4036</v>
      </c>
      <c r="L101" s="245" t="str">
        <f>VLOOKUP(A101,'Trips&amp;Operators'!$C$1:$G$99911,5,FALSE)</f>
        <v>BRUDER RICHARD</v>
      </c>
      <c r="M101" s="224">
        <f t="shared" si="30"/>
        <v>2.4664351854880806E-2</v>
      </c>
      <c r="N101" s="225">
        <f t="shared" si="47"/>
        <v>35.516666671028361</v>
      </c>
      <c r="O101" s="225"/>
      <c r="P101" s="225"/>
      <c r="Q101" s="228"/>
      <c r="R101" s="242"/>
      <c r="S101" s="249">
        <f t="shared" si="31"/>
        <v>1</v>
      </c>
      <c r="T101" s="242" t="str">
        <f t="shared" si="32"/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33"/>
        <v>https://d0f6bd738d7f1b3e5a7ca70fe4ff75f0.us-east-1.aws.found.io/app/kibana#/discover/Steve-Slow-Train-Analysis-(2080s-and-2083s)?_g=(refreshInterval:(display:Off,pause:!f,section:0,value:0),time:(from:'2017-12-07T13:40:15-0700',mode:absolute,to:'2017-12-07T16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1" s="247" t="str">
        <f>IF(AA101&lt;VLOOKUP(AG101,Variables!$AC$3:$AD$8,2,FALSE),"Y","N")</f>
        <v>N</v>
      </c>
      <c r="X101" s="247">
        <f t="shared" si="49"/>
        <v>1</v>
      </c>
      <c r="Y101" s="247">
        <f t="shared" si="35"/>
        <v>5.4899999999999997E-2</v>
      </c>
      <c r="Z101" s="247">
        <f t="shared" si="36"/>
        <v>23.3203</v>
      </c>
      <c r="AA101" s="247">
        <f t="shared" si="37"/>
        <v>23.2654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38"/>
        <v>189</v>
      </c>
      <c r="AE101" s="235" t="str">
        <f t="shared" si="39"/>
        <v>aws s3 cp s3://rtdc.mdm.uploadarchive.raw/RTDC4036/ "%USERPROFILE%\AppData\Local\Temp\OnboardLogs"\RTDC4036\2017-12-07 --exclude "*" --recursive --include "*20171207*" &amp; "%USERPROFILE%\Documents\GitHub\mrs-test-scripts\Headless Mode &amp; Sideloading\WalkAndUnGZ.bat" "%USERPROFILE%\AppData\Local\Temp\OnboardLogs"\RTDC4036\2017-12-07 &amp; aws s3 cp s3://rtdc.mdm.uploadarchive.raw/RTDC4036/ "%USERPROFILE%\AppData\Local\Temp\OnboardLogs"\RTDC4036\2017-12-08 --exclude "*" --recursive --include "*20171208*" &amp; "%USERPROFILE%\Documents\GitHub\mrs-test-scripts\Headless Mode &amp; Sideloading\WalkAndUnGZ.bat" "%USERPROFILE%\AppData\Local\Temp\OnboardLogs"\RTDC4036\2017-12-08</v>
      </c>
      <c r="AF101" s="234" t="str">
        <f t="shared" si="40"/>
        <v>"C:\Program Files (x86)\AstroGrep\AstroGrep.exe" /e /r /s /spath="%USERPROFILE%\AppData\Local\Temp\OnboardLogs" /stypes="app*4036*20171207*" /stext=" 22:.+((SYSTEM_STATE.+slice.+state.+changed )|(ment ac)|(multiple cpu faults)|(system.+state.+changed )|(\[timeout)|(PRM\|1\|D)|(kpr)|(kdp)|(train st.+moving)|(\|lc)|(penalty))"</v>
      </c>
      <c r="AG101" s="244" t="str">
        <f t="shared" si="41"/>
        <v>EC</v>
      </c>
      <c r="AH101" s="236" t="str">
        <f t="shared" si="42"/>
        <v>"%USERPROFILE%\Documents\GitHub\eaglep3\Utilities\RefineRTDCRunTimes.py" --tripid 189-07 --locoid 4036 --swversion DE.1.0.9.0 --startMP 204:549 --initTime 2017-12-07T14:40:15 --startdatetime 2017-12-07T14:45:22 --delay 67 --endMP 204:233203 --enddatetime 2017-12-07T15:20:53 --enforcementcount 1 &gt;&gt;%USERPROFILE%\Documents\GitHub\eaglep3-reporting\EC\2017-12-07-refined-times.txt</v>
      </c>
      <c r="AI101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{"issue":{"subject":"","project_id":79,"tracker_id":40,"status_id":1,"priority_id":2,"assigned_to_id":338,"start_date":"2017-12-07","description":"","custom_fields":[{"id":1,"name":"Subdivision","value":"EC"},{"id":4,"name":"Milepost","value":"23.3203"},{"id":17,"name":"Train ID","value":"189-07"},{"id":16,"name":"Locomotive ID","value":"4036"},{"id":130,"name":"Impact","value":""},{"id":150,"name":"Time of Event (Mountain Time)","value":"15:20:53"},{"id":151,"name":"Denver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44"/>
        <v>start /low /b %USERPROFILE%\Documents\GitHub\eaglep3\Utilities\DownloadLogsFromS3.py --loco 4036 --day 2017-12-07</v>
      </c>
      <c r="AN101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22:20:53"},{"id":29,"name":"Sharepoint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46"/>
        <v>https://d0f6bd738d7f1b3e5a7ca70fe4ff75f0.us-east-1.aws.found.io/app/kibana#/discover/Steve-Slow-Train-Analysis-(2080s-and-2083s)?_g=(refreshInterval:(display:Off,pause:!f,section:0,value:0),time:(from:'2017-12-07T13:40:15-0700',mode:absolute,to:'2017-12-07T16:20:53-0700'))&amp;_a=(columns:!('Message%20ID',Summary),filters:!(),index:'emp_*',interval:auto,query:(query_string:(analyze_wildcard:!t,query:'%22rtdc.l.rtdc.4036%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9" t="s">
        <v>840</v>
      </c>
      <c r="B102" s="225">
        <v>4035</v>
      </c>
      <c r="C102" s="227" t="s">
        <v>192</v>
      </c>
      <c r="D102" s="227" t="s">
        <v>641</v>
      </c>
      <c r="E102" s="226">
        <v>43076.651562500003</v>
      </c>
      <c r="F102" s="226">
        <v>43076.654351851852</v>
      </c>
      <c r="G102" s="225">
        <v>68</v>
      </c>
      <c r="H102" s="227" t="s">
        <v>933</v>
      </c>
      <c r="I102" s="226">
        <v>43076.680567129632</v>
      </c>
      <c r="J102" s="225">
        <v>1</v>
      </c>
      <c r="K102" s="237" t="str">
        <f t="shared" si="29"/>
        <v>4035/4036</v>
      </c>
      <c r="L102" s="245" t="str">
        <f>VLOOKUP(A102,'Trips&amp;Operators'!$C$1:$G$99911,5,FALSE)</f>
        <v>BRUDER RICHARD</v>
      </c>
      <c r="M102" s="224">
        <f t="shared" si="30"/>
        <v>2.6215277779556345E-2</v>
      </c>
      <c r="N102" s="225">
        <f t="shared" si="47"/>
        <v>37.750000002561137</v>
      </c>
      <c r="O102" s="225"/>
      <c r="P102" s="225"/>
      <c r="Q102" s="228"/>
      <c r="R102" s="242"/>
      <c r="S102" s="249">
        <f t="shared" si="31"/>
        <v>1</v>
      </c>
      <c r="T102" s="242" t="str">
        <f t="shared" si="32"/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33"/>
        <v>https://d0f6bd738d7f1b3e5a7ca70fe4ff75f0.us-east-1.aws.found.io/app/kibana#/discover/Steve-Slow-Train-Analysis-(2080s-and-2083s)?_g=(refreshInterval:(display:Off,pause:!f,section:0,value:0),time:(from:'2017-12-07T14:38:15-0700',mode:absolute,to:'2017-12-07T17:20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2" s="247" t="str">
        <f>IF(AA102&lt;VLOOKUP(AG102,Variables!$AC$3:$AD$8,2,FALSE),"Y","N")</f>
        <v>N</v>
      </c>
      <c r="X102" s="247">
        <f t="shared" si="49"/>
        <v>1</v>
      </c>
      <c r="Y102" s="247">
        <f t="shared" si="35"/>
        <v>23.289200000000001</v>
      </c>
      <c r="Z102" s="247">
        <f t="shared" si="36"/>
        <v>2.18E-2</v>
      </c>
      <c r="AA102" s="247">
        <f t="shared" si="37"/>
        <v>23.267400000000002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 t="shared" si="38"/>
        <v>190</v>
      </c>
      <c r="AE102" s="235" t="str">
        <f t="shared" si="39"/>
        <v>aws s3 cp s3://rtdc.mdm.uploadarchive.raw/RTDC4035/ "%USERPROFILE%\AppData\Local\Temp\OnboardLogs"\RTDC4035\2017-12-07 --exclude "*" --recursive --include "*20171207*" &amp; "%USERPROFILE%\Documents\GitHub\mrs-test-scripts\Headless Mode &amp; Sideloading\WalkAndUnGZ.bat" "%USERPROFILE%\AppData\Local\Temp\OnboardLogs"\RTDC4035\2017-12-07 &amp; aws s3 cp s3://rtdc.mdm.uploadarchive.raw/RTDC4035/ "%USERPROFILE%\AppData\Local\Temp\OnboardLogs"\RTDC4035\2017-12-08 --exclude "*" --recursive --include "*20171208*" &amp; "%USERPROFILE%\Documents\GitHub\mrs-test-scripts\Headless Mode &amp; Sideloading\WalkAndUnGZ.bat" "%USERPROFILE%\AppData\Local\Temp\OnboardLogs"\RTDC4035\2017-12-08</v>
      </c>
      <c r="AF102" s="234" t="str">
        <f t="shared" si="40"/>
        <v>"C:\Program Files (x86)\AstroGrep\AstroGrep.exe" /e /r /s /spath="%USERPROFILE%\AppData\Local\Temp\OnboardLogs" /stypes="app*4035*20171207*" /stext=" 23:.+((SYSTEM_STATE.+slice.+state.+changed )|(ment ac)|(multiple cpu faults)|(system.+state.+changed )|(\[timeout)|(PRM\|1\|D)|(kpr)|(kdp)|(train st.+moving)|(\|lc)|(penalty))"</v>
      </c>
      <c r="AG102" s="244" t="str">
        <f t="shared" si="41"/>
        <v>EC</v>
      </c>
      <c r="AH102" s="236" t="str">
        <f t="shared" si="42"/>
        <v>"%USERPROFILE%\Documents\GitHub\eaglep3\Utilities\RefineRTDCRunTimes.py" --tripid 190-07 --locoid 4035 --swversion DE.1.0.9.0 --startMP 204:232892 --initTime 2017-12-07T15:38:15 --startdatetime 2017-12-07T15:42:16 --delay 68 --endMP 204:218 --enddatetime 2017-12-07T16:20:01 --enforcementcount 1 &gt;&gt;%USERPROFILE%\Documents\GitHub\eaglep3-reporting\EC\2017-12-07-refined-times.txt</v>
      </c>
      <c r="AI102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{"issue":{"subject":"","project_id":79,"tracker_id":40,"status_id":1,"priority_id":2,"assigned_to_id":338,"start_date":"2017-12-07","description":"","custom_fields":[{"id":1,"name":"Subdivision","value":"EC"},{"id":4,"name":"Milepost","value":"0.0218"},{"id":17,"name":"Train ID","value":"190-07"},{"id":16,"name":"Locomotive ID","value":"4035"},{"id":130,"name":"Impact","value":""},{"id":150,"name":"Time of Event (Mountain Time)","value":"16:20:01"},{"id":151,"name":"Denver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44"/>
        <v>start /low /b %USERPROFILE%\Documents\GitHub\eaglep3\Utilities\DownloadLogsFromS3.py --loco 4035 --day 2017-12-07</v>
      </c>
      <c r="AN102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23:20:01"},{"id":29,"name":"Sharepoint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46"/>
        <v>https://d0f6bd738d7f1b3e5a7ca70fe4ff75f0.us-east-1.aws.found.io/app/kibana#/discover/Steve-Slow-Train-Analysis-(2080s-and-2083s)?_g=(refreshInterval:(display:Off,pause:!f,section:0,value:0),time:(from:'2017-12-07T14:38:15-0700',mode:absolute,to:'2017-12-07T17:20:01-0700'))&amp;_a=(columns:!('Message%20ID',Summary),filters:!(),index:'emp_*',interval:auto,query:(query_string:(analyze_wildcard:!t,query:'%22rtdc.l.rtdc.4035%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29" t="s">
        <v>833</v>
      </c>
      <c r="B103" s="225">
        <v>4058</v>
      </c>
      <c r="C103" s="227" t="s">
        <v>192</v>
      </c>
      <c r="D103" s="227" t="s">
        <v>988</v>
      </c>
      <c r="E103" s="226">
        <v>43076.619513888887</v>
      </c>
      <c r="F103" s="226">
        <v>43076.625601851854</v>
      </c>
      <c r="G103" s="225">
        <v>81</v>
      </c>
      <c r="H103" s="227" t="s">
        <v>989</v>
      </c>
      <c r="I103" s="226">
        <v>43076.650706018518</v>
      </c>
      <c r="J103" s="225">
        <v>1</v>
      </c>
      <c r="K103" s="237" t="str">
        <f t="shared" si="29"/>
        <v>4057/4058</v>
      </c>
      <c r="L103" s="245" t="str">
        <f>VLOOKUP(A103,'Trips&amp;Operators'!$C$1:$G$99911,5,FALSE)</f>
        <v>STEWART MICHAEL</v>
      </c>
      <c r="M103" s="224">
        <f t="shared" si="30"/>
        <v>2.5104166663368233E-2</v>
      </c>
      <c r="N103" s="225">
        <f t="shared" si="47"/>
        <v>36.149999995250255</v>
      </c>
      <c r="O103" s="225"/>
      <c r="P103" s="225"/>
      <c r="Q103" s="228"/>
      <c r="R103" s="242"/>
      <c r="S103" s="249">
        <f t="shared" si="31"/>
        <v>1</v>
      </c>
      <c r="T103" s="242" t="str">
        <f t="shared" si="32"/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33"/>
        <v>https://d0f6bd738d7f1b3e5a7ca70fe4ff75f0.us-east-1.aws.found.io/app/kibana#/discover/Steve-Slow-Train-Analysis-(2080s-and-2083s)?_g=(refreshInterval:(display:Off,pause:!f,section:0,value:0),time:(from:'2017-12-07T13:52:06-0700',mode:absolute,to:'2017-12-07T16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3" s="247" t="str">
        <f>IF(AA103&lt;VLOOKUP(AG103,Variables!$AC$3:$AD$8,2,FALSE),"Y","N")</f>
        <v>N</v>
      </c>
      <c r="X103" s="247">
        <f t="shared" si="49"/>
        <v>1</v>
      </c>
      <c r="Y103" s="247">
        <f t="shared" si="35"/>
        <v>5.6800000000000003E-2</v>
      </c>
      <c r="Z103" s="247">
        <f t="shared" si="36"/>
        <v>23.323399999999999</v>
      </c>
      <c r="AA103" s="247">
        <f t="shared" si="37"/>
        <v>23.2666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38"/>
        <v>191</v>
      </c>
      <c r="AE103" s="235" t="str">
        <f t="shared" si="39"/>
        <v>aws s3 cp s3://rtdc.mdm.uploadarchive.raw/RTDC4058/ "%USERPROFILE%\AppData\Local\Temp\OnboardLogs"\RTDC4058\2017-12-07 --exclude "*" --recursive --include "*20171207*" &amp; "%USERPROFILE%\Documents\GitHub\mrs-test-scripts\Headless Mode &amp; Sideloading\WalkAndUnGZ.bat" "%USERPROFILE%\AppData\Local\Temp\OnboardLogs"\RTDC4058\2017-12-07 &amp; aws s3 cp s3://rtdc.mdm.uploadarchive.raw/RTDC4058/ "%USERPROFILE%\AppData\Local\Temp\OnboardLogs"\RTDC4058\2017-12-08 --exclude "*" --recursive --include "*20171208*" &amp; "%USERPROFILE%\Documents\GitHub\mrs-test-scripts\Headless Mode &amp; Sideloading\WalkAndUnGZ.bat" "%USERPROFILE%\AppData\Local\Temp\OnboardLogs"\RTDC4058\2017-12-08</v>
      </c>
      <c r="AF103" s="234" t="str">
        <f t="shared" si="40"/>
        <v>"C:\Program Files (x86)\AstroGrep\AstroGrep.exe" /e /r /s /spath="%USERPROFILE%\AppData\Local\Temp\OnboardLogs" /stypes="app*4058*20171207*" /stext=" 22:.+((SYSTEM_STATE.+slice.+state.+changed )|(ment ac)|(multiple cpu faults)|(system.+state.+changed )|(\[timeout)|(PRM\|1\|D)|(kpr)|(kdp)|(train st.+moving)|(\|lc)|(penalty))"</v>
      </c>
      <c r="AG103" s="244" t="str">
        <f t="shared" si="41"/>
        <v>EC</v>
      </c>
      <c r="AH103" s="236" t="str">
        <f t="shared" si="42"/>
        <v>"%USERPROFILE%\Documents\GitHub\eaglep3\Utilities\RefineRTDCRunTimes.py" --tripid 191-07 --locoid 4058 --swversion DE.1.0.9.0 --startMP 204:568 --initTime 2017-12-07T14:52:06 --startdatetime 2017-12-07T15:00:52 --delay 81 --endMP 204:233234 --enddatetime 2017-12-07T15:37:01 --enforcementcount 1 &gt;&gt;%USERPROFILE%\Documents\GitHub\eaglep3-reporting\EC\2017-12-07-refined-times.txt</v>
      </c>
      <c r="AI103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{"issue":{"subject":"","project_id":79,"tracker_id":40,"status_id":1,"priority_id":2,"assigned_to_id":338,"start_date":"2017-12-07","description":"","custom_fields":[{"id":1,"name":"Subdivision","value":"EC"},{"id":4,"name":"Milepost","value":"23.3234"},{"id":17,"name":"Train ID","value":"191-07"},{"id":16,"name":"Locomotive ID","value":"4058"},{"id":130,"name":"Impact","value":""},{"id":150,"name":"Time of Event (Mountain Time)","value":"15:37:01"},{"id":151,"name":"Denver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44"/>
        <v>start /low /b %USERPROFILE%\Documents\GitHub\eaglep3\Utilities\DownloadLogsFromS3.py --loco 4058 --day 2017-12-07</v>
      </c>
      <c r="AN103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22:37:01"},{"id":29,"name":"Sharepoint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46"/>
        <v>https://d0f6bd738d7f1b3e5a7ca70fe4ff75f0.us-east-1.aws.found.io/app/kibana#/discover/Steve-Slow-Train-Analysis-(2080s-and-2083s)?_g=(refreshInterval:(display:Off,pause:!f,section:0,value:0),time:(from:'2017-12-07T13:52:06-0700',mode:absolute,to:'2017-12-07T16:37:01-0700'))&amp;_a=(columns:!('Message%20ID',Summary),filters:!(),index:'emp_*',interval:auto,query:(query_string:(analyze_wildcard:!t,query:'%22rtdc.l.rtdc.4058%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229" t="s">
        <v>695</v>
      </c>
      <c r="B104" s="225">
        <v>4057</v>
      </c>
      <c r="C104" s="227" t="s">
        <v>192</v>
      </c>
      <c r="D104" s="227" t="s">
        <v>990</v>
      </c>
      <c r="E104" s="226">
        <v>43076.661423611113</v>
      </c>
      <c r="F104" s="226">
        <v>43076.664884259262</v>
      </c>
      <c r="G104" s="225">
        <v>72</v>
      </c>
      <c r="H104" s="227" t="s">
        <v>991</v>
      </c>
      <c r="I104" s="226">
        <v>43076.691412037035</v>
      </c>
      <c r="J104" s="225">
        <v>1</v>
      </c>
      <c r="K104" s="237" t="str">
        <f t="shared" si="29"/>
        <v>4057/4058</v>
      </c>
      <c r="L104" s="245" t="str">
        <f>VLOOKUP(A104,'Trips&amp;Operators'!$C$1:$G$99911,5,FALSE)</f>
        <v>STEWART MICHAEL</v>
      </c>
      <c r="M104" s="224">
        <f t="shared" si="30"/>
        <v>2.6527777772571426E-2</v>
      </c>
      <c r="N104" s="225">
        <f t="shared" si="47"/>
        <v>38.199999992502853</v>
      </c>
      <c r="O104" s="225"/>
      <c r="P104" s="225"/>
      <c r="Q104" s="228"/>
      <c r="R104" s="242"/>
      <c r="S104" s="249">
        <f t="shared" si="31"/>
        <v>1</v>
      </c>
      <c r="T104" s="242" t="str">
        <f t="shared" si="32"/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33"/>
        <v>https://d0f6bd738d7f1b3e5a7ca70fe4ff75f0.us-east-1.aws.found.io/app/kibana#/discover/Steve-Slow-Train-Analysis-(2080s-and-2083s)?_g=(refreshInterval:(display:Off,pause:!f,section:0,value:0),time:(from:'2017-12-07T14:52:27-0700',mode:absolute,to:'2017-12-07T17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4" s="247" t="str">
        <f>IF(AA104&lt;VLOOKUP(AG104,Variables!$AC$3:$AD$8,2,FALSE),"Y","N")</f>
        <v>N</v>
      </c>
      <c r="X104" s="247">
        <f t="shared" si="49"/>
        <v>1</v>
      </c>
      <c r="Y104" s="247">
        <f t="shared" si="35"/>
        <v>23.290900000000001</v>
      </c>
      <c r="Z104" s="247">
        <f t="shared" si="36"/>
        <v>2.3400000000000001E-2</v>
      </c>
      <c r="AA104" s="247">
        <f t="shared" si="37"/>
        <v>23.267500000000002</v>
      </c>
      <c r="AB104" s="233" t="str">
        <f>VLOOKUP(A104,Enforcements!$C$7:$K$9,8,0)</f>
        <v>Bulletin (2)</v>
      </c>
      <c r="AC104" s="232" t="str">
        <f>VLOOKUP(A104,Enforcements!$C$7:$E$9,3,0)</f>
        <v>GRADE CROSSING</v>
      </c>
      <c r="AD104" s="243">
        <f t="shared" si="38"/>
        <v>192</v>
      </c>
      <c r="AE104" s="235" t="str">
        <f t="shared" si="39"/>
        <v>aws s3 cp s3://rtdc.mdm.uploadarchive.raw/RTDC4057/ "%USERPROFILE%\AppData\Local\Temp\OnboardLogs"\RTDC4057\2017-12-07 --exclude "*" --recursive --include "*20171207*" &amp; "%USERPROFILE%\Documents\GitHub\mrs-test-scripts\Headless Mode &amp; Sideloading\WalkAndUnGZ.bat" "%USERPROFILE%\AppData\Local\Temp\OnboardLogs"\RTDC4057\2017-12-07 &amp; aws s3 cp s3://rtdc.mdm.uploadarchive.raw/RTDC4057/ "%USERPROFILE%\AppData\Local\Temp\OnboardLogs"\RTDC4057\2017-12-08 --exclude "*" --recursive --include "*20171208*" &amp; "%USERPROFILE%\Documents\GitHub\mrs-test-scripts\Headless Mode &amp; Sideloading\WalkAndUnGZ.bat" "%USERPROFILE%\AppData\Local\Temp\OnboardLogs"\RTDC4057\2017-12-08</v>
      </c>
      <c r="AF104" s="234" t="str">
        <f t="shared" si="40"/>
        <v>"C:\Program Files (x86)\AstroGrep\AstroGrep.exe" /e /r /s /spath="%USERPROFILE%\AppData\Local\Temp\OnboardLogs" /stypes="app*4057*20171207*" /stext=" 23:.+((SYSTEM_STATE.+slice.+state.+changed )|(ment ac)|(multiple cpu faults)|(system.+state.+changed )|(\[timeout)|(PRM\|1\|D)|(kpr)|(kdp)|(train st.+moving)|(\|lc)|(penalty))"</v>
      </c>
      <c r="AG104" s="244" t="str">
        <f t="shared" si="41"/>
        <v>EC</v>
      </c>
      <c r="AH104" s="236" t="str">
        <f t="shared" si="42"/>
        <v>"%USERPROFILE%\Documents\GitHub\eaglep3\Utilities\RefineRTDCRunTimes.py" --tripid 192-07 --locoid 4057 --swversion DE.1.0.9.0 --startMP 204:232909 --initTime 2017-12-07T15:52:27 --startdatetime 2017-12-07T15:57:26 --delay 72 --endMP 204:234 --enddatetime 2017-12-07T16:35:38 --enforcementcount 1 &gt;&gt;%USERPROFILE%\Documents\GitHub\eaglep3-reporting\EC\2017-12-07-refined-times.txt</v>
      </c>
      <c r="AI104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{"issue":{"subject":"","project_id":79,"tracker_id":40,"status_id":1,"priority_id":2,"assigned_to_id":338,"start_date":"2017-12-07","description":"","custom_fields":[{"id":1,"name":"Subdivision","value":"EC"},{"id":4,"name":"Milepost","value":"0.0234"},{"id":17,"name":"Train ID","value":"192-07"},{"id":16,"name":"Locomotive ID","value":"4057"},{"id":130,"name":"Impact","value":""},{"id":150,"name":"Time of Event (Mountain Time)","value":"16:35:38"},{"id":151,"name":"Denver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44"/>
        <v>start /low /b %USERPROFILE%\Documents\GitHub\eaglep3\Utilities\DownloadLogsFromS3.py --loco 4057 --day 2017-12-07</v>
      </c>
      <c r="AN104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23:35:38"},{"id":29,"name":"Sharepoint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46"/>
        <v>https://d0f6bd738d7f1b3e5a7ca70fe4ff75f0.us-east-1.aws.found.io/app/kibana#/discover/Steve-Slow-Train-Analysis-(2080s-and-2083s)?_g=(refreshInterval:(display:Off,pause:!f,section:0,value:0),time:(from:'2017-12-07T14:52:27-0700',mode:absolute,to:'2017-12-07T17:35:38-0700'))&amp;_a=(columns:!('Message%20ID',Summary),filters:!(),index:'emp_*',interval:auto,query:(query_string:(analyze_wildcard:!t,query:'%22rtdc.l.rtdc.4057%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229" t="s">
        <v>693</v>
      </c>
      <c r="B105" s="225">
        <v>4054</v>
      </c>
      <c r="C105" s="227" t="s">
        <v>192</v>
      </c>
      <c r="D105" s="227" t="s">
        <v>486</v>
      </c>
      <c r="E105" s="226">
        <v>43076.632372685184</v>
      </c>
      <c r="F105" s="226">
        <v>43076.635717592595</v>
      </c>
      <c r="G105" s="225">
        <v>90</v>
      </c>
      <c r="H105" s="227" t="s">
        <v>992</v>
      </c>
      <c r="I105" s="226">
        <v>43076.661087962966</v>
      </c>
      <c r="J105" s="225">
        <v>1</v>
      </c>
      <c r="K105" s="237" t="str">
        <f t="shared" si="29"/>
        <v>4053/4054</v>
      </c>
      <c r="L105" s="245" t="str">
        <f>VLOOKUP(A105,'Trips&amp;Operators'!$C$1:$G$99911,5,FALSE)</f>
        <v>LEVIN SCOTT</v>
      </c>
      <c r="M105" s="224">
        <f t="shared" si="30"/>
        <v>2.5370370371092577E-2</v>
      </c>
      <c r="N105" s="225">
        <f t="shared" si="47"/>
        <v>36.53333333437331</v>
      </c>
      <c r="O105" s="225"/>
      <c r="P105" s="225"/>
      <c r="Q105" s="228"/>
      <c r="R105" s="242"/>
      <c r="S105" s="249">
        <f t="shared" si="31"/>
        <v>1</v>
      </c>
      <c r="T105" s="242" t="str">
        <f t="shared" si="32"/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33"/>
        <v>https://d0f6bd738d7f1b3e5a7ca70fe4ff75f0.us-east-1.aws.found.io/app/kibana#/discover/Steve-Slow-Train-Analysis-(2080s-and-2083s)?_g=(refreshInterval:(display:Off,pause:!f,section:0,value:0),time:(from:'2017-12-07T14:10:37-0700',mode:absolute,to:'2017-12-07T16:51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5" s="247" t="str">
        <f>IF(AA105&lt;VLOOKUP(AG105,Variables!$AC$3:$AD$8,2,FALSE),"Y","N")</f>
        <v>N</v>
      </c>
      <c r="X105" s="247">
        <f t="shared" si="49"/>
        <v>1</v>
      </c>
      <c r="Y105" s="247">
        <f t="shared" si="35"/>
        <v>4.6600000000000003E-2</v>
      </c>
      <c r="Z105" s="247">
        <f t="shared" si="36"/>
        <v>23.330100000000002</v>
      </c>
      <c r="AA105" s="247">
        <f t="shared" si="37"/>
        <v>23.2835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38"/>
        <v>193</v>
      </c>
      <c r="AE105" s="235" t="str">
        <f t="shared" si="39"/>
        <v>aws s3 cp s3://rtdc.mdm.uploadarchive.raw/RTDC4054/ "%USERPROFILE%\AppData\Local\Temp\OnboardLogs"\RTDC4054\2017-12-07 --exclude "*" --recursive --include "*20171207*" &amp; "%USERPROFILE%\Documents\GitHub\mrs-test-scripts\Headless Mode &amp; Sideloading\WalkAndUnGZ.bat" "%USERPROFILE%\AppData\Local\Temp\OnboardLogs"\RTDC4054\2017-12-07 &amp; aws s3 cp s3://rtdc.mdm.uploadarchive.raw/RTDC4054/ "%USERPROFILE%\AppData\Local\Temp\OnboardLogs"\RTDC4054\2017-12-08 --exclude "*" --recursive --include "*20171208*" &amp; "%USERPROFILE%\Documents\GitHub\mrs-test-scripts\Headless Mode &amp; Sideloading\WalkAndUnGZ.bat" "%USERPROFILE%\AppData\Local\Temp\OnboardLogs"\RTDC4054\2017-12-08</v>
      </c>
      <c r="AF105" s="234" t="str">
        <f t="shared" si="40"/>
        <v>"C:\Program Files (x86)\AstroGrep\AstroGrep.exe" /e /r /s /spath="%USERPROFILE%\AppData\Local\Temp\OnboardLogs" /stypes="app*4054*20171207*" /stext=" 22:.+((SYSTEM_STATE.+slice.+state.+changed )|(ment ac)|(multiple cpu faults)|(system.+state.+changed )|(\[timeout)|(PRM\|1\|D)|(kpr)|(kdp)|(train st.+moving)|(\|lc)|(penalty))"</v>
      </c>
      <c r="AG105" s="244" t="str">
        <f t="shared" si="41"/>
        <v>EC</v>
      </c>
      <c r="AH105" s="236" t="str">
        <f t="shared" si="42"/>
        <v>"%USERPROFILE%\Documents\GitHub\eaglep3\Utilities\RefineRTDCRunTimes.py" --tripid 193-07 --locoid 4054 --swversion DE.1.0.9.0 --startMP 204:466 --initTime 2017-12-07T15:10:37 --startdatetime 2017-12-07T15:15:26 --delay 90 --endMP 204:233301 --enddatetime 2017-12-07T15:51:58 --enforcementcount 1 &gt;&gt;%USERPROFILE%\Documents\GitHub\eaglep3-reporting\EC\2017-12-07-refined-times.txt</v>
      </c>
      <c r="AI105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{"issue":{"subject":"","project_id":79,"tracker_id":40,"status_id":1,"priority_id":2,"assigned_to_id":338,"start_date":"2017-12-07","description":"","custom_fields":[{"id":1,"name":"Subdivision","value":"EC"},{"id":4,"name":"Milepost","value":"23.3301"},{"id":17,"name":"Train ID","value":"193-07"},{"id":16,"name":"Locomotive ID","value":"4054"},{"id":130,"name":"Impact","value":""},{"id":150,"name":"Time of Event (Mountain Time)","value":"15:51:58"},{"id":151,"name":"Denver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44"/>
        <v>start /low /b %USERPROFILE%\Documents\GitHub\eaglep3\Utilities\DownloadLogsFromS3.py --loco 4054 --day 2017-12-07</v>
      </c>
      <c r="AN105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22:51:58"},{"id":29,"name":"Sharepoint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46"/>
        <v>https://d0f6bd738d7f1b3e5a7ca70fe4ff75f0.us-east-1.aws.found.io/app/kibana#/discover/Steve-Slow-Train-Analysis-(2080s-and-2083s)?_g=(refreshInterval:(display:Off,pause:!f,section:0,value:0),time:(from:'2017-12-07T14:10:37-0700',mode:absolute,to:'2017-12-07T16:51:58-0700'))&amp;_a=(columns:!('Message%20ID',Summary),filters:!(),index:'emp_*',interval:auto,query:(query_string:(analyze_wildcard:!t,query:'%22rtdc.l.rtdc.4054%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1" customFormat="1" x14ac:dyDescent="0.25">
      <c r="A106" s="229" t="s">
        <v>845</v>
      </c>
      <c r="B106" s="225">
        <v>4053</v>
      </c>
      <c r="C106" s="227" t="s">
        <v>192</v>
      </c>
      <c r="D106" s="227" t="s">
        <v>541</v>
      </c>
      <c r="E106" s="226">
        <v>43076.6721412037</v>
      </c>
      <c r="F106" s="226">
        <v>43076.675439814811</v>
      </c>
      <c r="G106" s="225">
        <v>71</v>
      </c>
      <c r="H106" s="227" t="s">
        <v>954</v>
      </c>
      <c r="I106" s="226">
        <v>43076.701493055552</v>
      </c>
      <c r="J106" s="225">
        <v>1</v>
      </c>
      <c r="K106" s="237" t="str">
        <f t="shared" si="29"/>
        <v>4053/4054</v>
      </c>
      <c r="L106" s="245" t="str">
        <f>VLOOKUP(A106,'Trips&amp;Operators'!$C$1:$G$99911,5,FALSE)</f>
        <v>LEVIN SCOTT</v>
      </c>
      <c r="M106" s="224">
        <f t="shared" si="30"/>
        <v>2.6053240741021E-2</v>
      </c>
      <c r="N106" s="225">
        <f t="shared" si="47"/>
        <v>37.51666666707024</v>
      </c>
      <c r="O106" s="225"/>
      <c r="P106" s="225"/>
      <c r="Q106" s="228"/>
      <c r="R106" s="242"/>
      <c r="S106" s="249">
        <f t="shared" si="31"/>
        <v>1</v>
      </c>
      <c r="T106" s="242" t="str">
        <f t="shared" si="32"/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 t="shared" si="33"/>
        <v>https://d0f6bd738d7f1b3e5a7ca70fe4ff75f0.us-east-1.aws.found.io/app/kibana#/discover/Steve-Slow-Train-Analysis-(2080s-and-2083s)?_g=(refreshInterval:(display:Off,pause:!f,section:0,value:0),time:(from:'2017-12-07T15:07:53-0700',mode:absolute,to:'2017-12-07T17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6" s="247" t="str">
        <f>IF(AA106&lt;VLOOKUP(AG106,Variables!$AC$3:$AD$8,2,FALSE),"Y","N")</f>
        <v>N</v>
      </c>
      <c r="X106" s="247">
        <f t="shared" si="49"/>
        <v>1</v>
      </c>
      <c r="Y106" s="247">
        <f t="shared" si="35"/>
        <v>23.297699999999999</v>
      </c>
      <c r="Z106" s="247">
        <f t="shared" si="36"/>
        <v>1.8100000000000002E-2</v>
      </c>
      <c r="AA106" s="247">
        <f t="shared" si="37"/>
        <v>23.279599999999999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38"/>
        <v>194</v>
      </c>
      <c r="AE106" s="235" t="str">
        <f t="shared" si="39"/>
        <v>aws s3 cp s3://rtdc.mdm.uploadarchive.raw/RTDC4053/ "%USERPROFILE%\AppData\Local\Temp\OnboardLogs"\RTDC4053\2017-12-07 --exclude "*" --recursive --include "*20171207*" &amp; "%USERPROFILE%\Documents\GitHub\mrs-test-scripts\Headless Mode &amp; Sideloading\WalkAndUnGZ.bat" "%USERPROFILE%\AppData\Local\Temp\OnboardLogs"\RTDC4053\2017-12-07 &amp; aws s3 cp s3://rtdc.mdm.uploadarchive.raw/RTDC4053/ "%USERPROFILE%\AppData\Local\Temp\OnboardLogs"\RTDC4053\2017-12-08 --exclude "*" --recursive --include "*20171208*" &amp; "%USERPROFILE%\Documents\GitHub\mrs-test-scripts\Headless Mode &amp; Sideloading\WalkAndUnGZ.bat" "%USERPROFILE%\AppData\Local\Temp\OnboardLogs"\RTDC4053\2017-12-08</v>
      </c>
      <c r="AF106" s="234" t="str">
        <f t="shared" si="40"/>
        <v>"C:\Program Files (x86)\AstroGrep\AstroGrep.exe" /e /r /s /spath="%USERPROFILE%\AppData\Local\Temp\OnboardLogs" /stypes="app*4053*20171207*" /stext=" 23:.+((SYSTEM_STATE.+slice.+state.+changed )|(ment ac)|(multiple cpu faults)|(system.+state.+changed )|(\[timeout)|(PRM\|1\|D)|(kpr)|(kdp)|(train st.+moving)|(\|lc)|(penalty))"</v>
      </c>
      <c r="AG106" s="244" t="str">
        <f t="shared" si="41"/>
        <v>EC</v>
      </c>
      <c r="AH106" s="236" t="str">
        <f t="shared" si="42"/>
        <v>"%USERPROFILE%\Documents\GitHub\eaglep3\Utilities\RefineRTDCRunTimes.py" --tripid 194-07 --locoid 4053 --swversion DE.1.0.9.0 --startMP 204:232977 --initTime 2017-12-07T16:07:53 --startdatetime 2017-12-07T16:12:38 --delay 71 --endMP 204:181 --enddatetime 2017-12-07T16:50:09 --enforcementcount 1 &gt;&gt;%USERPROFILE%\Documents\GitHub\eaglep3-reporting\EC\2017-12-07-refined-times.txt</v>
      </c>
      <c r="AI106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{"issue":{"subject":"","project_id":79,"tracker_id":40,"status_id":1,"priority_id":2,"assigned_to_id":338,"start_date":"2017-12-07","description":"","custom_fields":[{"id":1,"name":"Subdivision","value":"EC"},{"id":4,"name":"Milepost","value":"0.0181"},{"id":17,"name":"Train ID","value":"194-07"},{"id":16,"name":"Locomotive ID","value":"4053"},{"id":130,"name":"Impact","value":""},{"id":150,"name":"Time of Event (Mountain Time)","value":"16:50:09"},{"id":151,"name":"Denver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44"/>
        <v>start /low /b %USERPROFILE%\Documents\GitHub\eaglep3\Utilities\DownloadLogsFromS3.py --loco 4053 --day 2017-12-07</v>
      </c>
      <c r="AN106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23:50:09"},{"id":29,"name":"Sharepoint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46"/>
        <v>https://d0f6bd738d7f1b3e5a7ca70fe4ff75f0.us-east-1.aws.found.io/app/kibana#/discover/Steve-Slow-Train-Analysis-(2080s-and-2083s)?_g=(refreshInterval:(display:Off,pause:!f,section:0,value:0),time:(from:'2017-12-07T15:07:53-0700',mode:absolute,to:'2017-12-07T17:50:09-0700'))&amp;_a=(columns:!('Message%20ID',Summary),filters:!(),index:'emp_*',interval:auto,query:(query_string:(analyze_wildcard:!t,query:'%22rtdc.l.rtdc.4053%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1" customFormat="1" x14ac:dyDescent="0.25">
      <c r="A107" s="229" t="s">
        <v>837</v>
      </c>
      <c r="B107" s="225">
        <v>4060</v>
      </c>
      <c r="C107" s="227" t="s">
        <v>192</v>
      </c>
      <c r="D107" s="227" t="s">
        <v>470</v>
      </c>
      <c r="E107" s="226">
        <v>43076.641909722224</v>
      </c>
      <c r="F107" s="226">
        <v>43076.645983796298</v>
      </c>
      <c r="G107" s="225">
        <v>53</v>
      </c>
      <c r="H107" s="227" t="s">
        <v>931</v>
      </c>
      <c r="I107" s="226">
        <v>43076.671284722222</v>
      </c>
      <c r="J107" s="225">
        <v>1</v>
      </c>
      <c r="K107" s="237" t="str">
        <f t="shared" si="29"/>
        <v>4059/4060</v>
      </c>
      <c r="L107" s="245" t="str">
        <f>VLOOKUP(A107,'Trips&amp;Operators'!$C$1:$G$99911,5,FALSE)</f>
        <v>ROBINSON KADDIBA</v>
      </c>
      <c r="M107" s="224">
        <f t="shared" si="30"/>
        <v>2.5300925924966577E-2</v>
      </c>
      <c r="N107" s="225">
        <f t="shared" si="47"/>
        <v>36.433333331951872</v>
      </c>
      <c r="O107" s="225"/>
      <c r="P107" s="225"/>
      <c r="Q107" s="228"/>
      <c r="R107" s="242"/>
      <c r="S107" s="249">
        <f t="shared" si="31"/>
        <v>1</v>
      </c>
      <c r="T107" s="242" t="str">
        <f t="shared" si="32"/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33"/>
        <v>https://d0f6bd738d7f1b3e5a7ca70fe4ff75f0.us-east-1.aws.found.io/app/kibana#/discover/Steve-Slow-Train-Analysis-(2080s-and-2083s)?_g=(refreshInterval:(display:Off,pause:!f,section:0,value:0),time:(from:'2017-12-07T14:24:21-0700',mode:absolute,to:'2017-12-07T17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7" s="247" t="str">
        <f>IF(AA107&lt;VLOOKUP(AG107,Variables!$AC$3:$AD$8,2,FALSE),"Y","N")</f>
        <v>N</v>
      </c>
      <c r="X107" s="247">
        <f t="shared" si="49"/>
        <v>1</v>
      </c>
      <c r="Y107" s="247">
        <f t="shared" si="35"/>
        <v>5.0599999999999999E-2</v>
      </c>
      <c r="Z107" s="247">
        <f t="shared" si="36"/>
        <v>23.331900000000001</v>
      </c>
      <c r="AA107" s="247">
        <f t="shared" si="37"/>
        <v>23.281300000000002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38"/>
        <v>195</v>
      </c>
      <c r="AE107" s="235" t="str">
        <f t="shared" si="39"/>
        <v>aws s3 cp s3://rtdc.mdm.uploadarchive.raw/RTDC4060/ "%USERPROFILE%\AppData\Local\Temp\OnboardLogs"\RTDC4060\2017-12-07 --exclude "*" --recursive --include "*20171207*" &amp; "%USERPROFILE%\Documents\GitHub\mrs-test-scripts\Headless Mode &amp; Sideloading\WalkAndUnGZ.bat" "%USERPROFILE%\AppData\Local\Temp\OnboardLogs"\RTDC4060\2017-12-07 &amp; aws s3 cp s3://rtdc.mdm.uploadarchive.raw/RTDC4060/ "%USERPROFILE%\AppData\Local\Temp\OnboardLogs"\RTDC4060\2017-12-08 --exclude "*" --recursive --include "*20171208*" &amp; "%USERPROFILE%\Documents\GitHub\mrs-test-scripts\Headless Mode &amp; Sideloading\WalkAndUnGZ.bat" "%USERPROFILE%\AppData\Local\Temp\OnboardLogs"\RTDC4060\2017-12-08</v>
      </c>
      <c r="AF107" s="234" t="str">
        <f t="shared" si="40"/>
        <v>"C:\Program Files (x86)\AstroGrep\AstroGrep.exe" /e /r /s /spath="%USERPROFILE%\AppData\Local\Temp\OnboardLogs" /stypes="app*4060*20171207*" /stext=" 23:.+((SYSTEM_STATE.+slice.+state.+changed )|(ment ac)|(multiple cpu faults)|(system.+state.+changed )|(\[timeout)|(PRM\|1\|D)|(kpr)|(kdp)|(train st.+moving)|(\|lc)|(penalty))"</v>
      </c>
      <c r="AG107" s="244" t="str">
        <f t="shared" si="41"/>
        <v>EC</v>
      </c>
      <c r="AH107" s="236" t="str">
        <f t="shared" si="42"/>
        <v>"%USERPROFILE%\Documents\GitHub\eaglep3\Utilities\RefineRTDCRunTimes.py" --tripid 195-07 --locoid 4060 --swversion DE.1.0.9.0 --startMP 204:506 --initTime 2017-12-07T15:24:21 --startdatetime 2017-12-07T15:30:13 --delay 53 --endMP 204:233319 --enddatetime 2017-12-07T16:06:39 --enforcementcount 1 &gt;&gt;%USERPROFILE%\Documents\GitHub\eaglep3-reporting\EC\2017-12-07-refined-times.txt</v>
      </c>
      <c r="AI107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{"issue":{"subject":"","project_id":79,"tracker_id":40,"status_id":1,"priority_id":2,"assigned_to_id":338,"start_date":"2017-12-07","description":"","custom_fields":[{"id":1,"name":"Subdivision","value":"EC"},{"id":4,"name":"Milepost","value":"23.3319"},{"id":17,"name":"Train ID","value":"195-07"},{"id":16,"name":"Locomotive ID","value":"4060"},{"id":130,"name":"Impact","value":""},{"id":150,"name":"Time of Event (Mountain Time)","value":"16:06:39"},{"id":151,"name":"Denver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44"/>
        <v>start /low /b %USERPROFILE%\Documents\GitHub\eaglep3\Utilities\DownloadLogsFromS3.py --loco 4060 --day 2017-12-07</v>
      </c>
      <c r="AN107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23:06:39"},{"id":29,"name":"Sharepoint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46"/>
        <v>https://d0f6bd738d7f1b3e5a7ca70fe4ff75f0.us-east-1.aws.found.io/app/kibana#/discover/Steve-Slow-Train-Analysis-(2080s-and-2083s)?_g=(refreshInterval:(display:Off,pause:!f,section:0,value:0),time:(from:'2017-12-07T14:24:21-0700',mode:absolute,to:'2017-12-07T17:06:39-0700'))&amp;_a=(columns:!('Message%20ID',Summary),filters:!(),index:'emp_*',interval:auto,query:(query_string:(analyze_wildcard:!t,query:'%22rtdc.l.rtdc.4060%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1" customFormat="1" x14ac:dyDescent="0.25">
      <c r="A108" s="229" t="s">
        <v>846</v>
      </c>
      <c r="B108" s="225">
        <v>4059</v>
      </c>
      <c r="C108" s="227" t="s">
        <v>192</v>
      </c>
      <c r="D108" s="227" t="s">
        <v>993</v>
      </c>
      <c r="E108" s="226">
        <v>43076.67732638889</v>
      </c>
      <c r="F108" s="226">
        <v>43076.685648148145</v>
      </c>
      <c r="G108" s="225">
        <v>71</v>
      </c>
      <c r="H108" s="227" t="s">
        <v>619</v>
      </c>
      <c r="I108" s="226">
        <v>43076.712523148148</v>
      </c>
      <c r="J108" s="225">
        <v>1</v>
      </c>
      <c r="K108" s="237" t="str">
        <f t="shared" si="29"/>
        <v>4059/4060</v>
      </c>
      <c r="L108" s="245" t="str">
        <f>VLOOKUP(A108,'Trips&amp;Operators'!$C$1:$G$99911,5,FALSE)</f>
        <v>ROBINSON KADDIBA</v>
      </c>
      <c r="M108" s="224">
        <f t="shared" si="30"/>
        <v>2.6875000003201421E-2</v>
      </c>
      <c r="N108" s="225">
        <f t="shared" si="47"/>
        <v>38.700000004610047</v>
      </c>
      <c r="O108" s="225"/>
      <c r="P108" s="225"/>
      <c r="Q108" s="228"/>
      <c r="R108" s="242"/>
      <c r="S108" s="249">
        <f t="shared" si="31"/>
        <v>1</v>
      </c>
      <c r="T108" s="242" t="str">
        <f t="shared" si="32"/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33"/>
        <v>https://d0f6bd738d7f1b3e5a7ca70fe4ff75f0.us-east-1.aws.found.io/app/kibana#/discover/Steve-Slow-Train-Analysis-(2080s-and-2083s)?_g=(refreshInterval:(display:Off,pause:!f,section:0,value:0),time:(from:'2017-12-07T15:15:21-0700',mode:absolute,to:'2017-12-07T18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8" s="247" t="str">
        <f>IF(AA108&lt;VLOOKUP(AG108,Variables!$AC$3:$AD$8,2,FALSE),"Y","N")</f>
        <v>N</v>
      </c>
      <c r="X108" s="247">
        <f t="shared" si="49"/>
        <v>1</v>
      </c>
      <c r="Y108" s="247">
        <f t="shared" si="35"/>
        <v>23.299099999999999</v>
      </c>
      <c r="Z108" s="247">
        <f t="shared" si="36"/>
        <v>2.0500000000000001E-2</v>
      </c>
      <c r="AA108" s="247">
        <f t="shared" si="37"/>
        <v>23.278600000000001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38"/>
        <v>196</v>
      </c>
      <c r="AE108" s="235" t="str">
        <f t="shared" si="39"/>
        <v>aws s3 cp s3://rtdc.mdm.uploadarchive.raw/RTDC4059/ "%USERPROFILE%\AppData\Local\Temp\OnboardLogs"\RTDC4059\2017-12-07 --exclude "*" --recursive --include "*20171207*" &amp; "%USERPROFILE%\Documents\GitHub\mrs-test-scripts\Headless Mode &amp; Sideloading\WalkAndUnGZ.bat" "%USERPROFILE%\AppData\Local\Temp\OnboardLogs"\RTDC4059\2017-12-07 &amp; aws s3 cp s3://rtdc.mdm.uploadarchive.raw/RTDC4059/ "%USERPROFILE%\AppData\Local\Temp\OnboardLogs"\RTDC4059\2017-12-08 --exclude "*" --recursive --include "*20171208*" &amp; "%USERPROFILE%\Documents\GitHub\mrs-test-scripts\Headless Mode &amp; Sideloading\WalkAndUnGZ.bat" "%USERPROFILE%\AppData\Local\Temp\OnboardLogs"\RTDC4059\2017-12-08</v>
      </c>
      <c r="AF108" s="234" t="str">
        <f t="shared" si="40"/>
        <v>"C:\Program Files (x86)\AstroGrep\AstroGrep.exe" /e /r /s /spath="%USERPROFILE%\AppData\Local\Temp\OnboardLogs" /stypes="app*4059*20171208*" /stext=" 00:.+((SYSTEM_STATE.+slice.+state.+changed )|(ment ac)|(multiple cpu faults)|(system.+state.+changed )|(\[timeout)|(PRM\|1\|D)|(kpr)|(kdp)|(train st.+moving)|(\|lc)|(penalty))"</v>
      </c>
      <c r="AG108" s="244" t="str">
        <f t="shared" si="41"/>
        <v>EC</v>
      </c>
      <c r="AH108" s="236" t="str">
        <f t="shared" si="42"/>
        <v>"%USERPROFILE%\Documents\GitHub\eaglep3\Utilities\RefineRTDCRunTimes.py" --tripid 196-07 --locoid 4059 --swversion DE.1.0.9.0 --startMP 204:232991 --initTime 2017-12-07T16:15:21 --startdatetime 2017-12-07T16:27:20 --delay 71 --endMP 204:205 --enddatetime 2017-12-07T17:06:02 --enforcementcount 1 &gt;&gt;%USERPROFILE%\Documents\GitHub\eaglep3-reporting\EC\2017-12-07-refined-times.txt</v>
      </c>
      <c r="AI108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{"issue":{"subject":"","project_id":79,"tracker_id":40,"status_id":1,"priority_id":2,"assigned_to_id":338,"start_date":"2017-12-07","description":"","custom_fields":[{"id":1,"name":"Subdivision","value":"EC"},{"id":4,"name":"Milepost","value":"0.0205"},{"id":17,"name":"Train ID","value":"196-07"},{"id":16,"name":"Locomotive ID","value":"4059"},{"id":130,"name":"Impact","value":""},{"id":150,"name":"Time of Event (Mountain Time)","value":"17:06:02"},{"id":151,"name":"Denver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44"/>
        <v>start /low /b %USERPROFILE%\Documents\GitHub\eaglep3\Utilities\DownloadLogsFromS3.py --loco 4059 --day 2017-12-07</v>
      </c>
      <c r="AN108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00:06:02"},{"id":29,"name":"Sharepoint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46"/>
        <v>https://d0f6bd738d7f1b3e5a7ca70fe4ff75f0.us-east-1.aws.found.io/app/kibana#/discover/Steve-Slow-Train-Analysis-(2080s-and-2083s)?_g=(refreshInterval:(display:Off,pause:!f,section:0,value:0),time:(from:'2017-12-07T15:15:21-0700',mode:absolute,to:'2017-12-07T18:06:02-0700'))&amp;_a=(columns:!('Message%20ID',Summary),filters:!(),index:'emp_*',interval:auto,query:(query_string:(analyze_wildcard:!t,query:'%22rtdc.l.rtdc.4059%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1" customFormat="1" x14ac:dyDescent="0.25">
      <c r="A109" s="229" t="s">
        <v>841</v>
      </c>
      <c r="B109" s="225">
        <v>4014</v>
      </c>
      <c r="C109" s="227" t="s">
        <v>192</v>
      </c>
      <c r="D109" s="227" t="s">
        <v>480</v>
      </c>
      <c r="E109" s="226">
        <v>43076.651782407411</v>
      </c>
      <c r="F109" s="226">
        <v>43076.656446759262</v>
      </c>
      <c r="G109" s="225">
        <v>70</v>
      </c>
      <c r="H109" s="227" t="s">
        <v>949</v>
      </c>
      <c r="I109" s="226">
        <v>43076.682638888888</v>
      </c>
      <c r="J109" s="225">
        <v>1</v>
      </c>
      <c r="K109" s="237" t="str">
        <f t="shared" si="29"/>
        <v>4013/4014</v>
      </c>
      <c r="L109" s="245" t="str">
        <f>VLOOKUP(A109,'Trips&amp;Operators'!$C$1:$G$99911,5,FALSE)</f>
        <v>LEVERE CRAIG</v>
      </c>
      <c r="M109" s="224">
        <f t="shared" si="30"/>
        <v>2.619212962599704E-2</v>
      </c>
      <c r="N109" s="225">
        <f t="shared" si="47"/>
        <v>37.716666661435738</v>
      </c>
      <c r="O109" s="225"/>
      <c r="P109" s="225"/>
      <c r="Q109" s="228"/>
      <c r="R109" s="242"/>
      <c r="S109" s="249">
        <f t="shared" ref="S109:S140" si="50">1/IF(AG109="EC",12,1)*SUM(U109:U109)</f>
        <v>1</v>
      </c>
      <c r="T109" s="242" t="str">
        <f t="shared" si="32"/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33"/>
        <v>https://d0f6bd738d7f1b3e5a7ca70fe4ff75f0.us-east-1.aws.found.io/app/kibana#/discover/Steve-Slow-Train-Analysis-(2080s-and-2083s)?_g=(refreshInterval:(display:Off,pause:!f,section:0,value:0),time:(from:'2017-12-07T14:38:34-0700',mode:absolute,to:'2017-12-07T17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9" s="247" t="str">
        <f>IF(AA109&lt;VLOOKUP(AG109,Variables!$AC$3:$AD$8,2,FALSE),"Y","N")</f>
        <v>N</v>
      </c>
      <c r="X109" s="247">
        <f t="shared" si="49"/>
        <v>1</v>
      </c>
      <c r="Y109" s="247">
        <f t="shared" ref="Y109:Y140" si="51">RIGHT(D109,LEN(D109)-4)/10000</f>
        <v>5.2400000000000002E-2</v>
      </c>
      <c r="Z109" s="247">
        <f t="shared" ref="Z109:Z140" si="52">RIGHT(H109,LEN(H109)-4)/10000</f>
        <v>23.322800000000001</v>
      </c>
      <c r="AA109" s="247">
        <f t="shared" si="37"/>
        <v>23.270400000000002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38"/>
        <v>197</v>
      </c>
      <c r="AE109" s="235" t="str">
        <f t="shared" si="39"/>
        <v>aws s3 cp s3://rtdc.mdm.uploadarchive.raw/RTDC4014/ "%USERPROFILE%\AppData\Local\Temp\OnboardLogs"\RTDC4014\2017-12-07 --exclude "*" --recursive --include "*20171207*" &amp; "%USERPROFILE%\Documents\GitHub\mrs-test-scripts\Headless Mode &amp; Sideloading\WalkAndUnGZ.bat" "%USERPROFILE%\AppData\Local\Temp\OnboardLogs"\RTDC4014\2017-12-07 &amp; aws s3 cp s3://rtdc.mdm.uploadarchive.raw/RTDC4014/ "%USERPROFILE%\AppData\Local\Temp\OnboardLogs"\RTDC4014\2017-12-08 --exclude "*" --recursive --include "*20171208*" &amp; "%USERPROFILE%\Documents\GitHub\mrs-test-scripts\Headless Mode &amp; Sideloading\WalkAndUnGZ.bat" "%USERPROFILE%\AppData\Local\Temp\OnboardLogs"\RTDC4014\2017-12-08</v>
      </c>
      <c r="AF109" s="234" t="str">
        <f t="shared" si="40"/>
        <v>"C:\Program Files (x86)\AstroGrep\AstroGrep.exe" /e /r /s /spath="%USERPROFILE%\AppData\Local\Temp\OnboardLogs" /stypes="app*4014*20171207*" /stext=" 23:.+((SYSTEM_STATE.+slice.+state.+changed )|(ment ac)|(multiple cpu faults)|(system.+state.+changed )|(\[timeout)|(PRM\|1\|D)|(kpr)|(kdp)|(train st.+moving)|(\|lc)|(penalty))"</v>
      </c>
      <c r="AG109" s="244" t="str">
        <f t="shared" si="41"/>
        <v>EC</v>
      </c>
      <c r="AH109" s="236" t="str">
        <f t="shared" si="42"/>
        <v>"%USERPROFILE%\Documents\GitHub\eaglep3\Utilities\RefineRTDCRunTimes.py" --tripid 197-07 --locoid 4014 --swversion DE.1.0.9.0 --startMP 204:524 --initTime 2017-12-07T15:38:34 --startdatetime 2017-12-07T15:45:17 --delay 70 --endMP 204:233228 --enddatetime 2017-12-07T16:23:00 --enforcementcount 1 &gt;&gt;%USERPROFILE%\Documents\GitHub\eaglep3-reporting\EC\2017-12-07-refined-times.txt</v>
      </c>
      <c r="AI109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{"issue":{"subject":"","project_id":79,"tracker_id":40,"status_id":1,"priority_id":2,"assigned_to_id":338,"start_date":"2017-12-07","description":"","custom_fields":[{"id":1,"name":"Subdivision","value":"EC"},{"id":4,"name":"Milepost","value":"23.3228"},{"id":17,"name":"Train ID","value":"197-07"},{"id":16,"name":"Locomotive ID","value":"4014"},{"id":130,"name":"Impact","value":""},{"id":150,"name":"Time of Event (Mountain Time)","value":"16:23:00"},{"id":151,"name":"Denver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44"/>
        <v>start /low /b %USERPROFILE%\Documents\GitHub\eaglep3\Utilities\DownloadLogsFromS3.py --loco 4014 --day 2017-12-07</v>
      </c>
      <c r="AN109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23:23:00"},{"id":29,"name":"Sharepoint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46"/>
        <v>https://d0f6bd738d7f1b3e5a7ca70fe4ff75f0.us-east-1.aws.found.io/app/kibana#/discover/Steve-Slow-Train-Analysis-(2080s-and-2083s)?_g=(refreshInterval:(display:Off,pause:!f,section:0,value:0),time:(from:'2017-12-07T14:38:34-0700',mode:absolute,to:'2017-12-07T17:23:00-0700'))&amp;_a=(columns:!('Message%20ID',Summary),filters:!(),index:'emp_*',interval:auto,query:(query_string:(analyze_wildcard:!t,query:'%22rtdc.l.rtdc.4014%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1" customFormat="1" x14ac:dyDescent="0.25">
      <c r="A110" s="229" t="s">
        <v>850</v>
      </c>
      <c r="B110" s="225">
        <v>4013</v>
      </c>
      <c r="C110" s="227" t="s">
        <v>192</v>
      </c>
      <c r="D110" s="227" t="s">
        <v>963</v>
      </c>
      <c r="E110" s="226">
        <v>43076.689652777779</v>
      </c>
      <c r="F110" s="226">
        <v>43076.696203703701</v>
      </c>
      <c r="G110" s="225">
        <v>64</v>
      </c>
      <c r="H110" s="227" t="s">
        <v>994</v>
      </c>
      <c r="I110" s="226">
        <v>43076.723530092589</v>
      </c>
      <c r="J110" s="225">
        <v>1</v>
      </c>
      <c r="K110" s="237" t="str">
        <f t="shared" si="29"/>
        <v>4013/4014</v>
      </c>
      <c r="L110" s="245" t="str">
        <f>VLOOKUP(A110,'Trips&amp;Operators'!$C$1:$G$99911,5,FALSE)</f>
        <v>LEVERE CRAIG</v>
      </c>
      <c r="M110" s="224">
        <f t="shared" si="30"/>
        <v>2.73263888884685E-2</v>
      </c>
      <c r="N110" s="225">
        <f t="shared" si="47"/>
        <v>39.34999999939464</v>
      </c>
      <c r="O110" s="225"/>
      <c r="P110" s="225"/>
      <c r="Q110" s="228"/>
      <c r="R110" s="242"/>
      <c r="S110" s="249">
        <f t="shared" si="50"/>
        <v>1</v>
      </c>
      <c r="T110" s="242" t="str">
        <f t="shared" si="32"/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33"/>
        <v>https://d0f6bd738d7f1b3e5a7ca70fe4ff75f0.us-east-1.aws.found.io/app/kibana#/discover/Steve-Slow-Train-Analysis-(2080s-and-2083s)?_g=(refreshInterval:(display:Off,pause:!f,section:0,value:0),time:(from:'2017-12-07T15:33:06-0700',mode:absolute,to:'2017-12-07T18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0" s="247" t="str">
        <f>IF(AA110&lt;VLOOKUP(AG110,Variables!$AC$3:$AD$8,2,FALSE),"Y","N")</f>
        <v>N</v>
      </c>
      <c r="X110" s="247">
        <f t="shared" si="49"/>
        <v>1</v>
      </c>
      <c r="Y110" s="247">
        <f t="shared" si="51"/>
        <v>23.291899999999998</v>
      </c>
      <c r="Z110" s="247">
        <f t="shared" si="52"/>
        <v>2.52E-2</v>
      </c>
      <c r="AA110" s="247">
        <f t="shared" si="37"/>
        <v>23.266699999999997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38"/>
        <v>198</v>
      </c>
      <c r="AE110" s="235" t="str">
        <f t="shared" si="39"/>
        <v>aws s3 cp s3://rtdc.mdm.uploadarchive.raw/RTDC4013/ "%USERPROFILE%\AppData\Local\Temp\OnboardLogs"\RTDC4013\2017-12-07 --exclude "*" --recursive --include "*20171207*" &amp; "%USERPROFILE%\Documents\GitHub\mrs-test-scripts\Headless Mode &amp; Sideloading\WalkAndUnGZ.bat" "%USERPROFILE%\AppData\Local\Temp\OnboardLogs"\RTDC4013\2017-12-07 &amp; aws s3 cp s3://rtdc.mdm.uploadarchive.raw/RTDC4013/ "%USERPROFILE%\AppData\Local\Temp\OnboardLogs"\RTDC4013\2017-12-08 --exclude "*" --recursive --include "*20171208*" &amp; "%USERPROFILE%\Documents\GitHub\mrs-test-scripts\Headless Mode &amp; Sideloading\WalkAndUnGZ.bat" "%USERPROFILE%\AppData\Local\Temp\OnboardLogs"\RTDC4013\2017-12-08</v>
      </c>
      <c r="AF110" s="234" t="str">
        <f t="shared" si="40"/>
        <v>"C:\Program Files (x86)\AstroGrep\AstroGrep.exe" /e /r /s /spath="%USERPROFILE%\AppData\Local\Temp\OnboardLogs" /stypes="app*4013*20171208*" /stext=" 00:.+((SYSTEM_STATE.+slice.+state.+changed )|(ment ac)|(multiple cpu faults)|(system.+state.+changed )|(\[timeout)|(PRM\|1\|D)|(kpr)|(kdp)|(train st.+moving)|(\|lc)|(penalty))"</v>
      </c>
      <c r="AG110" s="244" t="str">
        <f t="shared" si="41"/>
        <v>EC</v>
      </c>
      <c r="AH110" s="236" t="str">
        <f t="shared" si="42"/>
        <v>"%USERPROFILE%\Documents\GitHub\eaglep3\Utilities\RefineRTDCRunTimes.py" --tripid 198-07 --locoid 4013 --swversion DE.1.0.9.0 --startMP 204:232919 --initTime 2017-12-07T16:33:06 --startdatetime 2017-12-07T16:42:32 --delay 64 --endMP 204:252 --enddatetime 2017-12-07T17:21:53 --enforcementcount 1 &gt;&gt;%USERPROFILE%\Documents\GitHub\eaglep3-reporting\EC\2017-12-07-refined-times.txt</v>
      </c>
      <c r="AI110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{"issue":{"subject":"","project_id":79,"tracker_id":40,"status_id":1,"priority_id":2,"assigned_to_id":338,"start_date":"2017-12-07","description":"","custom_fields":[{"id":1,"name":"Subdivision","value":"EC"},{"id":4,"name":"Milepost","value":"0.0252"},{"id":17,"name":"Train ID","value":"198-07"},{"id":16,"name":"Locomotive ID","value":"4013"},{"id":130,"name":"Impact","value":""},{"id":150,"name":"Time of Event (Mountain Time)","value":"17:21:53"},{"id":151,"name":"Denver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44"/>
        <v>start /low /b %USERPROFILE%\Documents\GitHub\eaglep3\Utilities\DownloadLogsFromS3.py --loco 4013 --day 2017-12-07</v>
      </c>
      <c r="AN110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00:21:53"},{"id":29,"name":"Sharepoint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46"/>
        <v>https://d0f6bd738d7f1b3e5a7ca70fe4ff75f0.us-east-1.aws.found.io/app/kibana#/discover/Steve-Slow-Train-Analysis-(2080s-and-2083s)?_g=(refreshInterval:(display:Off,pause:!f,section:0,value:0),time:(from:'2017-12-07T15:33:06-0700',mode:absolute,to:'2017-12-07T18:21:53-0700'))&amp;_a=(columns:!('Message%20ID',Summary),filters:!(),index:'emp_*',interval:auto,query:(query_string:(analyze_wildcard:!t,query:'%22rtdc.l.rtdc.4013%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9" t="s">
        <v>842</v>
      </c>
      <c r="B111" s="225">
        <v>4056</v>
      </c>
      <c r="C111" s="227" t="s">
        <v>192</v>
      </c>
      <c r="D111" s="227" t="s">
        <v>659</v>
      </c>
      <c r="E111" s="226">
        <v>43076.663356481484</v>
      </c>
      <c r="F111" s="226">
        <v>43076.666851851849</v>
      </c>
      <c r="G111" s="225">
        <v>58</v>
      </c>
      <c r="H111" s="227" t="s">
        <v>478</v>
      </c>
      <c r="I111" s="226">
        <v>43076.692893518521</v>
      </c>
      <c r="J111" s="225">
        <v>1</v>
      </c>
      <c r="K111" s="237" t="str">
        <f t="shared" si="29"/>
        <v>4055/4056</v>
      </c>
      <c r="L111" s="245" t="str">
        <f>VLOOKUP(A111,'Trips&amp;Operators'!$C$1:$G$99911,5,FALSE)</f>
        <v>BADERTSCHER DIANE</v>
      </c>
      <c r="M111" s="224">
        <f t="shared" si="30"/>
        <v>2.6041666671517305E-2</v>
      </c>
      <c r="N111" s="225">
        <f t="shared" si="47"/>
        <v>37.500000006984919</v>
      </c>
      <c r="O111" s="225"/>
      <c r="P111" s="225"/>
      <c r="Q111" s="228"/>
      <c r="R111" s="242"/>
      <c r="S111" s="249">
        <f t="shared" si="50"/>
        <v>1</v>
      </c>
      <c r="T111" s="242" t="str">
        <f t="shared" si="32"/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33"/>
        <v>https://d0f6bd738d7f1b3e5a7ca70fe4ff75f0.us-east-1.aws.found.io/app/kibana#/discover/Steve-Slow-Train-Analysis-(2080s-and-2083s)?_g=(refreshInterval:(display:Off,pause:!f,section:0,value:0),time:(from:'2017-12-07T14:55:14-0700',mode:absolute,to:'2017-12-07T17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1" s="247" t="str">
        <f>IF(AA111&lt;VLOOKUP(AG111,Variables!$AC$3:$AD$8,2,FALSE),"Y","N")</f>
        <v>N</v>
      </c>
      <c r="X111" s="247">
        <f t="shared" si="49"/>
        <v>1</v>
      </c>
      <c r="Y111" s="247">
        <f t="shared" si="51"/>
        <v>5.4199999999999998E-2</v>
      </c>
      <c r="Z111" s="247">
        <f t="shared" si="52"/>
        <v>23.3232</v>
      </c>
      <c r="AA111" s="247">
        <f t="shared" si="37"/>
        <v>23.268999999999998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38"/>
        <v>199</v>
      </c>
      <c r="AE111" s="235" t="str">
        <f t="shared" si="39"/>
        <v>aws s3 cp s3://rtdc.mdm.uploadarchive.raw/RTDC4056/ "%USERPROFILE%\AppData\Local\Temp\OnboardLogs"\RTDC4056\2017-12-07 --exclude "*" --recursive --include "*20171207*" &amp; "%USERPROFILE%\Documents\GitHub\mrs-test-scripts\Headless Mode &amp; Sideloading\WalkAndUnGZ.bat" "%USERPROFILE%\AppData\Local\Temp\OnboardLogs"\RTDC4056\2017-12-07 &amp; aws s3 cp s3://rtdc.mdm.uploadarchive.raw/RTDC4056/ "%USERPROFILE%\AppData\Local\Temp\OnboardLogs"\RTDC4056\2017-12-08 --exclude "*" --recursive --include "*20171208*" &amp; "%USERPROFILE%\Documents\GitHub\mrs-test-scripts\Headless Mode &amp; Sideloading\WalkAndUnGZ.bat" "%USERPROFILE%\AppData\Local\Temp\OnboardLogs"\RTDC4056\2017-12-08</v>
      </c>
      <c r="AF111" s="234" t="str">
        <f t="shared" si="40"/>
        <v>"C:\Program Files (x86)\AstroGrep\AstroGrep.exe" /e /r /s /spath="%USERPROFILE%\AppData\Local\Temp\OnboardLogs" /stypes="app*4056*20171207*" /stext=" 23:.+((SYSTEM_STATE.+slice.+state.+changed )|(ment ac)|(multiple cpu faults)|(system.+state.+changed )|(\[timeout)|(PRM\|1\|D)|(kpr)|(kdp)|(train st.+moving)|(\|lc)|(penalty))"</v>
      </c>
      <c r="AG111" s="244" t="str">
        <f t="shared" si="41"/>
        <v>EC</v>
      </c>
      <c r="AH111" s="236" t="str">
        <f t="shared" si="42"/>
        <v>"%USERPROFILE%\Documents\GitHub\eaglep3\Utilities\RefineRTDCRunTimes.py" --tripid 199-07 --locoid 4056 --swversion DE.1.0.9.0 --startMP 204:542 --initTime 2017-12-07T15:55:14 --startdatetime 2017-12-07T16:00:16 --delay 58 --endMP 204:233232 --enddatetime 2017-12-07T16:37:46 --enforcementcount 1 &gt;&gt;%USERPROFILE%\Documents\GitHub\eaglep3-reporting\EC\2017-12-07-refined-times.txt</v>
      </c>
      <c r="AI111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{"issue":{"subject":"","project_id":79,"tracker_id":40,"status_id":1,"priority_id":2,"assigned_to_id":338,"start_date":"2017-12-07","description":"","custom_fields":[{"id":1,"name":"Subdivision","value":"EC"},{"id":4,"name":"Milepost","value":"23.3232"},{"id":17,"name":"Train ID","value":"199-07"},{"id":16,"name":"Locomotive ID","value":"4056"},{"id":130,"name":"Impact","value":""},{"id":150,"name":"Time of Event (Mountain Time)","value":"16:37:46"},{"id":151,"name":"Denver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44"/>
        <v>start /low /b %USERPROFILE%\Documents\GitHub\eaglep3\Utilities\DownloadLogsFromS3.py --loco 4056 --day 2017-12-07</v>
      </c>
      <c r="AN111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23:37:46"},{"id":29,"name":"Sharepoint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46"/>
        <v>https://d0f6bd738d7f1b3e5a7ca70fe4ff75f0.us-east-1.aws.found.io/app/kibana#/discover/Steve-Slow-Train-Analysis-(2080s-and-2083s)?_g=(refreshInterval:(display:Off,pause:!f,section:0,value:0),time:(from:'2017-12-07T14:55:14-0700',mode:absolute,to:'2017-12-07T17:37:46-0700'))&amp;_a=(columns:!('Message%20ID',Summary),filters:!(),index:'emp_*',interval:auto,query:(query_string:(analyze_wildcard:!t,query:'%22rtdc.l.rtdc.4056%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23" customFormat="1" x14ac:dyDescent="0.25">
      <c r="A112" s="229" t="s">
        <v>853</v>
      </c>
      <c r="B112" s="225">
        <v>4055</v>
      </c>
      <c r="C112" s="227" t="s">
        <v>192</v>
      </c>
      <c r="D112" s="227" t="s">
        <v>963</v>
      </c>
      <c r="E112" s="226">
        <v>43076.700428240743</v>
      </c>
      <c r="F112" s="226">
        <v>43076.706412037034</v>
      </c>
      <c r="G112" s="225">
        <v>54</v>
      </c>
      <c r="H112" s="227" t="s">
        <v>995</v>
      </c>
      <c r="I112" s="226">
        <v>43076.733900462961</v>
      </c>
      <c r="J112" s="225">
        <v>1</v>
      </c>
      <c r="K112" s="237" t="str">
        <f t="shared" si="29"/>
        <v>4055/4056</v>
      </c>
      <c r="L112" s="245" t="str">
        <f>VLOOKUP(A112,'Trips&amp;Operators'!$C$1:$G$99911,5,FALSE)</f>
        <v>BADERTSCHER DIANE</v>
      </c>
      <c r="M112" s="224">
        <f t="shared" si="30"/>
        <v>2.7488425927003846E-2</v>
      </c>
      <c r="N112" s="225">
        <f t="shared" si="47"/>
        <v>39.583333334885538</v>
      </c>
      <c r="O112" s="225"/>
      <c r="P112" s="225"/>
      <c r="Q112" s="228"/>
      <c r="R112" s="242"/>
      <c r="S112" s="249">
        <f t="shared" si="50"/>
        <v>1</v>
      </c>
      <c r="T112" s="242" t="str">
        <f t="shared" si="32"/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33"/>
        <v>https://d0f6bd738d7f1b3e5a7ca70fe4ff75f0.us-east-1.aws.found.io/app/kibana#/discover/Steve-Slow-Train-Analysis-(2080s-and-2083s)?_g=(refreshInterval:(display:Off,pause:!f,section:0,value:0),time:(from:'2017-12-07T15:48:37-0700',mode:absolute,to:'2017-12-07T18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2" s="247" t="str">
        <f>IF(AA112&lt;VLOOKUP(AG112,Variables!$AC$3:$AD$8,2,FALSE),"Y","N")</f>
        <v>N</v>
      </c>
      <c r="X112" s="247">
        <f t="shared" si="49"/>
        <v>1</v>
      </c>
      <c r="Y112" s="247">
        <f t="shared" si="51"/>
        <v>23.291899999999998</v>
      </c>
      <c r="Z112" s="247">
        <f t="shared" si="52"/>
        <v>2.6499999999999999E-2</v>
      </c>
      <c r="AA112" s="247">
        <f t="shared" si="37"/>
        <v>23.2654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38"/>
        <v>200</v>
      </c>
      <c r="AE112" s="235" t="str">
        <f t="shared" si="39"/>
        <v>aws s3 cp s3://rtdc.mdm.uploadarchive.raw/RTDC4055/ "%USERPROFILE%\AppData\Local\Temp\OnboardLogs"\RTDC4055\2017-12-07 --exclude "*" --recursive --include "*20171207*" &amp; "%USERPROFILE%\Documents\GitHub\mrs-test-scripts\Headless Mode &amp; Sideloading\WalkAndUnGZ.bat" "%USERPROFILE%\AppData\Local\Temp\OnboardLogs"\RTDC4055\2017-12-07 &amp; aws s3 cp s3://rtdc.mdm.uploadarchive.raw/RTDC4055/ "%USERPROFILE%\AppData\Local\Temp\OnboardLogs"\RTDC4055\2017-12-08 --exclude "*" --recursive --include "*20171208*" &amp; "%USERPROFILE%\Documents\GitHub\mrs-test-scripts\Headless Mode &amp; Sideloading\WalkAndUnGZ.bat" "%USERPROFILE%\AppData\Local\Temp\OnboardLogs"\RTDC4055\2017-12-08</v>
      </c>
      <c r="AF112" s="234" t="str">
        <f t="shared" si="40"/>
        <v>"C:\Program Files (x86)\AstroGrep\AstroGrep.exe" /e /r /s /spath="%USERPROFILE%\AppData\Local\Temp\OnboardLogs" /stypes="app*4055*20171208*" /stext=" 00:.+((SYSTEM_STATE.+slice.+state.+changed )|(ment ac)|(multiple cpu faults)|(system.+state.+changed )|(\[timeout)|(PRM\|1\|D)|(kpr)|(kdp)|(train st.+moving)|(\|lc)|(penalty))"</v>
      </c>
      <c r="AG112" s="244" t="str">
        <f t="shared" si="41"/>
        <v>EC</v>
      </c>
      <c r="AH112" s="236" t="str">
        <f t="shared" si="42"/>
        <v>"%USERPROFILE%\Documents\GitHub\eaglep3\Utilities\RefineRTDCRunTimes.py" --tripid 200-07 --locoid 4055 --swversion DE.1.0.9.0 --startMP 204:232919 --initTime 2017-12-07T16:48:37 --startdatetime 2017-12-07T16:57:14 --delay 54 --endMP 204:265 --enddatetime 2017-12-07T17:36:49 --enforcementcount 1 &gt;&gt;%USERPROFILE%\Documents\GitHub\eaglep3-reporting\EC\2017-12-07-refined-times.txt</v>
      </c>
      <c r="AI112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{"issue":{"subject":"","project_id":79,"tracker_id":40,"status_id":1,"priority_id":2,"assigned_to_id":338,"start_date":"2017-12-07","description":"","custom_fields":[{"id":1,"name":"Subdivision","value":"EC"},{"id":4,"name":"Milepost","value":"0.0265"},{"id":17,"name":"Train ID","value":"200-07"},{"id":16,"name":"Locomotive ID","value":"4055"},{"id":130,"name":"Impact","value":""},{"id":150,"name":"Time of Event (Mountain Time)","value":"17:36:49"},{"id":151,"name":"Denver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231"/>
      <c r="AL112" s="231"/>
      <c r="AM112" s="240" t="str">
        <f t="shared" si="44"/>
        <v>start /low /b %USERPROFILE%\Documents\GitHub\eaglep3\Utilities\DownloadLogsFromS3.py --loco 4055 --day 2017-12-07</v>
      </c>
      <c r="AN112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00:36:49"},{"id":29,"name":"Sharepoint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46"/>
        <v>https://d0f6bd738d7f1b3e5a7ca70fe4ff75f0.us-east-1.aws.found.io/app/kibana#/discover/Steve-Slow-Train-Analysis-(2080s-and-2083s)?_g=(refreshInterval:(display:Off,pause:!f,section:0,value:0),time:(from:'2017-12-07T15:48:37-0700',mode:absolute,to:'2017-12-07T18:36:49-0700'))&amp;_a=(columns:!('Message%20ID',Summary),filters:!(),index:'emp_*',interval:auto,query:(query_string:(analyze_wildcard:!t,query:'%22rtdc.l.rtdc.4055%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29" t="s">
        <v>697</v>
      </c>
      <c r="B113" s="225">
        <v>4028</v>
      </c>
      <c r="C113" s="227" t="s">
        <v>192</v>
      </c>
      <c r="D113" s="227" t="s">
        <v>996</v>
      </c>
      <c r="E113" s="226">
        <v>43076.675775462965</v>
      </c>
      <c r="F113" s="226">
        <v>43076.677523148152</v>
      </c>
      <c r="G113" s="225">
        <v>74</v>
      </c>
      <c r="H113" s="227" t="s">
        <v>936</v>
      </c>
      <c r="I113" s="226">
        <v>43076.705636574072</v>
      </c>
      <c r="J113" s="225">
        <v>1</v>
      </c>
      <c r="K113" s="237" t="str">
        <f t="shared" si="29"/>
        <v>4027/4028</v>
      </c>
      <c r="L113" s="245" t="str">
        <f>VLOOKUP(A113,'Trips&amp;Operators'!$C$1:$G$99911,5,FALSE)</f>
        <v>LONG FULLER</v>
      </c>
      <c r="M113" s="224">
        <f t="shared" si="30"/>
        <v>2.8113425920309965E-2</v>
      </c>
      <c r="N113" s="225">
        <f t="shared" si="47"/>
        <v>40.483333325246349</v>
      </c>
      <c r="O113" s="225"/>
      <c r="P113" s="225"/>
      <c r="Q113" s="228"/>
      <c r="R113" s="242"/>
      <c r="S113" s="249">
        <f t="shared" si="50"/>
        <v>1</v>
      </c>
      <c r="T113" s="242" t="str">
        <f t="shared" si="32"/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33"/>
        <v>https://d0f6bd738d7f1b3e5a7ca70fe4ff75f0.us-east-1.aws.found.io/app/kibana#/discover/Steve-Slow-Train-Analysis-(2080s-and-2083s)?_g=(refreshInterval:(display:Off,pause:!f,section:0,value:0),time:(from:'2017-12-07T15:13:07-0700',mode:absolute,to:'2017-12-07T17:56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3" s="247" t="str">
        <f>IF(AA113&lt;VLOOKUP(AG113,Variables!$AC$3:$AD$8,2,FALSE),"Y","N")</f>
        <v>N</v>
      </c>
      <c r="X113" s="247">
        <f t="shared" si="49"/>
        <v>1</v>
      </c>
      <c r="Y113" s="247">
        <f t="shared" si="51"/>
        <v>5.5300000000000002E-2</v>
      </c>
      <c r="Z113" s="247">
        <f t="shared" si="52"/>
        <v>23.324000000000002</v>
      </c>
      <c r="AA113" s="247">
        <f t="shared" si="37"/>
        <v>23.268700000000003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38"/>
        <v>201</v>
      </c>
      <c r="AE113" s="235" t="str">
        <f t="shared" si="39"/>
        <v>aws s3 cp s3://rtdc.mdm.uploadarchive.raw/RTDC4028/ "%USERPROFILE%\AppData\Local\Temp\OnboardLogs"\RTDC4028\2017-12-07 --exclude "*" --recursive --include "*20171207*" &amp; "%USERPROFILE%\Documents\GitHub\mrs-test-scripts\Headless Mode &amp; Sideloading\WalkAndUnGZ.bat" "%USERPROFILE%\AppData\Local\Temp\OnboardLogs"\RTDC4028\2017-12-07 &amp; aws s3 cp s3://rtdc.mdm.uploadarchive.raw/RTDC4028/ "%USERPROFILE%\AppData\Local\Temp\OnboardLogs"\RTDC4028\2017-12-08 --exclude "*" --recursive --include "*20171208*" &amp; "%USERPROFILE%\Documents\GitHub\mrs-test-scripts\Headless Mode &amp; Sideloading\WalkAndUnGZ.bat" "%USERPROFILE%\AppData\Local\Temp\OnboardLogs"\RTDC4028\2017-12-08</v>
      </c>
      <c r="AF113" s="234" t="str">
        <f t="shared" si="40"/>
        <v>"C:\Program Files (x86)\AstroGrep\AstroGrep.exe" /e /r /s /spath="%USERPROFILE%\AppData\Local\Temp\OnboardLogs" /stypes="app*4028*20171207*" /stext=" 23:.+((SYSTEM_STATE.+slice.+state.+changed )|(ment ac)|(multiple cpu faults)|(system.+state.+changed )|(\[timeout)|(PRM\|1\|D)|(kpr)|(kdp)|(train st.+moving)|(\|lc)|(penalty))"</v>
      </c>
      <c r="AG113" s="244" t="str">
        <f t="shared" si="41"/>
        <v>EC</v>
      </c>
      <c r="AH113" s="236" t="str">
        <f t="shared" si="42"/>
        <v>"%USERPROFILE%\Documents\GitHub\eaglep3\Utilities\RefineRTDCRunTimes.py" --tripid 201-07 --locoid 4028 --swversion DE.1.0.9.0 --startMP 204:553 --initTime 2017-12-07T16:13:07 --startdatetime 2017-12-07T16:15:38 --delay 74 --endMP 204:233240 --enddatetime 2017-12-07T16:56:07 --enforcementcount 1 &gt;&gt;%USERPROFILE%\Documents\GitHub\eaglep3-reporting\EC\2017-12-07-refined-times.txt</v>
      </c>
      <c r="AI113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{"issue":{"subject":"","project_id":79,"tracker_id":40,"status_id":1,"priority_id":2,"assigned_to_id":338,"start_date":"2017-12-07","description":"","custom_fields":[{"id":1,"name":"Subdivision","value":"EC"},{"id":4,"name":"Milepost","value":"23.324"},{"id":17,"name":"Train ID","value":"201-07"},{"id":16,"name":"Locomotive ID","value":"4028"},{"id":130,"name":"Impact","value":""},{"id":150,"name":"Time of Event (Mountain Time)","value":"16:56:07"},{"id":151,"name":"Denver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44"/>
        <v>start /low /b %USERPROFILE%\Documents\GitHub\eaglep3\Utilities\DownloadLogsFromS3.py --loco 4028 --day 2017-12-07</v>
      </c>
      <c r="AN113" s="241" t="str">
        <f t="shared" si="45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23:56:07"},{"id":29,"name":"Sharepoint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46"/>
        <v>https://d0f6bd738d7f1b3e5a7ca70fe4ff75f0.us-east-1.aws.found.io/app/kibana#/discover/Steve-Slow-Train-Analysis-(2080s-and-2083s)?_g=(refreshInterval:(display:Off,pause:!f,section:0,value:0),time:(from:'2017-12-07T15:13:07-0700',mode:absolute,to:'2017-12-07T17:56:07-0700'))&amp;_a=(columns:!('Message%20ID',Summary),filters:!(),index:'emp_*',interval:auto,query:(query_string:(analyze_wildcard:!t,query:'%22rtdc.l.rtdc.4028%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29" t="s">
        <v>859</v>
      </c>
      <c r="B114" s="225">
        <v>4027</v>
      </c>
      <c r="C114" s="227" t="s">
        <v>192</v>
      </c>
      <c r="D114" s="227" t="s">
        <v>997</v>
      </c>
      <c r="E114" s="226">
        <v>43076.713692129626</v>
      </c>
      <c r="F114" s="226">
        <v>43076.716909722221</v>
      </c>
      <c r="G114" s="225">
        <v>123</v>
      </c>
      <c r="H114" s="227" t="s">
        <v>634</v>
      </c>
      <c r="I114" s="226">
        <v>43076.742488425924</v>
      </c>
      <c r="J114" s="225">
        <v>1</v>
      </c>
      <c r="K114" s="237" t="str">
        <f t="shared" si="29"/>
        <v>4027/4028</v>
      </c>
      <c r="L114" s="245" t="str">
        <f>VLOOKUP(A114,'Trips&amp;Operators'!$C$1:$G$99911,5,FALSE)</f>
        <v>LONG FULLER</v>
      </c>
      <c r="M114" s="224">
        <f t="shared" si="30"/>
        <v>2.5578703702194616E-2</v>
      </c>
      <c r="N114" s="225">
        <f t="shared" si="47"/>
        <v>36.833333331160247</v>
      </c>
      <c r="O114" s="225"/>
      <c r="P114" s="225"/>
      <c r="Q114" s="228"/>
      <c r="R114" s="242"/>
      <c r="S114" s="249">
        <f t="shared" si="50"/>
        <v>1</v>
      </c>
      <c r="T114" s="242" t="str">
        <f t="shared" si="32"/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33"/>
        <v>https://d0f6bd738d7f1b3e5a7ca70fe4ff75f0.us-east-1.aws.found.io/app/kibana#/discover/Steve-Slow-Train-Analysis-(2080s-and-2083s)?_g=(refreshInterval:(display:Off,pause:!f,section:0,value:0),time:(from:'2017-12-07T16:07:43-0700',mode:absolute,to:'2017-12-07T18:49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4" s="247" t="str">
        <f>IF(AA114&lt;VLOOKUP(AG114,Variables!$AC$3:$AD$8,2,FALSE),"Y","N")</f>
        <v>N</v>
      </c>
      <c r="X114" s="247">
        <f t="shared" si="49"/>
        <v>1</v>
      </c>
      <c r="Y114" s="247">
        <f t="shared" si="51"/>
        <v>23.2927</v>
      </c>
      <c r="Z114" s="247">
        <f t="shared" si="52"/>
        <v>1.9599999999999999E-2</v>
      </c>
      <c r="AA114" s="247">
        <f t="shared" si="37"/>
        <v>23.273099999999999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38"/>
        <v>202</v>
      </c>
      <c r="AE114" s="235" t="str">
        <f t="shared" si="39"/>
        <v>aws s3 cp s3://rtdc.mdm.uploadarchive.raw/RTDC4027/ "%USERPROFILE%\AppData\Local\Temp\OnboardLogs"\RTDC4027\2017-12-07 --exclude "*" --recursive --include "*20171207*" &amp; "%USERPROFILE%\Documents\GitHub\mrs-test-scripts\Headless Mode &amp; Sideloading\WalkAndUnGZ.bat" "%USERPROFILE%\AppData\Local\Temp\OnboardLogs"\RTDC4027\2017-12-07 &amp; aws s3 cp s3://rtdc.mdm.uploadarchive.raw/RTDC4027/ "%USERPROFILE%\AppData\Local\Temp\OnboardLogs"\RTDC4027\2017-12-08 --exclude "*" --recursive --include "*20171208*" &amp; "%USERPROFILE%\Documents\GitHub\mrs-test-scripts\Headless Mode &amp; Sideloading\WalkAndUnGZ.bat" "%USERPROFILE%\AppData\Local\Temp\OnboardLogs"\RTDC4027\2017-12-08</v>
      </c>
      <c r="AF114" s="234" t="str">
        <f t="shared" si="40"/>
        <v>"C:\Program Files (x86)\AstroGrep\AstroGrep.exe" /e /r /s /spath="%USERPROFILE%\AppData\Local\Temp\OnboardLogs" /stypes="app*4027*20171208*" /stext=" 00:.+((SYSTEM_STATE.+slice.+state.+changed )|(ment ac)|(multiple cpu faults)|(system.+state.+changed )|(\[timeout)|(PRM\|1\|D)|(kpr)|(kdp)|(train st.+moving)|(\|lc)|(penalty))"</v>
      </c>
      <c r="AG114" s="244" t="str">
        <f t="shared" si="41"/>
        <v>EC</v>
      </c>
      <c r="AH114" s="236" t="str">
        <f t="shared" si="42"/>
        <v>"%USERPROFILE%\Documents\GitHub\eaglep3\Utilities\RefineRTDCRunTimes.py" --tripid 202-07 --locoid 4027 --swversion DE.1.0.9.0 --startMP 204:232927 --initTime 2017-12-07T17:07:43 --startdatetime 2017-12-07T17:12:21 --delay 123 --endMP 204:196 --enddatetime 2017-12-07T17:49:11 --enforcementcount 1 &gt;&gt;%USERPROFILE%\Documents\GitHub\eaglep3-reporting\EC\2017-12-07-refined-times.txt</v>
      </c>
      <c r="AI114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{"issue":{"subject":"","project_id":79,"tracker_id":40,"status_id":1,"priority_id":2,"assigned_to_id":338,"start_date":"2017-12-07","description":"","custom_fields":[{"id":1,"name":"Subdivision","value":"EC"},{"id":4,"name":"Milepost","value":"0.0196"},{"id":17,"name":"Train ID","value":"202-07"},{"id":16,"name":"Locomotive ID","value":"4027"},{"id":130,"name":"Impact","value":""},{"id":150,"name":"Time of Event (Mountain Time)","value":"17:49:11"},{"id":151,"name":"Denver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44"/>
        <v>start /low /b %USERPROFILE%\Documents\GitHub\eaglep3\Utilities\DownloadLogsFromS3.py --loco 4027 --day 2017-12-07</v>
      </c>
      <c r="AN114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00:49:11"},{"id":29,"name":"Sharepoint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46"/>
        <v>https://d0f6bd738d7f1b3e5a7ca70fe4ff75f0.us-east-1.aws.found.io/app/kibana#/discover/Steve-Slow-Train-Analysis-(2080s-and-2083s)?_g=(refreshInterval:(display:Off,pause:!f,section:0,value:0),time:(from:'2017-12-07T16:07:43-0700',mode:absolute,to:'2017-12-07T18:49:11-0700'))&amp;_a=(columns:!('Message%20ID',Summary),filters:!(),index:'emp_*',interval:auto,query:(query_string:(analyze_wildcard:!t,query:'%22rtdc.l.rtdc.4027%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23" customFormat="1" x14ac:dyDescent="0.25">
      <c r="A115" s="229" t="s">
        <v>847</v>
      </c>
      <c r="B115" s="225">
        <v>4036</v>
      </c>
      <c r="C115" s="227" t="s">
        <v>192</v>
      </c>
      <c r="D115" s="227" t="s">
        <v>513</v>
      </c>
      <c r="E115" s="226">
        <v>43076.684178240743</v>
      </c>
      <c r="F115" s="226">
        <v>43076.688032407408</v>
      </c>
      <c r="G115" s="225">
        <v>74</v>
      </c>
      <c r="H115" s="227" t="s">
        <v>998</v>
      </c>
      <c r="I115" s="226">
        <v>43076.712916666664</v>
      </c>
      <c r="J115" s="225">
        <v>1</v>
      </c>
      <c r="K115" s="237" t="str">
        <f t="shared" si="29"/>
        <v>4035/4036</v>
      </c>
      <c r="L115" s="245" t="str">
        <f>VLOOKUP(A115,'Trips&amp;Operators'!$C$1:$G$99911,5,FALSE)</f>
        <v>BRUDER RICHARD</v>
      </c>
      <c r="M115" s="224">
        <f t="shared" si="30"/>
        <v>2.488425925548654E-2</v>
      </c>
      <c r="N115" s="225">
        <f t="shared" si="47"/>
        <v>35.833333327900618</v>
      </c>
      <c r="O115" s="225"/>
      <c r="P115" s="225"/>
      <c r="Q115" s="228"/>
      <c r="R115" s="242"/>
      <c r="S115" s="249">
        <f t="shared" si="50"/>
        <v>1</v>
      </c>
      <c r="T115" s="242" t="str">
        <f t="shared" si="32"/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33"/>
        <v>https://d0f6bd738d7f1b3e5a7ca70fe4ff75f0.us-east-1.aws.found.io/app/kibana#/discover/Steve-Slow-Train-Analysis-(2080s-and-2083s)?_g=(refreshInterval:(display:Off,pause:!f,section:0,value:0),time:(from:'2017-12-07T15:25:13-0700',mode:absolute,to:'2017-12-07T18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5" s="247" t="str">
        <f>IF(AA115&lt;VLOOKUP(AG115,Variables!$AC$3:$AD$8,2,FALSE),"Y","N")</f>
        <v>N</v>
      </c>
      <c r="X115" s="247">
        <f t="shared" si="49"/>
        <v>1</v>
      </c>
      <c r="Y115" s="247">
        <f t="shared" si="51"/>
        <v>5.3100000000000001E-2</v>
      </c>
      <c r="Z115" s="247">
        <f t="shared" si="52"/>
        <v>23.3217</v>
      </c>
      <c r="AA115" s="247">
        <f t="shared" si="37"/>
        <v>23.268599999999999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38"/>
        <v>203</v>
      </c>
      <c r="AE115" s="235" t="str">
        <f t="shared" si="39"/>
        <v>aws s3 cp s3://rtdc.mdm.uploadarchive.raw/RTDC4036/ "%USERPROFILE%\AppData\Local\Temp\OnboardLogs"\RTDC4036\2017-12-07 --exclude "*" --recursive --include "*20171207*" &amp; "%USERPROFILE%\Documents\GitHub\mrs-test-scripts\Headless Mode &amp; Sideloading\WalkAndUnGZ.bat" "%USERPROFILE%\AppData\Local\Temp\OnboardLogs"\RTDC4036\2017-12-07 &amp; aws s3 cp s3://rtdc.mdm.uploadarchive.raw/RTDC4036/ "%USERPROFILE%\AppData\Local\Temp\OnboardLogs"\RTDC4036\2017-12-08 --exclude "*" --recursive --include "*20171208*" &amp; "%USERPROFILE%\Documents\GitHub\mrs-test-scripts\Headless Mode &amp; Sideloading\WalkAndUnGZ.bat" "%USERPROFILE%\AppData\Local\Temp\OnboardLogs"\RTDC4036\2017-12-08</v>
      </c>
      <c r="AF115" s="234" t="str">
        <f t="shared" si="40"/>
        <v>"C:\Program Files (x86)\AstroGrep\AstroGrep.exe" /e /r /s /spath="%USERPROFILE%\AppData\Local\Temp\OnboardLogs" /stypes="app*4036*20171208*" /stext=" 00:.+((SYSTEM_STATE.+slice.+state.+changed )|(ment ac)|(multiple cpu faults)|(system.+state.+changed )|(\[timeout)|(PRM\|1\|D)|(kpr)|(kdp)|(train st.+moving)|(\|lc)|(penalty))"</v>
      </c>
      <c r="AG115" s="244" t="str">
        <f t="shared" si="41"/>
        <v>EC</v>
      </c>
      <c r="AH115" s="236" t="str">
        <f t="shared" si="42"/>
        <v>"%USERPROFILE%\Documents\GitHub\eaglep3\Utilities\RefineRTDCRunTimes.py" --tripid 203-07 --locoid 4036 --swversion DE.1.0.9.0 --startMP 204:531 --initTime 2017-12-07T16:25:13 --startdatetime 2017-12-07T16:30:46 --delay 74 --endMP 204:233217 --enddatetime 2017-12-07T17:06:36 --enforcementcount 1 &gt;&gt;%USERPROFILE%\Documents\GitHub\eaglep3-reporting\EC\2017-12-07-refined-times.txt</v>
      </c>
      <c r="AI115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{"issue":{"subject":"","project_id":79,"tracker_id":40,"status_id":1,"priority_id":2,"assigned_to_id":338,"start_date":"2017-12-07","description":"","custom_fields":[{"id":1,"name":"Subdivision","value":"EC"},{"id":4,"name":"Milepost","value":"23.3217"},{"id":17,"name":"Train ID","value":"203-07"},{"id":16,"name":"Locomotive ID","value":"4036"},{"id":130,"name":"Impact","value":""},{"id":150,"name":"Time of Event (Mountain Time)","value":"17:06:36"},{"id":151,"name":"Denver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231"/>
      <c r="AL115" s="231"/>
      <c r="AM115" s="240" t="str">
        <f t="shared" si="44"/>
        <v>start /low /b %USERPROFILE%\Documents\GitHub\eaglep3\Utilities\DownloadLogsFromS3.py --loco 4036 --day 2017-12-07</v>
      </c>
      <c r="AN115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00:06:36"},{"id":29,"name":"Sharepoint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46"/>
        <v>https://d0f6bd738d7f1b3e5a7ca70fe4ff75f0.us-east-1.aws.found.io/app/kibana#/discover/Steve-Slow-Train-Analysis-(2080s-and-2083s)?_g=(refreshInterval:(display:Off,pause:!f,section:0,value:0),time:(from:'2017-12-07T15:25:13-0700',mode:absolute,to:'2017-12-07T18:06:36-0700'))&amp;_a=(columns:!('Message%20ID',Summary),filters:!(),index:'emp_*',interval:auto,query:(query_string:(analyze_wildcard:!t,query:'%22rtdc.l.rtdc.4036%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29" t="s">
        <v>699</v>
      </c>
      <c r="B116" s="225">
        <v>4035</v>
      </c>
      <c r="C116" s="227" t="s">
        <v>192</v>
      </c>
      <c r="D116" s="227" t="s">
        <v>650</v>
      </c>
      <c r="E116" s="226">
        <v>43076.723761574074</v>
      </c>
      <c r="F116" s="226">
        <v>43076.727337962962</v>
      </c>
      <c r="G116" s="225">
        <v>66</v>
      </c>
      <c r="H116" s="227" t="s">
        <v>933</v>
      </c>
      <c r="I116" s="226">
        <v>43076.754131944443</v>
      </c>
      <c r="J116" s="225">
        <v>1</v>
      </c>
      <c r="K116" s="237" t="str">
        <f t="shared" si="29"/>
        <v>4035/4036</v>
      </c>
      <c r="L116" s="245" t="str">
        <f>VLOOKUP(A116,'Trips&amp;Operators'!$C$1:$G$99911,5,FALSE)</f>
        <v>BRUDER RICHARD</v>
      </c>
      <c r="M116" s="224">
        <f t="shared" si="30"/>
        <v>2.679398148029577E-2</v>
      </c>
      <c r="N116" s="225">
        <f t="shared" si="47"/>
        <v>38.583333331625909</v>
      </c>
      <c r="O116" s="225"/>
      <c r="P116" s="225"/>
      <c r="Q116" s="228"/>
      <c r="R116" s="242"/>
      <c r="S116" s="249">
        <f t="shared" si="50"/>
        <v>1</v>
      </c>
      <c r="T116" s="242" t="str">
        <f t="shared" si="32"/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33"/>
        <v>https://d0f6bd738d7f1b3e5a7ca70fe4ff75f0.us-east-1.aws.found.io/app/kibana#/discover/Steve-Slow-Train-Analysis-(2080s-and-2083s)?_g=(refreshInterval:(display:Off,pause:!f,section:0,value:0),time:(from:'2017-12-07T16:22:13-0700',mode:absolute,to:'2017-12-07T19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6" s="247" t="str">
        <f>IF(AA116&lt;VLOOKUP(AG116,Variables!$AC$3:$AD$8,2,FALSE),"Y","N")</f>
        <v>N</v>
      </c>
      <c r="X116" s="247">
        <f t="shared" si="49"/>
        <v>1</v>
      </c>
      <c r="Y116" s="247">
        <f t="shared" si="51"/>
        <v>23.290400000000002</v>
      </c>
      <c r="Z116" s="247">
        <f t="shared" si="52"/>
        <v>2.18E-2</v>
      </c>
      <c r="AA116" s="247">
        <f t="shared" si="37"/>
        <v>23.268600000000003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38"/>
        <v>204</v>
      </c>
      <c r="AE116" s="235" t="str">
        <f t="shared" si="39"/>
        <v>aws s3 cp s3://rtdc.mdm.uploadarchive.raw/RTDC4035/ "%USERPROFILE%\AppData\Local\Temp\OnboardLogs"\RTDC4035\2017-12-07 --exclude "*" --recursive --include "*20171207*" &amp; "%USERPROFILE%\Documents\GitHub\mrs-test-scripts\Headless Mode &amp; Sideloading\WalkAndUnGZ.bat" "%USERPROFILE%\AppData\Local\Temp\OnboardLogs"\RTDC4035\2017-12-07 &amp; aws s3 cp s3://rtdc.mdm.uploadarchive.raw/RTDC4035/ "%USERPROFILE%\AppData\Local\Temp\OnboardLogs"\RTDC4035\2017-12-08 --exclude "*" --recursive --include "*20171208*" &amp; "%USERPROFILE%\Documents\GitHub\mrs-test-scripts\Headless Mode &amp; Sideloading\WalkAndUnGZ.bat" "%USERPROFILE%\AppData\Local\Temp\OnboardLogs"\RTDC4035\2017-12-08</v>
      </c>
      <c r="AF116" s="234" t="str">
        <f t="shared" si="40"/>
        <v>"C:\Program Files (x86)\AstroGrep\AstroGrep.exe" /e /r /s /spath="%USERPROFILE%\AppData\Local\Temp\OnboardLogs" /stypes="app*4035*20171208*" /stext=" 01:.+((SYSTEM_STATE.+slice.+state.+changed )|(ment ac)|(multiple cpu faults)|(system.+state.+changed )|(\[timeout)|(PRM\|1\|D)|(kpr)|(kdp)|(train st.+moving)|(\|lc)|(penalty))"</v>
      </c>
      <c r="AG116" s="244" t="str">
        <f t="shared" si="41"/>
        <v>EC</v>
      </c>
      <c r="AH116" s="236" t="str">
        <f t="shared" si="42"/>
        <v>"%USERPROFILE%\Documents\GitHub\eaglep3\Utilities\RefineRTDCRunTimes.py" --tripid 204-07 --locoid 4035 --swversion DE.1.0.9.0 --startMP 204:232904 --initTime 2017-12-07T17:22:13 --startdatetime 2017-12-07T17:27:22 --delay 66 --endMP 204:218 --enddatetime 2017-12-07T18:05:57 --enforcementcount 1 &gt;&gt;%USERPROFILE%\Documents\GitHub\eaglep3-reporting\EC\2017-12-07-refined-times.txt</v>
      </c>
      <c r="AI116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{"issue":{"subject":"","project_id":79,"tracker_id":40,"status_id":1,"priority_id":2,"assigned_to_id":338,"start_date":"2017-12-07","description":"","custom_fields":[{"id":1,"name":"Subdivision","value":"EC"},{"id":4,"name":"Milepost","value":"0.0218"},{"id":17,"name":"Train ID","value":"204-07"},{"id":16,"name":"Locomotive ID","value":"4035"},{"id":130,"name":"Impact","value":""},{"id":150,"name":"Time of Event (Mountain Time)","value":"18:05:57"},{"id":151,"name":"Denver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44"/>
        <v>start /low /b %USERPROFILE%\Documents\GitHub\eaglep3\Utilities\DownloadLogsFromS3.py --loco 4035 --day 2017-12-07</v>
      </c>
      <c r="AN116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01:05:57"},{"id":29,"name":"Sharepoint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46"/>
        <v>https://d0f6bd738d7f1b3e5a7ca70fe4ff75f0.us-east-1.aws.found.io/app/kibana#/discover/Steve-Slow-Train-Analysis-(2080s-and-2083s)?_g=(refreshInterval:(display:Off,pause:!f,section:0,value:0),time:(from:'2017-12-07T16:22:13-0700',mode:absolute,to:'2017-12-07T19:05:57-0700'))&amp;_a=(columns:!('Message%20ID',Summary),filters:!(),index:'emp_*',interval:auto,query:(query_string:(analyze_wildcard:!t,query:'%22rtdc.l.rtdc.4035%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29" t="s">
        <v>852</v>
      </c>
      <c r="B117" s="225">
        <v>4058</v>
      </c>
      <c r="C117" s="227" t="s">
        <v>192</v>
      </c>
      <c r="D117" s="227" t="s">
        <v>511</v>
      </c>
      <c r="E117" s="226">
        <v>43076.694004629629</v>
      </c>
      <c r="F117" s="226">
        <v>43076.698194444441</v>
      </c>
      <c r="G117" s="225">
        <v>62</v>
      </c>
      <c r="H117" s="227" t="s">
        <v>936</v>
      </c>
      <c r="I117" s="226">
        <v>43076.723645833335</v>
      </c>
      <c r="J117" s="225">
        <v>1</v>
      </c>
      <c r="K117" s="237" t="str">
        <f t="shared" si="29"/>
        <v>4057/4058</v>
      </c>
      <c r="L117" s="245" t="str">
        <f>VLOOKUP(A117,'Trips&amp;Operators'!$C$1:$G$99911,5,FALSE)</f>
        <v>STEWART MICHAEL</v>
      </c>
      <c r="M117" s="224">
        <f t="shared" si="30"/>
        <v>2.5451388893998228E-2</v>
      </c>
      <c r="N117" s="225">
        <f t="shared" si="47"/>
        <v>36.650000007357448</v>
      </c>
      <c r="O117" s="225"/>
      <c r="P117" s="225"/>
      <c r="Q117" s="228"/>
      <c r="R117" s="242"/>
      <c r="S117" s="249">
        <f t="shared" si="50"/>
        <v>1</v>
      </c>
      <c r="T117" s="242" t="str">
        <f t="shared" si="32"/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33"/>
        <v>https://d0f6bd738d7f1b3e5a7ca70fe4ff75f0.us-east-1.aws.found.io/app/kibana#/discover/Steve-Slow-Train-Analysis-(2080s-and-2083s)?_g=(refreshInterval:(display:Off,pause:!f,section:0,value:0),time:(from:'2017-12-07T15:39:22-0700',mode:absolute,to:'2017-12-07T18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7" s="247" t="str">
        <f>IF(AA117&lt;VLOOKUP(AG117,Variables!$AC$3:$AD$8,2,FALSE),"Y","N")</f>
        <v>N</v>
      </c>
      <c r="X117" s="247">
        <f t="shared" si="49"/>
        <v>1</v>
      </c>
      <c r="Y117" s="247">
        <f t="shared" si="51"/>
        <v>5.5100000000000003E-2</v>
      </c>
      <c r="Z117" s="247">
        <f t="shared" si="52"/>
        <v>23.324000000000002</v>
      </c>
      <c r="AA117" s="247">
        <f t="shared" si="37"/>
        <v>23.268900000000002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38"/>
        <v>205</v>
      </c>
      <c r="AE117" s="235" t="str">
        <f t="shared" si="39"/>
        <v>aws s3 cp s3://rtdc.mdm.uploadarchive.raw/RTDC4058/ "%USERPROFILE%\AppData\Local\Temp\OnboardLogs"\RTDC4058\2017-12-07 --exclude "*" --recursive --include "*20171207*" &amp; "%USERPROFILE%\Documents\GitHub\mrs-test-scripts\Headless Mode &amp; Sideloading\WalkAndUnGZ.bat" "%USERPROFILE%\AppData\Local\Temp\OnboardLogs"\RTDC4058\2017-12-07 &amp; aws s3 cp s3://rtdc.mdm.uploadarchive.raw/RTDC4058/ "%USERPROFILE%\AppData\Local\Temp\OnboardLogs"\RTDC4058\2017-12-08 --exclude "*" --recursive --include "*20171208*" &amp; "%USERPROFILE%\Documents\GitHub\mrs-test-scripts\Headless Mode &amp; Sideloading\WalkAndUnGZ.bat" "%USERPROFILE%\AppData\Local\Temp\OnboardLogs"\RTDC4058\2017-12-08</v>
      </c>
      <c r="AF117" s="234" t="str">
        <f t="shared" si="40"/>
        <v>"C:\Program Files (x86)\AstroGrep\AstroGrep.exe" /e /r /s /spath="%USERPROFILE%\AppData\Local\Temp\OnboardLogs" /stypes="app*4058*20171208*" /stext=" 00:.+((SYSTEM_STATE.+slice.+state.+changed )|(ment ac)|(multiple cpu faults)|(system.+state.+changed )|(\[timeout)|(PRM\|1\|D)|(kpr)|(kdp)|(train st.+moving)|(\|lc)|(penalty))"</v>
      </c>
      <c r="AG117" s="244" t="str">
        <f t="shared" si="41"/>
        <v>EC</v>
      </c>
      <c r="AH117" s="236" t="str">
        <f t="shared" si="42"/>
        <v>"%USERPROFILE%\Documents\GitHub\eaglep3\Utilities\RefineRTDCRunTimes.py" --tripid 205-07 --locoid 4058 --swversion DE.1.0.9.0 --startMP 204:551 --initTime 2017-12-07T16:39:22 --startdatetime 2017-12-07T16:45:24 --delay 62 --endMP 204:233240 --enddatetime 2017-12-07T17:22:03 --enforcementcount 1 &gt;&gt;%USERPROFILE%\Documents\GitHub\eaglep3-reporting\EC\2017-12-07-refined-times.txt</v>
      </c>
      <c r="AI117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{"issue":{"subject":"","project_id":79,"tracker_id":40,"status_id":1,"priority_id":2,"assigned_to_id":338,"start_date":"2017-12-07","description":"","custom_fields":[{"id":1,"name":"Subdivision","value":"EC"},{"id":4,"name":"Milepost","value":"23.324"},{"id":17,"name":"Train ID","value":"205-07"},{"id":16,"name":"Locomotive ID","value":"4058"},{"id":130,"name":"Impact","value":""},{"id":150,"name":"Time of Event (Mountain Time)","value":"17:22:03"},{"id":151,"name":"Denver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3"/>
      <c r="AK117" s="231"/>
      <c r="AL117" s="231"/>
      <c r="AM117" s="240" t="str">
        <f t="shared" si="44"/>
        <v>start /low /b %USERPROFILE%\Documents\GitHub\eaglep3\Utilities\DownloadLogsFromS3.py --loco 4058 --day 2017-12-07</v>
      </c>
      <c r="AN117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00:22:03"},{"id":29,"name":"Sharepoint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46"/>
        <v>https://d0f6bd738d7f1b3e5a7ca70fe4ff75f0.us-east-1.aws.found.io/app/kibana#/discover/Steve-Slow-Train-Analysis-(2080s-and-2083s)?_g=(refreshInterval:(display:Off,pause:!f,section:0,value:0),time:(from:'2017-12-07T15:39:22-0700',mode:absolute,to:'2017-12-07T18:22:03-0700'))&amp;_a=(columns:!('Message%20ID',Summary),filters:!(),index:'emp_*',interval:auto,query:(query_string:(analyze_wildcard:!t,query:'%22rtdc.l.rtdc.4058%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229" t="s">
        <v>864</v>
      </c>
      <c r="B118" s="225">
        <v>4057</v>
      </c>
      <c r="C118" s="227" t="s">
        <v>192</v>
      </c>
      <c r="D118" s="227" t="s">
        <v>963</v>
      </c>
      <c r="E118" s="226">
        <v>43076.732939814814</v>
      </c>
      <c r="F118" s="226">
        <v>43076.738263888888</v>
      </c>
      <c r="G118" s="225">
        <v>70</v>
      </c>
      <c r="H118" s="227" t="s">
        <v>450</v>
      </c>
      <c r="I118" s="226">
        <v>43076.764236111114</v>
      </c>
      <c r="J118" s="225">
        <v>1</v>
      </c>
      <c r="K118" s="237" t="str">
        <f t="shared" si="29"/>
        <v>4057/4058</v>
      </c>
      <c r="L118" s="245" t="str">
        <f>VLOOKUP(A118,'Trips&amp;Operators'!$C$1:$G$99911,5,FALSE)</f>
        <v>STEWART MICHAEL</v>
      </c>
      <c r="M118" s="224">
        <f t="shared" si="30"/>
        <v>2.5972222225391306E-2</v>
      </c>
      <c r="N118" s="225">
        <f t="shared" si="47"/>
        <v>37.400000004563481</v>
      </c>
      <c r="O118" s="225"/>
      <c r="P118" s="225"/>
      <c r="Q118" s="228"/>
      <c r="R118" s="242"/>
      <c r="S118" s="249">
        <f t="shared" si="50"/>
        <v>1</v>
      </c>
      <c r="T118" s="242" t="str">
        <f t="shared" si="32"/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33"/>
        <v>https://d0f6bd738d7f1b3e5a7ca70fe4ff75f0.us-east-1.aws.found.io/app/kibana#/discover/Steve-Slow-Train-Analysis-(2080s-and-2083s)?_g=(refreshInterval:(display:Off,pause:!f,section:0,value:0),time:(from:'2017-12-07T16:35:26-0700',mode:absolute,to:'2017-12-07T19:20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8" s="247" t="str">
        <f>IF(AA118&lt;VLOOKUP(AG118,Variables!$AC$3:$AD$8,2,FALSE),"Y","N")</f>
        <v>N</v>
      </c>
      <c r="X118" s="247">
        <f t="shared" si="49"/>
        <v>1</v>
      </c>
      <c r="Y118" s="247">
        <f t="shared" si="51"/>
        <v>23.291899999999998</v>
      </c>
      <c r="Z118" s="247">
        <f t="shared" si="52"/>
        <v>2.1600000000000001E-2</v>
      </c>
      <c r="AA118" s="247">
        <f t="shared" si="37"/>
        <v>23.270299999999999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38"/>
        <v>206</v>
      </c>
      <c r="AE118" s="235" t="str">
        <f t="shared" si="39"/>
        <v>aws s3 cp s3://rtdc.mdm.uploadarchive.raw/RTDC4057/ "%USERPROFILE%\AppData\Local\Temp\OnboardLogs"\RTDC4057\2017-12-07 --exclude "*" --recursive --include "*20171207*" &amp; "%USERPROFILE%\Documents\GitHub\mrs-test-scripts\Headless Mode &amp; Sideloading\WalkAndUnGZ.bat" "%USERPROFILE%\AppData\Local\Temp\OnboardLogs"\RTDC4057\2017-12-07 &amp; aws s3 cp s3://rtdc.mdm.uploadarchive.raw/RTDC4057/ "%USERPROFILE%\AppData\Local\Temp\OnboardLogs"\RTDC4057\2017-12-08 --exclude "*" --recursive --include "*20171208*" &amp; "%USERPROFILE%\Documents\GitHub\mrs-test-scripts\Headless Mode &amp; Sideloading\WalkAndUnGZ.bat" "%USERPROFILE%\AppData\Local\Temp\OnboardLogs"\RTDC4057\2017-12-08</v>
      </c>
      <c r="AF118" s="234" t="str">
        <f t="shared" si="40"/>
        <v>"C:\Program Files (x86)\AstroGrep\AstroGrep.exe" /e /r /s /spath="%USERPROFILE%\AppData\Local\Temp\OnboardLogs" /stypes="app*4057*20171208*" /stext=" 01:.+((SYSTEM_STATE.+slice.+state.+changed )|(ment ac)|(multiple cpu faults)|(system.+state.+changed )|(\[timeout)|(PRM\|1\|D)|(kpr)|(kdp)|(train st.+moving)|(\|lc)|(penalty))"</v>
      </c>
      <c r="AG118" s="244" t="str">
        <f t="shared" si="41"/>
        <v>EC</v>
      </c>
      <c r="AH118" s="236" t="str">
        <f t="shared" si="42"/>
        <v>"%USERPROFILE%\Documents\GitHub\eaglep3\Utilities\RefineRTDCRunTimes.py" --tripid 206-07 --locoid 4057 --swversion DE.1.0.9.0 --startMP 204:232919 --initTime 2017-12-07T17:35:26 --startdatetime 2017-12-07T17:43:06 --delay 70 --endMP 204:216 --enddatetime 2017-12-07T18:20:30 --enforcementcount 1 &gt;&gt;%USERPROFILE%\Documents\GitHub\eaglep3-reporting\EC\2017-12-07-refined-times.txt</v>
      </c>
      <c r="AI118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{"issue":{"subject":"","project_id":79,"tracker_id":40,"status_id":1,"priority_id":2,"assigned_to_id":338,"start_date":"2017-12-07","description":"","custom_fields":[{"id":1,"name":"Subdivision","value":"EC"},{"id":4,"name":"Milepost","value":"0.0216"},{"id":17,"name":"Train ID","value":"206-07"},{"id":16,"name":"Locomotive ID","value":"4057"},{"id":130,"name":"Impact","value":""},{"id":150,"name":"Time of Event (Mountain Time)","value":"18:20:30"},{"id":151,"name":"Denver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3"/>
      <c r="AK118" s="231"/>
      <c r="AL118" s="231"/>
      <c r="AM118" s="240" t="str">
        <f t="shared" si="44"/>
        <v>start /low /b %USERPROFILE%\Documents\GitHub\eaglep3\Utilities\DownloadLogsFromS3.py --loco 4057 --day 2017-12-07</v>
      </c>
      <c r="AN118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01:20:30"},{"id":29,"name":"Sharepoint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46"/>
        <v>https://d0f6bd738d7f1b3e5a7ca70fe4ff75f0.us-east-1.aws.found.io/app/kibana#/discover/Steve-Slow-Train-Analysis-(2080s-and-2083s)?_g=(refreshInterval:(display:Off,pause:!f,section:0,value:0),time:(from:'2017-12-07T16:35:26-0700',mode:absolute,to:'2017-12-07T19:20:30-0700'))&amp;_a=(columns:!('Message%20ID',Summary),filters:!(),index:'emp_*',interval:auto,query:(query_string:(analyze_wildcard:!t,query:'%22rtdc.l.rtdc.4057%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29" t="s">
        <v>854</v>
      </c>
      <c r="B119" s="225">
        <v>4054</v>
      </c>
      <c r="C119" s="227" t="s">
        <v>192</v>
      </c>
      <c r="D119" s="227" t="s">
        <v>964</v>
      </c>
      <c r="E119" s="226">
        <v>43076.703333333331</v>
      </c>
      <c r="F119" s="226">
        <v>43076.708495370367</v>
      </c>
      <c r="G119" s="225">
        <v>60</v>
      </c>
      <c r="H119" s="227" t="s">
        <v>458</v>
      </c>
      <c r="I119" s="226">
        <v>43076.733587962961</v>
      </c>
      <c r="J119" s="225">
        <v>1</v>
      </c>
      <c r="K119" s="237" t="str">
        <f t="shared" si="29"/>
        <v>4053/4054</v>
      </c>
      <c r="L119" s="245" t="str">
        <f>VLOOKUP(A119,'Trips&amp;Operators'!$C$1:$G$99911,5,FALSE)</f>
        <v>SANTIZO D. EDY</v>
      </c>
      <c r="M119" s="224">
        <f t="shared" si="30"/>
        <v>2.5092592593864538E-2</v>
      </c>
      <c r="N119" s="225">
        <f t="shared" ref="N119:N132" si="53">24*60*SUM($M119:$M119)</f>
        <v>36.133333335164934</v>
      </c>
      <c r="O119" s="225"/>
      <c r="P119" s="225"/>
      <c r="Q119" s="228"/>
      <c r="R119" s="242"/>
      <c r="S119" s="249">
        <f t="shared" si="50"/>
        <v>1</v>
      </c>
      <c r="T119" s="242" t="str">
        <f t="shared" si="32"/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33"/>
        <v>https://d0f6bd738d7f1b3e5a7ca70fe4ff75f0.us-east-1.aws.found.io/app/kibana#/discover/Steve-Slow-Train-Analysis-(2080s-and-2083s)?_g=(refreshInterval:(display:Off,pause:!f,section:0,value:0),time:(from:'2017-12-07T15:52:48-0700',mode:absolute,to:'2017-12-07T18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9" s="247" t="str">
        <f>IF(AA119&lt;VLOOKUP(AG119,Variables!$AC$3:$AD$8,2,FALSE),"Y","N")</f>
        <v>N</v>
      </c>
      <c r="X119" s="247">
        <f t="shared" si="49"/>
        <v>1</v>
      </c>
      <c r="Y119" s="247">
        <f t="shared" si="51"/>
        <v>4.9299999999999997E-2</v>
      </c>
      <c r="Z119" s="247">
        <f t="shared" si="52"/>
        <v>23.323</v>
      </c>
      <c r="AA119" s="247">
        <f t="shared" si="37"/>
        <v>23.273700000000002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38"/>
        <v>207</v>
      </c>
      <c r="AE119" s="235" t="str">
        <f t="shared" si="39"/>
        <v>aws s3 cp s3://rtdc.mdm.uploadarchive.raw/RTDC4054/ "%USERPROFILE%\AppData\Local\Temp\OnboardLogs"\RTDC4054\2017-12-07 --exclude "*" --recursive --include "*20171207*" &amp; "%USERPROFILE%\Documents\GitHub\mrs-test-scripts\Headless Mode &amp; Sideloading\WalkAndUnGZ.bat" "%USERPROFILE%\AppData\Local\Temp\OnboardLogs"\RTDC4054\2017-12-07 &amp; aws s3 cp s3://rtdc.mdm.uploadarchive.raw/RTDC4054/ "%USERPROFILE%\AppData\Local\Temp\OnboardLogs"\RTDC4054\2017-12-08 --exclude "*" --recursive --include "*20171208*" &amp; "%USERPROFILE%\Documents\GitHub\mrs-test-scripts\Headless Mode &amp; Sideloading\WalkAndUnGZ.bat" "%USERPROFILE%\AppData\Local\Temp\OnboardLogs"\RTDC4054\2017-12-08</v>
      </c>
      <c r="AF119" s="234" t="str">
        <f t="shared" si="40"/>
        <v>"C:\Program Files (x86)\AstroGrep\AstroGrep.exe" /e /r /s /spath="%USERPROFILE%\AppData\Local\Temp\OnboardLogs" /stypes="app*4054*20171208*" /stext=" 00:.+((SYSTEM_STATE.+slice.+state.+changed )|(ment ac)|(multiple cpu faults)|(system.+state.+changed )|(\[timeout)|(PRM\|1\|D)|(kpr)|(kdp)|(train st.+moving)|(\|lc)|(penalty))"</v>
      </c>
      <c r="AG119" s="244" t="str">
        <f t="shared" si="41"/>
        <v>EC</v>
      </c>
      <c r="AH119" s="236" t="str">
        <f t="shared" si="42"/>
        <v>"%USERPROFILE%\Documents\GitHub\eaglep3\Utilities\RefineRTDCRunTimes.py" --tripid 207-07 --locoid 4054 --swversion DE.1.0.9.0 --startMP 204:493 --initTime 2017-12-07T16:52:48 --startdatetime 2017-12-07T17:00:14 --delay 60 --endMP 204:233230 --enddatetime 2017-12-07T17:36:22 --enforcementcount 1 &gt;&gt;%USERPROFILE%\Documents\GitHub\eaglep3-reporting\EC\2017-12-07-refined-times.txt</v>
      </c>
      <c r="AI119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{"issue":{"subject":"","project_id":79,"tracker_id":40,"status_id":1,"priority_id":2,"assigned_to_id":338,"start_date":"2017-12-07","description":"","custom_fields":[{"id":1,"name":"Subdivision","value":"EC"},{"id":4,"name":"Milepost","value":"23.323"},{"id":17,"name":"Train ID","value":"207-07"},{"id":16,"name":"Locomotive ID","value":"4054"},{"id":130,"name":"Impact","value":""},{"id":150,"name":"Time of Event (Mountain Time)","value":"17:36:22"},{"id":151,"name":"Denver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44"/>
        <v>start /low /b %USERPROFILE%\Documents\GitHub\eaglep3\Utilities\DownloadLogsFromS3.py --loco 4054 --day 2017-12-07</v>
      </c>
      <c r="AN119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00:36:22"},{"id":29,"name":"Sharepoint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46"/>
        <v>https://d0f6bd738d7f1b3e5a7ca70fe4ff75f0.us-east-1.aws.found.io/app/kibana#/discover/Steve-Slow-Train-Analysis-(2080s-and-2083s)?_g=(refreshInterval:(display:Off,pause:!f,section:0,value:0),time:(from:'2017-12-07T15:52:48-0700',mode:absolute,to:'2017-12-07T18:36:22-0700'))&amp;_a=(columns:!('Message%20ID',Summary),filters:!(),index:'emp_*',interval:auto,query:(query_string:(analyze_wildcard:!t,query:'%22rtdc.l.rtdc.4054%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29" t="s">
        <v>865</v>
      </c>
      <c r="B120" s="225">
        <v>4053</v>
      </c>
      <c r="C120" s="227" t="s">
        <v>192</v>
      </c>
      <c r="D120" s="227" t="s">
        <v>999</v>
      </c>
      <c r="E120" s="226">
        <v>43076.734733796293</v>
      </c>
      <c r="F120" s="226">
        <v>43076.748171296298</v>
      </c>
      <c r="G120" s="225">
        <v>56</v>
      </c>
      <c r="H120" s="227" t="s">
        <v>1000</v>
      </c>
      <c r="I120" s="226">
        <v>43076.774363425924</v>
      </c>
      <c r="J120" s="225">
        <v>1</v>
      </c>
      <c r="K120" s="237" t="str">
        <f t="shared" si="29"/>
        <v>4053/4054</v>
      </c>
      <c r="L120" s="245" t="str">
        <f>VLOOKUP(A120,'Trips&amp;Operators'!$C$1:$G$99911,5,FALSE)</f>
        <v>SANTIZO D. EDY</v>
      </c>
      <c r="M120" s="224">
        <f t="shared" si="30"/>
        <v>2.619212962599704E-2</v>
      </c>
      <c r="N120" s="225">
        <f t="shared" si="53"/>
        <v>37.716666661435738</v>
      </c>
      <c r="O120" s="225"/>
      <c r="P120" s="225"/>
      <c r="Q120" s="228"/>
      <c r="R120" s="242"/>
      <c r="S120" s="249">
        <f t="shared" si="50"/>
        <v>1</v>
      </c>
      <c r="T120" s="242" t="str">
        <f t="shared" si="32"/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33"/>
        <v>https://d0f6bd738d7f1b3e5a7ca70fe4ff75f0.us-east-1.aws.found.io/app/kibana#/discover/Steve-Slow-Train-Analysis-(2080s-and-2083s)?_g=(refreshInterval:(display:Off,pause:!f,section:0,value:0),time:(from:'2017-12-07T16:38:01-0700',mode:absolute,to:'2017-12-07T19:35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0" s="247" t="str">
        <f>IF(AA120&lt;VLOOKUP(AG120,Variables!$AC$3:$AD$8,2,FALSE),"Y","N")</f>
        <v>N</v>
      </c>
      <c r="X120" s="247">
        <f t="shared" si="49"/>
        <v>1</v>
      </c>
      <c r="Y120" s="247">
        <f t="shared" si="51"/>
        <v>23.2925</v>
      </c>
      <c r="Z120" s="247">
        <f t="shared" si="52"/>
        <v>0.1041</v>
      </c>
      <c r="AA120" s="247">
        <f t="shared" si="37"/>
        <v>23.188400000000001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38"/>
        <v>208</v>
      </c>
      <c r="AE120" s="235" t="str">
        <f t="shared" si="39"/>
        <v>aws s3 cp s3://rtdc.mdm.uploadarchive.raw/RTDC4053/ "%USERPROFILE%\AppData\Local\Temp\OnboardLogs"\RTDC4053\2017-12-07 --exclude "*" --recursive --include "*20171207*" &amp; "%USERPROFILE%\Documents\GitHub\mrs-test-scripts\Headless Mode &amp; Sideloading\WalkAndUnGZ.bat" "%USERPROFILE%\AppData\Local\Temp\OnboardLogs"\RTDC4053\2017-12-07 &amp; aws s3 cp s3://rtdc.mdm.uploadarchive.raw/RTDC4053/ "%USERPROFILE%\AppData\Local\Temp\OnboardLogs"\RTDC4053\2017-12-08 --exclude "*" --recursive --include "*20171208*" &amp; "%USERPROFILE%\Documents\GitHub\mrs-test-scripts\Headless Mode &amp; Sideloading\WalkAndUnGZ.bat" "%USERPROFILE%\AppData\Local\Temp\OnboardLogs"\RTDC4053\2017-12-08</v>
      </c>
      <c r="AF120" s="234" t="str">
        <f t="shared" si="40"/>
        <v>"C:\Program Files (x86)\AstroGrep\AstroGrep.exe" /e /r /s /spath="%USERPROFILE%\AppData\Local\Temp\OnboardLogs" /stypes="app*4053*20171208*" /stext=" 01:.+((SYSTEM_STATE.+slice.+state.+changed )|(ment ac)|(multiple cpu faults)|(system.+state.+changed )|(\[timeout)|(PRM\|1\|D)|(kpr)|(kdp)|(train st.+moving)|(\|lc)|(penalty))"</v>
      </c>
      <c r="AG120" s="244" t="str">
        <f t="shared" si="41"/>
        <v>EC</v>
      </c>
      <c r="AH120" s="236" t="str">
        <f t="shared" si="42"/>
        <v>"%USERPROFILE%\Documents\GitHub\eaglep3\Utilities\RefineRTDCRunTimes.py" --tripid 208-07 --locoid 4053 --swversion DE.1.0.9.0 --startMP 204:232925 --initTime 2017-12-07T17:38:01 --startdatetime 2017-12-07T17:57:22 --delay 56 --endMP 204:1041 --enddatetime 2017-12-07T18:35:05 --enforcementcount 1 &gt;&gt;%USERPROFILE%\Documents\GitHub\eaglep3-reporting\EC\2017-12-07-refined-times.txt</v>
      </c>
      <c r="AI120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{"issue":{"subject":"","project_id":79,"tracker_id":40,"status_id":1,"priority_id":2,"assigned_to_id":338,"start_date":"2017-12-07","description":"","custom_fields":[{"id":1,"name":"Subdivision","value":"EC"},{"id":4,"name":"Milepost","value":"0.1041"},{"id":17,"name":"Train ID","value":"208-07"},{"id":16,"name":"Locomotive ID","value":"4053"},{"id":130,"name":"Impact","value":""},{"id":150,"name":"Time of Event (Mountain Time)","value":"18:35:05"},{"id":151,"name":"Denver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3"/>
      <c r="AK120" s="231"/>
      <c r="AL120" s="231"/>
      <c r="AM120" s="240" t="str">
        <f t="shared" si="44"/>
        <v>start /low /b %USERPROFILE%\Documents\GitHub\eaglep3\Utilities\DownloadLogsFromS3.py --loco 4053 --day 2017-12-07</v>
      </c>
      <c r="AN120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01:35:05"},{"id":29,"name":"Sharepoint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46"/>
        <v>https://d0f6bd738d7f1b3e5a7ca70fe4ff75f0.us-east-1.aws.found.io/app/kibana#/discover/Steve-Slow-Train-Analysis-(2080s-and-2083s)?_g=(refreshInterval:(display:Off,pause:!f,section:0,value:0),time:(from:'2017-12-07T16:38:01-0700',mode:absolute,to:'2017-12-07T19:35:05-0700'))&amp;_a=(columns:!('Message%20ID',Summary),filters:!(),index:'emp_*',interval:auto,query:(query_string:(analyze_wildcard:!t,query:'%22rtdc.l.rtdc.4053%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229" t="s">
        <v>860</v>
      </c>
      <c r="B121" s="225">
        <v>4060</v>
      </c>
      <c r="C121" s="227" t="s">
        <v>192</v>
      </c>
      <c r="D121" s="227" t="s">
        <v>452</v>
      </c>
      <c r="E121" s="226">
        <v>43076.714409722219</v>
      </c>
      <c r="F121" s="226">
        <v>43076.718935185185</v>
      </c>
      <c r="G121" s="225">
        <v>53</v>
      </c>
      <c r="H121" s="227" t="s">
        <v>982</v>
      </c>
      <c r="I121" s="226">
        <v>43076.744398148148</v>
      </c>
      <c r="J121" s="225">
        <v>1</v>
      </c>
      <c r="K121" s="237" t="str">
        <f t="shared" si="29"/>
        <v>4059/4060</v>
      </c>
      <c r="L121" s="245" t="str">
        <f>VLOOKUP(A121,'Trips&amp;Operators'!$C$1:$G$99911,5,FALSE)</f>
        <v>ROBINSON KADDIBA</v>
      </c>
      <c r="M121" s="224">
        <f t="shared" si="30"/>
        <v>2.5462962963501923E-2</v>
      </c>
      <c r="N121" s="225">
        <f t="shared" si="53"/>
        <v>36.666666667442769</v>
      </c>
      <c r="O121" s="225"/>
      <c r="P121" s="225"/>
      <c r="Q121" s="228"/>
      <c r="R121" s="242"/>
      <c r="S121" s="249">
        <f t="shared" si="50"/>
        <v>1</v>
      </c>
      <c r="T121" s="242" t="str">
        <f t="shared" si="32"/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 t="shared" si="33"/>
        <v>https://d0f6bd738d7f1b3e5a7ca70fe4ff75f0.us-east-1.aws.found.io/app/kibana#/discover/Steve-Slow-Train-Analysis-(2080s-and-2083s)?_g=(refreshInterval:(display:Off,pause:!f,section:0,value:0),time:(from:'2017-12-07T16:08:45-0700',mode:absolute,to:'2017-12-07T18:51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1" s="247" t="str">
        <f>IF(AA121&lt;VLOOKUP(AG121,Variables!$AC$3:$AD$8,2,FALSE),"Y","N")</f>
        <v>N</v>
      </c>
      <c r="X121" s="247">
        <f t="shared" si="49"/>
        <v>1</v>
      </c>
      <c r="Y121" s="247">
        <f t="shared" si="51"/>
        <v>5.1999999999999998E-2</v>
      </c>
      <c r="Z121" s="247">
        <f t="shared" si="52"/>
        <v>23.322199999999999</v>
      </c>
      <c r="AA121" s="247">
        <f t="shared" si="37"/>
        <v>23.270199999999999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38"/>
        <v>209</v>
      </c>
      <c r="AE121" s="235" t="str">
        <f t="shared" si="39"/>
        <v>aws s3 cp s3://rtdc.mdm.uploadarchive.raw/RTDC4060/ "%USERPROFILE%\AppData\Local\Temp\OnboardLogs"\RTDC4060\2017-12-07 --exclude "*" --recursive --include "*20171207*" &amp; "%USERPROFILE%\Documents\GitHub\mrs-test-scripts\Headless Mode &amp; Sideloading\WalkAndUnGZ.bat" "%USERPROFILE%\AppData\Local\Temp\OnboardLogs"\RTDC4060\2017-12-07 &amp; aws s3 cp s3://rtdc.mdm.uploadarchive.raw/RTDC4060/ "%USERPROFILE%\AppData\Local\Temp\OnboardLogs"\RTDC4060\2017-12-08 --exclude "*" --recursive --include "*20171208*" &amp; "%USERPROFILE%\Documents\GitHub\mrs-test-scripts\Headless Mode &amp; Sideloading\WalkAndUnGZ.bat" "%USERPROFILE%\AppData\Local\Temp\OnboardLogs"\RTDC4060\2017-12-08</v>
      </c>
      <c r="AF121" s="234" t="str">
        <f t="shared" si="40"/>
        <v>"C:\Program Files (x86)\AstroGrep\AstroGrep.exe" /e /r /s /spath="%USERPROFILE%\AppData\Local\Temp\OnboardLogs" /stypes="app*4060*20171208*" /stext=" 00:.+((SYSTEM_STATE.+slice.+state.+changed )|(ment ac)|(multiple cpu faults)|(system.+state.+changed )|(\[timeout)|(PRM\|1\|D)|(kpr)|(kdp)|(train st.+moving)|(\|lc)|(penalty))"</v>
      </c>
      <c r="AG121" s="244" t="str">
        <f t="shared" si="41"/>
        <v>EC</v>
      </c>
      <c r="AH121" s="236" t="str">
        <f t="shared" si="42"/>
        <v>"%USERPROFILE%\Documents\GitHub\eaglep3\Utilities\RefineRTDCRunTimes.py" --tripid 209-07 --locoid 4060 --swversion DE.1.0.9.0 --startMP 204:520 --initTime 2017-12-07T17:08:45 --startdatetime 2017-12-07T17:15:16 --delay 53 --endMP 204:233222 --enddatetime 2017-12-07T17:51:56 --enforcementcount 1 &gt;&gt;%USERPROFILE%\Documents\GitHub\eaglep3-reporting\EC\2017-12-07-refined-times.txt</v>
      </c>
      <c r="AI121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{"issue":{"subject":"","project_id":79,"tracker_id":40,"status_id":1,"priority_id":2,"assigned_to_id":338,"start_date":"2017-12-07","description":"","custom_fields":[{"id":1,"name":"Subdivision","value":"EC"},{"id":4,"name":"Milepost","value":"23.3222"},{"id":17,"name":"Train ID","value":"209-07"},{"id":16,"name":"Locomotive ID","value":"4060"},{"id":130,"name":"Impact","value":""},{"id":150,"name":"Time of Event (Mountain Time)","value":"17:51:56"},{"id":151,"name":"Denver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3"/>
      <c r="AK121" s="231"/>
      <c r="AL121" s="231"/>
      <c r="AM121" s="240" t="str">
        <f t="shared" si="44"/>
        <v>start /low /b %USERPROFILE%\Documents\GitHub\eaglep3\Utilities\DownloadLogsFromS3.py --loco 4060 --day 2017-12-07</v>
      </c>
      <c r="AN121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00:51:56"},{"id":29,"name":"Sharepoint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46"/>
        <v>https://d0f6bd738d7f1b3e5a7ca70fe4ff75f0.us-east-1.aws.found.io/app/kibana#/discover/Steve-Slow-Train-Analysis-(2080s-and-2083s)?_g=(refreshInterval:(display:Off,pause:!f,section:0,value:0),time:(from:'2017-12-07T16:08:45-0700',mode:absolute,to:'2017-12-07T18:51:56-0700'))&amp;_a=(columns:!('Message%20ID',Summary),filters:!(),index:'emp_*',interval:auto,query:(query_string:(analyze_wildcard:!t,query:'%22rtdc.l.rtdc.4060%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25">
      <c r="A122" s="229" t="s">
        <v>870</v>
      </c>
      <c r="B122" s="225">
        <v>4059</v>
      </c>
      <c r="C122" s="227" t="s">
        <v>192</v>
      </c>
      <c r="D122" s="227" t="s">
        <v>647</v>
      </c>
      <c r="E122" s="226">
        <v>43076.75204861111</v>
      </c>
      <c r="F122" s="226">
        <v>43076.75854166667</v>
      </c>
      <c r="G122" s="225">
        <v>50</v>
      </c>
      <c r="H122" s="227" t="s">
        <v>510</v>
      </c>
      <c r="I122" s="226">
        <v>43076.784756944442</v>
      </c>
      <c r="J122" s="225">
        <v>1</v>
      </c>
      <c r="K122" s="237" t="str">
        <f t="shared" si="29"/>
        <v>4059/4060</v>
      </c>
      <c r="L122" s="245" t="str">
        <f>VLOOKUP(A122,'Trips&amp;Operators'!$C$1:$G$99911,5,FALSE)</f>
        <v>ROBINSON KADDIBA</v>
      </c>
      <c r="M122" s="224">
        <f t="shared" si="30"/>
        <v>2.6215277772280388E-2</v>
      </c>
      <c r="N122" s="225">
        <f t="shared" si="53"/>
        <v>37.749999992083758</v>
      </c>
      <c r="O122" s="225"/>
      <c r="P122" s="225"/>
      <c r="Q122" s="228"/>
      <c r="R122" s="242"/>
      <c r="S122" s="249">
        <f t="shared" si="50"/>
        <v>1</v>
      </c>
      <c r="T122" s="242" t="str">
        <f t="shared" si="32"/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 t="shared" si="33"/>
        <v>https://d0f6bd738d7f1b3e5a7ca70fe4ff75f0.us-east-1.aws.found.io/app/kibana#/discover/Steve-Slow-Train-Analysis-(2080s-and-2083s)?_g=(refreshInterval:(display:Off,pause:!f,section:0,value:0),time:(from:'2017-12-07T17:02:57-0700',mode:absolute,to:'2017-12-07T19:50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2" s="247" t="str">
        <f>IF(AA122&lt;VLOOKUP(AG122,Variables!$AC$3:$AD$8,2,FALSE),"Y","N")</f>
        <v>N</v>
      </c>
      <c r="X122" s="247">
        <f t="shared" si="49"/>
        <v>1</v>
      </c>
      <c r="Y122" s="247">
        <f t="shared" si="51"/>
        <v>23.290199999999999</v>
      </c>
      <c r="Z122" s="247">
        <f t="shared" si="52"/>
        <v>2.29E-2</v>
      </c>
      <c r="AA122" s="247">
        <f t="shared" si="37"/>
        <v>23.267299999999999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38"/>
        <v>210</v>
      </c>
      <c r="AE122" s="235" t="str">
        <f t="shared" si="39"/>
        <v>aws s3 cp s3://rtdc.mdm.uploadarchive.raw/RTDC4059/ "%USERPROFILE%\AppData\Local\Temp\OnboardLogs"\RTDC4059\2017-12-07 --exclude "*" --recursive --include "*20171207*" &amp; "%USERPROFILE%\Documents\GitHub\mrs-test-scripts\Headless Mode &amp; Sideloading\WalkAndUnGZ.bat" "%USERPROFILE%\AppData\Local\Temp\OnboardLogs"\RTDC4059\2017-12-07 &amp; aws s3 cp s3://rtdc.mdm.uploadarchive.raw/RTDC4059/ "%USERPROFILE%\AppData\Local\Temp\OnboardLogs"\RTDC4059\2017-12-08 --exclude "*" --recursive --include "*20171208*" &amp; "%USERPROFILE%\Documents\GitHub\mrs-test-scripts\Headless Mode &amp; Sideloading\WalkAndUnGZ.bat" "%USERPROFILE%\AppData\Local\Temp\OnboardLogs"\RTDC4059\2017-12-08</v>
      </c>
      <c r="AF122" s="234" t="str">
        <f t="shared" si="40"/>
        <v>"C:\Program Files (x86)\AstroGrep\AstroGrep.exe" /e /r /s /spath="%USERPROFILE%\AppData\Local\Temp\OnboardLogs" /stypes="app*4059*20171208*" /stext=" 01:.+((SYSTEM_STATE.+slice.+state.+changed )|(ment ac)|(multiple cpu faults)|(system.+state.+changed )|(\[timeout)|(PRM\|1\|D)|(kpr)|(kdp)|(train st.+moving)|(\|lc)|(penalty))"</v>
      </c>
      <c r="AG122" s="244" t="str">
        <f t="shared" si="41"/>
        <v>EC</v>
      </c>
      <c r="AH122" s="236" t="str">
        <f t="shared" si="42"/>
        <v>"%USERPROFILE%\Documents\GitHub\eaglep3\Utilities\RefineRTDCRunTimes.py" --tripid 210-07 --locoid 4059 --swversion DE.1.0.9.0 --startMP 204:232902 --initTime 2017-12-07T18:02:57 --startdatetime 2017-12-07T18:12:18 --delay 50 --endMP 204:229 --enddatetime 2017-12-07T18:50:03 --enforcementcount 1 &gt;&gt;%USERPROFILE%\Documents\GitHub\eaglep3-reporting\EC\2017-12-07-refined-times.txt</v>
      </c>
      <c r="AI122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{"issue":{"subject":"","project_id":79,"tracker_id":40,"status_id":1,"priority_id":2,"assigned_to_id":338,"start_date":"2017-12-07","description":"","custom_fields":[{"id":1,"name":"Subdivision","value":"EC"},{"id":4,"name":"Milepost","value":"0.0229"},{"id":17,"name":"Train ID","value":"210-07"},{"id":16,"name":"Locomotive ID","value":"4059"},{"id":130,"name":"Impact","value":""},{"id":150,"name":"Time of Event (Mountain Time)","value":"18:50:03"},{"id":151,"name":"Denver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44"/>
        <v>start /low /b %USERPROFILE%\Documents\GitHub\eaglep3\Utilities\DownloadLogsFromS3.py --loco 4059 --day 2017-12-07</v>
      </c>
      <c r="AN122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01:50:03"},{"id":29,"name":"Sharepoint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46"/>
        <v>https://d0f6bd738d7f1b3e5a7ca70fe4ff75f0.us-east-1.aws.found.io/app/kibana#/discover/Steve-Slow-Train-Analysis-(2080s-and-2083s)?_g=(refreshInterval:(display:Off,pause:!f,section:0,value:0),time:(from:'2017-12-07T17:02:57-0700',mode:absolute,to:'2017-12-07T19:50:03-0700'))&amp;_a=(columns:!('Message%20ID',Summary),filters:!(),index:'emp_*',interval:auto,query:(query_string:(analyze_wildcard:!t,query:'%22rtdc.l.rtdc.4059%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25">
      <c r="A123" s="229" t="s">
        <v>861</v>
      </c>
      <c r="B123" s="225">
        <v>4014</v>
      </c>
      <c r="C123" s="227" t="s">
        <v>192</v>
      </c>
      <c r="D123" s="227" t="s">
        <v>996</v>
      </c>
      <c r="E123" s="226">
        <v>43076.725810185184</v>
      </c>
      <c r="F123" s="226">
        <v>43076.72960648148</v>
      </c>
      <c r="G123" s="225">
        <v>72</v>
      </c>
      <c r="H123" s="227" t="s">
        <v>1001</v>
      </c>
      <c r="I123" s="226">
        <v>43076.755335648151</v>
      </c>
      <c r="J123" s="225">
        <v>1</v>
      </c>
      <c r="K123" s="237" t="str">
        <f t="shared" si="29"/>
        <v>4013/4014</v>
      </c>
      <c r="L123" s="245" t="str">
        <f>VLOOKUP(A123,'Trips&amp;Operators'!$C$1:$G$99911,5,FALSE)</f>
        <v>LEVERE CRAIG</v>
      </c>
      <c r="M123" s="224">
        <f t="shared" si="30"/>
        <v>2.5729166671226267E-2</v>
      </c>
      <c r="N123" s="225">
        <f t="shared" si="53"/>
        <v>37.050000006565824</v>
      </c>
      <c r="O123" s="225"/>
      <c r="P123" s="225"/>
      <c r="Q123" s="228"/>
      <c r="R123" s="242"/>
      <c r="S123" s="249">
        <f t="shared" si="50"/>
        <v>1</v>
      </c>
      <c r="T123" s="242" t="str">
        <f t="shared" si="32"/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33"/>
        <v>https://d0f6bd738d7f1b3e5a7ca70fe4ff75f0.us-east-1.aws.found.io/app/kibana#/discover/Steve-Slow-Train-Analysis-(2080s-and-2083s)?_g=(refreshInterval:(display:Off,pause:!f,section:0,value:0),time:(from:'2017-12-07T16:25:10-0700',mode:absolute,to:'2017-12-07T19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3" s="247" t="str">
        <f>IF(AA123&lt;VLOOKUP(AG123,Variables!$AC$3:$AD$8,2,FALSE),"Y","N")</f>
        <v>N</v>
      </c>
      <c r="X123" s="247">
        <f t="shared" si="49"/>
        <v>1</v>
      </c>
      <c r="Y123" s="247">
        <f t="shared" si="51"/>
        <v>5.5300000000000002E-2</v>
      </c>
      <c r="Z123" s="247">
        <f t="shared" si="52"/>
        <v>23.322099999999999</v>
      </c>
      <c r="AA123" s="247">
        <f t="shared" si="37"/>
        <v>23.2668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 t="shared" si="38"/>
        <v>211</v>
      </c>
      <c r="AE123" s="235" t="str">
        <f t="shared" si="39"/>
        <v>aws s3 cp s3://rtdc.mdm.uploadarchive.raw/RTDC4014/ "%USERPROFILE%\AppData\Local\Temp\OnboardLogs"\RTDC4014\2017-12-07 --exclude "*" --recursive --include "*20171207*" &amp; "%USERPROFILE%\Documents\GitHub\mrs-test-scripts\Headless Mode &amp; Sideloading\WalkAndUnGZ.bat" "%USERPROFILE%\AppData\Local\Temp\OnboardLogs"\RTDC4014\2017-12-07 &amp; aws s3 cp s3://rtdc.mdm.uploadarchive.raw/RTDC4014/ "%USERPROFILE%\AppData\Local\Temp\OnboardLogs"\RTDC4014\2017-12-08 --exclude "*" --recursive --include "*20171208*" &amp; "%USERPROFILE%\Documents\GitHub\mrs-test-scripts\Headless Mode &amp; Sideloading\WalkAndUnGZ.bat" "%USERPROFILE%\AppData\Local\Temp\OnboardLogs"\RTDC4014\2017-12-08</v>
      </c>
      <c r="AF123" s="234" t="str">
        <f t="shared" si="40"/>
        <v>"C:\Program Files (x86)\AstroGrep\AstroGrep.exe" /e /r /s /spath="%USERPROFILE%\AppData\Local\Temp\OnboardLogs" /stypes="app*4014*20171208*" /stext=" 01:.+((SYSTEM_STATE.+slice.+state.+changed )|(ment ac)|(multiple cpu faults)|(system.+state.+changed )|(\[timeout)|(PRM\|1\|D)|(kpr)|(kdp)|(train st.+moving)|(\|lc)|(penalty))"</v>
      </c>
      <c r="AG123" s="244" t="str">
        <f t="shared" si="41"/>
        <v>EC</v>
      </c>
      <c r="AH123" s="236" t="str">
        <f t="shared" si="42"/>
        <v>"%USERPROFILE%\Documents\GitHub\eaglep3\Utilities\RefineRTDCRunTimes.py" --tripid 211-07 --locoid 4014 --swversion DE.1.0.9.0 --startMP 204:553 --initTime 2017-12-07T17:25:10 --startdatetime 2017-12-07T17:30:38 --delay 72 --endMP 204:233221 --enddatetime 2017-12-07T18:07:41 --enforcementcount 1 &gt;&gt;%USERPROFILE%\Documents\GitHub\eaglep3-reporting\EC\2017-12-07-refined-times.txt</v>
      </c>
      <c r="AI123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{"issue":{"subject":"","project_id":79,"tracker_id":40,"status_id":1,"priority_id":2,"assigned_to_id":338,"start_date":"2017-12-07","description":"","custom_fields":[{"id":1,"name":"Subdivision","value":"EC"},{"id":4,"name":"Milepost","value":"23.3221"},{"id":17,"name":"Train ID","value":"211-07"},{"id":16,"name":"Locomotive ID","value":"4014"},{"id":130,"name":"Impact","value":""},{"id":150,"name":"Time of Event (Mountain Time)","value":"18:07:41"},{"id":151,"name":"Denver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44"/>
        <v>start /low /b %USERPROFILE%\Documents\GitHub\eaglep3\Utilities\DownloadLogsFromS3.py --loco 4014 --day 2017-12-07</v>
      </c>
      <c r="AN123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01:07:41"},{"id":29,"name":"Sharepoint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46"/>
        <v>https://d0f6bd738d7f1b3e5a7ca70fe4ff75f0.us-east-1.aws.found.io/app/kibana#/discover/Steve-Slow-Train-Analysis-(2080s-and-2083s)?_g=(refreshInterval:(display:Off,pause:!f,section:0,value:0),time:(from:'2017-12-07T16:25:10-0700',mode:absolute,to:'2017-12-07T19:07:41-0700'))&amp;_a=(columns:!('Message%20ID',Summary),filters:!(),index:'emp_*',interval:auto,query:(query_string:(analyze_wildcard:!t,query:'%22rtdc.l.rtdc.4014%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229" t="s">
        <v>873</v>
      </c>
      <c r="B124" s="225">
        <v>4013</v>
      </c>
      <c r="C124" s="227" t="s">
        <v>192</v>
      </c>
      <c r="D124" s="227" t="s">
        <v>488</v>
      </c>
      <c r="E124" s="226">
        <v>43076.760682870372</v>
      </c>
      <c r="F124" s="226">
        <v>43076.768969907411</v>
      </c>
      <c r="G124" s="225">
        <v>96</v>
      </c>
      <c r="H124" s="227" t="s">
        <v>553</v>
      </c>
      <c r="I124" s="226">
        <v>43076.795497685183</v>
      </c>
      <c r="J124" s="225">
        <v>1</v>
      </c>
      <c r="K124" s="237" t="str">
        <f t="shared" si="29"/>
        <v>4013/4014</v>
      </c>
      <c r="L124" s="245" t="str">
        <f>VLOOKUP(A124,'Trips&amp;Operators'!$C$1:$G$99911,5,FALSE)</f>
        <v>LEVERE CRAIG</v>
      </c>
      <c r="M124" s="224">
        <f t="shared" si="30"/>
        <v>2.6527777772571426E-2</v>
      </c>
      <c r="N124" s="225">
        <f t="shared" si="53"/>
        <v>38.199999992502853</v>
      </c>
      <c r="O124" s="225"/>
      <c r="P124" s="225"/>
      <c r="Q124" s="228"/>
      <c r="R124" s="242"/>
      <c r="S124" s="249">
        <f t="shared" si="50"/>
        <v>1</v>
      </c>
      <c r="T124" s="242" t="str">
        <f t="shared" si="32"/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33"/>
        <v>https://d0f6bd738d7f1b3e5a7ca70fe4ff75f0.us-east-1.aws.found.io/app/kibana#/discover/Steve-Slow-Train-Analysis-(2080s-and-2083s)?_g=(refreshInterval:(display:Off,pause:!f,section:0,value:0),time:(from:'2017-12-07T17:15:23-0700',mode:absolute,to:'2017-12-07T20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4" s="247" t="str">
        <f>IF(AA124&lt;VLOOKUP(AG124,Variables!$AC$3:$AD$8,2,FALSE),"Y","N")</f>
        <v>N</v>
      </c>
      <c r="X124" s="247">
        <f t="shared" ref="X124:X155" si="54">VALUE(LEFT(AD124,4))-VALUE(LEFT(AD123,4))</f>
        <v>1</v>
      </c>
      <c r="Y124" s="247">
        <f t="shared" si="51"/>
        <v>23.290600000000001</v>
      </c>
      <c r="Z124" s="247">
        <f t="shared" si="52"/>
        <v>2.4299999999999999E-2</v>
      </c>
      <c r="AA124" s="247">
        <f t="shared" si="37"/>
        <v>23.266300000000001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38"/>
        <v>212</v>
      </c>
      <c r="AE124" s="235" t="str">
        <f t="shared" si="39"/>
        <v>aws s3 cp s3://rtdc.mdm.uploadarchive.raw/RTDC4013/ "%USERPROFILE%\AppData\Local\Temp\OnboardLogs"\RTDC4013\2017-12-07 --exclude "*" --recursive --include "*20171207*" &amp; "%USERPROFILE%\Documents\GitHub\mrs-test-scripts\Headless Mode &amp; Sideloading\WalkAndUnGZ.bat" "%USERPROFILE%\AppData\Local\Temp\OnboardLogs"\RTDC4013\2017-12-07 &amp; aws s3 cp s3://rtdc.mdm.uploadarchive.raw/RTDC4013/ "%USERPROFILE%\AppData\Local\Temp\OnboardLogs"\RTDC4013\2017-12-08 --exclude "*" --recursive --include "*20171208*" &amp; "%USERPROFILE%\Documents\GitHub\mrs-test-scripts\Headless Mode &amp; Sideloading\WalkAndUnGZ.bat" "%USERPROFILE%\AppData\Local\Temp\OnboardLogs"\RTDC4013\2017-12-08</v>
      </c>
      <c r="AF124" s="234" t="str">
        <f t="shared" si="40"/>
        <v>"C:\Program Files (x86)\AstroGrep\AstroGrep.exe" /e /r /s /spath="%USERPROFILE%\AppData\Local\Temp\OnboardLogs" /stypes="app*4013*20171208*" /stext=" 02:.+((SYSTEM_STATE.+slice.+state.+changed )|(ment ac)|(multiple cpu faults)|(system.+state.+changed )|(\[timeout)|(PRM\|1\|D)|(kpr)|(kdp)|(train st.+moving)|(\|lc)|(penalty))"</v>
      </c>
      <c r="AG124" s="244" t="str">
        <f t="shared" si="41"/>
        <v>EC</v>
      </c>
      <c r="AH124" s="236" t="str">
        <f t="shared" si="42"/>
        <v>"%USERPROFILE%\Documents\GitHub\eaglep3\Utilities\RefineRTDCRunTimes.py" --tripid 212-07 --locoid 4013 --swversion DE.1.0.9.0 --startMP 204:232906 --initTime 2017-12-07T18:15:23 --startdatetime 2017-12-07T18:27:19 --delay 96 --endMP 204:243 --enddatetime 2017-12-07T19:05:31 --enforcementcount 1 &gt;&gt;%USERPROFILE%\Documents\GitHub\eaglep3-reporting\EC\2017-12-07-refined-times.txt</v>
      </c>
      <c r="AI124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{"issue":{"subject":"","project_id":79,"tracker_id":40,"status_id":1,"priority_id":2,"assigned_to_id":338,"start_date":"2017-12-07","description":"","custom_fields":[{"id":1,"name":"Subdivision","value":"EC"},{"id":4,"name":"Milepost","value":"0.0243"},{"id":17,"name":"Train ID","value":"212-07"},{"id":16,"name":"Locomotive ID","value":"4013"},{"id":130,"name":"Impact","value":""},{"id":150,"name":"Time of Event (Mountain Time)","value":"19:05:31"},{"id":151,"name":"Denver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3"/>
      <c r="AK124" s="231"/>
      <c r="AL124" s="231"/>
      <c r="AM124" s="240" t="str">
        <f t="shared" si="44"/>
        <v>start /low /b %USERPROFILE%\Documents\GitHub\eaglep3\Utilities\DownloadLogsFromS3.py --loco 4013 --day 2017-12-07</v>
      </c>
      <c r="AN124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02:05:31"},{"id":29,"name":"Sharepoint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46"/>
        <v>https://d0f6bd738d7f1b3e5a7ca70fe4ff75f0.us-east-1.aws.found.io/app/kibana#/discover/Steve-Slow-Train-Analysis-(2080s-and-2083s)?_g=(refreshInterval:(display:Off,pause:!f,section:0,value:0),time:(from:'2017-12-07T17:15:23-0700',mode:absolute,to:'2017-12-07T20:05:31-0700'))&amp;_a=(columns:!('Message%20ID',Summary),filters:!(),index:'emp_*',interval:auto,query:(query_string:(analyze_wildcard:!t,query:'%22rtdc.l.rtdc.4013%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229" t="s">
        <v>866</v>
      </c>
      <c r="B125" s="225">
        <v>4056</v>
      </c>
      <c r="C125" s="227" t="s">
        <v>192</v>
      </c>
      <c r="D125" s="227" t="s">
        <v>1002</v>
      </c>
      <c r="E125" s="226">
        <v>43076.737696759257</v>
      </c>
      <c r="F125" s="226">
        <v>43076.74009259259</v>
      </c>
      <c r="G125" s="225">
        <v>135</v>
      </c>
      <c r="H125" s="227" t="s">
        <v>458</v>
      </c>
      <c r="I125" s="226">
        <v>43076.764490740738</v>
      </c>
      <c r="J125" s="225">
        <v>1</v>
      </c>
      <c r="K125" s="237" t="str">
        <f t="shared" si="29"/>
        <v>4055/4056</v>
      </c>
      <c r="L125" s="245" t="str">
        <f>VLOOKUP(A125,'Trips&amp;Operators'!$C$1:$G$99911,5,FALSE)</f>
        <v>LOZA FIDEL</v>
      </c>
      <c r="M125" s="224">
        <f t="shared" si="30"/>
        <v>2.4398148147156462E-2</v>
      </c>
      <c r="N125" s="225">
        <f t="shared" si="53"/>
        <v>35.133333331905305</v>
      </c>
      <c r="O125" s="225"/>
      <c r="P125" s="225"/>
      <c r="Q125" s="228"/>
      <c r="R125" s="242"/>
      <c r="S125" s="249">
        <f t="shared" si="50"/>
        <v>1</v>
      </c>
      <c r="T125" s="242" t="str">
        <f t="shared" si="32"/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33"/>
        <v>https://d0f6bd738d7f1b3e5a7ca70fe4ff75f0.us-east-1.aws.found.io/app/kibana#/discover/Steve-Slow-Train-Analysis-(2080s-and-2083s)?_g=(refreshInterval:(display:Off,pause:!f,section:0,value:0),time:(from:'2017-12-07T16:42:17-0700',mode:absolute,to:'2017-12-07T19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5" s="247" t="str">
        <f>IF(AA125&lt;VLOOKUP(AG125,Variables!$AC$3:$AD$8,2,FALSE),"Y","N")</f>
        <v>N</v>
      </c>
      <c r="X125" s="247">
        <f t="shared" si="54"/>
        <v>1</v>
      </c>
      <c r="Y125" s="247">
        <f t="shared" si="51"/>
        <v>5.8599999999999999E-2</v>
      </c>
      <c r="Z125" s="247">
        <f t="shared" si="52"/>
        <v>23.323</v>
      </c>
      <c r="AA125" s="247">
        <f t="shared" si="37"/>
        <v>23.264400000000002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38"/>
        <v>213</v>
      </c>
      <c r="AE125" s="235" t="str">
        <f t="shared" si="39"/>
        <v>aws s3 cp s3://rtdc.mdm.uploadarchive.raw/RTDC4056/ "%USERPROFILE%\AppData\Local\Temp\OnboardLogs"\RTDC4056\2017-12-07 --exclude "*" --recursive --include "*20171207*" &amp; "%USERPROFILE%\Documents\GitHub\mrs-test-scripts\Headless Mode &amp; Sideloading\WalkAndUnGZ.bat" "%USERPROFILE%\AppData\Local\Temp\OnboardLogs"\RTDC4056\2017-12-07 &amp; aws s3 cp s3://rtdc.mdm.uploadarchive.raw/RTDC4056/ "%USERPROFILE%\AppData\Local\Temp\OnboardLogs"\RTDC4056\2017-12-08 --exclude "*" --recursive --include "*20171208*" &amp; "%USERPROFILE%\Documents\GitHub\mrs-test-scripts\Headless Mode &amp; Sideloading\WalkAndUnGZ.bat" "%USERPROFILE%\AppData\Local\Temp\OnboardLogs"\RTDC4056\2017-12-08</v>
      </c>
      <c r="AF125" s="234" t="str">
        <f t="shared" si="40"/>
        <v>"C:\Program Files (x86)\AstroGrep\AstroGrep.exe" /e /r /s /spath="%USERPROFILE%\AppData\Local\Temp\OnboardLogs" /stypes="app*4056*20171208*" /stext=" 01:.+((SYSTEM_STATE.+slice.+state.+changed )|(ment ac)|(multiple cpu faults)|(system.+state.+changed )|(\[timeout)|(PRM\|1\|D)|(kpr)|(kdp)|(train st.+moving)|(\|lc)|(penalty))"</v>
      </c>
      <c r="AG125" s="244" t="str">
        <f t="shared" si="41"/>
        <v>EC</v>
      </c>
      <c r="AH125" s="236" t="str">
        <f t="shared" si="42"/>
        <v>"%USERPROFILE%\Documents\GitHub\eaglep3\Utilities\RefineRTDCRunTimes.py" --tripid 213-07 --locoid 4056 --swversion DE.1.0.9.0 --startMP 204:586 --initTime 2017-12-07T17:42:17 --startdatetime 2017-12-07T17:45:44 --delay 135 --endMP 204:233230 --enddatetime 2017-12-07T18:20:52 --enforcementcount 1 &gt;&gt;%USERPROFILE%\Documents\GitHub\eaglep3-reporting\EC\2017-12-07-refined-times.txt</v>
      </c>
      <c r="AI125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{"issue":{"subject":"","project_id":79,"tracker_id":40,"status_id":1,"priority_id":2,"assigned_to_id":338,"start_date":"2017-12-07","description":"","custom_fields":[{"id":1,"name":"Subdivision","value":"EC"},{"id":4,"name":"Milepost","value":"23.323"},{"id":17,"name":"Train ID","value":"213-07"},{"id":16,"name":"Locomotive ID","value":"4056"},{"id":130,"name":"Impact","value":""},{"id":150,"name":"Time of Event (Mountain Time)","value":"18:20:52"},{"id":151,"name":"Denver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3"/>
      <c r="AK125" s="231"/>
      <c r="AL125" s="231"/>
      <c r="AM125" s="240" t="str">
        <f t="shared" si="44"/>
        <v>start /low /b %USERPROFILE%\Documents\GitHub\eaglep3\Utilities\DownloadLogsFromS3.py --loco 4056 --day 2017-12-07</v>
      </c>
      <c r="AN125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01:20:52"},{"id":29,"name":"Sharepoint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46"/>
        <v>https://d0f6bd738d7f1b3e5a7ca70fe4ff75f0.us-east-1.aws.found.io/app/kibana#/discover/Steve-Slow-Train-Analysis-(2080s-and-2083s)?_g=(refreshInterval:(display:Off,pause:!f,section:0,value:0),time:(from:'2017-12-07T16:42:17-0700',mode:absolute,to:'2017-12-07T19:20:52-0700'))&amp;_a=(columns:!('Message%20ID',Summary),filters:!(),index:'emp_*',interval:auto,query:(query_string:(analyze_wildcard:!t,query:'%22rtdc.l.rtdc.4056%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29" t="s">
        <v>876</v>
      </c>
      <c r="B126" s="225">
        <v>4055</v>
      </c>
      <c r="C126" s="227" t="s">
        <v>192</v>
      </c>
      <c r="D126" s="227" t="s">
        <v>1003</v>
      </c>
      <c r="E126" s="226">
        <v>43076.776770833334</v>
      </c>
      <c r="F126" s="226">
        <v>43076.779374999998</v>
      </c>
      <c r="G126" s="225">
        <v>136</v>
      </c>
      <c r="H126" s="227" t="s">
        <v>1004</v>
      </c>
      <c r="I126" s="226">
        <v>43076.804340277777</v>
      </c>
      <c r="J126" s="225">
        <v>1</v>
      </c>
      <c r="K126" s="237" t="str">
        <f t="shared" si="29"/>
        <v>4055/4056</v>
      </c>
      <c r="L126" s="245" t="str">
        <f>VLOOKUP(A126,'Trips&amp;Operators'!$C$1:$G$99911,5,FALSE)</f>
        <v>LOZA FIDEL</v>
      </c>
      <c r="M126" s="224">
        <f t="shared" si="30"/>
        <v>2.4965277778392192E-2</v>
      </c>
      <c r="N126" s="225">
        <f t="shared" si="53"/>
        <v>35.950000000884756</v>
      </c>
      <c r="O126" s="225"/>
      <c r="P126" s="225"/>
      <c r="Q126" s="228"/>
      <c r="R126" s="242"/>
      <c r="S126" s="249">
        <f t="shared" si="50"/>
        <v>1</v>
      </c>
      <c r="T126" s="242" t="str">
        <f t="shared" si="32"/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33"/>
        <v>https://d0f6bd738d7f1b3e5a7ca70fe4ff75f0.us-east-1.aws.found.io/app/kibana#/discover/Steve-Slow-Train-Analysis-(2080s-and-2083s)?_g=(refreshInterval:(display:Off,pause:!f,section:0,value:0),time:(from:'2017-12-07T17:38:33-0700',mode:absolute,to:'2017-12-07T20:18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6" s="247" t="str">
        <f>IF(AA126&lt;VLOOKUP(AG126,Variables!$AC$3:$AD$8,2,FALSE),"Y","N")</f>
        <v>N</v>
      </c>
      <c r="X126" s="247">
        <f t="shared" si="54"/>
        <v>1</v>
      </c>
      <c r="Y126" s="247">
        <f t="shared" si="51"/>
        <v>23.293600000000001</v>
      </c>
      <c r="Z126" s="247">
        <f t="shared" si="52"/>
        <v>2.01E-2</v>
      </c>
      <c r="AA126" s="247">
        <f t="shared" si="37"/>
        <v>23.273500000000002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38"/>
        <v>214</v>
      </c>
      <c r="AE126" s="235" t="str">
        <f t="shared" si="39"/>
        <v>aws s3 cp s3://rtdc.mdm.uploadarchive.raw/RTDC4055/ "%USERPROFILE%\AppData\Local\Temp\OnboardLogs"\RTDC4055\2017-12-07 --exclude "*" --recursive --include "*20171207*" &amp; "%USERPROFILE%\Documents\GitHub\mrs-test-scripts\Headless Mode &amp; Sideloading\WalkAndUnGZ.bat" "%USERPROFILE%\AppData\Local\Temp\OnboardLogs"\RTDC4055\2017-12-07 &amp; aws s3 cp s3://rtdc.mdm.uploadarchive.raw/RTDC4055/ "%USERPROFILE%\AppData\Local\Temp\OnboardLogs"\RTDC4055\2017-12-08 --exclude "*" --recursive --include "*20171208*" &amp; "%USERPROFILE%\Documents\GitHub\mrs-test-scripts\Headless Mode &amp; Sideloading\WalkAndUnGZ.bat" "%USERPROFILE%\AppData\Local\Temp\OnboardLogs"\RTDC4055\2017-12-08</v>
      </c>
      <c r="AF126" s="234" t="str">
        <f t="shared" si="40"/>
        <v>"C:\Program Files (x86)\AstroGrep\AstroGrep.exe" /e /r /s /spath="%USERPROFILE%\AppData\Local\Temp\OnboardLogs" /stypes="app*4055*20171208*" /stext=" 02:.+((SYSTEM_STATE.+slice.+state.+changed )|(ment ac)|(multiple cpu faults)|(system.+state.+changed )|(\[timeout)|(PRM\|1\|D)|(kpr)|(kdp)|(train st.+moving)|(\|lc)|(penalty))"</v>
      </c>
      <c r="AG126" s="244" t="str">
        <f t="shared" si="41"/>
        <v>EC</v>
      </c>
      <c r="AH126" s="236" t="str">
        <f t="shared" si="42"/>
        <v>"%USERPROFILE%\Documents\GitHub\eaglep3\Utilities\RefineRTDCRunTimes.py" --tripid 214-07 --locoid 4055 --swversion DE.1.0.9.0 --startMP 204:232936 --initTime 2017-12-07T18:38:33 --startdatetime 2017-12-07T18:42:18 --delay 136 --endMP 204:201 --enddatetime 2017-12-07T19:18:15 --enforcementcount 1 &gt;&gt;%USERPROFILE%\Documents\GitHub\eaglep3-reporting\EC\2017-12-07-refined-times.txt</v>
      </c>
      <c r="AI126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{"issue":{"subject":"","project_id":79,"tracker_id":40,"status_id":1,"priority_id":2,"assigned_to_id":338,"start_date":"2017-12-07","description":"","custom_fields":[{"id":1,"name":"Subdivision","value":"EC"},{"id":4,"name":"Milepost","value":"0.0201"},{"id":17,"name":"Train ID","value":"214-07"},{"id":16,"name":"Locomotive ID","value":"4055"},{"id":130,"name":"Impact","value":""},{"id":150,"name":"Time of Event (Mountain Time)","value":"19:18:15"},{"id":151,"name":"Denver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44"/>
        <v>start /low /b %USERPROFILE%\Documents\GitHub\eaglep3\Utilities\DownloadLogsFromS3.py --loco 4055 --day 2017-12-07</v>
      </c>
      <c r="AN126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02:18:15"},{"id":29,"name":"Sharepoint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46"/>
        <v>https://d0f6bd738d7f1b3e5a7ca70fe4ff75f0.us-east-1.aws.found.io/app/kibana#/discover/Steve-Slow-Train-Analysis-(2080s-and-2083s)?_g=(refreshInterval:(display:Off,pause:!f,section:0,value:0),time:(from:'2017-12-07T17:38:33-0700',mode:absolute,to:'2017-12-07T20:18:15-0700'))&amp;_a=(columns:!('Message%20ID',Summary),filters:!(),index:'emp_*',interval:auto,query:(query_string:(analyze_wildcard:!t,query:'%22rtdc.l.rtdc.4055%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29" t="s">
        <v>868</v>
      </c>
      <c r="B127" s="225">
        <v>4028</v>
      </c>
      <c r="C127" s="227" t="s">
        <v>192</v>
      </c>
      <c r="D127" s="227" t="s">
        <v>415</v>
      </c>
      <c r="E127" s="226">
        <v>43076.74627314815</v>
      </c>
      <c r="F127" s="226">
        <v>43076.750324074077</v>
      </c>
      <c r="G127" s="225">
        <v>102</v>
      </c>
      <c r="H127" s="227" t="s">
        <v>951</v>
      </c>
      <c r="I127" s="226">
        <v>43076.774560185186</v>
      </c>
      <c r="J127" s="225">
        <v>1</v>
      </c>
      <c r="K127" s="237" t="str">
        <f t="shared" si="29"/>
        <v>4027/4028</v>
      </c>
      <c r="L127" s="245" t="str">
        <f>VLOOKUP(A127,'Trips&amp;Operators'!$C$1:$G$99911,5,FALSE)</f>
        <v>LONG FULLER</v>
      </c>
      <c r="M127" s="224">
        <f t="shared" si="30"/>
        <v>2.4236111108621117E-2</v>
      </c>
      <c r="N127" s="225">
        <f t="shared" si="53"/>
        <v>34.899999996414408</v>
      </c>
      <c r="O127" s="225"/>
      <c r="P127" s="225"/>
      <c r="Q127" s="228"/>
      <c r="R127" s="242"/>
      <c r="S127" s="249">
        <f t="shared" si="50"/>
        <v>1</v>
      </c>
      <c r="T127" s="242" t="str">
        <f t="shared" si="32"/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33"/>
        <v>https://d0f6bd738d7f1b3e5a7ca70fe4ff75f0.us-east-1.aws.found.io/app/kibana#/discover/Steve-Slow-Train-Analysis-(2080s-and-2083s)?_g=(refreshInterval:(display:Off,pause:!f,section:0,value:0),time:(from:'2017-12-07T16:54:38-0700',mode:absolute,to:'2017-12-07T19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7" s="247" t="str">
        <f>IF(AA127&lt;VLOOKUP(AG127,Variables!$AC$3:$AD$8,2,FALSE),"Y","N")</f>
        <v>N</v>
      </c>
      <c r="X127" s="247">
        <f t="shared" si="54"/>
        <v>1</v>
      </c>
      <c r="Y127" s="247">
        <f t="shared" si="51"/>
        <v>5.0799999999999998E-2</v>
      </c>
      <c r="Z127" s="247">
        <f t="shared" si="52"/>
        <v>23.322700000000001</v>
      </c>
      <c r="AA127" s="247">
        <f t="shared" si="37"/>
        <v>23.271900000000002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38"/>
        <v>215</v>
      </c>
      <c r="AE127" s="235" t="str">
        <f t="shared" si="39"/>
        <v>aws s3 cp s3://rtdc.mdm.uploadarchive.raw/RTDC4028/ "%USERPROFILE%\AppData\Local\Temp\OnboardLogs"\RTDC4028\2017-12-07 --exclude "*" --recursive --include "*20171207*" &amp; "%USERPROFILE%\Documents\GitHub\mrs-test-scripts\Headless Mode &amp; Sideloading\WalkAndUnGZ.bat" "%USERPROFILE%\AppData\Local\Temp\OnboardLogs"\RTDC4028\2017-12-07 &amp; aws s3 cp s3://rtdc.mdm.uploadarchive.raw/RTDC4028/ "%USERPROFILE%\AppData\Local\Temp\OnboardLogs"\RTDC4028\2017-12-08 --exclude "*" --recursive --include "*20171208*" &amp; "%USERPROFILE%\Documents\GitHub\mrs-test-scripts\Headless Mode &amp; Sideloading\WalkAndUnGZ.bat" "%USERPROFILE%\AppData\Local\Temp\OnboardLogs"\RTDC4028\2017-12-08</v>
      </c>
      <c r="AF127" s="234" t="str">
        <f t="shared" si="40"/>
        <v>"C:\Program Files (x86)\AstroGrep\AstroGrep.exe" /e /r /s /spath="%USERPROFILE%\AppData\Local\Temp\OnboardLogs" /stypes="app*4028*20171208*" /stext=" 01:.+((SYSTEM_STATE.+slice.+state.+changed )|(ment ac)|(multiple cpu faults)|(system.+state.+changed )|(\[timeout)|(PRM\|1\|D)|(kpr)|(kdp)|(train st.+moving)|(\|lc)|(penalty))"</v>
      </c>
      <c r="AG127" s="244" t="str">
        <f t="shared" si="41"/>
        <v>EC</v>
      </c>
      <c r="AH127" s="236" t="str">
        <f t="shared" si="42"/>
        <v>"%USERPROFILE%\Documents\GitHub\eaglep3\Utilities\RefineRTDCRunTimes.py" --tripid 215-07 --locoid 4028 --swversion DE.1.0.9.0 --startMP 204:508 --initTime 2017-12-07T17:54:38 --startdatetime 2017-12-07T18:00:28 --delay 102 --endMP 204:233227 --enddatetime 2017-12-07T18:35:22 --enforcementcount 1 &gt;&gt;%USERPROFILE%\Documents\GitHub\eaglep3-reporting\EC\2017-12-07-refined-times.txt</v>
      </c>
      <c r="AI127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{"issue":{"subject":"","project_id":79,"tracker_id":40,"status_id":1,"priority_id":2,"assigned_to_id":338,"start_date":"2017-12-07","description":"","custom_fields":[{"id":1,"name":"Subdivision","value":"EC"},{"id":4,"name":"Milepost","value":"23.3227"},{"id":17,"name":"Train ID","value":"215-07"},{"id":16,"name":"Locomotive ID","value":"4028"},{"id":130,"name":"Impact","value":""},{"id":150,"name":"Time of Event (Mountain Time)","value":"18:35:22"},{"id":151,"name":"Denver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44"/>
        <v>start /low /b %USERPROFILE%\Documents\GitHub\eaglep3\Utilities\DownloadLogsFromS3.py --loco 4028 --day 2017-12-07</v>
      </c>
      <c r="AN127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01:35:22"},{"id":29,"name":"Sharepoint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46"/>
        <v>https://d0f6bd738d7f1b3e5a7ca70fe4ff75f0.us-east-1.aws.found.io/app/kibana#/discover/Steve-Slow-Train-Analysis-(2080s-and-2083s)?_g=(refreshInterval:(display:Off,pause:!f,section:0,value:0),time:(from:'2017-12-07T16:54:38-0700',mode:absolute,to:'2017-12-07T19:35:22-0700'))&amp;_a=(columns:!('Message%20ID',Summary),filters:!(),index:'emp_*',interval:auto,query:(query_string:(analyze_wildcard:!t,query:'%22rtdc.l.rtdc.4028%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3" customFormat="1" x14ac:dyDescent="0.25">
      <c r="A128" s="229" t="s">
        <v>703</v>
      </c>
      <c r="B128" s="225">
        <v>4027</v>
      </c>
      <c r="C128" s="227" t="s">
        <v>192</v>
      </c>
      <c r="D128" s="227" t="s">
        <v>1005</v>
      </c>
      <c r="E128" s="226">
        <v>43076.785601851851</v>
      </c>
      <c r="F128" s="226">
        <v>43076.789837962962</v>
      </c>
      <c r="G128" s="225">
        <v>64</v>
      </c>
      <c r="H128" s="227" t="s">
        <v>412</v>
      </c>
      <c r="I128" s="226">
        <v>43076.815243055556</v>
      </c>
      <c r="J128" s="225">
        <v>1</v>
      </c>
      <c r="K128" s="237" t="str">
        <f t="shared" si="29"/>
        <v>4027/4028</v>
      </c>
      <c r="L128" s="245" t="str">
        <f>VLOOKUP(A128,'Trips&amp;Operators'!$C$1:$G$99911,5,FALSE)</f>
        <v>LONG FULLER</v>
      </c>
      <c r="M128" s="224">
        <f t="shared" si="30"/>
        <v>2.5405092594155576E-2</v>
      </c>
      <c r="N128" s="225">
        <f t="shared" si="53"/>
        <v>36.58333333558403</v>
      </c>
      <c r="O128" s="225"/>
      <c r="P128" s="225"/>
      <c r="Q128" s="228"/>
      <c r="R128" s="242"/>
      <c r="S128" s="249">
        <f t="shared" si="50"/>
        <v>1</v>
      </c>
      <c r="T128" s="242" t="str">
        <f t="shared" si="32"/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33"/>
        <v>https://d0f6bd738d7f1b3e5a7ca70fe4ff75f0.us-east-1.aws.found.io/app/kibana#/discover/Steve-Slow-Train-Analysis-(2080s-and-2083s)?_g=(refreshInterval:(display:Off,pause:!f,section:0,value:0),time:(from:'2017-12-07T17:51:16-0700',mode:absolute,to:'2017-12-07T20:33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8" s="247" t="str">
        <f>IF(AA128&lt;VLOOKUP(AG128,Variables!$AC$3:$AD$8,2,FALSE),"Y","N")</f>
        <v>N</v>
      </c>
      <c r="X128" s="247">
        <f t="shared" si="54"/>
        <v>1</v>
      </c>
      <c r="Y128" s="247">
        <f t="shared" si="51"/>
        <v>23.29</v>
      </c>
      <c r="Z128" s="247">
        <f t="shared" si="52"/>
        <v>2.12E-2</v>
      </c>
      <c r="AA128" s="247">
        <f t="shared" si="37"/>
        <v>23.268799999999999</v>
      </c>
      <c r="AB128" s="233" t="str">
        <f>VLOOKUP(A128,Enforcements!$C$7:$K$9,8,0)</f>
        <v>Bulletin (2)</v>
      </c>
      <c r="AC128" s="232" t="str">
        <f>VLOOKUP(A128,Enforcements!$C$7:$E$9,3,0)</f>
        <v>GRADE CROSSING</v>
      </c>
      <c r="AD128" s="243">
        <f t="shared" si="38"/>
        <v>216</v>
      </c>
      <c r="AE128" s="235" t="str">
        <f t="shared" si="39"/>
        <v>aws s3 cp s3://rtdc.mdm.uploadarchive.raw/RTDC4027/ "%USERPROFILE%\AppData\Local\Temp\OnboardLogs"\RTDC4027\2017-12-07 --exclude "*" --recursive --include "*20171207*" &amp; "%USERPROFILE%\Documents\GitHub\mrs-test-scripts\Headless Mode &amp; Sideloading\WalkAndUnGZ.bat" "%USERPROFILE%\AppData\Local\Temp\OnboardLogs"\RTDC4027\2017-12-07 &amp; aws s3 cp s3://rtdc.mdm.uploadarchive.raw/RTDC4027/ "%USERPROFILE%\AppData\Local\Temp\OnboardLogs"\RTDC4027\2017-12-08 --exclude "*" --recursive --include "*20171208*" &amp; "%USERPROFILE%\Documents\GitHub\mrs-test-scripts\Headless Mode &amp; Sideloading\WalkAndUnGZ.bat" "%USERPROFILE%\AppData\Local\Temp\OnboardLogs"\RTDC4027\2017-12-08</v>
      </c>
      <c r="AF128" s="234" t="str">
        <f t="shared" si="40"/>
        <v>"C:\Program Files (x86)\AstroGrep\AstroGrep.exe" /e /r /s /spath="%USERPROFILE%\AppData\Local\Temp\OnboardLogs" /stypes="app*4027*20171208*" /stext=" 02:.+((SYSTEM_STATE.+slice.+state.+changed )|(ment ac)|(multiple cpu faults)|(system.+state.+changed )|(\[timeout)|(PRM\|1\|D)|(kpr)|(kdp)|(train st.+moving)|(\|lc)|(penalty))"</v>
      </c>
      <c r="AG128" s="244" t="str">
        <f t="shared" si="41"/>
        <v>EC</v>
      </c>
      <c r="AH128" s="236" t="str">
        <f t="shared" si="42"/>
        <v>"%USERPROFILE%\Documents\GitHub\eaglep3\Utilities\RefineRTDCRunTimes.py" --tripid 216-07 --locoid 4027 --swversion DE.1.0.9.0 --startMP 204:232900 --initTime 2017-12-07T18:51:16 --startdatetime 2017-12-07T18:57:22 --delay 64 --endMP 204:212 --enddatetime 2017-12-07T19:33:57 --enforcementcount 1 &gt;&gt;%USERPROFILE%\Documents\GitHub\eaglep3-reporting\EC\2017-12-07-refined-times.txt</v>
      </c>
      <c r="AI128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{"issue":{"subject":"","project_id":79,"tracker_id":40,"status_id":1,"priority_id":2,"assigned_to_id":338,"start_date":"2017-12-07","description":"","custom_fields":[{"id":1,"name":"Subdivision","value":"EC"},{"id":4,"name":"Milepost","value":"0.0212"},{"id":17,"name":"Train ID","value":"216-07"},{"id":16,"name":"Locomotive ID","value":"4027"},{"id":130,"name":"Impact","value":""},{"id":150,"name":"Time of Event (Mountain Time)","value":"19:33:57"},{"id":151,"name":"Denver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1"/>
      <c r="AL128" s="231"/>
      <c r="AM128" s="240" t="str">
        <f t="shared" si="44"/>
        <v>start /low /b %USERPROFILE%\Documents\GitHub\eaglep3\Utilities\DownloadLogsFromS3.py --loco 4027 --day 2017-12-07</v>
      </c>
      <c r="AN128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02:33:57"},{"id":29,"name":"Sharepoint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46"/>
        <v>https://d0f6bd738d7f1b3e5a7ca70fe4ff75f0.us-east-1.aws.found.io/app/kibana#/discover/Steve-Slow-Train-Analysis-(2080s-and-2083s)?_g=(refreshInterval:(display:Off,pause:!f,section:0,value:0),time:(from:'2017-12-07T17:51:16-0700',mode:absolute,to:'2017-12-07T20:33:57-0700'))&amp;_a=(columns:!('Message%20ID',Summary),filters:!(),index:'emp_*',interval:auto,query:(query_string:(analyze_wildcard:!t,query:'%22rtdc.l.rtdc.4027%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229" t="s">
        <v>872</v>
      </c>
      <c r="B129" s="225">
        <v>4036</v>
      </c>
      <c r="C129" s="227" t="s">
        <v>192</v>
      </c>
      <c r="D129" s="227" t="s">
        <v>551</v>
      </c>
      <c r="E129" s="226">
        <v>43076.755162037036</v>
      </c>
      <c r="F129" s="226">
        <v>43076.760578703703</v>
      </c>
      <c r="G129" s="225">
        <v>130</v>
      </c>
      <c r="H129" s="227" t="s">
        <v>967</v>
      </c>
      <c r="I129" s="226">
        <v>43076.785219907404</v>
      </c>
      <c r="J129" s="225">
        <v>1</v>
      </c>
      <c r="K129" s="237" t="str">
        <f t="shared" si="29"/>
        <v>4035/4036</v>
      </c>
      <c r="L129" s="245" t="str">
        <f>VLOOKUP(A129,'Trips&amp;Operators'!$C$1:$G$99911,5,FALSE)</f>
        <v>ELBAUM MIKE</v>
      </c>
      <c r="M129" s="224">
        <f t="shared" si="30"/>
        <v>2.4641203701321501E-2</v>
      </c>
      <c r="N129" s="225">
        <f t="shared" si="53"/>
        <v>35.483333329902962</v>
      </c>
      <c r="O129" s="225"/>
      <c r="P129" s="225"/>
      <c r="Q129" s="228"/>
      <c r="R129" s="242"/>
      <c r="S129" s="249">
        <f t="shared" si="50"/>
        <v>1</v>
      </c>
      <c r="T129" s="242" t="str">
        <f t="shared" si="32"/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33"/>
        <v>https://d0f6bd738d7f1b3e5a7ca70fe4ff75f0.us-east-1.aws.found.io/app/kibana#/discover/Steve-Slow-Train-Analysis-(2080s-and-2083s)?_g=(refreshInterval:(display:Off,pause:!f,section:0,value:0),time:(from:'2017-12-07T17:07:26-0700',mode:absolute,to:'2017-12-07T19:50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29" s="247" t="str">
        <f>IF(AA129&lt;VLOOKUP(AG129,Variables!$AC$3:$AD$8,2,FALSE),"Y","N")</f>
        <v>N</v>
      </c>
      <c r="X129" s="247">
        <f t="shared" si="54"/>
        <v>1</v>
      </c>
      <c r="Y129" s="247">
        <f t="shared" si="51"/>
        <v>5.6000000000000001E-2</v>
      </c>
      <c r="Z129" s="247">
        <f t="shared" si="52"/>
        <v>23.3247</v>
      </c>
      <c r="AA129" s="247">
        <f t="shared" si="37"/>
        <v>23.268699999999999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38"/>
        <v>217</v>
      </c>
      <c r="AE129" s="235" t="str">
        <f t="shared" si="39"/>
        <v>aws s3 cp s3://rtdc.mdm.uploadarchive.raw/RTDC4036/ "%USERPROFILE%\AppData\Local\Temp\OnboardLogs"\RTDC4036\2017-12-07 --exclude "*" --recursive --include "*20171207*" &amp; "%USERPROFILE%\Documents\GitHub\mrs-test-scripts\Headless Mode &amp; Sideloading\WalkAndUnGZ.bat" "%USERPROFILE%\AppData\Local\Temp\OnboardLogs"\RTDC4036\2017-12-07 &amp; aws s3 cp s3://rtdc.mdm.uploadarchive.raw/RTDC4036/ "%USERPROFILE%\AppData\Local\Temp\OnboardLogs"\RTDC4036\2017-12-08 --exclude "*" --recursive --include "*20171208*" &amp; "%USERPROFILE%\Documents\GitHub\mrs-test-scripts\Headless Mode &amp; Sideloading\WalkAndUnGZ.bat" "%USERPROFILE%\AppData\Local\Temp\OnboardLogs"\RTDC4036\2017-12-08</v>
      </c>
      <c r="AF129" s="234" t="str">
        <f t="shared" si="40"/>
        <v>"C:\Program Files (x86)\AstroGrep\AstroGrep.exe" /e /r /s /spath="%USERPROFILE%\AppData\Local\Temp\OnboardLogs" /stypes="app*4036*20171208*" /stext=" 01:.+((SYSTEM_STATE.+slice.+state.+changed )|(ment ac)|(multiple cpu faults)|(system.+state.+changed )|(\[timeout)|(PRM\|1\|D)|(kpr)|(kdp)|(train st.+moving)|(\|lc)|(penalty))"</v>
      </c>
      <c r="AG129" s="244" t="str">
        <f t="shared" si="41"/>
        <v>EC</v>
      </c>
      <c r="AH129" s="236" t="str">
        <f t="shared" si="42"/>
        <v>"%USERPROFILE%\Documents\GitHub\eaglep3\Utilities\RefineRTDCRunTimes.py" --tripid 217-07 --locoid 4036 --swversion DE.1.0.9.0 --startMP 204:560 --initTime 2017-12-07T18:07:26 --startdatetime 2017-12-07T18:15:14 --delay 130 --endMP 204:233247 --enddatetime 2017-12-07T18:50:43 --enforcementcount 1 &gt;&gt;%USERPROFILE%\Documents\GitHub\eaglep3-reporting\EC\2017-12-07-refined-times.txt</v>
      </c>
      <c r="AI129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{"issue":{"subject":"","project_id":79,"tracker_id":40,"status_id":1,"priority_id":2,"assigned_to_id":338,"start_date":"2017-12-07","description":"","custom_fields":[{"id":1,"name":"Subdivision","value":"EC"},{"id":4,"name":"Milepost","value":"23.3247"},{"id":17,"name":"Train ID","value":"217-07"},{"id":16,"name":"Locomotive ID","value":"4036"},{"id":130,"name":"Impact","value":""},{"id":150,"name":"Time of Event (Mountain Time)","value":"18:50:43"},{"id":151,"name":"Denver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3"/>
      <c r="AK129" s="231"/>
      <c r="AL129" s="231"/>
      <c r="AM129" s="240" t="str">
        <f t="shared" si="44"/>
        <v>start /low /b %USERPROFILE%\Documents\GitHub\eaglep3\Utilities\DownloadLogsFromS3.py --loco 4036 --day 2017-12-07</v>
      </c>
      <c r="AN129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01:50:43"},{"id":29,"name":"Sharepoint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46"/>
        <v>https://d0f6bd738d7f1b3e5a7ca70fe4ff75f0.us-east-1.aws.found.io/app/kibana#/discover/Steve-Slow-Train-Analysis-(2080s-and-2083s)?_g=(refreshInterval:(display:Off,pause:!f,section:0,value:0),time:(from:'2017-12-07T17:07:26-0700',mode:absolute,to:'2017-12-07T19:50:43-0700'))&amp;_a=(columns:!('Message%20ID',Summary),filters:!(),index:'emp_*',interval:auto,query:(query_string:(analyze_wildcard:!t,query:'%22rtdc.l.rtdc.4036%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25">
      <c r="A130" s="229" t="s">
        <v>877</v>
      </c>
      <c r="B130" s="225">
        <v>4035</v>
      </c>
      <c r="C130" s="227" t="s">
        <v>192</v>
      </c>
      <c r="D130" s="227" t="s">
        <v>416</v>
      </c>
      <c r="E130" s="226">
        <v>43076.786944444444</v>
      </c>
      <c r="F130" s="226">
        <v>43076.800115740742</v>
      </c>
      <c r="G130" s="225">
        <v>59</v>
      </c>
      <c r="H130" s="227" t="s">
        <v>621</v>
      </c>
      <c r="I130" s="226">
        <v>43076.827349537038</v>
      </c>
      <c r="J130" s="225">
        <v>1</v>
      </c>
      <c r="K130" s="237" t="str">
        <f t="shared" si="29"/>
        <v>4035/4036</v>
      </c>
      <c r="L130" s="245" t="str">
        <f>VLOOKUP(A130,'Trips&amp;Operators'!$C$1:$G$99911,5,FALSE)</f>
        <v>ELBAUM MIKE</v>
      </c>
      <c r="M130" s="224">
        <f t="shared" si="30"/>
        <v>2.7233796296059154E-2</v>
      </c>
      <c r="N130" s="225">
        <f t="shared" si="53"/>
        <v>39.216666666325182</v>
      </c>
      <c r="O130" s="225"/>
      <c r="P130" s="225"/>
      <c r="Q130" s="228"/>
      <c r="R130" s="242"/>
      <c r="S130" s="249">
        <f t="shared" si="50"/>
        <v>1</v>
      </c>
      <c r="T130" s="242" t="str">
        <f t="shared" si="32"/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33"/>
        <v>https://d0f6bd738d7f1b3e5a7ca70fe4ff75f0.us-east-1.aws.found.io/app/kibana#/discover/Steve-Slow-Train-Analysis-(2080s-and-2083s)?_g=(refreshInterval:(display:Off,pause:!f,section:0,value:0),time:(from:'2017-12-07T17:53:12-0700',mode:absolute,to:'2017-12-07T20:51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0" s="247" t="str">
        <f>IF(AA130&lt;VLOOKUP(AG130,Variables!$AC$3:$AD$8,2,FALSE),"Y","N")</f>
        <v>N</v>
      </c>
      <c r="X130" s="247">
        <f t="shared" si="54"/>
        <v>1</v>
      </c>
      <c r="Y130" s="247">
        <f t="shared" si="51"/>
        <v>23.293199999999999</v>
      </c>
      <c r="Z130" s="247">
        <f t="shared" si="52"/>
        <v>2.5999999999999999E-2</v>
      </c>
      <c r="AA130" s="247">
        <f t="shared" si="37"/>
        <v>23.267199999999999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38"/>
        <v>218</v>
      </c>
      <c r="AE130" s="235" t="str">
        <f t="shared" si="39"/>
        <v>aws s3 cp s3://rtdc.mdm.uploadarchive.raw/RTDC4035/ "%USERPROFILE%\AppData\Local\Temp\OnboardLogs"\RTDC4035\2017-12-07 --exclude "*" --recursive --include "*20171207*" &amp; "%USERPROFILE%\Documents\GitHub\mrs-test-scripts\Headless Mode &amp; Sideloading\WalkAndUnGZ.bat" "%USERPROFILE%\AppData\Local\Temp\OnboardLogs"\RTDC4035\2017-12-07 &amp; aws s3 cp s3://rtdc.mdm.uploadarchive.raw/RTDC4035/ "%USERPROFILE%\AppData\Local\Temp\OnboardLogs"\RTDC4035\2017-12-08 --exclude "*" --recursive --include "*20171208*" &amp; "%USERPROFILE%\Documents\GitHub\mrs-test-scripts\Headless Mode &amp; Sideloading\WalkAndUnGZ.bat" "%USERPROFILE%\AppData\Local\Temp\OnboardLogs"\RTDC4035\2017-12-08</v>
      </c>
      <c r="AF130" s="234" t="str">
        <f t="shared" si="40"/>
        <v>"C:\Program Files (x86)\AstroGrep\AstroGrep.exe" /e /r /s /spath="%USERPROFILE%\AppData\Local\Temp\OnboardLogs" /stypes="app*4035*20171208*" /stext=" 02:.+((SYSTEM_STATE.+slice.+state.+changed )|(ment ac)|(multiple cpu faults)|(system.+state.+changed )|(\[timeout)|(PRM\|1\|D)|(kpr)|(kdp)|(train st.+moving)|(\|lc)|(penalty))"</v>
      </c>
      <c r="AG130" s="244" t="str">
        <f t="shared" si="41"/>
        <v>EC</v>
      </c>
      <c r="AH130" s="236" t="str">
        <f t="shared" si="42"/>
        <v>"%USERPROFILE%\Documents\GitHub\eaglep3\Utilities\RefineRTDCRunTimes.py" --tripid 218-07 --locoid 4035 --swversion DE.1.0.9.0 --startMP 204:232932 --initTime 2017-12-07T18:53:12 --startdatetime 2017-12-07T19:12:10 --delay 59 --endMP 204:260 --enddatetime 2017-12-07T19:51:23 --enforcementcount 1 &gt;&gt;%USERPROFILE%\Documents\GitHub\eaglep3-reporting\EC\2017-12-07-refined-times.txt</v>
      </c>
      <c r="AI130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{"issue":{"subject":"","project_id":79,"tracker_id":40,"status_id":1,"priority_id":2,"assigned_to_id":338,"start_date":"2017-12-07","description":"","custom_fields":[{"id":1,"name":"Subdivision","value":"EC"},{"id":4,"name":"Milepost","value":"0.026"},{"id":17,"name":"Train ID","value":"218-07"},{"id":16,"name":"Locomotive ID","value":"4035"},{"id":130,"name":"Impact","value":""},{"id":150,"name":"Time of Event (Mountain Time)","value":"19:51:23"},{"id":151,"name":"Denver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44"/>
        <v>start /low /b %USERPROFILE%\Documents\GitHub\eaglep3\Utilities\DownloadLogsFromS3.py --loco 4035 --day 2017-12-07</v>
      </c>
      <c r="AN130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02:51:23"},{"id":29,"name":"Sharepoint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46"/>
        <v>https://d0f6bd738d7f1b3e5a7ca70fe4ff75f0.us-east-1.aws.found.io/app/kibana#/discover/Steve-Slow-Train-Analysis-(2080s-and-2083s)?_g=(refreshInterval:(display:Off,pause:!f,section:0,value:0),time:(from:'2017-12-07T17:53:12-0700',mode:absolute,to:'2017-12-07T20:51:23-0700'))&amp;_a=(columns:!('Message%20ID',Summary),filters:!(),index:'emp_*',interval:auto,query:(query_string:(analyze_wildcard:!t,query:'%22rtdc.l.rtdc.4035%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3" customFormat="1" x14ac:dyDescent="0.25">
      <c r="A131" s="229" t="s">
        <v>875</v>
      </c>
      <c r="B131" s="225">
        <v>4058</v>
      </c>
      <c r="C131" s="227" t="s">
        <v>192</v>
      </c>
      <c r="D131" s="227" t="s">
        <v>476</v>
      </c>
      <c r="E131" s="226">
        <v>43076.767523148148</v>
      </c>
      <c r="F131" s="226">
        <v>43076.771249999998</v>
      </c>
      <c r="G131" s="225">
        <v>72</v>
      </c>
      <c r="H131" s="227" t="s">
        <v>477</v>
      </c>
      <c r="I131" s="226">
        <v>43076.796122685184</v>
      </c>
      <c r="J131" s="225">
        <v>1</v>
      </c>
      <c r="K131" s="237" t="str">
        <f t="shared" si="29"/>
        <v>4057/4058</v>
      </c>
      <c r="L131" s="245" t="str">
        <f>VLOOKUP(A131,'Trips&amp;Operators'!$C$1:$G$99911,5,FALSE)</f>
        <v>MOSES BRADLEY</v>
      </c>
      <c r="M131" s="224">
        <f t="shared" si="30"/>
        <v>2.4872685185982846E-2</v>
      </c>
      <c r="N131" s="225">
        <f t="shared" si="53"/>
        <v>35.816666667815298</v>
      </c>
      <c r="O131" s="225"/>
      <c r="P131" s="225"/>
      <c r="Q131" s="228"/>
      <c r="R131" s="242"/>
      <c r="S131" s="249">
        <f t="shared" si="50"/>
        <v>1</v>
      </c>
      <c r="T131" s="242" t="str">
        <f t="shared" si="32"/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33"/>
        <v>https://d0f6bd738d7f1b3e5a7ca70fe4ff75f0.us-east-1.aws.found.io/app/kibana#/discover/Steve-Slow-Train-Analysis-(2080s-and-2083s)?_g=(refreshInterval:(display:Off,pause:!f,section:0,value:0),time:(from:'2017-12-07T17:25:14-0700',mode:absolute,to:'2017-12-07T20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1" s="247" t="str">
        <f>IF(AA131&lt;VLOOKUP(AG131,Variables!$AC$3:$AD$8,2,FALSE),"Y","N")</f>
        <v>N</v>
      </c>
      <c r="X131" s="247">
        <f t="shared" si="54"/>
        <v>1</v>
      </c>
      <c r="Y131" s="247">
        <f t="shared" si="51"/>
        <v>5.1299999999999998E-2</v>
      </c>
      <c r="Z131" s="247">
        <f t="shared" si="52"/>
        <v>23.325500000000002</v>
      </c>
      <c r="AA131" s="247">
        <f t="shared" si="37"/>
        <v>23.2742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38"/>
        <v>219</v>
      </c>
      <c r="AE131" s="235" t="str">
        <f t="shared" si="39"/>
        <v>aws s3 cp s3://rtdc.mdm.uploadarchive.raw/RTDC4058/ "%USERPROFILE%\AppData\Local\Temp\OnboardLogs"\RTDC4058\2017-12-07 --exclude "*" --recursive --include "*20171207*" &amp; "%USERPROFILE%\Documents\GitHub\mrs-test-scripts\Headless Mode &amp; Sideloading\WalkAndUnGZ.bat" "%USERPROFILE%\AppData\Local\Temp\OnboardLogs"\RTDC4058\2017-12-07 &amp; aws s3 cp s3://rtdc.mdm.uploadarchive.raw/RTDC4058/ "%USERPROFILE%\AppData\Local\Temp\OnboardLogs"\RTDC4058\2017-12-08 --exclude "*" --recursive --include "*20171208*" &amp; "%USERPROFILE%\Documents\GitHub\mrs-test-scripts\Headless Mode &amp; Sideloading\WalkAndUnGZ.bat" "%USERPROFILE%\AppData\Local\Temp\OnboardLogs"\RTDC4058\2017-12-08</v>
      </c>
      <c r="AF131" s="234" t="str">
        <f t="shared" si="40"/>
        <v>"C:\Program Files (x86)\AstroGrep\AstroGrep.exe" /e /r /s /spath="%USERPROFILE%\AppData\Local\Temp\OnboardLogs" /stypes="app*4058*20171208*" /stext=" 02:.+((SYSTEM_STATE.+slice.+state.+changed )|(ment ac)|(multiple cpu faults)|(system.+state.+changed )|(\[timeout)|(PRM\|1\|D)|(kpr)|(kdp)|(train st.+moving)|(\|lc)|(penalty))"</v>
      </c>
      <c r="AG131" s="244" t="str">
        <f t="shared" si="41"/>
        <v>EC</v>
      </c>
      <c r="AH131" s="236" t="str">
        <f t="shared" si="42"/>
        <v>"%USERPROFILE%\Documents\GitHub\eaglep3\Utilities\RefineRTDCRunTimes.py" --tripid 219-07 --locoid 4058 --swversion DE.1.0.9.0 --startMP 204:513 --initTime 2017-12-07T18:25:14 --startdatetime 2017-12-07T18:30:36 --delay 72 --endMP 204:233255 --enddatetime 2017-12-07T19:06:25 --enforcementcount 1 &gt;&gt;%USERPROFILE%\Documents\GitHub\eaglep3-reporting\EC\2017-12-07-refined-times.txt</v>
      </c>
      <c r="AI131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{"issue":{"subject":"","project_id":79,"tracker_id":40,"status_id":1,"priority_id":2,"assigned_to_id":338,"start_date":"2017-12-07","description":"","custom_fields":[{"id":1,"name":"Subdivision","value":"EC"},{"id":4,"name":"Milepost","value":"23.3255"},{"id":17,"name":"Train ID","value":"219-07"},{"id":16,"name":"Locomotive ID","value":"4058"},{"id":130,"name":"Impact","value":""},{"id":150,"name":"Time of Event (Mountain Time)","value":"19:06:25"},{"id":151,"name":"Denver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1"/>
      <c r="AL131" s="231"/>
      <c r="AM131" s="240" t="str">
        <f t="shared" si="44"/>
        <v>start /low /b %USERPROFILE%\Documents\GitHub\eaglep3\Utilities\DownloadLogsFromS3.py --loco 4058 --day 2017-12-07</v>
      </c>
      <c r="AN131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02:06:25"},{"id":29,"name":"Sharepoint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46"/>
        <v>https://d0f6bd738d7f1b3e5a7ca70fe4ff75f0.us-east-1.aws.found.io/app/kibana#/discover/Steve-Slow-Train-Analysis-(2080s-and-2083s)?_g=(refreshInterval:(display:Off,pause:!f,section:0,value:0),time:(from:'2017-12-07T17:25:14-0700',mode:absolute,to:'2017-12-07T20:06:25-0700'))&amp;_a=(columns:!('Message%20ID',Summary),filters:!(),index:'emp_*',interval:auto,query:(query_string:(analyze_wildcard:!t,query:'%22rtdc.l.rtdc.4058%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229" t="s">
        <v>881</v>
      </c>
      <c r="B132" s="225">
        <v>4057</v>
      </c>
      <c r="C132" s="227" t="s">
        <v>192</v>
      </c>
      <c r="D132" s="227" t="s">
        <v>963</v>
      </c>
      <c r="E132" s="226">
        <v>43076.798020833332</v>
      </c>
      <c r="F132" s="226">
        <v>43076.812071759261</v>
      </c>
      <c r="G132" s="225">
        <v>65</v>
      </c>
      <c r="H132" s="227" t="s">
        <v>1006</v>
      </c>
      <c r="I132" s="226">
        <v>43076.839108796295</v>
      </c>
      <c r="J132" s="225">
        <v>1</v>
      </c>
      <c r="K132" s="237" t="str">
        <f t="shared" si="29"/>
        <v>4057/4058</v>
      </c>
      <c r="L132" s="245" t="str">
        <f>VLOOKUP(A132,'Trips&amp;Operators'!$C$1:$G$99911,5,FALSE)</f>
        <v>MOSES BRADLEY</v>
      </c>
      <c r="M132" s="224">
        <f t="shared" si="30"/>
        <v>2.7037037034460809E-2</v>
      </c>
      <c r="N132" s="225">
        <f t="shared" si="53"/>
        <v>38.933333329623565</v>
      </c>
      <c r="O132" s="225"/>
      <c r="P132" s="225"/>
      <c r="Q132" s="228"/>
      <c r="R132" s="242"/>
      <c r="S132" s="249">
        <f t="shared" si="50"/>
        <v>1</v>
      </c>
      <c r="T132" s="242" t="str">
        <f t="shared" si="32"/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 t="shared" si="33"/>
        <v>https://d0f6bd738d7f1b3e5a7ca70fe4ff75f0.us-east-1.aws.found.io/app/kibana#/discover/Steve-Slow-Train-Analysis-(2080s-and-2083s)?_g=(refreshInterval:(display:Off,pause:!f,section:0,value:0),time:(from:'2017-12-07T18:09:09-0700',mode:absolute,to:'2017-12-07T21:08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2" s="247" t="str">
        <f>IF(AA132&lt;VLOOKUP(AG132,Variables!$AC$3:$AD$8,2,FALSE),"Y","N")</f>
        <v>N</v>
      </c>
      <c r="X132" s="247">
        <f t="shared" si="54"/>
        <v>1</v>
      </c>
      <c r="Y132" s="247">
        <f t="shared" si="51"/>
        <v>23.291899999999998</v>
      </c>
      <c r="Z132" s="247">
        <f t="shared" si="52"/>
        <v>1.89E-2</v>
      </c>
      <c r="AA132" s="247">
        <f t="shared" si="37"/>
        <v>23.273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38"/>
        <v>220</v>
      </c>
      <c r="AE132" s="235" t="str">
        <f t="shared" si="39"/>
        <v>aws s3 cp s3://rtdc.mdm.uploadarchive.raw/RTDC4057/ "%USERPROFILE%\AppData\Local\Temp\OnboardLogs"\RTDC4057\2017-12-07 --exclude "*" --recursive --include "*20171207*" &amp; "%USERPROFILE%\Documents\GitHub\mrs-test-scripts\Headless Mode &amp; Sideloading\WalkAndUnGZ.bat" "%USERPROFILE%\AppData\Local\Temp\OnboardLogs"\RTDC4057\2017-12-07 &amp; aws s3 cp s3://rtdc.mdm.uploadarchive.raw/RTDC4057/ "%USERPROFILE%\AppData\Local\Temp\OnboardLogs"\RTDC4057\2017-12-08 --exclude "*" --recursive --include "*20171208*" &amp; "%USERPROFILE%\Documents\GitHub\mrs-test-scripts\Headless Mode &amp; Sideloading\WalkAndUnGZ.bat" "%USERPROFILE%\AppData\Local\Temp\OnboardLogs"\RTDC4057\2017-12-08</v>
      </c>
      <c r="AF132" s="234" t="str">
        <f t="shared" si="40"/>
        <v>"C:\Program Files (x86)\AstroGrep\AstroGrep.exe" /e /r /s /spath="%USERPROFILE%\AppData\Local\Temp\OnboardLogs" /stypes="app*4057*20171208*" /stext=" 03:.+((SYSTEM_STATE.+slice.+state.+changed )|(ment ac)|(multiple cpu faults)|(system.+state.+changed )|(\[timeout)|(PRM\|1\|D)|(kpr)|(kdp)|(train st.+moving)|(\|lc)|(penalty))"</v>
      </c>
      <c r="AG132" s="244" t="str">
        <f t="shared" si="41"/>
        <v>EC</v>
      </c>
      <c r="AH132" s="236" t="str">
        <f t="shared" si="42"/>
        <v>"%USERPROFILE%\Documents\GitHub\eaglep3\Utilities\RefineRTDCRunTimes.py" --tripid 220-07 --locoid 4057 --swversion DE.1.0.9.0 --startMP 204:232919 --initTime 2017-12-07T19:09:09 --startdatetime 2017-12-07T19:29:23 --delay 65 --endMP 204:189 --enddatetime 2017-12-07T20:08:19 --enforcementcount 1 &gt;&gt;%USERPROFILE%\Documents\GitHub\eaglep3-reporting\EC\2017-12-07-refined-times.txt</v>
      </c>
      <c r="AI132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{"issue":{"subject":"","project_id":79,"tracker_id":40,"status_id":1,"priority_id":2,"assigned_to_id":338,"start_date":"2017-12-07","description":"","custom_fields":[{"id":1,"name":"Subdivision","value":"EC"},{"id":4,"name":"Milepost","value":"0.0189"},{"id":17,"name":"Train ID","value":"220-07"},{"id":16,"name":"Locomotive ID","value":"4057"},{"id":130,"name":"Impact","value":""},{"id":150,"name":"Time of Event (Mountain Time)","value":"20:08:19"},{"id":151,"name":"Denver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44"/>
        <v>start /low /b %USERPROFILE%\Documents\GitHub\eaglep3\Utilities\DownloadLogsFromS3.py --loco 4057 --day 2017-12-07</v>
      </c>
      <c r="AN132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03:08:19"},{"id":29,"name":"Sharepoint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46"/>
        <v>https://d0f6bd738d7f1b3e5a7ca70fe4ff75f0.us-east-1.aws.found.io/app/kibana#/discover/Steve-Slow-Train-Analysis-(2080s-and-2083s)?_g=(refreshInterval:(display:Off,pause:!f,section:0,value:0),time:(from:'2017-12-07T18:09:09-0700',mode:absolute,to:'2017-12-07T21:08:19-0700'))&amp;_a=(columns:!('Message%20ID',Summary),filters:!(),index:'emp_*',interval:auto,query:(query_string:(analyze_wildcard:!t,query:'%22rtdc.l.rtdc.4057%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3" customFormat="1" x14ac:dyDescent="0.25">
      <c r="A133" s="229" t="s">
        <v>702</v>
      </c>
      <c r="B133" s="225">
        <v>4060</v>
      </c>
      <c r="C133" s="227" t="s">
        <v>192</v>
      </c>
      <c r="D133" s="227" t="s">
        <v>1007</v>
      </c>
      <c r="E133" s="226">
        <v>43076.787523148145</v>
      </c>
      <c r="F133" s="226">
        <v>43076.792268518519</v>
      </c>
      <c r="G133" s="225">
        <v>72</v>
      </c>
      <c r="H133" s="227" t="s">
        <v>1008</v>
      </c>
      <c r="I133" s="226">
        <v>43076.809166666666</v>
      </c>
      <c r="J133" s="225">
        <v>1</v>
      </c>
      <c r="K133" s="237" t="str">
        <f t="shared" si="29"/>
        <v>4059/4060</v>
      </c>
      <c r="L133" s="245" t="str">
        <f>VLOOKUP(A133,'Trips&amp;Operators'!$C$1:$G$99911,5,FALSE)</f>
        <v>ANDERS STEVEN</v>
      </c>
      <c r="M133" s="224">
        <f t="shared" si="30"/>
        <v>1.68981481474475E-2</v>
      </c>
      <c r="N133" s="225"/>
      <c r="O133" s="225"/>
      <c r="P133" s="225">
        <f>24*60*SUM($M133:$M133)</f>
        <v>24.333333332324401</v>
      </c>
      <c r="Q133" s="228"/>
      <c r="R133" s="242" t="s">
        <v>446</v>
      </c>
      <c r="S133" s="249">
        <f t="shared" si="50"/>
        <v>1</v>
      </c>
      <c r="T133" s="242" t="str">
        <f t="shared" si="32"/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33"/>
        <v>https://d0f6bd738d7f1b3e5a7ca70fe4ff75f0.us-east-1.aws.found.io/app/kibana#/discover/Steve-Slow-Train-Analysis-(2080s-and-2083s)?_g=(refreshInterval:(display:Off,pause:!f,section:0,value:0),time:(from:'2017-12-07T17:54:02-0700',mode:absolute,to:'2017-12-07T20:25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3" s="247" t="str">
        <f>IF(AA133&lt;VLOOKUP(AG133,Variables!$AC$3:$AD$8,2,FALSE),"Y","N")</f>
        <v>Y</v>
      </c>
      <c r="X133" s="247">
        <f t="shared" si="54"/>
        <v>1</v>
      </c>
      <c r="Y133" s="247">
        <f t="shared" si="51"/>
        <v>4.9799999999999997E-2</v>
      </c>
      <c r="Z133" s="247">
        <f t="shared" si="52"/>
        <v>12.0129</v>
      </c>
      <c r="AA133" s="247">
        <f t="shared" si="37"/>
        <v>11.963100000000001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38"/>
        <v>221</v>
      </c>
      <c r="AE133" s="235" t="str">
        <f t="shared" si="39"/>
        <v>aws s3 cp s3://rtdc.mdm.uploadarchive.raw/RTDC4060/ "%USERPROFILE%\AppData\Local\Temp\OnboardLogs"\RTDC4060\2017-12-07 --exclude "*" --recursive --include "*20171207*" &amp; "%USERPROFILE%\Documents\GitHub\mrs-test-scripts\Headless Mode &amp; Sideloading\WalkAndUnGZ.bat" "%USERPROFILE%\AppData\Local\Temp\OnboardLogs"\RTDC4060\2017-12-07 &amp; aws s3 cp s3://rtdc.mdm.uploadarchive.raw/RTDC4060/ "%USERPROFILE%\AppData\Local\Temp\OnboardLogs"\RTDC4060\2017-12-08 --exclude "*" --recursive --include "*20171208*" &amp; "%USERPROFILE%\Documents\GitHub\mrs-test-scripts\Headless Mode &amp; Sideloading\WalkAndUnGZ.bat" "%USERPROFILE%\AppData\Local\Temp\OnboardLogs"\RTDC4060\2017-12-08</v>
      </c>
      <c r="AF133" s="234" t="str">
        <f t="shared" si="40"/>
        <v>"C:\Program Files (x86)\AstroGrep\AstroGrep.exe" /e /r /s /spath="%USERPROFILE%\AppData\Local\Temp\OnboardLogs" /stypes="app*4060*20171208*" /stext=" 02:.+((SYSTEM_STATE.+slice.+state.+changed )|(ment ac)|(multiple cpu faults)|(system.+state.+changed )|(\[timeout)|(PRM\|1\|D)|(kpr)|(kdp)|(train st.+moving)|(\|lc)|(penalty))"</v>
      </c>
      <c r="AG133" s="244" t="str">
        <f t="shared" si="41"/>
        <v>EC</v>
      </c>
      <c r="AH133" s="236" t="str">
        <f t="shared" si="42"/>
        <v>"%USERPROFILE%\Documents\GitHub\eaglep3\Utilities\RefineRTDCRunTimes.py" --tripid 221-07 --locoid 4060 --swversion DE.1.0.9.0 --startMP 204:498 --initTime 2017-12-07T18:54:02 --startdatetime 2017-12-07T19:00:52 --delay 72 --endMP 204:120129 --enddatetime 2017-12-07T19:25:12 --enforcementcount 1 &gt;&gt;%USERPROFILE%\Documents\GitHub\eaglep3-reporting\EC\2017-12-07-refined-times.txt</v>
      </c>
      <c r="AI133" s="238" t="str">
        <f t="shared" si="43"/>
        <v>echo {"issue":{"subject":"Wi-MAX data drop","project_id":79,"tracker_id":40,"status_id":1,"priority_id":2,"assigned_to_id":338,"start_date":"2017-12-07","description":"","custom_fields":[{"id":1,"name":"Subdivision","value":"EC"},{"id":4,"name":"Milepost","value":"12.0129"},{"id":17,"name":"Train ID","value":"221-07"},{"id":16,"name":"Locomotive ID","value":"4060"},{"id":130,"name":"Impact","value":""},{"id":150,"name":"Time of Event (Mountain Time)","value":"19:25:12"},{"id":151,"name":"Denver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1"/>
      <c r="AL133" s="231"/>
      <c r="AM133" s="240" t="str">
        <f t="shared" si="44"/>
        <v>start /low /b %USERPROFILE%\Documents\GitHub\eaglep3\Utilities\DownloadLogsFromS3.py --loco 4060 --day 2017-12-07</v>
      </c>
      <c r="AN133" s="241" t="str">
        <f t="shared" si="45"/>
        <v>echo {"issue":{"subject":"Wi-MAX data drop","project_id":30,"tracker_id":4,"status_id":1,"priority_id":1,"assigned_to_id":10,"start_date":"2017-12-08","description":"","custom_fields":[{"id":30,"name":"Category","value":"Issue"},{"id":3,"name":"Functional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02:25:12"},{"id":29,"name":"Sharepoint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46"/>
        <v>https://d0f6bd738d7f1b3e5a7ca70fe4ff75f0.us-east-1.aws.found.io/app/kibana#/discover/Steve-Slow-Train-Analysis-(2080s-and-2083s)?_g=(refreshInterval:(display:Off,pause:!f,section:0,value:0),time:(from:'2017-12-07T17:54:02-0700',mode:absolute,to:'2017-12-07T20:25:12-0700'))&amp;_a=(columns:!('Message%20ID',Summary),filters:!(),index:'emp_*',interval:auto,query:(query_string:(analyze_wildcard:!t,query:'%22rtdc.l.rtdc.4060%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29" t="s">
        <v>885</v>
      </c>
      <c r="B134" s="225">
        <v>4059</v>
      </c>
      <c r="C134" s="227" t="s">
        <v>192</v>
      </c>
      <c r="D134" s="227" t="s">
        <v>1003</v>
      </c>
      <c r="E134" s="226">
        <v>43076.829224537039</v>
      </c>
      <c r="F134" s="226">
        <v>43076.831666666665</v>
      </c>
      <c r="G134" s="225">
        <v>82</v>
      </c>
      <c r="H134" s="227" t="s">
        <v>1009</v>
      </c>
      <c r="I134" s="226">
        <v>43076.857511574075</v>
      </c>
      <c r="J134" s="225">
        <v>1</v>
      </c>
      <c r="K134" s="237" t="str">
        <f t="shared" si="29"/>
        <v>4059/4060</v>
      </c>
      <c r="L134" s="245" t="str">
        <f>VLOOKUP(A134,'Trips&amp;Operators'!$C$1:$G$99911,5,FALSE)</f>
        <v>ANDERS STEVEN</v>
      </c>
      <c r="M134" s="224">
        <f t="shared" si="30"/>
        <v>2.584490740991896E-2</v>
      </c>
      <c r="N134" s="225">
        <f t="shared" ref="N134:N155" si="55">24*60*SUM($M134:$M134)</f>
        <v>37.216666670283303</v>
      </c>
      <c r="O134" s="225"/>
      <c r="P134" s="225"/>
      <c r="Q134" s="228"/>
      <c r="R134" s="242"/>
      <c r="S134" s="249">
        <f t="shared" si="50"/>
        <v>1</v>
      </c>
      <c r="T134" s="242" t="str">
        <f t="shared" si="32"/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33"/>
        <v>https://d0f6bd738d7f1b3e5a7ca70fe4ff75f0.us-east-1.aws.found.io/app/kibana#/discover/Steve-Slow-Train-Analysis-(2080s-and-2083s)?_g=(refreshInterval:(display:Off,pause:!f,section:0,value:0),time:(from:'2017-12-07T18:54:05-0700',mode:absolute,to:'2017-12-07T21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4" s="247" t="str">
        <f>IF(AA134&lt;VLOOKUP(AG134,Variables!$AC$3:$AD$8,2,FALSE),"Y","N")</f>
        <v>N</v>
      </c>
      <c r="X134" s="247">
        <f t="shared" si="54"/>
        <v>1</v>
      </c>
      <c r="Y134" s="247">
        <f t="shared" si="51"/>
        <v>23.293600000000001</v>
      </c>
      <c r="Z134" s="247">
        <f t="shared" si="52"/>
        <v>2.3099999999999999E-2</v>
      </c>
      <c r="AA134" s="247">
        <f t="shared" si="37"/>
        <v>23.270500000000002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38"/>
        <v>222</v>
      </c>
      <c r="AE134" s="235" t="str">
        <f t="shared" si="39"/>
        <v>aws s3 cp s3://rtdc.mdm.uploadarchive.raw/RTDC4059/ "%USERPROFILE%\AppData\Local\Temp\OnboardLogs"\RTDC4059\2017-12-07 --exclude "*" --recursive --include "*20171207*" &amp; "%USERPROFILE%\Documents\GitHub\mrs-test-scripts\Headless Mode &amp; Sideloading\WalkAndUnGZ.bat" "%USERPROFILE%\AppData\Local\Temp\OnboardLogs"\RTDC4059\2017-12-07 &amp; aws s3 cp s3://rtdc.mdm.uploadarchive.raw/RTDC4059/ "%USERPROFILE%\AppData\Local\Temp\OnboardLogs"\RTDC4059\2017-12-08 --exclude "*" --recursive --include "*20171208*" &amp; "%USERPROFILE%\Documents\GitHub\mrs-test-scripts\Headless Mode &amp; Sideloading\WalkAndUnGZ.bat" "%USERPROFILE%\AppData\Local\Temp\OnboardLogs"\RTDC4059\2017-12-08</v>
      </c>
      <c r="AF134" s="234" t="str">
        <f t="shared" si="40"/>
        <v>"C:\Program Files (x86)\AstroGrep\AstroGrep.exe" /e /r /s /spath="%USERPROFILE%\AppData\Local\Temp\OnboardLogs" /stypes="app*4059*20171208*" /stext=" 03:.+((SYSTEM_STATE.+slice.+state.+changed )|(ment ac)|(multiple cpu faults)|(system.+state.+changed )|(\[timeout)|(PRM\|1\|D)|(kpr)|(kdp)|(train st.+moving)|(\|lc)|(penalty))"</v>
      </c>
      <c r="AG134" s="244" t="str">
        <f t="shared" si="41"/>
        <v>EC</v>
      </c>
      <c r="AH134" s="236" t="str">
        <f t="shared" si="42"/>
        <v>"%USERPROFILE%\Documents\GitHub\eaglep3\Utilities\RefineRTDCRunTimes.py" --tripid 222-07 --locoid 4059 --swversion DE.1.0.9.0 --startMP 204:232936 --initTime 2017-12-07T19:54:05 --startdatetime 2017-12-07T19:57:36 --delay 82 --endMP 204:231 --enddatetime 2017-12-07T20:34:49 --enforcementcount 1 &gt;&gt;%USERPROFILE%\Documents\GitHub\eaglep3-reporting\EC\2017-12-07-refined-times.txt</v>
      </c>
      <c r="AI134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{"issue":{"subject":"","project_id":79,"tracker_id":40,"status_id":1,"priority_id":2,"assigned_to_id":338,"start_date":"2017-12-07","description":"","custom_fields":[{"id":1,"name":"Subdivision","value":"EC"},{"id":4,"name":"Milepost","value":"0.0231"},{"id":17,"name":"Train ID","value":"222-07"},{"id":16,"name":"Locomotive ID","value":"4059"},{"id":130,"name":"Impact","value":""},{"id":150,"name":"Time of Event (Mountain Time)","value":"20:34:49"},{"id":151,"name":"Denver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44"/>
        <v>start /low /b %USERPROFILE%\Documents\GitHub\eaglep3\Utilities\DownloadLogsFromS3.py --loco 4059 --day 2017-12-07</v>
      </c>
      <c r="AN134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03:34:49"},{"id":29,"name":"Sharepoint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46"/>
        <v>https://d0f6bd738d7f1b3e5a7ca70fe4ff75f0.us-east-1.aws.found.io/app/kibana#/discover/Steve-Slow-Train-Analysis-(2080s-and-2083s)?_g=(refreshInterval:(display:Off,pause:!f,section:0,value:0),time:(from:'2017-12-07T18:54:05-0700',mode:absolute,to:'2017-12-07T21:34:49-0700'))&amp;_a=(columns:!('Message%20ID',Summary),filters:!(),index:'emp_*',interval:auto,query:(query_string:(analyze_wildcard:!t,query:'%22rtdc.l.rtdc.4059%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29" t="s">
        <v>883</v>
      </c>
      <c r="B135" s="225">
        <v>4056</v>
      </c>
      <c r="C135" s="227" t="s">
        <v>192</v>
      </c>
      <c r="D135" s="227" t="s">
        <v>1010</v>
      </c>
      <c r="E135" s="226">
        <v>43076.810740740744</v>
      </c>
      <c r="F135" s="226">
        <v>43076.8128125</v>
      </c>
      <c r="G135" s="225">
        <v>72</v>
      </c>
      <c r="H135" s="227" t="s">
        <v>477</v>
      </c>
      <c r="I135" s="226">
        <v>43076.837708333333</v>
      </c>
      <c r="J135" s="225">
        <v>1</v>
      </c>
      <c r="K135" s="237" t="str">
        <f t="shared" si="29"/>
        <v>4055/4056</v>
      </c>
      <c r="L135" s="245" t="str">
        <f>VLOOKUP(A135,'Trips&amp;Operators'!$C$1:$G$99911,5,FALSE)</f>
        <v>LORI SANTOS</v>
      </c>
      <c r="M135" s="224">
        <f t="shared" si="30"/>
        <v>2.4895833332266193E-2</v>
      </c>
      <c r="N135" s="225">
        <f t="shared" si="55"/>
        <v>35.849999998463318</v>
      </c>
      <c r="O135" s="225"/>
      <c r="P135" s="225"/>
      <c r="Q135" s="228"/>
      <c r="R135" s="242"/>
      <c r="S135" s="249">
        <f t="shared" si="50"/>
        <v>1</v>
      </c>
      <c r="T135" s="242" t="str">
        <f t="shared" si="32"/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33"/>
        <v>https://d0f6bd738d7f1b3e5a7ca70fe4ff75f0.us-east-1.aws.found.io/app/kibana#/discover/Steve-Slow-Train-Analysis-(2080s-and-2083s)?_g=(refreshInterval:(display:Off,pause:!f,section:0,value:0),time:(from:'2017-12-07T18:27:28-0700',mode:absolute,to:'2017-12-07T21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5" s="247" t="str">
        <f>IF(AA135&lt;VLOOKUP(AG135,Variables!$AC$3:$AD$8,2,FALSE),"Y","N")</f>
        <v>N</v>
      </c>
      <c r="X135" s="247">
        <f t="shared" si="54"/>
        <v>1</v>
      </c>
      <c r="Y135" s="247">
        <f t="shared" si="51"/>
        <v>0.05</v>
      </c>
      <c r="Z135" s="247">
        <f t="shared" si="52"/>
        <v>23.325500000000002</v>
      </c>
      <c r="AA135" s="247">
        <f t="shared" si="37"/>
        <v>23.275500000000001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38"/>
        <v>223</v>
      </c>
      <c r="AE135" s="235" t="str">
        <f t="shared" si="39"/>
        <v>aws s3 cp s3://rtdc.mdm.uploadarchive.raw/RTDC4056/ "%USERPROFILE%\AppData\Local\Temp\OnboardLogs"\RTDC4056\2017-12-07 --exclude "*" --recursive --include "*20171207*" &amp; "%USERPROFILE%\Documents\GitHub\mrs-test-scripts\Headless Mode &amp; Sideloading\WalkAndUnGZ.bat" "%USERPROFILE%\AppData\Local\Temp\OnboardLogs"\RTDC4056\2017-12-07 &amp; aws s3 cp s3://rtdc.mdm.uploadarchive.raw/RTDC4056/ "%USERPROFILE%\AppData\Local\Temp\OnboardLogs"\RTDC4056\2017-12-08 --exclude "*" --recursive --include "*20171208*" &amp; "%USERPROFILE%\Documents\GitHub\mrs-test-scripts\Headless Mode &amp; Sideloading\WalkAndUnGZ.bat" "%USERPROFILE%\AppData\Local\Temp\OnboardLogs"\RTDC4056\2017-12-08</v>
      </c>
      <c r="AF135" s="234" t="str">
        <f t="shared" si="40"/>
        <v>"C:\Program Files (x86)\AstroGrep\AstroGrep.exe" /e /r /s /spath="%USERPROFILE%\AppData\Local\Temp\OnboardLogs" /stypes="app*4056*20171208*" /stext=" 03:.+((SYSTEM_STATE.+slice.+state.+changed )|(ment ac)|(multiple cpu faults)|(system.+state.+changed )|(\[timeout)|(PRM\|1\|D)|(kpr)|(kdp)|(train st.+moving)|(\|lc)|(penalty))"</v>
      </c>
      <c r="AG135" s="244" t="str">
        <f t="shared" si="41"/>
        <v>EC</v>
      </c>
      <c r="AH135" s="236" t="str">
        <f t="shared" si="42"/>
        <v>"%USERPROFILE%\Documents\GitHub\eaglep3\Utilities\RefineRTDCRunTimes.py" --tripid 223-07 --locoid 4056 --swversion DE.1.0.9.0 --startMP 204:500 --initTime 2017-12-07T19:27:28 --startdatetime 2017-12-07T19:30:27 --delay 72 --endMP 204:233255 --enddatetime 2017-12-07T20:06:18 --enforcementcount 1 &gt;&gt;%USERPROFILE%\Documents\GitHub\eaglep3-reporting\EC\2017-12-07-refined-times.txt</v>
      </c>
      <c r="AI135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{"issue":{"subject":"","project_id":79,"tracker_id":40,"status_id":1,"priority_id":2,"assigned_to_id":338,"start_date":"2017-12-07","description":"","custom_fields":[{"id":1,"name":"Subdivision","value":"EC"},{"id":4,"name":"Milepost","value":"23.3255"},{"id":17,"name":"Train ID","value":"223-07"},{"id":16,"name":"Locomotive ID","value":"4056"},{"id":130,"name":"Impact","value":""},{"id":150,"name":"Time of Event (Mountain Time)","value":"20:06:18"},{"id":151,"name":"Denver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44"/>
        <v>start /low /b %USERPROFILE%\Documents\GitHub\eaglep3\Utilities\DownloadLogsFromS3.py --loco 4056 --day 2017-12-07</v>
      </c>
      <c r="AN135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03:06:18"},{"id":29,"name":"Sharepoint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46"/>
        <v>https://d0f6bd738d7f1b3e5a7ca70fe4ff75f0.us-east-1.aws.found.io/app/kibana#/discover/Steve-Slow-Train-Analysis-(2080s-and-2083s)?_g=(refreshInterval:(display:Off,pause:!f,section:0,value:0),time:(from:'2017-12-07T18:27:28-0700',mode:absolute,to:'2017-12-07T21:06:18-0700'))&amp;_a=(columns:!('Message%20ID',Summary),filters:!(),index:'emp_*',interval:auto,query:(query_string:(analyze_wildcard:!t,query:'%22rtdc.l.rtdc.4056%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29" t="s">
        <v>705</v>
      </c>
      <c r="B136" s="225">
        <v>4055</v>
      </c>
      <c r="C136" s="227" t="s">
        <v>192</v>
      </c>
      <c r="D136" s="227" t="s">
        <v>932</v>
      </c>
      <c r="E136" s="226">
        <v>43076.846168981479</v>
      </c>
      <c r="F136" s="226">
        <v>43076.852326388886</v>
      </c>
      <c r="G136" s="225">
        <v>99</v>
      </c>
      <c r="H136" s="227" t="s">
        <v>644</v>
      </c>
      <c r="I136" s="226">
        <v>43076.878819444442</v>
      </c>
      <c r="J136" s="225">
        <v>1</v>
      </c>
      <c r="K136" s="237" t="str">
        <f t="shared" si="29"/>
        <v>4055/4056</v>
      </c>
      <c r="L136" s="245" t="str">
        <f>VLOOKUP(A136,'Trips&amp;Operators'!$C$1:$G$99911,5,FALSE)</f>
        <v>LORI SANTOS</v>
      </c>
      <c r="M136" s="224">
        <f t="shared" si="30"/>
        <v>2.6493055556784384E-2</v>
      </c>
      <c r="N136" s="225">
        <f t="shared" si="55"/>
        <v>38.150000001769513</v>
      </c>
      <c r="O136" s="225"/>
      <c r="P136" s="225"/>
      <c r="Q136" s="228"/>
      <c r="R136" s="242"/>
      <c r="S136" s="249">
        <f t="shared" si="50"/>
        <v>1</v>
      </c>
      <c r="T136" s="242" t="str">
        <f t="shared" si="32"/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33"/>
        <v>https://d0f6bd738d7f1b3e5a7ca70fe4ff75f0.us-east-1.aws.found.io/app/kibana#/discover/Steve-Slow-Train-Analysis-(2080s-and-2083s)?_g=(refreshInterval:(display:Off,pause:!f,section:0,value:0),time:(from:'2017-12-07T19:18:29-0700',mode:absolute,to:'2017-12-07T22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6" s="247" t="str">
        <f>IF(AA136&lt;VLOOKUP(AG136,Variables!$AC$3:$AD$8,2,FALSE),"Y","N")</f>
        <v>N</v>
      </c>
      <c r="X136" s="247">
        <f t="shared" si="54"/>
        <v>1</v>
      </c>
      <c r="Y136" s="247">
        <f t="shared" si="51"/>
        <v>23.293800000000001</v>
      </c>
      <c r="Z136" s="247">
        <f t="shared" si="52"/>
        <v>2.58E-2</v>
      </c>
      <c r="AA136" s="247">
        <f t="shared" si="37"/>
        <v>23.268000000000001</v>
      </c>
      <c r="AB136" s="233" t="str">
        <f>VLOOKUP(A136,Enforcements!$C$7:$K$9,8,0)</f>
        <v>Bulletin (2)</v>
      </c>
      <c r="AC136" s="232" t="str">
        <f>VLOOKUP(A136,Enforcements!$C$7:$E$9,3,0)</f>
        <v>GRADE CROSSING</v>
      </c>
      <c r="AD136" s="243">
        <f t="shared" si="38"/>
        <v>224</v>
      </c>
      <c r="AE136" s="235" t="str">
        <f t="shared" si="39"/>
        <v>aws s3 cp s3://rtdc.mdm.uploadarchive.raw/RTDC4055/ "%USERPROFILE%\AppData\Local\Temp\OnboardLogs"\RTDC4055\2017-12-07 --exclude "*" --recursive --include "*20171207*" &amp; "%USERPROFILE%\Documents\GitHub\mrs-test-scripts\Headless Mode &amp; Sideloading\WalkAndUnGZ.bat" "%USERPROFILE%\AppData\Local\Temp\OnboardLogs"\RTDC4055\2017-12-07 &amp; aws s3 cp s3://rtdc.mdm.uploadarchive.raw/RTDC4055/ "%USERPROFILE%\AppData\Local\Temp\OnboardLogs"\RTDC4055\2017-12-08 --exclude "*" --recursive --include "*20171208*" &amp; "%USERPROFILE%\Documents\GitHub\mrs-test-scripts\Headless Mode &amp; Sideloading\WalkAndUnGZ.bat" "%USERPROFILE%\AppData\Local\Temp\OnboardLogs"\RTDC4055\2017-12-08</v>
      </c>
      <c r="AF136" s="234" t="str">
        <f t="shared" si="40"/>
        <v>"C:\Program Files (x86)\AstroGrep\AstroGrep.exe" /e /r /s /spath="%USERPROFILE%\AppData\Local\Temp\OnboardLogs" /stypes="app*4055*20171208*" /stext=" 04:.+((SYSTEM_STATE.+slice.+state.+changed )|(ment ac)|(multiple cpu faults)|(system.+state.+changed )|(\[timeout)|(PRM\|1\|D)|(kpr)|(kdp)|(train st.+moving)|(\|lc)|(penalty))"</v>
      </c>
      <c r="AG136" s="244" t="str">
        <f t="shared" si="41"/>
        <v>EC</v>
      </c>
      <c r="AH136" s="236" t="str">
        <f t="shared" si="42"/>
        <v>"%USERPROFILE%\Documents\GitHub\eaglep3\Utilities\RefineRTDCRunTimes.py" --tripid 224-07 --locoid 4055 --swversion DE.1.0.9.0 --startMP 204:232938 --initTime 2017-12-07T20:18:29 --startdatetime 2017-12-07T20:27:21 --delay 99 --endMP 204:258 --enddatetime 2017-12-07T21:05:30 --enforcementcount 1 &gt;&gt;%USERPROFILE%\Documents\GitHub\eaglep3-reporting\EC\2017-12-07-refined-times.txt</v>
      </c>
      <c r="AI136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{"issue":{"subject":"","project_id":79,"tracker_id":40,"status_id":1,"priority_id":2,"assigned_to_id":338,"start_date":"2017-12-07","description":"","custom_fields":[{"id":1,"name":"Subdivision","value":"EC"},{"id":4,"name":"Milepost","value":"0.0258"},{"id":17,"name":"Train ID","value":"224-07"},{"id":16,"name":"Locomotive ID","value":"4055"},{"id":130,"name":"Impact","value":""},{"id":150,"name":"Time of Event (Mountain Time)","value":"21:05:30"},{"id":151,"name":"Denver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44"/>
        <v>start /low /b %USERPROFILE%\Documents\GitHub\eaglep3\Utilities\DownloadLogsFromS3.py --loco 4055 --day 2017-12-07</v>
      </c>
      <c r="AN136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04:05:30"},{"id":29,"name":"Sharepoint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46"/>
        <v>https://d0f6bd738d7f1b3e5a7ca70fe4ff75f0.us-east-1.aws.found.io/app/kibana#/discover/Steve-Slow-Train-Analysis-(2080s-and-2083s)?_g=(refreshInterval:(display:Off,pause:!f,section:0,value:0),time:(from:'2017-12-07T19:18:29-0700',mode:absolute,to:'2017-12-07T22:05:30-0700'))&amp;_a=(columns:!('Message%20ID',Summary),filters:!(),index:'emp_*',interval:auto,query:(query_string:(analyze_wildcard:!t,query:'%22rtdc.l.rtdc.4055%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29" t="s">
        <v>704</v>
      </c>
      <c r="B137" s="225">
        <v>4036</v>
      </c>
      <c r="C137" s="227" t="s">
        <v>192</v>
      </c>
      <c r="D137" s="227" t="s">
        <v>1011</v>
      </c>
      <c r="E137" s="226">
        <v>43076.830185185187</v>
      </c>
      <c r="F137" s="226">
        <v>43076.833506944444</v>
      </c>
      <c r="G137" s="225">
        <v>89</v>
      </c>
      <c r="H137" s="227" t="s">
        <v>554</v>
      </c>
      <c r="I137" s="226">
        <v>43076.858888888892</v>
      </c>
      <c r="J137" s="225">
        <v>1</v>
      </c>
      <c r="K137" s="237" t="str">
        <f t="shared" si="29"/>
        <v>4035/4036</v>
      </c>
      <c r="L137" s="245" t="str">
        <f>VLOOKUP(A137,'Trips&amp;Operators'!$C$1:$G$99911,5,FALSE)</f>
        <v>ZEWDU DEREJE</v>
      </c>
      <c r="M137" s="224">
        <f t="shared" si="30"/>
        <v>2.5381944447872229E-2</v>
      </c>
      <c r="N137" s="225">
        <f t="shared" si="55"/>
        <v>36.55000000493601</v>
      </c>
      <c r="O137" s="225"/>
      <c r="P137" s="225"/>
      <c r="Q137" s="228"/>
      <c r="R137" s="242"/>
      <c r="S137" s="249">
        <f t="shared" si="50"/>
        <v>1</v>
      </c>
      <c r="T137" s="242" t="str">
        <f t="shared" si="32"/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33"/>
        <v>https://d0f6bd738d7f1b3e5a7ca70fe4ff75f0.us-east-1.aws.found.io/app/kibana#/discover/Steve-Slow-Train-Analysis-(2080s-and-2083s)?_g=(refreshInterval:(display:Off,pause:!f,section:0,value:0),time:(from:'2017-12-07T18:55:28-0700',mode:absolute,to:'2017-12-07T21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7" s="247" t="str">
        <f>IF(AA137&lt;VLOOKUP(AG137,Variables!$AC$3:$AD$8,2,FALSE),"Y","N")</f>
        <v>N</v>
      </c>
      <c r="X137" s="247">
        <f t="shared" si="54"/>
        <v>1</v>
      </c>
      <c r="Y137" s="247">
        <f t="shared" si="51"/>
        <v>5.62E-2</v>
      </c>
      <c r="Z137" s="247">
        <f t="shared" si="52"/>
        <v>23.325099999999999</v>
      </c>
      <c r="AA137" s="247">
        <f t="shared" si="37"/>
        <v>23.268899999999999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38"/>
        <v>225</v>
      </c>
      <c r="AE137" s="235" t="str">
        <f t="shared" si="39"/>
        <v>aws s3 cp s3://rtdc.mdm.uploadarchive.raw/RTDC4036/ "%USERPROFILE%\AppData\Local\Temp\OnboardLogs"\RTDC4036\2017-12-07 --exclude "*" --recursive --include "*20171207*" &amp; "%USERPROFILE%\Documents\GitHub\mrs-test-scripts\Headless Mode &amp; Sideloading\WalkAndUnGZ.bat" "%USERPROFILE%\AppData\Local\Temp\OnboardLogs"\RTDC4036\2017-12-07 &amp; aws s3 cp s3://rtdc.mdm.uploadarchive.raw/RTDC4036/ "%USERPROFILE%\AppData\Local\Temp\OnboardLogs"\RTDC4036\2017-12-08 --exclude "*" --recursive --include "*20171208*" &amp; "%USERPROFILE%\Documents\GitHub\mrs-test-scripts\Headless Mode &amp; Sideloading\WalkAndUnGZ.bat" "%USERPROFILE%\AppData\Local\Temp\OnboardLogs"\RTDC4036\2017-12-08</v>
      </c>
      <c r="AF137" s="234" t="str">
        <f t="shared" si="40"/>
        <v>"C:\Program Files (x86)\AstroGrep\AstroGrep.exe" /e /r /s /spath="%USERPROFILE%\AppData\Local\Temp\OnboardLogs" /stypes="app*4036*20171208*" /stext=" 03:.+((SYSTEM_STATE.+slice.+state.+changed )|(ment ac)|(multiple cpu faults)|(system.+state.+changed )|(\[timeout)|(PRM\|1\|D)|(kpr)|(kdp)|(train st.+moving)|(\|lc)|(penalty))"</v>
      </c>
      <c r="AG137" s="244" t="str">
        <f t="shared" si="41"/>
        <v>EC</v>
      </c>
      <c r="AH137" s="236" t="str">
        <f t="shared" si="42"/>
        <v>"%USERPROFILE%\Documents\GitHub\eaglep3\Utilities\RefineRTDCRunTimes.py" --tripid 225-07 --locoid 4036 --swversion DE.1.0.9.0 --startMP 204:562 --initTime 2017-12-07T19:55:28 --startdatetime 2017-12-07T20:00:15 --delay 89 --endMP 204:233251 --enddatetime 2017-12-07T20:36:48 --enforcementcount 1 &gt;&gt;%USERPROFILE%\Documents\GitHub\eaglep3-reporting\EC\2017-12-07-refined-times.txt</v>
      </c>
      <c r="AI137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{"issue":{"subject":"","project_id":79,"tracker_id":40,"status_id":1,"priority_id":2,"assigned_to_id":338,"start_date":"2017-12-07","description":"","custom_fields":[{"id":1,"name":"Subdivision","value":"EC"},{"id":4,"name":"Milepost","value":"23.3251"},{"id":17,"name":"Train ID","value":"225-07"},{"id":16,"name":"Locomotive ID","value":"4036"},{"id":130,"name":"Impact","value":""},{"id":150,"name":"Time of Event (Mountain Time)","value":"20:36:48"},{"id":151,"name":"Denver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44"/>
        <v>start /low /b %USERPROFILE%\Documents\GitHub\eaglep3\Utilities\DownloadLogsFromS3.py --loco 4036 --day 2017-12-07</v>
      </c>
      <c r="AN137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03:36:48"},{"id":29,"name":"Sharepoint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46"/>
        <v>https://d0f6bd738d7f1b3e5a7ca70fe4ff75f0.us-east-1.aws.found.io/app/kibana#/discover/Steve-Slow-Train-Analysis-(2080s-and-2083s)?_g=(refreshInterval:(display:Off,pause:!f,section:0,value:0),time:(from:'2017-12-07T18:55:28-0700',mode:absolute,to:'2017-12-07T21:36:48-0700'))&amp;_a=(columns:!('Message%20ID',Summary),filters:!(),index:'emp_*',interval:auto,query:(query_string:(analyze_wildcard:!t,query:'%22rtdc.l.rtdc.4036%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29" t="s">
        <v>890</v>
      </c>
      <c r="B138" s="225">
        <v>4035</v>
      </c>
      <c r="C138" s="227" t="s">
        <v>192</v>
      </c>
      <c r="D138" s="227" t="s">
        <v>1012</v>
      </c>
      <c r="E138" s="226">
        <v>43076.868738425925</v>
      </c>
      <c r="F138" s="226">
        <v>43076.873356481483</v>
      </c>
      <c r="G138" s="225">
        <v>81</v>
      </c>
      <c r="H138" s="227" t="s">
        <v>649</v>
      </c>
      <c r="I138" s="226">
        <v>43076.898969907408</v>
      </c>
      <c r="J138" s="225">
        <v>1</v>
      </c>
      <c r="K138" s="237" t="str">
        <f t="shared" si="29"/>
        <v>4035/4036</v>
      </c>
      <c r="L138" s="245" t="str">
        <f>VLOOKUP(A138,'Trips&amp;Operators'!$C$1:$G$99911,5,FALSE)</f>
        <v>ZEWDU DEREJE</v>
      </c>
      <c r="M138" s="224">
        <f t="shared" si="30"/>
        <v>2.5613425925257616E-2</v>
      </c>
      <c r="N138" s="225">
        <f t="shared" si="55"/>
        <v>36.883333332370967</v>
      </c>
      <c r="O138" s="225"/>
      <c r="P138" s="225"/>
      <c r="Q138" s="228"/>
      <c r="R138" s="242"/>
      <c r="S138" s="249">
        <f t="shared" si="50"/>
        <v>1</v>
      </c>
      <c r="T138" s="242" t="str">
        <f t="shared" si="32"/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33"/>
        <v>https://d0f6bd738d7f1b3e5a7ca70fe4ff75f0.us-east-1.aws.found.io/app/kibana#/discover/Steve-Slow-Train-Analysis-(2080s-and-2083s)?_g=(refreshInterval:(display:Off,pause:!f,section:0,value:0),time:(from:'2017-12-07T19:50:59-0700',mode:absolute,to:'2017-12-07T22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8" s="247" t="str">
        <f>IF(AA138&lt;VLOOKUP(AG138,Variables!$AC$3:$AD$8,2,FALSE),"Y","N")</f>
        <v>N</v>
      </c>
      <c r="X138" s="247">
        <f t="shared" si="54"/>
        <v>1</v>
      </c>
      <c r="Y138" s="247">
        <f t="shared" si="51"/>
        <v>23.2926</v>
      </c>
      <c r="Z138" s="247">
        <f t="shared" si="52"/>
        <v>2.7400000000000001E-2</v>
      </c>
      <c r="AA138" s="247">
        <f t="shared" si="37"/>
        <v>23.2652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38"/>
        <v>226</v>
      </c>
      <c r="AE138" s="235" t="str">
        <f t="shared" si="39"/>
        <v>aws s3 cp s3://rtdc.mdm.uploadarchive.raw/RTDC4035/ "%USERPROFILE%\AppData\Local\Temp\OnboardLogs"\RTDC4035\2017-12-07 --exclude "*" --recursive --include "*20171207*" &amp; "%USERPROFILE%\Documents\GitHub\mrs-test-scripts\Headless Mode &amp; Sideloading\WalkAndUnGZ.bat" "%USERPROFILE%\AppData\Local\Temp\OnboardLogs"\RTDC4035\2017-12-07 &amp; aws s3 cp s3://rtdc.mdm.uploadarchive.raw/RTDC4035/ "%USERPROFILE%\AppData\Local\Temp\OnboardLogs"\RTDC4035\2017-12-08 --exclude "*" --recursive --include "*20171208*" &amp; "%USERPROFILE%\Documents\GitHub\mrs-test-scripts\Headless Mode &amp; Sideloading\WalkAndUnGZ.bat" "%USERPROFILE%\AppData\Local\Temp\OnboardLogs"\RTDC4035\2017-12-08</v>
      </c>
      <c r="AF138" s="234" t="str">
        <f t="shared" si="40"/>
        <v>"C:\Program Files (x86)\AstroGrep\AstroGrep.exe" /e /r /s /spath="%USERPROFILE%\AppData\Local\Temp\OnboardLogs" /stypes="app*4035*20171208*" /stext=" 04:.+((SYSTEM_STATE.+slice.+state.+changed )|(ment ac)|(multiple cpu faults)|(system.+state.+changed )|(\[timeout)|(PRM\|1\|D)|(kpr)|(kdp)|(train st.+moving)|(\|lc)|(penalty))"</v>
      </c>
      <c r="AG138" s="244" t="str">
        <f t="shared" si="41"/>
        <v>EC</v>
      </c>
      <c r="AH138" s="236" t="str">
        <f t="shared" si="42"/>
        <v>"%USERPROFILE%\Documents\GitHub\eaglep3\Utilities\RefineRTDCRunTimes.py" --tripid 226-07 --locoid 4035 --swversion DE.1.0.9.0 --startMP 204:232926 --initTime 2017-12-07T20:50:59 --startdatetime 2017-12-07T20:57:38 --delay 81 --endMP 204:274 --enddatetime 2017-12-07T21:34:31 --enforcementcount 1 &gt;&gt;%USERPROFILE%\Documents\GitHub\eaglep3-reporting\EC\2017-12-07-refined-times.txt</v>
      </c>
      <c r="AI138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{"issue":{"subject":"","project_id":79,"tracker_id":40,"status_id":1,"priority_id":2,"assigned_to_id":338,"start_date":"2017-12-07","description":"","custom_fields":[{"id":1,"name":"Subdivision","value":"EC"},{"id":4,"name":"Milepost","value":"0.0274"},{"id":17,"name":"Train ID","value":"226-07"},{"id":16,"name":"Locomotive ID","value":"4035"},{"id":130,"name":"Impact","value":""},{"id":150,"name":"Time of Event (Mountain Time)","value":"21:34:31"},{"id":151,"name":"Denver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44"/>
        <v>start /low /b %USERPROFILE%\Documents\GitHub\eaglep3\Utilities\DownloadLogsFromS3.py --loco 4035 --day 2017-12-07</v>
      </c>
      <c r="AN138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04:34:31"},{"id":29,"name":"Sharepoint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46"/>
        <v>https://d0f6bd738d7f1b3e5a7ca70fe4ff75f0.us-east-1.aws.found.io/app/kibana#/discover/Steve-Slow-Train-Analysis-(2080s-and-2083s)?_g=(refreshInterval:(display:Off,pause:!f,section:0,value:0),time:(from:'2017-12-07T19:50:59-0700',mode:absolute,to:'2017-12-07T22:34:31-0700'))&amp;_a=(columns:!('Message%20ID',Summary),filters:!(),index:'emp_*',interval:auto,query:(query_string:(analyze_wildcard:!t,query:'%22rtdc.l.rtdc.4035%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3" customFormat="1" x14ac:dyDescent="0.25">
      <c r="A139" s="229" t="s">
        <v>887</v>
      </c>
      <c r="B139" s="225">
        <v>4058</v>
      </c>
      <c r="C139" s="227" t="s">
        <v>192</v>
      </c>
      <c r="D139" s="227" t="s">
        <v>509</v>
      </c>
      <c r="E139" s="226">
        <v>43076.842893518522</v>
      </c>
      <c r="F139" s="226">
        <v>43076.854560185187</v>
      </c>
      <c r="G139" s="225">
        <v>74</v>
      </c>
      <c r="H139" s="227" t="s">
        <v>962</v>
      </c>
      <c r="I139" s="226">
        <v>43076.878877314812</v>
      </c>
      <c r="J139" s="225">
        <v>1</v>
      </c>
      <c r="K139" s="237" t="str">
        <f t="shared" si="29"/>
        <v>4057/4058</v>
      </c>
      <c r="L139" s="245" t="str">
        <f>VLOOKUP(A139,'Trips&amp;Operators'!$C$1:$G$99911,5,FALSE)</f>
        <v>WEST BRYAN</v>
      </c>
      <c r="M139" s="224">
        <f t="shared" si="30"/>
        <v>2.4317129624250811E-2</v>
      </c>
      <c r="N139" s="225">
        <f t="shared" si="55"/>
        <v>35.016666658921167</v>
      </c>
      <c r="O139" s="225"/>
      <c r="P139" s="225"/>
      <c r="Q139" s="228"/>
      <c r="R139" s="242"/>
      <c r="S139" s="249">
        <f t="shared" si="50"/>
        <v>1</v>
      </c>
      <c r="T139" s="242" t="str">
        <f t="shared" si="32"/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33"/>
        <v>https://d0f6bd738d7f1b3e5a7ca70fe4ff75f0.us-east-1.aws.found.io/app/kibana#/discover/Steve-Slow-Train-Analysis-(2080s-and-2083s)?_g=(refreshInterval:(display:Off,pause:!f,section:0,value:0),time:(from:'2017-12-07T19:13:46-0700',mode:absolute,to:'2017-12-07T22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9" s="247" t="str">
        <f>IF(AA139&lt;VLOOKUP(AG139,Variables!$AC$3:$AD$8,2,FALSE),"Y","N")</f>
        <v>N</v>
      </c>
      <c r="X139" s="247">
        <f t="shared" si="54"/>
        <v>1</v>
      </c>
      <c r="Y139" s="247">
        <f t="shared" si="51"/>
        <v>4.8800000000000003E-2</v>
      </c>
      <c r="Z139" s="247">
        <f t="shared" si="52"/>
        <v>23.322500000000002</v>
      </c>
      <c r="AA139" s="247">
        <f t="shared" si="37"/>
        <v>23.273700000000002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 t="shared" si="38"/>
        <v>227</v>
      </c>
      <c r="AE139" s="235" t="str">
        <f t="shared" si="39"/>
        <v>aws s3 cp s3://rtdc.mdm.uploadarchive.raw/RTDC4058/ "%USERPROFILE%\AppData\Local\Temp\OnboardLogs"\RTDC4058\2017-12-07 --exclude "*" --recursive --include "*20171207*" &amp; "%USERPROFILE%\Documents\GitHub\mrs-test-scripts\Headless Mode &amp; Sideloading\WalkAndUnGZ.bat" "%USERPROFILE%\AppData\Local\Temp\OnboardLogs"\RTDC4058\2017-12-07 &amp; aws s3 cp s3://rtdc.mdm.uploadarchive.raw/RTDC4058/ "%USERPROFILE%\AppData\Local\Temp\OnboardLogs"\RTDC4058\2017-12-08 --exclude "*" --recursive --include "*20171208*" &amp; "%USERPROFILE%\Documents\GitHub\mrs-test-scripts\Headless Mode &amp; Sideloading\WalkAndUnGZ.bat" "%USERPROFILE%\AppData\Local\Temp\OnboardLogs"\RTDC4058\2017-12-08</v>
      </c>
      <c r="AF139" s="234" t="str">
        <f t="shared" si="40"/>
        <v>"C:\Program Files (x86)\AstroGrep\AstroGrep.exe" /e /r /s /spath="%USERPROFILE%\AppData\Local\Temp\OnboardLogs" /stypes="app*4058*20171208*" /stext=" 04:.+((SYSTEM_STATE.+slice.+state.+changed )|(ment ac)|(multiple cpu faults)|(system.+state.+changed )|(\[timeout)|(PRM\|1\|D)|(kpr)|(kdp)|(train st.+moving)|(\|lc)|(penalty))"</v>
      </c>
      <c r="AG139" s="244" t="str">
        <f t="shared" si="41"/>
        <v>EC</v>
      </c>
      <c r="AH139" s="236" t="str">
        <f t="shared" si="42"/>
        <v>"%USERPROFILE%\Documents\GitHub\eaglep3\Utilities\RefineRTDCRunTimes.py" --tripid 227-07 --locoid 4058 --swversion DE.1.0.9.0 --startMP 204:488 --initTime 2017-12-07T20:13:46 --startdatetime 2017-12-07T20:30:34 --delay 74 --endMP 204:233225 --enddatetime 2017-12-07T21:05:35 --enforcementcount 1 &gt;&gt;%USERPROFILE%\Documents\GitHub\eaglep3-reporting\EC\2017-12-07-refined-times.txt</v>
      </c>
      <c r="AI139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{"issue":{"subject":"","project_id":79,"tracker_id":40,"status_id":1,"priority_id":2,"assigned_to_id":338,"start_date":"2017-12-07","description":"","custom_fields":[{"id":1,"name":"Subdivision","value":"EC"},{"id":4,"name":"Milepost","value":"23.3225"},{"id":17,"name":"Train ID","value":"227-07"},{"id":16,"name":"Locomotive ID","value":"4058"},{"id":130,"name":"Impact","value":""},{"id":150,"name":"Time of Event (Mountain Time)","value":"21:05:35"},{"id":151,"name":"Denver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1"/>
      <c r="AL139" s="231"/>
      <c r="AM139" s="240" t="str">
        <f t="shared" si="44"/>
        <v>start /low /b %USERPROFILE%\Documents\GitHub\eaglep3\Utilities\DownloadLogsFromS3.py --loco 4058 --day 2017-12-07</v>
      </c>
      <c r="AN139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04:05:35"},{"id":29,"name":"Sharepoint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46"/>
        <v>https://d0f6bd738d7f1b3e5a7ca70fe4ff75f0.us-east-1.aws.found.io/app/kibana#/discover/Steve-Slow-Train-Analysis-(2080s-and-2083s)?_g=(refreshInterval:(display:Off,pause:!f,section:0,value:0),time:(from:'2017-12-07T19:13:46-0700',mode:absolute,to:'2017-12-07T22:05:35-0700'))&amp;_a=(columns:!('Message%20ID',Summary),filters:!(),index:'emp_*',interval:auto,query:(query_string:(analyze_wildcard:!t,query:'%22rtdc.l.rtdc.4058%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3" customFormat="1" x14ac:dyDescent="0.25">
      <c r="A140" s="229" t="s">
        <v>892</v>
      </c>
      <c r="B140" s="225">
        <v>4057</v>
      </c>
      <c r="C140" s="227" t="s">
        <v>192</v>
      </c>
      <c r="D140" s="227" t="s">
        <v>990</v>
      </c>
      <c r="E140" s="226">
        <v>43076.880925925929</v>
      </c>
      <c r="F140" s="226">
        <v>43076.893946759257</v>
      </c>
      <c r="G140" s="225">
        <v>112</v>
      </c>
      <c r="H140" s="227" t="s">
        <v>1013</v>
      </c>
      <c r="I140" s="226">
        <v>43076.919583333336</v>
      </c>
      <c r="J140" s="225">
        <v>1</v>
      </c>
      <c r="K140" s="237" t="str">
        <f t="shared" si="29"/>
        <v>4057/4058</v>
      </c>
      <c r="L140" s="245" t="str">
        <f>VLOOKUP(A140,'Trips&amp;Operators'!$C$1:$G$99911,5,FALSE)</f>
        <v>WEST BRYAN</v>
      </c>
      <c r="M140" s="224">
        <f t="shared" si="30"/>
        <v>2.5636574078816921E-2</v>
      </c>
      <c r="N140" s="225">
        <f t="shared" si="55"/>
        <v>36.916666673496366</v>
      </c>
      <c r="O140" s="225"/>
      <c r="P140" s="225"/>
      <c r="Q140" s="228"/>
      <c r="R140" s="242"/>
      <c r="S140" s="249">
        <f t="shared" si="50"/>
        <v>1</v>
      </c>
      <c r="T140" s="242" t="str">
        <f t="shared" si="32"/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33"/>
        <v>https://d0f6bd738d7f1b3e5a7ca70fe4ff75f0.us-east-1.aws.found.io/app/kibana#/discover/Steve-Slow-Train-Analysis-(2080s-and-2083s)?_g=(refreshInterval:(display:Off,pause:!f,section:0,value:0),time:(from:'2017-12-07T20:08:32-0700',mode:absolute,to:'2017-12-07T23:04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0" s="247" t="str">
        <f>IF(AA140&lt;VLOOKUP(AG140,Variables!$AC$3:$AD$8,2,FALSE),"Y","N")</f>
        <v>N</v>
      </c>
      <c r="X140" s="247">
        <f t="shared" si="54"/>
        <v>1</v>
      </c>
      <c r="Y140" s="247">
        <f t="shared" si="51"/>
        <v>23.290900000000001</v>
      </c>
      <c r="Z140" s="247">
        <f t="shared" si="52"/>
        <v>2.7300000000000001E-2</v>
      </c>
      <c r="AA140" s="247">
        <f t="shared" si="37"/>
        <v>23.2636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38"/>
        <v>228</v>
      </c>
      <c r="AE140" s="235" t="str">
        <f t="shared" si="39"/>
        <v>aws s3 cp s3://rtdc.mdm.uploadarchive.raw/RTDC4057/ "%USERPROFILE%\AppData\Local\Temp\OnboardLogs"\RTDC4057\2017-12-07 --exclude "*" --recursive --include "*20171207*" &amp; "%USERPROFILE%\Documents\GitHub\mrs-test-scripts\Headless Mode &amp; Sideloading\WalkAndUnGZ.bat" "%USERPROFILE%\AppData\Local\Temp\OnboardLogs"\RTDC4057\2017-12-07 &amp; aws s3 cp s3://rtdc.mdm.uploadarchive.raw/RTDC4057/ "%USERPROFILE%\AppData\Local\Temp\OnboardLogs"\RTDC4057\2017-12-08 --exclude "*" --recursive --include "*20171208*" &amp; "%USERPROFILE%\Documents\GitHub\mrs-test-scripts\Headless Mode &amp; Sideloading\WalkAndUnGZ.bat" "%USERPROFILE%\AppData\Local\Temp\OnboardLogs"\RTDC4057\2017-12-08</v>
      </c>
      <c r="AF140" s="234" t="str">
        <f t="shared" si="40"/>
        <v>"C:\Program Files (x86)\AstroGrep\AstroGrep.exe" /e /r /s /spath="%USERPROFILE%\AppData\Local\Temp\OnboardLogs" /stypes="app*4057*20171208*" /stext=" 05:.+((SYSTEM_STATE.+slice.+state.+changed )|(ment ac)|(multiple cpu faults)|(system.+state.+changed )|(\[timeout)|(PRM\|1\|D)|(kpr)|(kdp)|(train st.+moving)|(\|lc)|(penalty))"</v>
      </c>
      <c r="AG140" s="244" t="str">
        <f t="shared" si="41"/>
        <v>EC</v>
      </c>
      <c r="AH140" s="236" t="str">
        <f t="shared" si="42"/>
        <v>"%USERPROFILE%\Documents\GitHub\eaglep3\Utilities\RefineRTDCRunTimes.py" --tripid 228-07 --locoid 4057 --swversion DE.1.0.9.0 --startMP 204:232909 --initTime 2017-12-07T21:08:32 --startdatetime 2017-12-07T21:27:17 --delay 112 --endMP 204:273 --enddatetime 2017-12-07T22:04:12 --enforcementcount 1 &gt;&gt;%USERPROFILE%\Documents\GitHub\eaglep3-reporting\EC\2017-12-07-refined-times.txt</v>
      </c>
      <c r="AI140" s="238" t="str">
        <f t="shared" si="43"/>
        <v>echo {"issue":{"subject":"","project_id":79,"tracker_id":40,"status_id":1,"priority_id":2,"assigned_to_id":338,"start_date":"2017-12-07","description":"","custom_fields":[{"id":1,"name":"Subdivision","value":"EC"},{"id":4,"name":"Milepost","value":"0.0273"},{"id":17,"name":"Train ID","value":"228-07"},{"id":16,"name":"Locomotive ID","value":"4057"},{"id":130,"name":"Impact","value":""},{"id":150,"name":"Time of Event (Mountain Time)","value":"22:04:12"},{"id":151,"name":"Denver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1"/>
      <c r="AL140" s="231"/>
      <c r="AM140" s="240" t="str">
        <f t="shared" si="44"/>
        <v>start /low /b %USERPROFILE%\Documents\GitHub\eaglep3\Utilities\DownloadLogsFromS3.py --loco 4057 --day 2017-12-07</v>
      </c>
      <c r="AN140" s="241" t="str">
        <f t="shared" si="4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05:04:12"},{"id":29,"name":"Sharepoint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46"/>
        <v>https://d0f6bd738d7f1b3e5a7ca70fe4ff75f0.us-east-1.aws.found.io/app/kibana#/discover/Steve-Slow-Train-Analysis-(2080s-and-2083s)?_g=(refreshInterval:(display:Off,pause:!f,section:0,value:0),time:(from:'2017-12-07T20:08:32-0700',mode:absolute,to:'2017-12-07T23:04:12-0700'))&amp;_a=(columns:!('Message%20ID',Summary),filters:!(),index:'emp_*',interval:auto,query:(query_string:(analyze_wildcard:!t,query:'%22rtdc.l.rtdc.4057%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29" t="s">
        <v>889</v>
      </c>
      <c r="B141" s="225">
        <v>4060</v>
      </c>
      <c r="C141" s="227" t="s">
        <v>192</v>
      </c>
      <c r="D141" s="227" t="s">
        <v>514</v>
      </c>
      <c r="E141" s="226">
        <v>43076.8593287037</v>
      </c>
      <c r="F141" s="226">
        <v>43076.875405092593</v>
      </c>
      <c r="G141" s="225">
        <v>48</v>
      </c>
      <c r="H141" s="227" t="s">
        <v>490</v>
      </c>
      <c r="I141" s="226">
        <v>43076.900231481479</v>
      </c>
      <c r="J141" s="225">
        <v>1</v>
      </c>
      <c r="K141" s="237" t="str">
        <f t="shared" ref="K141:K204" si="56">IF(ISEVEN(B141),(B141-1)&amp;"/"&amp;B141,B141&amp;"/"&amp;(B141+1))</f>
        <v>4059/4060</v>
      </c>
      <c r="L141" s="245" t="str">
        <f>VLOOKUP(A141,'Trips&amp;Operators'!$C$1:$G$99911,5,FALSE)</f>
        <v>ANDERS STEVEN</v>
      </c>
      <c r="M141" s="224">
        <f t="shared" ref="M141:M204" si="57">I141-F141</f>
        <v>2.4826388886140194E-2</v>
      </c>
      <c r="N141" s="225">
        <f t="shared" si="55"/>
        <v>35.749999996041879</v>
      </c>
      <c r="O141" s="225"/>
      <c r="P141" s="225"/>
      <c r="Q141" s="228"/>
      <c r="R141" s="242"/>
      <c r="S141" s="249">
        <f t="shared" ref="S141:S156" si="58">1/IF(AG141="EC",12,1)*SUM(U141:U141)</f>
        <v>1</v>
      </c>
      <c r="T141" s="242" t="str">
        <f t="shared" ref="T141:T204" si="59"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6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-07T19:37:26-0700',mode:absolute,to:'2017-12-07T22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1" s="247" t="str">
        <f>IF(AA141&lt;VLOOKUP(AG141,Variables!$AC$3:$AD$8,2,FALSE),"Y","N")</f>
        <v>N</v>
      </c>
      <c r="X141" s="247">
        <f t="shared" si="54"/>
        <v>1</v>
      </c>
      <c r="Y141" s="247">
        <f t="shared" ref="Y141:Y172" si="61">RIGHT(D141,LEN(D141)-4)/10000</f>
        <v>5.5500000000000001E-2</v>
      </c>
      <c r="Z141" s="247">
        <f t="shared" ref="Z141:Z172" si="62">RIGHT(H141,LEN(H141)-4)/10000</f>
        <v>23.3264</v>
      </c>
      <c r="AA141" s="247">
        <f t="shared" ref="AA141:AA204" si="63">ABS(Z141-Y141)</f>
        <v>23.270900000000001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ref="AD141:AD204" si="64">VALUE(LEFT(A141,LEN(A141)-3))</f>
        <v>229</v>
      </c>
      <c r="AE141" s="235" t="str">
        <f t="shared" ref="AE141:AE204" si="6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s3://rtdc.mdm.uploadarchive.raw/RTDC4060/ "%USERPROFILE%\AppData\Local\Temp\OnboardLogs"\RTDC4060\2017-12-07 --exclude "*" --recursive --include "*20171207*" &amp; "%USERPROFILE%\Documents\GitHub\mrs-test-scripts\Headless Mode &amp; Sideloading\WalkAndUnGZ.bat" "%USERPROFILE%\AppData\Local\Temp\OnboardLogs"\RTDC4060\2017-12-07 &amp; aws s3 cp s3://rtdc.mdm.uploadarchive.raw/RTDC4060/ "%USERPROFILE%\AppData\Local\Temp\OnboardLogs"\RTDC4060\2017-12-08 --exclude "*" --recursive --include "*20171208*" &amp; "%USERPROFILE%\Documents\GitHub\mrs-test-scripts\Headless Mode &amp; Sideloading\WalkAndUnGZ.bat" "%USERPROFILE%\AppData\Local\Temp\OnboardLogs"\RTDC4060\2017-12-08</v>
      </c>
      <c r="AF141" s="234" t="str">
        <f t="shared" ref="AF141:AF204" si="6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/stypes="app*4060*20171208*" /stext=" 04:.+((SYSTEM_STATE.+slice.+state.+changed )|(ment ac)|(multiple cpu faults)|(system.+state.+changed )|(\[timeout)|(PRM\|1\|D)|(kpr)|(kdp)|(train st.+moving)|(\|lc)|(penalty))"</v>
      </c>
      <c r="AG141" s="244" t="str">
        <f t="shared" ref="AG141:AG204" si="67">DetSubdiv(A141)</f>
        <v>EC</v>
      </c>
      <c r="AH141" s="236" t="str">
        <f t="shared" ref="AH141:AH206" si="68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229-07 --locoid 4060 --swversion DE.1.0.9.0 --startMP 204:555 --initTime 2017-12-07T20:37:26 --startdatetime 2017-12-07T21:00:35 --delay 48 --endMP 204:233264 --enddatetime 2017-12-07T21:36:20 --enforcementcount 1 &gt;&gt;%USERPROFILE%\Documents\GitHub\eaglep3-reporting\EC\2017-12-07-refined-times.txt</v>
      </c>
      <c r="AI141" s="238" t="str">
        <f t="shared" ref="AI141:AI206" si="69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{"issue":{"subject":"","project_id":79,"tracker_id":40,"status_id":1,"priority_id":2,"assigned_to_id":338,"start_date":"2017-12-07","description":"","custom_fields":[{"id":1,"name":"Subdivision","value":"EC"},{"id":4,"name":"Milepost","value":"23.3264"},{"id":17,"name":"Train ID","value":"229-07"},{"id":16,"name":"Locomotive ID","value":"4060"},{"id":130,"name":"Impact","value":""},{"id":150,"name":"Time of Event (Mountain Time)","value":"21:36:20"},{"id":151,"name":"Denver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ref="AM141:AM206" si="70">"start /low /b "&amp;dls3logs&amp;" --loco "&amp;B141&amp;" --day "&amp;TEXT(F141,"YYYY-MM-DD")</f>
        <v>start /low /b %USERPROFILE%\Documents\GitHub\eaglep3\Utilities\DownloadLogsFromS3.py --loco 4060 --day 2017-12-07</v>
      </c>
      <c r="AN141" s="241" t="str">
        <f t="shared" ref="AN141:AN206" si="71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04:36:20"},{"id":29,"name":"Sharepoint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ref="AO141:AO206" si="7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-07T19:37:26-0700',mode:absolute,to:'2017-12-07T22:36:20-0700'))&amp;_a=(columns:!('Message%20ID',Summary),filters:!(),index:'emp_*',interval:auto,query:(query_string:(analyze_wildcard:!t,query:'%22rtdc.l.rtdc.4060%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3" customFormat="1" x14ac:dyDescent="0.25">
      <c r="A142" s="229" t="s">
        <v>896</v>
      </c>
      <c r="B142" s="225">
        <v>4059</v>
      </c>
      <c r="C142" s="227" t="s">
        <v>192</v>
      </c>
      <c r="D142" s="227" t="s">
        <v>487</v>
      </c>
      <c r="E142" s="226">
        <v>43076.902546296296</v>
      </c>
      <c r="F142" s="226">
        <v>43076.914907407408</v>
      </c>
      <c r="G142" s="225">
        <v>54</v>
      </c>
      <c r="H142" s="227" t="s">
        <v>653</v>
      </c>
      <c r="I142" s="226">
        <v>43076.941736111112</v>
      </c>
      <c r="J142" s="225">
        <v>1</v>
      </c>
      <c r="K142" s="237" t="str">
        <f t="shared" si="56"/>
        <v>4059/4060</v>
      </c>
      <c r="L142" s="245" t="str">
        <f>VLOOKUP(A142,'Trips&amp;Operators'!$C$1:$G$99911,5,FALSE)</f>
        <v>ANDERS STEVEN</v>
      </c>
      <c r="M142" s="224">
        <f t="shared" si="57"/>
        <v>2.6828703703358769E-2</v>
      </c>
      <c r="N142" s="225">
        <f t="shared" si="55"/>
        <v>38.633333332836628</v>
      </c>
      <c r="O142" s="225"/>
      <c r="P142" s="225"/>
      <c r="Q142" s="228"/>
      <c r="R142" s="242"/>
      <c r="S142" s="249">
        <f t="shared" si="58"/>
        <v>1</v>
      </c>
      <c r="T142" s="242" t="str">
        <f t="shared" si="59"/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 t="shared" si="60"/>
        <v>https://d0f6bd738d7f1b3e5a7ca70fe4ff75f0.us-east-1.aws.found.io/app/kibana#/discover/Steve-Slow-Train-Analysis-(2080s-and-2083s)?_g=(refreshInterval:(display:Off,pause:!f,section:0,value:0),time:(from:'2017-12-07T20:39:40-0700',mode:absolute,to:'2017-12-07T23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2" s="247" t="str">
        <f>IF(AA142&lt;VLOOKUP(AG142,Variables!$AC$3:$AD$8,2,FALSE),"Y","N")</f>
        <v>N</v>
      </c>
      <c r="X142" s="247">
        <f t="shared" si="54"/>
        <v>1</v>
      </c>
      <c r="Y142" s="247">
        <f t="shared" si="61"/>
        <v>23.2942</v>
      </c>
      <c r="Z142" s="247">
        <f t="shared" si="62"/>
        <v>2.4E-2</v>
      </c>
      <c r="AA142" s="247">
        <f t="shared" si="63"/>
        <v>23.270199999999999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 t="shared" si="64"/>
        <v>230</v>
      </c>
      <c r="AE142" s="235" t="str">
        <f t="shared" si="65"/>
        <v>aws s3 cp s3://rtdc.mdm.uploadarchive.raw/RTDC4059/ "%USERPROFILE%\AppData\Local\Temp\OnboardLogs"\RTDC4059\2017-12-07 --exclude "*" --recursive --include "*20171207*" &amp; "%USERPROFILE%\Documents\GitHub\mrs-test-scripts\Headless Mode &amp; Sideloading\WalkAndUnGZ.bat" "%USERPROFILE%\AppData\Local\Temp\OnboardLogs"\RTDC4059\2017-12-07 &amp; aws s3 cp s3://rtdc.mdm.uploadarchive.raw/RTDC4059/ "%USERPROFILE%\AppData\Local\Temp\OnboardLogs"\RTDC4059\2017-12-08 --exclude "*" --recursive --include "*20171208*" &amp; "%USERPROFILE%\Documents\GitHub\mrs-test-scripts\Headless Mode &amp; Sideloading\WalkAndUnGZ.bat" "%USERPROFILE%\AppData\Local\Temp\OnboardLogs"\RTDC4059\2017-12-08</v>
      </c>
      <c r="AF142" s="234" t="str">
        <f t="shared" si="66"/>
        <v>"C:\Program Files (x86)\AstroGrep\AstroGrep.exe" /e /r /s /spath="%USERPROFILE%\AppData\Local\Temp\OnboardLogs" /stypes="app*4059*20171208*" /stext=" 05:.+((SYSTEM_STATE.+slice.+state.+changed )|(ment ac)|(multiple cpu faults)|(system.+state.+changed )|(\[timeout)|(PRM\|1\|D)|(kpr)|(kdp)|(train st.+moving)|(\|lc)|(penalty))"</v>
      </c>
      <c r="AG142" s="244" t="str">
        <f t="shared" si="67"/>
        <v>EC</v>
      </c>
      <c r="AH142" s="236" t="str">
        <f t="shared" si="68"/>
        <v>"%USERPROFILE%\Documents\GitHub\eaglep3\Utilities\RefineRTDCRunTimes.py" --tripid 230-07 --locoid 4059 --swversion DE.1.0.9.0 --startMP 204:232942 --initTime 2017-12-07T21:39:40 --startdatetime 2017-12-07T21:57:28 --delay 54 --endMP 204:240 --enddatetime 2017-12-07T22:36:06 --enforcementcount 1 &gt;&gt;%USERPROFILE%\Documents\GitHub\eaglep3-reporting\EC\2017-12-07-refined-times.txt</v>
      </c>
      <c r="AI142" s="238" t="str">
        <f t="shared" si="69"/>
        <v>echo {"issue":{"subject":"","project_id":79,"tracker_id":40,"status_id":1,"priority_id":2,"assigned_to_id":338,"start_date":"2017-12-07","description":"","custom_fields":[{"id":1,"name":"Subdivision","value":"EC"},{"id":4,"name":"Milepost","value":"0.024"},{"id":17,"name":"Train ID","value":"230-07"},{"id":16,"name":"Locomotive ID","value":"4059"},{"id":130,"name":"Impact","value":""},{"id":150,"name":"Time of Event (Mountain Time)","value":"22:36:06"},{"id":151,"name":"Denver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1"/>
      <c r="AL142" s="231"/>
      <c r="AM142" s="240" t="str">
        <f t="shared" si="70"/>
        <v>start /low /b %USERPROFILE%\Documents\GitHub\eaglep3\Utilities\DownloadLogsFromS3.py --loco 4059 --day 2017-12-07</v>
      </c>
      <c r="AN142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05:36:06"},{"id":29,"name":"Sharepoint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72"/>
        <v>https://d0f6bd738d7f1b3e5a7ca70fe4ff75f0.us-east-1.aws.found.io/app/kibana#/discover/Steve-Slow-Train-Analysis-(2080s-and-2083s)?_g=(refreshInterval:(display:Off,pause:!f,section:0,value:0),time:(from:'2017-12-07T20:39:40-0700',mode:absolute,to:'2017-12-07T23:36:06-0700'))&amp;_a=(columns:!('Message%20ID',Summary),filters:!(),index:'emp_*',interval:auto,query:(query_string:(analyze_wildcard:!t,query:'%22rtdc.l.rtdc.4059%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3" customFormat="1" x14ac:dyDescent="0.25">
      <c r="A143" s="229" t="s">
        <v>893</v>
      </c>
      <c r="B143" s="225">
        <v>4056</v>
      </c>
      <c r="C143" s="227" t="s">
        <v>192</v>
      </c>
      <c r="D143" s="227" t="s">
        <v>1014</v>
      </c>
      <c r="E143" s="226">
        <v>43076.882210648146</v>
      </c>
      <c r="F143" s="226">
        <v>43076.896145833336</v>
      </c>
      <c r="G143" s="225">
        <v>82</v>
      </c>
      <c r="H143" s="227" t="s">
        <v>512</v>
      </c>
      <c r="I143" s="226">
        <v>43076.920624999999</v>
      </c>
      <c r="J143" s="225">
        <v>1</v>
      </c>
      <c r="K143" s="237" t="str">
        <f t="shared" si="56"/>
        <v>4055/4056</v>
      </c>
      <c r="L143" s="245" t="str">
        <f>VLOOKUP(A143,'Trips&amp;Operators'!$C$1:$G$99911,5,FALSE)</f>
        <v>LOZA FIDEL</v>
      </c>
      <c r="M143" s="224">
        <f t="shared" si="57"/>
        <v>2.4479166662786156E-2</v>
      </c>
      <c r="N143" s="225">
        <f t="shared" si="55"/>
        <v>35.249999994412065</v>
      </c>
      <c r="O143" s="225"/>
      <c r="P143" s="225"/>
      <c r="Q143" s="228"/>
      <c r="R143" s="242"/>
      <c r="S143" s="249">
        <f t="shared" si="58"/>
        <v>1</v>
      </c>
      <c r="T143" s="242" t="str">
        <f t="shared" si="59"/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60"/>
        <v>https://d0f6bd738d7f1b3e5a7ca70fe4ff75f0.us-east-1.aws.found.io/app/kibana#/discover/Steve-Slow-Train-Analysis-(2080s-and-2083s)?_g=(refreshInterval:(display:Off,pause:!f,section:0,value:0),time:(from:'2017-12-07T20:10:23-0700',mode:absolute,to:'2017-12-07T23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3" s="247" t="str">
        <f>IF(AA143&lt;VLOOKUP(AG143,Variables!$AC$3:$AD$8,2,FALSE),"Y","N")</f>
        <v>N</v>
      </c>
      <c r="X143" s="247">
        <f t="shared" si="54"/>
        <v>1</v>
      </c>
      <c r="Y143" s="247">
        <f t="shared" si="61"/>
        <v>5.6399999999999999E-2</v>
      </c>
      <c r="Z143" s="247">
        <f t="shared" si="62"/>
        <v>23.3215</v>
      </c>
      <c r="AA143" s="247">
        <f t="shared" si="63"/>
        <v>23.2651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64"/>
        <v>231</v>
      </c>
      <c r="AE143" s="235" t="str">
        <f t="shared" si="65"/>
        <v>aws s3 cp s3://rtdc.mdm.uploadarchive.raw/RTDC4056/ "%USERPROFILE%\AppData\Local\Temp\OnboardLogs"\RTDC4056\2017-12-07 --exclude "*" --recursive --include "*20171207*" &amp; "%USERPROFILE%\Documents\GitHub\mrs-test-scripts\Headless Mode &amp; Sideloading\WalkAndUnGZ.bat" "%USERPROFILE%\AppData\Local\Temp\OnboardLogs"\RTDC4056\2017-12-07 &amp; aws s3 cp s3://rtdc.mdm.uploadarchive.raw/RTDC4056/ "%USERPROFILE%\AppData\Local\Temp\OnboardLogs"\RTDC4056\2017-12-08 --exclude "*" --recursive --include "*20171208*" &amp; "%USERPROFILE%\Documents\GitHub\mrs-test-scripts\Headless Mode &amp; Sideloading\WalkAndUnGZ.bat" "%USERPROFILE%\AppData\Local\Temp\OnboardLogs"\RTDC4056\2017-12-08</v>
      </c>
      <c r="AF143" s="234" t="str">
        <f t="shared" si="66"/>
        <v>"C:\Program Files (x86)\AstroGrep\AstroGrep.exe" /e /r /s /spath="%USERPROFILE%\AppData\Local\Temp\OnboardLogs" /stypes="app*4056*20171208*" /stext=" 05:.+((SYSTEM_STATE.+slice.+state.+changed )|(ment ac)|(multiple cpu faults)|(system.+state.+changed )|(\[timeout)|(PRM\|1\|D)|(kpr)|(kdp)|(train st.+moving)|(\|lc)|(penalty))"</v>
      </c>
      <c r="AG143" s="244" t="str">
        <f t="shared" si="67"/>
        <v>EC</v>
      </c>
      <c r="AH143" s="236" t="str">
        <f t="shared" si="68"/>
        <v>"%USERPROFILE%\Documents\GitHub\eaglep3\Utilities\RefineRTDCRunTimes.py" --tripid 231-07 --locoid 4056 --swversion DE.1.0.9.0 --startMP 204:564 --initTime 2017-12-07T21:10:23 --startdatetime 2017-12-07T21:30:27 --delay 82 --endMP 204:233215 --enddatetime 2017-12-07T22:05:42 --enforcementcount 1 &gt;&gt;%USERPROFILE%\Documents\GitHub\eaglep3-reporting\EC\2017-12-07-refined-times.txt</v>
      </c>
      <c r="AI143" s="238" t="str">
        <f t="shared" si="69"/>
        <v>echo {"issue":{"subject":"","project_id":79,"tracker_id":40,"status_id":1,"priority_id":2,"assigned_to_id":338,"start_date":"2017-12-07","description":"","custom_fields":[{"id":1,"name":"Subdivision","value":"EC"},{"id":4,"name":"Milepost","value":"23.3215"},{"id":17,"name":"Train ID","value":"231-07"},{"id":16,"name":"Locomotive ID","value":"4056"},{"id":130,"name":"Impact","value":""},{"id":150,"name":"Time of Event (Mountain Time)","value":"22:05:42"},{"id":151,"name":"Denver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si="70"/>
        <v>start /low /b %USERPROFILE%\Documents\GitHub\eaglep3\Utilities\DownloadLogsFromS3.py --loco 4056 --day 2017-12-07</v>
      </c>
      <c r="AN143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05:05:42"},{"id":29,"name":"Sharepoint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72"/>
        <v>https://d0f6bd738d7f1b3e5a7ca70fe4ff75f0.us-east-1.aws.found.io/app/kibana#/discover/Steve-Slow-Train-Analysis-(2080s-and-2083s)?_g=(refreshInterval:(display:Off,pause:!f,section:0,value:0),time:(from:'2017-12-07T20:10:23-0700',mode:absolute,to:'2017-12-07T23:05:42-0700'))&amp;_a=(columns:!('Message%20ID',Summary),filters:!(),index:'emp_*',interval:auto,query:(query_string:(analyze_wildcard:!t,query:'%22rtdc.l.rtdc.4056%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29" t="s">
        <v>899</v>
      </c>
      <c r="B144" s="225">
        <v>4055</v>
      </c>
      <c r="C144" s="227" t="s">
        <v>192</v>
      </c>
      <c r="D144" s="227" t="s">
        <v>623</v>
      </c>
      <c r="E144" s="226">
        <v>43076.932847222219</v>
      </c>
      <c r="F144" s="226">
        <v>43076.935590277775</v>
      </c>
      <c r="G144" s="225">
        <v>94</v>
      </c>
      <c r="H144" s="227" t="s">
        <v>933</v>
      </c>
      <c r="I144" s="226">
        <v>43076.960868055554</v>
      </c>
      <c r="J144" s="225">
        <v>1</v>
      </c>
      <c r="K144" s="237" t="str">
        <f t="shared" si="56"/>
        <v>4055/4056</v>
      </c>
      <c r="L144" s="245" t="str">
        <f>VLOOKUP(A144,'Trips&amp;Operators'!$C$1:$G$99911,5,FALSE)</f>
        <v>LOZA FIDEL</v>
      </c>
      <c r="M144" s="224">
        <f t="shared" si="57"/>
        <v>2.527777777868323E-2</v>
      </c>
      <c r="N144" s="225">
        <f t="shared" si="55"/>
        <v>36.400000001303852</v>
      </c>
      <c r="O144" s="225"/>
      <c r="P144" s="225"/>
      <c r="Q144" s="228"/>
      <c r="R144" s="242"/>
      <c r="S144" s="249">
        <f t="shared" si="58"/>
        <v>1</v>
      </c>
      <c r="T144" s="242" t="str">
        <f t="shared" si="59"/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60"/>
        <v>https://d0f6bd738d7f1b3e5a7ca70fe4ff75f0.us-east-1.aws.found.io/app/kibana#/discover/Steve-Slow-Train-Analysis-(2080s-and-2083s)?_g=(refreshInterval:(display:Off,pause:!f,section:0,value:0),time:(from:'2017-12-07T21:23:18-0700',mode:absolute,to:'2017-12-08T00:03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4" s="247" t="str">
        <f>IF(AA144&lt;VLOOKUP(AG144,Variables!$AC$3:$AD$8,2,FALSE),"Y","N")</f>
        <v>N</v>
      </c>
      <c r="X144" s="247">
        <f t="shared" si="54"/>
        <v>1</v>
      </c>
      <c r="Y144" s="247">
        <f t="shared" si="61"/>
        <v>23.294</v>
      </c>
      <c r="Z144" s="247">
        <f t="shared" si="62"/>
        <v>2.18E-2</v>
      </c>
      <c r="AA144" s="247">
        <f t="shared" si="63"/>
        <v>23.272200000000002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64"/>
        <v>232</v>
      </c>
      <c r="AE144" s="235" t="str">
        <f t="shared" si="65"/>
        <v>aws s3 cp s3://rtdc.mdm.uploadarchive.raw/RTDC4055/ "%USERPROFILE%\AppData\Local\Temp\OnboardLogs"\RTDC4055\2017-12-07 --exclude "*" --recursive --include "*20171207*" &amp; "%USERPROFILE%\Documents\GitHub\mrs-test-scripts\Headless Mode &amp; Sideloading\WalkAndUnGZ.bat" "%USERPROFILE%\AppData\Local\Temp\OnboardLogs"\RTDC4055\2017-12-07 &amp; aws s3 cp s3://rtdc.mdm.uploadarchive.raw/RTDC4055/ "%USERPROFILE%\AppData\Local\Temp\OnboardLogs"\RTDC4055\2017-12-08 --exclude "*" --recursive --include "*20171208*" &amp; "%USERPROFILE%\Documents\GitHub\mrs-test-scripts\Headless Mode &amp; Sideloading\WalkAndUnGZ.bat" "%USERPROFILE%\AppData\Local\Temp\OnboardLogs"\RTDC4055\2017-12-08</v>
      </c>
      <c r="AF144" s="234" t="str">
        <f t="shared" si="66"/>
        <v>"C:\Program Files (x86)\AstroGrep\AstroGrep.exe" /e /r /s /spath="%USERPROFILE%\AppData\Local\Temp\OnboardLogs" /stypes="app*4055*20171208*" /stext=" 06:.+((SYSTEM_STATE.+slice.+state.+changed )|(ment ac)|(multiple cpu faults)|(system.+state.+changed )|(\[timeout)|(PRM\|1\|D)|(kpr)|(kdp)|(train st.+moving)|(\|lc)|(penalty))"</v>
      </c>
      <c r="AG144" s="244" t="str">
        <f t="shared" si="67"/>
        <v>EC</v>
      </c>
      <c r="AH144" s="236" t="str">
        <f t="shared" si="68"/>
        <v>"%USERPROFILE%\Documents\GitHub\eaglep3\Utilities\RefineRTDCRunTimes.py" --tripid 232-07 --locoid 4055 --swversion DE.1.0.9.0 --startMP 204:232940 --initTime 2017-12-07T22:23:18 --startdatetime 2017-12-07T22:27:15 --delay 94 --endMP 204:218 --enddatetime 2017-12-07T23:03:39 --enforcementcount 1 &gt;&gt;%USERPROFILE%\Documents\GitHub\eaglep3-reporting\EC\2017-12-07-refined-times.txt</v>
      </c>
      <c r="AI144" s="238" t="str">
        <f t="shared" si="69"/>
        <v>echo {"issue":{"subject":"","project_id":79,"tracker_id":40,"status_id":1,"priority_id":2,"assigned_to_id":338,"start_date":"2017-12-07","description":"","custom_fields":[{"id":1,"name":"Subdivision","value":"EC"},{"id":4,"name":"Milepost","value":"0.0218"},{"id":17,"name":"Train ID","value":"232-07"},{"id":16,"name":"Locomotive ID","value":"4055"},{"id":130,"name":"Impact","value":""},{"id":150,"name":"Time of Event (Mountain Time)","value":"23:03:39"},{"id":151,"name":"Denver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3"/>
      <c r="AK144" s="231"/>
      <c r="AL144" s="231"/>
      <c r="AM144" s="240" t="str">
        <f t="shared" si="70"/>
        <v>start /low /b %USERPROFILE%\Documents\GitHub\eaglep3\Utilities\DownloadLogsFromS3.py --loco 4055 --day 2017-12-07</v>
      </c>
      <c r="AN144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06:03:39"},{"id":29,"name":"Sharepoint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72"/>
        <v>https://d0f6bd738d7f1b3e5a7ca70fe4ff75f0.us-east-1.aws.found.io/app/kibana#/discover/Steve-Slow-Train-Analysis-(2080s-and-2083s)?_g=(refreshInterval:(display:Off,pause:!f,section:0,value:0),time:(from:'2017-12-07T21:23:18-0700',mode:absolute,to:'2017-12-08T00:03:39-0700'))&amp;_a=(columns:!('Message%20ID',Summary),filters:!(),index:'emp_*',interval:auto,query:(query_string:(analyze_wildcard:!t,query:'%22rtdc.l.rtdc.4055%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29" t="s">
        <v>895</v>
      </c>
      <c r="B145" s="225">
        <v>4036</v>
      </c>
      <c r="C145" s="227" t="s">
        <v>192</v>
      </c>
      <c r="D145" s="227" t="s">
        <v>1015</v>
      </c>
      <c r="E145" s="226">
        <v>43076.900590277779</v>
      </c>
      <c r="F145" s="226">
        <v>43076.916817129626</v>
      </c>
      <c r="G145" s="225">
        <v>79</v>
      </c>
      <c r="H145" s="227" t="s">
        <v>639</v>
      </c>
      <c r="I145" s="226">
        <v>43076.940601851849</v>
      </c>
      <c r="J145" s="225">
        <v>1</v>
      </c>
      <c r="K145" s="237" t="str">
        <f t="shared" si="56"/>
        <v>4035/4036</v>
      </c>
      <c r="L145" s="245" t="str">
        <f>VLOOKUP(A145,'Trips&amp;Operators'!$C$1:$G$99911,5,FALSE)</f>
        <v>ELBAUM MIKE</v>
      </c>
      <c r="M145" s="224">
        <f t="shared" si="57"/>
        <v>2.3784722223354038E-2</v>
      </c>
      <c r="N145" s="225">
        <f t="shared" si="55"/>
        <v>34.250000001629815</v>
      </c>
      <c r="O145" s="225"/>
      <c r="P145" s="225"/>
      <c r="Q145" s="228"/>
      <c r="R145" s="242"/>
      <c r="S145" s="249">
        <f t="shared" si="58"/>
        <v>1</v>
      </c>
      <c r="T145" s="242" t="str">
        <f t="shared" si="59"/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60"/>
        <v>https://d0f6bd738d7f1b3e5a7ca70fe4ff75f0.us-east-1.aws.found.io/app/kibana#/discover/Steve-Slow-Train-Analysis-(2080s-and-2083s)?_g=(refreshInterval:(display:Off,pause:!f,section:0,value:0),time:(from:'2017-12-07T20:36:51-0700',mode:absolute,to:'2017-12-07T23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5" s="247" t="str">
        <f>IF(AA145&lt;VLOOKUP(AG145,Variables!$AC$3:$AD$8,2,FALSE),"Y","N")</f>
        <v>N</v>
      </c>
      <c r="X145" s="247">
        <f t="shared" si="54"/>
        <v>1</v>
      </c>
      <c r="Y145" s="247">
        <f t="shared" si="61"/>
        <v>5.8000000000000003E-2</v>
      </c>
      <c r="Z145" s="247">
        <f t="shared" si="62"/>
        <v>23.326799999999999</v>
      </c>
      <c r="AA145" s="247">
        <f t="shared" si="63"/>
        <v>23.268799999999999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64"/>
        <v>233</v>
      </c>
      <c r="AE145" s="235" t="str">
        <f t="shared" si="65"/>
        <v>aws s3 cp s3://rtdc.mdm.uploadarchive.raw/RTDC4036/ "%USERPROFILE%\AppData\Local\Temp\OnboardLogs"\RTDC4036\2017-12-07 --exclude "*" --recursive --include "*20171207*" &amp; "%USERPROFILE%\Documents\GitHub\mrs-test-scripts\Headless Mode &amp; Sideloading\WalkAndUnGZ.bat" "%USERPROFILE%\AppData\Local\Temp\OnboardLogs"\RTDC4036\2017-12-07 &amp; aws s3 cp s3://rtdc.mdm.uploadarchive.raw/RTDC4036/ "%USERPROFILE%\AppData\Local\Temp\OnboardLogs"\RTDC4036\2017-12-08 --exclude "*" --recursive --include "*20171208*" &amp; "%USERPROFILE%\Documents\GitHub\mrs-test-scripts\Headless Mode &amp; Sideloading\WalkAndUnGZ.bat" "%USERPROFILE%\AppData\Local\Temp\OnboardLogs"\RTDC4036\2017-12-08</v>
      </c>
      <c r="AF145" s="234" t="str">
        <f t="shared" si="66"/>
        <v>"C:\Program Files (x86)\AstroGrep\AstroGrep.exe" /e /r /s /spath="%USERPROFILE%\AppData\Local\Temp\OnboardLogs" /stypes="app*4036*20171208*" /stext=" 05:.+((SYSTEM_STATE.+slice.+state.+changed )|(ment ac)|(multiple cpu faults)|(system.+state.+changed )|(\[timeout)|(PRM\|1\|D)|(kpr)|(kdp)|(train st.+moving)|(\|lc)|(penalty))"</v>
      </c>
      <c r="AG145" s="244" t="str">
        <f t="shared" si="67"/>
        <v>EC</v>
      </c>
      <c r="AH145" s="236" t="str">
        <f t="shared" si="68"/>
        <v>"%USERPROFILE%\Documents\GitHub\eaglep3\Utilities\RefineRTDCRunTimes.py" --tripid 233-07 --locoid 4036 --swversion DE.1.0.9.0 --startMP 204:580 --initTime 2017-12-07T21:36:51 --startdatetime 2017-12-07T22:00:13 --delay 79 --endMP 204:233268 --enddatetime 2017-12-07T22:34:28 --enforcementcount 1 &gt;&gt;%USERPROFILE%\Documents\GitHub\eaglep3-reporting\EC\2017-12-07-refined-times.txt</v>
      </c>
      <c r="AI145" s="238" t="str">
        <f t="shared" si="69"/>
        <v>echo {"issue":{"subject":"","project_id":79,"tracker_id":40,"status_id":1,"priority_id":2,"assigned_to_id":338,"start_date":"2017-12-07","description":"","custom_fields":[{"id":1,"name":"Subdivision","value":"EC"},{"id":4,"name":"Milepost","value":"23.3268"},{"id":17,"name":"Train ID","value":"233-07"},{"id":16,"name":"Locomotive ID","value":"4036"},{"id":130,"name":"Impact","value":""},{"id":150,"name":"Time of Event (Mountain Time)","value":"22:34:28"},{"id":151,"name":"Denver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si="70"/>
        <v>start /low /b %USERPROFILE%\Documents\GitHub\eaglep3\Utilities\DownloadLogsFromS3.py --loco 4036 --day 2017-12-07</v>
      </c>
      <c r="AN145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05:34:28"},{"id":29,"name":"Sharepoint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72"/>
        <v>https://d0f6bd738d7f1b3e5a7ca70fe4ff75f0.us-east-1.aws.found.io/app/kibana#/discover/Steve-Slow-Train-Analysis-(2080s-and-2083s)?_g=(refreshInterval:(display:Off,pause:!f,section:0,value:0),time:(from:'2017-12-07T20:36:51-0700',mode:absolute,to:'2017-12-07T23:34:28-0700'))&amp;_a=(columns:!('Message%20ID',Summary),filters:!(),index:'emp_*',interval:auto,query:(query_string:(analyze_wildcard:!t,query:'%22rtdc.l.rtdc.4036%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29" t="s">
        <v>901</v>
      </c>
      <c r="B146" s="225">
        <v>4035</v>
      </c>
      <c r="C146" s="227" t="s">
        <v>192</v>
      </c>
      <c r="D146" s="227" t="s">
        <v>623</v>
      </c>
      <c r="E146" s="226">
        <v>43076.944733796299</v>
      </c>
      <c r="F146" s="226">
        <v>43076.956400462965</v>
      </c>
      <c r="G146" s="225">
        <v>65</v>
      </c>
      <c r="H146" s="227" t="s">
        <v>649</v>
      </c>
      <c r="I146" s="226">
        <v>43076.985115740739</v>
      </c>
      <c r="J146" s="225">
        <v>1</v>
      </c>
      <c r="K146" s="237" t="str">
        <f t="shared" si="56"/>
        <v>4035/4036</v>
      </c>
      <c r="L146" s="245" t="str">
        <f>VLOOKUP(A146,'Trips&amp;Operators'!$C$1:$G$99911,5,FALSE)</f>
        <v>ELBAUM MIKE</v>
      </c>
      <c r="M146" s="224">
        <f t="shared" si="57"/>
        <v>2.8715277774608694E-2</v>
      </c>
      <c r="N146" s="225">
        <f t="shared" si="55"/>
        <v>41.349999995436519</v>
      </c>
      <c r="O146" s="225"/>
      <c r="P146" s="225"/>
      <c r="Q146" s="228"/>
      <c r="R146" s="242"/>
      <c r="S146" s="249">
        <f t="shared" si="58"/>
        <v>1</v>
      </c>
      <c r="T146" s="242" t="str">
        <f t="shared" si="59"/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60"/>
        <v>https://d0f6bd738d7f1b3e5a7ca70fe4ff75f0.us-east-1.aws.found.io/app/kibana#/discover/Steve-Slow-Train-Analysis-(2080s-and-2083s)?_g=(refreshInterval:(display:Off,pause:!f,section:0,value:0),time:(from:'2017-12-07T21:40:25-0700',mode:absolute,to:'2017-12-08T00:38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6" s="247" t="str">
        <f>IF(AA146&lt;VLOOKUP(AG146,Variables!$AC$3:$AD$8,2,FALSE),"Y","N")</f>
        <v>N</v>
      </c>
      <c r="X146" s="247">
        <f t="shared" si="54"/>
        <v>1</v>
      </c>
      <c r="Y146" s="247">
        <f t="shared" si="61"/>
        <v>23.294</v>
      </c>
      <c r="Z146" s="247">
        <f t="shared" si="62"/>
        <v>2.7400000000000001E-2</v>
      </c>
      <c r="AA146" s="247">
        <f t="shared" si="63"/>
        <v>23.2666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64"/>
        <v>234</v>
      </c>
      <c r="AE146" s="235" t="str">
        <f t="shared" si="65"/>
        <v>aws s3 cp s3://rtdc.mdm.uploadarchive.raw/RTDC4035/ "%USERPROFILE%\AppData\Local\Temp\OnboardLogs"\RTDC4035\2017-12-07 --exclude "*" --recursive --include "*20171207*" &amp; "%USERPROFILE%\Documents\GitHub\mrs-test-scripts\Headless Mode &amp; Sideloading\WalkAndUnGZ.bat" "%USERPROFILE%\AppData\Local\Temp\OnboardLogs"\RTDC4035\2017-12-07 &amp; aws s3 cp s3://rtdc.mdm.uploadarchive.raw/RTDC4035/ "%USERPROFILE%\AppData\Local\Temp\OnboardLogs"\RTDC4035\2017-12-08 --exclude "*" --recursive --include "*20171208*" &amp; "%USERPROFILE%\Documents\GitHub\mrs-test-scripts\Headless Mode &amp; Sideloading\WalkAndUnGZ.bat" "%USERPROFILE%\AppData\Local\Temp\OnboardLogs"\RTDC4035\2017-12-08</v>
      </c>
      <c r="AF146" s="234" t="str">
        <f t="shared" si="66"/>
        <v>"C:\Program Files (x86)\AstroGrep\AstroGrep.exe" /e /r /s /spath="%USERPROFILE%\AppData\Local\Temp\OnboardLogs" /stypes="app*4035*20171208*" /stext=" 06:.+((SYSTEM_STATE.+slice.+state.+changed )|(ment ac)|(multiple cpu faults)|(system.+state.+changed )|(\[timeout)|(PRM\|1\|D)|(kpr)|(kdp)|(train st.+moving)|(\|lc)|(penalty))"</v>
      </c>
      <c r="AG146" s="244" t="str">
        <f t="shared" si="67"/>
        <v>EC</v>
      </c>
      <c r="AH146" s="236" t="str">
        <f t="shared" si="68"/>
        <v>"%USERPROFILE%\Documents\GitHub\eaglep3\Utilities\RefineRTDCRunTimes.py" --tripid 234-07 --locoid 4035 --swversion DE.1.0.9.0 --startMP 204:232940 --initTime 2017-12-07T22:40:25 --startdatetime 2017-12-07T22:57:13 --delay 65 --endMP 204:274 --enddatetime 2017-12-07T23:38:34 --enforcementcount 1 &gt;&gt;%USERPROFILE%\Documents\GitHub\eaglep3-reporting\EC\2017-12-07-refined-times.txt</v>
      </c>
      <c r="AI146" s="238" t="str">
        <f t="shared" si="69"/>
        <v>echo {"issue":{"subject":"","project_id":79,"tracker_id":40,"status_id":1,"priority_id":2,"assigned_to_id":338,"start_date":"2017-12-07","description":"","custom_fields":[{"id":1,"name":"Subdivision","value":"EC"},{"id":4,"name":"Milepost","value":"0.0274"},{"id":17,"name":"Train ID","value":"234-07"},{"id":16,"name":"Locomotive ID","value":"4035"},{"id":130,"name":"Impact","value":""},{"id":150,"name":"Time of Event (Mountain Time)","value":"23:38:34"},{"id":151,"name":"Denver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3"/>
      <c r="AK146" s="231"/>
      <c r="AL146" s="231"/>
      <c r="AM146" s="240" t="str">
        <f t="shared" si="70"/>
        <v>start /low /b %USERPROFILE%\Documents\GitHub\eaglep3\Utilities\DownloadLogsFromS3.py --loco 4035 --day 2017-12-07</v>
      </c>
      <c r="AN146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06:38:34"},{"id":29,"name":"Sharepoint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72"/>
        <v>https://d0f6bd738d7f1b3e5a7ca70fe4ff75f0.us-east-1.aws.found.io/app/kibana#/discover/Steve-Slow-Train-Analysis-(2080s-and-2083s)?_g=(refreshInterval:(display:Off,pause:!f,section:0,value:0),time:(from:'2017-12-07T21:40:25-0700',mode:absolute,to:'2017-12-08T00:38:34-0700'))&amp;_a=(columns:!('Message%20ID',Summary),filters:!(),index:'emp_*',interval:auto,query:(query_string:(analyze_wildcard:!t,query:'%22rtdc.l.rtdc.4035%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3" customFormat="1" x14ac:dyDescent="0.25">
      <c r="A147" s="229" t="s">
        <v>898</v>
      </c>
      <c r="B147" s="225">
        <v>4058</v>
      </c>
      <c r="C147" s="227" t="s">
        <v>192</v>
      </c>
      <c r="D147" s="227" t="s">
        <v>1016</v>
      </c>
      <c r="E147" s="226">
        <v>43076.920335648145</v>
      </c>
      <c r="F147" s="226">
        <v>43076.937835648147</v>
      </c>
      <c r="G147" s="225">
        <v>1027</v>
      </c>
      <c r="H147" s="227" t="s">
        <v>639</v>
      </c>
      <c r="I147" s="226">
        <v>43076.963159722225</v>
      </c>
      <c r="J147" s="225">
        <v>1</v>
      </c>
      <c r="K147" s="237" t="str">
        <f t="shared" si="56"/>
        <v>4057/4058</v>
      </c>
      <c r="L147" s="245" t="str">
        <f>VLOOKUP(A147,'Trips&amp;Operators'!$C$1:$G$99911,5,FALSE)</f>
        <v>MOSES BRADLEY</v>
      </c>
      <c r="M147" s="224">
        <f t="shared" si="57"/>
        <v>2.5324074078525882E-2</v>
      </c>
      <c r="N147" s="225">
        <f t="shared" si="55"/>
        <v>36.46666667307727</v>
      </c>
      <c r="O147" s="225"/>
      <c r="P147" s="225"/>
      <c r="Q147" s="228"/>
      <c r="R147" s="242"/>
      <c r="S147" s="249">
        <f t="shared" si="58"/>
        <v>1</v>
      </c>
      <c r="T147" s="242" t="str">
        <f t="shared" si="59"/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60"/>
        <v>https://d0f6bd738d7f1b3e5a7ca70fe4ff75f0.us-east-1.aws.found.io/app/kibana#/discover/Steve-Slow-Train-Analysis-(2080s-and-2083s)?_g=(refreshInterval:(display:Off,pause:!f,section:0,value:0),time:(from:'2017-12-07T21:05:17-0700',mode:absolute,to:'2017-12-08T00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7" s="247" t="str">
        <f>IF(AA147&lt;VLOOKUP(AG147,Variables!$AC$3:$AD$8,2,FALSE),"Y","N")</f>
        <v>N</v>
      </c>
      <c r="X147" s="247">
        <f t="shared" si="54"/>
        <v>1</v>
      </c>
      <c r="Y147" s="247">
        <f t="shared" si="61"/>
        <v>5.57E-2</v>
      </c>
      <c r="Z147" s="247">
        <f t="shared" si="62"/>
        <v>23.326799999999999</v>
      </c>
      <c r="AA147" s="247">
        <f t="shared" si="63"/>
        <v>23.271099999999997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si="64"/>
        <v>235</v>
      </c>
      <c r="AE147" s="235" t="str">
        <f t="shared" si="65"/>
        <v>aws s3 cp s3://rtdc.mdm.uploadarchive.raw/RTDC4058/ "%USERPROFILE%\AppData\Local\Temp\OnboardLogs"\RTDC4058\2017-12-07 --exclude "*" --recursive --include "*20171207*" &amp; "%USERPROFILE%\Documents\GitHub\mrs-test-scripts\Headless Mode &amp; Sideloading\WalkAndUnGZ.bat" "%USERPROFILE%\AppData\Local\Temp\OnboardLogs"\RTDC4058\2017-12-07 &amp; aws s3 cp s3://rtdc.mdm.uploadarchive.raw/RTDC4058/ "%USERPROFILE%\AppData\Local\Temp\OnboardLogs"\RTDC4058\2017-12-08 --exclude "*" --recursive --include "*20171208*" &amp; "%USERPROFILE%\Documents\GitHub\mrs-test-scripts\Headless Mode &amp; Sideloading\WalkAndUnGZ.bat" "%USERPROFILE%\AppData\Local\Temp\OnboardLogs"\RTDC4058\2017-12-08</v>
      </c>
      <c r="AF147" s="234" t="str">
        <f t="shared" si="66"/>
        <v>"C:\Program Files (x86)\AstroGrep\AstroGrep.exe" /e /r /s /spath="%USERPROFILE%\AppData\Local\Temp\OnboardLogs" /stypes="app*4058*20171208*" /stext=" 06:.+((SYSTEM_STATE.+slice.+state.+changed )|(ment ac)|(multiple cpu faults)|(system.+state.+changed )|(\[timeout)|(PRM\|1\|D)|(kpr)|(kdp)|(train st.+moving)|(\|lc)|(penalty))"</v>
      </c>
      <c r="AG147" s="244" t="str">
        <f t="shared" si="67"/>
        <v>EC</v>
      </c>
      <c r="AH147" s="236" t="str">
        <f t="shared" si="68"/>
        <v>"%USERPROFILE%\Documents\GitHub\eaglep3\Utilities\RefineRTDCRunTimes.py" --tripid 235-07 --locoid 4058 --swversion DE.1.0.9.0 --startMP 204:557 --initTime 2017-12-07T22:05:17 --startdatetime 2017-12-07T22:30:29 --delay 1027 --endMP 204:233268 --enddatetime 2017-12-07T23:06:57 --enforcementcount 1 &gt;&gt;%USERPROFILE%\Documents\GitHub\eaglep3-reporting\EC\2017-12-07-refined-times.txt</v>
      </c>
      <c r="AI147" s="238" t="str">
        <f t="shared" si="69"/>
        <v>echo {"issue":{"subject":"","project_id":79,"tracker_id":40,"status_id":1,"priority_id":2,"assigned_to_id":338,"start_date":"2017-12-07","description":"","custom_fields":[{"id":1,"name":"Subdivision","value":"EC"},{"id":4,"name":"Milepost","value":"23.3268"},{"id":17,"name":"Train ID","value":"235-07"},{"id":16,"name":"Locomotive ID","value":"4058"},{"id":130,"name":"Impact","value":""},{"id":150,"name":"Time of Event (Mountain Time)","value":"23:06:57"},{"id":151,"name":"Denver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1"/>
      <c r="AL147" s="231"/>
      <c r="AM147" s="240" t="str">
        <f t="shared" si="70"/>
        <v>start /low /b %USERPROFILE%\Documents\GitHub\eaglep3\Utilities\DownloadLogsFromS3.py --loco 4058 --day 2017-12-07</v>
      </c>
      <c r="AN147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06:06:57"},{"id":29,"name":"Sharepoint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72"/>
        <v>https://d0f6bd738d7f1b3e5a7ca70fe4ff75f0.us-east-1.aws.found.io/app/kibana#/discover/Steve-Slow-Train-Analysis-(2080s-and-2083s)?_g=(refreshInterval:(display:Off,pause:!f,section:0,value:0),time:(from:'2017-12-07T21:05:17-0700',mode:absolute,to:'2017-12-08T00:06:57-0700'))&amp;_a=(columns:!('Message%20ID',Summary),filters:!(),index:'emp_*',interval:auto,query:(query_string:(analyze_wildcard:!t,query:'%22rtdc.l.rtdc.4058%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25">
      <c r="A148" s="229" t="s">
        <v>904</v>
      </c>
      <c r="B148" s="225">
        <v>4057</v>
      </c>
      <c r="C148" s="227" t="s">
        <v>192</v>
      </c>
      <c r="D148" s="227" t="s">
        <v>652</v>
      </c>
      <c r="E148" s="226">
        <v>43076.974502314813</v>
      </c>
      <c r="F148" s="226">
        <v>43076.977418981478</v>
      </c>
      <c r="G148" s="225">
        <v>80</v>
      </c>
      <c r="H148" s="227" t="s">
        <v>1017</v>
      </c>
      <c r="I148" s="226">
        <v>43077.006041666667</v>
      </c>
      <c r="J148" s="225">
        <v>1</v>
      </c>
      <c r="K148" s="237" t="str">
        <f t="shared" si="56"/>
        <v>4057/4058</v>
      </c>
      <c r="L148" s="245" t="str">
        <f>VLOOKUP(A148,'Trips&amp;Operators'!$C$1:$G$99911,5,FALSE)</f>
        <v>MOSES BRADLEY</v>
      </c>
      <c r="M148" s="224">
        <f t="shared" si="57"/>
        <v>2.8622685189475305E-2</v>
      </c>
      <c r="N148" s="225">
        <f t="shared" si="55"/>
        <v>41.21666667284444</v>
      </c>
      <c r="O148" s="225"/>
      <c r="P148" s="225"/>
      <c r="Q148" s="228"/>
      <c r="R148" s="242"/>
      <c r="S148" s="249">
        <f t="shared" si="58"/>
        <v>1</v>
      </c>
      <c r="T148" s="242" t="str">
        <f t="shared" si="59"/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60"/>
        <v>https://d0f6bd738d7f1b3e5a7ca70fe4ff75f0.us-east-1.aws.found.io/app/kibana#/discover/Steve-Slow-Train-Analysis-(2080s-and-2083s)?_g=(refreshInterval:(display:Off,pause:!f,section:0,value:0),time:(from:'2017-12-07T22:23:17-0700',mode:absolute,to:'2017-12-08T01:08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8" s="247" t="str">
        <f>IF(AA148&lt;VLOOKUP(AG148,Variables!$AC$3:$AD$8,2,FALSE),"Y","N")</f>
        <v>N</v>
      </c>
      <c r="X148" s="247">
        <f t="shared" si="54"/>
        <v>1</v>
      </c>
      <c r="Y148" s="247">
        <f t="shared" si="61"/>
        <v>23.294899999999998</v>
      </c>
      <c r="Z148" s="247">
        <f t="shared" si="62"/>
        <v>1.9800000000000002E-2</v>
      </c>
      <c r="AA148" s="247">
        <f t="shared" si="63"/>
        <v>23.275099999999998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64"/>
        <v>236</v>
      </c>
      <c r="AE148" s="235" t="str">
        <f t="shared" si="65"/>
        <v>aws s3 cp s3://rtdc.mdm.uploadarchive.raw/RTDC4057/ "%USERPROFILE%\AppData\Local\Temp\OnboardLogs"\RTDC4057\2017-12-07 --exclude "*" --recursive --include "*20171207*" &amp; "%USERPROFILE%\Documents\GitHub\mrs-test-scripts\Headless Mode &amp; Sideloading\WalkAndUnGZ.bat" "%USERPROFILE%\AppData\Local\Temp\OnboardLogs"\RTDC4057\2017-12-07 &amp; aws s3 cp s3://rtdc.mdm.uploadarchive.raw/RTDC4057/ "%USERPROFILE%\AppData\Local\Temp\OnboardLogs"\RTDC4057\2017-12-08 --exclude "*" --recursive --include "*20171208*" &amp; "%USERPROFILE%\Documents\GitHub\mrs-test-scripts\Headless Mode &amp; Sideloading\WalkAndUnGZ.bat" "%USERPROFILE%\AppData\Local\Temp\OnboardLogs"\RTDC4057\2017-12-08</v>
      </c>
      <c r="AF148" s="234" t="str">
        <f t="shared" si="66"/>
        <v>"C:\Program Files (x86)\AstroGrep\AstroGrep.exe" /e /r /s /spath="%USERPROFILE%\AppData\Local\Temp\OnboardLogs" /stypes="app*4057*20171208*" /stext=" 07:.+((SYSTEM_STATE.+slice.+state.+changed )|(ment ac)|(multiple cpu faults)|(system.+state.+changed )|(\[timeout)|(PRM\|1\|D)|(kpr)|(kdp)|(train st.+moving)|(\|lc)|(penalty))"</v>
      </c>
      <c r="AG148" s="244" t="str">
        <f t="shared" si="67"/>
        <v>EC</v>
      </c>
      <c r="AH148" s="236" t="str">
        <f t="shared" si="68"/>
        <v>"%USERPROFILE%\Documents\GitHub\eaglep3\Utilities\RefineRTDCRunTimes.py" --tripid 236-07 --locoid 4057 --swversion DE.1.0.9.0 --startMP 204:232949 --initTime 2017-12-07T23:23:17 --startdatetime 2017-12-07T23:27:29 --delay 80 --endMP 204:198 --enddatetime 2017-12-08T00:08:42 --enforcementcount 1 &gt;&gt;%USERPROFILE%\Documents\GitHub\eaglep3-reporting\EC\2017-12-07-refined-times.txt</v>
      </c>
      <c r="AI148" s="238" t="str">
        <f t="shared" si="69"/>
        <v>echo {"issue":{"subject":"","project_id":79,"tracker_id":40,"status_id":1,"priority_id":2,"assigned_to_id":338,"start_date":"2017-12-08","description":"","custom_fields":[{"id":1,"name":"Subdivision","value":"EC"},{"id":4,"name":"Milepost","value":"0.0198"},{"id":17,"name":"Train ID","value":"236-07"},{"id":16,"name":"Locomotive ID","value":"4057"},{"id":130,"name":"Impact","value":""},{"id":150,"name":"Time of Event (Mountain Time)","value":"00:08:42"},{"id":151,"name":"Denver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si="70"/>
        <v>start /low /b %USERPROFILE%\Documents\GitHub\eaglep3\Utilities\DownloadLogsFromS3.py --loco 4057 --day 2017-12-07</v>
      </c>
      <c r="AN148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07:08:42"},{"id":29,"name":"Sharepoint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72"/>
        <v>https://d0f6bd738d7f1b3e5a7ca70fe4ff75f0.us-east-1.aws.found.io/app/kibana#/discover/Steve-Slow-Train-Analysis-(2080s-and-2083s)?_g=(refreshInterval:(display:Off,pause:!f,section:0,value:0),time:(from:'2017-12-07T22:23:17-0700',mode:absolute,to:'2017-12-08T01:08:42-0700'))&amp;_a=(columns:!('Message%20ID',Summary),filters:!(),index:'emp_*',interval:auto,query:(query_string:(analyze_wildcard:!t,query:'%22rtdc.l.rtdc.4057%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25">
      <c r="A149" s="229" t="s">
        <v>902</v>
      </c>
      <c r="B149" s="225">
        <v>4060</v>
      </c>
      <c r="C149" s="227" t="s">
        <v>192</v>
      </c>
      <c r="D149" s="227" t="s">
        <v>547</v>
      </c>
      <c r="E149" s="226">
        <v>43076.956678240742</v>
      </c>
      <c r="F149" s="226">
        <v>43076.958831018521</v>
      </c>
      <c r="G149" s="225">
        <v>70</v>
      </c>
      <c r="H149" s="227" t="s">
        <v>1018</v>
      </c>
      <c r="I149" s="226">
        <v>43076.983506944445</v>
      </c>
      <c r="J149" s="225">
        <v>1</v>
      </c>
      <c r="K149" s="237" t="str">
        <f t="shared" si="56"/>
        <v>4059/4060</v>
      </c>
      <c r="L149" s="245" t="str">
        <f>VLOOKUP(A149,'Trips&amp;Operators'!$C$1:$G$99911,5,FALSE)</f>
        <v>ANDERS STEVEN</v>
      </c>
      <c r="M149" s="224">
        <f t="shared" si="57"/>
        <v>2.4675925924384501E-2</v>
      </c>
      <c r="N149" s="225">
        <f t="shared" si="55"/>
        <v>35.533333331113681</v>
      </c>
      <c r="O149" s="225"/>
      <c r="P149" s="225"/>
      <c r="Q149" s="228"/>
      <c r="R149" s="242"/>
      <c r="S149" s="249">
        <f t="shared" si="58"/>
        <v>1</v>
      </c>
      <c r="T149" s="242" t="str">
        <f t="shared" si="59"/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60"/>
        <v>https://d0f6bd738d7f1b3e5a7ca70fe4ff75f0.us-east-1.aws.found.io/app/kibana#/discover/Steve-Slow-Train-Analysis-(2080s-and-2083s)?_g=(refreshInterval:(display:Off,pause:!f,section:0,value:0),time:(from:'2017-12-07T21:57:37-0700',mode:absolute,to:'2017-12-08T00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9" s="247" t="str">
        <f>IF(AA149&lt;VLOOKUP(AG149,Variables!$AC$3:$AD$8,2,FALSE),"Y","N")</f>
        <v>N</v>
      </c>
      <c r="X149" s="247">
        <f t="shared" si="54"/>
        <v>1</v>
      </c>
      <c r="Y149" s="247">
        <f t="shared" si="61"/>
        <v>5.4899999999999997E-2</v>
      </c>
      <c r="Z149" s="247">
        <f t="shared" si="62"/>
        <v>23.328399999999998</v>
      </c>
      <c r="AA149" s="247">
        <f t="shared" si="63"/>
        <v>23.273499999999999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64"/>
        <v>237</v>
      </c>
      <c r="AE149" s="235" t="str">
        <f t="shared" si="65"/>
        <v>aws s3 cp s3://rtdc.mdm.uploadarchive.raw/RTDC4060/ "%USERPROFILE%\AppData\Local\Temp\OnboardLogs"\RTDC4060\2017-12-07 --exclude "*" --recursive --include "*20171207*" &amp; "%USERPROFILE%\Documents\GitHub\mrs-test-scripts\Headless Mode &amp; Sideloading\WalkAndUnGZ.bat" "%USERPROFILE%\AppData\Local\Temp\OnboardLogs"\RTDC4060\2017-12-07 &amp; aws s3 cp s3://rtdc.mdm.uploadarchive.raw/RTDC4060/ "%USERPROFILE%\AppData\Local\Temp\OnboardLogs"\RTDC4060\2017-12-08 --exclude "*" --recursive --include "*20171208*" &amp; "%USERPROFILE%\Documents\GitHub\mrs-test-scripts\Headless Mode &amp; Sideloading\WalkAndUnGZ.bat" "%USERPROFILE%\AppData\Local\Temp\OnboardLogs"\RTDC4060\2017-12-08</v>
      </c>
      <c r="AF149" s="234" t="str">
        <f t="shared" si="66"/>
        <v>"C:\Program Files (x86)\AstroGrep\AstroGrep.exe" /e /r /s /spath="%USERPROFILE%\AppData\Local\Temp\OnboardLogs" /stypes="app*4060*20171208*" /stext=" 06:.+((SYSTEM_STATE.+slice.+state.+changed )|(ment ac)|(multiple cpu faults)|(system.+state.+changed )|(\[timeout)|(PRM\|1\|D)|(kpr)|(kdp)|(train st.+moving)|(\|lc)|(penalty))"</v>
      </c>
      <c r="AG149" s="244" t="str">
        <f t="shared" si="67"/>
        <v>EC</v>
      </c>
      <c r="AH149" s="236" t="str">
        <f t="shared" si="68"/>
        <v>"%USERPROFILE%\Documents\GitHub\eaglep3\Utilities\RefineRTDCRunTimes.py" --tripid 237-07 --locoid 4060 --swversion DE.1.0.9.0 --startMP 204:549 --initTime 2017-12-07T22:57:37 --startdatetime 2017-12-07T23:00:43 --delay 70 --endMP 204:233284 --enddatetime 2017-12-07T23:36:15 --enforcementcount 1 &gt;&gt;%USERPROFILE%\Documents\GitHub\eaglep3-reporting\EC\2017-12-07-refined-times.txt</v>
      </c>
      <c r="AI149" s="238" t="str">
        <f t="shared" si="69"/>
        <v>echo {"issue":{"subject":"","project_id":79,"tracker_id":40,"status_id":1,"priority_id":2,"assigned_to_id":338,"start_date":"2017-12-07","description":"","custom_fields":[{"id":1,"name":"Subdivision","value":"EC"},{"id":4,"name":"Milepost","value":"23.3284"},{"id":17,"name":"Train ID","value":"237-07"},{"id":16,"name":"Locomotive ID","value":"4060"},{"id":130,"name":"Impact","value":""},{"id":150,"name":"Time of Event (Mountain Time)","value":"23:36:15"},{"id":151,"name":"Denver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si="70"/>
        <v>start /low /b %USERPROFILE%\Documents\GitHub\eaglep3\Utilities\DownloadLogsFromS3.py --loco 4060 --day 2017-12-07</v>
      </c>
      <c r="AN149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06:36:15"},{"id":29,"name":"Sharepoint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72"/>
        <v>https://d0f6bd738d7f1b3e5a7ca70fe4ff75f0.us-east-1.aws.found.io/app/kibana#/discover/Steve-Slow-Train-Analysis-(2080s-and-2083s)?_g=(refreshInterval:(display:Off,pause:!f,section:0,value:0),time:(from:'2017-12-07T21:57:37-0700',mode:absolute,to:'2017-12-08T00:36:15-0700'))&amp;_a=(columns:!('Message%20ID',Summary),filters:!(),index:'emp_*',interval:auto,query:(query_string:(analyze_wildcard:!t,query:'%22rtdc.l.rtdc.4060%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3" customFormat="1" x14ac:dyDescent="0.25">
      <c r="A150" s="229" t="s">
        <v>907</v>
      </c>
      <c r="B150" s="225">
        <v>4059</v>
      </c>
      <c r="C150" s="227" t="s">
        <v>192</v>
      </c>
      <c r="D150" s="227" t="s">
        <v>537</v>
      </c>
      <c r="E150" s="226">
        <v>43076.987962962965</v>
      </c>
      <c r="F150" s="226">
        <v>43076.998483796298</v>
      </c>
      <c r="G150" s="225">
        <v>72</v>
      </c>
      <c r="H150" s="227" t="s">
        <v>1019</v>
      </c>
      <c r="I150" s="226">
        <v>43077.027129629627</v>
      </c>
      <c r="J150" s="225">
        <v>1</v>
      </c>
      <c r="K150" s="237" t="str">
        <f t="shared" si="56"/>
        <v>4059/4060</v>
      </c>
      <c r="L150" s="245" t="str">
        <f>VLOOKUP(A150,'Trips&amp;Operators'!$C$1:$G$99911,5,FALSE)</f>
        <v>ANDERS STEVEN</v>
      </c>
      <c r="M150" s="224">
        <f t="shared" si="57"/>
        <v>2.8645833328482695E-2</v>
      </c>
      <c r="N150" s="225">
        <f t="shared" si="55"/>
        <v>41.249999993015081</v>
      </c>
      <c r="O150" s="225"/>
      <c r="P150" s="225"/>
      <c r="Q150" s="228"/>
      <c r="R150" s="242"/>
      <c r="S150" s="249">
        <f t="shared" si="58"/>
        <v>1</v>
      </c>
      <c r="T150" s="242" t="str">
        <f t="shared" si="59"/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 t="shared" si="60"/>
        <v>https://d0f6bd738d7f1b3e5a7ca70fe4ff75f0.us-east-1.aws.found.io/app/kibana#/discover/Steve-Slow-Train-Analysis-(2080s-and-2083s)?_g=(refreshInterval:(display:Off,pause:!f,section:0,value:0),time:(from:'2017-12-07T22:42:40-0700',mode:absolute,to:'2017-12-08T01:39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0" s="247" t="str">
        <f>IF(AA150&lt;VLOOKUP(AG150,Variables!$AC$3:$AD$8,2,FALSE),"Y","N")</f>
        <v>N</v>
      </c>
      <c r="X150" s="247">
        <f t="shared" si="54"/>
        <v>1</v>
      </c>
      <c r="Y150" s="247">
        <f t="shared" si="61"/>
        <v>23.294599999999999</v>
      </c>
      <c r="Z150" s="247">
        <f t="shared" si="62"/>
        <v>2.8500000000000001E-2</v>
      </c>
      <c r="AA150" s="247">
        <f t="shared" si="63"/>
        <v>23.266099999999998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64"/>
        <v>238</v>
      </c>
      <c r="AE150" s="235" t="str">
        <f t="shared" si="65"/>
        <v>aws s3 cp s3://rtdc.mdm.uploadarchive.raw/RTDC4059/ "%USERPROFILE%\AppData\Local\Temp\OnboardLogs"\RTDC4059\2017-12-07 --exclude "*" --recursive --include "*20171207*" &amp; "%USERPROFILE%\Documents\GitHub\mrs-test-scripts\Headless Mode &amp; Sideloading\WalkAndUnGZ.bat" "%USERPROFILE%\AppData\Local\Temp\OnboardLogs"\RTDC4059\2017-12-07 &amp; aws s3 cp s3://rtdc.mdm.uploadarchive.raw/RTDC4059/ "%USERPROFILE%\AppData\Local\Temp\OnboardLogs"\RTDC4059\2017-12-08 --exclude "*" --recursive --include "*20171208*" &amp; "%USERPROFILE%\Documents\GitHub\mrs-test-scripts\Headless Mode &amp; Sideloading\WalkAndUnGZ.bat" "%USERPROFILE%\AppData\Local\Temp\OnboardLogs"\RTDC4059\2017-12-08</v>
      </c>
      <c r="AF150" s="234" t="str">
        <f t="shared" si="66"/>
        <v>"C:\Program Files (x86)\AstroGrep\AstroGrep.exe" /e /r /s /spath="%USERPROFILE%\AppData\Local\Temp\OnboardLogs" /stypes="app*4059*20171208*" /stext=" 07:.+((SYSTEM_STATE.+slice.+state.+changed )|(ment ac)|(multiple cpu faults)|(system.+state.+changed )|(\[timeout)|(PRM\|1\|D)|(kpr)|(kdp)|(train st.+moving)|(\|lc)|(penalty))"</v>
      </c>
      <c r="AG150" s="244" t="str">
        <f t="shared" si="67"/>
        <v>EC</v>
      </c>
      <c r="AH150" s="236" t="str">
        <f t="shared" si="68"/>
        <v>"%USERPROFILE%\Documents\GitHub\eaglep3\Utilities\RefineRTDCRunTimes.py" --tripid 238-07 --locoid 4059 --swversion DE.1.0.9.0 --startMP 204:232946 --initTime 2017-12-07T23:42:40 --startdatetime 2017-12-07T23:57:49 --delay 72 --endMP 204:285 --enddatetime 2017-12-08T00:39:04 --enforcementcount 1 &gt;&gt;%USERPROFILE%\Documents\GitHub\eaglep3-reporting\EC\2017-12-07-refined-times.txt</v>
      </c>
      <c r="AI150" s="238" t="str">
        <f t="shared" si="69"/>
        <v>echo {"issue":{"subject":"","project_id":79,"tracker_id":40,"status_id":1,"priority_id":2,"assigned_to_id":338,"start_date":"2017-12-08","description":"","custom_fields":[{"id":1,"name":"Subdivision","value":"EC"},{"id":4,"name":"Milepost","value":"0.0285"},{"id":17,"name":"Train ID","value":"238-07"},{"id":16,"name":"Locomotive ID","value":"4059"},{"id":130,"name":"Impact","value":""},{"id":150,"name":"Time of Event (Mountain Time)","value":"00:39:04"},{"id":151,"name":"Denver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70"/>
        <v>start /low /b %USERPROFILE%\Documents\GitHub\eaglep3\Utilities\DownloadLogsFromS3.py --loco 4059 --day 2017-12-07</v>
      </c>
      <c r="AN150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07:39:04"},{"id":29,"name":"Sharepoint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72"/>
        <v>https://d0f6bd738d7f1b3e5a7ca70fe4ff75f0.us-east-1.aws.found.io/app/kibana#/discover/Steve-Slow-Train-Analysis-(2080s-and-2083s)?_g=(refreshInterval:(display:Off,pause:!f,section:0,value:0),time:(from:'2017-12-07T22:42:40-0700',mode:absolute,to:'2017-12-08T01:39:04-0700'))&amp;_a=(columns:!('Message%20ID',Summary),filters:!(),index:'emp_*',interval:auto,query:(query_string:(analyze_wildcard:!t,query:'%22rtdc.l.rtdc.4059%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229" t="s">
        <v>906</v>
      </c>
      <c r="B151" s="225">
        <v>4056</v>
      </c>
      <c r="C151" s="227" t="s">
        <v>192</v>
      </c>
      <c r="D151" s="227" t="s">
        <v>959</v>
      </c>
      <c r="E151" s="226">
        <v>43076.975891203707</v>
      </c>
      <c r="F151" s="226">
        <v>43076.979351851849</v>
      </c>
      <c r="G151" s="225">
        <v>67</v>
      </c>
      <c r="H151" s="227" t="s">
        <v>549</v>
      </c>
      <c r="I151" s="226">
        <v>43077.00408564815</v>
      </c>
      <c r="J151" s="225">
        <v>1</v>
      </c>
      <c r="K151" s="237" t="str">
        <f t="shared" si="56"/>
        <v>4055/4056</v>
      </c>
      <c r="L151" s="245" t="str">
        <f>VLOOKUP(A151,'Trips&amp;Operators'!$C$1:$G$99911,5,FALSE)</f>
        <v>LORI SANTOS</v>
      </c>
      <c r="M151" s="224">
        <f t="shared" si="57"/>
        <v>2.4733796301006805E-2</v>
      </c>
      <c r="N151" s="225">
        <f t="shared" si="55"/>
        <v>35.616666673449799</v>
      </c>
      <c r="O151" s="225"/>
      <c r="P151" s="225"/>
      <c r="Q151" s="228"/>
      <c r="R151" s="242"/>
      <c r="S151" s="249">
        <f t="shared" si="58"/>
        <v>1</v>
      </c>
      <c r="T151" s="242" t="str">
        <f t="shared" si="59"/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60"/>
        <v>https://d0f6bd738d7f1b3e5a7ca70fe4ff75f0.us-east-1.aws.found.io/app/kibana#/discover/Steve-Slow-Train-Analysis-(2080s-and-2083s)?_g=(refreshInterval:(display:Off,pause:!f,section:0,value:0),time:(from:'2017-12-07T22:25:17-0700',mode:absolute,to:'2017-12-08T01:05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1" s="247" t="str">
        <f>IF(AA151&lt;VLOOKUP(AG151,Variables!$AC$3:$AD$8,2,FALSE),"Y","N")</f>
        <v>N</v>
      </c>
      <c r="X151" s="247">
        <f t="shared" si="54"/>
        <v>1</v>
      </c>
      <c r="Y151" s="247">
        <f t="shared" si="61"/>
        <v>5.3699999999999998E-2</v>
      </c>
      <c r="Z151" s="247">
        <f t="shared" si="62"/>
        <v>23.325700000000001</v>
      </c>
      <c r="AA151" s="247">
        <f t="shared" si="63"/>
        <v>23.272000000000002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64"/>
        <v>239</v>
      </c>
      <c r="AE151" s="235" t="str">
        <f t="shared" si="65"/>
        <v>aws s3 cp s3://rtdc.mdm.uploadarchive.raw/RTDC4056/ "%USERPROFILE%\AppData\Local\Temp\OnboardLogs"\RTDC4056\2017-12-07 --exclude "*" --recursive --include "*20171207*" &amp; "%USERPROFILE%\Documents\GitHub\mrs-test-scripts\Headless Mode &amp; Sideloading\WalkAndUnGZ.bat" "%USERPROFILE%\AppData\Local\Temp\OnboardLogs"\RTDC4056\2017-12-07 &amp; aws s3 cp s3://rtdc.mdm.uploadarchive.raw/RTDC4056/ "%USERPROFILE%\AppData\Local\Temp\OnboardLogs"\RTDC4056\2017-12-08 --exclude "*" --recursive --include "*20171208*" &amp; "%USERPROFILE%\Documents\GitHub\mrs-test-scripts\Headless Mode &amp; Sideloading\WalkAndUnGZ.bat" "%USERPROFILE%\AppData\Local\Temp\OnboardLogs"\RTDC4056\2017-12-08</v>
      </c>
      <c r="AF151" s="234" t="str">
        <f t="shared" si="66"/>
        <v>"C:\Program Files (x86)\AstroGrep\AstroGrep.exe" /e /r /s /spath="%USERPROFILE%\AppData\Local\Temp\OnboardLogs" /stypes="app*4056*20171208*" /stext=" 07:.+((SYSTEM_STATE.+slice.+state.+changed )|(ment ac)|(multiple cpu faults)|(system.+state.+changed )|(\[timeout)|(PRM\|1\|D)|(kpr)|(kdp)|(train st.+moving)|(\|lc)|(penalty))"</v>
      </c>
      <c r="AG151" s="244" t="str">
        <f t="shared" si="67"/>
        <v>EC</v>
      </c>
      <c r="AH151" s="236" t="str">
        <f t="shared" si="68"/>
        <v>"%USERPROFILE%\Documents\GitHub\eaglep3\Utilities\RefineRTDCRunTimes.py" --tripid 239-07 --locoid 4056 --swversion DE.1.0.9.0 --startMP 204:537 --initTime 2017-12-07T23:25:17 --startdatetime 2017-12-07T23:30:16 --delay 67 --endMP 204:233257 --enddatetime 2017-12-08T00:05:53 --enforcementcount 1 &gt;&gt;%USERPROFILE%\Documents\GitHub\eaglep3-reporting\EC\2017-12-07-refined-times.txt</v>
      </c>
      <c r="AI151" s="238" t="str">
        <f t="shared" si="69"/>
        <v>echo {"issue":{"subject":"","project_id":79,"tracker_id":40,"status_id":1,"priority_id":2,"assigned_to_id":338,"start_date":"2017-12-08","description":"","custom_fields":[{"id":1,"name":"Subdivision","value":"EC"},{"id":4,"name":"Milepost","value":"23.3257"},{"id":17,"name":"Train ID","value":"239-07"},{"id":16,"name":"Locomotive ID","value":"4056"},{"id":130,"name":"Impact","value":""},{"id":150,"name":"Time of Event (Mountain Time)","value":"00:05:53"},{"id":151,"name":"Denver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3"/>
      <c r="AK151" s="231"/>
      <c r="AL151" s="231"/>
      <c r="AM151" s="240" t="str">
        <f t="shared" si="70"/>
        <v>start /low /b %USERPROFILE%\Documents\GitHub\eaglep3\Utilities\DownloadLogsFromS3.py --loco 4056 --day 2017-12-07</v>
      </c>
      <c r="AN151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07:05:53"},{"id":29,"name":"Sharepoint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72"/>
        <v>https://d0f6bd738d7f1b3e5a7ca70fe4ff75f0.us-east-1.aws.found.io/app/kibana#/discover/Steve-Slow-Train-Analysis-(2080s-and-2083s)?_g=(refreshInterval:(display:Off,pause:!f,section:0,value:0),time:(from:'2017-12-07T22:25:17-0700',mode:absolute,to:'2017-12-08T01:05:53-0700'))&amp;_a=(columns:!('Message%20ID',Summary),filters:!(),index:'emp_*',interval:auto,query:(query_string:(analyze_wildcard:!t,query:'%22rtdc.l.rtdc.4056%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25">
      <c r="A152" s="229" t="s">
        <v>909</v>
      </c>
      <c r="B152" s="225">
        <v>4055</v>
      </c>
      <c r="C152" s="227" t="s">
        <v>192</v>
      </c>
      <c r="D152" s="227" t="s">
        <v>1020</v>
      </c>
      <c r="E152" s="226">
        <v>43077.01153935185</v>
      </c>
      <c r="F152" s="226">
        <v>43077.019571759258</v>
      </c>
      <c r="G152" s="225">
        <v>62</v>
      </c>
      <c r="H152" s="227" t="s">
        <v>1021</v>
      </c>
      <c r="I152" s="226">
        <v>43077.046180555553</v>
      </c>
      <c r="J152" s="225">
        <v>1</v>
      </c>
      <c r="K152" s="237" t="str">
        <f t="shared" si="56"/>
        <v>4055/4056</v>
      </c>
      <c r="L152" s="245" t="str">
        <f>VLOOKUP(A152,'Trips&amp;Operators'!$C$1:$G$99911,5,FALSE)</f>
        <v>LORI SANTOS</v>
      </c>
      <c r="M152" s="224">
        <f t="shared" si="57"/>
        <v>2.6608796295477077E-2</v>
      </c>
      <c r="N152" s="225">
        <f t="shared" si="55"/>
        <v>38.316666665486991</v>
      </c>
      <c r="O152" s="225"/>
      <c r="P152" s="225"/>
      <c r="Q152" s="228"/>
      <c r="R152" s="242"/>
      <c r="S152" s="249">
        <f t="shared" si="58"/>
        <v>1</v>
      </c>
      <c r="T152" s="242" t="str">
        <f t="shared" si="59"/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60"/>
        <v>https://d0f6bd738d7f1b3e5a7ca70fe4ff75f0.us-east-1.aws.found.io/app/kibana#/discover/Steve-Slow-Train-Analysis-(2080s-and-2083s)?_g=(refreshInterval:(display:Off,pause:!f,section:0,value:0),time:(from:'2017-12-07T23:16:37-0700',mode:absolute,to:'2017-12-08T02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2" s="247" t="str">
        <f>IF(AA152&lt;VLOOKUP(AG152,Variables!$AC$3:$AD$8,2,FALSE),"Y","N")</f>
        <v>N</v>
      </c>
      <c r="X152" s="247">
        <f t="shared" si="54"/>
        <v>1</v>
      </c>
      <c r="Y152" s="247">
        <f t="shared" si="61"/>
        <v>23.294799999999999</v>
      </c>
      <c r="Z152" s="247">
        <f t="shared" si="62"/>
        <v>2.3599999999999999E-2</v>
      </c>
      <c r="AA152" s="247">
        <f t="shared" si="63"/>
        <v>23.2712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64"/>
        <v>240</v>
      </c>
      <c r="AE152" s="235" t="str">
        <f t="shared" si="65"/>
        <v>aws s3 cp s3://rtdc.mdm.uploadarchive.raw/RTDC4055/ "%USERPROFILE%\AppData\Local\Temp\OnboardLogs"\RTDC4055\2017-12-08 --exclude "*" --recursive --include "*20171208*" &amp; "%USERPROFILE%\Documents\GitHub\mrs-test-scripts\Headless Mode &amp; Sideloading\WalkAndUnGZ.bat" "%USERPROFILE%\AppData\Local\Temp\OnboardLogs"\RTDC4055\2017-12-08 &amp; aws s3 cp s3://rtdc.mdm.uploadarchive.raw/RTDC4055/ "%USERPROFILE%\AppData\Local\Temp\OnboardLogs"\RTDC4055\2017-12-09 --exclude "*" --recursive --include "*20171209*" &amp; "%USERPROFILE%\Documents\GitHub\mrs-test-scripts\Headless Mode &amp; Sideloading\WalkAndUnGZ.bat" "%USERPROFILE%\AppData\Local\Temp\OnboardLogs"\RTDC4055\2017-12-09</v>
      </c>
      <c r="AF152" s="234" t="str">
        <f t="shared" si="66"/>
        <v>"C:\Program Files (x86)\AstroGrep\AstroGrep.exe" /e /r /s /spath="%USERPROFILE%\AppData\Local\Temp\OnboardLogs" /stypes="app*4055*20171208*" /stext=" 08:.+((SYSTEM_STATE.+slice.+state.+changed )|(ment ac)|(multiple cpu faults)|(system.+state.+changed )|(\[timeout)|(PRM\|1\|D)|(kpr)|(kdp)|(train st.+moving)|(\|lc)|(penalty))"</v>
      </c>
      <c r="AG152" s="244" t="str">
        <f t="shared" si="67"/>
        <v>EC</v>
      </c>
      <c r="AH152" s="236" t="str">
        <f t="shared" si="68"/>
        <v>"%USERPROFILE%\Documents\GitHub\eaglep3\Utilities\RefineRTDCRunTimes.py" --tripid 240-07 --locoid 4055 --swversion DE.1.0.9.0 --startMP 204:232948 --initTime 2017-12-08T00:16:37 --startdatetime 2017-12-08T00:28:11 --delay 62 --endMP 204:236 --enddatetime 2017-12-08T01:06:30 --enforcementcount 1 &gt;&gt;%USERPROFILE%\Documents\GitHub\eaglep3-reporting\EC\2017-12-07-refined-times.txt</v>
      </c>
      <c r="AI152" s="238" t="str">
        <f t="shared" si="69"/>
        <v>echo {"issue":{"subject":"","project_id":79,"tracker_id":40,"status_id":1,"priority_id":2,"assigned_to_id":338,"start_date":"2017-12-08","description":"","custom_fields":[{"id":1,"name":"Subdivision","value":"EC"},{"id":4,"name":"Milepost","value":"0.0236"},{"id":17,"name":"Train ID","value":"240-07"},{"id":16,"name":"Locomotive ID","value":"4055"},{"id":130,"name":"Impact","value":""},{"id":150,"name":"Time of Event (Mountain Time)","value":"01:06:30"},{"id":151,"name":"Denver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70"/>
        <v>start /low /b %USERPROFILE%\Documents\GitHub\eaglep3\Utilities\DownloadLogsFromS3.py --loco 4055 --day 2017-12-08</v>
      </c>
      <c r="AN152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08:06:30"},{"id":29,"name":"Sharepoint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72"/>
        <v>https://d0f6bd738d7f1b3e5a7ca70fe4ff75f0.us-east-1.aws.found.io/app/kibana#/discover/Steve-Slow-Train-Analysis-(2080s-and-2083s)?_g=(refreshInterval:(display:Off,pause:!f,section:0,value:0),time:(from:'2017-12-07T23:16:37-0700',mode:absolute,to:'2017-12-08T02:06:30-0700'))&amp;_a=(columns:!('Message%20ID',Summary),filters:!(),index:'emp_*',interval:auto,query:(query_string:(analyze_wildcard:!t,query:'%22rtdc.l.rtdc.4055%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229" t="s">
        <v>908</v>
      </c>
      <c r="B153" s="225">
        <v>4036</v>
      </c>
      <c r="C153" s="227" t="s">
        <v>192</v>
      </c>
      <c r="D153" s="227" t="s">
        <v>1022</v>
      </c>
      <c r="E153" s="226">
        <v>43076.992824074077</v>
      </c>
      <c r="F153" s="226">
        <v>43077.000150462962</v>
      </c>
      <c r="G153" s="225">
        <v>59</v>
      </c>
      <c r="H153" s="227" t="s">
        <v>489</v>
      </c>
      <c r="I153" s="226">
        <v>43077.023935185185</v>
      </c>
      <c r="J153" s="225">
        <v>1</v>
      </c>
      <c r="K153" s="237" t="str">
        <f t="shared" si="56"/>
        <v>4035/4036</v>
      </c>
      <c r="L153" s="245" t="str">
        <f>VLOOKUP(A153,'Trips&amp;Operators'!$C$1:$G$99911,5,FALSE)</f>
        <v>ELBAUM MIKE</v>
      </c>
      <c r="M153" s="224">
        <f t="shared" si="57"/>
        <v>2.3784722223354038E-2</v>
      </c>
      <c r="N153" s="225">
        <f t="shared" si="55"/>
        <v>34.250000001629815</v>
      </c>
      <c r="O153" s="225"/>
      <c r="P153" s="225"/>
      <c r="Q153" s="228"/>
      <c r="R153" s="242"/>
      <c r="S153" s="249">
        <f t="shared" si="58"/>
        <v>1</v>
      </c>
      <c r="T153" s="242" t="str">
        <f t="shared" si="59"/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60"/>
        <v>https://d0f6bd738d7f1b3e5a7ca70fe4ff75f0.us-east-1.aws.found.io/app/kibana#/discover/Steve-Slow-Train-Analysis-(2080s-and-2083s)?_g=(refreshInterval:(display:Off,pause:!f,section:0,value:0),time:(from:'2017-12-07T22:49:40-0700',mode:absolute,to:'2017-12-08T01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3" s="247" t="str">
        <f>IF(AA153&lt;VLOOKUP(AG153,Variables!$AC$3:$AD$8,2,FALSE),"Y","N")</f>
        <v>N</v>
      </c>
      <c r="X153" s="247">
        <f t="shared" si="54"/>
        <v>1</v>
      </c>
      <c r="Y153" s="247">
        <f t="shared" si="61"/>
        <v>5.7099999999999998E-2</v>
      </c>
      <c r="Z153" s="247">
        <f t="shared" si="62"/>
        <v>23.3276</v>
      </c>
      <c r="AA153" s="247">
        <f t="shared" si="63"/>
        <v>23.270500000000002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64"/>
        <v>241</v>
      </c>
      <c r="AE153" s="235" t="str">
        <f t="shared" si="65"/>
        <v>aws s3 cp s3://rtdc.mdm.uploadarchive.raw/RTDC4036/ "%USERPROFILE%\AppData\Local\Temp\OnboardLogs"\RTDC4036\2017-12-08 --exclude "*" --recursive --include "*20171208*" &amp; "%USERPROFILE%\Documents\GitHub\mrs-test-scripts\Headless Mode &amp; Sideloading\WalkAndUnGZ.bat" "%USERPROFILE%\AppData\Local\Temp\OnboardLogs"\RTDC4036\2017-12-08 &amp; aws s3 cp s3://rtdc.mdm.uploadarchive.raw/RTDC4036/ "%USERPROFILE%\AppData\Local\Temp\OnboardLogs"\RTDC4036\2017-12-09 --exclude "*" --recursive --include "*20171209*" &amp; "%USERPROFILE%\Documents\GitHub\mrs-test-scripts\Headless Mode &amp; Sideloading\WalkAndUnGZ.bat" "%USERPROFILE%\AppData\Local\Temp\OnboardLogs"\RTDC4036\2017-12-09</v>
      </c>
      <c r="AF153" s="234" t="str">
        <f t="shared" si="66"/>
        <v>"C:\Program Files (x86)\AstroGrep\AstroGrep.exe" /e /r /s /spath="%USERPROFILE%\AppData\Local\Temp\OnboardLogs" /stypes="app*4036*20171208*" /stext=" 07:.+((SYSTEM_STATE.+slice.+state.+changed )|(ment ac)|(multiple cpu faults)|(system.+state.+changed )|(\[timeout)|(PRM\|1\|D)|(kpr)|(kdp)|(train st.+moving)|(\|lc)|(penalty))"</v>
      </c>
      <c r="AG153" s="244" t="str">
        <f t="shared" si="67"/>
        <v>EC</v>
      </c>
      <c r="AH153" s="236" t="str">
        <f t="shared" si="68"/>
        <v>"%USERPROFILE%\Documents\GitHub\eaglep3\Utilities\RefineRTDCRunTimes.py" --tripid 241-07 --locoid 4036 --swversion DE.1.0.9.0 --startMP 204:571 --initTime 2017-12-07T23:49:40 --startdatetime 2017-12-08T00:00:13 --delay 59 --endMP 204:233276 --enddatetime 2017-12-08T00:34:28 --enforcementcount 1 &gt;&gt;%USERPROFILE%\Documents\GitHub\eaglep3-reporting\EC\2017-12-07-refined-times.txt</v>
      </c>
      <c r="AI153" s="238" t="str">
        <f t="shared" si="69"/>
        <v>echo {"issue":{"subject":"","project_id":79,"tracker_id":40,"status_id":1,"priority_id":2,"assigned_to_id":338,"start_date":"2017-12-08","description":"","custom_fields":[{"id":1,"name":"Subdivision","value":"EC"},{"id":4,"name":"Milepost","value":"23.3276"},{"id":17,"name":"Train ID","value":"241-07"},{"id":16,"name":"Locomotive ID","value":"4036"},{"id":130,"name":"Impact","value":""},{"id":150,"name":"Time of Event (Mountain Time)","value":"00:34:28"},{"id":151,"name":"Denver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3"/>
      <c r="AK153" s="231"/>
      <c r="AL153" s="231"/>
      <c r="AM153" s="240" t="str">
        <f t="shared" si="70"/>
        <v>start /low /b %USERPROFILE%\Documents\GitHub\eaglep3\Utilities\DownloadLogsFromS3.py --loco 4036 --day 2017-12-08</v>
      </c>
      <c r="AN153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07:34:28"},{"id":29,"name":"Sharepoint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72"/>
        <v>https://d0f6bd738d7f1b3e5a7ca70fe4ff75f0.us-east-1.aws.found.io/app/kibana#/discover/Steve-Slow-Train-Analysis-(2080s-and-2083s)?_g=(refreshInterval:(display:Off,pause:!f,section:0,value:0),time:(from:'2017-12-07T22:49:40-0700',mode:absolute,to:'2017-12-08T01:34:28-0700'))&amp;_a=(columns:!('Message%20ID',Summary),filters:!(),index:'emp_*',interval:auto,query:(query_string:(analyze_wildcard:!t,query:'%22rtdc.l.rtdc.4036%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3" customFormat="1" x14ac:dyDescent="0.25">
      <c r="A154" s="229" t="s">
        <v>911</v>
      </c>
      <c r="B154" s="225">
        <v>4035</v>
      </c>
      <c r="C154" s="227" t="s">
        <v>192</v>
      </c>
      <c r="D154" s="227" t="s">
        <v>1023</v>
      </c>
      <c r="E154" s="226">
        <v>43077.025682870371</v>
      </c>
      <c r="F154" s="226">
        <v>43077.039699074077</v>
      </c>
      <c r="G154" s="225">
        <v>52</v>
      </c>
      <c r="H154" s="227" t="s">
        <v>1024</v>
      </c>
      <c r="I154" s="226">
        <v>43077.064953703702</v>
      </c>
      <c r="J154" s="225">
        <v>1</v>
      </c>
      <c r="K154" s="237" t="str">
        <f t="shared" si="56"/>
        <v>4035/4036</v>
      </c>
      <c r="L154" s="245" t="str">
        <f>VLOOKUP(A154,'Trips&amp;Operators'!$C$1:$G$99911,5,FALSE)</f>
        <v>ELBAUM MIKE</v>
      </c>
      <c r="M154" s="224">
        <f t="shared" si="57"/>
        <v>2.5254629625123926E-2</v>
      </c>
      <c r="N154" s="225">
        <f t="shared" si="55"/>
        <v>36.366666660178453</v>
      </c>
      <c r="O154" s="225"/>
      <c r="P154" s="225"/>
      <c r="Q154" s="228"/>
      <c r="R154" s="242"/>
      <c r="S154" s="249">
        <f t="shared" si="58"/>
        <v>1</v>
      </c>
      <c r="T154" s="242" t="str">
        <f t="shared" si="59"/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60"/>
        <v>https://d0f6bd738d7f1b3e5a7ca70fe4ff75f0.us-east-1.aws.found.io/app/kibana#/discover/Steve-Slow-Train-Analysis-(2080s-and-2083s)?_g=(refreshInterval:(display:Off,pause:!f,section:0,value:0),time:(from:'2017-12-07T23:36:59-0700',mode:absolute,to:'2017-12-08T02:33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4" s="247" t="str">
        <f>IF(AA154&lt;VLOOKUP(AG154,Variables!$AC$3:$AD$8,2,FALSE),"Y","N")</f>
        <v>N</v>
      </c>
      <c r="X154" s="247">
        <f t="shared" si="54"/>
        <v>1</v>
      </c>
      <c r="Y154" s="247">
        <f t="shared" si="61"/>
        <v>23.296299999999999</v>
      </c>
      <c r="Z154" s="247">
        <f t="shared" si="62"/>
        <v>2.6200000000000001E-2</v>
      </c>
      <c r="AA154" s="247">
        <f t="shared" si="63"/>
        <v>23.270099999999999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64"/>
        <v>242</v>
      </c>
      <c r="AE154" s="235" t="str">
        <f t="shared" si="65"/>
        <v>aws s3 cp s3://rtdc.mdm.uploadarchive.raw/RTDC4035/ "%USERPROFILE%\AppData\Local\Temp\OnboardLogs"\RTDC4035\2017-12-08 --exclude "*" --recursive --include "*20171208*" &amp; "%USERPROFILE%\Documents\GitHub\mrs-test-scripts\Headless Mode &amp; Sideloading\WalkAndUnGZ.bat" "%USERPROFILE%\AppData\Local\Temp\OnboardLogs"\RTDC4035\2017-12-08 &amp; 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</v>
      </c>
      <c r="AF154" s="234" t="str">
        <f t="shared" si="66"/>
        <v>"C:\Program Files (x86)\AstroGrep\AstroGrep.exe" /e /r /s /spath="%USERPROFILE%\AppData\Local\Temp\OnboardLogs" /stypes="app*4035*20171208*" /stext=" 08:.+((SYSTEM_STATE.+slice.+state.+changed )|(ment ac)|(multiple cpu faults)|(system.+state.+changed )|(\[timeout)|(PRM\|1\|D)|(kpr)|(kdp)|(train st.+moving)|(\|lc)|(penalty))"</v>
      </c>
      <c r="AG154" s="244" t="str">
        <f t="shared" si="67"/>
        <v>EC</v>
      </c>
      <c r="AH154" s="236" t="str">
        <f t="shared" si="68"/>
        <v>"%USERPROFILE%\Documents\GitHub\eaglep3\Utilities\RefineRTDCRunTimes.py" --tripid 242-07 --locoid 4035 --swversion DE.1.0.9.0 --startMP 204:232963 --initTime 2017-12-08T00:36:59 --startdatetime 2017-12-08T00:57:10 --delay 52 --endMP 204:262 --enddatetime 2017-12-08T01:33:32 --enforcementcount 1 &gt;&gt;%USERPROFILE%\Documents\GitHub\eaglep3-reporting\EC\2017-12-07-refined-times.txt</v>
      </c>
      <c r="AI154" s="238" t="str">
        <f t="shared" si="69"/>
        <v>echo {"issue":{"subject":"","project_id":79,"tracker_id":40,"status_id":1,"priority_id":2,"assigned_to_id":338,"start_date":"2017-12-08","description":"","custom_fields":[{"id":1,"name":"Subdivision","value":"EC"},{"id":4,"name":"Milepost","value":"0.0262"},{"id":17,"name":"Train ID","value":"242-07"},{"id":16,"name":"Locomotive ID","value":"4035"},{"id":130,"name":"Impact","value":""},{"id":150,"name":"Time of Event (Mountain Time)","value":"01:33:32"},{"id":151,"name":"Denver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70"/>
        <v>start /low /b %USERPROFILE%\Documents\GitHub\eaglep3\Utilities\DownloadLogsFromS3.py --loco 4035 --day 2017-12-08</v>
      </c>
      <c r="AN154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08:33:32"},{"id":29,"name":"Sharepoint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72"/>
        <v>https://d0f6bd738d7f1b3e5a7ca70fe4ff75f0.us-east-1.aws.found.io/app/kibana#/discover/Steve-Slow-Train-Analysis-(2080s-and-2083s)?_g=(refreshInterval:(display:Off,pause:!f,section:0,value:0),time:(from:'2017-12-07T23:36:59-0700',mode:absolute,to:'2017-12-08T02:33:32-0700'))&amp;_a=(columns:!('Message%20ID',Summary),filters:!(),index:'emp_*',interval:auto,query:(query_string:(analyze_wildcard:!t,query:'%22rtdc.l.rtdc.4035%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29" t="s">
        <v>910</v>
      </c>
      <c r="B155" s="225">
        <v>4058</v>
      </c>
      <c r="C155" s="227" t="s">
        <v>192</v>
      </c>
      <c r="D155" s="227" t="s">
        <v>453</v>
      </c>
      <c r="E155" s="226">
        <v>43077.018078703702</v>
      </c>
      <c r="F155" s="226">
        <v>43077.021111111113</v>
      </c>
      <c r="G155" s="225">
        <v>136</v>
      </c>
      <c r="H155" s="227" t="s">
        <v>618</v>
      </c>
      <c r="I155" s="226">
        <v>43077.04482638889</v>
      </c>
      <c r="J155" s="225">
        <v>1</v>
      </c>
      <c r="K155" s="237" t="str">
        <f t="shared" si="56"/>
        <v>4057/4058</v>
      </c>
      <c r="L155" s="245" t="str">
        <f>VLOOKUP(A155,'Trips&amp;Operators'!$C$1:$G$99911,5,FALSE)</f>
        <v>MOSES BRADLEY</v>
      </c>
      <c r="M155" s="224">
        <f t="shared" si="57"/>
        <v>2.3715277777228039E-2</v>
      </c>
      <c r="N155" s="225">
        <f t="shared" si="55"/>
        <v>34.149999999208376</v>
      </c>
      <c r="O155" s="225"/>
      <c r="P155" s="225"/>
      <c r="Q155" s="228"/>
      <c r="R155" s="242"/>
      <c r="S155" s="249">
        <f t="shared" si="58"/>
        <v>1</v>
      </c>
      <c r="T155" s="242" t="str">
        <f t="shared" si="59"/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 t="shared" si="60"/>
        <v>https://d0f6bd738d7f1b3e5a7ca70fe4ff75f0.us-east-1.aws.found.io/app/kibana#/discover/Steve-Slow-Train-Analysis-(2080s-and-2083s)?_g=(refreshInterval:(display:Off,pause:!f,section:0,value:0),time:(from:'2017-12-07T23:26:02-0700',mode:absolute,to:'2017-12-08T02:04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5" s="247" t="str">
        <f>IF(AA155&lt;VLOOKUP(AG155,Variables!$AC$3:$AD$8,2,FALSE),"Y","N")</f>
        <v>N</v>
      </c>
      <c r="X155" s="247">
        <f t="shared" si="54"/>
        <v>1</v>
      </c>
      <c r="Y155" s="247">
        <f t="shared" si="61"/>
        <v>5.1700000000000003E-2</v>
      </c>
      <c r="Z155" s="247">
        <f t="shared" si="62"/>
        <v>23.3278</v>
      </c>
      <c r="AA155" s="247">
        <f t="shared" si="63"/>
        <v>23.2761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64"/>
        <v>243</v>
      </c>
      <c r="AE155" s="235" t="str">
        <f t="shared" si="65"/>
        <v>aws s3 cp s3://rtdc.mdm.uploadarchive.raw/RTDC4058/ "%USERPROFILE%\AppData\Local\Temp\OnboardLogs"\RTDC4058\2017-12-08 --exclude "*" --recursive --include "*20171208*" &amp; "%USERPROFILE%\Documents\GitHub\mrs-test-scripts\Headless Mode &amp; Sideloading\WalkAndUnGZ.bat" "%USERPROFILE%\AppData\Local\Temp\OnboardLogs"\RTDC4058\2017-12-08 &amp; 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</v>
      </c>
      <c r="AF155" s="234" t="str">
        <f t="shared" si="66"/>
        <v>"C:\Program Files (x86)\AstroGrep\AstroGrep.exe" /e /r /s /spath="%USERPROFILE%\AppData\Local\Temp\OnboardLogs" /stypes="app*4058*20171208*" /stext=" 08:.+((SYSTEM_STATE.+slice.+state.+changed )|(ment ac)|(multiple cpu faults)|(system.+state.+changed )|(\[timeout)|(PRM\|1\|D)|(kpr)|(kdp)|(train st.+moving)|(\|lc)|(penalty))"</v>
      </c>
      <c r="AG155" s="244" t="str">
        <f t="shared" si="67"/>
        <v>EC</v>
      </c>
      <c r="AH155" s="236" t="str">
        <f t="shared" si="68"/>
        <v>"%USERPROFILE%\Documents\GitHub\eaglep3\Utilities\RefineRTDCRunTimes.py" --tripid 243-07 --locoid 4058 --swversion DE.1.0.9.0 --startMP 204:517 --initTime 2017-12-08T00:26:02 --startdatetime 2017-12-08T00:30:24 --delay 136 --endMP 204:233278 --enddatetime 2017-12-08T01:04:33 --enforcementcount 1 &gt;&gt;%USERPROFILE%\Documents\GitHub\eaglep3-reporting\EC\2017-12-07-refined-times.txt</v>
      </c>
      <c r="AI155" s="238" t="str">
        <f t="shared" si="69"/>
        <v>echo {"issue":{"subject":"","project_id":79,"tracker_id":40,"status_id":1,"priority_id":2,"assigned_to_id":338,"start_date":"2017-12-08","description":"","custom_fields":[{"id":1,"name":"Subdivision","value":"EC"},{"id":4,"name":"Milepost","value":"23.3278"},{"id":17,"name":"Train ID","value":"243-07"},{"id":16,"name":"Locomotive ID","value":"4058"},{"id":130,"name":"Impact","value":""},{"id":150,"name":"Time of Event (Mountain Time)","value":"01:04:33"},{"id":151,"name":"Denver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70"/>
        <v>start /low /b %USERPROFILE%\Documents\GitHub\eaglep3\Utilities\DownloadLogsFromS3.py --loco 4058 --day 2017-12-08</v>
      </c>
      <c r="AN155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08:04:33"},{"id":29,"name":"Sharepoint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72"/>
        <v>https://d0f6bd738d7f1b3e5a7ca70fe4ff75f0.us-east-1.aws.found.io/app/kibana#/discover/Steve-Slow-Train-Analysis-(2080s-and-2083s)?_g=(refreshInterval:(display:Off,pause:!f,section:0,value:0),time:(from:'2017-12-07T23:26:02-0700',mode:absolute,to:'2017-12-08T02:04:33-0700'))&amp;_a=(columns:!('Message%20ID',Summary),filters:!(),index:'emp_*',interval:auto,query:(query_string:(analyze_wildcard:!t,query:'%22rtdc.l.rtdc.4058%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25">
      <c r="A156" s="229" t="s">
        <v>914</v>
      </c>
      <c r="B156" s="225">
        <v>4057</v>
      </c>
      <c r="C156" s="227" t="s">
        <v>192</v>
      </c>
      <c r="D156" s="227" t="s">
        <v>626</v>
      </c>
      <c r="E156" s="226">
        <v>43077.057314814818</v>
      </c>
      <c r="F156" s="226">
        <v>43077.084513888891</v>
      </c>
      <c r="G156" s="225">
        <v>85</v>
      </c>
      <c r="H156" s="227" t="s">
        <v>1025</v>
      </c>
      <c r="I156" s="226">
        <v>43077.08934027778</v>
      </c>
      <c r="J156" s="225">
        <v>1</v>
      </c>
      <c r="K156" s="237" t="str">
        <f t="shared" si="56"/>
        <v>4057/4058</v>
      </c>
      <c r="L156" s="245" t="str">
        <f>VLOOKUP(A156,'Trips&amp;Operators'!$C$1:$G$99911,5,FALSE)</f>
        <v>MOSES BRADLEY</v>
      </c>
      <c r="M156" s="224">
        <f t="shared" si="57"/>
        <v>4.8263888893416151E-3</v>
      </c>
      <c r="N156" s="225"/>
      <c r="O156" s="225"/>
      <c r="P156" s="225">
        <f>24*60*SUM($M156:$M156)</f>
        <v>6.9500000006519258</v>
      </c>
      <c r="Q156" s="228"/>
      <c r="R156" s="242" t="s">
        <v>446</v>
      </c>
      <c r="S156" s="249">
        <f t="shared" si="58"/>
        <v>0.16666666666666666</v>
      </c>
      <c r="T156" s="242" t="str">
        <f t="shared" si="59"/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2</v>
      </c>
      <c r="V156" s="248" t="str">
        <f t="shared" si="60"/>
        <v>https://d0f6bd738d7f1b3e5a7ca70fe4ff75f0.us-east-1.aws.found.io/app/kibana#/discover/Steve-Slow-Train-Analysis-(2080s-and-2083s)?_g=(refreshInterval:(display:Off,pause:!f,section:0,value:0),time:(from:'2017-12-08T00:22:32-0700',mode:absolute,to:'2017-12-08T03:08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6" s="247" t="str">
        <f>IF(AA156&lt;VLOOKUP(AG156,Variables!$AC$3:$AD$8,2,FALSE),"Y","N")</f>
        <v>Y</v>
      </c>
      <c r="X156" s="247">
        <f t="shared" ref="X156:X183" si="73">VALUE(LEFT(AD156,4))-VALUE(LEFT(AD155,4))</f>
        <v>1</v>
      </c>
      <c r="Y156" s="247">
        <f t="shared" si="61"/>
        <v>23.2959</v>
      </c>
      <c r="Z156" s="247">
        <f t="shared" si="62"/>
        <v>8.6353000000000009</v>
      </c>
      <c r="AA156" s="247">
        <f t="shared" si="63"/>
        <v>14.660599999999999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64"/>
        <v>244</v>
      </c>
      <c r="AE156" s="235" t="str">
        <f t="shared" si="65"/>
        <v>aws s3 cp s3://rtdc.mdm.uploadarchive.raw/RTDC4057/ "%USERPROFILE%\AppData\Local\Temp\OnboardLogs"\RTDC4057\2017-12-08 --exclude "*" --recursive --include "*20171208*" &amp; "%USERPROFILE%\Documents\GitHub\mrs-test-scripts\Headless Mode &amp; Sideloading\WalkAndUnGZ.bat" "%USERPROFILE%\AppData\Local\Temp\OnboardLogs"\RTDC4057\2017-12-08 &amp; 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</v>
      </c>
      <c r="AF156" s="234" t="str">
        <f t="shared" si="66"/>
        <v>"C:\Program Files (x86)\AstroGrep\AstroGrep.exe" /e /r /s /spath="%USERPROFILE%\AppData\Local\Temp\OnboardLogs" /stypes="app*4057*20171208*" /stext=" 09:.+((SYSTEM_STATE.+slice.+state.+changed )|(ment ac)|(multiple cpu faults)|(system.+state.+changed )|(\[timeout)|(PRM\|1\|D)|(kpr)|(kdp)|(train st.+moving)|(\|lc)|(penalty))"</v>
      </c>
      <c r="AG156" s="244" t="str">
        <f t="shared" si="67"/>
        <v>EC</v>
      </c>
      <c r="AH156" s="236" t="str">
        <f t="shared" si="68"/>
        <v>"%USERPROFILE%\Documents\GitHub\eaglep3\Utilities\RefineRTDCRunTimes.py" --tripid 244-07 --locoid 4057 --swversion DE.1.0.9.0 --startMP 204:232959 --initTime 2017-12-08T01:22:32 --startdatetime 2017-12-08T02:01:42 --delay 85 --endMP 204:86353 --enddatetime 2017-12-08T02:08:39 --enforcementcount 1 &gt;&gt;%USERPROFILE%\Documents\GitHub\eaglep3-reporting\EC\2017-12-07-refined-times.txt</v>
      </c>
      <c r="AI156" s="238" t="str">
        <f t="shared" si="69"/>
        <v>echo {"issue":{"subject":"Wi-MAX data drop","project_id":79,"tracker_id":40,"status_id":1,"priority_id":2,"assigned_to_id":338,"start_date":"2017-12-08","description":"","custom_fields":[{"id":1,"name":"Subdivision","value":"EC"},{"id":4,"name":"Milepost","value":"8.6353"},{"id":17,"name":"Train ID","value":"244-07"},{"id":16,"name":"Locomotive ID","value":"4057"},{"id":130,"name":"Impact","value":""},{"id":150,"name":"Time of Event (Mountain Time)","value":"02:08:39"},{"id":151,"name":"Denver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si="70"/>
        <v>start /low /b %USERPROFILE%\Documents\GitHub\eaglep3\Utilities\DownloadLogsFromS3.py --loco 4057 --day 2017-12-08</v>
      </c>
      <c r="AN156" s="241" t="str">
        <f t="shared" si="71"/>
        <v>echo {"issue":{"subject":"Wi-MAX data drop","project_id":30,"tracker_id":4,"status_id":1,"priority_id":1,"assigned_to_id":10,"start_date":"2017-12-08","description":"","custom_fields":[{"id":30,"name":"Category","value":"Issue"},{"id":3,"name":"Functional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09:08:39"},{"id":29,"name":"Sharepoint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72"/>
        <v>https://d0f6bd738d7f1b3e5a7ca70fe4ff75f0.us-east-1.aws.found.io/app/kibana#/discover/Steve-Slow-Train-Analysis-(2080s-and-2083s)?_g=(refreshInterval:(display:Off,pause:!f,section:0,value:0),time:(from:'2017-12-08T00:22:32-0700',mode:absolute,to:'2017-12-08T03:08:39-0700'))&amp;_a=(columns:!('Message%20ID',Summary),filters:!(),index:'emp_*',interval:auto,query:(query_string:(analyze_wildcard:!t,query:'%22rtdc.l.rtdc.4057%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3" customFormat="1" x14ac:dyDescent="0.25">
      <c r="A157" s="229" t="s">
        <v>914</v>
      </c>
      <c r="B157" s="225">
        <v>4057</v>
      </c>
      <c r="C157" s="227" t="s">
        <v>192</v>
      </c>
      <c r="D157" s="227" t="s">
        <v>1026</v>
      </c>
      <c r="E157" s="226">
        <v>43077.083379629628</v>
      </c>
      <c r="F157" s="226">
        <v>43077.084513888891</v>
      </c>
      <c r="G157" s="225">
        <v>42</v>
      </c>
      <c r="H157" s="227" t="s">
        <v>551</v>
      </c>
      <c r="I157" s="226">
        <v>43077.08934027778</v>
      </c>
      <c r="J157" s="225">
        <v>1</v>
      </c>
      <c r="K157" s="237" t="str">
        <f t="shared" si="56"/>
        <v>4057/4058</v>
      </c>
      <c r="L157" s="245" t="str">
        <f>VLOOKUP(A157,'Trips&amp;Operators'!$C$1:$G$99911,5,FALSE)</f>
        <v>MOSES BRADLEY</v>
      </c>
      <c r="M157" s="224">
        <f t="shared" si="57"/>
        <v>4.8263888893416151E-3</v>
      </c>
      <c r="N157" s="225"/>
      <c r="O157" s="225"/>
      <c r="P157" s="225"/>
      <c r="Q157" s="228"/>
      <c r="R157" s="242"/>
      <c r="S157" s="249"/>
      <c r="T157" s="242" t="str">
        <f t="shared" si="59"/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248" t="str">
        <f t="shared" si="60"/>
        <v>https://d0f6bd738d7f1b3e5a7ca70fe4ff75f0.us-east-1.aws.found.io/app/kibana#/discover/Steve-Slow-Train-Analysis-(2080s-and-2083s)?_g=(refreshInterval:(display:Off,pause:!f,section:0,value:0),time:(from:'2017-12-08T01:00:04-0700',mode:absolute,to:'2017-12-08T03:08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7" s="247" t="str">
        <f>IF(AA157&lt;VLOOKUP(AG157,Variables!$AC$3:$AD$8,2,FALSE),"Y","N")</f>
        <v>Y</v>
      </c>
      <c r="X157" s="247">
        <f t="shared" si="73"/>
        <v>0</v>
      </c>
      <c r="Y157" s="247">
        <f t="shared" si="61"/>
        <v>1.8768</v>
      </c>
      <c r="Z157" s="247">
        <f t="shared" si="62"/>
        <v>5.6000000000000001E-2</v>
      </c>
      <c r="AA157" s="247">
        <f t="shared" si="63"/>
        <v>1.8208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64"/>
        <v>244</v>
      </c>
      <c r="AE157" s="235" t="str">
        <f t="shared" si="65"/>
        <v>aws s3 cp s3://rtdc.mdm.uploadarchive.raw/RTDC4057/ "%USERPROFILE%\AppData\Local\Temp\OnboardLogs"\RTDC4057\2017-12-08 --exclude "*" --recursive --include "*20171208*" &amp; "%USERPROFILE%\Documents\GitHub\mrs-test-scripts\Headless Mode &amp; Sideloading\WalkAndUnGZ.bat" "%USERPROFILE%\AppData\Local\Temp\OnboardLogs"\RTDC4057\2017-12-08 &amp; 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</v>
      </c>
      <c r="AF157" s="234" t="str">
        <f t="shared" si="66"/>
        <v>"C:\Program Files (x86)\AstroGrep\AstroGrep.exe" /e /r /s /spath="%USERPROFILE%\AppData\Local\Temp\OnboardLogs" /stypes="app*4057*20171208*" /stext=" 09:.+((SYSTEM_STATE.+slice.+state.+changed )|(ment ac)|(multiple cpu faults)|(system.+state.+changed )|(\[timeout)|(PRM\|1\|D)|(kpr)|(kdp)|(train st.+moving)|(\|lc)|(penalty))"</v>
      </c>
      <c r="AG157" s="244" t="str">
        <f t="shared" si="67"/>
        <v>EC</v>
      </c>
      <c r="AH157" s="236" t="str">
        <f t="shared" si="68"/>
        <v>"%USERPROFILE%\Documents\GitHub\eaglep3\Utilities\RefineRTDCRunTimes.py" --tripid 244-07 --locoid 4057 --swversion DE.1.0.9.0 --startMP 204:18768 --initTime 2017-12-08T02:00:04 --startdatetime 2017-12-08T02:01:42 --delay 42 --endMP 204:560 --enddatetime 2017-12-08T02:08:39 --enforcementcount 1 &gt;&gt;%USERPROFILE%\Documents\GitHub\eaglep3-reporting\EC\2017-12-07-refined-times.txt</v>
      </c>
      <c r="AI157" s="238" t="str">
        <f t="shared" si="69"/>
        <v>echo {"issue":{"subject":"","project_id":79,"tracker_id":40,"status_id":1,"priority_id":2,"assigned_to_id":338,"start_date":"2017-12-08","description":"","custom_fields":[{"id":1,"name":"Subdivision","value":"EC"},{"id":4,"name":"Milepost","value":"0.056"},{"id":17,"name":"Train ID","value":"244-07"},{"id":16,"name":"Locomotive ID","value":"4057"},{"id":130,"name":"Impact","value":""},{"id":150,"name":"Time of Event (Mountain Time)","value":"02:08:39"},{"id":151,"name":"Denver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si="70"/>
        <v>start /low /b %USERPROFILE%\Documents\GitHub\eaglep3\Utilities\DownloadLogsFromS3.py --loco 4057 --day 2017-12-08</v>
      </c>
      <c r="AN157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09:08:39"},{"id":29,"name":"Sharepoint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72"/>
        <v>https://d0f6bd738d7f1b3e5a7ca70fe4ff75f0.us-east-1.aws.found.io/app/kibana#/discover/Steve-Slow-Train-Analysis-(2080s-and-2083s)?_g=(refreshInterval:(display:Off,pause:!f,section:0,value:0),time:(from:'2017-12-08T01:00:04-0700',mode:absolute,to:'2017-12-08T03:08:39-0700'))&amp;_a=(columns:!('Message%20ID',Summary),filters:!(),index:'emp_*',interval:auto,query:(query_string:(analyze_wildcard:!t,query:'%22rtdc.l.rtdc.4057%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229" t="s">
        <v>679</v>
      </c>
      <c r="B158" s="225">
        <v>4043</v>
      </c>
      <c r="C158" s="227" t="s">
        <v>192</v>
      </c>
      <c r="D158" s="227" t="s">
        <v>561</v>
      </c>
      <c r="E158" s="226">
        <v>43076.210578703707</v>
      </c>
      <c r="F158" s="226">
        <v>43076.21261574074</v>
      </c>
      <c r="G158" s="225">
        <v>79</v>
      </c>
      <c r="H158" s="227" t="s">
        <v>1049</v>
      </c>
      <c r="I158" s="226">
        <v>43076.224560185183</v>
      </c>
      <c r="J158" s="225">
        <v>1</v>
      </c>
      <c r="K158" s="237" t="str">
        <f t="shared" si="56"/>
        <v>4043/4044</v>
      </c>
      <c r="L158" s="245" t="str">
        <f>VLOOKUP(A158,'Trips&amp;Operators'!$C$1:$G$99911,5,FALSE)</f>
        <v>LOPES KIMBERLY</v>
      </c>
      <c r="M158" s="224">
        <f t="shared" si="57"/>
        <v>1.1944444442633539E-2</v>
      </c>
      <c r="N158" s="225">
        <f t="shared" ref="N158:N189" si="74">24*60*SUM($M158:$M158)</f>
        <v>17.199999997392297</v>
      </c>
      <c r="O158" s="225"/>
      <c r="P158" s="225"/>
      <c r="Q158" s="228"/>
      <c r="R158" s="242"/>
      <c r="S158" s="249">
        <f t="shared" ref="S158:S189" si="75">1/IF(AG158="EC",12,1)*SUM(U158:U158)</f>
        <v>1</v>
      </c>
      <c r="T158" s="242" t="str">
        <f t="shared" si="59"/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48" t="str">
        <f t="shared" si="60"/>
        <v>https://d0f6bd738d7f1b3e5a7ca70fe4ff75f0.us-east-1.aws.found.io/app/kibana#/discover/Steve-Slow-Train-Analysis-(2080s-and-2083s)?_g=(refreshInterval:(display:Off,pause:!f,section:0,value:0),time:(from:'2017-12-07T04:03:14-0700',mode:absolute,to:'2017-12-07T06:23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8" s="247" t="str">
        <f>IF(AA158&lt;VLOOKUP(AG158,Variables!$AC$3:$AD$8,2,FALSE),"Y","N")</f>
        <v>Y</v>
      </c>
      <c r="X158" s="247">
        <f t="shared" si="73"/>
        <v>556</v>
      </c>
      <c r="Y158" s="247">
        <f t="shared" si="61"/>
        <v>5.8632</v>
      </c>
      <c r="Z158" s="247">
        <f t="shared" si="62"/>
        <v>0.45860000000000001</v>
      </c>
      <c r="AA158" s="247">
        <f t="shared" si="63"/>
        <v>5.4046000000000003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64"/>
        <v>800</v>
      </c>
      <c r="AE158" s="235" t="str">
        <f t="shared" si="65"/>
        <v>aws s3 cp s3://rtdc.mdm.uploadarchive.raw/RTDC4043/ "%USERPROFILE%\AppData\Local\Temp\OnboardLogs"\RTDC4043\2017-12-07 --exclude "*" --recursive --include "*20171207*" &amp; "%USERPROFILE%\Documents\GitHub\mrs-test-scripts\Headless Mode &amp; Sideloading\WalkAndUnGZ.bat" "%USERPROFILE%\AppData\Local\Temp\OnboardLogs"\RTDC4043\2017-12-07 &amp; aws s3 cp s3://rtdc.mdm.uploadarchive.raw/RTDC4043/ "%USERPROFILE%\AppData\Local\Temp\OnboardLogs"\RTDC4043\2017-12-08 --exclude "*" --recursive --include "*20171208*" &amp; "%USERPROFILE%\Documents\GitHub\mrs-test-scripts\Headless Mode &amp; Sideloading\WalkAndUnGZ.bat" "%USERPROFILE%\AppData\Local\Temp\OnboardLogs"\RTDC4043\2017-12-08</v>
      </c>
      <c r="AF158" s="234" t="str">
        <f t="shared" si="66"/>
        <v>"C:\Program Files (x86)\AstroGrep\AstroGrep.exe" /e /r /s /spath="%USERPROFILE%\AppData\Local\Temp\OnboardLogs" /stypes="app*4043*20171207*" /stext=" 12:.+((SYSTEM_STATE.+slice.+state.+changed )|(ment ac)|(multiple cpu faults)|(system.+state.+changed )|(\[timeout)|(PRM\|1\|D)|(kpr)|(kdp)|(train st.+moving)|(\|lc)|(penalty))"</v>
      </c>
      <c r="AG158" s="244" t="str">
        <f t="shared" si="67"/>
        <v>NW</v>
      </c>
      <c r="AH158" s="236" t="str">
        <f t="shared" si="68"/>
        <v>"%USERPROFILE%\Documents\GitHub\eaglep3\Utilities\RefineRTDCRunTimes.py" --tripid 800-07 --locoid 4043 --swversion DE.1.0.9.0 --startMP 300:58632 --initTime 2017-12-07T05:03:14 --startdatetime 2017-12-07T05:06:10 --delay 79 --endMP 204:4586 --enddatetime 2017-12-07T05:23:22 --enforcementcount 1 &gt;&gt;%USERPROFILE%\Documents\GitHub\eaglep3-reporting\EC\2017-12-07-refined-times.txt</v>
      </c>
      <c r="AI158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{"issue":{"subject":"","project_id":79,"tracker_id":40,"status_id":1,"priority_id":2,"assigned_to_id":338,"start_date":"2017-12-07","description":"","custom_fields":[{"id":1,"name":"Subdivision","value":"NW"},{"id":4,"name":"Milepost","value":"0.4586"},{"id":17,"name":"Train ID","value":"800-07"},{"id":16,"name":"Locomotive ID","value":"4043"},{"id":130,"name":"Impact","value":""},{"id":150,"name":"Time of Event (Mountain Time)","value":"05:23:22"},{"id":151,"name":"Denver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3"/>
      <c r="AK158" s="231"/>
      <c r="AL158" s="231"/>
      <c r="AM158" s="240" t="str">
        <f t="shared" si="70"/>
        <v>start /low /b %USERPROFILE%\Documents\GitHub\eaglep3\Utilities\DownloadLogsFromS3.py --loco 4043 --day 2017-12-07</v>
      </c>
      <c r="AN158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12:23:22"},{"id":29,"name":"Sharepoint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72"/>
        <v>https://d0f6bd738d7f1b3e5a7ca70fe4ff75f0.us-east-1.aws.found.io/app/kibana#/discover/Steve-Slow-Train-Analysis-(2080s-and-2083s)?_g=(refreshInterval:(display:Off,pause:!f,section:0,value:0),time:(from:'2017-12-07T04:03:14-0700',mode:absolute,to:'2017-12-07T06:23:22-0700'))&amp;_a=(columns:!('Message%20ID',Summary),filters:!(),index:'emp_*',interval:auto,query:(query_string:(analyze_wildcard:!t,query:'%22rtdc.l.rtdc.4043%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229" t="s">
        <v>735</v>
      </c>
      <c r="B159" s="225">
        <v>4044</v>
      </c>
      <c r="C159" s="227" t="s">
        <v>192</v>
      </c>
      <c r="D159" s="227" t="s">
        <v>508</v>
      </c>
      <c r="E159" s="226">
        <v>43076.228159722225</v>
      </c>
      <c r="F159" s="226">
        <v>43076.235578703701</v>
      </c>
      <c r="G159" s="225">
        <v>52</v>
      </c>
      <c r="H159" s="227" t="s">
        <v>1050</v>
      </c>
      <c r="I159" s="226">
        <v>43076.245057870372</v>
      </c>
      <c r="J159" s="225">
        <v>1</v>
      </c>
      <c r="K159" s="237" t="str">
        <f t="shared" si="56"/>
        <v>4043/4044</v>
      </c>
      <c r="L159" s="245" t="str">
        <f>VLOOKUP(A159,'Trips&amp;Operators'!$C$1:$G$99911,5,FALSE)</f>
        <v>LOPES KIMBERLY</v>
      </c>
      <c r="M159" s="224">
        <f t="shared" si="57"/>
        <v>9.4791666706441902E-3</v>
      </c>
      <c r="N159" s="225">
        <f t="shared" si="74"/>
        <v>13.650000005727634</v>
      </c>
      <c r="O159" s="225"/>
      <c r="P159" s="225"/>
      <c r="Q159" s="228"/>
      <c r="R159" s="242"/>
      <c r="S159" s="249">
        <f t="shared" si="75"/>
        <v>1</v>
      </c>
      <c r="T159" s="242" t="str">
        <f t="shared" si="59"/>
        <v>NorthBound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8" t="str">
        <f t="shared" si="60"/>
        <v>https://d0f6bd738d7f1b3e5a7ca70fe4ff75f0.us-east-1.aws.found.io/app/kibana#/discover/Steve-Slow-Train-Analysis-(2080s-and-2083s)?_g=(refreshInterval:(display:Off,pause:!f,section:0,value:0),time:(from:'2017-12-07T04:28:33-0700',mode:absolute,to:'2017-12-07T06:52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9" s="247" t="str">
        <f>IF(AA159&lt;VLOOKUP(AG159,Variables!$AC$3:$AD$8,2,FALSE),"Y","N")</f>
        <v>N</v>
      </c>
      <c r="X159" s="247">
        <f t="shared" si="73"/>
        <v>1</v>
      </c>
      <c r="Y159" s="247">
        <f t="shared" si="61"/>
        <v>4.6399999999999997E-2</v>
      </c>
      <c r="Z159" s="247">
        <f t="shared" si="62"/>
        <v>5.8959999999999999</v>
      </c>
      <c r="AA159" s="247">
        <f t="shared" si="63"/>
        <v>5.8495999999999997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64"/>
        <v>801</v>
      </c>
      <c r="AE159" s="235" t="str">
        <f t="shared" si="65"/>
        <v>aws s3 cp s3://rtdc.mdm.uploadarchive.raw/RTDC4044/ "%USERPROFILE%\AppData\Local\Temp\OnboardLogs"\RTDC4044\2017-12-07 --exclude "*" --recursive --include "*20171207*" &amp; "%USERPROFILE%\Documents\GitHub\mrs-test-scripts\Headless Mode &amp; Sideloading\WalkAndUnGZ.bat" "%USERPROFILE%\AppData\Local\Temp\OnboardLogs"\RTDC4044\2017-12-07 &amp; aws s3 cp s3://rtdc.mdm.uploadarchive.raw/RTDC4044/ "%USERPROFILE%\AppData\Local\Temp\OnboardLogs"\RTDC4044\2017-12-08 --exclude "*" --recursive --include "*20171208*" &amp; "%USERPROFILE%\Documents\GitHub\mrs-test-scripts\Headless Mode &amp; Sideloading\WalkAndUnGZ.bat" "%USERPROFILE%\AppData\Local\Temp\OnboardLogs"\RTDC4044\2017-12-08</v>
      </c>
      <c r="AF159" s="234" t="str">
        <f t="shared" si="66"/>
        <v>"C:\Program Files (x86)\AstroGrep\AstroGrep.exe" /e /r /s /spath="%USERPROFILE%\AppData\Local\Temp\OnboardLogs" /stypes="app*4044*20171207*" /stext=" 12:.+((SYSTEM_STATE.+slice.+state.+changed )|(ment ac)|(multiple cpu faults)|(system.+state.+changed )|(\[timeout)|(PRM\|1\|D)|(kpr)|(kdp)|(train st.+moving)|(\|lc)|(penalty))"</v>
      </c>
      <c r="AG159" s="244" t="str">
        <f t="shared" si="67"/>
        <v>NW</v>
      </c>
      <c r="AH159" s="236" t="str">
        <f t="shared" si="68"/>
        <v>"%USERPROFILE%\Documents\GitHub\eaglep3\Utilities\RefineRTDCRunTimes.py" --tripid 801-07 --locoid 4044 --swversion DE.1.0.9.0 --startMP 204:464 --initTime 2017-12-07T05:28:33 --startdatetime 2017-12-07T05:39:14 --delay 52 --endMP 300:58960 --enddatetime 2017-12-07T05:52:53 --enforcementcount 1 &gt;&gt;%USERPROFILE%\Documents\GitHub\eaglep3-reporting\EC\2017-12-07-refined-times.txt</v>
      </c>
      <c r="AI159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{"issue":{"subject":"","project_id":79,"tracker_id":40,"status_id":1,"priority_id":2,"assigned_to_id":338,"start_date":"2017-12-07","description":"","custom_fields":[{"id":1,"name":"Subdivision","value":"NW"},{"id":4,"name":"Milepost","value":"5.896"},{"id":17,"name":"Train ID","value":"801-07"},{"id":16,"name":"Locomotive ID","value":"4044"},{"id":130,"name":"Impact","value":""},{"id":150,"name":"Time of Event (Mountain Time)","value":"05:52:53"},{"id":151,"name":"Denver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3"/>
      <c r="AK159" s="231"/>
      <c r="AL159" s="231"/>
      <c r="AM159" s="240" t="str">
        <f t="shared" si="70"/>
        <v>start /low /b %USERPROFILE%\Documents\GitHub\eaglep3\Utilities\DownloadLogsFromS3.py --loco 4044 --day 2017-12-07</v>
      </c>
      <c r="AN159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12:52:53"},{"id":29,"name":"Sharepoint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72"/>
        <v>https://d0f6bd738d7f1b3e5a7ca70fe4ff75f0.us-east-1.aws.found.io/app/kibana#/discover/Steve-Slow-Train-Analysis-(2080s-and-2083s)?_g=(refreshInterval:(display:Off,pause:!f,section:0,value:0),time:(from:'2017-12-07T04:28:33-0700',mode:absolute,to:'2017-12-07T06:52:53-0700'))&amp;_a=(columns:!('Message%20ID',Summary),filters:!(),index:'emp_*',interval:auto,query:(query_string:(analyze_wildcard:!t,query:'%22rtdc.l.rtdc.4044%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229" t="s">
        <v>741</v>
      </c>
      <c r="B160" s="225">
        <v>4043</v>
      </c>
      <c r="C160" s="227" t="s">
        <v>192</v>
      </c>
      <c r="D160" s="227" t="s">
        <v>1051</v>
      </c>
      <c r="E160" s="226">
        <v>43076.246111111112</v>
      </c>
      <c r="F160" s="226">
        <v>43076.258333333331</v>
      </c>
      <c r="G160" s="225">
        <v>63</v>
      </c>
      <c r="H160" s="227" t="s">
        <v>1052</v>
      </c>
      <c r="I160" s="226">
        <v>43076.267627314817</v>
      </c>
      <c r="J160" s="225">
        <v>1</v>
      </c>
      <c r="K160" s="237" t="str">
        <f t="shared" si="56"/>
        <v>4043/4044</v>
      </c>
      <c r="L160" s="245" t="str">
        <f>VLOOKUP(A160,'Trips&amp;Operators'!$C$1:$G$99911,5,FALSE)</f>
        <v>LOPES KIMBERLY</v>
      </c>
      <c r="M160" s="224">
        <f t="shared" si="57"/>
        <v>9.2939814858254977E-3</v>
      </c>
      <c r="N160" s="225">
        <f t="shared" si="74"/>
        <v>13.383333339588717</v>
      </c>
      <c r="O160" s="225"/>
      <c r="P160" s="225"/>
      <c r="Q160" s="228"/>
      <c r="R160" s="242"/>
      <c r="S160" s="249">
        <f t="shared" si="75"/>
        <v>1</v>
      </c>
      <c r="T160" s="242" t="str">
        <f t="shared" si="59"/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 t="shared" si="60"/>
        <v>https://d0f6bd738d7f1b3e5a7ca70fe4ff75f0.us-east-1.aws.found.io/app/kibana#/discover/Steve-Slow-Train-Analysis-(2080s-and-2083s)?_g=(refreshInterval:(display:Off,pause:!f,section:0,value:0),time:(from:'2017-12-07T04:54:24-0700',mode:absolute,to:'2017-12-07T07:25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0" s="247" t="str">
        <f>IF(AA160&lt;VLOOKUP(AG160,Variables!$AC$3:$AD$8,2,FALSE),"Y","N")</f>
        <v>N</v>
      </c>
      <c r="X160" s="247">
        <f t="shared" si="73"/>
        <v>1</v>
      </c>
      <c r="Y160" s="247">
        <f t="shared" si="61"/>
        <v>5.8655999999999997</v>
      </c>
      <c r="Z160" s="247">
        <f t="shared" si="62"/>
        <v>1.38E-2</v>
      </c>
      <c r="AA160" s="247">
        <f t="shared" si="63"/>
        <v>5.8517999999999999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64"/>
        <v>802</v>
      </c>
      <c r="AE160" s="235" t="str">
        <f t="shared" si="65"/>
        <v>aws s3 cp s3://rtdc.mdm.uploadarchive.raw/RTDC4043/ "%USERPROFILE%\AppData\Local\Temp\OnboardLogs"\RTDC4043\2017-12-07 --exclude "*" --recursive --include "*20171207*" &amp; "%USERPROFILE%\Documents\GitHub\mrs-test-scripts\Headless Mode &amp; Sideloading\WalkAndUnGZ.bat" "%USERPROFILE%\AppData\Local\Temp\OnboardLogs"\RTDC4043\2017-12-07 &amp; aws s3 cp s3://rtdc.mdm.uploadarchive.raw/RTDC4043/ "%USERPROFILE%\AppData\Local\Temp\OnboardLogs"\RTDC4043\2017-12-08 --exclude "*" --recursive --include "*20171208*" &amp; "%USERPROFILE%\Documents\GitHub\mrs-test-scripts\Headless Mode &amp; Sideloading\WalkAndUnGZ.bat" "%USERPROFILE%\AppData\Local\Temp\OnboardLogs"\RTDC4043\2017-12-08</v>
      </c>
      <c r="AF160" s="234" t="str">
        <f t="shared" si="66"/>
        <v>"C:\Program Files (x86)\AstroGrep\AstroGrep.exe" /e /r /s /spath="%USERPROFILE%\AppData\Local\Temp\OnboardLogs" /stypes="app*4043*20171207*" /stext=" 13:.+((SYSTEM_STATE.+slice.+state.+changed )|(ment ac)|(multiple cpu faults)|(system.+state.+changed )|(\[timeout)|(PRM\|1\|D)|(kpr)|(kdp)|(train st.+moving)|(\|lc)|(penalty))"</v>
      </c>
      <c r="AG160" s="244" t="str">
        <f t="shared" si="67"/>
        <v>NW</v>
      </c>
      <c r="AH160" s="236" t="str">
        <f t="shared" si="68"/>
        <v>"%USERPROFILE%\Documents\GitHub\eaglep3\Utilities\RefineRTDCRunTimes.py" --tripid 802-07 --locoid 4043 --swversion DE.1.0.9.0 --startMP 300:58656 --initTime 2017-12-07T05:54:24 --startdatetime 2017-12-07T06:12:00 --delay 63 --endMP 204:138 --enddatetime 2017-12-07T06:25:23 --enforcementcount 1 &gt;&gt;%USERPROFILE%\Documents\GitHub\eaglep3-reporting\EC\2017-12-07-refined-times.txt</v>
      </c>
      <c r="AI160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{"issue":{"subject":"","project_id":79,"tracker_id":40,"status_id":1,"priority_id":2,"assigned_to_id":338,"start_date":"2017-12-07","description":"","custom_fields":[{"id":1,"name":"Subdivision","value":"NW"},{"id":4,"name":"Milepost","value":"0.0138"},{"id":17,"name":"Train ID","value":"802-07"},{"id":16,"name":"Locomotive ID","value":"4043"},{"id":130,"name":"Impact","value":""},{"id":150,"name":"Time of Event (Mountain Time)","value":"06:25:23"},{"id":151,"name":"Denver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70"/>
        <v>start /low /b %USERPROFILE%\Documents\GitHub\eaglep3\Utilities\DownloadLogsFromS3.py --loco 4043 --day 2017-12-07</v>
      </c>
      <c r="AN160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13:25:23"},{"id":29,"name":"Sharepoint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72"/>
        <v>https://d0f6bd738d7f1b3e5a7ca70fe4ff75f0.us-east-1.aws.found.io/app/kibana#/discover/Steve-Slow-Train-Analysis-(2080s-and-2083s)?_g=(refreshInterval:(display:Off,pause:!f,section:0,value:0),time:(from:'2017-12-07T04:54:24-0700',mode:absolute,to:'2017-12-07T07:25:23-0700'))&amp;_a=(columns:!('Message%20ID',Summary),filters:!(),index:'emp_*',interval:auto,query:(query_string:(analyze_wildcard:!t,query:'%22rtdc.l.rtdc.4043%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229" t="s">
        <v>743</v>
      </c>
      <c r="B161" s="225">
        <v>4024</v>
      </c>
      <c r="C161" s="227" t="s">
        <v>192</v>
      </c>
      <c r="D161" s="227" t="s">
        <v>638</v>
      </c>
      <c r="E161" s="226">
        <v>43076.2500462963</v>
      </c>
      <c r="F161" s="226">
        <v>43076.256562499999</v>
      </c>
      <c r="G161" s="225">
        <v>67</v>
      </c>
      <c r="H161" s="227" t="s">
        <v>1053</v>
      </c>
      <c r="I161" s="226">
        <v>43076.266840277778</v>
      </c>
      <c r="J161" s="225">
        <v>1</v>
      </c>
      <c r="K161" s="237" t="str">
        <f t="shared" si="56"/>
        <v>4023/4024</v>
      </c>
      <c r="L161" s="245" t="str">
        <f>VLOOKUP(A161,'Trips&amp;Operators'!$C$1:$G$99911,5,FALSE)</f>
        <v>FORTUNATO FRANK</v>
      </c>
      <c r="M161" s="224">
        <f t="shared" si="57"/>
        <v>1.0277777779265307E-2</v>
      </c>
      <c r="N161" s="225">
        <f t="shared" si="74"/>
        <v>14.800000002142042</v>
      </c>
      <c r="O161" s="225"/>
      <c r="P161" s="225"/>
      <c r="Q161" s="228"/>
      <c r="R161" s="242"/>
      <c r="S161" s="249">
        <f t="shared" si="75"/>
        <v>1</v>
      </c>
      <c r="T161" s="242" t="str">
        <f t="shared" si="59"/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 t="shared" si="60"/>
        <v>https://d0f6bd738d7f1b3e5a7ca70fe4ff75f0.us-east-1.aws.found.io/app/kibana#/discover/Steve-Slow-Train-Analysis-(2080s-and-2083s)?_g=(refreshInterval:(display:Off,pause:!f,section:0,value:0),time:(from:'2017-12-07T05:00:04-0700',mode:absolute,to:'2017-12-07T07:24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1" s="247" t="str">
        <f>IF(AA161&lt;VLOOKUP(AG161,Variables!$AC$3:$AD$8,2,FALSE),"Y","N")</f>
        <v>N</v>
      </c>
      <c r="X161" s="247">
        <f t="shared" si="73"/>
        <v>1</v>
      </c>
      <c r="Y161" s="247">
        <f t="shared" si="61"/>
        <v>4.6199999999999998E-2</v>
      </c>
      <c r="Z161" s="247">
        <f t="shared" si="62"/>
        <v>5.8971</v>
      </c>
      <c r="AA161" s="247">
        <f t="shared" si="63"/>
        <v>5.8509000000000002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64"/>
        <v>803</v>
      </c>
      <c r="AE161" s="235" t="str">
        <f t="shared" si="65"/>
        <v>aws s3 cp s3://rtdc.mdm.uploadarchive.raw/RTDC4024/ "%USERPROFILE%\AppData\Local\Temp\OnboardLogs"\RTDC4024\2017-12-07 --exclude "*" --recursive --include "*20171207*" &amp; "%USERPROFILE%\Documents\GitHub\mrs-test-scripts\Headless Mode &amp; Sideloading\WalkAndUnGZ.bat" "%USERPROFILE%\AppData\Local\Temp\OnboardLogs"\RTDC4024\2017-12-07 &amp; 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</v>
      </c>
      <c r="AF161" s="234" t="str">
        <f t="shared" si="66"/>
        <v>"C:\Program Files (x86)\AstroGrep\AstroGrep.exe" /e /r /s /spath="%USERPROFILE%\AppData\Local\Temp\OnboardLogs" /stypes="app*4024*20171207*" /stext=" 13:.+((SYSTEM_STATE.+slice.+state.+changed )|(ment ac)|(multiple cpu faults)|(system.+state.+changed )|(\[timeout)|(PRM\|1\|D)|(kpr)|(kdp)|(train st.+moving)|(\|lc)|(penalty))"</v>
      </c>
      <c r="AG161" s="244" t="str">
        <f t="shared" si="67"/>
        <v>NW</v>
      </c>
      <c r="AH161" s="236" t="str">
        <f t="shared" si="68"/>
        <v>"%USERPROFILE%\Documents\GitHub\eaglep3\Utilities\RefineRTDCRunTimes.py" --tripid 803-07 --locoid 4024 --swversion DE.1.0.9.0 --startMP 204:462 --initTime 2017-12-07T06:00:04 --startdatetime 2017-12-07T06:09:27 --delay 67 --endMP 300:58971 --enddatetime 2017-12-07T06:24:15 --enforcementcount 1 &gt;&gt;%USERPROFILE%\Documents\GitHub\eaglep3-reporting\EC\2017-12-07-refined-times.txt</v>
      </c>
      <c r="AI161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{"issue":{"subject":"","project_id":79,"tracker_id":40,"status_id":1,"priority_id":2,"assigned_to_id":338,"start_date":"2017-12-07","description":"","custom_fields":[{"id":1,"name":"Subdivision","value":"NW"},{"id":4,"name":"Milepost","value":"5.8971"},{"id":17,"name":"Train ID","value":"803-07"},{"id":16,"name":"Locomotive ID","value":"4024"},{"id":130,"name":"Impact","value":""},{"id":150,"name":"Time of Event (Mountain Time)","value":"06:24:15"},{"id":151,"name":"Denver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3"/>
      <c r="AK161" s="231"/>
      <c r="AL161" s="231"/>
      <c r="AM161" s="240" t="str">
        <f t="shared" si="70"/>
        <v>start /low /b %USERPROFILE%\Documents\GitHub\eaglep3\Utilities\DownloadLogsFromS3.py --loco 4024 --day 2017-12-07</v>
      </c>
      <c r="AN161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13:24:15"},{"id":29,"name":"Sharepoint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72"/>
        <v>https://d0f6bd738d7f1b3e5a7ca70fe4ff75f0.us-east-1.aws.found.io/app/kibana#/discover/Steve-Slow-Train-Analysis-(2080s-and-2083s)?_g=(refreshInterval:(display:Off,pause:!f,section:0,value:0),time:(from:'2017-12-07T05:00:04-0700',mode:absolute,to:'2017-12-07T07:24:15-0700'))&amp;_a=(columns:!('Message%20ID',Summary),filters:!(),index:'emp_*',interval:auto,query:(query_string:(analyze_wildcard:!t,query:'%22rtdc.l.rtdc.4024%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229" t="s">
        <v>748</v>
      </c>
      <c r="B162" s="225">
        <v>4023</v>
      </c>
      <c r="C162" s="227" t="s">
        <v>192</v>
      </c>
      <c r="D162" s="227" t="s">
        <v>1054</v>
      </c>
      <c r="E162" s="226">
        <v>43076.268194444441</v>
      </c>
      <c r="F162" s="226">
        <v>43076.279166666667</v>
      </c>
      <c r="G162" s="225">
        <v>48</v>
      </c>
      <c r="H162" s="227" t="s">
        <v>671</v>
      </c>
      <c r="I162" s="226">
        <v>43076.288194444445</v>
      </c>
      <c r="J162" s="225">
        <v>1</v>
      </c>
      <c r="K162" s="237" t="str">
        <f t="shared" si="56"/>
        <v>4023/4024</v>
      </c>
      <c r="L162" s="245" t="str">
        <f>VLOOKUP(A162,'Trips&amp;Operators'!$C$1:$G$99911,5,FALSE)</f>
        <v>FORTUNATO FRANK</v>
      </c>
      <c r="M162" s="224">
        <f t="shared" si="57"/>
        <v>9.0277777781011537E-3</v>
      </c>
      <c r="N162" s="225">
        <f t="shared" si="74"/>
        <v>13.000000000465661</v>
      </c>
      <c r="O162" s="225"/>
      <c r="P162" s="225"/>
      <c r="Q162" s="228"/>
      <c r="R162" s="242"/>
      <c r="S162" s="249">
        <f t="shared" si="75"/>
        <v>1</v>
      </c>
      <c r="T162" s="242" t="str">
        <f t="shared" si="59"/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 t="shared" si="60"/>
        <v>https://d0f6bd738d7f1b3e5a7ca70fe4ff75f0.us-east-1.aws.found.io/app/kibana#/discover/Steve-Slow-Train-Analysis-(2080s-and-2083s)?_g=(refreshInterval:(display:Off,pause:!f,section:0,value:0),time:(from:'2017-12-07T05:26:12-0700',mode:absolute,to:'2017-12-07T07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2" s="247" t="str">
        <f>IF(AA162&lt;VLOOKUP(AG162,Variables!$AC$3:$AD$8,2,FALSE),"Y","N")</f>
        <v>N</v>
      </c>
      <c r="X162" s="247">
        <f t="shared" si="73"/>
        <v>1</v>
      </c>
      <c r="Y162" s="247">
        <f t="shared" si="61"/>
        <v>5.8644999999999996</v>
      </c>
      <c r="Z162" s="247">
        <f t="shared" si="62"/>
        <v>1.4800000000000001E-2</v>
      </c>
      <c r="AA162" s="247">
        <f t="shared" si="63"/>
        <v>5.8496999999999995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64"/>
        <v>804</v>
      </c>
      <c r="AE162" s="235" t="str">
        <f t="shared" si="65"/>
        <v>aws s3 cp s3://rtdc.mdm.uploadarchive.raw/RTDC4023/ "%USERPROFILE%\AppData\Local\Temp\OnboardLogs"\RTDC4023\2017-12-07 --exclude "*" --recursive --include "*20171207*" &amp; "%USERPROFILE%\Documents\GitHub\mrs-test-scripts\Headless Mode &amp; Sideloading\WalkAndUnGZ.bat" "%USERPROFILE%\AppData\Local\Temp\OnboardLogs"\RTDC4023\2017-12-07 &amp; 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</v>
      </c>
      <c r="AF162" s="234" t="str">
        <f t="shared" si="66"/>
        <v>"C:\Program Files (x86)\AstroGrep\AstroGrep.exe" /e /r /s /spath="%USERPROFILE%\AppData\Local\Temp\OnboardLogs" /stypes="app*4023*20171207*" /stext=" 13:.+((SYSTEM_STATE.+slice.+state.+changed )|(ment ac)|(multiple cpu faults)|(system.+state.+changed )|(\[timeout)|(PRM\|1\|D)|(kpr)|(kdp)|(train st.+moving)|(\|lc)|(penalty))"</v>
      </c>
      <c r="AG162" s="244" t="str">
        <f t="shared" si="67"/>
        <v>NW</v>
      </c>
      <c r="AH162" s="236" t="str">
        <f t="shared" si="68"/>
        <v>"%USERPROFILE%\Documents\GitHub\eaglep3\Utilities\RefineRTDCRunTimes.py" --tripid 804-07 --locoid 4023 --swversion DE.1.0.9.0 --startMP 300:58645 --initTime 2017-12-07T06:26:12 --startdatetime 2017-12-07T06:42:00 --delay 48 --endMP 204:148 --enddatetime 2017-12-07T06:55:00 --enforcementcount 1 &gt;&gt;%USERPROFILE%\Documents\GitHub\eaglep3-reporting\EC\2017-12-07-refined-times.txt</v>
      </c>
      <c r="AI162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{"issue":{"subject":"","project_id":79,"tracker_id":40,"status_id":1,"priority_id":2,"assigned_to_id":338,"start_date":"2017-12-07","description":"","custom_fields":[{"id":1,"name":"Subdivision","value":"NW"},{"id":4,"name":"Milepost","value":"0.0148"},{"id":17,"name":"Train ID","value":"804-07"},{"id":16,"name":"Locomotive ID","value":"4023"},{"id":130,"name":"Impact","value":""},{"id":150,"name":"Time of Event (Mountain Time)","value":"06:55:00"},{"id":151,"name":"Denver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3"/>
      <c r="AK162" s="231"/>
      <c r="AL162" s="231"/>
      <c r="AM162" s="240" t="str">
        <f t="shared" si="70"/>
        <v>start /low /b %USERPROFILE%\Documents\GitHub\eaglep3\Utilities\DownloadLogsFromS3.py --loco 4023 --day 2017-12-07</v>
      </c>
      <c r="AN162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13:55:00"},{"id":29,"name":"Sharepoint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72"/>
        <v>https://d0f6bd738d7f1b3e5a7ca70fe4ff75f0.us-east-1.aws.found.io/app/kibana#/discover/Steve-Slow-Train-Analysis-(2080s-and-2083s)?_g=(refreshInterval:(display:Off,pause:!f,section:0,value:0),time:(from:'2017-12-07T05:26:12-0700',mode:absolute,to:'2017-12-07T07:55:00-0700'))&amp;_a=(columns:!('Message%20ID',Summary),filters:!(),index:'emp_*',interval:auto,query:(query_string:(analyze_wildcard:!t,query:'%22rtdc.l.rtdc.4023%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9" t="s">
        <v>749</v>
      </c>
      <c r="B163" s="225">
        <v>4044</v>
      </c>
      <c r="C163" s="227" t="s">
        <v>192</v>
      </c>
      <c r="D163" s="227" t="s">
        <v>673</v>
      </c>
      <c r="E163" s="226">
        <v>43076.268946759257</v>
      </c>
      <c r="F163" s="226">
        <v>43076.277303240742</v>
      </c>
      <c r="G163" s="225">
        <v>62</v>
      </c>
      <c r="H163" s="227" t="s">
        <v>519</v>
      </c>
      <c r="I163" s="226">
        <v>43076.287210648145</v>
      </c>
      <c r="J163" s="225">
        <v>1</v>
      </c>
      <c r="K163" s="237" t="str">
        <f t="shared" si="56"/>
        <v>4043/4044</v>
      </c>
      <c r="L163" s="245" t="str">
        <f>VLOOKUP(A163,'Trips&amp;Operators'!$C$1:$G$99911,5,FALSE)</f>
        <v>LOPES KIMBERLY</v>
      </c>
      <c r="M163" s="224">
        <f t="shared" si="57"/>
        <v>9.9074074023519643E-3</v>
      </c>
      <c r="N163" s="225">
        <f t="shared" si="74"/>
        <v>14.266666659386829</v>
      </c>
      <c r="O163" s="225"/>
      <c r="P163" s="225"/>
      <c r="Q163" s="228"/>
      <c r="R163" s="242"/>
      <c r="S163" s="249">
        <f t="shared" si="75"/>
        <v>1</v>
      </c>
      <c r="T163" s="242" t="str">
        <f t="shared" si="59"/>
        <v>NorthBound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60"/>
        <v>https://d0f6bd738d7f1b3e5a7ca70fe4ff75f0.us-east-1.aws.found.io/app/kibana#/discover/Steve-Slow-Train-Analysis-(2080s-and-2083s)?_g=(refreshInterval:(display:Off,pause:!f,section:0,value:0),time:(from:'2017-12-07T05:27:17-0700',mode:absolute,to:'2017-12-07T07:53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3" s="247" t="str">
        <f>IF(AA163&lt;VLOOKUP(AG163,Variables!$AC$3:$AD$8,2,FALSE),"Y","N")</f>
        <v>N</v>
      </c>
      <c r="X163" s="247">
        <f t="shared" si="73"/>
        <v>1</v>
      </c>
      <c r="Y163" s="247">
        <f t="shared" si="61"/>
        <v>4.3700000000000003E-2</v>
      </c>
      <c r="Z163" s="247">
        <f t="shared" si="62"/>
        <v>5.8940999999999999</v>
      </c>
      <c r="AA163" s="247">
        <f t="shared" si="63"/>
        <v>5.8503999999999996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64"/>
        <v>805</v>
      </c>
      <c r="AE163" s="235" t="str">
        <f t="shared" si="65"/>
        <v>aws s3 cp s3://rtdc.mdm.uploadarchive.raw/RTDC4044/ "%USERPROFILE%\AppData\Local\Temp\OnboardLogs"\RTDC4044\2017-12-07 --exclude "*" --recursive --include "*20171207*" &amp; "%USERPROFILE%\Documents\GitHub\mrs-test-scripts\Headless Mode &amp; Sideloading\WalkAndUnGZ.bat" "%USERPROFILE%\AppData\Local\Temp\OnboardLogs"\RTDC4044\2017-12-07 &amp; aws s3 cp s3://rtdc.mdm.uploadarchive.raw/RTDC4044/ "%USERPROFILE%\AppData\Local\Temp\OnboardLogs"\RTDC4044\2017-12-08 --exclude "*" --recursive --include "*20171208*" &amp; "%USERPROFILE%\Documents\GitHub\mrs-test-scripts\Headless Mode &amp; Sideloading\WalkAndUnGZ.bat" "%USERPROFILE%\AppData\Local\Temp\OnboardLogs"\RTDC4044\2017-12-08</v>
      </c>
      <c r="AF163" s="234" t="str">
        <f t="shared" si="66"/>
        <v>"C:\Program Files (x86)\AstroGrep\AstroGrep.exe" /e /r /s /spath="%USERPROFILE%\AppData\Local\Temp\OnboardLogs" /stypes="app*4044*20171207*" /stext=" 13:.+((SYSTEM_STATE.+slice.+state.+changed )|(ment ac)|(multiple cpu faults)|(system.+state.+changed )|(\[timeout)|(PRM\|1\|D)|(kpr)|(kdp)|(train st.+moving)|(\|lc)|(penalty))"</v>
      </c>
      <c r="AG163" s="244" t="str">
        <f t="shared" si="67"/>
        <v>NW</v>
      </c>
      <c r="AH163" s="236" t="str">
        <f t="shared" si="68"/>
        <v>"%USERPROFILE%\Documents\GitHub\eaglep3\Utilities\RefineRTDCRunTimes.py" --tripid 805-07 --locoid 4044 --swversion DE.1.0.9.0 --startMP 204:437 --initTime 2017-12-07T06:27:17 --startdatetime 2017-12-07T06:39:19 --delay 62 --endMP 300:58941 --enddatetime 2017-12-07T06:53:35 --enforcementcount 1 &gt;&gt;%USERPROFILE%\Documents\GitHub\eaglep3-reporting\EC\2017-12-07-refined-times.txt</v>
      </c>
      <c r="AI163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{"issue":{"subject":"","project_id":79,"tracker_id":40,"status_id":1,"priority_id":2,"assigned_to_id":338,"start_date":"2017-12-07","description":"","custom_fields":[{"id":1,"name":"Subdivision","value":"NW"},{"id":4,"name":"Milepost","value":"5.8941"},{"id":17,"name":"Train ID","value":"805-07"},{"id":16,"name":"Locomotive ID","value":"4044"},{"id":130,"name":"Impact","value":""},{"id":150,"name":"Time of Event (Mountain Time)","value":"06:53:35"},{"id":151,"name":"Denver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70"/>
        <v>start /low /b %USERPROFILE%\Documents\GitHub\eaglep3\Utilities\DownloadLogsFromS3.py --loco 4044 --day 2017-12-07</v>
      </c>
      <c r="AN163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13:53:35"},{"id":29,"name":"Sharepoint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72"/>
        <v>https://d0f6bd738d7f1b3e5a7ca70fe4ff75f0.us-east-1.aws.found.io/app/kibana#/discover/Steve-Slow-Train-Analysis-(2080s-and-2083s)?_g=(refreshInterval:(display:Off,pause:!f,section:0,value:0),time:(from:'2017-12-07T05:27:17-0700',mode:absolute,to:'2017-12-07T07:53:35-0700'))&amp;_a=(columns:!('Message%20ID',Summary),filters:!(),index:'emp_*',interval:auto,query:(query_string:(analyze_wildcard:!t,query:'%22rtdc.l.rtdc.4044%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25">
      <c r="A164" s="229" t="s">
        <v>753</v>
      </c>
      <c r="B164" s="225">
        <v>4043</v>
      </c>
      <c r="C164" s="227" t="s">
        <v>192</v>
      </c>
      <c r="D164" s="227" t="s">
        <v>668</v>
      </c>
      <c r="E164" s="226">
        <v>43076.288356481484</v>
      </c>
      <c r="F164" s="226">
        <v>43076.3</v>
      </c>
      <c r="G164" s="225">
        <v>57</v>
      </c>
      <c r="H164" s="227" t="s">
        <v>1052</v>
      </c>
      <c r="I164" s="226">
        <v>43076.309247685182</v>
      </c>
      <c r="J164" s="225">
        <v>1</v>
      </c>
      <c r="K164" s="237" t="str">
        <f t="shared" si="56"/>
        <v>4043/4044</v>
      </c>
      <c r="L164" s="245" t="str">
        <f>VLOOKUP(A164,'Trips&amp;Operators'!$C$1:$G$99911,5,FALSE)</f>
        <v>LOPES KIMBERLY</v>
      </c>
      <c r="M164" s="224">
        <f t="shared" si="57"/>
        <v>9.2476851787068881E-3</v>
      </c>
      <c r="N164" s="225">
        <f t="shared" si="74"/>
        <v>13.316666657337919</v>
      </c>
      <c r="O164" s="225"/>
      <c r="P164" s="225"/>
      <c r="Q164" s="228"/>
      <c r="R164" s="242"/>
      <c r="S164" s="249">
        <f t="shared" si="75"/>
        <v>1</v>
      </c>
      <c r="T164" s="242" t="str">
        <f t="shared" si="59"/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60"/>
        <v>https://d0f6bd738d7f1b3e5a7ca70fe4ff75f0.us-east-1.aws.found.io/app/kibana#/discover/Steve-Slow-Train-Analysis-(2080s-and-2083s)?_g=(refreshInterval:(display:Off,pause:!f,section:0,value:0),time:(from:'2017-12-07T05:55:14-0700',mode:absolute,to:'2017-12-07T08:25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4" s="247" t="str">
        <f>IF(AA164&lt;VLOOKUP(AG164,Variables!$AC$3:$AD$8,2,FALSE),"Y","N")</f>
        <v>N</v>
      </c>
      <c r="X164" s="247">
        <f t="shared" si="73"/>
        <v>1</v>
      </c>
      <c r="Y164" s="247">
        <f t="shared" si="61"/>
        <v>5.8625999999999996</v>
      </c>
      <c r="Z164" s="247">
        <f t="shared" si="62"/>
        <v>1.38E-2</v>
      </c>
      <c r="AA164" s="247">
        <f t="shared" si="63"/>
        <v>5.8487999999999998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64"/>
        <v>806</v>
      </c>
      <c r="AE164" s="235" t="str">
        <f t="shared" si="65"/>
        <v>aws s3 cp s3://rtdc.mdm.uploadarchive.raw/RTDC4043/ "%USERPROFILE%\AppData\Local\Temp\OnboardLogs"\RTDC4043\2017-12-07 --exclude "*" --recursive --include "*20171207*" &amp; "%USERPROFILE%\Documents\GitHub\mrs-test-scripts\Headless Mode &amp; Sideloading\WalkAndUnGZ.bat" "%USERPROFILE%\AppData\Local\Temp\OnboardLogs"\RTDC4043\2017-12-07 &amp; aws s3 cp s3://rtdc.mdm.uploadarchive.raw/RTDC4043/ "%USERPROFILE%\AppData\Local\Temp\OnboardLogs"\RTDC4043\2017-12-08 --exclude "*" --recursive --include "*20171208*" &amp; "%USERPROFILE%\Documents\GitHub\mrs-test-scripts\Headless Mode &amp; Sideloading\WalkAndUnGZ.bat" "%USERPROFILE%\AppData\Local\Temp\OnboardLogs"\RTDC4043\2017-12-08</v>
      </c>
      <c r="AF164" s="234" t="str">
        <f t="shared" si="66"/>
        <v>"C:\Program Files (x86)\AstroGrep\AstroGrep.exe" /e /r /s /spath="%USERPROFILE%\AppData\Local\Temp\OnboardLogs" /stypes="app*4043*20171207*" /stext=" 14:.+((SYSTEM_STATE.+slice.+state.+changed )|(ment ac)|(multiple cpu faults)|(system.+state.+changed )|(\[timeout)|(PRM\|1\|D)|(kpr)|(kdp)|(train st.+moving)|(\|lc)|(penalty))"</v>
      </c>
      <c r="AG164" s="244" t="str">
        <f t="shared" si="67"/>
        <v>NW</v>
      </c>
      <c r="AH164" s="236" t="str">
        <f t="shared" si="68"/>
        <v>"%USERPROFILE%\Documents\GitHub\eaglep3\Utilities\RefineRTDCRunTimes.py" --tripid 806-07 --locoid 4043 --swversion DE.1.0.9.0 --startMP 300:58626 --initTime 2017-12-07T06:55:14 --startdatetime 2017-12-07T07:12:00 --delay 57 --endMP 204:138 --enddatetime 2017-12-07T07:25:19 --enforcementcount 1 &gt;&gt;%USERPROFILE%\Documents\GitHub\eaglep3-reporting\EC\2017-12-07-refined-times.txt</v>
      </c>
      <c r="AI164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{"issue":{"subject":"","project_id":79,"tracker_id":40,"status_id":1,"priority_id":2,"assigned_to_id":338,"start_date":"2017-12-07","description":"","custom_fields":[{"id":1,"name":"Subdivision","value":"NW"},{"id":4,"name":"Milepost","value":"0.0138"},{"id":17,"name":"Train ID","value":"806-07"},{"id":16,"name":"Locomotive ID","value":"4043"},{"id":130,"name":"Impact","value":""},{"id":150,"name":"Time of Event (Mountain Time)","value":"07:25:19"},{"id":151,"name":"Denver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70"/>
        <v>start /low /b %USERPROFILE%\Documents\GitHub\eaglep3\Utilities\DownloadLogsFromS3.py --loco 4043 --day 2017-12-07</v>
      </c>
      <c r="AN164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14:25:19"},{"id":29,"name":"Sharepoint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72"/>
        <v>https://d0f6bd738d7f1b3e5a7ca70fe4ff75f0.us-east-1.aws.found.io/app/kibana#/discover/Steve-Slow-Train-Analysis-(2080s-and-2083s)?_g=(refreshInterval:(display:Off,pause:!f,section:0,value:0),time:(from:'2017-12-07T05:55:14-0700',mode:absolute,to:'2017-12-07T08:25:19-0700'))&amp;_a=(columns:!('Message%20ID',Summary),filters:!(),index:'emp_*',interval:auto,query:(query_string:(analyze_wildcard:!t,query:'%22rtdc.l.rtdc.4043%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29" t="s">
        <v>682</v>
      </c>
      <c r="B165" s="225">
        <v>4024</v>
      </c>
      <c r="C165" s="227" t="s">
        <v>192</v>
      </c>
      <c r="D165" s="227" t="s">
        <v>615</v>
      </c>
      <c r="E165" s="226">
        <v>43076.29</v>
      </c>
      <c r="F165" s="226">
        <v>43076.298078703701</v>
      </c>
      <c r="G165" s="225">
        <v>64</v>
      </c>
      <c r="H165" s="227" t="s">
        <v>1055</v>
      </c>
      <c r="I165" s="226">
        <v>43076.309710648151</v>
      </c>
      <c r="J165" s="225">
        <v>1</v>
      </c>
      <c r="K165" s="237" t="str">
        <f t="shared" si="56"/>
        <v>4023/4024</v>
      </c>
      <c r="L165" s="245" t="str">
        <f>VLOOKUP(A165,'Trips&amp;Operators'!$C$1:$G$99911,5,FALSE)</f>
        <v>FORTUNATO FRANK</v>
      </c>
      <c r="M165" s="224">
        <f t="shared" si="57"/>
        <v>1.1631944449618459E-2</v>
      </c>
      <c r="N165" s="225">
        <f t="shared" si="74"/>
        <v>16.750000007450581</v>
      </c>
      <c r="O165" s="225"/>
      <c r="P165" s="225"/>
      <c r="Q165" s="228"/>
      <c r="R165" s="242"/>
      <c r="S165" s="249">
        <f t="shared" si="75"/>
        <v>1</v>
      </c>
      <c r="T165" s="242" t="str">
        <f t="shared" si="59"/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60"/>
        <v>https://d0f6bd738d7f1b3e5a7ca70fe4ff75f0.us-east-1.aws.found.io/app/kibana#/discover/Steve-Slow-Train-Analysis-(2080s-and-2083s)?_g=(refreshInterval:(display:Off,pause:!f,section:0,value:0),time:(from:'2017-12-07T05:57:36-0700',mode:absolute,to:'2017-12-07T08:25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5" s="247" t="str">
        <f>IF(AA165&lt;VLOOKUP(AG165,Variables!$AC$3:$AD$8,2,FALSE),"Y","N")</f>
        <v>N</v>
      </c>
      <c r="X165" s="247">
        <f t="shared" si="73"/>
        <v>1</v>
      </c>
      <c r="Y165" s="247">
        <f t="shared" si="61"/>
        <v>4.5999999999999999E-2</v>
      </c>
      <c r="Z165" s="247">
        <f t="shared" si="62"/>
        <v>5.8975</v>
      </c>
      <c r="AA165" s="247">
        <f t="shared" si="63"/>
        <v>5.8514999999999997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64"/>
        <v>807</v>
      </c>
      <c r="AE165" s="235" t="str">
        <f t="shared" si="65"/>
        <v>aws s3 cp s3://rtdc.mdm.uploadarchive.raw/RTDC4024/ "%USERPROFILE%\AppData\Local\Temp\OnboardLogs"\RTDC4024\2017-12-07 --exclude "*" --recursive --include "*20171207*" &amp; "%USERPROFILE%\Documents\GitHub\mrs-test-scripts\Headless Mode &amp; Sideloading\WalkAndUnGZ.bat" "%USERPROFILE%\AppData\Local\Temp\OnboardLogs"\RTDC4024\2017-12-07 &amp; 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</v>
      </c>
      <c r="AF165" s="234" t="str">
        <f t="shared" si="66"/>
        <v>"C:\Program Files (x86)\AstroGrep\AstroGrep.exe" /e /r /s /spath="%USERPROFILE%\AppData\Local\Temp\OnboardLogs" /stypes="app*4024*20171207*" /stext=" 14:.+((SYSTEM_STATE.+slice.+state.+changed )|(ment ac)|(multiple cpu faults)|(system.+state.+changed )|(\[timeout)|(PRM\|1\|D)|(kpr)|(kdp)|(train st.+moving)|(\|lc)|(penalty))"</v>
      </c>
      <c r="AG165" s="244" t="str">
        <f t="shared" si="67"/>
        <v>NW</v>
      </c>
      <c r="AH165" s="236" t="str">
        <f t="shared" si="68"/>
        <v>"%USERPROFILE%\Documents\GitHub\eaglep3\Utilities\RefineRTDCRunTimes.py" --tripid 807-07 --locoid 4024 --swversion DE.1.0.9.0 --startMP 204:460 --initTime 2017-12-07T06:57:36 --startdatetime 2017-12-07T07:09:14 --delay 64 --endMP 300:58975 --enddatetime 2017-12-07T07:25:59 --enforcementcount 1 &gt;&gt;%USERPROFILE%\Documents\GitHub\eaglep3-reporting\EC\2017-12-07-refined-times.txt</v>
      </c>
      <c r="AI165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{"issue":{"subject":"","project_id":79,"tracker_id":40,"status_id":1,"priority_id":2,"assigned_to_id":338,"start_date":"2017-12-07","description":"","custom_fields":[{"id":1,"name":"Subdivision","value":"NW"},{"id":4,"name":"Milepost","value":"5.8975"},{"id":17,"name":"Train ID","value":"807-07"},{"id":16,"name":"Locomotive ID","value":"4024"},{"id":130,"name":"Impact","value":""},{"id":150,"name":"Time of Event (Mountain Time)","value":"07:25:59"},{"id":151,"name":"Denver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3"/>
      <c r="AK165" s="231"/>
      <c r="AL165" s="231"/>
      <c r="AM165" s="240" t="str">
        <f t="shared" si="70"/>
        <v>start /low /b %USERPROFILE%\Documents\GitHub\eaglep3\Utilities\DownloadLogsFromS3.py --loco 4024 --day 2017-12-07</v>
      </c>
      <c r="AN165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14:25:59"},{"id":29,"name":"Sharepoint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72"/>
        <v>https://d0f6bd738d7f1b3e5a7ca70fe4ff75f0.us-east-1.aws.found.io/app/kibana#/discover/Steve-Slow-Train-Analysis-(2080s-and-2083s)?_g=(refreshInterval:(display:Off,pause:!f,section:0,value:0),time:(from:'2017-12-07T05:57:36-0700',mode:absolute,to:'2017-12-07T08:25:59-0700'))&amp;_a=(columns:!('Message%20ID',Summary),filters:!(),index:'emp_*',interval:auto,query:(query_string:(analyze_wildcard:!t,query:'%22rtdc.l.rtdc.4024%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229" t="s">
        <v>757</v>
      </c>
      <c r="B166" s="225">
        <v>4023</v>
      </c>
      <c r="C166" s="227" t="s">
        <v>192</v>
      </c>
      <c r="D166" s="227" t="s">
        <v>1051</v>
      </c>
      <c r="E166" s="226">
        <v>43076.311157407406</v>
      </c>
      <c r="F166" s="226">
        <v>43076.320833333331</v>
      </c>
      <c r="G166" s="225">
        <v>67</v>
      </c>
      <c r="H166" s="227" t="s">
        <v>559</v>
      </c>
      <c r="I166" s="226">
        <v>43076.329641203702</v>
      </c>
      <c r="J166" s="225">
        <v>1</v>
      </c>
      <c r="K166" s="237" t="str">
        <f t="shared" si="56"/>
        <v>4023/4024</v>
      </c>
      <c r="L166" s="245" t="str">
        <f>VLOOKUP(A166,'Trips&amp;Operators'!$C$1:$G$99911,5,FALSE)</f>
        <v>FORTUNATO FRANK</v>
      </c>
      <c r="M166" s="224">
        <f t="shared" si="57"/>
        <v>8.8078703702194616E-3</v>
      </c>
      <c r="N166" s="225">
        <f t="shared" si="74"/>
        <v>12.683333333116025</v>
      </c>
      <c r="O166" s="225"/>
      <c r="P166" s="225"/>
      <c r="Q166" s="228"/>
      <c r="R166" s="242"/>
      <c r="S166" s="249">
        <f t="shared" si="75"/>
        <v>1</v>
      </c>
      <c r="T166" s="242" t="str">
        <f t="shared" si="59"/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60"/>
        <v>https://d0f6bd738d7f1b3e5a7ca70fe4ff75f0.us-east-1.aws.found.io/app/kibana#/discover/Steve-Slow-Train-Analysis-(2080s-and-2083s)?_g=(refreshInterval:(display:Off,pause:!f,section:0,value:0),time:(from:'2017-12-07T06:28:04-0700',mode:absolute,to:'2017-12-07T08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6" s="247" t="str">
        <f>IF(AA166&lt;VLOOKUP(AG166,Variables!$AC$3:$AD$8,2,FALSE),"Y","N")</f>
        <v>N</v>
      </c>
      <c r="X166" s="247">
        <f t="shared" si="73"/>
        <v>1</v>
      </c>
      <c r="Y166" s="247">
        <f t="shared" si="61"/>
        <v>5.8655999999999997</v>
      </c>
      <c r="Z166" s="247">
        <f t="shared" si="62"/>
        <v>1.6199999999999999E-2</v>
      </c>
      <c r="AA166" s="247">
        <f t="shared" si="63"/>
        <v>5.8493999999999993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64"/>
        <v>808</v>
      </c>
      <c r="AE166" s="235" t="str">
        <f t="shared" si="65"/>
        <v>aws s3 cp s3://rtdc.mdm.uploadarchive.raw/RTDC4023/ "%USERPROFILE%\AppData\Local\Temp\OnboardLogs"\RTDC4023\2017-12-07 --exclude "*" --recursive --include "*20171207*" &amp; "%USERPROFILE%\Documents\GitHub\mrs-test-scripts\Headless Mode &amp; Sideloading\WalkAndUnGZ.bat" "%USERPROFILE%\AppData\Local\Temp\OnboardLogs"\RTDC4023\2017-12-07 &amp; 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</v>
      </c>
      <c r="AF166" s="234" t="str">
        <f t="shared" si="66"/>
        <v>"C:\Program Files (x86)\AstroGrep\AstroGrep.exe" /e /r /s /spath="%USERPROFILE%\AppData\Local\Temp\OnboardLogs" /stypes="app*4023*20171207*" /stext=" 14:.+((SYSTEM_STATE.+slice.+state.+changed )|(ment ac)|(multiple cpu faults)|(system.+state.+changed )|(\[timeout)|(PRM\|1\|D)|(kpr)|(kdp)|(train st.+moving)|(\|lc)|(penalty))"</v>
      </c>
      <c r="AG166" s="244" t="str">
        <f t="shared" si="67"/>
        <v>NW</v>
      </c>
      <c r="AH166" s="236" t="str">
        <f t="shared" si="68"/>
        <v>"%USERPROFILE%\Documents\GitHub\eaglep3\Utilities\RefineRTDCRunTimes.py" --tripid 808-07 --locoid 4023 --swversion DE.1.0.9.0 --startMP 300:58656 --initTime 2017-12-07T07:28:04 --startdatetime 2017-12-07T07:42:00 --delay 67 --endMP 204:162 --enddatetime 2017-12-07T07:54:41 --enforcementcount 1 &gt;&gt;%USERPROFILE%\Documents\GitHub\eaglep3-reporting\EC\2017-12-07-refined-times.txt</v>
      </c>
      <c r="AI166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{"issue":{"subject":"","project_id":79,"tracker_id":40,"status_id":1,"priority_id":2,"assigned_to_id":338,"start_date":"2017-12-07","description":"","custom_fields":[{"id":1,"name":"Subdivision","value":"NW"},{"id":4,"name":"Milepost","value":"0.0162"},{"id":17,"name":"Train ID","value":"808-07"},{"id":16,"name":"Locomotive ID","value":"4023"},{"id":130,"name":"Impact","value":""},{"id":150,"name":"Time of Event (Mountain Time)","value":"07:54:41"},{"id":151,"name":"Denver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3"/>
      <c r="AK166" s="231"/>
      <c r="AL166" s="231"/>
      <c r="AM166" s="240" t="str">
        <f t="shared" si="70"/>
        <v>start /low /b %USERPROFILE%\Documents\GitHub\eaglep3\Utilities\DownloadLogsFromS3.py --loco 4023 --day 2017-12-07</v>
      </c>
      <c r="AN166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14:54:41"},{"id":29,"name":"Sharepoint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72"/>
        <v>https://d0f6bd738d7f1b3e5a7ca70fe4ff75f0.us-east-1.aws.found.io/app/kibana#/discover/Steve-Slow-Train-Analysis-(2080s-and-2083s)?_g=(refreshInterval:(display:Off,pause:!f,section:0,value:0),time:(from:'2017-12-07T06:28:04-0700',mode:absolute,to:'2017-12-07T08:54:41-0700'))&amp;_a=(columns:!('Message%20ID',Summary),filters:!(),index:'emp_*',interval:auto,query:(query_string:(analyze_wildcard:!t,query:'%22rtdc.l.rtdc.4023%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25">
      <c r="A167" s="229" t="s">
        <v>758</v>
      </c>
      <c r="B167" s="225">
        <v>4044</v>
      </c>
      <c r="C167" s="227" t="s">
        <v>192</v>
      </c>
      <c r="D167" s="227" t="s">
        <v>1056</v>
      </c>
      <c r="E167" s="226">
        <v>43076.311145833337</v>
      </c>
      <c r="F167" s="226">
        <v>43076.318923611114</v>
      </c>
      <c r="G167" s="225">
        <v>79</v>
      </c>
      <c r="H167" s="227" t="s">
        <v>1057</v>
      </c>
      <c r="I167" s="226">
        <v>43076.329155092593</v>
      </c>
      <c r="J167" s="225">
        <v>1</v>
      </c>
      <c r="K167" s="237" t="str">
        <f t="shared" si="56"/>
        <v>4043/4044</v>
      </c>
      <c r="L167" s="245" t="str">
        <f>VLOOKUP(A167,'Trips&amp;Operators'!$C$1:$G$99911,5,FALSE)</f>
        <v>LOPES KIMBERLY</v>
      </c>
      <c r="M167" s="224">
        <f t="shared" si="57"/>
        <v>1.0231481479422655E-2</v>
      </c>
      <c r="N167" s="225">
        <f t="shared" si="74"/>
        <v>14.733333330368623</v>
      </c>
      <c r="O167" s="225"/>
      <c r="P167" s="225"/>
      <c r="Q167" s="228"/>
      <c r="R167" s="242"/>
      <c r="S167" s="249">
        <f t="shared" si="75"/>
        <v>1</v>
      </c>
      <c r="T167" s="242" t="str">
        <f t="shared" si="59"/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60"/>
        <v>https://d0f6bd738d7f1b3e5a7ca70fe4ff75f0.us-east-1.aws.found.io/app/kibana#/discover/Steve-Slow-Train-Analysis-(2080s-and-2083s)?_g=(refreshInterval:(display:Off,pause:!f,section:0,value:0),time:(from:'2017-12-07T06:28:03-0700',mode:absolute,to:'2017-12-07T08:53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7" s="247" t="str">
        <f>IF(AA167&lt;VLOOKUP(AG167,Variables!$AC$3:$AD$8,2,FALSE),"Y","N")</f>
        <v>N</v>
      </c>
      <c r="X167" s="247">
        <f t="shared" si="73"/>
        <v>1</v>
      </c>
      <c r="Y167" s="247">
        <f t="shared" si="61"/>
        <v>4.41E-2</v>
      </c>
      <c r="Z167" s="247">
        <f t="shared" si="62"/>
        <v>5.8975999999999997</v>
      </c>
      <c r="AA167" s="247">
        <f t="shared" si="63"/>
        <v>5.8534999999999995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64"/>
        <v>809</v>
      </c>
      <c r="AE167" s="235" t="str">
        <f t="shared" si="65"/>
        <v>aws s3 cp s3://rtdc.mdm.uploadarchive.raw/RTDC4044/ "%USERPROFILE%\AppData\Local\Temp\OnboardLogs"\RTDC4044\2017-12-07 --exclude "*" --recursive --include "*20171207*" &amp; "%USERPROFILE%\Documents\GitHub\mrs-test-scripts\Headless Mode &amp; Sideloading\WalkAndUnGZ.bat" "%USERPROFILE%\AppData\Local\Temp\OnboardLogs"\RTDC4044\2017-12-07 &amp; aws s3 cp s3://rtdc.mdm.uploadarchive.raw/RTDC4044/ "%USERPROFILE%\AppData\Local\Temp\OnboardLogs"\RTDC4044\2017-12-08 --exclude "*" --recursive --include "*20171208*" &amp; "%USERPROFILE%\Documents\GitHub\mrs-test-scripts\Headless Mode &amp; Sideloading\WalkAndUnGZ.bat" "%USERPROFILE%\AppData\Local\Temp\OnboardLogs"\RTDC4044\2017-12-08</v>
      </c>
      <c r="AF167" s="234" t="str">
        <f t="shared" si="66"/>
        <v>"C:\Program Files (x86)\AstroGrep\AstroGrep.exe" /e /r /s /spath="%USERPROFILE%\AppData\Local\Temp\OnboardLogs" /stypes="app*4044*20171207*" /stext=" 14:.+((SYSTEM_STATE.+slice.+state.+changed )|(ment ac)|(multiple cpu faults)|(system.+state.+changed )|(\[timeout)|(PRM\|1\|D)|(kpr)|(kdp)|(train st.+moving)|(\|lc)|(penalty))"</v>
      </c>
      <c r="AG167" s="244" t="str">
        <f t="shared" si="67"/>
        <v>NW</v>
      </c>
      <c r="AH167" s="236" t="str">
        <f t="shared" si="68"/>
        <v>"%USERPROFILE%\Documents\GitHub\eaglep3\Utilities\RefineRTDCRunTimes.py" --tripid 809-07 --locoid 4044 --swversion DE.1.0.9.0 --startMP 204:441 --initTime 2017-12-07T07:28:03 --startdatetime 2017-12-07T07:39:15 --delay 79 --endMP 300:58976 --enddatetime 2017-12-07T07:53:59 --enforcementcount 1 &gt;&gt;%USERPROFILE%\Documents\GitHub\eaglep3-reporting\EC\2017-12-07-refined-times.txt</v>
      </c>
      <c r="AI167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{"issue":{"subject":"","project_id":79,"tracker_id":40,"status_id":1,"priority_id":2,"assigned_to_id":338,"start_date":"2017-12-07","description":"","custom_fields":[{"id":1,"name":"Subdivision","value":"NW"},{"id":4,"name":"Milepost","value":"5.8976"},{"id":17,"name":"Train ID","value":"809-07"},{"id":16,"name":"Locomotive ID","value":"4044"},{"id":130,"name":"Impact","value":""},{"id":150,"name":"Time of Event (Mountain Time)","value":"07:53:59"},{"id":151,"name":"Denver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70"/>
        <v>start /low /b %USERPROFILE%\Documents\GitHub\eaglep3\Utilities\DownloadLogsFromS3.py --loco 4044 --day 2017-12-07</v>
      </c>
      <c r="AN167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14:53:59"},{"id":29,"name":"Sharepoint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72"/>
        <v>https://d0f6bd738d7f1b3e5a7ca70fe4ff75f0.us-east-1.aws.found.io/app/kibana#/discover/Steve-Slow-Train-Analysis-(2080s-and-2083s)?_g=(refreshInterval:(display:Off,pause:!f,section:0,value:0),time:(from:'2017-12-07T06:28:03-0700',mode:absolute,to:'2017-12-07T08:53:59-0700'))&amp;_a=(columns:!('Message%20ID',Summary),filters:!(),index:'emp_*',interval:auto,query:(query_string:(analyze_wildcard:!t,query:'%22rtdc.l.rtdc.4044%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25">
      <c r="A168" s="229" t="s">
        <v>763</v>
      </c>
      <c r="B168" s="225">
        <v>4043</v>
      </c>
      <c r="C168" s="227" t="s">
        <v>192</v>
      </c>
      <c r="D168" s="227" t="s">
        <v>1058</v>
      </c>
      <c r="E168" s="226">
        <v>43076.330023148148</v>
      </c>
      <c r="F168" s="226">
        <v>43076.341666666667</v>
      </c>
      <c r="G168" s="225">
        <v>56</v>
      </c>
      <c r="H168" s="227" t="s">
        <v>542</v>
      </c>
      <c r="I168" s="226">
        <v>43076.350555555553</v>
      </c>
      <c r="J168" s="225">
        <v>1</v>
      </c>
      <c r="K168" s="237" t="str">
        <f t="shared" si="56"/>
        <v>4043/4044</v>
      </c>
      <c r="L168" s="245" t="str">
        <f>VLOOKUP(A168,'Trips&amp;Operators'!$C$1:$G$99911,5,FALSE)</f>
        <v>LOPES KIMBERLY</v>
      </c>
      <c r="M168" s="224">
        <f t="shared" si="57"/>
        <v>8.8888888858491555E-3</v>
      </c>
      <c r="N168" s="225">
        <f t="shared" si="74"/>
        <v>12.799999995622784</v>
      </c>
      <c r="O168" s="225"/>
      <c r="P168" s="225"/>
      <c r="Q168" s="228"/>
      <c r="R168" s="242"/>
      <c r="S168" s="249">
        <f t="shared" si="75"/>
        <v>1</v>
      </c>
      <c r="T168" s="242" t="str">
        <f t="shared" si="59"/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60"/>
        <v>https://d0f6bd738d7f1b3e5a7ca70fe4ff75f0.us-east-1.aws.found.io/app/kibana#/discover/Steve-Slow-Train-Analysis-(2080s-and-2083s)?_g=(refreshInterval:(display:Off,pause:!f,section:0,value:0),time:(from:'2017-12-07T06:55:14-0700',mode:absolute,to:'2017-12-07T09:24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8" s="247" t="str">
        <f>IF(AA168&lt;VLOOKUP(AG168,Variables!$AC$3:$AD$8,2,FALSE),"Y","N")</f>
        <v>N</v>
      </c>
      <c r="X168" s="247">
        <f t="shared" si="73"/>
        <v>1</v>
      </c>
      <c r="Y168" s="247">
        <f t="shared" si="61"/>
        <v>5.8647</v>
      </c>
      <c r="Z168" s="247">
        <f t="shared" si="62"/>
        <v>1.49E-2</v>
      </c>
      <c r="AA168" s="247">
        <f t="shared" si="63"/>
        <v>5.8498000000000001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64"/>
        <v>810</v>
      </c>
      <c r="AE168" s="235" t="str">
        <f t="shared" si="65"/>
        <v>aws s3 cp s3://rtdc.mdm.uploadarchive.raw/RTDC4043/ "%USERPROFILE%\AppData\Local\Temp\OnboardLogs"\RTDC4043\2017-12-07 --exclude "*" --recursive --include "*20171207*" &amp; "%USERPROFILE%\Documents\GitHub\mrs-test-scripts\Headless Mode &amp; Sideloading\WalkAndUnGZ.bat" "%USERPROFILE%\AppData\Local\Temp\OnboardLogs"\RTDC4043\2017-12-07 &amp; aws s3 cp s3://rtdc.mdm.uploadarchive.raw/RTDC4043/ "%USERPROFILE%\AppData\Local\Temp\OnboardLogs"\RTDC4043\2017-12-08 --exclude "*" --recursive --include "*20171208*" &amp; "%USERPROFILE%\Documents\GitHub\mrs-test-scripts\Headless Mode &amp; Sideloading\WalkAndUnGZ.bat" "%USERPROFILE%\AppData\Local\Temp\OnboardLogs"\RTDC4043\2017-12-08</v>
      </c>
      <c r="AF168" s="234" t="str">
        <f t="shared" si="66"/>
        <v>"C:\Program Files (x86)\AstroGrep\AstroGrep.exe" /e /r /s /spath="%USERPROFILE%\AppData\Local\Temp\OnboardLogs" /stypes="app*4043*20171207*" /stext=" 15:.+((SYSTEM_STATE.+slice.+state.+changed )|(ment ac)|(multiple cpu faults)|(system.+state.+changed )|(\[timeout)|(PRM\|1\|D)|(kpr)|(kdp)|(train st.+moving)|(\|lc)|(penalty))"</v>
      </c>
      <c r="AG168" s="244" t="str">
        <f t="shared" si="67"/>
        <v>NW</v>
      </c>
      <c r="AH168" s="236" t="str">
        <f t="shared" si="68"/>
        <v>"%USERPROFILE%\Documents\GitHub\eaglep3\Utilities\RefineRTDCRunTimes.py" --tripid 810-07 --locoid 4043 --swversion DE.1.0.9.0 --startMP 300:58647 --initTime 2017-12-07T07:55:14 --startdatetime 2017-12-07T08:12:00 --delay 56 --endMP 204:149 --enddatetime 2017-12-07T08:24:48 --enforcementcount 1 &gt;&gt;%USERPROFILE%\Documents\GitHub\eaglep3-reporting\EC\2017-12-07-refined-times.txt</v>
      </c>
      <c r="AI168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{"issue":{"subject":"","project_id":79,"tracker_id":40,"status_id":1,"priority_id":2,"assigned_to_id":338,"start_date":"2017-12-07","description":"","custom_fields":[{"id":1,"name":"Subdivision","value":"NW"},{"id":4,"name":"Milepost","value":"0.0149"},{"id":17,"name":"Train ID","value":"810-07"},{"id":16,"name":"Locomotive ID","value":"4043"},{"id":130,"name":"Impact","value":""},{"id":150,"name":"Time of Event (Mountain Time)","value":"08:24:48"},{"id":151,"name":"Denver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70"/>
        <v>start /low /b %USERPROFILE%\Documents\GitHub\eaglep3\Utilities\DownloadLogsFromS3.py --loco 4043 --day 2017-12-07</v>
      </c>
      <c r="AN168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15:24:48"},{"id":29,"name":"Sharepoint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72"/>
        <v>https://d0f6bd738d7f1b3e5a7ca70fe4ff75f0.us-east-1.aws.found.io/app/kibana#/discover/Steve-Slow-Train-Analysis-(2080s-and-2083s)?_g=(refreshInterval:(display:Off,pause:!f,section:0,value:0),time:(from:'2017-12-07T06:55:14-0700',mode:absolute,to:'2017-12-07T09:24:48-0700'))&amp;_a=(columns:!('Message%20ID',Summary),filters:!(),index:'emp_*',interval:auto,query:(query_string:(analyze_wildcard:!t,query:'%22rtdc.l.rtdc.4043%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25">
      <c r="A169" s="229" t="s">
        <v>765</v>
      </c>
      <c r="B169" s="225">
        <v>4024</v>
      </c>
      <c r="C169" s="227" t="s">
        <v>192</v>
      </c>
      <c r="D169" s="227" t="s">
        <v>492</v>
      </c>
      <c r="E169" s="226">
        <v>43076.332708333335</v>
      </c>
      <c r="F169" s="226">
        <v>43076.339733796296</v>
      </c>
      <c r="G169" s="225">
        <v>72</v>
      </c>
      <c r="H169" s="227" t="s">
        <v>556</v>
      </c>
      <c r="I169" s="226">
        <v>43076.349965277775</v>
      </c>
      <c r="J169" s="225">
        <v>1</v>
      </c>
      <c r="K169" s="237" t="str">
        <f t="shared" si="56"/>
        <v>4023/4024</v>
      </c>
      <c r="L169" s="245" t="str">
        <f>VLOOKUP(A169,'Trips&amp;Operators'!$C$1:$G$99911,5,FALSE)</f>
        <v>FORTUNATO FRANK</v>
      </c>
      <c r="M169" s="224">
        <f t="shared" si="57"/>
        <v>1.0231481479422655E-2</v>
      </c>
      <c r="N169" s="225">
        <f t="shared" si="74"/>
        <v>14.733333330368623</v>
      </c>
      <c r="O169" s="225"/>
      <c r="P169" s="225"/>
      <c r="Q169" s="228"/>
      <c r="R169" s="242"/>
      <c r="S169" s="249">
        <f t="shared" si="75"/>
        <v>1</v>
      </c>
      <c r="T169" s="242" t="str">
        <f t="shared" si="59"/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60"/>
        <v>https://d0f6bd738d7f1b3e5a7ca70fe4ff75f0.us-east-1.aws.found.io/app/kibana#/discover/Steve-Slow-Train-Analysis-(2080s-and-2083s)?_g=(refreshInterval:(display:Off,pause:!f,section:0,value:0),time:(from:'2017-12-07T06:59:06-0700',mode:absolute,to:'2017-12-07T09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9" s="247" t="str">
        <f>IF(AA169&lt;VLOOKUP(AG169,Variables!$AC$3:$AD$8,2,FALSE),"Y","N")</f>
        <v>N</v>
      </c>
      <c r="X169" s="247">
        <f t="shared" si="73"/>
        <v>1</v>
      </c>
      <c r="Y169" s="247">
        <f t="shared" si="61"/>
        <v>4.7100000000000003E-2</v>
      </c>
      <c r="Z169" s="247">
        <f t="shared" si="62"/>
        <v>5.8978000000000002</v>
      </c>
      <c r="AA169" s="247">
        <f t="shared" si="63"/>
        <v>5.8506999999999998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64"/>
        <v>811</v>
      </c>
      <c r="AE169" s="235" t="str">
        <f t="shared" si="65"/>
        <v>aws s3 cp s3://rtdc.mdm.uploadarchive.raw/RTDC4024/ "%USERPROFILE%\AppData\Local\Temp\OnboardLogs"\RTDC4024\2017-12-07 --exclude "*" --recursive --include "*20171207*" &amp; "%USERPROFILE%\Documents\GitHub\mrs-test-scripts\Headless Mode &amp; Sideloading\WalkAndUnGZ.bat" "%USERPROFILE%\AppData\Local\Temp\OnboardLogs"\RTDC4024\2017-12-07 &amp; 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</v>
      </c>
      <c r="AF169" s="234" t="str">
        <f t="shared" si="66"/>
        <v>"C:\Program Files (x86)\AstroGrep\AstroGrep.exe" /e /r /s /spath="%USERPROFILE%\AppData\Local\Temp\OnboardLogs" /stypes="app*4024*20171207*" /stext=" 15:.+((SYSTEM_STATE.+slice.+state.+changed )|(ment ac)|(multiple cpu faults)|(system.+state.+changed )|(\[timeout)|(PRM\|1\|D)|(kpr)|(kdp)|(train st.+moving)|(\|lc)|(penalty))"</v>
      </c>
      <c r="AG169" s="244" t="str">
        <f t="shared" si="67"/>
        <v>NW</v>
      </c>
      <c r="AH169" s="236" t="str">
        <f t="shared" si="68"/>
        <v>"%USERPROFILE%\Documents\GitHub\eaglep3\Utilities\RefineRTDCRunTimes.py" --tripid 811-07 --locoid 4024 --swversion DE.1.0.9.0 --startMP 204:471 --initTime 2017-12-07T07:59:06 --startdatetime 2017-12-07T08:09:13 --delay 72 --endMP 300:58978 --enddatetime 2017-12-07T08:23:57 --enforcementcount 1 &gt;&gt;%USERPROFILE%\Documents\GitHub\eaglep3-reporting\EC\2017-12-07-refined-times.txt</v>
      </c>
      <c r="AI169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{"issue":{"subject":"","project_id":79,"tracker_id":40,"status_id":1,"priority_id":2,"assigned_to_id":338,"start_date":"2017-12-07","description":"","custom_fields":[{"id":1,"name":"Subdivision","value":"NW"},{"id":4,"name":"Milepost","value":"5.8978"},{"id":17,"name":"Train ID","value":"811-07"},{"id":16,"name":"Locomotive ID","value":"4024"},{"id":130,"name":"Impact","value":""},{"id":150,"name":"Time of Event (Mountain Time)","value":"08:23:57"},{"id":151,"name":"Denver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70"/>
        <v>start /low /b %USERPROFILE%\Documents\GitHub\eaglep3\Utilities\DownloadLogsFromS3.py --loco 4024 --day 2017-12-07</v>
      </c>
      <c r="AN169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15:23:57"},{"id":29,"name":"Sharepoint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72"/>
        <v>https://d0f6bd738d7f1b3e5a7ca70fe4ff75f0.us-east-1.aws.found.io/app/kibana#/discover/Steve-Slow-Train-Analysis-(2080s-and-2083s)?_g=(refreshInterval:(display:Off,pause:!f,section:0,value:0),time:(from:'2017-12-07T06:59:06-0700',mode:absolute,to:'2017-12-07T09:23:57-0700'))&amp;_a=(columns:!('Message%20ID',Summary),filters:!(),index:'emp_*',interval:auto,query:(query_string:(analyze_wildcard:!t,query:'%22rtdc.l.rtdc.4024%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3" customFormat="1" x14ac:dyDescent="0.25">
      <c r="A170" s="229" t="s">
        <v>769</v>
      </c>
      <c r="B170" s="225">
        <v>4023</v>
      </c>
      <c r="C170" s="227" t="s">
        <v>192</v>
      </c>
      <c r="D170" s="227" t="s">
        <v>1059</v>
      </c>
      <c r="E170" s="226">
        <v>43076.351076388892</v>
      </c>
      <c r="F170" s="226">
        <v>43076.362500000003</v>
      </c>
      <c r="G170" s="225">
        <v>66</v>
      </c>
      <c r="H170" s="227" t="s">
        <v>640</v>
      </c>
      <c r="I170" s="226">
        <v>43076.371608796297</v>
      </c>
      <c r="J170" s="225">
        <v>1</v>
      </c>
      <c r="K170" s="237" t="str">
        <f t="shared" si="56"/>
        <v>4023/4024</v>
      </c>
      <c r="L170" s="245" t="str">
        <f>VLOOKUP(A170,'Trips&amp;Operators'!$C$1:$G$99911,5,FALSE)</f>
        <v>FORTUNATO FRANK</v>
      </c>
      <c r="M170" s="224">
        <f t="shared" si="57"/>
        <v>9.1087962937308475E-3</v>
      </c>
      <c r="N170" s="225">
        <f t="shared" si="74"/>
        <v>13.11666666297242</v>
      </c>
      <c r="O170" s="225"/>
      <c r="P170" s="225"/>
      <c r="Q170" s="228"/>
      <c r="R170" s="242"/>
      <c r="S170" s="249">
        <f t="shared" si="75"/>
        <v>1</v>
      </c>
      <c r="T170" s="242" t="str">
        <f t="shared" si="59"/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60"/>
        <v>https://d0f6bd738d7f1b3e5a7ca70fe4ff75f0.us-east-1.aws.found.io/app/kibana#/discover/Steve-Slow-Train-Analysis-(2080s-and-2083s)?_g=(refreshInterval:(display:Off,pause:!f,section:0,value:0),time:(from:'2017-12-07T07:25:33-0700',mode:absolute,to:'2017-12-07T09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0" s="247" t="str">
        <f>IF(AA170&lt;VLOOKUP(AG170,Variables!$AC$3:$AD$8,2,FALSE),"Y","N")</f>
        <v>N</v>
      </c>
      <c r="X170" s="247">
        <f t="shared" si="73"/>
        <v>1</v>
      </c>
      <c r="Y170" s="247">
        <f t="shared" si="61"/>
        <v>5.8663999999999996</v>
      </c>
      <c r="Z170" s="247">
        <f t="shared" si="62"/>
        <v>1.67E-2</v>
      </c>
      <c r="AA170" s="247">
        <f t="shared" si="63"/>
        <v>5.8496999999999995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64"/>
        <v>812</v>
      </c>
      <c r="AE170" s="235" t="str">
        <f t="shared" si="65"/>
        <v>aws s3 cp s3://rtdc.mdm.uploadarchive.raw/RTDC4023/ "%USERPROFILE%\AppData\Local\Temp\OnboardLogs"\RTDC4023\2017-12-07 --exclude "*" --recursive --include "*20171207*" &amp; "%USERPROFILE%\Documents\GitHub\mrs-test-scripts\Headless Mode &amp; Sideloading\WalkAndUnGZ.bat" "%USERPROFILE%\AppData\Local\Temp\OnboardLogs"\RTDC4023\2017-12-07 &amp; 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</v>
      </c>
      <c r="AF170" s="234" t="str">
        <f t="shared" si="66"/>
        <v>"C:\Program Files (x86)\AstroGrep\AstroGrep.exe" /e /r /s /spath="%USERPROFILE%\AppData\Local\Temp\OnboardLogs" /stypes="app*4023*20171207*" /stext=" 15:.+((SYSTEM_STATE.+slice.+state.+changed )|(ment ac)|(multiple cpu faults)|(system.+state.+changed )|(\[timeout)|(PRM\|1\|D)|(kpr)|(kdp)|(train st.+moving)|(\|lc)|(penalty))"</v>
      </c>
      <c r="AG170" s="244" t="str">
        <f t="shared" si="67"/>
        <v>NW</v>
      </c>
      <c r="AH170" s="236" t="str">
        <f t="shared" si="68"/>
        <v>"%USERPROFILE%\Documents\GitHub\eaglep3\Utilities\RefineRTDCRunTimes.py" --tripid 812-07 --locoid 4023 --swversion DE.1.0.9.0 --startMP 300:58664 --initTime 2017-12-07T08:25:33 --startdatetime 2017-12-07T08:42:00 --delay 66 --endMP 204:167 --enddatetime 2017-12-07T08:55:07 --enforcementcount 1 &gt;&gt;%USERPROFILE%\Documents\GitHub\eaglep3-reporting\EC\2017-12-07-refined-times.txt</v>
      </c>
      <c r="AI170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{"issue":{"subject":"","project_id":79,"tracker_id":40,"status_id":1,"priority_id":2,"assigned_to_id":338,"start_date":"2017-12-07","description":"","custom_fields":[{"id":1,"name":"Subdivision","value":"NW"},{"id":4,"name":"Milepost","value":"0.0167"},{"id":17,"name":"Train ID","value":"812-07"},{"id":16,"name":"Locomotive ID","value":"4023"},{"id":130,"name":"Impact","value":""},{"id":150,"name":"Time of Event (Mountain Time)","value":"08:55:07"},{"id":151,"name":"Denver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1"/>
      <c r="AL170" s="231"/>
      <c r="AM170" s="240" t="str">
        <f t="shared" si="70"/>
        <v>start /low /b %USERPROFILE%\Documents\GitHub\eaglep3\Utilities\DownloadLogsFromS3.py --loco 4023 --day 2017-12-07</v>
      </c>
      <c r="AN170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15:55:07"},{"id":29,"name":"Sharepoint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72"/>
        <v>https://d0f6bd738d7f1b3e5a7ca70fe4ff75f0.us-east-1.aws.found.io/app/kibana#/discover/Steve-Slow-Train-Analysis-(2080s-and-2083s)?_g=(refreshInterval:(display:Off,pause:!f,section:0,value:0),time:(from:'2017-12-07T07:25:33-0700',mode:absolute,to:'2017-12-07T09:55:07-0700'))&amp;_a=(columns:!('Message%20ID',Summary),filters:!(),index:'emp_*',interval:auto,query:(query_string:(analyze_wildcard:!t,query:'%22rtdc.l.rtdc.4023%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29" t="s">
        <v>775</v>
      </c>
      <c r="B171" s="225">
        <v>4024</v>
      </c>
      <c r="C171" s="227" t="s">
        <v>192</v>
      </c>
      <c r="D171" s="227" t="s">
        <v>492</v>
      </c>
      <c r="E171" s="226">
        <v>43076.372754629629</v>
      </c>
      <c r="F171" s="226">
        <v>43076.381539351853</v>
      </c>
      <c r="G171" s="225">
        <v>53</v>
      </c>
      <c r="H171" s="227" t="s">
        <v>1057</v>
      </c>
      <c r="I171" s="226">
        <v>43076.392789351848</v>
      </c>
      <c r="J171" s="225">
        <v>1</v>
      </c>
      <c r="K171" s="237" t="str">
        <f t="shared" si="56"/>
        <v>4023/4024</v>
      </c>
      <c r="L171" s="245" t="str">
        <f>VLOOKUP(A171,'Trips&amp;Operators'!$C$1:$G$99911,5,FALSE)</f>
        <v>FORTUNATO FRANK</v>
      </c>
      <c r="M171" s="224">
        <f t="shared" si="57"/>
        <v>1.1249999995925464E-2</v>
      </c>
      <c r="N171" s="225">
        <f t="shared" si="74"/>
        <v>16.199999994132668</v>
      </c>
      <c r="O171" s="225"/>
      <c r="P171" s="225"/>
      <c r="Q171" s="228"/>
      <c r="R171" s="242"/>
      <c r="S171" s="249">
        <f t="shared" si="75"/>
        <v>1</v>
      </c>
      <c r="T171" s="242" t="str">
        <f t="shared" si="59"/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60"/>
        <v>https://d0f6bd738d7f1b3e5a7ca70fe4ff75f0.us-east-1.aws.found.io/app/kibana#/discover/Steve-Slow-Train-Analysis-(2080s-and-2083s)?_g=(refreshInterval:(display:Off,pause:!f,section:0,value:0),time:(from:'2017-12-07T07:56:46-0700',mode:absolute,to:'2017-12-07T10:25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1" s="247" t="str">
        <f>IF(AA171&lt;VLOOKUP(AG171,Variables!$AC$3:$AD$8,2,FALSE),"Y","N")</f>
        <v>N</v>
      </c>
      <c r="X171" s="247">
        <f t="shared" si="73"/>
        <v>1</v>
      </c>
      <c r="Y171" s="247">
        <f t="shared" si="61"/>
        <v>4.7100000000000003E-2</v>
      </c>
      <c r="Z171" s="247">
        <f t="shared" si="62"/>
        <v>5.8975999999999997</v>
      </c>
      <c r="AA171" s="247">
        <f t="shared" si="63"/>
        <v>5.8504999999999994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64"/>
        <v>813</v>
      </c>
      <c r="AE171" s="235" t="str">
        <f t="shared" si="65"/>
        <v>aws s3 cp s3://rtdc.mdm.uploadarchive.raw/RTDC4024/ "%USERPROFILE%\AppData\Local\Temp\OnboardLogs"\RTDC4024\2017-12-07 --exclude "*" --recursive --include "*20171207*" &amp; "%USERPROFILE%\Documents\GitHub\mrs-test-scripts\Headless Mode &amp; Sideloading\WalkAndUnGZ.bat" "%USERPROFILE%\AppData\Local\Temp\OnboardLogs"\RTDC4024\2017-12-07 &amp; 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</v>
      </c>
      <c r="AF171" s="234" t="str">
        <f t="shared" si="66"/>
        <v>"C:\Program Files (x86)\AstroGrep\AstroGrep.exe" /e /r /s /spath="%USERPROFILE%\AppData\Local\Temp\OnboardLogs" /stypes="app*4024*20171207*" /stext=" 16:.+((SYSTEM_STATE.+slice.+state.+changed )|(ment ac)|(multiple cpu faults)|(system.+state.+changed )|(\[timeout)|(PRM\|1\|D)|(kpr)|(kdp)|(train st.+moving)|(\|lc)|(penalty))"</v>
      </c>
      <c r="AG171" s="244" t="str">
        <f t="shared" si="67"/>
        <v>NW</v>
      </c>
      <c r="AH171" s="236" t="str">
        <f t="shared" si="68"/>
        <v>"%USERPROFILE%\Documents\GitHub\eaglep3\Utilities\RefineRTDCRunTimes.py" --tripid 813-07 --locoid 4024 --swversion DE.1.0.9.0 --startMP 204:471 --initTime 2017-12-07T08:56:46 --startdatetime 2017-12-07T09:09:25 --delay 53 --endMP 300:58976 --enddatetime 2017-12-07T09:25:37 --enforcementcount 1 &gt;&gt;%USERPROFILE%\Documents\GitHub\eaglep3-reporting\EC\2017-12-07-refined-times.txt</v>
      </c>
      <c r="AI171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{"issue":{"subject":"","project_id":79,"tracker_id":40,"status_id":1,"priority_id":2,"assigned_to_id":338,"start_date":"2017-12-07","description":"","custom_fields":[{"id":1,"name":"Subdivision","value":"NW"},{"id":4,"name":"Milepost","value":"5.8976"},{"id":17,"name":"Train ID","value":"813-07"},{"id":16,"name":"Locomotive ID","value":"4024"},{"id":130,"name":"Impact","value":""},{"id":150,"name":"Time of Event (Mountain Time)","value":"09:25:37"},{"id":151,"name":"Denver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3"/>
      <c r="AK171" s="231"/>
      <c r="AL171" s="231"/>
      <c r="AM171" s="240" t="str">
        <f t="shared" si="70"/>
        <v>start /low /b %USERPROFILE%\Documents\GitHub\eaglep3\Utilities\DownloadLogsFromS3.py --loco 4024 --day 2017-12-07</v>
      </c>
      <c r="AN171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16:25:37"},{"id":29,"name":"Sharepoint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72"/>
        <v>https://d0f6bd738d7f1b3e5a7ca70fe4ff75f0.us-east-1.aws.found.io/app/kibana#/discover/Steve-Slow-Train-Analysis-(2080s-and-2083s)?_g=(refreshInterval:(display:Off,pause:!f,section:0,value:0),time:(from:'2017-12-07T07:56:46-0700',mode:absolute,to:'2017-12-07T10:25:37-0700'))&amp;_a=(columns:!('Message%20ID',Summary),filters:!(),index:'emp_*',interval:auto,query:(query_string:(analyze_wildcard:!t,query:'%22rtdc.l.rtdc.4024%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25">
      <c r="A172" s="229" t="s">
        <v>781</v>
      </c>
      <c r="B172" s="225">
        <v>4023</v>
      </c>
      <c r="C172" s="227" t="s">
        <v>192</v>
      </c>
      <c r="D172" s="227" t="s">
        <v>1060</v>
      </c>
      <c r="E172" s="226">
        <v>43076.394097222219</v>
      </c>
      <c r="F172" s="226">
        <v>43076.404166666667</v>
      </c>
      <c r="G172" s="225">
        <v>58</v>
      </c>
      <c r="H172" s="227" t="s">
        <v>665</v>
      </c>
      <c r="I172" s="226">
        <v>43076.413576388892</v>
      </c>
      <c r="J172" s="225">
        <v>1</v>
      </c>
      <c r="K172" s="237" t="str">
        <f t="shared" si="56"/>
        <v>4023/4024</v>
      </c>
      <c r="L172" s="245" t="str">
        <f>VLOOKUP(A172,'Trips&amp;Operators'!$C$1:$G$99911,5,FALSE)</f>
        <v>FORTUNATO FRANK</v>
      </c>
      <c r="M172" s="224">
        <f t="shared" si="57"/>
        <v>9.4097222245181911E-3</v>
      </c>
      <c r="N172" s="225">
        <f t="shared" si="74"/>
        <v>13.550000003306195</v>
      </c>
      <c r="O172" s="225"/>
      <c r="P172" s="225"/>
      <c r="Q172" s="228"/>
      <c r="R172" s="242"/>
      <c r="S172" s="249">
        <f t="shared" si="75"/>
        <v>1</v>
      </c>
      <c r="T172" s="242" t="str">
        <f t="shared" si="59"/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60"/>
        <v>https://d0f6bd738d7f1b3e5a7ca70fe4ff75f0.us-east-1.aws.found.io/app/kibana#/discover/Steve-Slow-Train-Analysis-(2080s-and-2083s)?_g=(refreshInterval:(display:Off,pause:!f,section:0,value:0),time:(from:'2017-12-07T08:27:30-0700',mode:absolute,to:'2017-12-07T10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2" s="247" t="str">
        <f>IF(AA172&lt;VLOOKUP(AG172,Variables!$AC$3:$AD$8,2,FALSE),"Y","N")</f>
        <v>N</v>
      </c>
      <c r="X172" s="247">
        <f t="shared" si="73"/>
        <v>1</v>
      </c>
      <c r="Y172" s="247">
        <f t="shared" si="61"/>
        <v>5.8667999999999996</v>
      </c>
      <c r="Z172" s="247">
        <f t="shared" si="62"/>
        <v>1.66E-2</v>
      </c>
      <c r="AA172" s="247">
        <f t="shared" si="63"/>
        <v>5.8501999999999992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64"/>
        <v>814</v>
      </c>
      <c r="AE172" s="235" t="str">
        <f t="shared" si="65"/>
        <v>aws s3 cp s3://rtdc.mdm.uploadarchive.raw/RTDC4023/ "%USERPROFILE%\AppData\Local\Temp\OnboardLogs"\RTDC4023\2017-12-07 --exclude "*" --recursive --include "*20171207*" &amp; "%USERPROFILE%\Documents\GitHub\mrs-test-scripts\Headless Mode &amp; Sideloading\WalkAndUnGZ.bat" "%USERPROFILE%\AppData\Local\Temp\OnboardLogs"\RTDC4023\2017-12-07 &amp; 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</v>
      </c>
      <c r="AF172" s="234" t="str">
        <f t="shared" si="66"/>
        <v>"C:\Program Files (x86)\AstroGrep\AstroGrep.exe" /e /r /s /spath="%USERPROFILE%\AppData\Local\Temp\OnboardLogs" /stypes="app*4023*20171207*" /stext=" 16:.+((SYSTEM_STATE.+slice.+state.+changed )|(ment ac)|(multiple cpu faults)|(system.+state.+changed )|(\[timeout)|(PRM\|1\|D)|(kpr)|(kdp)|(train st.+moving)|(\|lc)|(penalty))"</v>
      </c>
      <c r="AG172" s="244" t="str">
        <f t="shared" si="67"/>
        <v>NW</v>
      </c>
      <c r="AH172" s="236" t="str">
        <f t="shared" si="68"/>
        <v>"%USERPROFILE%\Documents\GitHub\eaglep3\Utilities\RefineRTDCRunTimes.py" --tripid 814-07 --locoid 4023 --swversion DE.1.0.9.0 --startMP 300:58668 --initTime 2017-12-07T09:27:30 --startdatetime 2017-12-07T09:42:00 --delay 58 --endMP 204:166 --enddatetime 2017-12-07T09:55:33 --enforcementcount 1 &gt;&gt;%USERPROFILE%\Documents\GitHub\eaglep3-reporting\EC\2017-12-07-refined-times.txt</v>
      </c>
      <c r="AI172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{"issue":{"subject":"","project_id":79,"tracker_id":40,"status_id":1,"priority_id":2,"assigned_to_id":338,"start_date":"2017-12-07","description":"","custom_fields":[{"id":1,"name":"Subdivision","value":"NW"},{"id":4,"name":"Milepost","value":"0.0166"},{"id":17,"name":"Train ID","value":"814-07"},{"id":16,"name":"Locomotive ID","value":"4023"},{"id":130,"name":"Impact","value":""},{"id":150,"name":"Time of Event (Mountain Time)","value":"09:55:33"},{"id":151,"name":"Denver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70"/>
        <v>start /low /b %USERPROFILE%\Documents\GitHub\eaglep3\Utilities\DownloadLogsFromS3.py --loco 4023 --day 2017-12-07</v>
      </c>
      <c r="AN172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16:55:33"},{"id":29,"name":"Sharepoint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72"/>
        <v>https://d0f6bd738d7f1b3e5a7ca70fe4ff75f0.us-east-1.aws.found.io/app/kibana#/discover/Steve-Slow-Train-Analysis-(2080s-and-2083s)?_g=(refreshInterval:(display:Off,pause:!f,section:0,value:0),time:(from:'2017-12-07T08:27:30-0700',mode:absolute,to:'2017-12-07T10:55:33-0700'))&amp;_a=(columns:!('Message%20ID',Summary),filters:!(),index:'emp_*',interval:auto,query:(query_string:(analyze_wildcard:!t,query:'%22rtdc.l.rtdc.4023%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25">
      <c r="A173" s="229" t="s">
        <v>785</v>
      </c>
      <c r="B173" s="225">
        <v>4024</v>
      </c>
      <c r="C173" s="227" t="s">
        <v>192</v>
      </c>
      <c r="D173" s="227" t="s">
        <v>1061</v>
      </c>
      <c r="E173" s="226">
        <v>43076.415983796294</v>
      </c>
      <c r="F173" s="226">
        <v>43076.423148148147</v>
      </c>
      <c r="G173" s="225">
        <v>50</v>
      </c>
      <c r="H173" s="227" t="s">
        <v>1057</v>
      </c>
      <c r="I173" s="226">
        <v>43076.433252314811</v>
      </c>
      <c r="J173" s="225">
        <v>1</v>
      </c>
      <c r="K173" s="237" t="str">
        <f t="shared" si="56"/>
        <v>4023/4024</v>
      </c>
      <c r="L173" s="245" t="str">
        <f>VLOOKUP(A173,'Trips&amp;Operators'!$C$1:$G$99911,5,FALSE)</f>
        <v>FORTUNATO FRANK</v>
      </c>
      <c r="M173" s="224">
        <f t="shared" si="57"/>
        <v>1.0104166663950309E-2</v>
      </c>
      <c r="N173" s="225">
        <f t="shared" si="74"/>
        <v>14.549999996088445</v>
      </c>
      <c r="O173" s="225"/>
      <c r="P173" s="225"/>
      <c r="Q173" s="228"/>
      <c r="R173" s="242"/>
      <c r="S173" s="249">
        <f t="shared" si="75"/>
        <v>1</v>
      </c>
      <c r="T173" s="242" t="str">
        <f t="shared" si="59"/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60"/>
        <v>https://d0f6bd738d7f1b3e5a7ca70fe4ff75f0.us-east-1.aws.found.io/app/kibana#/discover/Steve-Slow-Train-Analysis-(2080s-and-2083s)?_g=(refreshInterval:(display:Off,pause:!f,section:0,value:0),time:(from:'2017-12-07T08:59:01-0700',mode:absolute,to:'2017-12-07T11:23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3" s="247" t="str">
        <f>IF(AA173&lt;VLOOKUP(AG173,Variables!$AC$3:$AD$8,2,FALSE),"Y","N")</f>
        <v>N</v>
      </c>
      <c r="X173" s="247">
        <f t="shared" si="73"/>
        <v>1</v>
      </c>
      <c r="Y173" s="247">
        <f t="shared" ref="Y173:Y183" si="76">RIGHT(D173,LEN(D173)-4)/10000</f>
        <v>4.3900000000000002E-2</v>
      </c>
      <c r="Z173" s="247">
        <f t="shared" ref="Z173:Z187" si="77">RIGHT(H173,LEN(H173)-4)/10000</f>
        <v>5.8975999999999997</v>
      </c>
      <c r="AA173" s="247">
        <f t="shared" si="63"/>
        <v>5.8536999999999999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64"/>
        <v>815</v>
      </c>
      <c r="AE173" s="235" t="str">
        <f t="shared" si="65"/>
        <v>aws s3 cp s3://rtdc.mdm.uploadarchive.raw/RTDC4024/ "%USERPROFILE%\AppData\Local\Temp\OnboardLogs"\RTDC4024\2017-12-07 --exclude "*" --recursive --include "*20171207*" &amp; "%USERPROFILE%\Documents\GitHub\mrs-test-scripts\Headless Mode &amp; Sideloading\WalkAndUnGZ.bat" "%USERPROFILE%\AppData\Local\Temp\OnboardLogs"\RTDC4024\2017-12-07 &amp; 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</v>
      </c>
      <c r="AF173" s="234" t="str">
        <f t="shared" si="66"/>
        <v>"C:\Program Files (x86)\AstroGrep\AstroGrep.exe" /e /r /s /spath="%USERPROFILE%\AppData\Local\Temp\OnboardLogs" /stypes="app*4024*20171207*" /stext=" 17:.+((SYSTEM_STATE.+slice.+state.+changed )|(ment ac)|(multiple cpu faults)|(system.+state.+changed )|(\[timeout)|(PRM\|1\|D)|(kpr)|(kdp)|(train st.+moving)|(\|lc)|(penalty))"</v>
      </c>
      <c r="AG173" s="244" t="str">
        <f t="shared" si="67"/>
        <v>NW</v>
      </c>
      <c r="AH173" s="236" t="str">
        <f t="shared" si="68"/>
        <v>"%USERPROFILE%\Documents\GitHub\eaglep3\Utilities\RefineRTDCRunTimes.py" --tripid 815-07 --locoid 4024 --swversion DE.1.0.9.0 --startMP 204:439 --initTime 2017-12-07T09:59:01 --startdatetime 2017-12-07T10:09:20 --delay 50 --endMP 300:58976 --enddatetime 2017-12-07T10:23:53 --enforcementcount 1 &gt;&gt;%USERPROFILE%\Documents\GitHub\eaglep3-reporting\EC\2017-12-07-refined-times.txt</v>
      </c>
      <c r="AI173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{"issue":{"subject":"","project_id":79,"tracker_id":40,"status_id":1,"priority_id":2,"assigned_to_id":338,"start_date":"2017-12-07","description":"","custom_fields":[{"id":1,"name":"Subdivision","value":"NW"},{"id":4,"name":"Milepost","value":"5.8976"},{"id":17,"name":"Train ID","value":"815-07"},{"id":16,"name":"Locomotive ID","value":"4024"},{"id":130,"name":"Impact","value":""},{"id":150,"name":"Time of Event (Mountain Time)","value":"10:23:53"},{"id":151,"name":"Denver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70"/>
        <v>start /low /b %USERPROFILE%\Documents\GitHub\eaglep3\Utilities\DownloadLogsFromS3.py --loco 4024 --day 2017-12-07</v>
      </c>
      <c r="AN173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17:23:53"},{"id":29,"name":"Sharepoint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72"/>
        <v>https://d0f6bd738d7f1b3e5a7ca70fe4ff75f0.us-east-1.aws.found.io/app/kibana#/discover/Steve-Slow-Train-Analysis-(2080s-and-2083s)?_g=(refreshInterval:(display:Off,pause:!f,section:0,value:0),time:(from:'2017-12-07T08:59:01-0700',mode:absolute,to:'2017-12-07T11:23:53-0700'))&amp;_a=(columns:!('Message%20ID',Summary),filters:!(),index:'emp_*',interval:auto,query:(query_string:(analyze_wildcard:!t,query:'%22rtdc.l.rtdc.4024%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29" t="s">
        <v>789</v>
      </c>
      <c r="B174" s="225">
        <v>4023</v>
      </c>
      <c r="C174" s="227" t="s">
        <v>192</v>
      </c>
      <c r="D174" s="227" t="s">
        <v>1062</v>
      </c>
      <c r="E174" s="226">
        <v>43076.434467592589</v>
      </c>
      <c r="F174" s="226">
        <v>43076.445833333331</v>
      </c>
      <c r="G174" s="225">
        <v>58</v>
      </c>
      <c r="H174" s="227" t="s">
        <v>671</v>
      </c>
      <c r="I174" s="226">
        <v>43076.454907407409</v>
      </c>
      <c r="J174" s="225">
        <v>1</v>
      </c>
      <c r="K174" s="237" t="str">
        <f t="shared" si="56"/>
        <v>4023/4024</v>
      </c>
      <c r="L174" s="245" t="str">
        <f>VLOOKUP(A174,'Trips&amp;Operators'!$C$1:$G$99911,5,FALSE)</f>
        <v>FORTUNATO FRANK</v>
      </c>
      <c r="M174" s="224">
        <f t="shared" si="57"/>
        <v>9.0740740779438056E-3</v>
      </c>
      <c r="N174" s="225">
        <f t="shared" si="74"/>
        <v>13.06666667223908</v>
      </c>
      <c r="O174" s="225"/>
      <c r="P174" s="225"/>
      <c r="Q174" s="228"/>
      <c r="R174" s="242"/>
      <c r="S174" s="249">
        <f t="shared" si="75"/>
        <v>1</v>
      </c>
      <c r="T174" s="242" t="str">
        <f t="shared" si="59"/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60"/>
        <v>https://d0f6bd738d7f1b3e5a7ca70fe4ff75f0.us-east-1.aws.found.io/app/kibana#/discover/Steve-Slow-Train-Analysis-(2080s-and-2083s)?_g=(refreshInterval:(display:Off,pause:!f,section:0,value:0),time:(from:'2017-12-07T09:25:38-0700',mode:absolute,to:'2017-12-07T11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4" s="247" t="str">
        <f>IF(AA174&lt;VLOOKUP(AG174,Variables!$AC$3:$AD$8,2,FALSE),"Y","N")</f>
        <v>N</v>
      </c>
      <c r="X174" s="247">
        <f t="shared" si="73"/>
        <v>1</v>
      </c>
      <c r="Y174" s="247">
        <f t="shared" si="76"/>
        <v>5.8659999999999997</v>
      </c>
      <c r="Z174" s="247">
        <f t="shared" si="77"/>
        <v>1.4800000000000001E-2</v>
      </c>
      <c r="AA174" s="247">
        <f t="shared" si="63"/>
        <v>5.8511999999999995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64"/>
        <v>816</v>
      </c>
      <c r="AE174" s="235" t="str">
        <f t="shared" si="65"/>
        <v>aws s3 cp s3://rtdc.mdm.uploadarchive.raw/RTDC4023/ "%USERPROFILE%\AppData\Local\Temp\OnboardLogs"\RTDC4023\2017-12-07 --exclude "*" --recursive --include "*20171207*" &amp; "%USERPROFILE%\Documents\GitHub\mrs-test-scripts\Headless Mode &amp; Sideloading\WalkAndUnGZ.bat" "%USERPROFILE%\AppData\Local\Temp\OnboardLogs"\RTDC4023\2017-12-07 &amp; 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</v>
      </c>
      <c r="AF174" s="234" t="str">
        <f t="shared" si="66"/>
        <v>"C:\Program Files (x86)\AstroGrep\AstroGrep.exe" /e /r /s /spath="%USERPROFILE%\AppData\Local\Temp\OnboardLogs" /stypes="app*4023*20171207*" /stext=" 17:.+((SYSTEM_STATE.+slice.+state.+changed )|(ment ac)|(multiple cpu faults)|(system.+state.+changed )|(\[timeout)|(PRM\|1\|D)|(kpr)|(kdp)|(train st.+moving)|(\|lc)|(penalty))"</v>
      </c>
      <c r="AG174" s="244" t="str">
        <f t="shared" si="67"/>
        <v>NW</v>
      </c>
      <c r="AH174" s="236" t="str">
        <f t="shared" si="68"/>
        <v>"%USERPROFILE%\Documents\GitHub\eaglep3\Utilities\RefineRTDCRunTimes.py" --tripid 816-07 --locoid 4023 --swversion DE.1.0.9.0 --startMP 300:58660 --initTime 2017-12-07T10:25:38 --startdatetime 2017-12-07T10:42:00 --delay 58 --endMP 204:148 --enddatetime 2017-12-07T10:55:04 --enforcementcount 1 &gt;&gt;%USERPROFILE%\Documents\GitHub\eaglep3-reporting\EC\2017-12-07-refined-times.txt</v>
      </c>
      <c r="AI174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{"issue":{"subject":"","project_id":79,"tracker_id":40,"status_id":1,"priority_id":2,"assigned_to_id":338,"start_date":"2017-12-07","description":"","custom_fields":[{"id":1,"name":"Subdivision","value":"NW"},{"id":4,"name":"Milepost","value":"0.0148"},{"id":17,"name":"Train ID","value":"816-07"},{"id":16,"name":"Locomotive ID","value":"4023"},{"id":130,"name":"Impact","value":""},{"id":150,"name":"Time of Event (Mountain Time)","value":"10:55:04"},{"id":151,"name":"Denver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70"/>
        <v>start /low /b %USERPROFILE%\Documents\GitHub\eaglep3\Utilities\DownloadLogsFromS3.py --loco 4023 --day 2017-12-07</v>
      </c>
      <c r="AN174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17:55:04"},{"id":29,"name":"Sharepoint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72"/>
        <v>https://d0f6bd738d7f1b3e5a7ca70fe4ff75f0.us-east-1.aws.found.io/app/kibana#/discover/Steve-Slow-Train-Analysis-(2080s-and-2083s)?_g=(refreshInterval:(display:Off,pause:!f,section:0,value:0),time:(from:'2017-12-07T09:25:38-0700',mode:absolute,to:'2017-12-07T11:55:04-0700'))&amp;_a=(columns:!('Message%20ID',Summary),filters:!(),index:'emp_*',interval:auto,query:(query_string:(analyze_wildcard:!t,query:'%22rtdc.l.rtdc.4023%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229" t="s">
        <v>796</v>
      </c>
      <c r="B175" s="225">
        <v>4024</v>
      </c>
      <c r="C175" s="227" t="s">
        <v>192</v>
      </c>
      <c r="D175" s="227" t="s">
        <v>1063</v>
      </c>
      <c r="E175" s="226">
        <v>43076.456631944442</v>
      </c>
      <c r="F175" s="226">
        <v>43076.464745370373</v>
      </c>
      <c r="G175" s="225">
        <v>49</v>
      </c>
      <c r="H175" s="227" t="s">
        <v>1064</v>
      </c>
      <c r="I175" s="226">
        <v>43076.474895833337</v>
      </c>
      <c r="J175" s="225">
        <v>1</v>
      </c>
      <c r="K175" s="237" t="str">
        <f t="shared" si="56"/>
        <v>4023/4024</v>
      </c>
      <c r="L175" s="245" t="str">
        <f>VLOOKUP(A175,'Trips&amp;Operators'!$C$1:$G$99911,5,FALSE)</f>
        <v>FORTUNATO FRANK</v>
      </c>
      <c r="M175" s="224">
        <f t="shared" si="57"/>
        <v>1.0150462963792961E-2</v>
      </c>
      <c r="N175" s="225">
        <f t="shared" si="74"/>
        <v>14.616666667861864</v>
      </c>
      <c r="O175" s="225"/>
      <c r="P175" s="225"/>
      <c r="Q175" s="228"/>
      <c r="R175" s="242"/>
      <c r="S175" s="249">
        <f t="shared" si="75"/>
        <v>1</v>
      </c>
      <c r="T175" s="242" t="str">
        <f t="shared" si="59"/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60"/>
        <v>https://d0f6bd738d7f1b3e5a7ca70fe4ff75f0.us-east-1.aws.found.io/app/kibana#/discover/Steve-Slow-Train-Analysis-(2080s-and-2083s)?_g=(refreshInterval:(display:Off,pause:!f,section:0,value:0),time:(from:'2017-12-07T09:57:33-0700',mode:absolute,to:'2017-12-07T12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5" s="247" t="str">
        <f>IF(AA175&lt;VLOOKUP(AG175,Variables!$AC$3:$AD$8,2,FALSE),"Y","N")</f>
        <v>N</v>
      </c>
      <c r="X175" s="247">
        <f t="shared" si="73"/>
        <v>1</v>
      </c>
      <c r="Y175" s="247">
        <f t="shared" si="76"/>
        <v>4.48E-2</v>
      </c>
      <c r="Z175" s="247">
        <f t="shared" si="77"/>
        <v>5.8979999999999997</v>
      </c>
      <c r="AA175" s="247">
        <f t="shared" si="63"/>
        <v>5.8531999999999993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64"/>
        <v>817</v>
      </c>
      <c r="AE175" s="235" t="str">
        <f t="shared" si="65"/>
        <v>aws s3 cp s3://rtdc.mdm.uploadarchive.raw/RTDC4024/ "%USERPROFILE%\AppData\Local\Temp\OnboardLogs"\RTDC4024\2017-12-07 --exclude "*" --recursive --include "*20171207*" &amp; "%USERPROFILE%\Documents\GitHub\mrs-test-scripts\Headless Mode &amp; Sideloading\WalkAndUnGZ.bat" "%USERPROFILE%\AppData\Local\Temp\OnboardLogs"\RTDC4024\2017-12-07 &amp; 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</v>
      </c>
      <c r="AF175" s="234" t="str">
        <f t="shared" si="66"/>
        <v>"C:\Program Files (x86)\AstroGrep\AstroGrep.exe" /e /r /s /spath="%USERPROFILE%\AppData\Local\Temp\OnboardLogs" /stypes="app*4024*20171207*" /stext=" 18:.+((SYSTEM_STATE.+slice.+state.+changed )|(ment ac)|(multiple cpu faults)|(system.+state.+changed )|(\[timeout)|(PRM\|1\|D)|(kpr)|(kdp)|(train st.+moving)|(\|lc)|(penalty))"</v>
      </c>
      <c r="AG175" s="244" t="str">
        <f t="shared" si="67"/>
        <v>NW</v>
      </c>
      <c r="AH175" s="236" t="str">
        <f t="shared" si="68"/>
        <v>"%USERPROFILE%\Documents\GitHub\eaglep3\Utilities\RefineRTDCRunTimes.py" --tripid 817-07 --locoid 4024 --swversion DE.1.0.9.0 --startMP 204:448 --initTime 2017-12-07T10:57:33 --startdatetime 2017-12-07T11:09:14 --delay 49 --endMP 300:58980 --enddatetime 2017-12-07T11:23:51 --enforcementcount 1 &gt;&gt;%USERPROFILE%\Documents\GitHub\eaglep3-reporting\EC\2017-12-07-refined-times.txt</v>
      </c>
      <c r="AI175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{"issue":{"subject":"","project_id":79,"tracker_id":40,"status_id":1,"priority_id":2,"assigned_to_id":338,"start_date":"2017-12-07","description":"","custom_fields":[{"id":1,"name":"Subdivision","value":"NW"},{"id":4,"name":"Milepost","value":"5.898"},{"id":17,"name":"Train ID","value":"817-07"},{"id":16,"name":"Locomotive ID","value":"4024"},{"id":130,"name":"Impact","value":""},{"id":150,"name":"Time of Event (Mountain Time)","value":"11:23:51"},{"id":151,"name":"Denver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3"/>
      <c r="AK175" s="231"/>
      <c r="AL175" s="231"/>
      <c r="AM175" s="240" t="str">
        <f t="shared" si="70"/>
        <v>start /low /b %USERPROFILE%\Documents\GitHub\eaglep3\Utilities\DownloadLogsFromS3.py --loco 4024 --day 2017-12-07</v>
      </c>
      <c r="AN175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18:23:51"},{"id":29,"name":"Sharepoint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72"/>
        <v>https://d0f6bd738d7f1b3e5a7ca70fe4ff75f0.us-east-1.aws.found.io/app/kibana#/discover/Steve-Slow-Train-Analysis-(2080s-and-2083s)?_g=(refreshInterval:(display:Off,pause:!f,section:0,value:0),time:(from:'2017-12-07T09:57:33-0700',mode:absolute,to:'2017-12-07T12:23:51-0700'))&amp;_a=(columns:!('Message%20ID',Summary),filters:!(),index:'emp_*',interval:auto,query:(query_string:(analyze_wildcard:!t,query:'%22rtdc.l.rtdc.4024%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229" t="s">
        <v>801</v>
      </c>
      <c r="B176" s="225">
        <v>4023</v>
      </c>
      <c r="C176" s="227" t="s">
        <v>192</v>
      </c>
      <c r="D176" s="227" t="s">
        <v>1065</v>
      </c>
      <c r="E176" s="226">
        <v>43076.476006944446</v>
      </c>
      <c r="F176" s="226">
        <v>43076.487500000003</v>
      </c>
      <c r="G176" s="225">
        <v>61</v>
      </c>
      <c r="H176" s="227" t="s">
        <v>922</v>
      </c>
      <c r="I176" s="226">
        <v>43076.496516203704</v>
      </c>
      <c r="J176" s="225">
        <v>1</v>
      </c>
      <c r="K176" s="237" t="str">
        <f t="shared" si="56"/>
        <v>4023/4024</v>
      </c>
      <c r="L176" s="245" t="str">
        <f>VLOOKUP(A176,'Trips&amp;Operators'!$C$1:$G$99911,5,FALSE)</f>
        <v>FORTUNATO FRANK</v>
      </c>
      <c r="M176" s="224">
        <f t="shared" si="57"/>
        <v>9.0162037013215013E-3</v>
      </c>
      <c r="N176" s="225">
        <f t="shared" si="74"/>
        <v>12.983333329902962</v>
      </c>
      <c r="O176" s="225"/>
      <c r="P176" s="225"/>
      <c r="Q176" s="228"/>
      <c r="R176" s="242"/>
      <c r="S176" s="249">
        <f t="shared" si="75"/>
        <v>1</v>
      </c>
      <c r="T176" s="242" t="str">
        <f t="shared" si="59"/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60"/>
        <v>https://d0f6bd738d7f1b3e5a7ca70fe4ff75f0.us-east-1.aws.found.io/app/kibana#/discover/Steve-Slow-Train-Analysis-(2080s-and-2083s)?_g=(refreshInterval:(display:Off,pause:!f,section:0,value:0),time:(from:'2017-12-07T10:25:27-0700',mode:absolute,to:'2017-12-07T12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6" s="247" t="str">
        <f>IF(AA176&lt;VLOOKUP(AG176,Variables!$AC$3:$AD$8,2,FALSE),"Y","N")</f>
        <v>N</v>
      </c>
      <c r="X176" s="247">
        <f t="shared" si="73"/>
        <v>1</v>
      </c>
      <c r="Y176" s="247">
        <f t="shared" si="76"/>
        <v>5.8662000000000001</v>
      </c>
      <c r="Z176" s="247">
        <f t="shared" si="77"/>
        <v>1.6E-2</v>
      </c>
      <c r="AA176" s="247">
        <f t="shared" si="63"/>
        <v>5.8502000000000001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64"/>
        <v>818</v>
      </c>
      <c r="AE176" s="235" t="str">
        <f t="shared" si="65"/>
        <v>aws s3 cp s3://rtdc.mdm.uploadarchive.raw/RTDC4023/ "%USERPROFILE%\AppData\Local\Temp\OnboardLogs"\RTDC4023\2017-12-07 --exclude "*" --recursive --include "*20171207*" &amp; "%USERPROFILE%\Documents\GitHub\mrs-test-scripts\Headless Mode &amp; Sideloading\WalkAndUnGZ.bat" "%USERPROFILE%\AppData\Local\Temp\OnboardLogs"\RTDC4023\2017-12-07 &amp; 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</v>
      </c>
      <c r="AF176" s="234" t="str">
        <f t="shared" si="66"/>
        <v>"C:\Program Files (x86)\AstroGrep\AstroGrep.exe" /e /r /s /spath="%USERPROFILE%\AppData\Local\Temp\OnboardLogs" /stypes="app*4023*20171207*" /stext=" 18:.+((SYSTEM_STATE.+slice.+state.+changed )|(ment ac)|(multiple cpu faults)|(system.+state.+changed )|(\[timeout)|(PRM\|1\|D)|(kpr)|(kdp)|(train st.+moving)|(\|lc)|(penalty))"</v>
      </c>
      <c r="AG176" s="244" t="str">
        <f t="shared" si="67"/>
        <v>NW</v>
      </c>
      <c r="AH176" s="236" t="str">
        <f t="shared" si="68"/>
        <v>"%USERPROFILE%\Documents\GitHub\eaglep3\Utilities\RefineRTDCRunTimes.py" --tripid 818-07 --locoid 4023 --swversion DE.1.0.9.0 --startMP 300:58662 --initTime 2017-12-07T11:25:27 --startdatetime 2017-12-07T11:42:00 --delay 61 --endMP 204:160 --enddatetime 2017-12-07T11:54:59 --enforcementcount 1 &gt;&gt;%USERPROFILE%\Documents\GitHub\eaglep3-reporting\EC\2017-12-07-refined-times.txt</v>
      </c>
      <c r="AI176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{"issue":{"subject":"","project_id":79,"tracker_id":40,"status_id":1,"priority_id":2,"assigned_to_id":338,"start_date":"2017-12-07","description":"","custom_fields":[{"id":1,"name":"Subdivision","value":"NW"},{"id":4,"name":"Milepost","value":"0.016"},{"id":17,"name":"Train ID","value":"818-07"},{"id":16,"name":"Locomotive ID","value":"4023"},{"id":130,"name":"Impact","value":""},{"id":150,"name":"Time of Event (Mountain Time)","value":"11:54:59"},{"id":151,"name":"Denver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3"/>
      <c r="AK176" s="231"/>
      <c r="AL176" s="231"/>
      <c r="AM176" s="240" t="str">
        <f t="shared" si="70"/>
        <v>start /low /b %USERPROFILE%\Documents\GitHub\eaglep3\Utilities\DownloadLogsFromS3.py --loco 4023 --day 2017-12-07</v>
      </c>
      <c r="AN176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18:54:59"},{"id":29,"name":"Sharepoint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72"/>
        <v>https://d0f6bd738d7f1b3e5a7ca70fe4ff75f0.us-east-1.aws.found.io/app/kibana#/discover/Steve-Slow-Train-Analysis-(2080s-and-2083s)?_g=(refreshInterval:(display:Off,pause:!f,section:0,value:0),time:(from:'2017-12-07T10:25:27-0700',mode:absolute,to:'2017-12-07T12:54:59-0700'))&amp;_a=(columns:!('Message%20ID',Summary),filters:!(),index:'emp_*',interval:auto,query:(query_string:(analyze_wildcard:!t,query:'%22rtdc.l.rtdc.4023%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3" customFormat="1" x14ac:dyDescent="0.25">
      <c r="A177" s="229" t="s">
        <v>807</v>
      </c>
      <c r="B177" s="225">
        <v>4024</v>
      </c>
      <c r="C177" s="227" t="s">
        <v>192</v>
      </c>
      <c r="D177" s="227" t="s">
        <v>635</v>
      </c>
      <c r="E177" s="226">
        <v>43076.497754629629</v>
      </c>
      <c r="F177" s="226">
        <v>43076.506412037037</v>
      </c>
      <c r="G177" s="225">
        <v>48</v>
      </c>
      <c r="H177" s="227" t="s">
        <v>1066</v>
      </c>
      <c r="I177" s="226">
        <v>43076.516608796293</v>
      </c>
      <c r="J177" s="225">
        <v>1</v>
      </c>
      <c r="K177" s="237" t="str">
        <f t="shared" si="56"/>
        <v>4023/4024</v>
      </c>
      <c r="L177" s="245" t="str">
        <f>VLOOKUP(A177,'Trips&amp;Operators'!$C$1:$G$99911,5,FALSE)</f>
        <v>FORTUNATO FRANK</v>
      </c>
      <c r="M177" s="224">
        <f t="shared" si="57"/>
        <v>1.0196759256359655E-2</v>
      </c>
      <c r="N177" s="225">
        <f t="shared" si="74"/>
        <v>14.683333329157904</v>
      </c>
      <c r="O177" s="225"/>
      <c r="P177" s="225"/>
      <c r="Q177" s="228"/>
      <c r="R177" s="242"/>
      <c r="S177" s="249">
        <f t="shared" si="75"/>
        <v>1</v>
      </c>
      <c r="T177" s="242" t="str">
        <f t="shared" si="59"/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60"/>
        <v>https://d0f6bd738d7f1b3e5a7ca70fe4ff75f0.us-east-1.aws.found.io/app/kibana#/discover/Steve-Slow-Train-Analysis-(2080s-and-2083s)?_g=(refreshInterval:(display:Off,pause:!f,section:0,value:0),time:(from:'2017-12-07T10:56:46-0700',mode:absolute,to:'2017-12-07T13:23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7" s="247" t="str">
        <f>IF(AA177&lt;VLOOKUP(AG177,Variables!$AC$3:$AD$8,2,FALSE),"Y","N")</f>
        <v>N</v>
      </c>
      <c r="X177" s="247">
        <f t="shared" si="73"/>
        <v>1</v>
      </c>
      <c r="Y177" s="247">
        <f t="shared" si="76"/>
        <v>4.5100000000000001E-2</v>
      </c>
      <c r="Z177" s="247">
        <f t="shared" si="77"/>
        <v>5.8967000000000001</v>
      </c>
      <c r="AA177" s="247">
        <f t="shared" si="63"/>
        <v>5.8516000000000004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64"/>
        <v>819</v>
      </c>
      <c r="AE177" s="235" t="str">
        <f t="shared" si="65"/>
        <v>aws s3 cp s3://rtdc.mdm.uploadarchive.raw/RTDC4024/ "%USERPROFILE%\AppData\Local\Temp\OnboardLogs"\RTDC4024\2017-12-07 --exclude "*" --recursive --include "*20171207*" &amp; "%USERPROFILE%\Documents\GitHub\mrs-test-scripts\Headless Mode &amp; Sideloading\WalkAndUnGZ.bat" "%USERPROFILE%\AppData\Local\Temp\OnboardLogs"\RTDC4024\2017-12-07 &amp; 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</v>
      </c>
      <c r="AF177" s="234" t="str">
        <f t="shared" si="66"/>
        <v>"C:\Program Files (x86)\AstroGrep\AstroGrep.exe" /e /r /s /spath="%USERPROFILE%\AppData\Local\Temp\OnboardLogs" /stypes="app*4024*20171207*" /stext=" 19:.+((SYSTEM_STATE.+slice.+state.+changed )|(ment ac)|(multiple cpu faults)|(system.+state.+changed )|(\[timeout)|(PRM\|1\|D)|(kpr)|(kdp)|(train st.+moving)|(\|lc)|(penalty))"</v>
      </c>
      <c r="AG177" s="244" t="str">
        <f t="shared" si="67"/>
        <v>NW</v>
      </c>
      <c r="AH177" s="236" t="str">
        <f t="shared" si="68"/>
        <v>"%USERPROFILE%\Documents\GitHub\eaglep3\Utilities\RefineRTDCRunTimes.py" --tripid 819-07 --locoid 4024 --swversion DE.1.0.9.0 --startMP 204:451 --initTime 2017-12-07T11:56:46 --startdatetime 2017-12-07T12:09:14 --delay 48 --endMP 300:58967 --enddatetime 2017-12-07T12:23:55 --enforcementcount 1 &gt;&gt;%USERPROFILE%\Documents\GitHub\eaglep3-reporting\EC\2017-12-07-refined-times.txt</v>
      </c>
      <c r="AI177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{"issue":{"subject":"","project_id":79,"tracker_id":40,"status_id":1,"priority_id":2,"assigned_to_id":338,"start_date":"2017-12-07","description":"","custom_fields":[{"id":1,"name":"Subdivision","value":"NW"},{"id":4,"name":"Milepost","value":"5.8967"},{"id":17,"name":"Train ID","value":"819-07"},{"id":16,"name":"Locomotive ID","value":"4024"},{"id":130,"name":"Impact","value":""},{"id":150,"name":"Time of Event (Mountain Time)","value":"12:23:55"},{"id":151,"name":"Denver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1"/>
      <c r="AL177" s="231"/>
      <c r="AM177" s="240" t="str">
        <f t="shared" si="70"/>
        <v>start /low /b %USERPROFILE%\Documents\GitHub\eaglep3\Utilities\DownloadLogsFromS3.py --loco 4024 --day 2017-12-07</v>
      </c>
      <c r="AN177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19:23:55"},{"id":29,"name":"Sharepoint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72"/>
        <v>https://d0f6bd738d7f1b3e5a7ca70fe4ff75f0.us-east-1.aws.found.io/app/kibana#/discover/Steve-Slow-Train-Analysis-(2080s-and-2083s)?_g=(refreshInterval:(display:Off,pause:!f,section:0,value:0),time:(from:'2017-12-07T10:56:46-0700',mode:absolute,to:'2017-12-07T13:23:55-0700'))&amp;_a=(columns:!('Message%20ID',Summary),filters:!(),index:'emp_*',interval:auto,query:(query_string:(analyze_wildcard:!t,query:'%22rtdc.l.rtdc.4024%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23" customFormat="1" x14ac:dyDescent="0.25">
      <c r="A178" s="229" t="s">
        <v>687</v>
      </c>
      <c r="B178" s="225">
        <v>4023</v>
      </c>
      <c r="C178" s="227" t="s">
        <v>192</v>
      </c>
      <c r="D178" s="227" t="s">
        <v>1067</v>
      </c>
      <c r="E178" s="226">
        <v>43076.517893518518</v>
      </c>
      <c r="F178" s="226">
        <v>43076.529166666667</v>
      </c>
      <c r="G178" s="225">
        <v>47</v>
      </c>
      <c r="H178" s="227" t="s">
        <v>1068</v>
      </c>
      <c r="I178" s="226">
        <v>43076.537916666668</v>
      </c>
      <c r="J178" s="225">
        <v>1</v>
      </c>
      <c r="K178" s="237" t="str">
        <f t="shared" si="56"/>
        <v>4023/4024</v>
      </c>
      <c r="L178" s="245" t="str">
        <f>VLOOKUP(A178,'Trips&amp;Operators'!$C$1:$G$99911,5,FALSE)</f>
        <v>FORTUNATO FRANK</v>
      </c>
      <c r="M178" s="224">
        <f t="shared" si="57"/>
        <v>8.7500000008731149E-3</v>
      </c>
      <c r="N178" s="225">
        <f t="shared" si="74"/>
        <v>12.600000001257285</v>
      </c>
      <c r="O178" s="225"/>
      <c r="P178" s="225"/>
      <c r="Q178" s="228"/>
      <c r="R178" s="242"/>
      <c r="S178" s="249">
        <f t="shared" si="75"/>
        <v>1</v>
      </c>
      <c r="T178" s="242" t="str">
        <f t="shared" si="59"/>
        <v>Southbound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60"/>
        <v>https://d0f6bd738d7f1b3e5a7ca70fe4ff75f0.us-east-1.aws.found.io/app/kibana#/discover/Steve-Slow-Train-Analysis-(2080s-and-2083s)?_g=(refreshInterval:(display:Off,pause:!f,section:0,value:0),time:(from:'2017-12-07T11:25:46-0700',mode:absolute,to:'2017-12-07T13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8" s="247" t="str">
        <f>IF(AA178&lt;VLOOKUP(AG178,Variables!$AC$3:$AD$8,2,FALSE),"Y","N")</f>
        <v>N</v>
      </c>
      <c r="X178" s="247">
        <f t="shared" si="73"/>
        <v>1</v>
      </c>
      <c r="Y178" s="247">
        <f t="shared" si="76"/>
        <v>5.8643000000000001</v>
      </c>
      <c r="Z178" s="247">
        <f t="shared" si="77"/>
        <v>2.1299999999999999E-2</v>
      </c>
      <c r="AA178" s="247">
        <f t="shared" si="63"/>
        <v>5.843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64"/>
        <v>820</v>
      </c>
      <c r="AE178" s="235" t="str">
        <f t="shared" si="65"/>
        <v>aws s3 cp s3://rtdc.mdm.uploadarchive.raw/RTDC4023/ "%USERPROFILE%\AppData\Local\Temp\OnboardLogs"\RTDC4023\2017-12-07 --exclude "*" --recursive --include "*20171207*" &amp; "%USERPROFILE%\Documents\GitHub\mrs-test-scripts\Headless Mode &amp; Sideloading\WalkAndUnGZ.bat" "%USERPROFILE%\AppData\Local\Temp\OnboardLogs"\RTDC4023\2017-12-07 &amp; 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</v>
      </c>
      <c r="AF178" s="234" t="str">
        <f t="shared" si="66"/>
        <v>"C:\Program Files (x86)\AstroGrep\AstroGrep.exe" /e /r /s /spath="%USERPROFILE%\AppData\Local\Temp\OnboardLogs" /stypes="app*4023*20171207*" /stext=" 19:.+((SYSTEM_STATE.+slice.+state.+changed )|(ment ac)|(multiple cpu faults)|(system.+state.+changed )|(\[timeout)|(PRM\|1\|D)|(kpr)|(kdp)|(train st.+moving)|(\|lc)|(penalty))"</v>
      </c>
      <c r="AG178" s="244" t="str">
        <f t="shared" si="67"/>
        <v>NW</v>
      </c>
      <c r="AH178" s="236" t="str">
        <f t="shared" si="68"/>
        <v>"%USERPROFILE%\Documents\GitHub\eaglep3\Utilities\RefineRTDCRunTimes.py" --tripid 820-07 --locoid 4023 --swversion DE.1.0.9.0 --startMP 300:58643 --initTime 2017-12-07T12:25:46 --startdatetime 2017-12-07T12:42:00 --delay 47 --endMP 204:213 --enddatetime 2017-12-07T12:54:36 --enforcementcount 1 &gt;&gt;%USERPROFILE%\Documents\GitHub\eaglep3-reporting\EC\2017-12-07-refined-times.txt</v>
      </c>
      <c r="AI178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{"issue":{"subject":"","project_id":79,"tracker_id":40,"status_id":1,"priority_id":2,"assigned_to_id":338,"start_date":"2017-12-07","description":"","custom_fields":[{"id":1,"name":"Subdivision","value":"NW"},{"id":4,"name":"Milepost","value":"0.0213"},{"id":17,"name":"Train ID","value":"820-07"},{"id":16,"name":"Locomotive ID","value":"4023"},{"id":130,"name":"Impact","value":""},{"id":150,"name":"Time of Event (Mountain Time)","value":"12:54:36"},{"id":151,"name":"Denver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1"/>
      <c r="AL178" s="231"/>
      <c r="AM178" s="240" t="str">
        <f t="shared" si="70"/>
        <v>start /low /b %USERPROFILE%\Documents\GitHub\eaglep3\Utilities\DownloadLogsFromS3.py --loco 4023 --day 2017-12-07</v>
      </c>
      <c r="AN178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19:54:36"},{"id":29,"name":"Sharepoint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72"/>
        <v>https://d0f6bd738d7f1b3e5a7ca70fe4ff75f0.us-east-1.aws.found.io/app/kibana#/discover/Steve-Slow-Train-Analysis-(2080s-and-2083s)?_g=(refreshInterval:(display:Off,pause:!f,section:0,value:0),time:(from:'2017-12-07T11:25:46-0700',mode:absolute,to:'2017-12-07T13:54:36-0700'))&amp;_a=(columns:!('Message%20ID',Summary),filters:!(),index:'emp_*',interval:auto,query:(query_string:(analyze_wildcard:!t,query:'%22rtdc.l.rtdc.4023%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229" t="s">
        <v>816</v>
      </c>
      <c r="B179" s="225">
        <v>4024</v>
      </c>
      <c r="C179" s="227" t="s">
        <v>192</v>
      </c>
      <c r="D179" s="227" t="s">
        <v>935</v>
      </c>
      <c r="E179" s="226">
        <v>43076.541377314818</v>
      </c>
      <c r="F179" s="226">
        <v>43076.548101851855</v>
      </c>
      <c r="G179" s="225">
        <v>81</v>
      </c>
      <c r="H179" s="227" t="s">
        <v>1069</v>
      </c>
      <c r="I179" s="226">
        <v>43076.557604166665</v>
      </c>
      <c r="J179" s="225">
        <v>1</v>
      </c>
      <c r="K179" s="237" t="str">
        <f t="shared" si="56"/>
        <v>4023/4024</v>
      </c>
      <c r="L179" s="245" t="str">
        <f>VLOOKUP(A179,'Trips&amp;Operators'!$C$1:$G$99911,5,FALSE)</f>
        <v>STAMBAUGH JAMES</v>
      </c>
      <c r="M179" s="224">
        <f t="shared" si="57"/>
        <v>9.5023148096515797E-3</v>
      </c>
      <c r="N179" s="225">
        <f t="shared" si="74"/>
        <v>13.683333325898275</v>
      </c>
      <c r="O179" s="225"/>
      <c r="P179" s="225"/>
      <c r="Q179" s="228"/>
      <c r="R179" s="242"/>
      <c r="S179" s="249">
        <f t="shared" si="75"/>
        <v>1</v>
      </c>
      <c r="T179" s="242" t="str">
        <f t="shared" si="59"/>
        <v>NorthBound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60"/>
        <v>https://d0f6bd738d7f1b3e5a7ca70fe4ff75f0.us-east-1.aws.found.io/app/kibana#/discover/Steve-Slow-Train-Analysis-(2080s-and-2083s)?_g=(refreshInterval:(display:Off,pause:!f,section:0,value:0),time:(from:'2017-12-07T11:59:35-0700',mode:absolute,to:'2017-12-07T14:22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9" s="247" t="str">
        <f>IF(AA179&lt;VLOOKUP(AG179,Variables!$AC$3:$AD$8,2,FALSE),"Y","N")</f>
        <v>N</v>
      </c>
      <c r="X179" s="247">
        <f t="shared" si="73"/>
        <v>1</v>
      </c>
      <c r="Y179" s="247">
        <f t="shared" si="76"/>
        <v>5.11E-2</v>
      </c>
      <c r="Z179" s="247">
        <f t="shared" si="77"/>
        <v>5.899</v>
      </c>
      <c r="AA179" s="247">
        <f t="shared" si="63"/>
        <v>5.8479000000000001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64"/>
        <v>821</v>
      </c>
      <c r="AE179" s="235" t="str">
        <f t="shared" si="65"/>
        <v>aws s3 cp s3://rtdc.mdm.uploadarchive.raw/RTDC4024/ "%USERPROFILE%\AppData\Local\Temp\OnboardLogs"\RTDC4024\2017-12-07 --exclude "*" --recursive --include "*20171207*" &amp; "%USERPROFILE%\Documents\GitHub\mrs-test-scripts\Headless Mode &amp; Sideloading\WalkAndUnGZ.bat" "%USERPROFILE%\AppData\Local\Temp\OnboardLogs"\RTDC4024\2017-12-07 &amp; 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</v>
      </c>
      <c r="AF179" s="234" t="str">
        <f t="shared" si="66"/>
        <v>"C:\Program Files (x86)\AstroGrep\AstroGrep.exe" /e /r /s /spath="%USERPROFILE%\AppData\Local\Temp\OnboardLogs" /stypes="app*4024*20171207*" /stext=" 20:.+((SYSTEM_STATE.+slice.+state.+changed )|(ment ac)|(multiple cpu faults)|(system.+state.+changed )|(\[timeout)|(PRM\|1\|D)|(kpr)|(kdp)|(train st.+moving)|(\|lc)|(penalty))"</v>
      </c>
      <c r="AG179" s="244" t="str">
        <f t="shared" si="67"/>
        <v>NW</v>
      </c>
      <c r="AH179" s="236" t="str">
        <f t="shared" si="68"/>
        <v>"%USERPROFILE%\Documents\GitHub\eaglep3\Utilities\RefineRTDCRunTimes.py" --tripid 821-07 --locoid 4024 --swversion DE.1.0.9.0 --startMP 204:511 --initTime 2017-12-07T12:59:35 --startdatetime 2017-12-07T13:09:16 --delay 81 --endMP 300:58990 --enddatetime 2017-12-07T13:22:57 --enforcementcount 1 &gt;&gt;%USERPROFILE%\Documents\GitHub\eaglep3-reporting\EC\2017-12-07-refined-times.txt</v>
      </c>
      <c r="AI179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{"issue":{"subject":"","project_id":79,"tracker_id":40,"status_id":1,"priority_id":2,"assigned_to_id":338,"start_date":"2017-12-07","description":"","custom_fields":[{"id":1,"name":"Subdivision","value":"NW"},{"id":4,"name":"Milepost","value":"5.899"},{"id":17,"name":"Train ID","value":"821-07"},{"id":16,"name":"Locomotive ID","value":"4024"},{"id":130,"name":"Impact","value":""},{"id":150,"name":"Time of Event (Mountain Time)","value":"13:22:57"},{"id":151,"name":"Denver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3"/>
      <c r="AK179" s="231"/>
      <c r="AL179" s="231"/>
      <c r="AM179" s="240" t="str">
        <f t="shared" si="70"/>
        <v>start /low /b %USERPROFILE%\Documents\GitHub\eaglep3\Utilities\DownloadLogsFromS3.py --loco 4024 --day 2017-12-07</v>
      </c>
      <c r="AN179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20:22:57"},{"id":29,"name":"Sharepoint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72"/>
        <v>https://d0f6bd738d7f1b3e5a7ca70fe4ff75f0.us-east-1.aws.found.io/app/kibana#/discover/Steve-Slow-Train-Analysis-(2080s-and-2083s)?_g=(refreshInterval:(display:Off,pause:!f,section:0,value:0),time:(from:'2017-12-07T11:59:35-0700',mode:absolute,to:'2017-12-07T14:22:57-0700'))&amp;_a=(columns:!('Message%20ID',Summary),filters:!(),index:'emp_*',interval:auto,query:(query_string:(analyze_wildcard:!t,query:'%22rtdc.l.rtdc.4024%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229" t="s">
        <v>820</v>
      </c>
      <c r="B180" s="225">
        <v>4023</v>
      </c>
      <c r="C180" s="227" t="s">
        <v>192</v>
      </c>
      <c r="D180" s="227" t="s">
        <v>1060</v>
      </c>
      <c r="E180" s="226">
        <v>43076.56040509259</v>
      </c>
      <c r="F180" s="226">
        <v>43076.570833333331</v>
      </c>
      <c r="G180" s="225">
        <v>94</v>
      </c>
      <c r="H180" s="227" t="s">
        <v>1070</v>
      </c>
      <c r="I180" s="226">
        <v>43076.579247685186</v>
      </c>
      <c r="J180" s="225">
        <v>1</v>
      </c>
      <c r="K180" s="237" t="str">
        <f t="shared" si="56"/>
        <v>4023/4024</v>
      </c>
      <c r="L180" s="245" t="str">
        <f>VLOOKUP(A180,'Trips&amp;Operators'!$C$1:$G$99911,5,FALSE)</f>
        <v>STAMBAUGH JAMES</v>
      </c>
      <c r="M180" s="224">
        <f t="shared" si="57"/>
        <v>8.4143518542987294E-3</v>
      </c>
      <c r="N180" s="225">
        <f t="shared" si="74"/>
        <v>12.11666667019017</v>
      </c>
      <c r="O180" s="225"/>
      <c r="P180" s="225"/>
      <c r="Q180" s="228"/>
      <c r="R180" s="242"/>
      <c r="S180" s="249">
        <f t="shared" si="75"/>
        <v>1</v>
      </c>
      <c r="T180" s="242" t="str">
        <f t="shared" si="59"/>
        <v>Southbound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60"/>
        <v>https://d0f6bd738d7f1b3e5a7ca70fe4ff75f0.us-east-1.aws.found.io/app/kibana#/discover/Steve-Slow-Train-Analysis-(2080s-and-2083s)?_g=(refreshInterval:(display:Off,pause:!f,section:0,value:0),time:(from:'2017-12-07T12:26:59-0700',mode:absolute,to:'2017-12-07T14:54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0" s="247" t="str">
        <f>IF(AA180&lt;VLOOKUP(AG180,Variables!$AC$3:$AD$8,2,FALSE),"Y","N")</f>
        <v>N</v>
      </c>
      <c r="X180" s="247">
        <f t="shared" si="73"/>
        <v>1</v>
      </c>
      <c r="Y180" s="247">
        <f t="shared" si="76"/>
        <v>5.8667999999999996</v>
      </c>
      <c r="Z180" s="247">
        <f t="shared" si="77"/>
        <v>1.46E-2</v>
      </c>
      <c r="AA180" s="247">
        <f t="shared" si="63"/>
        <v>5.8521999999999998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64"/>
        <v>822</v>
      </c>
      <c r="AE180" s="235" t="str">
        <f t="shared" si="65"/>
        <v>aws s3 cp s3://rtdc.mdm.uploadarchive.raw/RTDC4023/ "%USERPROFILE%\AppData\Local\Temp\OnboardLogs"\RTDC4023\2017-12-07 --exclude "*" --recursive --include "*20171207*" &amp; "%USERPROFILE%\Documents\GitHub\mrs-test-scripts\Headless Mode &amp; Sideloading\WalkAndUnGZ.bat" "%USERPROFILE%\AppData\Local\Temp\OnboardLogs"\RTDC4023\2017-12-07 &amp; 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</v>
      </c>
      <c r="AF180" s="234" t="str">
        <f t="shared" si="66"/>
        <v>"C:\Program Files (x86)\AstroGrep\AstroGrep.exe" /e /r /s /spath="%USERPROFILE%\AppData\Local\Temp\OnboardLogs" /stypes="app*4023*20171207*" /stext=" 20:.+((SYSTEM_STATE.+slice.+state.+changed )|(ment ac)|(multiple cpu faults)|(system.+state.+changed )|(\[timeout)|(PRM\|1\|D)|(kpr)|(kdp)|(train st.+moving)|(\|lc)|(penalty))"</v>
      </c>
      <c r="AG180" s="244" t="str">
        <f t="shared" si="67"/>
        <v>NW</v>
      </c>
      <c r="AH180" s="236" t="str">
        <f t="shared" si="68"/>
        <v>"%USERPROFILE%\Documents\GitHub\eaglep3\Utilities\RefineRTDCRunTimes.py" --tripid 822-07 --locoid 4023 --swversion DE.1.0.9.0 --startMP 300:58668 --initTime 2017-12-07T13:26:59 --startdatetime 2017-12-07T13:42:00 --delay 94 --endMP 204:146 --enddatetime 2017-12-07T13:54:07 --enforcementcount 1 &gt;&gt;%USERPROFILE%\Documents\GitHub\eaglep3-reporting\EC\2017-12-07-refined-times.txt</v>
      </c>
      <c r="AI180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{"issue":{"subject":"","project_id":79,"tracker_id":40,"status_id":1,"priority_id":2,"assigned_to_id":338,"start_date":"2017-12-07","description":"","custom_fields":[{"id":1,"name":"Subdivision","value":"NW"},{"id":4,"name":"Milepost","value":"0.0146"},{"id":17,"name":"Train ID","value":"822-07"},{"id":16,"name":"Locomotive ID","value":"4023"},{"id":130,"name":"Impact","value":""},{"id":150,"name":"Time of Event (Mountain Time)","value":"13:54:07"},{"id":151,"name":"Denver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70"/>
        <v>start /low /b %USERPROFILE%\Documents\GitHub\eaglep3\Utilities\DownloadLogsFromS3.py --loco 4023 --day 2017-12-07</v>
      </c>
      <c r="AN180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20:54:07"},{"id":29,"name":"Sharepoint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72"/>
        <v>https://d0f6bd738d7f1b3e5a7ca70fe4ff75f0.us-east-1.aws.found.io/app/kibana#/discover/Steve-Slow-Train-Analysis-(2080s-and-2083s)?_g=(refreshInterval:(display:Off,pause:!f,section:0,value:0),time:(from:'2017-12-07T12:26:59-0700',mode:absolute,to:'2017-12-07T14:54:07-0700'))&amp;_a=(columns:!('Message%20ID',Summary),filters:!(),index:'emp_*',interval:auto,query:(query_string:(analyze_wildcard:!t,query:'%22rtdc.l.rtdc.4023%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29" t="s">
        <v>825</v>
      </c>
      <c r="B181" s="225">
        <v>4024</v>
      </c>
      <c r="C181" s="227" t="s">
        <v>192</v>
      </c>
      <c r="D181" s="227" t="s">
        <v>622</v>
      </c>
      <c r="E181" s="226">
        <v>43076.586793981478</v>
      </c>
      <c r="F181" s="226">
        <v>43076.589918981481</v>
      </c>
      <c r="G181" s="225">
        <v>62</v>
      </c>
      <c r="H181" s="227" t="s">
        <v>669</v>
      </c>
      <c r="I181" s="226">
        <v>43076.599189814813</v>
      </c>
      <c r="J181" s="225">
        <v>1</v>
      </c>
      <c r="K181" s="237" t="str">
        <f t="shared" si="56"/>
        <v>4023/4024</v>
      </c>
      <c r="L181" s="245" t="str">
        <f>VLOOKUP(A181,'Trips&amp;Operators'!$C$1:$G$99911,5,FALSE)</f>
        <v>STAMBAUGH JAMES</v>
      </c>
      <c r="M181" s="224">
        <f t="shared" si="57"/>
        <v>9.2708333322661929E-3</v>
      </c>
      <c r="N181" s="225">
        <f t="shared" si="74"/>
        <v>13.349999998463318</v>
      </c>
      <c r="O181" s="225"/>
      <c r="P181" s="225"/>
      <c r="Q181" s="228"/>
      <c r="R181" s="242"/>
      <c r="S181" s="249">
        <f t="shared" si="75"/>
        <v>1</v>
      </c>
      <c r="T181" s="242" t="str">
        <f t="shared" si="59"/>
        <v>NorthBound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60"/>
        <v>https://d0f6bd738d7f1b3e5a7ca70fe4ff75f0.us-east-1.aws.found.io/app/kibana#/discover/Steve-Slow-Train-Analysis-(2080s-and-2083s)?_g=(refreshInterval:(display:Off,pause:!f,section:0,value:0),time:(from:'2017-12-07T13:04:59-0700',mode:absolute,to:'2017-12-07T15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1" s="247" t="str">
        <f>IF(AA181&lt;VLOOKUP(AG181,Variables!$AC$3:$AD$8,2,FALSE),"Y","N")</f>
        <v>N</v>
      </c>
      <c r="X181" s="247">
        <f t="shared" si="73"/>
        <v>1</v>
      </c>
      <c r="Y181" s="247">
        <f t="shared" si="76"/>
        <v>4.4200000000000003E-2</v>
      </c>
      <c r="Z181" s="247">
        <f t="shared" si="77"/>
        <v>5.8939000000000004</v>
      </c>
      <c r="AA181" s="247">
        <f t="shared" si="63"/>
        <v>5.8497000000000003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64"/>
        <v>823</v>
      </c>
      <c r="AE181" s="235" t="str">
        <f t="shared" si="65"/>
        <v>aws s3 cp s3://rtdc.mdm.uploadarchive.raw/RTDC4024/ "%USERPROFILE%\AppData\Local\Temp\OnboardLogs"\RTDC4024\2017-12-07 --exclude "*" --recursive --include "*20171207*" &amp; "%USERPROFILE%\Documents\GitHub\mrs-test-scripts\Headless Mode &amp; Sideloading\WalkAndUnGZ.bat" "%USERPROFILE%\AppData\Local\Temp\OnboardLogs"\RTDC4024\2017-12-07 &amp; 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</v>
      </c>
      <c r="AF181" s="234" t="str">
        <f t="shared" si="66"/>
        <v>"C:\Program Files (x86)\AstroGrep\AstroGrep.exe" /e /r /s /spath="%USERPROFILE%\AppData\Local\Temp\OnboardLogs" /stypes="app*4024*20171207*" /stext=" 21:.+((SYSTEM_STATE.+slice.+state.+changed )|(ment ac)|(multiple cpu faults)|(system.+state.+changed )|(\[timeout)|(PRM\|1\|D)|(kpr)|(kdp)|(train st.+moving)|(\|lc)|(penalty))"</v>
      </c>
      <c r="AG181" s="244" t="str">
        <f t="shared" si="67"/>
        <v>NW</v>
      </c>
      <c r="AH181" s="236" t="str">
        <f t="shared" si="68"/>
        <v>"%USERPROFILE%\Documents\GitHub\eaglep3\Utilities\RefineRTDCRunTimes.py" --tripid 823-07 --locoid 4024 --swversion DE.1.0.9.0 --startMP 204:442 --initTime 2017-12-07T14:04:59 --startdatetime 2017-12-07T14:09:29 --delay 62 --endMP 300:58939 --enddatetime 2017-12-07T14:22:50 --enforcementcount 1 &gt;&gt;%USERPROFILE%\Documents\GitHub\eaglep3-reporting\EC\2017-12-07-refined-times.txt</v>
      </c>
      <c r="AI181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{"issue":{"subject":"","project_id":79,"tracker_id":40,"status_id":1,"priority_id":2,"assigned_to_id":338,"start_date":"2017-12-07","description":"","custom_fields":[{"id":1,"name":"Subdivision","value":"NW"},{"id":4,"name":"Milepost","value":"5.8939"},{"id":17,"name":"Train ID","value":"823-07"},{"id":16,"name":"Locomotive ID","value":"4024"},{"id":130,"name":"Impact","value":""},{"id":150,"name":"Time of Event (Mountain Time)","value":"14:22:50"},{"id":151,"name":"Denver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70"/>
        <v>start /low /b %USERPROFILE%\Documents\GitHub\eaglep3\Utilities\DownloadLogsFromS3.py --loco 4024 --day 2017-12-07</v>
      </c>
      <c r="AN181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21:22:50"},{"id":29,"name":"Sharepoint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72"/>
        <v>https://d0f6bd738d7f1b3e5a7ca70fe4ff75f0.us-east-1.aws.found.io/app/kibana#/discover/Steve-Slow-Train-Analysis-(2080s-and-2083s)?_g=(refreshInterval:(display:Off,pause:!f,section:0,value:0),time:(from:'2017-12-07T13:04:59-0700',mode:absolute,to:'2017-12-07T15:22:50-0700'))&amp;_a=(columns:!('Message%20ID',Summary),filters:!(),index:'emp_*',interval:auto,query:(query_string:(analyze_wildcard:!t,query:'%22rtdc.l.rtdc.4024%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9" t="s">
        <v>828</v>
      </c>
      <c r="B182" s="225">
        <v>4023</v>
      </c>
      <c r="C182" s="227" t="s">
        <v>192</v>
      </c>
      <c r="D182" s="227" t="s">
        <v>517</v>
      </c>
      <c r="E182" s="226">
        <v>43076.600057870368</v>
      </c>
      <c r="F182" s="226">
        <v>43076.612500000003</v>
      </c>
      <c r="G182" s="225">
        <v>61</v>
      </c>
      <c r="H182" s="227" t="s">
        <v>1071</v>
      </c>
      <c r="I182" s="226">
        <v>43076.620879629627</v>
      </c>
      <c r="J182" s="225">
        <v>1</v>
      </c>
      <c r="K182" s="237" t="str">
        <f t="shared" si="56"/>
        <v>4023/4024</v>
      </c>
      <c r="L182" s="245" t="str">
        <f>VLOOKUP(A182,'Trips&amp;Operators'!$C$1:$G$99911,5,FALSE)</f>
        <v>STAMBAUGH JAMES</v>
      </c>
      <c r="M182" s="224">
        <f t="shared" si="57"/>
        <v>8.3796296239597723E-3</v>
      </c>
      <c r="N182" s="225">
        <f t="shared" si="74"/>
        <v>12.066666658502072</v>
      </c>
      <c r="O182" s="225"/>
      <c r="P182" s="225"/>
      <c r="Q182" s="228"/>
      <c r="R182" s="242"/>
      <c r="S182" s="249">
        <f t="shared" si="75"/>
        <v>1</v>
      </c>
      <c r="T182" s="242" t="str">
        <f t="shared" si="59"/>
        <v>Southbound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60"/>
        <v>https://d0f6bd738d7f1b3e5a7ca70fe4ff75f0.us-east-1.aws.found.io/app/kibana#/discover/Steve-Slow-Train-Analysis-(2080s-and-2083s)?_g=(refreshInterval:(display:Off,pause:!f,section:0,value:0),time:(from:'2017-12-07T13:24:05-0700',mode:absolute,to:'2017-12-07T15:54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2" s="247" t="str">
        <f>IF(AA182&lt;VLOOKUP(AG182,Variables!$AC$3:$AD$8,2,FALSE),"Y","N")</f>
        <v>N</v>
      </c>
      <c r="X182" s="247">
        <f t="shared" si="73"/>
        <v>1</v>
      </c>
      <c r="Y182" s="247">
        <f t="shared" si="76"/>
        <v>5.8619000000000003</v>
      </c>
      <c r="Z182" s="247">
        <f t="shared" si="77"/>
        <v>1.5699999999999999E-2</v>
      </c>
      <c r="AA182" s="247">
        <f t="shared" si="63"/>
        <v>5.8462000000000005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64"/>
        <v>824</v>
      </c>
      <c r="AE182" s="235" t="str">
        <f t="shared" si="65"/>
        <v>aws s3 cp s3://rtdc.mdm.uploadarchive.raw/RTDC4023/ "%USERPROFILE%\AppData\Local\Temp\OnboardLogs"\RTDC4023\2017-12-07 --exclude "*" --recursive --include "*20171207*" &amp; "%USERPROFILE%\Documents\GitHub\mrs-test-scripts\Headless Mode &amp; Sideloading\WalkAndUnGZ.bat" "%USERPROFILE%\AppData\Local\Temp\OnboardLogs"\RTDC4023\2017-12-07 &amp; 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</v>
      </c>
      <c r="AF182" s="234" t="str">
        <f t="shared" si="66"/>
        <v>"C:\Program Files (x86)\AstroGrep\AstroGrep.exe" /e /r /s /spath="%USERPROFILE%\AppData\Local\Temp\OnboardLogs" /stypes="app*4023*20171207*" /stext=" 21:.+((SYSTEM_STATE.+slice.+state.+changed )|(ment ac)|(multiple cpu faults)|(system.+state.+changed )|(\[timeout)|(PRM\|1\|D)|(kpr)|(kdp)|(train st.+moving)|(\|lc)|(penalty))"</v>
      </c>
      <c r="AG182" s="244" t="str">
        <f t="shared" si="67"/>
        <v>NW</v>
      </c>
      <c r="AH182" s="236" t="str">
        <f t="shared" si="68"/>
        <v>"%USERPROFILE%\Documents\GitHub\eaglep3\Utilities\RefineRTDCRunTimes.py" --tripid 824-07 --locoid 4023 --swversion DE.1.0.9.0 --startMP 300:58619 --initTime 2017-12-07T14:24:05 --startdatetime 2017-12-07T14:42:00 --delay 61 --endMP 204:157 --enddatetime 2017-12-07T14:54:04 --enforcementcount 1 &gt;&gt;%USERPROFILE%\Documents\GitHub\eaglep3-reporting\EC\2017-12-07-refined-times.txt</v>
      </c>
      <c r="AI182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{"issue":{"subject":"","project_id":79,"tracker_id":40,"status_id":1,"priority_id":2,"assigned_to_id":338,"start_date":"2017-12-07","description":"","custom_fields":[{"id":1,"name":"Subdivision","value":"NW"},{"id":4,"name":"Milepost","value":"0.0157"},{"id":17,"name":"Train ID","value":"824-07"},{"id":16,"name":"Locomotive ID","value":"4023"},{"id":130,"name":"Impact","value":""},{"id":150,"name":"Time of Event (Mountain Time)","value":"14:54:04"},{"id":151,"name":"Denver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70"/>
        <v>start /low /b %USERPROFILE%\Documents\GitHub\eaglep3\Utilities\DownloadLogsFromS3.py --loco 4023 --day 2017-12-07</v>
      </c>
      <c r="AN182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21:54:04"},{"id":29,"name":"Sharepoint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72"/>
        <v>https://d0f6bd738d7f1b3e5a7ca70fe4ff75f0.us-east-1.aws.found.io/app/kibana#/discover/Steve-Slow-Train-Analysis-(2080s-and-2083s)?_g=(refreshInterval:(display:Off,pause:!f,section:0,value:0),time:(from:'2017-12-07T13:24:05-0700',mode:absolute,to:'2017-12-07T15:54:04-0700'))&amp;_a=(columns:!('Message%20ID',Summary),filters:!(),index:'emp_*',interval:auto,query:(query_string:(analyze_wildcard:!t,query:'%22rtdc.l.rtdc.4023%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29" t="s">
        <v>834</v>
      </c>
      <c r="B183" s="225">
        <v>4024</v>
      </c>
      <c r="C183" s="227" t="s">
        <v>192</v>
      </c>
      <c r="D183" s="227" t="s">
        <v>1063</v>
      </c>
      <c r="E183" s="226">
        <v>43076.627210648148</v>
      </c>
      <c r="F183" s="226">
        <v>43076.631423611114</v>
      </c>
      <c r="G183" s="225">
        <v>101</v>
      </c>
      <c r="H183" s="227" t="s">
        <v>1072</v>
      </c>
      <c r="I183" s="226">
        <v>43076.641956018517</v>
      </c>
      <c r="J183" s="225">
        <v>1</v>
      </c>
      <c r="K183" s="237" t="str">
        <f t="shared" si="56"/>
        <v>4023/4024</v>
      </c>
      <c r="L183" s="245" t="str">
        <f>VLOOKUP(A183,'Trips&amp;Operators'!$C$1:$G$99911,5,FALSE)</f>
        <v>STAMBAUGH JAMES</v>
      </c>
      <c r="M183" s="224">
        <f t="shared" si="57"/>
        <v>1.0532407402934041E-2</v>
      </c>
      <c r="N183" s="225">
        <f t="shared" si="74"/>
        <v>15.166666660225019</v>
      </c>
      <c r="O183" s="225"/>
      <c r="P183" s="225"/>
      <c r="Q183" s="228"/>
      <c r="R183" s="242"/>
      <c r="S183" s="249">
        <f t="shared" si="75"/>
        <v>1</v>
      </c>
      <c r="T183" s="242" t="str">
        <f t="shared" si="59"/>
        <v>NorthBound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60"/>
        <v>https://d0f6bd738d7f1b3e5a7ca70fe4ff75f0.us-east-1.aws.found.io/app/kibana#/discover/Steve-Slow-Train-Analysis-(2080s-and-2083s)?_g=(refreshInterval:(display:Off,pause:!f,section:0,value:0),time:(from:'2017-12-07T14:03:11-0700',mode:absolute,to:'2017-12-07T16:24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3" s="247" t="str">
        <f>IF(AA183&lt;VLOOKUP(AG183,Variables!$AC$3:$AD$8,2,FALSE),"Y","N")</f>
        <v>N</v>
      </c>
      <c r="X183" s="247">
        <f t="shared" si="73"/>
        <v>1</v>
      </c>
      <c r="Y183" s="247">
        <f t="shared" si="76"/>
        <v>4.48E-2</v>
      </c>
      <c r="Z183" s="247">
        <f t="shared" si="77"/>
        <v>5.8997000000000002</v>
      </c>
      <c r="AA183" s="247">
        <f t="shared" si="63"/>
        <v>5.8548999999999998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64"/>
        <v>825</v>
      </c>
      <c r="AE183" s="235" t="str">
        <f t="shared" si="65"/>
        <v>aws s3 cp s3://rtdc.mdm.uploadarchive.raw/RTDC4024/ "%USERPROFILE%\AppData\Local\Temp\OnboardLogs"\RTDC4024\2017-12-07 --exclude "*" --recursive --include "*20171207*" &amp; "%USERPROFILE%\Documents\GitHub\mrs-test-scripts\Headless Mode &amp; Sideloading\WalkAndUnGZ.bat" "%USERPROFILE%\AppData\Local\Temp\OnboardLogs"\RTDC4024\2017-12-07 &amp; 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</v>
      </c>
      <c r="AF183" s="234" t="str">
        <f t="shared" si="66"/>
        <v>"C:\Program Files (x86)\AstroGrep\AstroGrep.exe" /e /r /s /spath="%USERPROFILE%\AppData\Local\Temp\OnboardLogs" /stypes="app*4024*20171207*" /stext=" 22:.+((SYSTEM_STATE.+slice.+state.+changed )|(ment ac)|(multiple cpu faults)|(system.+state.+changed )|(\[timeout)|(PRM\|1\|D)|(kpr)|(kdp)|(train st.+moving)|(\|lc)|(penalty))"</v>
      </c>
      <c r="AG183" s="244" t="str">
        <f t="shared" si="67"/>
        <v>NW</v>
      </c>
      <c r="AH183" s="236" t="str">
        <f t="shared" si="68"/>
        <v>"%USERPROFILE%\Documents\GitHub\eaglep3\Utilities\RefineRTDCRunTimes.py" --tripid 825-07 --locoid 4024 --swversion DE.1.0.9.0 --startMP 204:448 --initTime 2017-12-07T15:03:11 --startdatetime 2017-12-07T15:09:15 --delay 101 --endMP 300:58997 --enddatetime 2017-12-07T15:24:25 --enforcementcount 1 &gt;&gt;%USERPROFILE%\Documents\GitHub\eaglep3-reporting\EC\2017-12-07-refined-times.txt</v>
      </c>
      <c r="AI183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{"issue":{"subject":"","project_id":79,"tracker_id":40,"status_id":1,"priority_id":2,"assigned_to_id":338,"start_date":"2017-12-07","description":"","custom_fields":[{"id":1,"name":"Subdivision","value":"NW"},{"id":4,"name":"Milepost","value":"5.8997"},{"id":17,"name":"Train ID","value":"825-07"},{"id":16,"name":"Locomotive ID","value":"4024"},{"id":130,"name":"Impact","value":""},{"id":150,"name":"Time of Event (Mountain Time)","value":"15:24:25"},{"id":151,"name":"Denver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70"/>
        <v>start /low /b %USERPROFILE%\Documents\GitHub\eaglep3\Utilities\DownloadLogsFromS3.py --loco 4024 --day 2017-12-07</v>
      </c>
      <c r="AN183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22:24:25"},{"id":29,"name":"Sharepoint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72"/>
        <v>https://d0f6bd738d7f1b3e5a7ca70fe4ff75f0.us-east-1.aws.found.io/app/kibana#/discover/Steve-Slow-Train-Analysis-(2080s-and-2083s)?_g=(refreshInterval:(display:Off,pause:!f,section:0,value:0),time:(from:'2017-12-07T14:03:11-0700',mode:absolute,to:'2017-12-07T16:24:25-0700'))&amp;_a=(columns:!('Message%20ID',Summary),filters:!(),index:'emp_*',interval:auto,query:(query_string:(analyze_wildcard:!t,query:'%22rtdc.l.rtdc.4024%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25">
      <c r="A184" s="229" t="s">
        <v>838</v>
      </c>
      <c r="B184" s="225">
        <v>4023</v>
      </c>
      <c r="C184" s="227" t="s">
        <v>192</v>
      </c>
      <c r="D184" s="227" t="s">
        <v>1073</v>
      </c>
      <c r="E184" s="226">
        <v>43076.648113425923</v>
      </c>
      <c r="F184" s="226">
        <v>43076.657268518517</v>
      </c>
      <c r="G184" s="225">
        <v>45</v>
      </c>
      <c r="H184" s="227" t="s">
        <v>451</v>
      </c>
      <c r="I184" s="226">
        <v>43076.665486111109</v>
      </c>
      <c r="J184" s="225">
        <v>1</v>
      </c>
      <c r="K184" s="237" t="str">
        <f t="shared" si="56"/>
        <v>4023/4024</v>
      </c>
      <c r="L184" s="245" t="str">
        <f>VLOOKUP(A184,'Trips&amp;Operators'!$C$1:$G$99911,5,FALSE)</f>
        <v>STAMBAUGH JAMES</v>
      </c>
      <c r="M184" s="224">
        <f t="shared" si="57"/>
        <v>8.2175925927003846E-3</v>
      </c>
      <c r="N184" s="225">
        <f t="shared" si="74"/>
        <v>11.833333333488554</v>
      </c>
      <c r="O184" s="225"/>
      <c r="P184" s="225"/>
      <c r="Q184" s="228"/>
      <c r="R184" s="242" t="s">
        <v>1118</v>
      </c>
      <c r="S184" s="249">
        <f t="shared" si="75"/>
        <v>1</v>
      </c>
      <c r="T184" s="242" t="str">
        <f t="shared" si="59"/>
        <v>Southbound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60"/>
        <v>https://d0f6bd738d7f1b3e5a7ca70fe4ff75f0.us-east-1.aws.found.io/app/kibana#/discover/Steve-Slow-Train-Analysis-(2080s-and-2083s)?_g=(refreshInterval:(display:Off,pause:!f,section:0,value:0),time:(from:'2017-12-07T14:33:17-0700',mode:absolute,to:'2017-12-07T16:58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4" s="247" t="str">
        <f>IF(AA184&lt;VLOOKUP(AG184,Variables!$AC$3:$AD$8,2,FALSE),"Y","N")</f>
        <v>N</v>
      </c>
      <c r="X184" s="247">
        <f t="shared" ref="X184:X189" si="78">VALUE(LEFT(AD184,4))-VALUE(LEFT(AD183,4))</f>
        <v>1</v>
      </c>
      <c r="Y184" s="247">
        <v>5.7</v>
      </c>
      <c r="Z184" s="247">
        <f t="shared" si="77"/>
        <v>1.5800000000000002E-2</v>
      </c>
      <c r="AA184" s="247">
        <f t="shared" si="63"/>
        <v>5.6842000000000006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64"/>
        <v>826</v>
      </c>
      <c r="AE184" s="235" t="str">
        <f t="shared" si="65"/>
        <v>aws s3 cp s3://rtdc.mdm.uploadarchive.raw/RTDC4023/ "%USERPROFILE%\AppData\Local\Temp\OnboardLogs"\RTDC4023\2017-12-07 --exclude "*" --recursive --include "*20171207*" &amp; "%USERPROFILE%\Documents\GitHub\mrs-test-scripts\Headless Mode &amp; Sideloading\WalkAndUnGZ.bat" "%USERPROFILE%\AppData\Local\Temp\OnboardLogs"\RTDC4023\2017-12-07 &amp; 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</v>
      </c>
      <c r="AF184" s="234" t="str">
        <f t="shared" si="66"/>
        <v>"C:\Program Files (x86)\AstroGrep\AstroGrep.exe" /e /r /s /spath="%USERPROFILE%\AppData\Local\Temp\OnboardLogs" /stypes="app*4023*20171207*" /stext=" 22:.+((SYSTEM_STATE.+slice.+state.+changed )|(ment ac)|(multiple cpu faults)|(system.+state.+changed )|(\[timeout)|(PRM\|1\|D)|(kpr)|(kdp)|(train st.+moving)|(\|lc)|(penalty))"</v>
      </c>
      <c r="AG184" s="244" t="str">
        <f t="shared" si="67"/>
        <v>NW</v>
      </c>
      <c r="AH184" s="236" t="str">
        <f t="shared" si="68"/>
        <v>"%USERPROFILE%\Documents\GitHub\eaglep3\Utilities\RefineRTDCRunTimes.py" --tripid 826-07 --locoid 4023 --swversion DE.1.0.9.0 --startMP 300:56111 --initTime 2017-12-07T15:33:17 --startdatetime 2017-12-07T15:46:28 --delay 45 --endMP 204:158 --enddatetime 2017-12-07T15:58:18 --enforcementcount 1 &gt;&gt;%USERPROFILE%\Documents\GitHub\eaglep3-reporting\EC\2017-12-07-refined-times.txt</v>
      </c>
      <c r="AI184" s="238" t="str">
        <f t="shared" si="69"/>
        <v>echo {"issue":{"subject":"Delayed by inability to select map - reverser handle not in forward","project_id":79,"tracker_id":40,"status_id":1,"priority_id":2,"assigned_to_id":338,"start_date":"2017-12-07","description":"","custom_fields":[{"id":1,"name":"Subdivision","value":"NW"},{"id":4,"name":"Milepost","value":"0.0158"},{"id":17,"name":"Train ID","value":"826-07"},{"id":16,"name":"Locomotive ID","value":"4023"},{"id":130,"name":"Impact","value":""},{"id":150,"name":"Time of Event (Mountain Time)","value":"15:58:18"},{"id":151,"name":"Denver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si="70"/>
        <v>start /low /b %USERPROFILE%\Documents\GitHub\eaglep3\Utilities\DownloadLogsFromS3.py --loco 4023 --day 2017-12-07</v>
      </c>
      <c r="AN184" s="241" t="str">
        <f t="shared" si="71"/>
        <v>echo {"issue":{"subject":"Delayed by inability to select map - reverser handle not in forward","project_id":30,"tracker_id":4,"status_id":1,"priority_id":1,"assigned_to_id":10,"start_date":"2017-12-07","description":"","custom_fields":[{"id":30,"name":"Category","value":"Issue"},{"id":3,"name":"Functional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22:58:18"},{"id":29,"name":"Sharepoint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72"/>
        <v>https://d0f6bd738d7f1b3e5a7ca70fe4ff75f0.us-east-1.aws.found.io/app/kibana#/discover/Steve-Slow-Train-Analysis-(2080s-and-2083s)?_g=(refreshInterval:(display:Off,pause:!f,section:0,value:0),time:(from:'2017-12-07T14:33:17-0700',mode:absolute,to:'2017-12-07T16:58:18-0700'))&amp;_a=(columns:!('Message%20ID',Summary),filters:!(),index:'emp_*',interval:auto,query:(query_string:(analyze_wildcard:!t,query:'%22rtdc.l.rtdc.4023%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29" t="s">
        <v>839</v>
      </c>
      <c r="B185" s="225">
        <v>4044</v>
      </c>
      <c r="C185" s="227" t="s">
        <v>192</v>
      </c>
      <c r="D185" s="227" t="s">
        <v>635</v>
      </c>
      <c r="E185" s="226">
        <v>43076.647488425922</v>
      </c>
      <c r="F185" s="226">
        <v>43076.654166666667</v>
      </c>
      <c r="G185" s="225">
        <v>89</v>
      </c>
      <c r="H185" s="227" t="s">
        <v>1074</v>
      </c>
      <c r="I185" s="226">
        <v>43076.665937500002</v>
      </c>
      <c r="J185" s="225">
        <v>1</v>
      </c>
      <c r="K185" s="237" t="str">
        <f t="shared" si="56"/>
        <v>4043/4044</v>
      </c>
      <c r="L185" s="245" t="str">
        <f>VLOOKUP(A185,'Trips&amp;Operators'!$C$1:$G$99911,5,FALSE)</f>
        <v>ANDREA WILLIAMS</v>
      </c>
      <c r="M185" s="224">
        <f t="shared" si="57"/>
        <v>1.1770833334594499E-2</v>
      </c>
      <c r="N185" s="225">
        <f t="shared" si="74"/>
        <v>16.950000001816079</v>
      </c>
      <c r="O185" s="225"/>
      <c r="P185" s="225"/>
      <c r="Q185" s="228"/>
      <c r="R185" s="242"/>
      <c r="S185" s="249">
        <f t="shared" si="75"/>
        <v>1</v>
      </c>
      <c r="T185" s="242" t="str">
        <f t="shared" si="59"/>
        <v>NorthBound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60"/>
        <v>https://d0f6bd738d7f1b3e5a7ca70fe4ff75f0.us-east-1.aws.found.io/app/kibana#/discover/Steve-Slow-Train-Analysis-(2080s-and-2083s)?_g=(refreshInterval:(display:Off,pause:!f,section:0,value:0),time:(from:'2017-12-07T14:32:23-0700',mode:absolute,to:'2017-12-07T16:58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5" s="247" t="str">
        <f>IF(AA185&lt;VLOOKUP(AG185,Variables!$AC$3:$AD$8,2,FALSE),"Y","N")</f>
        <v>N</v>
      </c>
      <c r="X185" s="247">
        <f t="shared" si="78"/>
        <v>1</v>
      </c>
      <c r="Y185" s="247">
        <f>RIGHT(D185,LEN(D185)-4)/10000</f>
        <v>4.5100000000000001E-2</v>
      </c>
      <c r="Z185" s="247">
        <f t="shared" si="77"/>
        <v>5.8928000000000003</v>
      </c>
      <c r="AA185" s="247">
        <f t="shared" si="63"/>
        <v>5.8477000000000006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64"/>
        <v>827</v>
      </c>
      <c r="AE185" s="235" t="str">
        <f t="shared" si="65"/>
        <v>aws s3 cp s3://rtdc.mdm.uploadarchive.raw/RTDC4044/ "%USERPROFILE%\AppData\Local\Temp\OnboardLogs"\RTDC4044\2017-12-07 --exclude "*" --recursive --include "*20171207*" &amp; "%USERPROFILE%\Documents\GitHub\mrs-test-scripts\Headless Mode &amp; Sideloading\WalkAndUnGZ.bat" "%USERPROFILE%\AppData\Local\Temp\OnboardLogs"\RTDC4044\2017-12-07 &amp; aws s3 cp s3://rtdc.mdm.uploadarchive.raw/RTDC4044/ "%USERPROFILE%\AppData\Local\Temp\OnboardLogs"\RTDC4044\2017-12-08 --exclude "*" --recursive --include "*20171208*" &amp; "%USERPROFILE%\Documents\GitHub\mrs-test-scripts\Headless Mode &amp; Sideloading\WalkAndUnGZ.bat" "%USERPROFILE%\AppData\Local\Temp\OnboardLogs"\RTDC4044\2017-12-08</v>
      </c>
      <c r="AF185" s="234" t="str">
        <f t="shared" si="66"/>
        <v>"C:\Program Files (x86)\AstroGrep\AstroGrep.exe" /e /r /s /spath="%USERPROFILE%\AppData\Local\Temp\OnboardLogs" /stypes="app*4044*20171207*" /stext=" 22:.+((SYSTEM_STATE.+slice.+state.+changed )|(ment ac)|(multiple cpu faults)|(system.+state.+changed )|(\[timeout)|(PRM\|1\|D)|(kpr)|(kdp)|(train st.+moving)|(\|lc)|(penalty))"</v>
      </c>
      <c r="AG185" s="244" t="str">
        <f t="shared" si="67"/>
        <v>NW</v>
      </c>
      <c r="AH185" s="236" t="str">
        <f t="shared" si="68"/>
        <v>"%USERPROFILE%\Documents\GitHub\eaglep3\Utilities\RefineRTDCRunTimes.py" --tripid 827-07 --locoid 4044 --swversion DE.1.0.9.0 --startMP 204:451 --initTime 2017-12-07T15:32:23 --startdatetime 2017-12-07T15:42:00 --delay 89 --endMP 300:58928 --enddatetime 2017-12-07T15:58:57 --enforcementcount 1 &gt;&gt;%USERPROFILE%\Documents\GitHub\eaglep3-reporting\EC\2017-12-07-refined-times.txt</v>
      </c>
      <c r="AI185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{"issue":{"subject":"","project_id":79,"tracker_id":40,"status_id":1,"priority_id":2,"assigned_to_id":338,"start_date":"2017-12-07","description":"","custom_fields":[{"id":1,"name":"Subdivision","value":"NW"},{"id":4,"name":"Milepost","value":"5.8928"},{"id":17,"name":"Train ID","value":"827-07"},{"id":16,"name":"Locomotive ID","value":"4044"},{"id":130,"name":"Impact","value":""},{"id":150,"name":"Time of Event (Mountain Time)","value":"15:58:57"},{"id":151,"name":"Denver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70"/>
        <v>start /low /b %USERPROFILE%\Documents\GitHub\eaglep3\Utilities\DownloadLogsFromS3.py --loco 4044 --day 2017-12-07</v>
      </c>
      <c r="AN185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22:58:57"},{"id":29,"name":"Sharepoint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72"/>
        <v>https://d0f6bd738d7f1b3e5a7ca70fe4ff75f0.us-east-1.aws.found.io/app/kibana#/discover/Steve-Slow-Train-Analysis-(2080s-and-2083s)?_g=(refreshInterval:(display:Off,pause:!f,section:0,value:0),time:(from:'2017-12-07T14:32:23-0700',mode:absolute,to:'2017-12-07T16:58:57-0700'))&amp;_a=(columns:!('Message%20ID',Summary),filters:!(),index:'emp_*',interval:auto,query:(query_string:(analyze_wildcard:!t,query:'%22rtdc.l.rtdc.4044%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229" t="s">
        <v>843</v>
      </c>
      <c r="B186" s="225">
        <v>4043</v>
      </c>
      <c r="C186" s="227" t="s">
        <v>192</v>
      </c>
      <c r="D186" s="227" t="s">
        <v>1075</v>
      </c>
      <c r="E186" s="226">
        <v>43076.667083333334</v>
      </c>
      <c r="F186" s="226">
        <v>43076.675000000003</v>
      </c>
      <c r="G186" s="225">
        <v>57</v>
      </c>
      <c r="H186" s="227" t="s">
        <v>664</v>
      </c>
      <c r="I186" s="226">
        <v>43076.684050925927</v>
      </c>
      <c r="J186" s="225">
        <v>1</v>
      </c>
      <c r="K186" s="237" t="str">
        <f t="shared" si="56"/>
        <v>4043/4044</v>
      </c>
      <c r="L186" s="245" t="str">
        <f>VLOOKUP(A186,'Trips&amp;Operators'!$C$1:$G$99911,5,FALSE)</f>
        <v>ANDREA WILLIAMS</v>
      </c>
      <c r="M186" s="224">
        <f t="shared" si="57"/>
        <v>9.0509259243845008E-3</v>
      </c>
      <c r="N186" s="225">
        <f t="shared" si="74"/>
        <v>13.033333331113681</v>
      </c>
      <c r="O186" s="225"/>
      <c r="P186" s="225"/>
      <c r="Q186" s="228"/>
      <c r="R186" s="242"/>
      <c r="S186" s="249">
        <f t="shared" si="75"/>
        <v>1</v>
      </c>
      <c r="T186" s="242" t="str">
        <f t="shared" si="59"/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60"/>
        <v>https://d0f6bd738d7f1b3e5a7ca70fe4ff75f0.us-east-1.aws.found.io/app/kibana#/discover/Steve-Slow-Train-Analysis-(2080s-and-2083s)?_g=(refreshInterval:(display:Off,pause:!f,section:0,value:0),time:(from:'2017-12-07T15:00:36-0700',mode:absolute,to:'2017-12-07T17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6" s="247" t="str">
        <f>IF(AA186&lt;VLOOKUP(AG186,Variables!$AC$3:$AD$8,2,FALSE),"Y","N")</f>
        <v>N</v>
      </c>
      <c r="X186" s="247">
        <f t="shared" si="78"/>
        <v>1</v>
      </c>
      <c r="Y186" s="247">
        <f>RIGHT(D186,LEN(D186)-4)/10000</f>
        <v>5.8604000000000003</v>
      </c>
      <c r="Z186" s="247">
        <f t="shared" si="77"/>
        <v>1.6400000000000001E-2</v>
      </c>
      <c r="AA186" s="247">
        <f t="shared" si="63"/>
        <v>5.8440000000000003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64"/>
        <v>828</v>
      </c>
      <c r="AE186" s="235" t="str">
        <f t="shared" si="65"/>
        <v>aws s3 cp s3://rtdc.mdm.uploadarchive.raw/RTDC4043/ "%USERPROFILE%\AppData\Local\Temp\OnboardLogs"\RTDC4043\2017-12-07 --exclude "*" --recursive --include "*20171207*" &amp; "%USERPROFILE%\Documents\GitHub\mrs-test-scripts\Headless Mode &amp; Sideloading\WalkAndUnGZ.bat" "%USERPROFILE%\AppData\Local\Temp\OnboardLogs"\RTDC4043\2017-12-07 &amp; aws s3 cp s3://rtdc.mdm.uploadarchive.raw/RTDC4043/ "%USERPROFILE%\AppData\Local\Temp\OnboardLogs"\RTDC4043\2017-12-08 --exclude "*" --recursive --include "*20171208*" &amp; "%USERPROFILE%\Documents\GitHub\mrs-test-scripts\Headless Mode &amp; Sideloading\WalkAndUnGZ.bat" "%USERPROFILE%\AppData\Local\Temp\OnboardLogs"\RTDC4043\2017-12-08</v>
      </c>
      <c r="AF186" s="234" t="str">
        <f t="shared" si="66"/>
        <v>"C:\Program Files (x86)\AstroGrep\AstroGrep.exe" /e /r /s /spath="%USERPROFILE%\AppData\Local\Temp\OnboardLogs" /stypes="app*4043*20171207*" /stext=" 23:.+((SYSTEM_STATE.+slice.+state.+changed )|(ment ac)|(multiple cpu faults)|(system.+state.+changed )|(\[timeout)|(PRM\|1\|D)|(kpr)|(kdp)|(train st.+moving)|(\|lc)|(penalty))"</v>
      </c>
      <c r="AG186" s="244" t="str">
        <f t="shared" si="67"/>
        <v>NW</v>
      </c>
      <c r="AH186" s="236" t="str">
        <f t="shared" si="68"/>
        <v>"%USERPROFILE%\Documents\GitHub\eaglep3\Utilities\RefineRTDCRunTimes.py" --tripid 828-07 --locoid 4043 --swversion DE.1.0.9.0 --startMP 300:58604 --initTime 2017-12-07T16:00:36 --startdatetime 2017-12-07T16:12:00 --delay 57 --endMP 204:164 --enddatetime 2017-12-07T16:25:02 --enforcementcount 1 &gt;&gt;%USERPROFILE%\Documents\GitHub\eaglep3-reporting\EC\2017-12-07-refined-times.txt</v>
      </c>
      <c r="AI186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{"issue":{"subject":"","project_id":79,"tracker_id":40,"status_id":1,"priority_id":2,"assigned_to_id":338,"start_date":"2017-12-07","description":"","custom_fields":[{"id":1,"name":"Subdivision","value":"NW"},{"id":4,"name":"Milepost","value":"0.0164"},{"id":17,"name":"Train ID","value":"828-07"},{"id":16,"name":"Locomotive ID","value":"4043"},{"id":130,"name":"Impact","value":""},{"id":150,"name":"Time of Event (Mountain Time)","value":"16:25:02"},{"id":151,"name":"Denver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70"/>
        <v>start /low /b %USERPROFILE%\Documents\GitHub\eaglep3\Utilities\DownloadLogsFromS3.py --loco 4043 --day 2017-12-07</v>
      </c>
      <c r="AN186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23:25:02"},{"id":29,"name":"Sharepoint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72"/>
        <v>https://d0f6bd738d7f1b3e5a7ca70fe4ff75f0.us-east-1.aws.found.io/app/kibana#/discover/Steve-Slow-Train-Analysis-(2080s-and-2083s)?_g=(refreshInterval:(display:Off,pause:!f,section:0,value:0),time:(from:'2017-12-07T15:00:36-0700',mode:absolute,to:'2017-12-07T17:25:02-0700'))&amp;_a=(columns:!('Message%20ID',Summary),filters:!(),index:'emp_*',interval:auto,query:(query_string:(analyze_wildcard:!t,query:'%22rtdc.l.rtdc.4043%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29" t="s">
        <v>844</v>
      </c>
      <c r="B187" s="225">
        <v>4024</v>
      </c>
      <c r="C187" s="227" t="s">
        <v>192</v>
      </c>
      <c r="D187" s="227" t="s">
        <v>467</v>
      </c>
      <c r="E187" s="226">
        <v>43076.668414351851</v>
      </c>
      <c r="F187" s="226">
        <v>43076.673136574071</v>
      </c>
      <c r="G187" s="225">
        <v>51</v>
      </c>
      <c r="H187" s="227" t="s">
        <v>518</v>
      </c>
      <c r="I187" s="226">
        <v>43076.683645833335</v>
      </c>
      <c r="J187" s="225">
        <v>1</v>
      </c>
      <c r="K187" s="237" t="str">
        <f t="shared" si="56"/>
        <v>4023/4024</v>
      </c>
      <c r="L187" s="245" t="str">
        <f>VLOOKUP(A187,'Trips&amp;Operators'!$C$1:$G$99911,5,FALSE)</f>
        <v>STAMBAUGH JAMES</v>
      </c>
      <c r="M187" s="224">
        <f t="shared" si="57"/>
        <v>1.0509259263926651E-2</v>
      </c>
      <c r="N187" s="225">
        <f t="shared" si="74"/>
        <v>15.133333340054378</v>
      </c>
      <c r="O187" s="225"/>
      <c r="P187" s="225"/>
      <c r="Q187" s="228"/>
      <c r="R187" s="242"/>
      <c r="S187" s="249">
        <f t="shared" si="75"/>
        <v>1</v>
      </c>
      <c r="T187" s="242" t="str">
        <f t="shared" si="59"/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60"/>
        <v>https://d0f6bd738d7f1b3e5a7ca70fe4ff75f0.us-east-1.aws.found.io/app/kibana#/discover/Steve-Slow-Train-Analysis-(2080s-and-2083s)?_g=(refreshInterval:(display:Off,pause:!f,section:0,value:0),time:(from:'2017-12-07T15:02:31-0700',mode:absolute,to:'2017-12-07T17:24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7" s="247" t="str">
        <f>IF(AA187&lt;VLOOKUP(AG187,Variables!$AC$3:$AD$8,2,FALSE),"Y","N")</f>
        <v>N</v>
      </c>
      <c r="X187" s="247">
        <f t="shared" si="78"/>
        <v>1</v>
      </c>
      <c r="Y187" s="247">
        <f>RIGHT(D187,LEN(D187)-4)/10000</f>
        <v>4.5699999999999998E-2</v>
      </c>
      <c r="Z187" s="247">
        <f t="shared" si="77"/>
        <v>5.8945999999999996</v>
      </c>
      <c r="AA187" s="247">
        <f t="shared" si="63"/>
        <v>5.8488999999999995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64"/>
        <v>829</v>
      </c>
      <c r="AE187" s="235" t="str">
        <f t="shared" si="65"/>
        <v>aws s3 cp s3://rtdc.mdm.uploadarchive.raw/RTDC4024/ "%USERPROFILE%\AppData\Local\Temp\OnboardLogs"\RTDC4024\2017-12-07 --exclude "*" --recursive --include "*20171207*" &amp; "%USERPROFILE%\Documents\GitHub\mrs-test-scripts\Headless Mode &amp; Sideloading\WalkAndUnGZ.bat" "%USERPROFILE%\AppData\Local\Temp\OnboardLogs"\RTDC4024\2017-12-07 &amp; 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</v>
      </c>
      <c r="AF187" s="234" t="str">
        <f t="shared" si="66"/>
        <v>"C:\Program Files (x86)\AstroGrep\AstroGrep.exe" /e /r /s /spath="%USERPROFILE%\AppData\Local\Temp\OnboardLogs" /stypes="app*4024*20171207*" /stext=" 23:.+((SYSTEM_STATE.+slice.+state.+changed )|(ment ac)|(multiple cpu faults)|(system.+state.+changed )|(\[timeout)|(PRM\|1\|D)|(kpr)|(kdp)|(train st.+moving)|(\|lc)|(penalty))"</v>
      </c>
      <c r="AG187" s="244" t="str">
        <f t="shared" si="67"/>
        <v>NW</v>
      </c>
      <c r="AH187" s="236" t="str">
        <f t="shared" si="68"/>
        <v>"%USERPROFILE%\Documents\GitHub\eaglep3\Utilities\RefineRTDCRunTimes.py" --tripid 829-07 --locoid 4024 --swversion DE.1.0.9.0 --startMP 204:457 --initTime 2017-12-07T16:02:31 --startdatetime 2017-12-07T16:09:19 --delay 51 --endMP 300:58946 --enddatetime 2017-12-07T16:24:27 --enforcementcount 1 &gt;&gt;%USERPROFILE%\Documents\GitHub\eaglep3-reporting\EC\2017-12-07-refined-times.txt</v>
      </c>
      <c r="AI187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{"issue":{"subject":"","project_id":79,"tracker_id":40,"status_id":1,"priority_id":2,"assigned_to_id":338,"start_date":"2017-12-07","description":"","custom_fields":[{"id":1,"name":"Subdivision","value":"NW"},{"id":4,"name":"Milepost","value":"5.8946"},{"id":17,"name":"Train ID","value":"829-07"},{"id":16,"name":"Locomotive ID","value":"4024"},{"id":130,"name":"Impact","value":""},{"id":150,"name":"Time of Event (Mountain Time)","value":"16:24:27"},{"id":151,"name":"Denver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70"/>
        <v>start /low /b %USERPROFILE%\Documents\GitHub\eaglep3\Utilities\DownloadLogsFromS3.py --loco 4024 --day 2017-12-07</v>
      </c>
      <c r="AN187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23:24:27"},{"id":29,"name":"Sharepoint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72"/>
        <v>https://d0f6bd738d7f1b3e5a7ca70fe4ff75f0.us-east-1.aws.found.io/app/kibana#/discover/Steve-Slow-Train-Analysis-(2080s-and-2083s)?_g=(refreshInterval:(display:Off,pause:!f,section:0,value:0),time:(from:'2017-12-07T15:02:31-0700',mode:absolute,to:'2017-12-07T17:24:27-0700'))&amp;_a=(columns:!('Message%20ID',Summary),filters:!(),index:'emp_*',interval:auto,query:(query_string:(analyze_wildcard:!t,query:'%22rtdc.l.rtdc.4024%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3" customFormat="1" x14ac:dyDescent="0.25">
      <c r="A188" s="229" t="s">
        <v>848</v>
      </c>
      <c r="B188" s="225">
        <v>4023</v>
      </c>
      <c r="C188" s="227" t="s">
        <v>192</v>
      </c>
      <c r="D188" s="227" t="s">
        <v>467</v>
      </c>
      <c r="E188" s="226">
        <v>43076.668414351851</v>
      </c>
      <c r="F188" s="226">
        <v>43076.697442129633</v>
      </c>
      <c r="G188" s="225">
        <v>51</v>
      </c>
      <c r="H188" s="227" t="s">
        <v>518</v>
      </c>
      <c r="I188" s="226">
        <v>43076.704444444447</v>
      </c>
      <c r="J188" s="225">
        <v>1</v>
      </c>
      <c r="K188" s="237" t="str">
        <f t="shared" si="56"/>
        <v>4023/4024</v>
      </c>
      <c r="L188" s="245" t="str">
        <f>VLOOKUP(A188,'Trips&amp;Operators'!$C$1:$G$99911,5,FALSE)</f>
        <v>STAMBAUGH JAMES</v>
      </c>
      <c r="M188" s="224">
        <f t="shared" si="57"/>
        <v>7.0023148145992309E-3</v>
      </c>
      <c r="N188" s="225">
        <f t="shared" si="74"/>
        <v>10.083333333022892</v>
      </c>
      <c r="O188" s="225"/>
      <c r="P188" s="225"/>
      <c r="Q188" s="228"/>
      <c r="R188" s="242"/>
      <c r="S188" s="249">
        <f t="shared" si="75"/>
        <v>1</v>
      </c>
      <c r="T188" s="242" t="str">
        <f t="shared" si="59"/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60"/>
        <v>https://d0f6bd738d7f1b3e5a7ca70fe4ff75f0.us-east-1.aws.found.io/app/kibana#/discover/Steve-Slow-Train-Analysis-(2080s-and-2083s)?_g=(refreshInterval:(display:Off,pause:!f,section:0,value:0),time:(from:'2017-12-07T15:02:31-0700',mode:absolute,to:'2017-12-07T17:54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8" s="247" t="str">
        <f>IF(AA188&lt;VLOOKUP(AG188,Variables!$AC$3:$AD$8,2,FALSE),"Y","N")</f>
        <v>N</v>
      </c>
      <c r="X188" s="247">
        <f t="shared" si="78"/>
        <v>1</v>
      </c>
      <c r="Y188" s="247">
        <v>5.8604000000000003</v>
      </c>
      <c r="Z188" s="247">
        <v>1.6400000000000001E-2</v>
      </c>
      <c r="AA188" s="247">
        <f t="shared" si="63"/>
        <v>5.8440000000000003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64"/>
        <v>830</v>
      </c>
      <c r="AE188" s="235" t="str">
        <f t="shared" si="65"/>
        <v>aws s3 cp s3://rtdc.mdm.uploadarchive.raw/RTDC4023/ "%USERPROFILE%\AppData\Local\Temp\OnboardLogs"\RTDC4023\2017-12-07 --exclude "*" --recursive --include "*20171207*" &amp; "%USERPROFILE%\Documents\GitHub\mrs-test-scripts\Headless Mode &amp; Sideloading\WalkAndUnGZ.bat" "%USERPROFILE%\AppData\Local\Temp\OnboardLogs"\RTDC4023\2017-12-07 &amp; 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</v>
      </c>
      <c r="AF188" s="234" t="str">
        <f t="shared" si="66"/>
        <v>"C:\Program Files (x86)\AstroGrep\AstroGrep.exe" /e /r /s /spath="%USERPROFILE%\AppData\Local\Temp\OnboardLogs" /stypes="app*4023*20171207*" /stext=" 23:.+((SYSTEM_STATE.+slice.+state.+changed )|(ment ac)|(multiple cpu faults)|(system.+state.+changed )|(\[timeout)|(PRM\|1\|D)|(kpr)|(kdp)|(train st.+moving)|(\|lc)|(penalty))"</v>
      </c>
      <c r="AG188" s="244" t="str">
        <f t="shared" si="67"/>
        <v>NW</v>
      </c>
      <c r="AH188" s="236" t="str">
        <f t="shared" ref="AH188" si="79">refinertdcruntimes&amp;" --tripid "&amp;A188&amp;" --locoid "&amp;B188&amp;" --swversion "&amp;C188&amp;" --startMP "&amp;D188&amp;" --initTime "&amp;TEXT(E188,"yyyy-mm-ddTHH:MM:SS")&amp;" --startdatetime "&amp;TEXT(F188,"yyyy-mm-ddTHH:MM:SS")&amp;" --delay "&amp;G188&amp;" --endMP "&amp;H188&amp;" --enddatetime "&amp;TEXT(I188,"yyyy-mm-ddTHH:MM:SS")&amp;" --enforcementcount "&amp;J188&amp;IF(outputrefinedruntimes," &gt;&gt;"&amp;RefinedRTDCRunTimesOutputFile,"")</f>
        <v>"%USERPROFILE%\Documents\GitHub\eaglep3\Utilities\RefineRTDCRunTimes.py" --tripid 830-07 --locoid 4023 --swversion DE.1.0.9.0 --startMP 204:457 --initTime 2017-12-07T16:02:31 --startdatetime 2017-12-07T16:44:19 --delay 51 --endMP 300:58946 --enddatetime 2017-12-07T16:54:24 --enforcementcount 1 &gt;&gt;%USERPROFILE%\Documents\GitHub\eaglep3-reporting\EC\2017-12-07-refined-times.txt</v>
      </c>
      <c r="AI188" s="238" t="str">
        <f t="shared" ref="AI188" si="80">"echo {""issue"":{""subject"":"""&amp;R188&amp;""",""project_id"":79,""tracker_id"":40,""status_id"":"&amp;redmine_status&amp;",""priority_id"":"&amp;redmine_priority&amp;",""assigned_to_id"":"&amp;redmine_assignee&amp;",""start_date"":"""&amp;TEXT(I188,"YYYY-mm-dd")&amp;""",""description"":"""&amp;AJ188&amp;""",""custom_fields"":[{""id"":1,""name"":""Subdivision"",""value"":"""&amp;AG188&amp;"""},{""id"":4,""name"":""Milepost"",""value"":"""&amp;Z188&amp;"""},{""id"":17,""name"":""Train ID"",""value"":"""&amp;A188&amp;"""},{""id"":16,""name"":""Locomotive ID"",""value"":"""&amp;B188&amp;"""},{""id"":130,""name"":""Impact"",""value"":"""&amp;AK188&amp;"""},{""id"":150,""name"":""Time of Event (Mountain Time)"",""value"":"""&amp;TEXT(I188,"hh:mm:ss")&amp;"""},{""id"":151,""name"":""Denver Issue ID"",""value"":"""&amp;"""},{""id"":178,""name"":""Operational Impact"",""value"":"""&amp;redmine_op_impact&amp;"""},{""id"":179,""name"":""Denver Segment Assigned"",""value"":"""&amp;AL188&amp;"""}]}}"&amp;"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{"issue":{"subject":"","project_id":79,"tracker_id":40,"status_id":1,"priority_id":2,"assigned_to_id":338,"start_date":"2017-12-07","description":"","custom_fields":[{"id":1,"name":"Subdivision","value":"NW"},{"id":4,"name":"Milepost","value":"0.0164"},{"id":17,"name":"Train ID","value":"830-07"},{"id":16,"name":"Locomotive ID","value":"4023"},{"id":130,"name":"Impact","value":""},{"id":150,"name":"Time of Event (Mountain Time)","value":"16:54:24"},{"id":151,"name":"Denver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1"/>
      <c r="AL188" s="231"/>
      <c r="AM188" s="240" t="str">
        <f t="shared" ref="AM188" si="81">"start /low /b "&amp;dls3logs&amp;" --loco "&amp;B188&amp;" --day "&amp;TEXT(F188,"YYYY-MM-DD")</f>
        <v>start /low /b %USERPROFILE%\Documents\GitHub\eaglep3\Utilities\DownloadLogsFromS3.py --loco 4023 --day 2017-12-07</v>
      </c>
      <c r="AN188" s="241" t="str">
        <f t="shared" ref="AN188" si="82">"echo {""issue"":{""subject"":"""&amp;R188&amp;""",""project_id"":30,""tracker_id"":4,""status_id"":"&amp;redmine_status_wcr&amp;",""priority_id"":"&amp;redmine_priority_wcr&amp;",""assigned_to_id"":"&amp;redmine_assignee_wcr&amp;",""start_date"":"""&amp;TEXT(I188-utc_offset/24,"YYYY-mm-dd")&amp;""",""description"":"""&amp;AJ188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23:54:24"},{"id":29,"name":"Sharepoint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ref="AO188" si="83"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Message%20ID',Summary),filters:!(),index:'emp_*',interval:auto,query:"&amp;"(query_string:(analyze_wildcard:!t,query:'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-12-07T15:02:31-0700',mode:absolute,to:'2017-12-07T17:54:24-0700'))&amp;_a=(columns:!('Message%20ID',Summary),filters:!(),index:'emp_*',interval:auto,query:(query_string:(analyze_wildcard:!t,query:'%22rtdc.l.rtdc.4023%22')),sort:!(Time.ISO8601,asc))</v>
      </c>
    </row>
    <row r="189" spans="1:91" s="223" customFormat="1" x14ac:dyDescent="0.25">
      <c r="A189" s="229" t="s">
        <v>851</v>
      </c>
      <c r="B189" s="225">
        <v>4044</v>
      </c>
      <c r="C189" s="227" t="s">
        <v>192</v>
      </c>
      <c r="D189" s="227" t="s">
        <v>635</v>
      </c>
      <c r="E189" s="226">
        <v>43076.691458333335</v>
      </c>
      <c r="F189" s="226">
        <v>43076.69394675926</v>
      </c>
      <c r="G189" s="225">
        <v>75</v>
      </c>
      <c r="H189" s="227" t="s">
        <v>485</v>
      </c>
      <c r="I189" s="226">
        <v>43076.705555555556</v>
      </c>
      <c r="J189" s="225">
        <v>1</v>
      </c>
      <c r="K189" s="237" t="str">
        <f t="shared" si="56"/>
        <v>4043/4044</v>
      </c>
      <c r="L189" s="245" t="str">
        <f>VLOOKUP(A189,'Trips&amp;Operators'!$C$1:$G$99911,5,FALSE)</f>
        <v>ANDREA WILLIAMS</v>
      </c>
      <c r="M189" s="224">
        <f t="shared" si="57"/>
        <v>1.1608796296059154E-2</v>
      </c>
      <c r="N189" s="225">
        <f t="shared" si="74"/>
        <v>16.716666666325182</v>
      </c>
      <c r="O189" s="225"/>
      <c r="P189" s="225"/>
      <c r="Q189" s="228"/>
      <c r="R189" s="242"/>
      <c r="S189" s="249">
        <f t="shared" si="75"/>
        <v>1</v>
      </c>
      <c r="T189" s="242" t="str">
        <f t="shared" si="59"/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60"/>
        <v>https://d0f6bd738d7f1b3e5a7ca70fe4ff75f0.us-east-1.aws.found.io/app/kibana#/discover/Steve-Slow-Train-Analysis-(2080s-and-2083s)?_g=(refreshInterval:(display:Off,pause:!f,section:0,value:0),time:(from:'2017-12-07T15:35:42-0700',mode:absolute,to:'2017-12-07T17:56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9" s="247" t="str">
        <f>IF(AA189&lt;VLOOKUP(AG189,Variables!$AC$3:$AD$8,2,FALSE),"Y","N")</f>
        <v>N</v>
      </c>
      <c r="X189" s="247">
        <f t="shared" si="78"/>
        <v>1</v>
      </c>
      <c r="Y189" s="247">
        <f t="shared" ref="Y189:Y195" si="84">RIGHT(D189,LEN(D189)-4)/10000</f>
        <v>4.5100000000000001E-2</v>
      </c>
      <c r="Z189" s="247">
        <f t="shared" ref="Z189:Z195" si="85">RIGHT(H189,LEN(H189)-4)/10000</f>
        <v>5.8925999999999998</v>
      </c>
      <c r="AA189" s="247">
        <f t="shared" si="63"/>
        <v>5.8475000000000001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64"/>
        <v>831</v>
      </c>
      <c r="AE189" s="235" t="str">
        <f t="shared" si="65"/>
        <v>aws s3 cp s3://rtdc.mdm.uploadarchive.raw/RTDC4044/ "%USERPROFILE%\AppData\Local\Temp\OnboardLogs"\RTDC4044\2017-12-07 --exclude "*" --recursive --include "*20171207*" &amp; "%USERPROFILE%\Documents\GitHub\mrs-test-scripts\Headless Mode &amp; Sideloading\WalkAndUnGZ.bat" "%USERPROFILE%\AppData\Local\Temp\OnboardLogs"\RTDC4044\2017-12-07 &amp; aws s3 cp s3://rtdc.mdm.uploadarchive.raw/RTDC4044/ "%USERPROFILE%\AppData\Local\Temp\OnboardLogs"\RTDC4044\2017-12-08 --exclude "*" --recursive --include "*20171208*" &amp; "%USERPROFILE%\Documents\GitHub\mrs-test-scripts\Headless Mode &amp; Sideloading\WalkAndUnGZ.bat" "%USERPROFILE%\AppData\Local\Temp\OnboardLogs"\RTDC4044\2017-12-08</v>
      </c>
      <c r="AF189" s="234" t="str">
        <f t="shared" si="66"/>
        <v>"C:\Program Files (x86)\AstroGrep\AstroGrep.exe" /e /r /s /spath="%USERPROFILE%\AppData\Local\Temp\OnboardLogs" /stypes="app*4044*20171207*" /stext=" 23:.+((SYSTEM_STATE.+slice.+state.+changed )|(ment ac)|(multiple cpu faults)|(system.+state.+changed )|(\[timeout)|(PRM\|1\|D)|(kpr)|(kdp)|(train st.+moving)|(\|lc)|(penalty))"</v>
      </c>
      <c r="AG189" s="244" t="str">
        <f t="shared" si="67"/>
        <v>NW</v>
      </c>
      <c r="AH189" s="236" t="str">
        <f t="shared" si="68"/>
        <v>"%USERPROFILE%\Documents\GitHub\eaglep3\Utilities\RefineRTDCRunTimes.py" --tripid 831-07 --locoid 4044 --swversion DE.1.0.9.0 --startMP 204:451 --initTime 2017-12-07T16:35:42 --startdatetime 2017-12-07T16:39:17 --delay 75 --endMP 300:58926 --enddatetime 2017-12-07T16:56:00 --enforcementcount 1 &gt;&gt;%USERPROFILE%\Documents\GitHub\eaglep3-reporting\EC\2017-12-07-refined-times.txt</v>
      </c>
      <c r="AI189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{"issue":{"subject":"","project_id":79,"tracker_id":40,"status_id":1,"priority_id":2,"assigned_to_id":338,"start_date":"2017-12-07","description":"","custom_fields":[{"id":1,"name":"Subdivision","value":"NW"},{"id":4,"name":"Milepost","value":"5.8926"},{"id":17,"name":"Train ID","value":"831-07"},{"id":16,"name":"Locomotive ID","value":"4044"},{"id":130,"name":"Impact","value":""},{"id":150,"name":"Time of Event (Mountain Time)","value":"16:56:00"},{"id":151,"name":"Denver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70"/>
        <v>start /low /b %USERPROFILE%\Documents\GitHub\eaglep3\Utilities\DownloadLogsFromS3.py --loco 4044 --day 2017-12-07</v>
      </c>
      <c r="AN189" s="241" t="str">
        <f t="shared" si="71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23:56:00"},{"id":29,"name":"Sharepoint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72"/>
        <v>https://d0f6bd738d7f1b3e5a7ca70fe4ff75f0.us-east-1.aws.found.io/app/kibana#/discover/Steve-Slow-Train-Analysis-(2080s-and-2083s)?_g=(refreshInterval:(display:Off,pause:!f,section:0,value:0),time:(from:'2017-12-07T15:35:42-0700',mode:absolute,to:'2017-12-07T17:56:00-0700'))&amp;_a=(columns:!('Message%20ID',Summary),filters:!(),index:'emp_*',interval:auto,query:(query_string:(analyze_wildcard:!t,query:'%22rtdc.l.rtdc.4044%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25">
      <c r="A190" s="229" t="s">
        <v>857</v>
      </c>
      <c r="B190" s="225">
        <v>4043</v>
      </c>
      <c r="C190" s="227" t="s">
        <v>192</v>
      </c>
      <c r="D190" s="227" t="s">
        <v>516</v>
      </c>
      <c r="E190" s="226">
        <v>43076.706400462965</v>
      </c>
      <c r="F190" s="226">
        <v>43076.716666666667</v>
      </c>
      <c r="G190" s="225">
        <v>67</v>
      </c>
      <c r="H190" s="227" t="s">
        <v>1076</v>
      </c>
      <c r="I190" s="226">
        <v>43076.726157407407</v>
      </c>
      <c r="J190" s="225">
        <v>1</v>
      </c>
      <c r="K190" s="237" t="str">
        <f t="shared" si="56"/>
        <v>4043/4044</v>
      </c>
      <c r="L190" s="245" t="str">
        <f>VLOOKUP(A190,'Trips&amp;Operators'!$C$1:$G$99911,5,FALSE)</f>
        <v>ANDREA WILLIAMS</v>
      </c>
      <c r="M190" s="224">
        <f t="shared" si="57"/>
        <v>9.4907407401478849E-3</v>
      </c>
      <c r="N190" s="225">
        <f t="shared" ref="N190:N221" si="86">24*60*SUM($M190:$M190)</f>
        <v>13.666666665812954</v>
      </c>
      <c r="O190" s="225"/>
      <c r="P190" s="225"/>
      <c r="Q190" s="228"/>
      <c r="R190" s="242"/>
      <c r="S190" s="249">
        <f t="shared" ref="S190:S221" si="87">1/IF(AG190="EC",12,1)*SUM(U190:U190)</f>
        <v>1</v>
      </c>
      <c r="T190" s="242" t="str">
        <f t="shared" si="59"/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60"/>
        <v>https://d0f6bd738d7f1b3e5a7ca70fe4ff75f0.us-east-1.aws.found.io/app/kibana#/discover/Steve-Slow-Train-Analysis-(2080s-and-2083s)?_g=(refreshInterval:(display:Off,pause:!f,section:0,value:0),time:(from:'2017-12-07T15:57:13-0700',mode:absolute,to:'2017-12-07T18:25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0" s="247" t="str">
        <f>IF(AA190&lt;VLOOKUP(AG190,Variables!$AC$3:$AD$8,2,FALSE),"Y","N")</f>
        <v>N</v>
      </c>
      <c r="X190" s="247">
        <f t="shared" ref="X190:X195" si="88">VALUE(LEFT(AD190,4))-VALUE(LEFT(AD189,4))</f>
        <v>1</v>
      </c>
      <c r="Y190" s="247">
        <f t="shared" si="84"/>
        <v>5.8609</v>
      </c>
      <c r="Z190" s="247">
        <f t="shared" si="85"/>
        <v>1.4E-2</v>
      </c>
      <c r="AA190" s="247">
        <f t="shared" si="63"/>
        <v>5.8468999999999998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64"/>
        <v>832</v>
      </c>
      <c r="AE190" s="235" t="str">
        <f t="shared" si="65"/>
        <v>aws s3 cp s3://rtdc.mdm.uploadarchive.raw/RTDC4043/ "%USERPROFILE%\AppData\Local\Temp\OnboardLogs"\RTDC4043\2017-12-07 --exclude "*" --recursive --include "*20171207*" &amp; "%USERPROFILE%\Documents\GitHub\mrs-test-scripts\Headless Mode &amp; Sideloading\WalkAndUnGZ.bat" "%USERPROFILE%\AppData\Local\Temp\OnboardLogs"\RTDC4043\2017-12-07 &amp; aws s3 cp s3://rtdc.mdm.uploadarchive.raw/RTDC4043/ "%USERPROFILE%\AppData\Local\Temp\OnboardLogs"\RTDC4043\2017-12-08 --exclude "*" --recursive --include "*20171208*" &amp; "%USERPROFILE%\Documents\GitHub\mrs-test-scripts\Headless Mode &amp; Sideloading\WalkAndUnGZ.bat" "%USERPROFILE%\AppData\Local\Temp\OnboardLogs"\RTDC4043\2017-12-08</v>
      </c>
      <c r="AF190" s="234" t="str">
        <f t="shared" si="66"/>
        <v>"C:\Program Files (x86)\AstroGrep\AstroGrep.exe" /e /r /s /spath="%USERPROFILE%\AppData\Local\Temp\OnboardLogs" /stypes="app*4043*20171208*" /stext=" 00:.+((SYSTEM_STATE.+slice.+state.+changed )|(ment ac)|(multiple cpu faults)|(system.+state.+changed )|(\[timeout)|(PRM\|1\|D)|(kpr)|(kdp)|(train st.+moving)|(\|lc)|(penalty))"</v>
      </c>
      <c r="AG190" s="244" t="str">
        <f t="shared" si="67"/>
        <v>NW</v>
      </c>
      <c r="AH190" s="236" t="str">
        <f t="shared" si="68"/>
        <v>"%USERPROFILE%\Documents\GitHub\eaglep3\Utilities\RefineRTDCRunTimes.py" --tripid 832-07 --locoid 4043 --swversion DE.1.0.9.0 --startMP 300:58609 --initTime 2017-12-07T16:57:13 --startdatetime 2017-12-07T17:12:00 --delay 67 --endMP 204:140 --enddatetime 2017-12-07T17:25:40 --enforcementcount 1 &gt;&gt;%USERPROFILE%\Documents\GitHub\eaglep3-reporting\EC\2017-12-07-refined-times.txt</v>
      </c>
      <c r="AI190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{"issue":{"subject":"","project_id":79,"tracker_id":40,"status_id":1,"priority_id":2,"assigned_to_id":338,"start_date":"2017-12-07","description":"","custom_fields":[{"id":1,"name":"Subdivision","value":"NW"},{"id":4,"name":"Milepost","value":"0.014"},{"id":17,"name":"Train ID","value":"832-07"},{"id":16,"name":"Locomotive ID","value":"4043"},{"id":130,"name":"Impact","value":""},{"id":150,"name":"Time of Event (Mountain Time)","value":"17:25:40"},{"id":151,"name":"Denver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si="70"/>
        <v>start /low /b %USERPROFILE%\Documents\GitHub\eaglep3\Utilities\DownloadLogsFromS3.py --loco 4043 --day 2017-12-07</v>
      </c>
      <c r="AN190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00:25:40"},{"id":29,"name":"Sharepoint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72"/>
        <v>https://d0f6bd738d7f1b3e5a7ca70fe4ff75f0.us-east-1.aws.found.io/app/kibana#/discover/Steve-Slow-Train-Analysis-(2080s-and-2083s)?_g=(refreshInterval:(display:Off,pause:!f,section:0,value:0),time:(from:'2017-12-07T15:57:13-0700',mode:absolute,to:'2017-12-07T18:25:40-0700'))&amp;_a=(columns:!('Message%20ID',Summary),filters:!(),index:'emp_*',interval:auto,query:(query_string:(analyze_wildcard:!t,query:'%22rtdc.l.rtdc.4043%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3" customFormat="1" x14ac:dyDescent="0.25">
      <c r="A191" s="229" t="s">
        <v>858</v>
      </c>
      <c r="B191" s="225">
        <v>4024</v>
      </c>
      <c r="C191" s="227" t="s">
        <v>192</v>
      </c>
      <c r="D191" s="227" t="s">
        <v>635</v>
      </c>
      <c r="E191" s="226">
        <v>43076.712442129632</v>
      </c>
      <c r="F191" s="226">
        <v>43076.715266203704</v>
      </c>
      <c r="G191" s="225">
        <v>72</v>
      </c>
      <c r="H191" s="227" t="s">
        <v>667</v>
      </c>
      <c r="I191" s="226">
        <v>43076.726527777777</v>
      </c>
      <c r="J191" s="225">
        <v>1</v>
      </c>
      <c r="K191" s="237" t="str">
        <f t="shared" si="56"/>
        <v>4023/4024</v>
      </c>
      <c r="L191" s="245" t="str">
        <f>VLOOKUP(A191,'Trips&amp;Operators'!$C$1:$G$99911,5,FALSE)</f>
        <v>STAMBAUGH JAMES</v>
      </c>
      <c r="M191" s="224">
        <f t="shared" si="57"/>
        <v>1.1261574072705116E-2</v>
      </c>
      <c r="N191" s="225">
        <f t="shared" si="86"/>
        <v>16.216666664695367</v>
      </c>
      <c r="O191" s="225"/>
      <c r="P191" s="225"/>
      <c r="Q191" s="228"/>
      <c r="R191" s="242"/>
      <c r="S191" s="249">
        <f t="shared" si="87"/>
        <v>1</v>
      </c>
      <c r="T191" s="242" t="str">
        <f t="shared" si="59"/>
        <v>NorthBound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60"/>
        <v>https://d0f6bd738d7f1b3e5a7ca70fe4ff75f0.us-east-1.aws.found.io/app/kibana#/discover/Steve-Slow-Train-Analysis-(2080s-and-2083s)?_g=(refreshInterval:(display:Off,pause:!f,section:0,value:0),time:(from:'2017-12-07T16:05:55-0700',mode:absolute,to:'2017-12-07T18:26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1" s="247" t="str">
        <f>IF(AA191&lt;VLOOKUP(AG191,Variables!$AC$3:$AD$8,2,FALSE),"Y","N")</f>
        <v>N</v>
      </c>
      <c r="X191" s="247">
        <f t="shared" si="88"/>
        <v>1</v>
      </c>
      <c r="Y191" s="247">
        <f t="shared" si="84"/>
        <v>4.5100000000000001E-2</v>
      </c>
      <c r="Z191" s="247">
        <f t="shared" si="85"/>
        <v>5.8935000000000004</v>
      </c>
      <c r="AA191" s="247">
        <f t="shared" si="63"/>
        <v>5.8484000000000007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64"/>
        <v>833</v>
      </c>
      <c r="AE191" s="235" t="str">
        <f t="shared" si="65"/>
        <v>aws s3 cp s3://rtdc.mdm.uploadarchive.raw/RTDC4024/ "%USERPROFILE%\AppData\Local\Temp\OnboardLogs"\RTDC4024\2017-12-07 --exclude "*" --recursive --include "*20171207*" &amp; "%USERPROFILE%\Documents\GitHub\mrs-test-scripts\Headless Mode &amp; Sideloading\WalkAndUnGZ.bat" "%USERPROFILE%\AppData\Local\Temp\OnboardLogs"\RTDC4024\2017-12-07 &amp; 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</v>
      </c>
      <c r="AF191" s="234" t="str">
        <f t="shared" si="66"/>
        <v>"C:\Program Files (x86)\AstroGrep\AstroGrep.exe" /e /r /s /spath="%USERPROFILE%\AppData\Local\Temp\OnboardLogs" /stypes="app*4024*20171208*" /stext=" 00:.+((SYSTEM_STATE.+slice.+state.+changed )|(ment ac)|(multiple cpu faults)|(system.+state.+changed )|(\[timeout)|(PRM\|1\|D)|(kpr)|(kdp)|(train st.+moving)|(\|lc)|(penalty))"</v>
      </c>
      <c r="AG191" s="244" t="str">
        <f t="shared" si="67"/>
        <v>NW</v>
      </c>
      <c r="AH191" s="236" t="str">
        <f t="shared" si="68"/>
        <v>"%USERPROFILE%\Documents\GitHub\eaglep3\Utilities\RefineRTDCRunTimes.py" --tripid 833-07 --locoid 4024 --swversion DE.1.0.9.0 --startMP 204:451 --initTime 2017-12-07T17:05:55 --startdatetime 2017-12-07T17:09:59 --delay 72 --endMP 300:58935 --enddatetime 2017-12-07T17:26:12 --enforcementcount 1 &gt;&gt;%USERPROFILE%\Documents\GitHub\eaglep3-reporting\EC\2017-12-07-refined-times.txt</v>
      </c>
      <c r="AI191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{"issue":{"subject":"","project_id":79,"tracker_id":40,"status_id":1,"priority_id":2,"assigned_to_id":338,"start_date":"2017-12-07","description":"","custom_fields":[{"id":1,"name":"Subdivision","value":"NW"},{"id":4,"name":"Milepost","value":"5.8935"},{"id":17,"name":"Train ID","value":"833-07"},{"id":16,"name":"Locomotive ID","value":"4024"},{"id":130,"name":"Impact","value":""},{"id":150,"name":"Time of Event (Mountain Time)","value":"17:26:12"},{"id":151,"name":"Denver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si="70"/>
        <v>start /low /b %USERPROFILE%\Documents\GitHub\eaglep3\Utilities\DownloadLogsFromS3.py --loco 4024 --day 2017-12-07</v>
      </c>
      <c r="AN191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00:26:12"},{"id":29,"name":"Sharepoint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72"/>
        <v>https://d0f6bd738d7f1b3e5a7ca70fe4ff75f0.us-east-1.aws.found.io/app/kibana#/discover/Steve-Slow-Train-Analysis-(2080s-and-2083s)?_g=(refreshInterval:(display:Off,pause:!f,section:0,value:0),time:(from:'2017-12-07T16:05:55-0700',mode:absolute,to:'2017-12-07T18:26:12-0700'))&amp;_a=(columns:!('Message%20ID',Summary),filters:!(),index:'emp_*',interval:auto,query:(query_string:(analyze_wildcard:!t,query:'%22rtdc.l.rtdc.4024%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29" t="s">
        <v>862</v>
      </c>
      <c r="B192" s="225">
        <v>4023</v>
      </c>
      <c r="C192" s="227" t="s">
        <v>192</v>
      </c>
      <c r="D192" s="227" t="s">
        <v>1077</v>
      </c>
      <c r="E192" s="226">
        <v>43076.728009259263</v>
      </c>
      <c r="F192" s="226">
        <v>43076.737500000003</v>
      </c>
      <c r="G192" s="225">
        <v>51</v>
      </c>
      <c r="H192" s="227" t="s">
        <v>542</v>
      </c>
      <c r="I192" s="226">
        <v>43076.746180555558</v>
      </c>
      <c r="J192" s="225">
        <v>1</v>
      </c>
      <c r="K192" s="237" t="str">
        <f t="shared" si="56"/>
        <v>4023/4024</v>
      </c>
      <c r="L192" s="245" t="str">
        <f>VLOOKUP(A192,'Trips&amp;Operators'!$C$1:$G$99911,5,FALSE)</f>
        <v>STAMBAUGH JAMES</v>
      </c>
      <c r="M192" s="224">
        <f t="shared" si="57"/>
        <v>8.6805555547471158E-3</v>
      </c>
      <c r="N192" s="225">
        <f t="shared" si="86"/>
        <v>12.499999998835847</v>
      </c>
      <c r="O192" s="225"/>
      <c r="P192" s="225"/>
      <c r="Q192" s="228"/>
      <c r="R192" s="242"/>
      <c r="S192" s="249">
        <f t="shared" si="87"/>
        <v>1</v>
      </c>
      <c r="T192" s="242" t="str">
        <f t="shared" si="59"/>
        <v>Southbound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60"/>
        <v>https://d0f6bd738d7f1b3e5a7ca70fe4ff75f0.us-east-1.aws.found.io/app/kibana#/discover/Steve-Slow-Train-Analysis-(2080s-and-2083s)?_g=(refreshInterval:(display:Off,pause:!f,section:0,value:0),time:(from:'2017-12-07T16:28:20-0700',mode:absolute,to:'2017-12-07T18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2" s="247" t="str">
        <f>IF(AA192&lt;VLOOKUP(AG192,Variables!$AC$3:$AD$8,2,FALSE),"Y","N")</f>
        <v>N</v>
      </c>
      <c r="X192" s="247">
        <f t="shared" si="88"/>
        <v>1</v>
      </c>
      <c r="Y192" s="247">
        <f t="shared" si="84"/>
        <v>5.8613</v>
      </c>
      <c r="Z192" s="247">
        <f t="shared" si="85"/>
        <v>1.49E-2</v>
      </c>
      <c r="AA192" s="247">
        <f t="shared" si="63"/>
        <v>5.8464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64"/>
        <v>834</v>
      </c>
      <c r="AE192" s="235" t="str">
        <f t="shared" si="65"/>
        <v>aws s3 cp s3://rtdc.mdm.uploadarchive.raw/RTDC4023/ "%USERPROFILE%\AppData\Local\Temp\OnboardLogs"\RTDC4023\2017-12-07 --exclude "*" --recursive --include "*20171207*" &amp; "%USERPROFILE%\Documents\GitHub\mrs-test-scripts\Headless Mode &amp; Sideloading\WalkAndUnGZ.bat" "%USERPROFILE%\AppData\Local\Temp\OnboardLogs"\RTDC4023\2017-12-07 &amp; 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</v>
      </c>
      <c r="AF192" s="234" t="str">
        <f t="shared" si="66"/>
        <v>"C:\Program Files (x86)\AstroGrep\AstroGrep.exe" /e /r /s /spath="%USERPROFILE%\AppData\Local\Temp\OnboardLogs" /stypes="app*4023*20171208*" /stext=" 00:.+((SYSTEM_STATE.+slice.+state.+changed )|(ment ac)|(multiple cpu faults)|(system.+state.+changed )|(\[timeout)|(PRM\|1\|D)|(kpr)|(kdp)|(train st.+moving)|(\|lc)|(penalty))"</v>
      </c>
      <c r="AG192" s="244" t="str">
        <f t="shared" si="67"/>
        <v>NW</v>
      </c>
      <c r="AH192" s="236" t="str">
        <f t="shared" si="68"/>
        <v>"%USERPROFILE%\Documents\GitHub\eaglep3\Utilities\RefineRTDCRunTimes.py" --tripid 834-07 --locoid 4023 --swversion DE.1.0.9.0 --startMP 300:58613 --initTime 2017-12-07T17:28:20 --startdatetime 2017-12-07T17:42:00 --delay 51 --endMP 204:149 --enddatetime 2017-12-07T17:54:30 --enforcementcount 1 &gt;&gt;%USERPROFILE%\Documents\GitHub\eaglep3-reporting\EC\2017-12-07-refined-times.txt</v>
      </c>
      <c r="AI192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{"issue":{"subject":"","project_id":79,"tracker_id":40,"status_id":1,"priority_id":2,"assigned_to_id":338,"start_date":"2017-12-07","description":"","custom_fields":[{"id":1,"name":"Subdivision","value":"NW"},{"id":4,"name":"Milepost","value":"0.0149"},{"id":17,"name":"Train ID","value":"834-07"},{"id":16,"name":"Locomotive ID","value":"4023"},{"id":130,"name":"Impact","value":""},{"id":150,"name":"Time of Event (Mountain Time)","value":"17:54:30"},{"id":151,"name":"Denver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70"/>
        <v>start /low /b %USERPROFILE%\Documents\GitHub\eaglep3\Utilities\DownloadLogsFromS3.py --loco 4023 --day 2017-12-07</v>
      </c>
      <c r="AN192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00:54:30"},{"id":29,"name":"Sharepoint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72"/>
        <v>https://d0f6bd738d7f1b3e5a7ca70fe4ff75f0.us-east-1.aws.found.io/app/kibana#/discover/Steve-Slow-Train-Analysis-(2080s-and-2083s)?_g=(refreshInterval:(display:Off,pause:!f,section:0,value:0),time:(from:'2017-12-07T16:28:20-0700',mode:absolute,to:'2017-12-07T18:54:30-0700'))&amp;_a=(columns:!('Message%20ID',Summary),filters:!(),index:'emp_*',interval:auto,query:(query_string:(analyze_wildcard:!t,query:'%22rtdc.l.rtdc.4023%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229" t="s">
        <v>863</v>
      </c>
      <c r="B193" s="225">
        <v>4044</v>
      </c>
      <c r="C193" s="227" t="s">
        <v>192</v>
      </c>
      <c r="D193" s="227" t="s">
        <v>507</v>
      </c>
      <c r="E193" s="226">
        <v>43076.727905092594</v>
      </c>
      <c r="F193" s="226">
        <v>43076.735601851855</v>
      </c>
      <c r="G193" s="225">
        <v>63</v>
      </c>
      <c r="H193" s="227" t="s">
        <v>1078</v>
      </c>
      <c r="I193" s="226">
        <v>43076.748043981483</v>
      </c>
      <c r="J193" s="225">
        <v>1</v>
      </c>
      <c r="K193" s="237" t="str">
        <f t="shared" si="56"/>
        <v>4043/4044</v>
      </c>
      <c r="L193" s="245" t="str">
        <f>VLOOKUP(A193,'Trips&amp;Operators'!$C$1:$G$99911,5,FALSE)</f>
        <v>ANDREA WILLIAMS</v>
      </c>
      <c r="M193" s="224">
        <f t="shared" si="57"/>
        <v>1.244212962774327E-2</v>
      </c>
      <c r="N193" s="225">
        <f t="shared" si="86"/>
        <v>17.916666663950309</v>
      </c>
      <c r="O193" s="225"/>
      <c r="P193" s="225"/>
      <c r="Q193" s="228"/>
      <c r="R193" s="242"/>
      <c r="S193" s="249">
        <f t="shared" si="87"/>
        <v>1</v>
      </c>
      <c r="T193" s="242" t="str">
        <f t="shared" si="59"/>
        <v>NorthBound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60"/>
        <v>https://d0f6bd738d7f1b3e5a7ca70fe4ff75f0.us-east-1.aws.found.io/app/kibana#/discover/Steve-Slow-Train-Analysis-(2080s-and-2083s)?_g=(refreshInterval:(display:Off,pause:!f,section:0,value:0),time:(from:'2017-12-07T16:28:11-0700',mode:absolute,to:'2017-12-07T18:57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3" s="247" t="str">
        <f>IF(AA193&lt;VLOOKUP(AG193,Variables!$AC$3:$AD$8,2,FALSE),"Y","N")</f>
        <v>N</v>
      </c>
      <c r="X193" s="247">
        <f t="shared" si="88"/>
        <v>1</v>
      </c>
      <c r="Y193" s="247">
        <f t="shared" si="84"/>
        <v>4.3499999999999997E-2</v>
      </c>
      <c r="Z193" s="247">
        <f t="shared" si="85"/>
        <v>5.8917999999999999</v>
      </c>
      <c r="AA193" s="247">
        <f t="shared" si="63"/>
        <v>5.8483000000000001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64"/>
        <v>835</v>
      </c>
      <c r="AE193" s="235" t="str">
        <f t="shared" si="65"/>
        <v>aws s3 cp s3://rtdc.mdm.uploadarchive.raw/RTDC4044/ "%USERPROFILE%\AppData\Local\Temp\OnboardLogs"\RTDC4044\2017-12-07 --exclude "*" --recursive --include "*20171207*" &amp; "%USERPROFILE%\Documents\GitHub\mrs-test-scripts\Headless Mode &amp; Sideloading\WalkAndUnGZ.bat" "%USERPROFILE%\AppData\Local\Temp\OnboardLogs"\RTDC4044\2017-12-07 &amp; aws s3 cp s3://rtdc.mdm.uploadarchive.raw/RTDC4044/ "%USERPROFILE%\AppData\Local\Temp\OnboardLogs"\RTDC4044\2017-12-08 --exclude "*" --recursive --include "*20171208*" &amp; "%USERPROFILE%\Documents\GitHub\mrs-test-scripts\Headless Mode &amp; Sideloading\WalkAndUnGZ.bat" "%USERPROFILE%\AppData\Local\Temp\OnboardLogs"\RTDC4044\2017-12-08</v>
      </c>
      <c r="AF193" s="234" t="str">
        <f t="shared" si="66"/>
        <v>"C:\Program Files (x86)\AstroGrep\AstroGrep.exe" /e /r /s /spath="%USERPROFILE%\AppData\Local\Temp\OnboardLogs" /stypes="app*4044*20171208*" /stext=" 00:.+((SYSTEM_STATE.+slice.+state.+changed )|(ment ac)|(multiple cpu faults)|(system.+state.+changed )|(\[timeout)|(PRM\|1\|D)|(kpr)|(kdp)|(train st.+moving)|(\|lc)|(penalty))"</v>
      </c>
      <c r="AG193" s="244" t="str">
        <f t="shared" si="67"/>
        <v>NW</v>
      </c>
      <c r="AH193" s="236" t="str">
        <f t="shared" si="68"/>
        <v>"%USERPROFILE%\Documents\GitHub\eaglep3\Utilities\RefineRTDCRunTimes.py" --tripid 835-07 --locoid 4044 --swversion DE.1.0.9.0 --startMP 204:435 --initTime 2017-12-07T17:28:11 --startdatetime 2017-12-07T17:39:16 --delay 63 --endMP 300:58918 --enddatetime 2017-12-07T17:57:11 --enforcementcount 1 &gt;&gt;%USERPROFILE%\Documents\GitHub\eaglep3-reporting\EC\2017-12-07-refined-times.txt</v>
      </c>
      <c r="AI193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{"issue":{"subject":"","project_id":79,"tracker_id":40,"status_id":1,"priority_id":2,"assigned_to_id":338,"start_date":"2017-12-07","description":"","custom_fields":[{"id":1,"name":"Subdivision","value":"NW"},{"id":4,"name":"Milepost","value":"5.8918"},{"id":17,"name":"Train ID","value":"835-07"},{"id":16,"name":"Locomotive ID","value":"4044"},{"id":130,"name":"Impact","value":""},{"id":150,"name":"Time of Event (Mountain Time)","value":"17:57:11"},{"id":151,"name":"Denver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3"/>
      <c r="AK193" s="231"/>
      <c r="AL193" s="231"/>
      <c r="AM193" s="240" t="str">
        <f t="shared" si="70"/>
        <v>start /low /b %USERPROFILE%\Documents\GitHub\eaglep3\Utilities\DownloadLogsFromS3.py --loco 4044 --day 2017-12-07</v>
      </c>
      <c r="AN193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00:57:11"},{"id":29,"name":"Sharepoint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72"/>
        <v>https://d0f6bd738d7f1b3e5a7ca70fe4ff75f0.us-east-1.aws.found.io/app/kibana#/discover/Steve-Slow-Train-Analysis-(2080s-and-2083s)?_g=(refreshInterval:(display:Off,pause:!f,section:0,value:0),time:(from:'2017-12-07T16:28:11-0700',mode:absolute,to:'2017-12-07T18:57:11-0700'))&amp;_a=(columns:!('Message%20ID',Summary),filters:!(),index:'emp_*',interval:auto,query:(query_string:(analyze_wildcard:!t,query:'%22rtdc.l.rtdc.4044%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25">
      <c r="A194" s="229" t="s">
        <v>869</v>
      </c>
      <c r="B194" s="225">
        <v>4043</v>
      </c>
      <c r="C194" s="227" t="s">
        <v>192</v>
      </c>
      <c r="D194" s="227" t="s">
        <v>558</v>
      </c>
      <c r="E194" s="226">
        <v>43076.749259259261</v>
      </c>
      <c r="F194" s="226">
        <v>43076.758333333331</v>
      </c>
      <c r="G194" s="225">
        <v>69</v>
      </c>
      <c r="H194" s="227" t="s">
        <v>560</v>
      </c>
      <c r="I194" s="226">
        <v>43076.767256944448</v>
      </c>
      <c r="J194" s="225">
        <v>1</v>
      </c>
      <c r="K194" s="237" t="str">
        <f t="shared" si="56"/>
        <v>4043/4044</v>
      </c>
      <c r="L194" s="245" t="str">
        <f>VLOOKUP(A194,'Trips&amp;Operators'!$C$1:$G$99911,5,FALSE)</f>
        <v>ANDREA WILLIAMS</v>
      </c>
      <c r="M194" s="224">
        <f t="shared" si="57"/>
        <v>8.9236111161881126E-3</v>
      </c>
      <c r="N194" s="225">
        <f t="shared" si="86"/>
        <v>12.850000007310882</v>
      </c>
      <c r="O194" s="225"/>
      <c r="P194" s="225"/>
      <c r="Q194" s="228"/>
      <c r="R194" s="242"/>
      <c r="S194" s="249">
        <f t="shared" si="87"/>
        <v>1</v>
      </c>
      <c r="T194" s="242" t="str">
        <f t="shared" si="59"/>
        <v>Southbound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60"/>
        <v>https://d0f6bd738d7f1b3e5a7ca70fe4ff75f0.us-east-1.aws.found.io/app/kibana#/discover/Steve-Slow-Train-Analysis-(2080s-and-2083s)?_g=(refreshInterval:(display:Off,pause:!f,section:0,value:0),time:(from:'2017-12-07T16:58:56-0700',mode:absolute,to:'2017-12-07T19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4" s="247" t="str">
        <f>IF(AA194&lt;VLOOKUP(AG194,Variables!$AC$3:$AD$8,2,FALSE),"Y","N")</f>
        <v>N</v>
      </c>
      <c r="X194" s="247">
        <f t="shared" si="88"/>
        <v>1</v>
      </c>
      <c r="Y194" s="247">
        <f t="shared" si="84"/>
        <v>5.8611000000000004</v>
      </c>
      <c r="Z194" s="247">
        <f t="shared" si="85"/>
        <v>1.5299999999999999E-2</v>
      </c>
      <c r="AA194" s="247">
        <f t="shared" si="63"/>
        <v>5.8458000000000006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64"/>
        <v>836</v>
      </c>
      <c r="AE194" s="235" t="str">
        <f t="shared" si="65"/>
        <v>aws s3 cp s3://rtdc.mdm.uploadarchive.raw/RTDC4043/ "%USERPROFILE%\AppData\Local\Temp\OnboardLogs"\RTDC4043\2017-12-07 --exclude "*" --recursive --include "*20171207*" &amp; "%USERPROFILE%\Documents\GitHub\mrs-test-scripts\Headless Mode &amp; Sideloading\WalkAndUnGZ.bat" "%USERPROFILE%\AppData\Local\Temp\OnboardLogs"\RTDC4043\2017-12-07 &amp; aws s3 cp s3://rtdc.mdm.uploadarchive.raw/RTDC4043/ "%USERPROFILE%\AppData\Local\Temp\OnboardLogs"\RTDC4043\2017-12-08 --exclude "*" --recursive --include "*20171208*" &amp; "%USERPROFILE%\Documents\GitHub\mrs-test-scripts\Headless Mode &amp; Sideloading\WalkAndUnGZ.bat" "%USERPROFILE%\AppData\Local\Temp\OnboardLogs"\RTDC4043\2017-12-08</v>
      </c>
      <c r="AF194" s="234" t="str">
        <f t="shared" si="66"/>
        <v>"C:\Program Files (x86)\AstroGrep\AstroGrep.exe" /e /r /s /spath="%USERPROFILE%\AppData\Local\Temp\OnboardLogs" /stypes="app*4043*20171208*" /stext=" 01:.+((SYSTEM_STATE.+slice.+state.+changed )|(ment ac)|(multiple cpu faults)|(system.+state.+changed )|(\[timeout)|(PRM\|1\|D)|(kpr)|(kdp)|(train st.+moving)|(\|lc)|(penalty))"</v>
      </c>
      <c r="AG194" s="244" t="str">
        <f t="shared" si="67"/>
        <v>NW</v>
      </c>
      <c r="AH194" s="236" t="str">
        <f t="shared" si="68"/>
        <v>"%USERPROFILE%\Documents\GitHub\eaglep3\Utilities\RefineRTDCRunTimes.py" --tripid 836-07 --locoid 4043 --swversion DE.1.0.9.0 --startMP 300:58611 --initTime 2017-12-07T17:58:56 --startdatetime 2017-12-07T18:12:00 --delay 69 --endMP 204:153 --enddatetime 2017-12-07T18:24:51 --enforcementcount 1 &gt;&gt;%USERPROFILE%\Documents\GitHub\eaglep3-reporting\EC\2017-12-07-refined-times.txt</v>
      </c>
      <c r="AI194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{"issue":{"subject":"","project_id":79,"tracker_id":40,"status_id":1,"priority_id":2,"assigned_to_id":338,"start_date":"2017-12-07","description":"","custom_fields":[{"id":1,"name":"Subdivision","value":"NW"},{"id":4,"name":"Milepost","value":"0.0153"},{"id":17,"name":"Train ID","value":"836-07"},{"id":16,"name":"Locomotive ID","value":"4043"},{"id":130,"name":"Impact","value":""},{"id":150,"name":"Time of Event (Mountain Time)","value":"18:24:51"},{"id":151,"name":"Denver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si="70"/>
        <v>start /low /b %USERPROFILE%\Documents\GitHub\eaglep3\Utilities\DownloadLogsFromS3.py --loco 4043 --day 2017-12-07</v>
      </c>
      <c r="AN194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01:24:51"},{"id":29,"name":"Sharepoint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72"/>
        <v>https://d0f6bd738d7f1b3e5a7ca70fe4ff75f0.us-east-1.aws.found.io/app/kibana#/discover/Steve-Slow-Train-Analysis-(2080s-and-2083s)?_g=(refreshInterval:(display:Off,pause:!f,section:0,value:0),time:(from:'2017-12-07T16:58:56-0700',mode:absolute,to:'2017-12-07T19:24:51-0700'))&amp;_a=(columns:!('Message%20ID',Summary),filters:!(),index:'emp_*',interval:auto,query:(query_string:(analyze_wildcard:!t,query:'%22rtdc.l.rtdc.4043%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29" t="s">
        <v>871</v>
      </c>
      <c r="B195" s="225">
        <v>4024</v>
      </c>
      <c r="C195" s="227" t="s">
        <v>192</v>
      </c>
      <c r="D195" s="227" t="s">
        <v>555</v>
      </c>
      <c r="E195" s="226">
        <v>43076.753009259257</v>
      </c>
      <c r="F195" s="226">
        <v>43076.756678240738</v>
      </c>
      <c r="G195" s="225">
        <v>51</v>
      </c>
      <c r="H195" s="227" t="s">
        <v>519</v>
      </c>
      <c r="I195" s="226">
        <v>43076.76666666667</v>
      </c>
      <c r="J195" s="225">
        <v>1</v>
      </c>
      <c r="K195" s="237" t="str">
        <f t="shared" si="56"/>
        <v>4023/4024</v>
      </c>
      <c r="L195" s="245" t="str">
        <f>VLOOKUP(A195,'Trips&amp;Operators'!$C$1:$G$99911,5,FALSE)</f>
        <v>STAMBAUGH JAMES</v>
      </c>
      <c r="M195" s="224">
        <f t="shared" si="57"/>
        <v>9.9884259325335734E-3</v>
      </c>
      <c r="N195" s="225">
        <f t="shared" si="86"/>
        <v>14.383333342848346</v>
      </c>
      <c r="O195" s="225"/>
      <c r="P195" s="225"/>
      <c r="Q195" s="228"/>
      <c r="R195" s="242"/>
      <c r="S195" s="249">
        <f t="shared" si="87"/>
        <v>1</v>
      </c>
      <c r="T195" s="242" t="str">
        <f t="shared" si="59"/>
        <v>NorthBound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60"/>
        <v>https://d0f6bd738d7f1b3e5a7ca70fe4ff75f0.us-east-1.aws.found.io/app/kibana#/discover/Steve-Slow-Train-Analysis-(2080s-and-2083s)?_g=(refreshInterval:(display:Off,pause:!f,section:0,value:0),time:(from:'2017-12-07T17:04:20-0700',mode:absolute,to:'2017-12-07T19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5" s="247" t="str">
        <f>IF(AA195&lt;VLOOKUP(AG195,Variables!$AC$3:$AD$8,2,FALSE),"Y","N")</f>
        <v>N</v>
      </c>
      <c r="X195" s="247">
        <f t="shared" si="88"/>
        <v>1</v>
      </c>
      <c r="Y195" s="247">
        <f t="shared" si="84"/>
        <v>4.5900000000000003E-2</v>
      </c>
      <c r="Z195" s="247">
        <f t="shared" si="85"/>
        <v>5.8940999999999999</v>
      </c>
      <c r="AA195" s="247">
        <f t="shared" si="63"/>
        <v>5.8482000000000003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64"/>
        <v>837</v>
      </c>
      <c r="AE195" s="235" t="str">
        <f t="shared" si="65"/>
        <v>aws s3 cp s3://rtdc.mdm.uploadarchive.raw/RTDC4024/ "%USERPROFILE%\AppData\Local\Temp\OnboardLogs"\RTDC4024\2017-12-07 --exclude "*" --recursive --include "*20171207*" &amp; "%USERPROFILE%\Documents\GitHub\mrs-test-scripts\Headless Mode &amp; Sideloading\WalkAndUnGZ.bat" "%USERPROFILE%\AppData\Local\Temp\OnboardLogs"\RTDC4024\2017-12-07 &amp; 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</v>
      </c>
      <c r="AF195" s="234" t="str">
        <f t="shared" si="66"/>
        <v>"C:\Program Files (x86)\AstroGrep\AstroGrep.exe" /e /r /s /spath="%USERPROFILE%\AppData\Local\Temp\OnboardLogs" /stypes="app*4024*20171208*" /stext=" 01:.+((SYSTEM_STATE.+slice.+state.+changed )|(ment ac)|(multiple cpu faults)|(system.+state.+changed )|(\[timeout)|(PRM\|1\|D)|(kpr)|(kdp)|(train st.+moving)|(\|lc)|(penalty))"</v>
      </c>
      <c r="AG195" s="244" t="str">
        <f t="shared" si="67"/>
        <v>NW</v>
      </c>
      <c r="AH195" s="236" t="str">
        <f t="shared" si="68"/>
        <v>"%USERPROFILE%\Documents\GitHub\eaglep3\Utilities\RefineRTDCRunTimes.py" --tripid 837-07 --locoid 4024 --swversion DE.1.0.9.0 --startMP 204:459 --initTime 2017-12-07T18:04:20 --startdatetime 2017-12-07T18:09:37 --delay 51 --endMP 300:58941 --enddatetime 2017-12-07T18:24:00 --enforcementcount 1 &gt;&gt;%USERPROFILE%\Documents\GitHub\eaglep3-reporting\EC\2017-12-07-refined-times.txt</v>
      </c>
      <c r="AI195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{"issue":{"subject":"","project_id":79,"tracker_id":40,"status_id":1,"priority_id":2,"assigned_to_id":338,"start_date":"2017-12-07","description":"","custom_fields":[{"id":1,"name":"Subdivision","value":"NW"},{"id":4,"name":"Milepost","value":"5.8941"},{"id":17,"name":"Train ID","value":"837-07"},{"id":16,"name":"Locomotive ID","value":"4024"},{"id":130,"name":"Impact","value":""},{"id":150,"name":"Time of Event (Mountain Time)","value":"18:24:00"},{"id":151,"name":"Denver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70"/>
        <v>start /low /b %USERPROFILE%\Documents\GitHub\eaglep3\Utilities\DownloadLogsFromS3.py --loco 4024 --day 2017-12-07</v>
      </c>
      <c r="AN195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01:24:00"},{"id":29,"name":"Sharepoint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72"/>
        <v>https://d0f6bd738d7f1b3e5a7ca70fe4ff75f0.us-east-1.aws.found.io/app/kibana#/discover/Steve-Slow-Train-Analysis-(2080s-and-2083s)?_g=(refreshInterval:(display:Off,pause:!f,section:0,value:0),time:(from:'2017-12-07T17:04:20-0700',mode:absolute,to:'2017-12-07T19:24:00-0700'))&amp;_a=(columns:!('Message%20ID',Summary),filters:!(),index:'emp_*',interval:auto,query:(query_string:(analyze_wildcard:!t,query:'%22rtdc.l.rtdc.4024%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3" customFormat="1" x14ac:dyDescent="0.25">
      <c r="A196" s="229" t="s">
        <v>874</v>
      </c>
      <c r="B196" s="225">
        <v>4023</v>
      </c>
      <c r="C196" s="227" t="s">
        <v>192</v>
      </c>
      <c r="D196" s="227" t="s">
        <v>555</v>
      </c>
      <c r="E196" s="226">
        <v>43076.753009259257</v>
      </c>
      <c r="F196" s="226">
        <v>43076.780150462961</v>
      </c>
      <c r="G196" s="225">
        <v>51</v>
      </c>
      <c r="H196" s="227" t="s">
        <v>519</v>
      </c>
      <c r="I196" s="226">
        <v>43076.789074074077</v>
      </c>
      <c r="J196" s="225">
        <v>1</v>
      </c>
      <c r="K196" s="237" t="str">
        <f t="shared" si="56"/>
        <v>4023/4024</v>
      </c>
      <c r="L196" s="245" t="str">
        <f>VLOOKUP(A196,'Trips&amp;Operators'!$C$1:$G$99911,5,FALSE)</f>
        <v>STAMBAUGH JAMES</v>
      </c>
      <c r="M196" s="224">
        <f t="shared" si="57"/>
        <v>8.9236111161881126E-3</v>
      </c>
      <c r="N196" s="225">
        <f t="shared" si="86"/>
        <v>12.850000007310882</v>
      </c>
      <c r="O196" s="225"/>
      <c r="P196" s="225"/>
      <c r="Q196" s="228"/>
      <c r="R196" s="242"/>
      <c r="S196" s="249">
        <f t="shared" si="87"/>
        <v>1</v>
      </c>
      <c r="T196" s="242" t="str">
        <f t="shared" si="59"/>
        <v>Southbound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 t="shared" si="60"/>
        <v>https://d0f6bd738d7f1b3e5a7ca70fe4ff75f0.us-east-1.aws.found.io/app/kibana#/discover/Steve-Slow-Train-Analysis-(2080s-and-2083s)?_g=(refreshInterval:(display:Off,pause:!f,section:0,value:0),time:(from:'2017-12-07T17:04:20-0700',mode:absolute,to:'2017-12-07T19:56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6" s="247" t="str">
        <f>IF(AA196&lt;VLOOKUP(AG196,Variables!$AC$3:$AD$8,2,FALSE),"Y","N")</f>
        <v>N</v>
      </c>
      <c r="X196" s="247">
        <f t="shared" ref="X196:X197" si="89">VALUE(LEFT(AD196,4))-VALUE(LEFT(AD195,4))</f>
        <v>1</v>
      </c>
      <c r="Y196" s="247">
        <v>5.8611000000000004</v>
      </c>
      <c r="Z196" s="247">
        <v>1.5299999999999999E-2</v>
      </c>
      <c r="AA196" s="247">
        <f t="shared" si="63"/>
        <v>5.8458000000000006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64"/>
        <v>838</v>
      </c>
      <c r="AE196" s="235" t="str">
        <f t="shared" si="65"/>
        <v>aws s3 cp s3://rtdc.mdm.uploadarchive.raw/RTDC4023/ "%USERPROFILE%\AppData\Local\Temp\OnboardLogs"\RTDC4023\2017-12-07 --exclude "*" --recursive --include "*20171207*" &amp; "%USERPROFILE%\Documents\GitHub\mrs-test-scripts\Headless Mode &amp; Sideloading\WalkAndUnGZ.bat" "%USERPROFILE%\AppData\Local\Temp\OnboardLogs"\RTDC4023\2017-12-07 &amp; 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</v>
      </c>
      <c r="AF196" s="234" t="str">
        <f t="shared" si="66"/>
        <v>"C:\Program Files (x86)\AstroGrep\AstroGrep.exe" /e /r /s /spath="%USERPROFILE%\AppData\Local\Temp\OnboardLogs" /stypes="app*4023*20171208*" /stext=" 01:.+((SYSTEM_STATE.+slice.+state.+changed )|(ment ac)|(multiple cpu faults)|(system.+state.+changed )|(\[timeout)|(PRM\|1\|D)|(kpr)|(kdp)|(train st.+moving)|(\|lc)|(penalty))"</v>
      </c>
      <c r="AG196" s="244" t="str">
        <f t="shared" si="67"/>
        <v>NW</v>
      </c>
      <c r="AH196" s="236" t="str">
        <f t="shared" ref="AH196" si="90">refinertdcruntimes&amp;" --tripid "&amp;A196&amp;" --locoid "&amp;B196&amp;" --swversion "&amp;C196&amp;" --startMP "&amp;D196&amp;" --initTime "&amp;TEXT(E196,"yyyy-mm-ddTHH:MM:SS")&amp;" --startdatetime "&amp;TEXT(F196,"yyyy-mm-ddTHH:MM:SS")&amp;" --delay "&amp;G196&amp;" --endMP "&amp;H196&amp;" --enddatetime "&amp;TEXT(I196,"yyyy-mm-ddTHH:MM:SS")&amp;" --enforcementcount "&amp;J196&amp;IF(outputrefinedruntimes," &gt;&gt;"&amp;RefinedRTDCRunTimesOutputFile,"")</f>
        <v>"%USERPROFILE%\Documents\GitHub\eaglep3\Utilities\RefineRTDCRunTimes.py" --tripid 838-07 --locoid 4023 --swversion DE.1.0.9.0 --startMP 204:459 --initTime 2017-12-07T18:04:20 --startdatetime 2017-12-07T18:43:25 --delay 51 --endMP 300:58941 --enddatetime 2017-12-07T18:56:16 --enforcementcount 1 &gt;&gt;%USERPROFILE%\Documents\GitHub\eaglep3-reporting\EC\2017-12-07-refined-times.txt</v>
      </c>
      <c r="AI196" s="238" t="str">
        <f t="shared" ref="AI196" si="91">"echo {""issue"":{""subject"":"""&amp;R196&amp;""",""project_id"":79,""tracker_id"":40,""status_id"":"&amp;redmine_status&amp;",""priority_id"":"&amp;redmine_priority&amp;",""assigned_to_id"":"&amp;redmine_assignee&amp;",""start_date"":"""&amp;TEXT(I196,"YYYY-mm-dd")&amp;""",""description"":"""&amp;AJ196&amp;""",""custom_fields"":[{""id"":1,""name"":""Subdivision"",""value"":"""&amp;AG196&amp;"""},{""id"":4,""name"":""Milepost"",""value"":"""&amp;Z196&amp;"""},{""id"":17,""name"":""Train ID"",""value"":"""&amp;A196&amp;"""},{""id"":16,""name"":""Locomotive ID"",""value"":"""&amp;B196&amp;"""},{""id"":130,""name"":""Impact"",""value"":"""&amp;AK196&amp;"""},{""id"":150,""name"":""Time of Event (Mountain Time)"",""value"":"""&amp;TEXT(I196,"hh:mm:ss")&amp;"""},{""id"":151,""name"":""Denver Issue ID"",""value"":"""&amp;"""},{""id"":178,""name"":""Operational Impact"",""value"":"""&amp;redmine_op_impact&amp;"""},{""id"":179,""name"":""Denver Segment Assigned"",""value"":"""&amp;AL196&amp;"""}]}}"&amp;"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{"issue":{"subject":"","project_id":79,"tracker_id":40,"status_id":1,"priority_id":2,"assigned_to_id":338,"start_date":"2017-12-07","description":"","custom_fields":[{"id":1,"name":"Subdivision","value":"NW"},{"id":4,"name":"Milepost","value":"0.0153"},{"id":17,"name":"Train ID","value":"838-07"},{"id":16,"name":"Locomotive ID","value":"4023"},{"id":130,"name":"Impact","value":""},{"id":150,"name":"Time of Event (Mountain Time)","value":"18:56:16"},{"id":151,"name":"Denver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1"/>
      <c r="AL196" s="231"/>
      <c r="AM196" s="240" t="str">
        <f t="shared" ref="AM196" si="92">"start /low /b "&amp;dls3logs&amp;" --loco "&amp;B196&amp;" --day "&amp;TEXT(F196,"YYYY-MM-DD")</f>
        <v>start /low /b %USERPROFILE%\Documents\GitHub\eaglep3\Utilities\DownloadLogsFromS3.py --loco 4023 --day 2017-12-07</v>
      </c>
      <c r="AN196" s="241" t="str">
        <f t="shared" ref="AN196" si="93">"echo {""issue"":{""subject"":"""&amp;R196&amp;""",""project_id"":30,""tracker_id"":4,""status_id"":"&amp;redmine_status_wcr&amp;",""priority_id"":"&amp;redmine_priority_wcr&amp;",""assigned_to_id"":"&amp;redmine_assignee_wcr&amp;",""start_date"":"""&amp;TEXT(I196-utc_offset/24,"YYYY-mm-dd")&amp;""",""description"":"""&amp;AJ196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01:56:16"},{"id":29,"name":"Sharepoint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ref="AO196" si="94"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Message%20ID',Summary),filters:!(),index:'emp_*',interval:auto,query:"&amp;"(query_string:(analyze_wildcard:!t,query:'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-12-07T17:04:20-0700',mode:absolute,to:'2017-12-07T19:56:16-0700'))&amp;_a=(columns:!('Message%20ID',Summary),filters:!(),index:'emp_*',interval:auto,query:(query_string:(analyze_wildcard:!t,query:'%22rtdc.l.rtdc.4023%22')),sort:!(Time.ISO8601,asc))</v>
      </c>
    </row>
    <row r="197" spans="1:91" s="223" customFormat="1" x14ac:dyDescent="0.25">
      <c r="A197" s="229" t="s">
        <v>701</v>
      </c>
      <c r="B197" s="225">
        <v>4044</v>
      </c>
      <c r="C197" s="227" t="s">
        <v>192</v>
      </c>
      <c r="D197" s="227" t="s">
        <v>515</v>
      </c>
      <c r="E197" s="226">
        <v>43076.770613425928</v>
      </c>
      <c r="F197" s="226">
        <v>43076.777650462966</v>
      </c>
      <c r="G197" s="225">
        <v>84</v>
      </c>
      <c r="H197" s="227" t="s">
        <v>1079</v>
      </c>
      <c r="I197" s="226">
        <v>43076.789259259262</v>
      </c>
      <c r="J197" s="225">
        <v>1</v>
      </c>
      <c r="K197" s="237" t="str">
        <f t="shared" si="56"/>
        <v>4043/4044</v>
      </c>
      <c r="L197" s="245" t="str">
        <f>VLOOKUP(A197,'Trips&amp;Operators'!$C$1:$G$99911,5,FALSE)</f>
        <v>ANDREA WILLIAMS</v>
      </c>
      <c r="M197" s="224">
        <f t="shared" si="57"/>
        <v>1.1608796296059154E-2</v>
      </c>
      <c r="N197" s="225">
        <f t="shared" si="86"/>
        <v>16.716666666325182</v>
      </c>
      <c r="O197" s="225"/>
      <c r="P197" s="225"/>
      <c r="Q197" s="228"/>
      <c r="R197" s="242"/>
      <c r="S197" s="249">
        <f t="shared" si="87"/>
        <v>1</v>
      </c>
      <c r="T197" s="242" t="str">
        <f t="shared" si="59"/>
        <v>NorthBound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60"/>
        <v>https://d0f6bd738d7f1b3e5a7ca70fe4ff75f0.us-east-1.aws.found.io/app/kibana#/discover/Steve-Slow-Train-Analysis-(2080s-and-2083s)?_g=(refreshInterval:(display:Off,pause:!f,section:0,value:0),time:(from:'2017-12-07T17:29:41-0700',mode:absolute,to:'2017-12-07T19:56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7" s="247" t="str">
        <f>IF(AA197&lt;VLOOKUP(AG197,Variables!$AC$3:$AD$8,2,FALSE),"Y","N")</f>
        <v>N</v>
      </c>
      <c r="X197" s="247">
        <f t="shared" si="89"/>
        <v>1</v>
      </c>
      <c r="Y197" s="247">
        <f>RIGHT(D197,LEN(D197)-4)/10000</f>
        <v>4.4999999999999998E-2</v>
      </c>
      <c r="Z197" s="247">
        <f>RIGHT(H197,LEN(H197)-4)/10000</f>
        <v>5.8906999999999998</v>
      </c>
      <c r="AA197" s="247">
        <f t="shared" si="63"/>
        <v>5.8456999999999999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64"/>
        <v>839</v>
      </c>
      <c r="AE197" s="235" t="str">
        <f t="shared" si="65"/>
        <v>aws s3 cp s3://rtdc.mdm.uploadarchive.raw/RTDC4044/ "%USERPROFILE%\AppData\Local\Temp\OnboardLogs"\RTDC4044\2017-12-07 --exclude "*" --recursive --include "*20171207*" &amp; "%USERPROFILE%\Documents\GitHub\mrs-test-scripts\Headless Mode &amp; Sideloading\WalkAndUnGZ.bat" "%USERPROFILE%\AppData\Local\Temp\OnboardLogs"\RTDC4044\2017-12-07 &amp; aws s3 cp s3://rtdc.mdm.uploadarchive.raw/RTDC4044/ "%USERPROFILE%\AppData\Local\Temp\OnboardLogs"\RTDC4044\2017-12-08 --exclude "*" --recursive --include "*20171208*" &amp; "%USERPROFILE%\Documents\GitHub\mrs-test-scripts\Headless Mode &amp; Sideloading\WalkAndUnGZ.bat" "%USERPROFILE%\AppData\Local\Temp\OnboardLogs"\RTDC4044\2017-12-08</v>
      </c>
      <c r="AF197" s="234" t="str">
        <f t="shared" si="66"/>
        <v>"C:\Program Files (x86)\AstroGrep\AstroGrep.exe" /e /r /s /spath="%USERPROFILE%\AppData\Local\Temp\OnboardLogs" /stypes="app*4044*20171208*" /stext=" 01:.+((SYSTEM_STATE.+slice.+state.+changed )|(ment ac)|(multiple cpu faults)|(system.+state.+changed )|(\[timeout)|(PRM\|1\|D)|(kpr)|(kdp)|(train st.+moving)|(\|lc)|(penalty))"</v>
      </c>
      <c r="AG197" s="244" t="str">
        <f t="shared" si="67"/>
        <v>NW</v>
      </c>
      <c r="AH197" s="236" t="str">
        <f t="shared" si="68"/>
        <v>"%USERPROFILE%\Documents\GitHub\eaglep3\Utilities\RefineRTDCRunTimes.py" --tripid 839-07 --locoid 4044 --swversion DE.1.0.9.0 --startMP 204:450 --initTime 2017-12-07T18:29:41 --startdatetime 2017-12-07T18:39:49 --delay 84 --endMP 300:58907 --enddatetime 2017-12-07T18:56:32 --enforcementcount 1 &gt;&gt;%USERPROFILE%\Documents\GitHub\eaglep3-reporting\EC\2017-12-07-refined-times.txt</v>
      </c>
      <c r="AI197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{"issue":{"subject":"","project_id":79,"tracker_id":40,"status_id":1,"priority_id":2,"assigned_to_id":338,"start_date":"2017-12-07","description":"","custom_fields":[{"id":1,"name":"Subdivision","value":"NW"},{"id":4,"name":"Milepost","value":"5.8907"},{"id":17,"name":"Train ID","value":"839-07"},{"id":16,"name":"Locomotive ID","value":"4044"},{"id":130,"name":"Impact","value":""},{"id":150,"name":"Time of Event (Mountain Time)","value":"18:56:32"},{"id":151,"name":"Denver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si="70"/>
        <v>start /low /b %USERPROFILE%\Documents\GitHub\eaglep3\Utilities\DownloadLogsFromS3.py --loco 4044 --day 2017-12-07</v>
      </c>
      <c r="AN197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01:56:32"},{"id":29,"name":"Sharepoint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72"/>
        <v>https://d0f6bd738d7f1b3e5a7ca70fe4ff75f0.us-east-1.aws.found.io/app/kibana#/discover/Steve-Slow-Train-Analysis-(2080s-and-2083s)?_g=(refreshInterval:(display:Off,pause:!f,section:0,value:0),time:(from:'2017-12-07T17:29:41-0700',mode:absolute,to:'2017-12-07T19:56:32-0700'))&amp;_a=(columns:!('Message%20ID',Summary),filters:!(),index:'emp_*',interval:auto,query:(query_string:(analyze_wildcard:!t,query:'%22rtdc.l.rtdc.4044%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229" t="s">
        <v>882</v>
      </c>
      <c r="B198" s="225">
        <v>4023</v>
      </c>
      <c r="C198" s="227" t="s">
        <v>192</v>
      </c>
      <c r="D198" s="227" t="s">
        <v>516</v>
      </c>
      <c r="E198" s="226">
        <v>43076.808553240742</v>
      </c>
      <c r="F198" s="226">
        <v>43076.820833333331</v>
      </c>
      <c r="G198" s="225">
        <v>52</v>
      </c>
      <c r="H198" s="227" t="s">
        <v>1076</v>
      </c>
      <c r="I198" s="226">
        <v>43076.83</v>
      </c>
      <c r="J198" s="225">
        <v>1</v>
      </c>
      <c r="K198" s="237" t="str">
        <f t="shared" si="56"/>
        <v>4023/4024</v>
      </c>
      <c r="L198" s="245" t="str">
        <f>VLOOKUP(A198,'Trips&amp;Operators'!$C$1:$G$99911,5,FALSE)</f>
        <v>STAMBAUGH JAMES</v>
      </c>
      <c r="M198" s="224">
        <f t="shared" si="57"/>
        <v>9.1666666703531519E-3</v>
      </c>
      <c r="N198" s="225">
        <f t="shared" si="86"/>
        <v>13.200000005308539</v>
      </c>
      <c r="O198" s="225"/>
      <c r="P198" s="225"/>
      <c r="Q198" s="228"/>
      <c r="R198" s="242"/>
      <c r="S198" s="249">
        <f t="shared" si="87"/>
        <v>1</v>
      </c>
      <c r="T198" s="242" t="str">
        <f t="shared" si="59"/>
        <v>Southbound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 t="shared" si="60"/>
        <v>https://d0f6bd738d7f1b3e5a7ca70fe4ff75f0.us-east-1.aws.found.io/app/kibana#/discover/Steve-Slow-Train-Analysis-(2080s-and-2083s)?_g=(refreshInterval:(display:Off,pause:!f,section:0,value:0),time:(from:'2017-12-07T18:24:19-0700',mode:absolute,to:'2017-12-07T20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8" s="247" t="str">
        <f>IF(AA198&lt;VLOOKUP(AG198,Variables!$AC$3:$AD$8,2,FALSE),"Y","N")</f>
        <v>N</v>
      </c>
      <c r="X198" s="247">
        <f t="shared" ref="X198:X230" si="95">VALUE(LEFT(AD198,4))-VALUE(LEFT(AD197,4))</f>
        <v>1</v>
      </c>
      <c r="Y198" s="247">
        <f>RIGHT(D198,LEN(D198)-4)/10000</f>
        <v>5.8609</v>
      </c>
      <c r="Z198" s="247">
        <f>RIGHT(H198,LEN(H198)-4)/10000</f>
        <v>1.4E-2</v>
      </c>
      <c r="AA198" s="247">
        <f t="shared" si="63"/>
        <v>5.8468999999999998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64"/>
        <v>840</v>
      </c>
      <c r="AE198" s="235" t="str">
        <f t="shared" si="65"/>
        <v>aws s3 cp s3://rtdc.mdm.uploadarchive.raw/RTDC4023/ "%USERPROFILE%\AppData\Local\Temp\OnboardLogs"\RTDC4023\2017-12-07 --exclude "*" --recursive --include "*20171207*" &amp; "%USERPROFILE%\Documents\GitHub\mrs-test-scripts\Headless Mode &amp; Sideloading\WalkAndUnGZ.bat" "%USERPROFILE%\AppData\Local\Temp\OnboardLogs"\RTDC4023\2017-12-07 &amp; 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</v>
      </c>
      <c r="AF198" s="234" t="str">
        <f t="shared" si="66"/>
        <v>"C:\Program Files (x86)\AstroGrep\AstroGrep.exe" /e /r /s /spath="%USERPROFILE%\AppData\Local\Temp\OnboardLogs" /stypes="app*4023*20171208*" /stext=" 02:.+((SYSTEM_STATE.+slice.+state.+changed )|(ment ac)|(multiple cpu faults)|(system.+state.+changed )|(\[timeout)|(PRM\|1\|D)|(kpr)|(kdp)|(train st.+moving)|(\|lc)|(penalty))"</v>
      </c>
      <c r="AG198" s="244" t="str">
        <f t="shared" si="67"/>
        <v>NW</v>
      </c>
      <c r="AH198" s="236" t="str">
        <f t="shared" si="68"/>
        <v>"%USERPROFILE%\Documents\GitHub\eaglep3\Utilities\RefineRTDCRunTimes.py" --tripid 840-07 --locoid 4023 --swversion DE.1.0.9.0 --startMP 300:58609 --initTime 2017-12-07T19:24:19 --startdatetime 2017-12-07T19:42:00 --delay 52 --endMP 204:140 --enddatetime 2017-12-07T19:55:12 --enforcementcount 1 &gt;&gt;%USERPROFILE%\Documents\GitHub\eaglep3-reporting\EC\2017-12-07-refined-times.txt</v>
      </c>
      <c r="AI198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{"issue":{"subject":"","project_id":79,"tracker_id":40,"status_id":1,"priority_id":2,"assigned_to_id":338,"start_date":"2017-12-07","description":"","custom_fields":[{"id":1,"name":"Subdivision","value":"NW"},{"id":4,"name":"Milepost","value":"0.014"},{"id":17,"name":"Train ID","value":"840-07"},{"id":16,"name":"Locomotive ID","value":"4023"},{"id":130,"name":"Impact","value":""},{"id":150,"name":"Time of Event (Mountain Time)","value":"19:55:12"},{"id":151,"name":"Denver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70"/>
        <v>start /low /b %USERPROFILE%\Documents\GitHub\eaglep3\Utilities\DownloadLogsFromS3.py --loco 4023 --day 2017-12-07</v>
      </c>
      <c r="AN198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02:55:12"},{"id":29,"name":"Sharepoint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72"/>
        <v>https://d0f6bd738d7f1b3e5a7ca70fe4ff75f0.us-east-1.aws.found.io/app/kibana#/discover/Steve-Slow-Train-Analysis-(2080s-and-2083s)?_g=(refreshInterval:(display:Off,pause:!f,section:0,value:0),time:(from:'2017-12-07T18:24:19-0700',mode:absolute,to:'2017-12-07T20:55:12-0700'))&amp;_a=(columns:!('Message%20ID',Summary),filters:!(),index:'emp_*',interval:auto,query:(query_string:(analyze_wildcard:!t,query:'%22rtdc.l.rtdc.4023%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29" t="s">
        <v>879</v>
      </c>
      <c r="B199" s="225">
        <v>4024</v>
      </c>
      <c r="C199" s="227" t="s">
        <v>192</v>
      </c>
      <c r="D199" s="227" t="s">
        <v>672</v>
      </c>
      <c r="E199" s="226">
        <v>43076.794363425928</v>
      </c>
      <c r="F199" s="226">
        <v>43076.798182870371</v>
      </c>
      <c r="G199" s="225">
        <v>79</v>
      </c>
      <c r="H199" s="227" t="s">
        <v>1074</v>
      </c>
      <c r="I199" s="226">
        <v>43076.807511574072</v>
      </c>
      <c r="J199" s="225">
        <v>1</v>
      </c>
      <c r="K199" s="237" t="str">
        <f t="shared" si="56"/>
        <v>4023/4024</v>
      </c>
      <c r="L199" s="245" t="str">
        <f>VLOOKUP(A199,'Trips&amp;Operators'!$C$1:$G$99911,5,FALSE)</f>
        <v>STAMBAUGH JAMES</v>
      </c>
      <c r="M199" s="224">
        <f t="shared" si="57"/>
        <v>9.3287037016125396E-3</v>
      </c>
      <c r="N199" s="225">
        <f t="shared" si="86"/>
        <v>13.433333330322057</v>
      </c>
      <c r="O199" s="225"/>
      <c r="P199" s="225"/>
      <c r="Q199" s="228"/>
      <c r="R199" s="242"/>
      <c r="S199" s="249">
        <f t="shared" si="87"/>
        <v>1</v>
      </c>
      <c r="T199" s="242" t="str">
        <f t="shared" si="59"/>
        <v>NorthBound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60"/>
        <v>https://d0f6bd738d7f1b3e5a7ca70fe4ff75f0.us-east-1.aws.found.io/app/kibana#/discover/Steve-Slow-Train-Analysis-(2080s-and-2083s)?_g=(refreshInterval:(display:Off,pause:!f,section:0,value:0),time:(from:'2017-12-07T18:03:53-0700',mode:absolute,to:'2017-12-07T20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9" s="247" t="str">
        <f>IF(AA199&lt;VLOOKUP(AG199,Variables!$AC$3:$AD$8,2,FALSE),"Y","N")</f>
        <v>N</v>
      </c>
      <c r="X199" s="247">
        <f t="shared" si="95"/>
        <v>1</v>
      </c>
      <c r="Y199" s="247">
        <f>RIGHT(D199,LEN(D199)-4)/10000</f>
        <v>4.5499999999999999E-2</v>
      </c>
      <c r="Z199" s="247">
        <f>RIGHT(H199,LEN(H199)-4)/10000</f>
        <v>5.8928000000000003</v>
      </c>
      <c r="AA199" s="247">
        <f t="shared" si="63"/>
        <v>5.8473000000000006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64"/>
        <v>841</v>
      </c>
      <c r="AE199" s="235" t="str">
        <f t="shared" si="65"/>
        <v>aws s3 cp s3://rtdc.mdm.uploadarchive.raw/RTDC4024/ "%USERPROFILE%\AppData\Local\Temp\OnboardLogs"\RTDC4024\2017-12-07 --exclude "*" --recursive --include "*20171207*" &amp; "%USERPROFILE%\Documents\GitHub\mrs-test-scripts\Headless Mode &amp; Sideloading\WalkAndUnGZ.bat" "%USERPROFILE%\AppData\Local\Temp\OnboardLogs"\RTDC4024\2017-12-07 &amp; 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</v>
      </c>
      <c r="AF199" s="234" t="str">
        <f t="shared" si="66"/>
        <v>"C:\Program Files (x86)\AstroGrep\AstroGrep.exe" /e /r /s /spath="%USERPROFILE%\AppData\Local\Temp\OnboardLogs" /stypes="app*4024*20171208*" /stext=" 02:.+((SYSTEM_STATE.+slice.+state.+changed )|(ment ac)|(multiple cpu faults)|(system.+state.+changed )|(\[timeout)|(PRM\|1\|D)|(kpr)|(kdp)|(train st.+moving)|(\|lc)|(penalty))"</v>
      </c>
      <c r="AG199" s="244" t="str">
        <f t="shared" si="67"/>
        <v>NW</v>
      </c>
      <c r="AH199" s="236" t="str">
        <f t="shared" si="68"/>
        <v>"%USERPROFILE%\Documents\GitHub\eaglep3\Utilities\RefineRTDCRunTimes.py" --tripid 841-07 --locoid 4024 --swversion DE.1.0.9.0 --startMP 204:455 --initTime 2017-12-07T19:03:53 --startdatetime 2017-12-07T19:09:23 --delay 79 --endMP 300:58928 --enddatetime 2017-12-07T19:22:49 --enforcementcount 1 &gt;&gt;%USERPROFILE%\Documents\GitHub\eaglep3-reporting\EC\2017-12-07-refined-times.txt</v>
      </c>
      <c r="AI199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{"issue":{"subject":"","project_id":79,"tracker_id":40,"status_id":1,"priority_id":2,"assigned_to_id":338,"start_date":"2017-12-07","description":"","custom_fields":[{"id":1,"name":"Subdivision","value":"NW"},{"id":4,"name":"Milepost","value":"5.8928"},{"id":17,"name":"Train ID","value":"841-07"},{"id":16,"name":"Locomotive ID","value":"4024"},{"id":130,"name":"Impact","value":""},{"id":150,"name":"Time of Event (Mountain Time)","value":"19:22:49"},{"id":151,"name":"Denver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70"/>
        <v>start /low /b %USERPROFILE%\Documents\GitHub\eaglep3\Utilities\DownloadLogsFromS3.py --loco 4024 --day 2017-12-07</v>
      </c>
      <c r="AN199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02:22:49"},{"id":29,"name":"Sharepoint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72"/>
        <v>https://d0f6bd738d7f1b3e5a7ca70fe4ff75f0.us-east-1.aws.found.io/app/kibana#/discover/Steve-Slow-Train-Analysis-(2080s-and-2083s)?_g=(refreshInterval:(display:Off,pause:!f,section:0,value:0),time:(from:'2017-12-07T18:03:53-0700',mode:absolute,to:'2017-12-07T20:22:49-0700'))&amp;_a=(columns:!('Message%20ID',Summary),filters:!(),index:'emp_*',interval:auto,query:(query_string:(analyze_wildcard:!t,query:'%22rtdc.l.rtdc.4024%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3" customFormat="1" x14ac:dyDescent="0.25">
      <c r="A200" s="229" t="s">
        <v>888</v>
      </c>
      <c r="B200" s="225">
        <v>4023</v>
      </c>
      <c r="C200" s="227" t="s">
        <v>192</v>
      </c>
      <c r="D200" s="227" t="s">
        <v>672</v>
      </c>
      <c r="E200" s="226">
        <v>43076.794363425928</v>
      </c>
      <c r="F200" s="226">
        <v>43076.863263888888</v>
      </c>
      <c r="G200" s="225">
        <v>79</v>
      </c>
      <c r="H200" s="227" t="s">
        <v>1074</v>
      </c>
      <c r="I200" s="226">
        <v>43076.870868055557</v>
      </c>
      <c r="J200" s="225">
        <v>1</v>
      </c>
      <c r="K200" s="237" t="str">
        <f t="shared" si="56"/>
        <v>4023/4024</v>
      </c>
      <c r="L200" s="245" t="str">
        <f>VLOOKUP(A200,'Trips&amp;Operators'!$C$1:$G$99911,5,FALSE)</f>
        <v>STAMBAUGH JAMES</v>
      </c>
      <c r="M200" s="224">
        <f t="shared" si="57"/>
        <v>7.6041666688979603E-3</v>
      </c>
      <c r="N200" s="225">
        <f t="shared" si="86"/>
        <v>10.950000003213063</v>
      </c>
      <c r="O200" s="225"/>
      <c r="P200" s="225"/>
      <c r="Q200" s="228"/>
      <c r="R200" s="242"/>
      <c r="S200" s="249">
        <f t="shared" si="87"/>
        <v>1</v>
      </c>
      <c r="T200" s="242" t="str">
        <f t="shared" si="59"/>
        <v>Southbound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 t="shared" si="60"/>
        <v>https://d0f6bd738d7f1b3e5a7ca70fe4ff75f0.us-east-1.aws.found.io/app/kibana#/discover/Steve-Slow-Train-Analysis-(2080s-and-2083s)?_g=(refreshInterval:(display:Off,pause:!f,section:0,value:0),time:(from:'2017-12-07T18:03:53-0700',mode:absolute,to:'2017-12-07T21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0" s="247" t="str">
        <f>IF(AA200&lt;VLOOKUP(AG200,Variables!$AC$3:$AD$8,2,FALSE),"Y","N")</f>
        <v>N</v>
      </c>
      <c r="X200" s="247">
        <f t="shared" si="95"/>
        <v>1</v>
      </c>
      <c r="Y200" s="247">
        <v>5.8609</v>
      </c>
      <c r="Z200" s="247">
        <v>1.4E-2</v>
      </c>
      <c r="AA200" s="247">
        <f t="shared" si="63"/>
        <v>5.8468999999999998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64"/>
        <v>842</v>
      </c>
      <c r="AE200" s="235" t="str">
        <f t="shared" si="65"/>
        <v>aws s3 cp s3://rtdc.mdm.uploadarchive.raw/RTDC4023/ "%USERPROFILE%\AppData\Local\Temp\OnboardLogs"\RTDC4023\2017-12-07 --exclude "*" --recursive --include "*20171207*" &amp; "%USERPROFILE%\Documents\GitHub\mrs-test-scripts\Headless Mode &amp; Sideloading\WalkAndUnGZ.bat" "%USERPROFILE%\AppData\Local\Temp\OnboardLogs"\RTDC4023\2017-12-07 &amp; 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</v>
      </c>
      <c r="AF200" s="234" t="str">
        <f t="shared" si="66"/>
        <v>"C:\Program Files (x86)\AstroGrep\AstroGrep.exe" /e /r /s /spath="%USERPROFILE%\AppData\Local\Temp\OnboardLogs" /stypes="app*4023*20171208*" /stext=" 03:.+((SYSTEM_STATE.+slice.+state.+changed )|(ment ac)|(multiple cpu faults)|(system.+state.+changed )|(\[timeout)|(PRM\|1\|D)|(kpr)|(kdp)|(train st.+moving)|(\|lc)|(penalty))"</v>
      </c>
      <c r="AG200" s="244" t="str">
        <f t="shared" si="67"/>
        <v>NW</v>
      </c>
      <c r="AH200" s="236" t="str">
        <f t="shared" ref="AH200" si="96"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842-07 --locoid 4023 --swversion DE.1.0.9.0 --startMP 204:455 --initTime 2017-12-07T19:03:53 --startdatetime 2017-12-07T20:43:06 --delay 79 --endMP 300:58928 --enddatetime 2017-12-07T20:54:03 --enforcementcount 1 &gt;&gt;%USERPROFILE%\Documents\GitHub\eaglep3-reporting\EC\2017-12-07-refined-times.txt</v>
      </c>
      <c r="AI200" s="238" t="str">
        <f t="shared" ref="AI200" si="97"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{"issue":{"subject":"","project_id":79,"tracker_id":40,"status_id":1,"priority_id":2,"assigned_to_id":338,"start_date":"2017-12-07","description":"","custom_fields":[{"id":1,"name":"Subdivision","value":"NW"},{"id":4,"name":"Milepost","value":"0.014"},{"id":17,"name":"Train ID","value":"842-07"},{"id":16,"name":"Locomotive ID","value":"4023"},{"id":130,"name":"Impact","value":""},{"id":150,"name":"Time of Event (Mountain Time)","value":"20:54:03"},{"id":151,"name":"Denver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1"/>
      <c r="AL200" s="231"/>
      <c r="AM200" s="240" t="str">
        <f t="shared" ref="AM200" si="98">"start /low /b "&amp;dls3logs&amp;" --loco "&amp;B200&amp;" --day "&amp;TEXT(F200,"YYYY-MM-DD")</f>
        <v>start /low /b %USERPROFILE%\Documents\GitHub\eaglep3\Utilities\DownloadLogsFromS3.py --loco 4023 --day 2017-12-07</v>
      </c>
      <c r="AN200" s="241" t="str">
        <f t="shared" ref="AN200" si="99">"echo {""issue"":{""subject"":"""&amp;R200&amp;""",""project_id"":30,""tracker_id"":4,""status_id"":"&amp;redmine_status_wcr&amp;",""priority_id"":"&amp;redmine_priority_wcr&amp;",""assigned_to_id"":"&amp;redmine_assignee_wcr&amp;",""start_date"":"""&amp;TEXT(I200-utc_offset/24,"YYYY-mm-dd")&amp;""",""description"":"""&amp;AJ200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03:54:03"},{"id":29,"name":"Sharepoint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ref="AO200" si="100"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Message%20ID',Summary),filters:!(),index:'emp_*',interval:auto,query:"&amp;"(query_string:(analyze_wildcard:!t,query:'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-12-07T18:03:53-0700',mode:absolute,to:'2017-12-07T21:54:03-0700'))&amp;_a=(columns:!('Message%20ID',Summary),filters:!(),index:'emp_*',interval:auto,query:(query_string:(analyze_wildcard:!t,query:'%22rtdc.l.rtdc.4023%22')),sort:!(Time.ISO8601,asc))</v>
      </c>
    </row>
    <row r="201" spans="1:91" s="20" customFormat="1" x14ac:dyDescent="0.25">
      <c r="A201" s="229" t="s">
        <v>886</v>
      </c>
      <c r="B201" s="225">
        <v>4024</v>
      </c>
      <c r="C201" s="227" t="s">
        <v>192</v>
      </c>
      <c r="D201" s="227" t="s">
        <v>670</v>
      </c>
      <c r="E201" s="226">
        <v>43076.83693287037</v>
      </c>
      <c r="F201" s="226">
        <v>43076.839942129627</v>
      </c>
      <c r="G201" s="225">
        <v>133</v>
      </c>
      <c r="H201" s="227" t="s">
        <v>557</v>
      </c>
      <c r="I201" s="226">
        <v>43076.849386574075</v>
      </c>
      <c r="J201" s="225">
        <v>1</v>
      </c>
      <c r="K201" s="237" t="str">
        <f t="shared" si="56"/>
        <v>4023/4024</v>
      </c>
      <c r="L201" s="245" t="str">
        <f>VLOOKUP(A201,'Trips&amp;Operators'!$C$1:$G$99911,5,FALSE)</f>
        <v>STAMBAUGH JAMES</v>
      </c>
      <c r="M201" s="224">
        <f t="shared" si="57"/>
        <v>9.4444444475811906E-3</v>
      </c>
      <c r="N201" s="225">
        <f t="shared" si="86"/>
        <v>13.600000004516914</v>
      </c>
      <c r="O201" s="225"/>
      <c r="P201" s="225"/>
      <c r="Q201" s="228"/>
      <c r="R201" s="242"/>
      <c r="S201" s="249">
        <f t="shared" si="87"/>
        <v>1</v>
      </c>
      <c r="T201" s="242" t="str">
        <f t="shared" si="59"/>
        <v>NorthBound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60"/>
        <v>https://d0f6bd738d7f1b3e5a7ca70fe4ff75f0.us-east-1.aws.found.io/app/kibana#/discover/Steve-Slow-Train-Analysis-(2080s-and-2083s)?_g=(refreshInterval:(display:Off,pause:!f,section:0,value:0),time:(from:'2017-12-07T19:05:11-0700',mode:absolute,to:'2017-12-07T21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1" s="247" t="str">
        <f>IF(AA201&lt;VLOOKUP(AG201,Variables!$AC$3:$AD$8,2,FALSE),"Y","N")</f>
        <v>N</v>
      </c>
      <c r="X201" s="247">
        <f t="shared" si="95"/>
        <v>1</v>
      </c>
      <c r="Y201" s="247">
        <f>RIGHT(D201,LEN(D201)-4)/10000</f>
        <v>4.3200000000000002E-2</v>
      </c>
      <c r="Z201" s="247">
        <f>RIGHT(H201,LEN(H201)-4)/10000</f>
        <v>5.8933</v>
      </c>
      <c r="AA201" s="247">
        <f t="shared" si="63"/>
        <v>5.8501000000000003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64"/>
        <v>843</v>
      </c>
      <c r="AE201" s="235" t="str">
        <f t="shared" si="65"/>
        <v>aws s3 cp s3://rtdc.mdm.uploadarchive.raw/RTDC4024/ "%USERPROFILE%\AppData\Local\Temp\OnboardLogs"\RTDC4024\2017-12-07 --exclude "*" --recursive --include "*20171207*" &amp; "%USERPROFILE%\Documents\GitHub\mrs-test-scripts\Headless Mode &amp; Sideloading\WalkAndUnGZ.bat" "%USERPROFILE%\AppData\Local\Temp\OnboardLogs"\RTDC4024\2017-12-07 &amp; 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</v>
      </c>
      <c r="AF201" s="234" t="str">
        <f t="shared" si="66"/>
        <v>"C:\Program Files (x86)\AstroGrep\AstroGrep.exe" /e /r /s /spath="%USERPROFILE%\AppData\Local\Temp\OnboardLogs" /stypes="app*4024*20171208*" /stext=" 03:.+((SYSTEM_STATE.+slice.+state.+changed )|(ment ac)|(multiple cpu faults)|(system.+state.+changed )|(\[timeout)|(PRM\|1\|D)|(kpr)|(kdp)|(train st.+moving)|(\|lc)|(penalty))"</v>
      </c>
      <c r="AG201" s="244" t="str">
        <f t="shared" si="67"/>
        <v>NW</v>
      </c>
      <c r="AH201" s="236" t="str">
        <f t="shared" si="68"/>
        <v>"%USERPROFILE%\Documents\GitHub\eaglep3\Utilities\RefineRTDCRunTimes.py" --tripid 843-07 --locoid 4024 --swversion DE.1.0.9.0 --startMP 204:432 --initTime 2017-12-07T20:05:11 --startdatetime 2017-12-07T20:09:31 --delay 133 --endMP 300:58933 --enddatetime 2017-12-07T20:23:07 --enforcementcount 1 &gt;&gt;%USERPROFILE%\Documents\GitHub\eaglep3-reporting\EC\2017-12-07-refined-times.txt</v>
      </c>
      <c r="AI201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{"issue":{"subject":"","project_id":79,"tracker_id":40,"status_id":1,"priority_id":2,"assigned_to_id":338,"start_date":"2017-12-07","description":"","custom_fields":[{"id":1,"name":"Subdivision","value":"NW"},{"id":4,"name":"Milepost","value":"5.8933"},{"id":17,"name":"Train ID","value":"843-07"},{"id":16,"name":"Locomotive ID","value":"4024"},{"id":130,"name":"Impact","value":""},{"id":150,"name":"Time of Event (Mountain Time)","value":"20:23:07"},{"id":151,"name":"Denver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70"/>
        <v>start /low /b %USERPROFILE%\Documents\GitHub\eaglep3\Utilities\DownloadLogsFromS3.py --loco 4024 --day 2017-12-07</v>
      </c>
      <c r="AN201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03:23:07"},{"id":29,"name":"Sharepoint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72"/>
        <v>https://d0f6bd738d7f1b3e5a7ca70fe4ff75f0.us-east-1.aws.found.io/app/kibana#/discover/Steve-Slow-Train-Analysis-(2080s-and-2083s)?_g=(refreshInterval:(display:Off,pause:!f,section:0,value:0),time:(from:'2017-12-07T19:05:11-0700',mode:absolute,to:'2017-12-07T21:23:07-0700'))&amp;_a=(columns:!('Message%20ID',Summary),filters:!(),index:'emp_*',interval:auto,query:(query_string:(analyze_wildcard:!t,query:'%22rtdc.l.rtdc.4024%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29" t="s">
        <v>894</v>
      </c>
      <c r="B202" s="225">
        <v>4023</v>
      </c>
      <c r="C202" s="227" t="s">
        <v>192</v>
      </c>
      <c r="D202" s="227" t="s">
        <v>666</v>
      </c>
      <c r="E202" s="226">
        <v>43076.89298611111</v>
      </c>
      <c r="F202" s="226">
        <v>43076.904166666667</v>
      </c>
      <c r="G202" s="225">
        <v>68</v>
      </c>
      <c r="H202" s="227" t="s">
        <v>542</v>
      </c>
      <c r="I202" s="226">
        <v>43076.913263888891</v>
      </c>
      <c r="J202" s="225">
        <v>1</v>
      </c>
      <c r="K202" s="237" t="str">
        <f t="shared" si="56"/>
        <v>4023/4024</v>
      </c>
      <c r="L202" s="245" t="str">
        <f>VLOOKUP(A202,'Trips&amp;Operators'!$C$1:$G$99911,5,FALSE)</f>
        <v>ANDREA WILLIAMS</v>
      </c>
      <c r="M202" s="224">
        <f t="shared" si="57"/>
        <v>9.0972222242271528E-3</v>
      </c>
      <c r="N202" s="225">
        <f t="shared" si="86"/>
        <v>13.1000000028871</v>
      </c>
      <c r="O202" s="225"/>
      <c r="P202" s="225"/>
      <c r="Q202" s="228"/>
      <c r="R202" s="242"/>
      <c r="S202" s="249">
        <f t="shared" si="87"/>
        <v>1</v>
      </c>
      <c r="T202" s="242" t="str">
        <f t="shared" si="59"/>
        <v>Southbound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 t="shared" si="60"/>
        <v>https://d0f6bd738d7f1b3e5a7ca70fe4ff75f0.us-east-1.aws.found.io/app/kibana#/discover/Steve-Slow-Train-Analysis-(2080s-and-2083s)?_g=(refreshInterval:(display:Off,pause:!f,section:0,value:0),time:(from:'2017-12-07T20:25:54-0700',mode:absolute,to:'2017-12-07T22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2" s="247" t="str">
        <f>IF(AA202&lt;VLOOKUP(AG202,Variables!$AC$3:$AD$8,2,FALSE),"Y","N")</f>
        <v>N</v>
      </c>
      <c r="X202" s="247">
        <f t="shared" si="95"/>
        <v>1</v>
      </c>
      <c r="Y202" s="247">
        <f>RIGHT(D202,LEN(D202)-4)/10000</f>
        <v>5.8608000000000002</v>
      </c>
      <c r="Z202" s="247">
        <f>RIGHT(H202,LEN(H202)-4)/10000</f>
        <v>1.49E-2</v>
      </c>
      <c r="AA202" s="247">
        <f t="shared" si="63"/>
        <v>5.8459000000000003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64"/>
        <v>844</v>
      </c>
      <c r="AE202" s="235" t="str">
        <f t="shared" si="65"/>
        <v>aws s3 cp s3://rtdc.mdm.uploadarchive.raw/RTDC4023/ "%USERPROFILE%\AppData\Local\Temp\OnboardLogs"\RTDC4023\2017-12-07 --exclude "*" --recursive --include "*20171207*" &amp; "%USERPROFILE%\Documents\GitHub\mrs-test-scripts\Headless Mode &amp; Sideloading\WalkAndUnGZ.bat" "%USERPROFILE%\AppData\Local\Temp\OnboardLogs"\RTDC4023\2017-12-07 &amp; 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</v>
      </c>
      <c r="AF202" s="234" t="str">
        <f t="shared" si="66"/>
        <v>"C:\Program Files (x86)\AstroGrep\AstroGrep.exe" /e /r /s /spath="%USERPROFILE%\AppData\Local\Temp\OnboardLogs" /stypes="app*4023*20171208*" /stext=" 04:.+((SYSTEM_STATE.+slice.+state.+changed )|(ment ac)|(multiple cpu faults)|(system.+state.+changed )|(\[timeout)|(PRM\|1\|D)|(kpr)|(kdp)|(train st.+moving)|(\|lc)|(penalty))"</v>
      </c>
      <c r="AG202" s="244" t="str">
        <f t="shared" si="67"/>
        <v>NW</v>
      </c>
      <c r="AH202" s="236" t="str">
        <f t="shared" si="68"/>
        <v>"%USERPROFILE%\Documents\GitHub\eaglep3\Utilities\RefineRTDCRunTimes.py" --tripid 844-07 --locoid 4023 --swversion DE.1.0.9.0 --startMP 300:58608 --initTime 2017-12-07T21:25:54 --startdatetime 2017-12-07T21:42:00 --delay 68 --endMP 204:149 --enddatetime 2017-12-07T21:55:06 --enforcementcount 1 &gt;&gt;%USERPROFILE%\Documents\GitHub\eaglep3-reporting\EC\2017-12-07-refined-times.txt</v>
      </c>
      <c r="AI202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{"issue":{"subject":"","project_id":79,"tracker_id":40,"status_id":1,"priority_id":2,"assigned_to_id":338,"start_date":"2017-12-07","description":"","custom_fields":[{"id":1,"name":"Subdivision","value":"NW"},{"id":4,"name":"Milepost","value":"0.0149"},{"id":17,"name":"Train ID","value":"844-07"},{"id":16,"name":"Locomotive ID","value":"4023"},{"id":130,"name":"Impact","value":""},{"id":150,"name":"Time of Event (Mountain Time)","value":"21:55:06"},{"id":151,"name":"Denver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70"/>
        <v>start /low /b %USERPROFILE%\Documents\GitHub\eaglep3\Utilities\DownloadLogsFromS3.py --loco 4023 --day 2017-12-07</v>
      </c>
      <c r="AN202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04:55:06"},{"id":29,"name":"Sharepoint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72"/>
        <v>https://d0f6bd738d7f1b3e5a7ca70fe4ff75f0.us-east-1.aws.found.io/app/kibana#/discover/Steve-Slow-Train-Analysis-(2080s-and-2083s)?_g=(refreshInterval:(display:Off,pause:!f,section:0,value:0),time:(from:'2017-12-07T20:25:54-0700',mode:absolute,to:'2017-12-07T22:55:06-0700'))&amp;_a=(columns:!('Message%20ID',Summary),filters:!(),index:'emp_*',interval:auto,query:(query_string:(analyze_wildcard:!t,query:'%22rtdc.l.rtdc.4023%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29" t="s">
        <v>891</v>
      </c>
      <c r="B203" s="225">
        <v>4024</v>
      </c>
      <c r="C203" s="227" t="s">
        <v>192</v>
      </c>
      <c r="D203" s="227" t="s">
        <v>492</v>
      </c>
      <c r="E203" s="226">
        <v>43076.873391203706</v>
      </c>
      <c r="F203" s="226">
        <v>43076.88144675926</v>
      </c>
      <c r="G203" s="225">
        <v>386</v>
      </c>
      <c r="H203" s="227" t="s">
        <v>1080</v>
      </c>
      <c r="I203" s="226">
        <v>43076.892013888886</v>
      </c>
      <c r="J203" s="225">
        <v>1</v>
      </c>
      <c r="K203" s="237" t="str">
        <f t="shared" si="56"/>
        <v>4023/4024</v>
      </c>
      <c r="L203" s="245" t="str">
        <f>VLOOKUP(A203,'Trips&amp;Operators'!$C$1:$G$99911,5,FALSE)</f>
        <v>ANDREA WILLIAMS</v>
      </c>
      <c r="M203" s="224">
        <f t="shared" si="57"/>
        <v>1.056712962599704E-2</v>
      </c>
      <c r="N203" s="225">
        <f t="shared" si="86"/>
        <v>15.216666661435738</v>
      </c>
      <c r="O203" s="225"/>
      <c r="P203" s="225"/>
      <c r="Q203" s="228"/>
      <c r="R203" s="242"/>
      <c r="S203" s="249">
        <f t="shared" si="87"/>
        <v>1</v>
      </c>
      <c r="T203" s="242" t="str">
        <f t="shared" si="59"/>
        <v>NorthBound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60"/>
        <v>https://d0f6bd738d7f1b3e5a7ca70fe4ff75f0.us-east-1.aws.found.io/app/kibana#/discover/Steve-Slow-Train-Analysis-(2080s-and-2083s)?_g=(refreshInterval:(display:Off,pause:!f,section:0,value:0),time:(from:'2017-12-07T19:57:41-0700',mode:absolute,to:'2017-12-07T22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3" s="247" t="str">
        <f>IF(AA203&lt;VLOOKUP(AG203,Variables!$AC$3:$AD$8,2,FALSE),"Y","N")</f>
        <v>N</v>
      </c>
      <c r="X203" s="247">
        <f t="shared" si="95"/>
        <v>1</v>
      </c>
      <c r="Y203" s="247">
        <f>RIGHT(D203,LEN(D203)-4)/10000</f>
        <v>4.7100000000000003E-2</v>
      </c>
      <c r="Z203" s="247">
        <f>RIGHT(H203,LEN(H203)-4)/10000</f>
        <v>5.8921999999999999</v>
      </c>
      <c r="AA203" s="247">
        <f t="shared" si="63"/>
        <v>5.8450999999999995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64"/>
        <v>845</v>
      </c>
      <c r="AE203" s="235" t="str">
        <f t="shared" si="65"/>
        <v>aws s3 cp s3://rtdc.mdm.uploadarchive.raw/RTDC4024/ "%USERPROFILE%\AppData\Local\Temp\OnboardLogs"\RTDC4024\2017-12-07 --exclude "*" --recursive --include "*20171207*" &amp; "%USERPROFILE%\Documents\GitHub\mrs-test-scripts\Headless Mode &amp; Sideloading\WalkAndUnGZ.bat" "%USERPROFILE%\AppData\Local\Temp\OnboardLogs"\RTDC4024\2017-12-07 &amp; 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</v>
      </c>
      <c r="AF203" s="234" t="str">
        <f t="shared" si="66"/>
        <v>"C:\Program Files (x86)\AstroGrep\AstroGrep.exe" /e /r /s /spath="%USERPROFILE%\AppData\Local\Temp\OnboardLogs" /stypes="app*4024*20171208*" /stext=" 04:.+((SYSTEM_STATE.+slice.+state.+changed )|(ment ac)|(multiple cpu faults)|(system.+state.+changed )|(\[timeout)|(PRM\|1\|D)|(kpr)|(kdp)|(train st.+moving)|(\|lc)|(penalty))"</v>
      </c>
      <c r="AG203" s="244" t="str">
        <f t="shared" si="67"/>
        <v>NW</v>
      </c>
      <c r="AH203" s="236" t="str">
        <f t="shared" si="68"/>
        <v>"%USERPROFILE%\Documents\GitHub\eaglep3\Utilities\RefineRTDCRunTimes.py" --tripid 845-07 --locoid 4024 --swversion DE.1.0.9.0 --startMP 204:471 --initTime 2017-12-07T20:57:41 --startdatetime 2017-12-07T21:09:17 --delay 386 --endMP 300:58922 --enddatetime 2017-12-07T21:24:30 --enforcementcount 1 &gt;&gt;%USERPROFILE%\Documents\GitHub\eaglep3-reporting\EC\2017-12-07-refined-times.txt</v>
      </c>
      <c r="AI203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{"issue":{"subject":"","project_id":79,"tracker_id":40,"status_id":1,"priority_id":2,"assigned_to_id":338,"start_date":"2017-12-07","description":"","custom_fields":[{"id":1,"name":"Subdivision","value":"NW"},{"id":4,"name":"Milepost","value":"5.8922"},{"id":17,"name":"Train ID","value":"845-07"},{"id":16,"name":"Locomotive ID","value":"4024"},{"id":130,"name":"Impact","value":""},{"id":150,"name":"Time of Event (Mountain Time)","value":"21:24:30"},{"id":151,"name":"Denver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70"/>
        <v>start /low /b %USERPROFILE%\Documents\GitHub\eaglep3\Utilities\DownloadLogsFromS3.py --loco 4024 --day 2017-12-07</v>
      </c>
      <c r="AN203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04:24:30"},{"id":29,"name":"Sharepoint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72"/>
        <v>https://d0f6bd738d7f1b3e5a7ca70fe4ff75f0.us-east-1.aws.found.io/app/kibana#/discover/Steve-Slow-Train-Analysis-(2080s-and-2083s)?_g=(refreshInterval:(display:Off,pause:!f,section:0,value:0),time:(from:'2017-12-07T19:57:41-0700',mode:absolute,to:'2017-12-07T22:24:30-0700'))&amp;_a=(columns:!('Message%20ID',Summary),filters:!(),index:'emp_*',interval:auto,query:(query_string:(analyze_wildcard:!t,query:'%22rtdc.l.rtdc.4024%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3" customFormat="1" x14ac:dyDescent="0.25">
      <c r="A204" s="229" t="s">
        <v>900</v>
      </c>
      <c r="B204" s="225">
        <v>4023</v>
      </c>
      <c r="C204" s="227" t="s">
        <v>192</v>
      </c>
      <c r="D204" s="227" t="s">
        <v>492</v>
      </c>
      <c r="E204" s="226">
        <v>43076.873391203706</v>
      </c>
      <c r="F204" s="226">
        <v>43076.946620370371</v>
      </c>
      <c r="G204" s="225">
        <v>386</v>
      </c>
      <c r="H204" s="227" t="s">
        <v>1080</v>
      </c>
      <c r="I204" s="226">
        <v>43076.955520833333</v>
      </c>
      <c r="J204" s="225">
        <v>1</v>
      </c>
      <c r="K204" s="237" t="str">
        <f t="shared" si="56"/>
        <v>4023/4024</v>
      </c>
      <c r="L204" s="245" t="str">
        <f>VLOOKUP(A204,'Trips&amp;Operators'!$C$1:$G$99911,5,FALSE)</f>
        <v>ANDREA WILLIAMS</v>
      </c>
      <c r="M204" s="224">
        <f t="shared" si="57"/>
        <v>8.9004629626288079E-3</v>
      </c>
      <c r="N204" s="225">
        <f t="shared" si="86"/>
        <v>12.816666666185483</v>
      </c>
      <c r="O204" s="225"/>
      <c r="P204" s="225"/>
      <c r="Q204" s="228"/>
      <c r="R204" s="242"/>
      <c r="S204" s="249">
        <f t="shared" si="87"/>
        <v>1</v>
      </c>
      <c r="T204" s="242" t="str">
        <f t="shared" si="59"/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60"/>
        <v>https://d0f6bd738d7f1b3e5a7ca70fe4ff75f0.us-east-1.aws.found.io/app/kibana#/discover/Steve-Slow-Train-Analysis-(2080s-and-2083s)?_g=(refreshInterval:(display:Off,pause:!f,section:0,value:0),time:(from:'2017-12-07T19:57:41-0700',mode:absolute,to:'2017-12-07T23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4" s="247" t="str">
        <f>IF(AA204&lt;VLOOKUP(AG204,Variables!$AC$3:$AD$8,2,FALSE),"Y","N")</f>
        <v>N</v>
      </c>
      <c r="X204" s="247">
        <f t="shared" si="95"/>
        <v>1</v>
      </c>
      <c r="Y204" s="247">
        <v>5.8608000000000002</v>
      </c>
      <c r="Z204" s="247">
        <v>1.49E-2</v>
      </c>
      <c r="AA204" s="247">
        <f t="shared" si="63"/>
        <v>5.8459000000000003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64"/>
        <v>846</v>
      </c>
      <c r="AE204" s="235" t="str">
        <f t="shared" si="65"/>
        <v>aws s3 cp s3://rtdc.mdm.uploadarchive.raw/RTDC4023/ "%USERPROFILE%\AppData\Local\Temp\OnboardLogs"\RTDC4023\2017-12-07 --exclude "*" --recursive --include "*20171207*" &amp; "%USERPROFILE%\Documents\GitHub\mrs-test-scripts\Headless Mode &amp; Sideloading\WalkAndUnGZ.bat" "%USERPROFILE%\AppData\Local\Temp\OnboardLogs"\RTDC4023\2017-12-07 &amp; 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</v>
      </c>
      <c r="AF204" s="234" t="str">
        <f t="shared" si="66"/>
        <v>"C:\Program Files (x86)\AstroGrep\AstroGrep.exe" /e /r /s /spath="%USERPROFILE%\AppData\Local\Temp\OnboardLogs" /stypes="app*4023*20171208*" /stext=" 05:.+((SYSTEM_STATE.+slice.+state.+changed )|(ment ac)|(multiple cpu faults)|(system.+state.+changed )|(\[timeout)|(PRM\|1\|D)|(kpr)|(kdp)|(train st.+moving)|(\|lc)|(penalty))"</v>
      </c>
      <c r="AG204" s="244" t="str">
        <f t="shared" si="67"/>
        <v>NW</v>
      </c>
      <c r="AH204" s="236" t="str">
        <f t="shared" ref="AH204" si="101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846-07 --locoid 4023 --swversion DE.1.0.9.0 --startMP 204:471 --initTime 2017-12-07T20:57:41 --startdatetime 2017-12-07T22:43:08 --delay 386 --endMP 300:58922 --enddatetime 2017-12-07T22:55:57 --enforcementcount 1 &gt;&gt;%USERPROFILE%\Documents\GitHub\eaglep3-reporting\EC\2017-12-07-refined-times.txt</v>
      </c>
      <c r="AI204" s="238" t="str">
        <f t="shared" ref="AI204" si="102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{"issue":{"subject":"","project_id":79,"tracker_id":40,"status_id":1,"priority_id":2,"assigned_to_id":338,"start_date":"2017-12-07","description":"","custom_fields":[{"id":1,"name":"Subdivision","value":"NW"},{"id":4,"name":"Milepost","value":"0.0149"},{"id":17,"name":"Train ID","value":"846-07"},{"id":16,"name":"Locomotive ID","value":"4023"},{"id":130,"name":"Impact","value":""},{"id":150,"name":"Time of Event (Mountain Time)","value":"22:55:57"},{"id":151,"name":"Denver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ref="AM204" si="103">"start /low /b "&amp;dls3logs&amp;" --loco "&amp;B204&amp;" --day "&amp;TEXT(F204,"YYYY-MM-DD")</f>
        <v>start /low /b %USERPROFILE%\Documents\GitHub\eaglep3\Utilities\DownloadLogsFromS3.py --loco 4023 --day 2017-12-07</v>
      </c>
      <c r="AN204" s="241" t="str">
        <f t="shared" ref="AN204" si="104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05:55:57"},{"id":29,"name":"Sharepoint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ref="AO204" si="105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Message%20ID',Summary),filters:!(),index:'emp_*',interval:auto,query:"&amp;"(query_string:(analyze_wildcard:!t,query:'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-12-07T19:57:41-0700',mode:absolute,to:'2017-12-07T23:55:57-0700'))&amp;_a=(columns:!('Message%20ID',Summary),filters:!(),index:'emp_*',interval:auto,query:(query_string:(analyze_wildcard:!t,query:'%22rtdc.l.rtdc.4023%22')),sort:!(Time.ISO8601,asc))</v>
      </c>
    </row>
    <row r="205" spans="1:91" s="223" customFormat="1" x14ac:dyDescent="0.25">
      <c r="A205" s="229" t="s">
        <v>897</v>
      </c>
      <c r="B205" s="225">
        <v>4024</v>
      </c>
      <c r="C205" s="227" t="s">
        <v>192</v>
      </c>
      <c r="D205" s="227" t="s">
        <v>625</v>
      </c>
      <c r="E205" s="226">
        <v>43076.917337962965</v>
      </c>
      <c r="F205" s="226">
        <v>43076.924016203702</v>
      </c>
      <c r="G205" s="225">
        <v>56</v>
      </c>
      <c r="H205" s="227" t="s">
        <v>674</v>
      </c>
      <c r="I205" s="226">
        <v>43076.934027777781</v>
      </c>
      <c r="J205" s="225">
        <v>1</v>
      </c>
      <c r="K205" s="237" t="str">
        <f t="shared" ref="K205:K230" si="106">IF(ISEVEN(B205),(B205-1)&amp;"/"&amp;B205,B205&amp;"/"&amp;(B205+1))</f>
        <v>4023/4024</v>
      </c>
      <c r="L205" s="245" t="str">
        <f>VLOOKUP(A205,'Trips&amp;Operators'!$C$1:$G$99911,5,FALSE)</f>
        <v>ANDREA WILLIAMS</v>
      </c>
      <c r="M205" s="224">
        <f t="shared" ref="M205:M230" si="107">I205-F205</f>
        <v>1.0011574078816921E-2</v>
      </c>
      <c r="N205" s="225">
        <f t="shared" si="86"/>
        <v>14.416666673496366</v>
      </c>
      <c r="O205" s="225"/>
      <c r="P205" s="225"/>
      <c r="Q205" s="228"/>
      <c r="R205" s="242"/>
      <c r="S205" s="249">
        <f t="shared" si="87"/>
        <v>1</v>
      </c>
      <c r="T205" s="242" t="str">
        <f t="shared" ref="T205:T230" si="108"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30" si="10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-07T21:00:58-0700',mode:absolute,to:'2017-12-07T23:25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5" s="247" t="str">
        <f>IF(AA205&lt;VLOOKUP(AG205,Variables!$AC$3:$AD$8,2,FALSE),"Y","N")</f>
        <v>N</v>
      </c>
      <c r="X205" s="247">
        <f t="shared" si="95"/>
        <v>1</v>
      </c>
      <c r="Y205" s="247">
        <f t="shared" ref="Y205:Y230" si="110">RIGHT(D205,LEN(D205)-4)/10000</f>
        <v>4.53E-2</v>
      </c>
      <c r="Z205" s="247">
        <f t="shared" ref="Z205:Z230" si="111">RIGHT(H205,LEN(H205)-4)/10000</f>
        <v>5.8914</v>
      </c>
      <c r="AA205" s="247">
        <f t="shared" ref="AA205:AA268" si="112">ABS(Z205-Y205)</f>
        <v>5.8460999999999999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30" si="113">VALUE(LEFT(A205,LEN(A205)-3))</f>
        <v>847</v>
      </c>
      <c r="AE205" s="235" t="str">
        <f t="shared" ref="AE205:AE230" si="11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s3://rtdc.mdm.uploadarchive.raw/RTDC4024/ "%USERPROFILE%\AppData\Local\Temp\OnboardLogs"\RTDC4024\2017-12-07 --exclude "*" --recursive --include "*20171207*" &amp; "%USERPROFILE%\Documents\GitHub\mrs-test-scripts\Headless Mode &amp; Sideloading\WalkAndUnGZ.bat" "%USERPROFILE%\AppData\Local\Temp\OnboardLogs"\RTDC4024\2017-12-07 &amp; 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</v>
      </c>
      <c r="AF205" s="234" t="str">
        <f t="shared" ref="AF205:AF230" si="11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/stypes="app*4024*20171208*" /stext=" 05:.+((SYSTEM_STATE.+slice.+state.+changed )|(ment ac)|(multiple cpu faults)|(system.+state.+changed )|(\[timeout)|(PRM\|1\|D)|(kpr)|(kdp)|(train st.+moving)|(\|lc)|(penalty))"</v>
      </c>
      <c r="AG205" s="244" t="str">
        <f t="shared" ref="AG205:AG230" si="116">DetSubdiv(A205)</f>
        <v>NW</v>
      </c>
      <c r="AH205" s="236" t="str">
        <f t="shared" si="68"/>
        <v>"%USERPROFILE%\Documents\GitHub\eaglep3\Utilities\RefineRTDCRunTimes.py" --tripid 847-07 --locoid 4024 --swversion DE.1.0.9.0 --startMP 204:453 --initTime 2017-12-07T22:00:58 --startdatetime 2017-12-07T22:10:35 --delay 56 --endMP 300:58914 --enddatetime 2017-12-07T22:25:00 --enforcementcount 1 &gt;&gt;%USERPROFILE%\Documents\GitHub\eaglep3-reporting\EC\2017-12-07-refined-times.txt</v>
      </c>
      <c r="AI205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{"issue":{"subject":"","project_id":79,"tracker_id":40,"status_id":1,"priority_id":2,"assigned_to_id":338,"start_date":"2017-12-07","description":"","custom_fields":[{"id":1,"name":"Subdivision","value":"NW"},{"id":4,"name":"Milepost","value":"5.8914"},{"id":17,"name":"Train ID","value":"847-07"},{"id":16,"name":"Locomotive ID","value":"4024"},{"id":130,"name":"Impact","value":""},{"id":150,"name":"Time of Event (Mountain Time)","value":"22:25:00"},{"id":151,"name":"Denver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1"/>
      <c r="AL205" s="231"/>
      <c r="AM205" s="240" t="str">
        <f t="shared" si="70"/>
        <v>start /low /b %USERPROFILE%\Documents\GitHub\eaglep3\Utilities\DownloadLogsFromS3.py --loco 4024 --day 2017-12-07</v>
      </c>
      <c r="AN205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05:25:00"},{"id":29,"name":"Sharepoint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72"/>
        <v>https://d0f6bd738d7f1b3e5a7ca70fe4ff75f0.us-east-1.aws.found.io/app/kibana#/discover/Steve-Slow-Train-Analysis-(2080s-and-2083s)?_g=(refreshInterval:(display:Off,pause:!f,section:0,value:0),time:(from:'2017-12-07T21:00:58-0700',mode:absolute,to:'2017-12-07T23:25:00-0700'))&amp;_a=(columns:!('Message%20ID',Summary),filters:!(),index:'emp_*',interval:auto,query:(query_string:(analyze_wildcard:!t,query:'%22rtdc.l.rtdc.4024%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23" customFormat="1" x14ac:dyDescent="0.25">
      <c r="A206" s="229" t="s">
        <v>903</v>
      </c>
      <c r="B206" s="225">
        <v>4024</v>
      </c>
      <c r="C206" s="227" t="s">
        <v>192</v>
      </c>
      <c r="D206" s="227" t="s">
        <v>445</v>
      </c>
      <c r="E206" s="226">
        <v>43076.956944444442</v>
      </c>
      <c r="F206" s="226">
        <v>43076.964768518519</v>
      </c>
      <c r="G206" s="225">
        <v>79</v>
      </c>
      <c r="H206" s="227" t="s">
        <v>1081</v>
      </c>
      <c r="I206" s="226">
        <v>43076.974398148152</v>
      </c>
      <c r="J206" s="225">
        <v>1</v>
      </c>
      <c r="K206" s="237" t="str">
        <f t="shared" si="106"/>
        <v>4023/4024</v>
      </c>
      <c r="L206" s="245" t="str">
        <f>VLOOKUP(A206,'Trips&amp;Operators'!$C$1:$G$99911,5,FALSE)</f>
        <v>ANDREA WILLIAMS</v>
      </c>
      <c r="M206" s="224">
        <f t="shared" si="107"/>
        <v>9.6296296323998831E-3</v>
      </c>
      <c r="N206" s="225">
        <f t="shared" si="86"/>
        <v>13.866666670655832</v>
      </c>
      <c r="O206" s="225"/>
      <c r="P206" s="225"/>
      <c r="Q206" s="228"/>
      <c r="R206" s="242"/>
      <c r="S206" s="249">
        <f t="shared" si="87"/>
        <v>1</v>
      </c>
      <c r="T206" s="242" t="str">
        <f t="shared" si="108"/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109"/>
        <v>https://d0f6bd738d7f1b3e5a7ca70fe4ff75f0.us-east-1.aws.found.io/app/kibana#/discover/Steve-Slow-Train-Analysis-(2080s-and-2083s)?_g=(refreshInterval:(display:Off,pause:!f,section:0,value:0),time:(from:'2017-12-07T21:58:00-0700',mode:absolute,to:'2017-12-08T00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6" s="247" t="str">
        <f>IF(AA206&lt;VLOOKUP(AG206,Variables!$AC$3:$AD$8,2,FALSE),"Y","N")</f>
        <v>N</v>
      </c>
      <c r="X206" s="247">
        <f t="shared" si="95"/>
        <v>2</v>
      </c>
      <c r="Y206" s="247">
        <f t="shared" si="110"/>
        <v>4.4600000000000001E-2</v>
      </c>
      <c r="Z206" s="247">
        <f t="shared" si="111"/>
        <v>5.8920000000000003</v>
      </c>
      <c r="AA206" s="247">
        <f t="shared" si="112"/>
        <v>5.8474000000000004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113"/>
        <v>849</v>
      </c>
      <c r="AE206" s="235" t="str">
        <f t="shared" si="114"/>
        <v>aws s3 cp s3://rtdc.mdm.uploadarchive.raw/RTDC4024/ "%USERPROFILE%\AppData\Local\Temp\OnboardLogs"\RTDC4024\2017-12-07 --exclude "*" --recursive --include "*20171207*" &amp; "%USERPROFILE%\Documents\GitHub\mrs-test-scripts\Headless Mode &amp; Sideloading\WalkAndUnGZ.bat" "%USERPROFILE%\AppData\Local\Temp\OnboardLogs"\RTDC4024\2017-12-07 &amp; 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</v>
      </c>
      <c r="AF206" s="234" t="str">
        <f t="shared" si="115"/>
        <v>"C:\Program Files (x86)\AstroGrep\AstroGrep.exe" /e /r /s /spath="%USERPROFILE%\AppData\Local\Temp\OnboardLogs" /stypes="app*4024*20171208*" /stext=" 06:.+((SYSTEM_STATE.+slice.+state.+changed )|(ment ac)|(multiple cpu faults)|(system.+state.+changed )|(\[timeout)|(PRM\|1\|D)|(kpr)|(kdp)|(train st.+moving)|(\|lc)|(penalty))"</v>
      </c>
      <c r="AG206" s="244" t="str">
        <f t="shared" si="116"/>
        <v>NW</v>
      </c>
      <c r="AH206" s="236" t="str">
        <f t="shared" si="68"/>
        <v>"%USERPROFILE%\Documents\GitHub\eaglep3\Utilities\RefineRTDCRunTimes.py" --tripid 849-07 --locoid 4024 --swversion DE.1.0.9.0 --startMP 204:446 --initTime 2017-12-07T22:58:00 --startdatetime 2017-12-07T23:09:16 --delay 79 --endMP 300:58920 --enddatetime 2017-12-07T23:23:08 --enforcementcount 1 &gt;&gt;%USERPROFILE%\Documents\GitHub\eaglep3-reporting\EC\2017-12-07-refined-times.txt</v>
      </c>
      <c r="AI206" s="238" t="str">
        <f t="shared" si="69"/>
        <v>echo {"issue":{"subject":"","project_id":79,"tracker_id":40,"status_id":1,"priority_id":2,"assigned_to_id":338,"start_date":"2017-12-07","description":"","custom_fields":[{"id":1,"name":"Subdivision","value":"NW"},{"id":4,"name":"Milepost","value":"5.892"},{"id":17,"name":"Train ID","value":"849-07"},{"id":16,"name":"Locomotive ID","value":"4024"},{"id":130,"name":"Impact","value":""},{"id":150,"name":"Time of Event (Mountain Time)","value":"23:23:08"},{"id":151,"name":"Denver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231"/>
      <c r="AL206" s="231"/>
      <c r="AM206" s="240" t="str">
        <f t="shared" si="70"/>
        <v>start /low /b %USERPROFILE%\Documents\GitHub\eaglep3\Utilities\DownloadLogsFromS3.py --loco 4024 --day 2017-12-07</v>
      </c>
      <c r="AN206" s="241" t="str">
        <f t="shared" si="71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06:23:08"},{"id":29,"name":"Sharepoint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72"/>
        <v>https://d0f6bd738d7f1b3e5a7ca70fe4ff75f0.us-east-1.aws.found.io/app/kibana#/discover/Steve-Slow-Train-Analysis-(2080s-and-2083s)?_g=(refreshInterval:(display:Off,pause:!f,section:0,value:0),time:(from:'2017-12-07T21:58:00-0700',mode:absolute,to:'2017-12-08T00:23:08-0700'))&amp;_a=(columns:!('Message%20ID',Summary),filters:!(),index:'emp_*',interval:auto,query:(query_string:(analyze_wildcard:!t,query:'%22rtdc.l.rtdc.4024%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29" t="s">
        <v>706</v>
      </c>
      <c r="B207" s="225">
        <v>4057</v>
      </c>
      <c r="C207" s="227" t="s">
        <v>192</v>
      </c>
      <c r="D207" s="227" t="s">
        <v>1027</v>
      </c>
      <c r="E207" s="226">
        <v>43076.115162037036</v>
      </c>
      <c r="F207" s="226">
        <v>43076.118252314816</v>
      </c>
      <c r="G207" s="225">
        <v>57</v>
      </c>
      <c r="H207" s="227" t="s">
        <v>657</v>
      </c>
      <c r="I207" s="226">
        <v>43076.122118055559</v>
      </c>
      <c r="J207" s="225">
        <v>1</v>
      </c>
      <c r="K207" s="237" t="str">
        <f t="shared" si="106"/>
        <v>4057/4058</v>
      </c>
      <c r="L207" s="245" t="str">
        <f>VLOOKUP(A207,'Trips&amp;Operators'!$C$1:$G$99911,5,FALSE)</f>
        <v>YORK EDGAR</v>
      </c>
      <c r="M207" s="224">
        <f t="shared" si="107"/>
        <v>3.8657407421851531E-3</v>
      </c>
      <c r="N207" s="225">
        <f t="shared" si="86"/>
        <v>5.5666666687466204</v>
      </c>
      <c r="O207" s="225"/>
      <c r="P207" s="225"/>
      <c r="Q207" s="228"/>
      <c r="R207" s="242"/>
      <c r="S207" s="249">
        <f t="shared" si="87"/>
        <v>1</v>
      </c>
      <c r="T207" s="242" t="str">
        <f t="shared" si="108"/>
        <v>Southbound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 t="shared" si="109"/>
        <v>https://d0f6bd738d7f1b3e5a7ca70fe4ff75f0.us-east-1.aws.found.io/app/kibana#/discover/Steve-Slow-Train-Analysis-(2080s-and-2083s)?_g=(refreshInterval:(display:Off,pause:!f,section:0,value:0),time:(from:'2017-12-07T01:45:50-0700',mode:absolute,to:'2017-12-07T03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7" s="247" t="str">
        <f>IF(AA207&lt;VLOOKUP(AG207,Variables!$AC$3:$AD$8,2,FALSE),"Y","N")</f>
        <v>Y</v>
      </c>
      <c r="X207" s="247">
        <f t="shared" si="95"/>
        <v>-549</v>
      </c>
      <c r="Y207" s="247">
        <f t="shared" si="110"/>
        <v>1.9520999999999999</v>
      </c>
      <c r="Z207" s="247">
        <f t="shared" si="111"/>
        <v>1.5599999999999999E-2</v>
      </c>
      <c r="AA207" s="247">
        <f t="shared" si="112"/>
        <v>1.9364999999999999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113"/>
        <v>300</v>
      </c>
      <c r="AE207" s="235" t="str">
        <f t="shared" si="114"/>
        <v>aws s3 cp s3://rtdc.mdm.uploadarchive.raw/RTDC4057/ "%USERPROFILE%\AppData\Local\Temp\OnboardLogs"\RTDC4057\2017-12-07 --exclude "*" --recursive --include "*20171207*" &amp; "%USERPROFILE%\Documents\GitHub\mrs-test-scripts\Headless Mode &amp; Sideloading\WalkAndUnGZ.bat" "%USERPROFILE%\AppData\Local\Temp\OnboardLogs"\RTDC4057\2017-12-07 &amp; aws s3 cp s3://rtdc.mdm.uploadarchive.raw/RTDC4057/ "%USERPROFILE%\AppData\Local\Temp\OnboardLogs"\RTDC4057\2017-12-08 --exclude "*" --recursive --include "*20171208*" &amp; "%USERPROFILE%\Documents\GitHub\mrs-test-scripts\Headless Mode &amp; Sideloading\WalkAndUnGZ.bat" "%USERPROFILE%\AppData\Local\Temp\OnboardLogs"\RTDC4057\2017-12-08</v>
      </c>
      <c r="AF207" s="234" t="str">
        <f t="shared" si="115"/>
        <v>"C:\Program Files (x86)\AstroGrep\AstroGrep.exe" /e /r /s /spath="%USERPROFILE%\AppData\Local\Temp\OnboardLogs" /stypes="app*4057*20171207*" /stext=" 09:.+((SYSTEM_STATE.+slice.+state.+changed )|(ment ac)|(multiple cpu faults)|(system.+state.+changed )|(\[timeout)|(PRM\|1\|D)|(kpr)|(kdp)|(train st.+moving)|(\|lc)|(penalty))"</v>
      </c>
      <c r="AG207" s="244" t="str">
        <f t="shared" si="116"/>
        <v>Other</v>
      </c>
      <c r="AH207" s="236" t="str">
        <f t="shared" ref="AH207:AH230" si="117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300-07 --locoid 4057 --swversion DE.1.0.9.0 --startMP 300:19521 --initTime 2017-12-07T02:45:50 --startdatetime 2017-12-07T02:50:17 --delay 57 --endMP 204:156 --enddatetime 2017-12-07T02:55:51 --enforcementcount 1 &gt;&gt;%USERPROFILE%\Documents\GitHub\eaglep3-reporting\EC\2017-12-07-refined-times.txt</v>
      </c>
      <c r="AI207" s="238" t="str">
        <f t="shared" ref="AI207:AI230" si="118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{"issue":{"subject":"","project_id":79,"tracker_id":40,"status_id":1,"priority_id":2,"assigned_to_id":338,"start_date":"2017-12-07","description":"","custom_fields":[{"id":1,"name":"Subdivision","value":"Other"},{"id":4,"name":"Milepost","value":"0.0156"},{"id":17,"name":"Train ID","value":"300-07"},{"id":16,"name":"Locomotive ID","value":"4057"},{"id":130,"name":"Impact","value":""},{"id":150,"name":"Time of Event (Mountain Time)","value":"02:55:51"},{"id":151,"name":"Denver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ref="AM207:AM230" si="119">"start /low /b "&amp;dls3logs&amp;" --loco "&amp;B207&amp;" --day "&amp;TEXT(F207,"YYYY-MM-DD")</f>
        <v>start /low /b %USERPROFILE%\Documents\GitHub\eaglep3\Utilities\DownloadLogsFromS3.py --loco 4057 --day 2017-12-07</v>
      </c>
      <c r="AN207" s="241" t="str">
        <f t="shared" ref="AN207:AN230" si="120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09:55:51"},{"id":29,"name":"Sharepoint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ref="AO207:AO230" si="121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-12-07T01:45:50-0700',mode:absolute,to:'2017-12-07T03:55:51-0700'))&amp;_a=(columns:!('Message%20ID',Summary),filters:!(),index:'emp_*',interval:auto,query:(query_string:(analyze_wildcard:!t,query:'%22rtdc.l.rtdc.4057%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29" t="s">
        <v>700</v>
      </c>
      <c r="B208" s="225">
        <v>4054</v>
      </c>
      <c r="C208" s="227" t="s">
        <v>192</v>
      </c>
      <c r="D208" s="227" t="s">
        <v>1028</v>
      </c>
      <c r="E208" s="226">
        <v>43076.776678240742</v>
      </c>
      <c r="F208" s="226">
        <v>43076.779039351852</v>
      </c>
      <c r="G208" s="225">
        <v>82</v>
      </c>
      <c r="H208" s="227" t="s">
        <v>1029</v>
      </c>
      <c r="I208" s="226">
        <v>43076.784479166665</v>
      </c>
      <c r="J208" s="225">
        <v>1</v>
      </c>
      <c r="K208" s="237" t="str">
        <f t="shared" si="106"/>
        <v>4053/4054</v>
      </c>
      <c r="L208" s="245" t="str">
        <f>VLOOKUP(A208,'Trips&amp;Operators'!$C$1:$G$99911,5,FALSE)</f>
        <v>LEVIN SCOTT</v>
      </c>
      <c r="M208" s="224">
        <f t="shared" si="107"/>
        <v>5.4398148131440394E-3</v>
      </c>
      <c r="N208" s="225">
        <f t="shared" si="86"/>
        <v>7.8333333309274167</v>
      </c>
      <c r="O208" s="225"/>
      <c r="P208" s="225"/>
      <c r="Q208" s="228"/>
      <c r="R208" s="242"/>
      <c r="S208" s="249">
        <f t="shared" si="87"/>
        <v>1</v>
      </c>
      <c r="T208" s="242" t="str">
        <f t="shared" si="108"/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 t="shared" si="109"/>
        <v>https://d0f6bd738d7f1b3e5a7ca70fe4ff75f0.us-east-1.aws.found.io/app/kibana#/discover/Steve-Slow-Train-Analysis-(2080s-and-2083s)?_g=(refreshInterval:(display:Off,pause:!f,section:0,value:0),time:(from:'2017-12-07T17:38:25-0700',mode:absolute,to:'2017-12-07T19:49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8" s="247" t="str">
        <f>IF(AA208&lt;VLOOKUP(AG208,Variables!$AC$3:$AD$8,2,FALSE),"Y","N")</f>
        <v>Y</v>
      </c>
      <c r="X208" s="247">
        <f t="shared" si="95"/>
        <v>1</v>
      </c>
      <c r="Y208" s="247">
        <f t="shared" si="110"/>
        <v>0.13739999999999999</v>
      </c>
      <c r="Z208" s="247">
        <f t="shared" si="111"/>
        <v>2.3289</v>
      </c>
      <c r="AA208" s="247">
        <f t="shared" si="112"/>
        <v>2.1915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113"/>
        <v>301</v>
      </c>
      <c r="AE208" s="235" t="str">
        <f t="shared" si="114"/>
        <v>aws s3 cp s3://rtdc.mdm.uploadarchive.raw/RTDC4054/ "%USERPROFILE%\AppData\Local\Temp\OnboardLogs"\RTDC4054\2017-12-07 --exclude "*" --recursive --include "*20171207*" &amp; "%USERPROFILE%\Documents\GitHub\mrs-test-scripts\Headless Mode &amp; Sideloading\WalkAndUnGZ.bat" "%USERPROFILE%\AppData\Local\Temp\OnboardLogs"\RTDC4054\2017-12-07 &amp; aws s3 cp s3://rtdc.mdm.uploadarchive.raw/RTDC4054/ "%USERPROFILE%\AppData\Local\Temp\OnboardLogs"\RTDC4054\2017-12-08 --exclude "*" --recursive --include "*20171208*" &amp; "%USERPROFILE%\Documents\GitHub\mrs-test-scripts\Headless Mode &amp; Sideloading\WalkAndUnGZ.bat" "%USERPROFILE%\AppData\Local\Temp\OnboardLogs"\RTDC4054\2017-12-08</v>
      </c>
      <c r="AF208" s="234" t="str">
        <f t="shared" si="115"/>
        <v>"C:\Program Files (x86)\AstroGrep\AstroGrep.exe" /e /r /s /spath="%USERPROFILE%\AppData\Local\Temp\OnboardLogs" /stypes="app*4054*20171208*" /stext=" 01:.+((SYSTEM_STATE.+slice.+state.+changed )|(ment ac)|(multiple cpu faults)|(system.+state.+changed )|(\[timeout)|(PRM\|1\|D)|(kpr)|(kdp)|(train st.+moving)|(\|lc)|(penalty))"</v>
      </c>
      <c r="AG208" s="244" t="str">
        <f t="shared" si="116"/>
        <v>Other</v>
      </c>
      <c r="AH208" s="236" t="str">
        <f t="shared" si="117"/>
        <v>"%USERPROFILE%\Documents\GitHub\eaglep3\Utilities\RefineRTDCRunTimes.py" --tripid 301-07 --locoid 4054 --swversion DE.1.0.9.0 --startMP 204:1374 --initTime 2017-12-07T18:38:25 --startdatetime 2017-12-07T18:41:49 --delay 82 --endMP 300:23289 --enddatetime 2017-12-07T18:49:39 --enforcementcount 1 &gt;&gt;%USERPROFILE%\Documents\GitHub\eaglep3-reporting\EC\2017-12-07-refined-times.txt</v>
      </c>
      <c r="AI208" s="238" t="str">
        <f t="shared" si="118"/>
        <v>echo {"issue":{"subject":"","project_id":79,"tracker_id":40,"status_id":1,"priority_id":2,"assigned_to_id":338,"start_date":"2017-12-07","description":"","custom_fields":[{"id":1,"name":"Subdivision","value":"Other"},{"id":4,"name":"Milepost","value":"2.3289"},{"id":17,"name":"Train ID","value":"301-07"},{"id":16,"name":"Locomotive ID","value":"4054"},{"id":130,"name":"Impact","value":""},{"id":150,"name":"Time of Event (Mountain Time)","value":"18:49:39"},{"id":151,"name":"Denver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119"/>
        <v>start /low /b %USERPROFILE%\Documents\GitHub\eaglep3\Utilities\DownloadLogsFromS3.py --loco 4054 --day 2017-12-07</v>
      </c>
      <c r="AN208" s="241" t="str">
        <f t="shared" si="12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01:49:39"},{"id":29,"name":"Sharepoint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121"/>
        <v>https://d0f6bd738d7f1b3e5a7ca70fe4ff75f0.us-east-1.aws.found.io/app/kibana#/discover/Steve-Slow-Train-Analysis-(2080s-and-2083s)?_g=(refreshInterval:(display:Off,pause:!f,section:0,value:0),time:(from:'2017-12-07T17:38:25-0700',mode:absolute,to:'2017-12-07T19:49:39-0700'))&amp;_a=(columns:!('Message%20ID',Summary),filters:!(),index:'emp_*',interval:auto,query:(query_string:(analyze_wildcard:!t,query:'%22rtdc.l.rtdc.4054%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29" t="s">
        <v>708</v>
      </c>
      <c r="B209" s="225">
        <v>4055</v>
      </c>
      <c r="C209" s="227" t="s">
        <v>192</v>
      </c>
      <c r="D209" s="227" t="s">
        <v>1030</v>
      </c>
      <c r="E209" s="226">
        <v>43076.138414351852</v>
      </c>
      <c r="F209" s="226">
        <v>43076.143912037034</v>
      </c>
      <c r="G209" s="225">
        <v>90</v>
      </c>
      <c r="H209" s="227" t="s">
        <v>643</v>
      </c>
      <c r="I209" s="226">
        <v>43076.148680555554</v>
      </c>
      <c r="J209" s="225">
        <v>1</v>
      </c>
      <c r="K209" s="237" t="str">
        <f t="shared" si="106"/>
        <v>4055/4056</v>
      </c>
      <c r="L209" s="245" t="str">
        <f>VLOOKUP(A209,'Trips&amp;Operators'!$C$1:$G$99911,5,FALSE)</f>
        <v>MAELZER KURT</v>
      </c>
      <c r="M209" s="224">
        <f t="shared" si="107"/>
        <v>4.7685185199952684E-3</v>
      </c>
      <c r="N209" s="225">
        <f t="shared" si="86"/>
        <v>6.8666666687931865</v>
      </c>
      <c r="O209" s="225"/>
      <c r="P209" s="225"/>
      <c r="Q209" s="228"/>
      <c r="R209" s="242"/>
      <c r="S209" s="249">
        <f t="shared" si="87"/>
        <v>1</v>
      </c>
      <c r="T209" s="242" t="str">
        <f t="shared" si="108"/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 t="shared" si="109"/>
        <v>https://d0f6bd738d7f1b3e5a7ca70fe4ff75f0.us-east-1.aws.found.io/app/kibana#/discover/Steve-Slow-Train-Analysis-(2080s-and-2083s)?_g=(refreshInterval:(display:Off,pause:!f,section:0,value:0),time:(from:'2017-12-07T02:19:19-0700',mode:absolute,to:'2017-12-07T04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9" s="247" t="str">
        <f>IF(AA209&lt;VLOOKUP(AG209,Variables!$AC$3:$AD$8,2,FALSE),"Y","N")</f>
        <v>Y</v>
      </c>
      <c r="X209" s="247">
        <f t="shared" si="95"/>
        <v>1</v>
      </c>
      <c r="Y209" s="247">
        <f t="shared" si="110"/>
        <v>1.9335</v>
      </c>
      <c r="Z209" s="247">
        <f t="shared" si="111"/>
        <v>2.1399999999999999E-2</v>
      </c>
      <c r="AA209" s="247">
        <f t="shared" si="112"/>
        <v>1.9120999999999999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113"/>
        <v>302</v>
      </c>
      <c r="AE209" s="235" t="str">
        <f t="shared" si="114"/>
        <v>aws s3 cp s3://rtdc.mdm.uploadarchive.raw/RTDC4055/ "%USERPROFILE%\AppData\Local\Temp\OnboardLogs"\RTDC4055\2017-12-07 --exclude "*" --recursive --include "*20171207*" &amp; "%USERPROFILE%\Documents\GitHub\mrs-test-scripts\Headless Mode &amp; Sideloading\WalkAndUnGZ.bat" "%USERPROFILE%\AppData\Local\Temp\OnboardLogs"\RTDC4055\2017-12-07 &amp; aws s3 cp s3://rtdc.mdm.uploadarchive.raw/RTDC4055/ "%USERPROFILE%\AppData\Local\Temp\OnboardLogs"\RTDC4055\2017-12-08 --exclude "*" --recursive --include "*20171208*" &amp; "%USERPROFILE%\Documents\GitHub\mrs-test-scripts\Headless Mode &amp; Sideloading\WalkAndUnGZ.bat" "%USERPROFILE%\AppData\Local\Temp\OnboardLogs"\RTDC4055\2017-12-08</v>
      </c>
      <c r="AF209" s="234" t="str">
        <f t="shared" si="115"/>
        <v>"C:\Program Files (x86)\AstroGrep\AstroGrep.exe" /e /r /s /spath="%USERPROFILE%\AppData\Local\Temp\OnboardLogs" /stypes="app*4055*20171207*" /stext=" 10:.+((SYSTEM_STATE.+slice.+state.+changed )|(ment ac)|(multiple cpu faults)|(system.+state.+changed )|(\[timeout)|(PRM\|1\|D)|(kpr)|(kdp)|(train st.+moving)|(\|lc)|(penalty))"</v>
      </c>
      <c r="AG209" s="244" t="str">
        <f t="shared" si="116"/>
        <v>Other</v>
      </c>
      <c r="AH209" s="236" t="str">
        <f t="shared" si="117"/>
        <v>"%USERPROFILE%\Documents\GitHub\eaglep3\Utilities\RefineRTDCRunTimes.py" --tripid 302-07 --locoid 4055 --swversion DE.1.0.9.0 --startMP 300:19335 --initTime 2017-12-07T03:19:19 --startdatetime 2017-12-07T03:27:14 --delay 90 --endMP 204:214 --enddatetime 2017-12-07T03:34:06 --enforcementcount 1 &gt;&gt;%USERPROFILE%\Documents\GitHub\eaglep3-reporting\EC\2017-12-07-refined-times.txt</v>
      </c>
      <c r="AI209" s="238" t="str">
        <f t="shared" si="118"/>
        <v>echo {"issue":{"subject":"","project_id":79,"tracker_id":40,"status_id":1,"priority_id":2,"assigned_to_id":338,"start_date":"2017-12-07","description":"","custom_fields":[{"id":1,"name":"Subdivision","value":"Other"},{"id":4,"name":"Milepost","value":"0.0214"},{"id":17,"name":"Train ID","value":"302-07"},{"id":16,"name":"Locomotive ID","value":"4055"},{"id":130,"name":"Impact","value":""},{"id":150,"name":"Time of Event (Mountain Time)","value":"03:34:06"},{"id":151,"name":"Denver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si="119"/>
        <v>start /low /b %USERPROFILE%\Documents\GitHub\eaglep3\Utilities\DownloadLogsFromS3.py --loco 4055 --day 2017-12-07</v>
      </c>
      <c r="AN209" s="241" t="str">
        <f t="shared" si="120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10:34:06"},{"id":29,"name":"Sharepoint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121"/>
        <v>https://d0f6bd738d7f1b3e5a7ca70fe4ff75f0.us-east-1.aws.found.io/app/kibana#/discover/Steve-Slow-Train-Analysis-(2080s-and-2083s)?_g=(refreshInterval:(display:Off,pause:!f,section:0,value:0),time:(from:'2017-12-07T02:19:19-0700',mode:absolute,to:'2017-12-07T04:34:06-0700'))&amp;_a=(columns:!('Message%20ID',Summary),filters:!(),index:'emp_*',interval:auto,query:(query_string:(analyze_wildcard:!t,query:'%22rtdc.l.rtdc.4055%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29" t="s">
        <v>880</v>
      </c>
      <c r="B210" s="225">
        <v>4014</v>
      </c>
      <c r="C210" s="227" t="s">
        <v>192</v>
      </c>
      <c r="D210" s="227" t="s">
        <v>1016</v>
      </c>
      <c r="E210" s="226">
        <v>43076.797615740739</v>
      </c>
      <c r="F210" s="226">
        <v>43076.799050925925</v>
      </c>
      <c r="G210" s="225">
        <v>53</v>
      </c>
      <c r="H210" s="227" t="s">
        <v>422</v>
      </c>
      <c r="I210" s="226">
        <v>43076.806655092594</v>
      </c>
      <c r="J210" s="225">
        <v>1</v>
      </c>
      <c r="K210" s="237" t="str">
        <f t="shared" si="106"/>
        <v>4013/4014</v>
      </c>
      <c r="L210" s="245" t="str">
        <f>VLOOKUP(A210,'Trips&amp;Operators'!$C$1:$G$99911,5,FALSE)</f>
        <v>LEVERE CRAIG</v>
      </c>
      <c r="M210" s="224">
        <f t="shared" si="107"/>
        <v>7.6041666688979603E-3</v>
      </c>
      <c r="N210" s="225">
        <f t="shared" si="86"/>
        <v>10.950000003213063</v>
      </c>
      <c r="O210" s="225"/>
      <c r="P210" s="225"/>
      <c r="Q210" s="228"/>
      <c r="R210" s="242"/>
      <c r="S210" s="249">
        <f t="shared" si="87"/>
        <v>1</v>
      </c>
      <c r="T210" s="242" t="str">
        <f t="shared" si="108"/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 t="shared" si="109"/>
        <v>https://d0f6bd738d7f1b3e5a7ca70fe4ff75f0.us-east-1.aws.found.io/app/kibana#/discover/Steve-Slow-Train-Analysis-(2080s-and-2083s)?_g=(refreshInterval:(display:Off,pause:!f,section:0,value:0),time:(from:'2017-12-07T18:08:34-0700',mode:absolute,to:'2017-12-07T20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0" s="247" t="str">
        <f>IF(AA210&lt;VLOOKUP(AG210,Variables!$AC$3:$AD$8,2,FALSE),"Y","N")</f>
        <v>Y</v>
      </c>
      <c r="X210" s="247">
        <f t="shared" si="95"/>
        <v>1</v>
      </c>
      <c r="Y210" s="247">
        <f t="shared" si="110"/>
        <v>5.57E-2</v>
      </c>
      <c r="Z210" s="247">
        <f t="shared" si="111"/>
        <v>2.3346</v>
      </c>
      <c r="AA210" s="247">
        <f t="shared" si="112"/>
        <v>2.2789000000000001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113"/>
        <v>303</v>
      </c>
      <c r="AE210" s="235" t="str">
        <f t="shared" si="114"/>
        <v>aws s3 cp s3://rtdc.mdm.uploadarchive.raw/RTDC4014/ "%USERPROFILE%\AppData\Local\Temp\OnboardLogs"\RTDC4014\2017-12-07 --exclude "*" --recursive --include "*20171207*" &amp; "%USERPROFILE%\Documents\GitHub\mrs-test-scripts\Headless Mode &amp; Sideloading\WalkAndUnGZ.bat" "%USERPROFILE%\AppData\Local\Temp\OnboardLogs"\RTDC4014\2017-12-07 &amp; aws s3 cp s3://rtdc.mdm.uploadarchive.raw/RTDC4014/ "%USERPROFILE%\AppData\Local\Temp\OnboardLogs"\RTDC4014\2017-12-08 --exclude "*" --recursive --include "*20171208*" &amp; "%USERPROFILE%\Documents\GitHub\mrs-test-scripts\Headless Mode &amp; Sideloading\WalkAndUnGZ.bat" "%USERPROFILE%\AppData\Local\Temp\OnboardLogs"\RTDC4014\2017-12-08</v>
      </c>
      <c r="AF210" s="234" t="str">
        <f t="shared" si="115"/>
        <v>"C:\Program Files (x86)\AstroGrep\AstroGrep.exe" /e /r /s /spath="%USERPROFILE%\AppData\Local\Temp\OnboardLogs" /stypes="app*4014*20171208*" /stext=" 02:.+((SYSTEM_STATE.+slice.+state.+changed )|(ment ac)|(multiple cpu faults)|(system.+state.+changed )|(\[timeout)|(PRM\|1\|D)|(kpr)|(kdp)|(train st.+moving)|(\|lc)|(penalty))"</v>
      </c>
      <c r="AG210" s="244" t="str">
        <f t="shared" si="116"/>
        <v>Other</v>
      </c>
      <c r="AH210" s="236" t="str">
        <f t="shared" si="117"/>
        <v>"%USERPROFILE%\Documents\GitHub\eaglep3\Utilities\RefineRTDCRunTimes.py" --tripid 303-07 --locoid 4014 --swversion DE.1.0.9.0 --startMP 204:557 --initTime 2017-12-07T19:08:34 --startdatetime 2017-12-07T19:10:38 --delay 53 --endMP 300:23346 --enddatetime 2017-12-07T19:21:35 --enforcementcount 1 &gt;&gt;%USERPROFILE%\Documents\GitHub\eaglep3-reporting\EC\2017-12-07-refined-times.txt</v>
      </c>
      <c r="AI210" s="238" t="str">
        <f t="shared" si="118"/>
        <v>echo {"issue":{"subject":"","project_id":79,"tracker_id":40,"status_id":1,"priority_id":2,"assigned_to_id":338,"start_date":"2017-12-07","description":"","custom_fields":[{"id":1,"name":"Subdivision","value":"Other"},{"id":4,"name":"Milepost","value":"2.3346"},{"id":17,"name":"Train ID","value":"303-07"},{"id":16,"name":"Locomotive ID","value":"4014"},{"id":130,"name":"Impact","value":""},{"id":150,"name":"Time of Event (Mountain Time)","value":"19:21:35"},{"id":151,"name":"Denver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119"/>
        <v>start /low /b %USERPROFILE%\Documents\GitHub\eaglep3\Utilities\DownloadLogsFromS3.py --loco 4014 --day 2017-12-07</v>
      </c>
      <c r="AN210" s="241" t="str">
        <f t="shared" si="12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02:21:35"},{"id":29,"name":"Sharepoint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121"/>
        <v>https://d0f6bd738d7f1b3e5a7ca70fe4ff75f0.us-east-1.aws.found.io/app/kibana#/discover/Steve-Slow-Train-Analysis-(2080s-and-2083s)?_g=(refreshInterval:(display:Off,pause:!f,section:0,value:0),time:(from:'2017-12-07T18:08:34-0700',mode:absolute,to:'2017-12-07T20:21:35-0700'))&amp;_a=(columns:!('Message%20ID',Summary),filters:!(),index:'emp_*',interval:auto,query:(query_string:(analyze_wildcard:!t,query:'%22rtdc.l.rtdc.4014%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9" t="s">
        <v>713</v>
      </c>
      <c r="B211" s="225">
        <v>4035</v>
      </c>
      <c r="C211" s="227" t="s">
        <v>192</v>
      </c>
      <c r="D211" s="227" t="s">
        <v>1031</v>
      </c>
      <c r="E211" s="226">
        <v>43076.159722222219</v>
      </c>
      <c r="F211" s="226">
        <v>43076.164675925924</v>
      </c>
      <c r="G211" s="225">
        <v>74</v>
      </c>
      <c r="H211" s="227" t="s">
        <v>1032</v>
      </c>
      <c r="I211" s="226">
        <v>43076.170173611114</v>
      </c>
      <c r="J211" s="225">
        <v>1</v>
      </c>
      <c r="K211" s="237" t="str">
        <f t="shared" si="106"/>
        <v>4035/4036</v>
      </c>
      <c r="L211" s="245" t="str">
        <f>VLOOKUP(A211,'Trips&amp;Operators'!$C$1:$G$99911,5,FALSE)</f>
        <v>HAMMOND JUSTYNN</v>
      </c>
      <c r="M211" s="224">
        <f t="shared" si="107"/>
        <v>5.4976851897663437E-3</v>
      </c>
      <c r="N211" s="225">
        <f t="shared" si="86"/>
        <v>7.9166666732635349</v>
      </c>
      <c r="O211" s="225"/>
      <c r="P211" s="225"/>
      <c r="Q211" s="228"/>
      <c r="R211" s="242"/>
      <c r="S211" s="249">
        <f t="shared" si="87"/>
        <v>1</v>
      </c>
      <c r="T211" s="242" t="str">
        <f t="shared" si="108"/>
        <v>Southbound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8" t="str">
        <f t="shared" si="109"/>
        <v>https://d0f6bd738d7f1b3e5a7ca70fe4ff75f0.us-east-1.aws.found.io/app/kibana#/discover/Steve-Slow-Train-Analysis-(2080s-and-2083s)?_g=(refreshInterval:(display:Off,pause:!f,section:0,value:0),time:(from:'2017-12-07T02:50:00-0700',mode:absolute,to:'2017-12-07T05:05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11" s="247" t="str">
        <f>IF(AA211&lt;VLOOKUP(AG211,Variables!$AC$3:$AD$8,2,FALSE),"Y","N")</f>
        <v>Y</v>
      </c>
      <c r="X211" s="247">
        <f t="shared" si="95"/>
        <v>1</v>
      </c>
      <c r="Y211" s="247">
        <f t="shared" si="110"/>
        <v>2.3521000000000001</v>
      </c>
      <c r="Z211" s="247">
        <f t="shared" si="111"/>
        <v>2.2700000000000001E-2</v>
      </c>
      <c r="AA211" s="247">
        <f t="shared" si="112"/>
        <v>2.3294000000000001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113"/>
        <v>304</v>
      </c>
      <c r="AE211" s="235" t="str">
        <f t="shared" si="114"/>
        <v>aws s3 cp s3://rtdc.mdm.uploadarchive.raw/RTDC4035/ "%USERPROFILE%\AppData\Local\Temp\OnboardLogs"\RTDC4035\2017-12-07 --exclude "*" --recursive --include "*20171207*" &amp; "%USERPROFILE%\Documents\GitHub\mrs-test-scripts\Headless Mode &amp; Sideloading\WalkAndUnGZ.bat" "%USERPROFILE%\AppData\Local\Temp\OnboardLogs"\RTDC4035\2017-12-07 &amp; aws s3 cp s3://rtdc.mdm.uploadarchive.raw/RTDC4035/ "%USERPROFILE%\AppData\Local\Temp\OnboardLogs"\RTDC4035\2017-12-08 --exclude "*" --recursive --include "*20171208*" &amp; "%USERPROFILE%\Documents\GitHub\mrs-test-scripts\Headless Mode &amp; Sideloading\WalkAndUnGZ.bat" "%USERPROFILE%\AppData\Local\Temp\OnboardLogs"\RTDC4035\2017-12-08</v>
      </c>
      <c r="AF211" s="234" t="str">
        <f t="shared" si="115"/>
        <v>"C:\Program Files (x86)\AstroGrep\AstroGrep.exe" /e /r /s /spath="%USERPROFILE%\AppData\Local\Temp\OnboardLogs" /stypes="app*4035*20171207*" /stext=" 11:.+((SYSTEM_STATE.+slice.+state.+changed )|(ment ac)|(multiple cpu faults)|(system.+state.+changed )|(\[timeout)|(PRM\|1\|D)|(kpr)|(kdp)|(train st.+moving)|(\|lc)|(penalty))"</v>
      </c>
      <c r="AG211" s="244" t="str">
        <f t="shared" si="116"/>
        <v>Other</v>
      </c>
      <c r="AH211" s="236" t="str">
        <f t="shared" si="117"/>
        <v>"%USERPROFILE%\Documents\GitHub\eaglep3\Utilities\RefineRTDCRunTimes.py" --tripid 304-07 --locoid 4035 --swversion DE.1.0.9.0 --startMP 300:23521 --initTime 2017-12-07T03:50:00 --startdatetime 2017-12-07T03:57:08 --delay 74 --endMP 204:227 --enddatetime 2017-12-07T04:05:03 --enforcementcount 1 &gt;&gt;%USERPROFILE%\Documents\GitHub\eaglep3-reporting\EC\2017-12-07-refined-times.txt</v>
      </c>
      <c r="AI211" s="238" t="str">
        <f t="shared" si="118"/>
        <v>echo {"issue":{"subject":"","project_id":79,"tracker_id":40,"status_id":1,"priority_id":2,"assigned_to_id":338,"start_date":"2017-12-07","description":"","custom_fields":[{"id":1,"name":"Subdivision","value":"Other"},{"id":4,"name":"Milepost","value":"0.0227"},{"id":17,"name":"Train ID","value":"304-07"},{"id":16,"name":"Locomotive ID","value":"4035"},{"id":130,"name":"Impact","value":""},{"id":150,"name":"Time of Event (Mountain Time)","value":"04:05:03"},{"id":151,"name":"Denver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119"/>
        <v>start /low /b %USERPROFILE%\Documents\GitHub\eaglep3\Utilities\DownloadLogsFromS3.py --loco 4035 --day 2017-12-07</v>
      </c>
      <c r="AN211" s="241" t="str">
        <f t="shared" si="120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11:05:03"},{"id":29,"name":"Sharepoint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121"/>
        <v>https://d0f6bd738d7f1b3e5a7ca70fe4ff75f0.us-east-1.aws.found.io/app/kibana#/discover/Steve-Slow-Train-Analysis-(2080s-and-2083s)?_g=(refreshInterval:(display:Off,pause:!f,section:0,value:0),time:(from:'2017-12-07T02:50:00-0700',mode:absolute,to:'2017-12-07T05:05:03-0700'))&amp;_a=(columns:!('Message%20ID',Summary),filters:!(),index:'emp_*',interval:auto,query:(query_string:(analyze_wildcard:!t,query:'%22rtdc.l.rtdc.4035%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9" t="s">
        <v>716</v>
      </c>
      <c r="B212" s="225">
        <v>4021</v>
      </c>
      <c r="C212" s="227" t="s">
        <v>192</v>
      </c>
      <c r="D212" s="227" t="s">
        <v>1033</v>
      </c>
      <c r="E212" s="226">
        <v>43076.165648148148</v>
      </c>
      <c r="F212" s="226">
        <v>43076.169803240744</v>
      </c>
      <c r="G212" s="225">
        <v>63</v>
      </c>
      <c r="H212" s="227" t="s">
        <v>973</v>
      </c>
      <c r="I212" s="226">
        <v>43076.17564814815</v>
      </c>
      <c r="J212" s="225">
        <v>1</v>
      </c>
      <c r="K212" s="237" t="str">
        <f t="shared" si="106"/>
        <v>4021/4022</v>
      </c>
      <c r="L212" s="245" t="str">
        <f>VLOOKUP(A212,'Trips&amp;Operators'!$C$1:$G$99911,5,FALSE)</f>
        <v>PAGE MARCUS</v>
      </c>
      <c r="M212" s="224">
        <f t="shared" si="107"/>
        <v>5.8449074058444239E-3</v>
      </c>
      <c r="N212" s="225">
        <f t="shared" si="86"/>
        <v>8.4166666644159704</v>
      </c>
      <c r="O212" s="225"/>
      <c r="P212" s="225"/>
      <c r="Q212" s="228"/>
      <c r="R212" s="242"/>
      <c r="S212" s="249">
        <f t="shared" si="87"/>
        <v>1</v>
      </c>
      <c r="T212" s="242" t="str">
        <f t="shared" si="108"/>
        <v>Southbound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 t="shared" si="109"/>
        <v>https://d0f6bd738d7f1b3e5a7ca70fe4ff75f0.us-east-1.aws.found.io/app/kibana#/discover/Steve-Slow-Train-Analysis-(2080s-and-2083s)?_g=(refreshInterval:(display:Off,pause:!f,section:0,value:0),time:(from:'2017-12-07T02:58:32-0700',mode:absolute,to:'2017-12-07T05:12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2" s="247" t="str">
        <f>IF(AA212&lt;VLOOKUP(AG212,Variables!$AC$3:$AD$8,2,FALSE),"Y","N")</f>
        <v>Y</v>
      </c>
      <c r="X212" s="247">
        <f t="shared" si="95"/>
        <v>2</v>
      </c>
      <c r="Y212" s="247">
        <f t="shared" si="110"/>
        <v>2.3635000000000002</v>
      </c>
      <c r="Z212" s="247">
        <f t="shared" si="111"/>
        <v>1.9400000000000001E-2</v>
      </c>
      <c r="AA212" s="247">
        <f t="shared" si="112"/>
        <v>2.3441000000000001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113"/>
        <v>306</v>
      </c>
      <c r="AE212" s="235" t="str">
        <f t="shared" si="114"/>
        <v>aws s3 cp s3://rtdc.mdm.uploadarchive.raw/RTDC4021/ "%USERPROFILE%\AppData\Local\Temp\OnboardLogs"\RTDC4021\2017-12-07 --exclude "*" --recursive --include "*20171207*" &amp; "%USERPROFILE%\Documents\GitHub\mrs-test-scripts\Headless Mode &amp; Sideloading\WalkAndUnGZ.bat" "%USERPROFILE%\AppData\Local\Temp\OnboardLogs"\RTDC4021\2017-12-07 &amp; aws s3 cp s3://rtdc.mdm.uploadarchive.raw/RTDC4021/ "%USERPROFILE%\AppData\Local\Temp\OnboardLogs"\RTDC4021\2017-12-08 --exclude "*" --recursive --include "*20171208*" &amp; "%USERPROFILE%\Documents\GitHub\mrs-test-scripts\Headless Mode &amp; Sideloading\WalkAndUnGZ.bat" "%USERPROFILE%\AppData\Local\Temp\OnboardLogs"\RTDC4021\2017-12-08</v>
      </c>
      <c r="AF212" s="234" t="str">
        <f t="shared" si="115"/>
        <v>"C:\Program Files (x86)\AstroGrep\AstroGrep.exe" /e /r /s /spath="%USERPROFILE%\AppData\Local\Temp\OnboardLogs" /stypes="app*4021*20171207*" /stext=" 11:.+((SYSTEM_STATE.+slice.+state.+changed )|(ment ac)|(multiple cpu faults)|(system.+state.+changed )|(\[timeout)|(PRM\|1\|D)|(kpr)|(kdp)|(train st.+moving)|(\|lc)|(penalty))"</v>
      </c>
      <c r="AG212" s="244" t="str">
        <f t="shared" si="116"/>
        <v>Other</v>
      </c>
      <c r="AH212" s="236" t="str">
        <f t="shared" si="117"/>
        <v>"%USERPROFILE%\Documents\GitHub\eaglep3\Utilities\RefineRTDCRunTimes.py" --tripid 306-07 --locoid 4021 --swversion DE.1.0.9.0 --startMP 300:23635 --initTime 2017-12-07T03:58:32 --startdatetime 2017-12-07T04:04:31 --delay 63 --endMP 204:194 --enddatetime 2017-12-07T04:12:56 --enforcementcount 1 &gt;&gt;%USERPROFILE%\Documents\GitHub\eaglep3-reporting\EC\2017-12-07-refined-times.txt</v>
      </c>
      <c r="AI212" s="238" t="str">
        <f t="shared" si="118"/>
        <v>echo {"issue":{"subject":"","project_id":79,"tracker_id":40,"status_id":1,"priority_id":2,"assigned_to_id":338,"start_date":"2017-12-07","description":"","custom_fields":[{"id":1,"name":"Subdivision","value":"Other"},{"id":4,"name":"Milepost","value":"0.0194"},{"id":17,"name":"Train ID","value":"306-07"},{"id":16,"name":"Locomotive ID","value":"4021"},{"id":130,"name":"Impact","value":""},{"id":150,"name":"Time of Event (Mountain Time)","value":"04:12:56"},{"id":151,"name":"Denver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119"/>
        <v>start /low /b %USERPROFILE%\Documents\GitHub\eaglep3\Utilities\DownloadLogsFromS3.py --loco 4021 --day 2017-12-07</v>
      </c>
      <c r="AN212" s="241" t="str">
        <f t="shared" si="120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11:12:56"},{"id":29,"name":"Sharepoint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121"/>
        <v>https://d0f6bd738d7f1b3e5a7ca70fe4ff75f0.us-east-1.aws.found.io/app/kibana#/discover/Steve-Slow-Train-Analysis-(2080s-and-2083s)?_g=(refreshInterval:(display:Off,pause:!f,section:0,value:0),time:(from:'2017-12-07T02:58:32-0700',mode:absolute,to:'2017-12-07T05:12:56-0700'))&amp;_a=(columns:!('Message%20ID',Summary),filters:!(),index:'emp_*',interval:auto,query:(query_string:(analyze_wildcard:!t,query:'%22rtdc.l.rtdc.4021%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9" t="s">
        <v>913</v>
      </c>
      <c r="B213" s="225">
        <v>4056</v>
      </c>
      <c r="C213" s="227" t="s">
        <v>192</v>
      </c>
      <c r="D213" s="227" t="s">
        <v>1034</v>
      </c>
      <c r="E213" s="226">
        <v>43077.048263888886</v>
      </c>
      <c r="F213" s="226">
        <v>43077.060057870367</v>
      </c>
      <c r="G213" s="225">
        <v>98</v>
      </c>
      <c r="H213" s="227" t="s">
        <v>1035</v>
      </c>
      <c r="I213" s="226">
        <v>43077.06690972222</v>
      </c>
      <c r="J213" s="225">
        <v>1</v>
      </c>
      <c r="K213" s="237" t="str">
        <f t="shared" si="106"/>
        <v>4055/4056</v>
      </c>
      <c r="L213" s="245" t="str">
        <f>VLOOKUP(A213,'Trips&amp;Operators'!$C$1:$G$99911,5,FALSE)</f>
        <v>LOZA FIDEL</v>
      </c>
      <c r="M213" s="224">
        <f t="shared" si="107"/>
        <v>6.8518518528435379E-3</v>
      </c>
      <c r="N213" s="225">
        <f t="shared" si="86"/>
        <v>9.8666666680946946</v>
      </c>
      <c r="O213" s="225"/>
      <c r="P213" s="225"/>
      <c r="Q213" s="228"/>
      <c r="R213" s="242"/>
      <c r="S213" s="249">
        <f t="shared" si="87"/>
        <v>1</v>
      </c>
      <c r="T213" s="242" t="str">
        <f t="shared" si="108"/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 t="shared" si="109"/>
        <v>https://d0f6bd738d7f1b3e5a7ca70fe4ff75f0.us-east-1.aws.found.io/app/kibana#/discover/Steve-Slow-Train-Analysis-(2080s-and-2083s)?_g=(refreshInterval:(display:Off,pause:!f,section:0,value:0),time:(from:'2017-12-08T00:09:30-0700',mode:absolute,to:'2017-12-08T02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3" s="247" t="str">
        <f>IF(AA213&lt;VLOOKUP(AG213,Variables!$AC$3:$AD$8,2,FALSE),"Y","N")</f>
        <v>Y</v>
      </c>
      <c r="X213" s="247">
        <f t="shared" si="95"/>
        <v>1</v>
      </c>
      <c r="Y213" s="247">
        <f t="shared" si="110"/>
        <v>5.4800000000000001E-2</v>
      </c>
      <c r="Z213" s="247">
        <f t="shared" si="111"/>
        <v>2.3214999999999999</v>
      </c>
      <c r="AA213" s="247">
        <f t="shared" si="112"/>
        <v>2.2666999999999997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113"/>
        <v>307</v>
      </c>
      <c r="AE213" s="235" t="str">
        <f t="shared" si="114"/>
        <v>aws s3 cp s3://rtdc.mdm.uploadarchive.raw/RTDC4056/ "%USERPROFILE%\AppData\Local\Temp\OnboardLogs"\RTDC4056\2017-12-08 --exclude "*" --recursive --include "*20171208*" &amp; "%USERPROFILE%\Documents\GitHub\mrs-test-scripts\Headless Mode &amp; Sideloading\WalkAndUnGZ.bat" "%USERPROFILE%\AppData\Local\Temp\OnboardLogs"\RTDC4056\2017-12-08 &amp; aws s3 cp s3://rtdc.mdm.uploadarchive.raw/RTDC4056/ "%USERPROFILE%\AppData\Local\Temp\OnboardLogs"\RTDC4056\2017-12-09 --exclude "*" --recursive --include "*20171209*" &amp; "%USERPROFILE%\Documents\GitHub\mrs-test-scripts\Headless Mode &amp; Sideloading\WalkAndUnGZ.bat" "%USERPROFILE%\AppData\Local\Temp\OnboardLogs"\RTDC4056\2017-12-09</v>
      </c>
      <c r="AF213" s="234" t="str">
        <f t="shared" si="115"/>
        <v>"C:\Program Files (x86)\AstroGrep\AstroGrep.exe" /e /r /s /spath="%USERPROFILE%\AppData\Local\Temp\OnboardLogs" /stypes="app*4056*20171208*" /stext=" 08:.+((SYSTEM_STATE.+slice.+state.+changed )|(ment ac)|(multiple cpu faults)|(system.+state.+changed )|(\[timeout)|(PRM\|1\|D)|(kpr)|(kdp)|(train st.+moving)|(\|lc)|(penalty))"</v>
      </c>
      <c r="AG213" s="244" t="str">
        <f t="shared" si="116"/>
        <v>Other</v>
      </c>
      <c r="AH213" s="236" t="str">
        <f t="shared" si="117"/>
        <v>"%USERPROFILE%\Documents\GitHub\eaglep3\Utilities\RefineRTDCRunTimes.py" --tripid 307-07 --locoid 4056 --swversion DE.1.0.9.0 --startMP 204:548 --initTime 2017-12-08T01:09:30 --startdatetime 2017-12-08T01:26:29 --delay 98 --endMP 300:23215 --enddatetime 2017-12-08T01:36:21 --enforcementcount 1 &gt;&gt;%USERPROFILE%\Documents\GitHub\eaglep3-reporting\EC\2017-12-07-refined-times.txt</v>
      </c>
      <c r="AI213" s="238" t="str">
        <f t="shared" si="118"/>
        <v>echo {"issue":{"subject":"","project_id":79,"tracker_id":40,"status_id":1,"priority_id":2,"assigned_to_id":338,"start_date":"2017-12-08","description":"","custom_fields":[{"id":1,"name":"Subdivision","value":"Other"},{"id":4,"name":"Milepost","value":"2.3215"},{"id":17,"name":"Train ID","value":"307-07"},{"id":16,"name":"Locomotive ID","value":"4056"},{"id":130,"name":"Impact","value":""},{"id":150,"name":"Time of Event (Mountain Time)","value":"01:36:21"},{"id":151,"name":"Denver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119"/>
        <v>start /low /b %USERPROFILE%\Documents\GitHub\eaglep3\Utilities\DownloadLogsFromS3.py --loco 4056 --day 2017-12-08</v>
      </c>
      <c r="AN213" s="241" t="str">
        <f t="shared" si="12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08:36:21"},{"id":29,"name":"Sharepoint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121"/>
        <v>https://d0f6bd738d7f1b3e5a7ca70fe4ff75f0.us-east-1.aws.found.io/app/kibana#/discover/Steve-Slow-Train-Analysis-(2080s-and-2083s)?_g=(refreshInterval:(display:Off,pause:!f,section:0,value:0),time:(from:'2017-12-08T00:09:30-0700',mode:absolute,to:'2017-12-08T02:36:21-0700'))&amp;_a=(columns:!('Message%20ID',Summary),filters:!(),index:'emp_*',interval:auto,query:(query_string:(analyze_wildcard:!t,query:'%22rtdc.l.rtdc.4056%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29" t="s">
        <v>721</v>
      </c>
      <c r="B214" s="225">
        <v>4053</v>
      </c>
      <c r="C214" s="227" t="s">
        <v>192</v>
      </c>
      <c r="D214" s="227" t="s">
        <v>1036</v>
      </c>
      <c r="E214" s="226">
        <v>43076.174756944441</v>
      </c>
      <c r="F214" s="226">
        <v>43076.179942129631</v>
      </c>
      <c r="G214" s="225">
        <v>103</v>
      </c>
      <c r="H214" s="227" t="s">
        <v>406</v>
      </c>
      <c r="I214" s="226">
        <v>43076.186377314814</v>
      </c>
      <c r="J214" s="225">
        <v>1</v>
      </c>
      <c r="K214" s="237" t="str">
        <f t="shared" si="106"/>
        <v>4053/4054</v>
      </c>
      <c r="L214" s="245" t="str">
        <f>VLOOKUP(A214,'Trips&amp;Operators'!$C$1:$G$99911,5,FALSE)</f>
        <v>WILLIAMS DONTE</v>
      </c>
      <c r="M214" s="224">
        <f t="shared" si="107"/>
        <v>6.435185183363501E-3</v>
      </c>
      <c r="N214" s="225">
        <f t="shared" si="86"/>
        <v>9.2666666640434414</v>
      </c>
      <c r="O214" s="225"/>
      <c r="P214" s="225"/>
      <c r="Q214" s="228"/>
      <c r="R214" s="242"/>
      <c r="S214" s="249">
        <f t="shared" si="87"/>
        <v>1</v>
      </c>
      <c r="T214" s="242" t="str">
        <f t="shared" si="108"/>
        <v>Southbound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 t="shared" si="109"/>
        <v>https://d0f6bd738d7f1b3e5a7ca70fe4ff75f0.us-east-1.aws.found.io/app/kibana#/discover/Steve-Slow-Train-Analysis-(2080s-and-2083s)?_g=(refreshInterval:(display:Off,pause:!f,section:0,value:0),time:(from:'2017-12-07T03:11:39-0700',mode:absolute,to:'2017-12-07T05:28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4" s="247" t="str">
        <f>IF(AA214&lt;VLOOKUP(AG214,Variables!$AC$3:$AD$8,2,FALSE),"Y","N")</f>
        <v>Y</v>
      </c>
      <c r="X214" s="247">
        <f t="shared" si="95"/>
        <v>1</v>
      </c>
      <c r="Y214" s="247">
        <f t="shared" si="110"/>
        <v>2.3557000000000001</v>
      </c>
      <c r="Z214" s="247">
        <f t="shared" si="111"/>
        <v>2.07E-2</v>
      </c>
      <c r="AA214" s="247">
        <f t="shared" si="112"/>
        <v>2.335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113"/>
        <v>308</v>
      </c>
      <c r="AE214" s="235" t="str">
        <f t="shared" si="114"/>
        <v>aws s3 cp s3://rtdc.mdm.uploadarchive.raw/RTDC4053/ "%USERPROFILE%\AppData\Local\Temp\OnboardLogs"\RTDC4053\2017-12-07 --exclude "*" --recursive --include "*20171207*" &amp; "%USERPROFILE%\Documents\GitHub\mrs-test-scripts\Headless Mode &amp; Sideloading\WalkAndUnGZ.bat" "%USERPROFILE%\AppData\Local\Temp\OnboardLogs"\RTDC4053\2017-12-07 &amp; aws s3 cp s3://rtdc.mdm.uploadarchive.raw/RTDC4053/ "%USERPROFILE%\AppData\Local\Temp\OnboardLogs"\RTDC4053\2017-12-08 --exclude "*" --recursive --include "*20171208*" &amp; "%USERPROFILE%\Documents\GitHub\mrs-test-scripts\Headless Mode &amp; Sideloading\WalkAndUnGZ.bat" "%USERPROFILE%\AppData\Local\Temp\OnboardLogs"\RTDC4053\2017-12-08</v>
      </c>
      <c r="AF214" s="234" t="str">
        <f t="shared" si="115"/>
        <v>"C:\Program Files (x86)\AstroGrep\AstroGrep.exe" /e /r /s /spath="%USERPROFILE%\AppData\Local\Temp\OnboardLogs" /stypes="app*4053*20171207*" /stext=" 11:.+((SYSTEM_STATE.+slice.+state.+changed )|(ment ac)|(multiple cpu faults)|(system.+state.+changed )|(\[timeout)|(PRM\|1\|D)|(kpr)|(kdp)|(train st.+moving)|(\|lc)|(penalty))"</v>
      </c>
      <c r="AG214" s="244" t="str">
        <f t="shared" si="116"/>
        <v>Other</v>
      </c>
      <c r="AH214" s="236" t="str">
        <f t="shared" si="117"/>
        <v>"%USERPROFILE%\Documents\GitHub\eaglep3\Utilities\RefineRTDCRunTimes.py" --tripid 308-07 --locoid 4053 --swversion DE.1.0.9.0 --startMP 300:23557 --initTime 2017-12-07T04:11:39 --startdatetime 2017-12-07T04:19:07 --delay 103 --endMP 204:207 --enddatetime 2017-12-07T04:28:23 --enforcementcount 1 &gt;&gt;%USERPROFILE%\Documents\GitHub\eaglep3-reporting\EC\2017-12-07-refined-times.txt</v>
      </c>
      <c r="AI214" s="238" t="str">
        <f t="shared" si="118"/>
        <v>echo {"issue":{"subject":"","project_id":79,"tracker_id":40,"status_id":1,"priority_id":2,"assigned_to_id":338,"start_date":"2017-12-07","description":"","custom_fields":[{"id":1,"name":"Subdivision","value":"Other"},{"id":4,"name":"Milepost","value":"0.0207"},{"id":17,"name":"Train ID","value":"308-07"},{"id":16,"name":"Locomotive ID","value":"4053"},{"id":130,"name":"Impact","value":""},{"id":150,"name":"Time of Event (Mountain Time)","value":"04:28:23"},{"id":151,"name":"Denver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3"/>
      <c r="AK214" s="231"/>
      <c r="AL214" s="231"/>
      <c r="AM214" s="240" t="str">
        <f t="shared" si="119"/>
        <v>start /low /b %USERPROFILE%\Documents\GitHub\eaglep3\Utilities\DownloadLogsFromS3.py --loco 4053 --day 2017-12-07</v>
      </c>
      <c r="AN214" s="241" t="str">
        <f t="shared" si="120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11:28:23"},{"id":29,"name":"Sharepoint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121"/>
        <v>https://d0f6bd738d7f1b3e5a7ca70fe4ff75f0.us-east-1.aws.found.io/app/kibana#/discover/Steve-Slow-Train-Analysis-(2080s-and-2083s)?_g=(refreshInterval:(display:Off,pause:!f,section:0,value:0),time:(from:'2017-12-07T03:11:39-0700',mode:absolute,to:'2017-12-07T05:28:23-0700'))&amp;_a=(columns:!('Message%20ID',Summary),filters:!(),index:'emp_*',interval:auto,query:(query_string:(analyze_wildcard:!t,query:'%22rtdc.l.rtdc.4053%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29" t="s">
        <v>725</v>
      </c>
      <c r="B215" s="225">
        <v>4013</v>
      </c>
      <c r="C215" s="227" t="s">
        <v>192</v>
      </c>
      <c r="D215" s="227" t="s">
        <v>1037</v>
      </c>
      <c r="E215" s="226">
        <v>43076.192800925928</v>
      </c>
      <c r="F215" s="226">
        <v>43076.196111111109</v>
      </c>
      <c r="G215" s="225">
        <v>122</v>
      </c>
      <c r="H215" s="227" t="s">
        <v>648</v>
      </c>
      <c r="I215" s="226">
        <v>43076.202013888891</v>
      </c>
      <c r="J215" s="225">
        <v>1</v>
      </c>
      <c r="K215" s="237" t="str">
        <f t="shared" si="106"/>
        <v>4013/4014</v>
      </c>
      <c r="L215" s="245" t="str">
        <f>VLOOKUP(A215,'Trips&amp;Operators'!$C$1:$G$99911,5,FALSE)</f>
        <v>YANAI IAN</v>
      </c>
      <c r="M215" s="224">
        <f t="shared" si="107"/>
        <v>5.9027777824667282E-3</v>
      </c>
      <c r="N215" s="225">
        <f t="shared" si="86"/>
        <v>8.5000000067520887</v>
      </c>
      <c r="O215" s="225"/>
      <c r="P215" s="225"/>
      <c r="Q215" s="228"/>
      <c r="R215" s="242"/>
      <c r="S215" s="249">
        <f t="shared" si="87"/>
        <v>1</v>
      </c>
      <c r="T215" s="242" t="str">
        <f t="shared" si="108"/>
        <v>Southbound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 t="shared" si="109"/>
        <v>https://d0f6bd738d7f1b3e5a7ca70fe4ff75f0.us-east-1.aws.found.io/app/kibana#/discover/Steve-Slow-Train-Analysis-(2080s-and-2083s)?_g=(refreshInterval:(display:Off,pause:!f,section:0,value:0),time:(from:'2017-12-07T03:37:38-0700',mode:absolute,to:'2017-12-07T05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5" s="247" t="str">
        <f>IF(AA215&lt;VLOOKUP(AG215,Variables!$AC$3:$AD$8,2,FALSE),"Y","N")</f>
        <v>Y</v>
      </c>
      <c r="X215" s="247">
        <f t="shared" si="95"/>
        <v>2</v>
      </c>
      <c r="Y215" s="247">
        <f t="shared" si="110"/>
        <v>2.3744999999999998</v>
      </c>
      <c r="Z215" s="247">
        <f t="shared" si="111"/>
        <v>1.47E-2</v>
      </c>
      <c r="AA215" s="247">
        <f t="shared" si="112"/>
        <v>2.3597999999999999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 t="shared" si="113"/>
        <v>310</v>
      </c>
      <c r="AE215" s="235" t="str">
        <f t="shared" si="114"/>
        <v>aws s3 cp s3://rtdc.mdm.uploadarchive.raw/RTDC4013/ "%USERPROFILE%\AppData\Local\Temp\OnboardLogs"\RTDC4013\2017-12-07 --exclude "*" --recursive --include "*20171207*" &amp; "%USERPROFILE%\Documents\GitHub\mrs-test-scripts\Headless Mode &amp; Sideloading\WalkAndUnGZ.bat" "%USERPROFILE%\AppData\Local\Temp\OnboardLogs"\RTDC4013\2017-12-07 &amp; aws s3 cp s3://rtdc.mdm.uploadarchive.raw/RTDC4013/ "%USERPROFILE%\AppData\Local\Temp\OnboardLogs"\RTDC4013\2017-12-08 --exclude "*" --recursive --include "*20171208*" &amp; "%USERPROFILE%\Documents\GitHub\mrs-test-scripts\Headless Mode &amp; Sideloading\WalkAndUnGZ.bat" "%USERPROFILE%\AppData\Local\Temp\OnboardLogs"\RTDC4013\2017-12-08</v>
      </c>
      <c r="AF215" s="234" t="str">
        <f t="shared" si="115"/>
        <v>"C:\Program Files (x86)\AstroGrep\AstroGrep.exe" /e /r /s /spath="%USERPROFILE%\AppData\Local\Temp\OnboardLogs" /stypes="app*4013*20171207*" /stext=" 11:.+((SYSTEM_STATE.+slice.+state.+changed )|(ment ac)|(multiple cpu faults)|(system.+state.+changed )|(\[timeout)|(PRM\|1\|D)|(kpr)|(kdp)|(train st.+moving)|(\|lc)|(penalty))"</v>
      </c>
      <c r="AG215" s="244" t="str">
        <f t="shared" si="116"/>
        <v>Other</v>
      </c>
      <c r="AH215" s="236" t="str">
        <f t="shared" si="117"/>
        <v>"%USERPROFILE%\Documents\GitHub\eaglep3\Utilities\RefineRTDCRunTimes.py" --tripid 310-07 --locoid 4013 --swversion DE.1.0.9.0 --startMP 300:23745 --initTime 2017-12-07T04:37:38 --startdatetime 2017-12-07T04:42:24 --delay 122 --endMP 204:147 --enddatetime 2017-12-07T04:50:54 --enforcementcount 1 &gt;&gt;%USERPROFILE%\Documents\GitHub\eaglep3-reporting\EC\2017-12-07-refined-times.txt</v>
      </c>
      <c r="AI215" s="238" t="str">
        <f t="shared" si="118"/>
        <v>echo {"issue":{"subject":"","project_id":79,"tracker_id":40,"status_id":1,"priority_id":2,"assigned_to_id":338,"start_date":"2017-12-07","description":"","custom_fields":[{"id":1,"name":"Subdivision","value":"Other"},{"id":4,"name":"Milepost","value":"0.0147"},{"id":17,"name":"Train ID","value":"310-07"},{"id":16,"name":"Locomotive ID","value":"4013"},{"id":130,"name":"Impact","value":""},{"id":150,"name":"Time of Event (Mountain Time)","value":"04:50:54"},{"id":151,"name":"Denver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119"/>
        <v>start /low /b %USERPROFILE%\Documents\GitHub\eaglep3\Utilities\DownloadLogsFromS3.py --loco 4013 --day 2017-12-07</v>
      </c>
      <c r="AN215" s="241" t="str">
        <f t="shared" si="120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11:50:54"},{"id":29,"name":"Sharepoint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121"/>
        <v>https://d0f6bd738d7f1b3e5a7ca70fe4ff75f0.us-east-1.aws.found.io/app/kibana#/discover/Steve-Slow-Train-Analysis-(2080s-and-2083s)?_g=(refreshInterval:(display:Off,pause:!f,section:0,value:0),time:(from:'2017-12-07T03:37:38-0700',mode:absolute,to:'2017-12-07T05:50:54-0700'))&amp;_a=(columns:!('Message%20ID',Summary),filters:!(),index:'emp_*',interval:auto,query:(query_string:(analyze_wildcard:!t,query:'%22rtdc.l.rtdc.4013%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29" t="s">
        <v>733</v>
      </c>
      <c r="B216" s="225">
        <v>4027</v>
      </c>
      <c r="C216" s="227" t="s">
        <v>192</v>
      </c>
      <c r="D216" s="227" t="s">
        <v>1038</v>
      </c>
      <c r="E216" s="226">
        <v>43076.22246527778</v>
      </c>
      <c r="F216" s="226">
        <v>43076.226099537038</v>
      </c>
      <c r="G216" s="225">
        <v>127</v>
      </c>
      <c r="H216" s="227" t="s">
        <v>540</v>
      </c>
      <c r="I216" s="226">
        <v>43076.232719907406</v>
      </c>
      <c r="J216" s="225">
        <v>1</v>
      </c>
      <c r="K216" s="237" t="str">
        <f t="shared" si="106"/>
        <v>4027/4028</v>
      </c>
      <c r="L216" s="245" t="str">
        <f>VLOOKUP(A216,'Trips&amp;Operators'!$C$1:$G$99911,5,FALSE)</f>
        <v>DAVIDSON DAVID</v>
      </c>
      <c r="M216" s="224">
        <f t="shared" si="107"/>
        <v>6.6203703681821935E-3</v>
      </c>
      <c r="N216" s="225">
        <f t="shared" si="86"/>
        <v>9.5333333301823586</v>
      </c>
      <c r="O216" s="225"/>
      <c r="P216" s="225"/>
      <c r="Q216" s="228"/>
      <c r="R216" s="242"/>
      <c r="S216" s="249">
        <f t="shared" si="87"/>
        <v>1</v>
      </c>
      <c r="T216" s="242" t="str">
        <f t="shared" si="108"/>
        <v>Southbound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 t="shared" si="109"/>
        <v>https://d0f6bd738d7f1b3e5a7ca70fe4ff75f0.us-east-1.aws.found.io/app/kibana#/discover/Steve-Slow-Train-Analysis-(2080s-and-2083s)?_g=(refreshInterval:(display:Off,pause:!f,section:0,value:0),time:(from:'2017-12-07T04:20:21-0700',mode:absolute,to:'2017-12-07T06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6" s="247" t="str">
        <f>IF(AA216&lt;VLOOKUP(AG216,Variables!$AC$3:$AD$8,2,FALSE),"Y","N")</f>
        <v>Y</v>
      </c>
      <c r="X216" s="247">
        <f t="shared" si="95"/>
        <v>2</v>
      </c>
      <c r="Y216" s="247">
        <f t="shared" si="110"/>
        <v>2.3010000000000002</v>
      </c>
      <c r="Z216" s="247">
        <f t="shared" si="111"/>
        <v>2.23E-2</v>
      </c>
      <c r="AA216" s="247">
        <f t="shared" si="112"/>
        <v>2.2787000000000002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 t="shared" si="113"/>
        <v>312</v>
      </c>
      <c r="AE216" s="235" t="str">
        <f t="shared" si="114"/>
        <v>aws s3 cp s3://rtdc.mdm.uploadarchive.raw/RTDC4027/ "%USERPROFILE%\AppData\Local\Temp\OnboardLogs"\RTDC4027\2017-12-07 --exclude "*" --recursive --include "*20171207*" &amp; "%USERPROFILE%\Documents\GitHub\mrs-test-scripts\Headless Mode &amp; Sideloading\WalkAndUnGZ.bat" "%USERPROFILE%\AppData\Local\Temp\OnboardLogs"\RTDC4027\2017-12-07 &amp; aws s3 cp s3://rtdc.mdm.uploadarchive.raw/RTDC4027/ "%USERPROFILE%\AppData\Local\Temp\OnboardLogs"\RTDC4027\2017-12-08 --exclude "*" --recursive --include "*20171208*" &amp; "%USERPROFILE%\Documents\GitHub\mrs-test-scripts\Headless Mode &amp; Sideloading\WalkAndUnGZ.bat" "%USERPROFILE%\AppData\Local\Temp\OnboardLogs"\RTDC4027\2017-12-08</v>
      </c>
      <c r="AF216" s="234" t="str">
        <f t="shared" si="115"/>
        <v>"C:\Program Files (x86)\AstroGrep\AstroGrep.exe" /e /r /s /spath="%USERPROFILE%\AppData\Local\Temp\OnboardLogs" /stypes="app*4027*20171207*" /stext=" 12:.+((SYSTEM_STATE.+slice.+state.+changed )|(ment ac)|(multiple cpu faults)|(system.+state.+changed )|(\[timeout)|(PRM\|1\|D)|(kpr)|(kdp)|(train st.+moving)|(\|lc)|(penalty))"</v>
      </c>
      <c r="AG216" s="244" t="str">
        <f t="shared" si="116"/>
        <v>Other</v>
      </c>
      <c r="AH216" s="236" t="str">
        <f t="shared" si="117"/>
        <v>"%USERPROFILE%\Documents\GitHub\eaglep3\Utilities\RefineRTDCRunTimes.py" --tripid 312-07 --locoid 4027 --swversion DE.1.0.9.0 --startMP 300:23010 --initTime 2017-12-07T05:20:21 --startdatetime 2017-12-07T05:25:35 --delay 127 --endMP 204:223 --enddatetime 2017-12-07T05:35:07 --enforcementcount 1 &gt;&gt;%USERPROFILE%\Documents\GitHub\eaglep3-reporting\EC\2017-12-07-refined-times.txt</v>
      </c>
      <c r="AI216" s="238" t="str">
        <f t="shared" si="118"/>
        <v>echo {"issue":{"subject":"","project_id":79,"tracker_id":40,"status_id":1,"priority_id":2,"assigned_to_id":338,"start_date":"2017-12-07","description":"","custom_fields":[{"id":1,"name":"Subdivision","value":"Other"},{"id":4,"name":"Milepost","value":"0.0223"},{"id":17,"name":"Train ID","value":"312-07"},{"id":16,"name":"Locomotive ID","value":"4027"},{"id":130,"name":"Impact","value":""},{"id":150,"name":"Time of Event (Mountain Time)","value":"05:35:07"},{"id":151,"name":"Denver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119"/>
        <v>start /low /b %USERPROFILE%\Documents\GitHub\eaglep3\Utilities\DownloadLogsFromS3.py --loco 4027 --day 2017-12-07</v>
      </c>
      <c r="AN216" s="241" t="str">
        <f t="shared" si="120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12:35:07"},{"id":29,"name":"Sharepoint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121"/>
        <v>https://d0f6bd738d7f1b3e5a7ca70fe4ff75f0.us-east-1.aws.found.io/app/kibana#/discover/Steve-Slow-Train-Analysis-(2080s-and-2083s)?_g=(refreshInterval:(display:Off,pause:!f,section:0,value:0),time:(from:'2017-12-07T04:20:21-0700',mode:absolute,to:'2017-12-07T06:35:07-0700'))&amp;_a=(columns:!('Message%20ID',Summary),filters:!(),index:'emp_*',interval:auto,query:(query_string:(analyze_wildcard:!t,query:'%22rtdc.l.rtdc.4027%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29" t="s">
        <v>912</v>
      </c>
      <c r="B217" s="225">
        <v>4060</v>
      </c>
      <c r="C217" s="227" t="s">
        <v>192</v>
      </c>
      <c r="D217" s="227" t="s">
        <v>1039</v>
      </c>
      <c r="E217" s="226">
        <v>43077.028773148151</v>
      </c>
      <c r="F217" s="226">
        <v>43077.030972222223</v>
      </c>
      <c r="G217" s="225">
        <v>97</v>
      </c>
      <c r="H217" s="227" t="s">
        <v>658</v>
      </c>
      <c r="I217" s="226">
        <v>43077.038449074076</v>
      </c>
      <c r="J217" s="225">
        <v>1</v>
      </c>
      <c r="K217" s="237" t="str">
        <f t="shared" si="106"/>
        <v>4059/4060</v>
      </c>
      <c r="L217" s="245" t="str">
        <f>VLOOKUP(A217,'Trips&amp;Operators'!$C$1:$G$99911,5,FALSE)</f>
        <v>ANDERS STEVEN</v>
      </c>
      <c r="M217" s="224">
        <f t="shared" si="107"/>
        <v>7.4768518534256145E-3</v>
      </c>
      <c r="N217" s="225">
        <f t="shared" si="86"/>
        <v>10.766666668932885</v>
      </c>
      <c r="O217" s="225"/>
      <c r="P217" s="225"/>
      <c r="Q217" s="228"/>
      <c r="R217" s="242"/>
      <c r="S217" s="249">
        <f t="shared" si="87"/>
        <v>1</v>
      </c>
      <c r="T217" s="242" t="str">
        <f t="shared" si="108"/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 t="shared" si="109"/>
        <v>https://d0f6bd738d7f1b3e5a7ca70fe4ff75f0.us-east-1.aws.found.io/app/kibana#/discover/Steve-Slow-Train-Analysis-(2080s-and-2083s)?_g=(refreshInterval:(display:Off,pause:!f,section:0,value:0),time:(from:'2017-12-07T23:41:26-0700',mode:absolute,to:'2017-12-08T01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7" s="247" t="str">
        <f>IF(AA217&lt;VLOOKUP(AG217,Variables!$AC$3:$AD$8,2,FALSE),"Y","N")</f>
        <v>Y</v>
      </c>
      <c r="X217" s="247">
        <f t="shared" si="95"/>
        <v>1</v>
      </c>
      <c r="Y217" s="247">
        <f t="shared" si="110"/>
        <v>6.0400000000000002E-2</v>
      </c>
      <c r="Z217" s="247">
        <f t="shared" si="111"/>
        <v>2.3300999999999998</v>
      </c>
      <c r="AA217" s="247">
        <f t="shared" si="112"/>
        <v>2.2696999999999998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 t="shared" si="113"/>
        <v>313</v>
      </c>
      <c r="AE217" s="235" t="str">
        <f t="shared" si="114"/>
        <v>aws s3 cp s3://rtdc.mdm.uploadarchive.raw/RTDC4060/ "%USERPROFILE%\AppData\Local\Temp\OnboardLogs"\RTDC4060\2017-12-08 --exclude "*" --recursive --include "*20171208*" &amp; "%USERPROFILE%\Documents\GitHub\mrs-test-scripts\Headless Mode &amp; Sideloading\WalkAndUnGZ.bat" "%USERPROFILE%\AppData\Local\Temp\OnboardLogs"\RTDC4060\2017-12-08 &amp; 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</v>
      </c>
      <c r="AF217" s="234" t="str">
        <f t="shared" si="115"/>
        <v>"C:\Program Files (x86)\AstroGrep\AstroGrep.exe" /e /r /s /spath="%USERPROFILE%\AppData\Local\Temp\OnboardLogs" /stypes="app*4060*20171208*" /stext=" 07:.+((SYSTEM_STATE.+slice.+state.+changed )|(ment ac)|(multiple cpu faults)|(system.+state.+changed )|(\[timeout)|(PRM\|1\|D)|(kpr)|(kdp)|(train st.+moving)|(\|lc)|(penalty))"</v>
      </c>
      <c r="AG217" s="244" t="str">
        <f t="shared" si="116"/>
        <v>Other</v>
      </c>
      <c r="AH217" s="236" t="str">
        <f t="shared" si="117"/>
        <v>"%USERPROFILE%\Documents\GitHub\eaglep3\Utilities\RefineRTDCRunTimes.py" --tripid 313-07 --locoid 4060 --swversion DE.1.0.9.0 --startMP 204:604 --initTime 2017-12-08T00:41:26 --startdatetime 2017-12-08T00:44:36 --delay 97 --endMP 300:23301 --enddatetime 2017-12-08T00:55:22 --enforcementcount 1 &gt;&gt;%USERPROFILE%\Documents\GitHub\eaglep3-reporting\EC\2017-12-07-refined-times.txt</v>
      </c>
      <c r="AI217" s="238" t="str">
        <f t="shared" si="118"/>
        <v>echo {"issue":{"subject":"","project_id":79,"tracker_id":40,"status_id":1,"priority_id":2,"assigned_to_id":338,"start_date":"2017-12-08","description":"","custom_fields":[{"id":1,"name":"Subdivision","value":"Other"},{"id":4,"name":"Milepost","value":"2.3301"},{"id":17,"name":"Train ID","value":"313-07"},{"id":16,"name":"Locomotive ID","value":"4060"},{"id":130,"name":"Impact","value":""},{"id":150,"name":"Time of Event (Mountain Time)","value":"00:55:22"},{"id":151,"name":"Denver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119"/>
        <v>start /low /b %USERPROFILE%\Documents\GitHub\eaglep3\Utilities\DownloadLogsFromS3.py --loco 4060 --day 2017-12-08</v>
      </c>
      <c r="AN217" s="241" t="str">
        <f t="shared" si="12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07:55:22"},{"id":29,"name":"Sharepoint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121"/>
        <v>https://d0f6bd738d7f1b3e5a7ca70fe4ff75f0.us-east-1.aws.found.io/app/kibana#/discover/Steve-Slow-Train-Analysis-(2080s-and-2083s)?_g=(refreshInterval:(display:Off,pause:!f,section:0,value:0),time:(from:'2017-12-07T23:41:26-0700',mode:absolute,to:'2017-12-08T01:55:22-0700'))&amp;_a=(columns:!('Message%20ID',Summary),filters:!(),index:'emp_*',interval:auto,query:(query_string:(analyze_wildcard:!t,query:'%22rtdc.l.rtdc.4060%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3" customFormat="1" x14ac:dyDescent="0.25">
      <c r="A218" s="229" t="s">
        <v>727</v>
      </c>
      <c r="B218" s="225">
        <v>4044</v>
      </c>
      <c r="C218" s="227" t="s">
        <v>192</v>
      </c>
      <c r="D218" s="227" t="s">
        <v>1082</v>
      </c>
      <c r="E218" s="226">
        <v>43076.198148148149</v>
      </c>
      <c r="F218" s="226">
        <v>43076.203900462962</v>
      </c>
      <c r="G218" s="225">
        <v>95</v>
      </c>
      <c r="H218" s="227" t="s">
        <v>1083</v>
      </c>
      <c r="I218" s="226">
        <v>43076.209768518522</v>
      </c>
      <c r="J218" s="225">
        <v>1</v>
      </c>
      <c r="K218" s="237" t="str">
        <f t="shared" si="106"/>
        <v>4043/4044</v>
      </c>
      <c r="L218" s="245" t="str">
        <f>VLOOKUP(A218,'Trips&amp;Operators'!$C$1:$G$99911,5,FALSE)</f>
        <v>LOPES KIMBERLY</v>
      </c>
      <c r="M218" s="224">
        <f t="shared" si="107"/>
        <v>5.8680555594037287E-3</v>
      </c>
      <c r="N218" s="225">
        <f t="shared" si="86"/>
        <v>8.4500000055413693</v>
      </c>
      <c r="O218" s="225"/>
      <c r="P218" s="225"/>
      <c r="Q218" s="228"/>
      <c r="R218" s="242"/>
      <c r="S218" s="249">
        <f t="shared" si="87"/>
        <v>0</v>
      </c>
      <c r="T218" s="242" t="str">
        <f t="shared" si="108"/>
        <v>NorthBound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48" t="str">
        <f t="shared" si="109"/>
        <v>https://d0f6bd738d7f1b3e5a7ca70fe4ff75f0.us-east-1.aws.found.io/app/kibana#/discover/Steve-Slow-Train-Analysis-(2080s-and-2083s)?_g=(refreshInterval:(display:Off,pause:!f,section:0,value:0),time:(from:'2017-12-07T03:45:20-0700',mode:absolute,to:'2017-12-07T06:02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8" s="247" t="str">
        <f>IF(AA218&lt;VLOOKUP(AG218,Variables!$AC$3:$AD$8,2,FALSE),"Y","N")</f>
        <v>Y</v>
      </c>
      <c r="X218" s="247">
        <f t="shared" si="95"/>
        <v>588</v>
      </c>
      <c r="Y218" s="247">
        <f t="shared" si="110"/>
        <v>3.0436000000000001</v>
      </c>
      <c r="Z218" s="247">
        <f t="shared" si="111"/>
        <v>5.8956</v>
      </c>
      <c r="AA218" s="247">
        <f t="shared" si="112"/>
        <v>2.8519999999999999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 t="shared" si="113"/>
        <v>901</v>
      </c>
      <c r="AE218" s="235" t="str">
        <f t="shared" si="114"/>
        <v>aws s3 cp s3://rtdc.mdm.uploadarchive.raw/RTDC4044/ "%USERPROFILE%\AppData\Local\Temp\OnboardLogs"\RTDC4044\2017-12-07 --exclude "*" --recursive --include "*20171207*" &amp; "%USERPROFILE%\Documents\GitHub\mrs-test-scripts\Headless Mode &amp; Sideloading\WalkAndUnGZ.bat" "%USERPROFILE%\AppData\Local\Temp\OnboardLogs"\RTDC4044\2017-12-07 &amp; aws s3 cp s3://rtdc.mdm.uploadarchive.raw/RTDC4044/ "%USERPROFILE%\AppData\Local\Temp\OnboardLogs"\RTDC4044\2017-12-08 --exclude "*" --recursive --include "*20171208*" &amp; "%USERPROFILE%\Documents\GitHub\mrs-test-scripts\Headless Mode &amp; Sideloading\WalkAndUnGZ.bat" "%USERPROFILE%\AppData\Local\Temp\OnboardLogs"\RTDC4044\2017-12-08</v>
      </c>
      <c r="AF218" s="234" t="str">
        <f t="shared" si="115"/>
        <v>"C:\Program Files (x86)\AstroGrep\AstroGrep.exe" /e /r /s /spath="%USERPROFILE%\AppData\Local\Temp\OnboardLogs" /stypes="app*4044*20171207*" /stext=" 12:.+((SYSTEM_STATE.+slice.+state.+changed )|(ment ac)|(multiple cpu faults)|(system.+state.+changed )|(\[timeout)|(PRM\|1\|D)|(kpr)|(kdp)|(train st.+moving)|(\|lc)|(penalty))"</v>
      </c>
      <c r="AG218" s="244" t="str">
        <f t="shared" si="116"/>
        <v>Other</v>
      </c>
      <c r="AH218" s="236" t="str">
        <f t="shared" si="117"/>
        <v>"%USERPROFILE%\Documents\GitHub\eaglep3\Utilities\RefineRTDCRunTimes.py" --tripid 901-07 --locoid 4044 --swversion DE.1.0.9.0 --startMP 300:30436 --initTime 2017-12-07T04:45:20 --startdatetime 2017-12-07T04:53:37 --delay 95 --endMP 300:58956 --enddatetime 2017-12-07T05:02:04 --enforcementcount 1 &gt;&gt;%USERPROFILE%\Documents\GitHub\eaglep3-reporting\EC\2017-12-07-refined-times.txt</v>
      </c>
      <c r="AI218" s="238" t="str">
        <f t="shared" si="118"/>
        <v>echo {"issue":{"subject":"","project_id":79,"tracker_id":40,"status_id":1,"priority_id":2,"assigned_to_id":338,"start_date":"2017-12-07","description":"","custom_fields":[{"id":1,"name":"Subdivision","value":"Other"},{"id":4,"name":"Milepost","value":"5.8956"},{"id":17,"name":"Train ID","value":"901-07"},{"id":16,"name":"Locomotive ID","value":"4044"},{"id":130,"name":"Impact","value":""},{"id":150,"name":"Time of Event (Mountain Time)","value":"05:02:04"},{"id":151,"name":"Denver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1"/>
      <c r="AL218" s="231"/>
      <c r="AM218" s="240" t="str">
        <f t="shared" si="119"/>
        <v>start /low /b %USERPROFILE%\Documents\GitHub\eaglep3\Utilities\DownloadLogsFromS3.py --loco 4044 --day 2017-12-07</v>
      </c>
      <c r="AN218" s="241" t="str">
        <f t="shared" si="120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12:02:04"},{"id":29,"name":"Sharepoint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121"/>
        <v>https://d0f6bd738d7f1b3e5a7ca70fe4ff75f0.us-east-1.aws.found.io/app/kibana#/discover/Steve-Slow-Train-Analysis-(2080s-and-2083s)?_g=(refreshInterval:(display:Off,pause:!f,section:0,value:0),time:(from:'2017-12-07T03:45:20-0700',mode:absolute,to:'2017-12-07T06:02:04-0700'))&amp;_a=(columns:!('Message%20ID',Summary),filters:!(),index:'emp_*',interval:auto,query:(query_string:(analyze_wildcard:!t,query:'%22rtdc.l.rtdc.4044%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29" t="s">
        <v>736</v>
      </c>
      <c r="B219" s="225">
        <v>4023</v>
      </c>
      <c r="C219" s="227" t="s">
        <v>192</v>
      </c>
      <c r="D219" s="227" t="s">
        <v>1084</v>
      </c>
      <c r="E219" s="226">
        <v>43076.233935185184</v>
      </c>
      <c r="F219" s="226">
        <v>43076.240405092591</v>
      </c>
      <c r="G219" s="225">
        <v>62</v>
      </c>
      <c r="H219" s="227" t="s">
        <v>1085</v>
      </c>
      <c r="I219" s="226">
        <v>43076.24287037037</v>
      </c>
      <c r="J219" s="225">
        <v>1</v>
      </c>
      <c r="K219" s="237" t="str">
        <f t="shared" si="106"/>
        <v>4023/4024</v>
      </c>
      <c r="L219" s="245" t="str">
        <f>VLOOKUP(A219,'Trips&amp;Operators'!$C$1:$G$99911,5,FALSE)</f>
        <v>FORTUNATO FRANK</v>
      </c>
      <c r="M219" s="224">
        <f t="shared" si="107"/>
        <v>2.4652777792653069E-3</v>
      </c>
      <c r="N219" s="225">
        <f t="shared" si="86"/>
        <v>3.5500000021420419</v>
      </c>
      <c r="O219" s="225"/>
      <c r="P219" s="225"/>
      <c r="Q219" s="228"/>
      <c r="R219" s="242"/>
      <c r="S219" s="249">
        <f t="shared" si="87"/>
        <v>0</v>
      </c>
      <c r="T219" s="242" t="str">
        <f t="shared" si="108"/>
        <v>Southbound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48" t="str">
        <f t="shared" si="109"/>
        <v>https://d0f6bd738d7f1b3e5a7ca70fe4ff75f0.us-east-1.aws.found.io/app/kibana#/discover/Steve-Slow-Train-Analysis-(2080s-and-2083s)?_g=(refreshInterval:(display:Off,pause:!f,section:0,value:0),time:(from:'2017-12-07T04:36:52-0700',mode:absolute,to:'2017-12-07T06:49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9" s="247" t="str">
        <f>IF(AA219&lt;VLOOKUP(AG219,Variables!$AC$3:$AD$8,2,FALSE),"Y","N")</f>
        <v>Y</v>
      </c>
      <c r="X219" s="247">
        <f t="shared" si="95"/>
        <v>1</v>
      </c>
      <c r="Y219" s="247">
        <f t="shared" si="110"/>
        <v>2.3813</v>
      </c>
      <c r="Z219" s="247">
        <f t="shared" si="111"/>
        <v>1.9548000000000001</v>
      </c>
      <c r="AA219" s="247">
        <f t="shared" si="112"/>
        <v>0.42649999999999988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 t="shared" si="113"/>
        <v>902</v>
      </c>
      <c r="AE219" s="235" t="str">
        <f t="shared" si="114"/>
        <v>aws s3 cp s3://rtdc.mdm.uploadarchive.raw/RTDC4023/ "%USERPROFILE%\AppData\Local\Temp\OnboardLogs"\RTDC4023\2017-12-07 --exclude "*" --recursive --include "*20171207*" &amp; "%USERPROFILE%\Documents\GitHub\mrs-test-scripts\Headless Mode &amp; Sideloading\WalkAndUnGZ.bat" "%USERPROFILE%\AppData\Local\Temp\OnboardLogs"\RTDC4023\2017-12-07 &amp; 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</v>
      </c>
      <c r="AF219" s="234" t="str">
        <f t="shared" si="115"/>
        <v>"C:\Program Files (x86)\AstroGrep\AstroGrep.exe" /e /r /s /spath="%USERPROFILE%\AppData\Local\Temp\OnboardLogs" /stypes="app*4023*20171207*" /stext=" 12:.+((SYSTEM_STATE.+slice.+state.+changed )|(ment ac)|(multiple cpu faults)|(system.+state.+changed )|(\[timeout)|(PRM\|1\|D)|(kpr)|(kdp)|(train st.+moving)|(\|lc)|(penalty))"</v>
      </c>
      <c r="AG219" s="244" t="str">
        <f t="shared" si="116"/>
        <v>Other</v>
      </c>
      <c r="AH219" s="236" t="str">
        <f t="shared" si="117"/>
        <v>"%USERPROFILE%\Documents\GitHub\eaglep3\Utilities\RefineRTDCRunTimes.py" --tripid 902-07 --locoid 4023 --swversion DE.1.0.9.0 --startMP 300:23813 --initTime 2017-12-07T05:36:52 --startdatetime 2017-12-07T05:46:11 --delay 62 --endMP 300:19548 --enddatetime 2017-12-07T05:49:44 --enforcementcount 1 &gt;&gt;%USERPROFILE%\Documents\GitHub\eaglep3-reporting\EC\2017-12-07-refined-times.txt</v>
      </c>
      <c r="AI219" s="238" t="str">
        <f t="shared" si="118"/>
        <v>echo {"issue":{"subject":"","project_id":79,"tracker_id":40,"status_id":1,"priority_id":2,"assigned_to_id":338,"start_date":"2017-12-07","description":"","custom_fields":[{"id":1,"name":"Subdivision","value":"Other"},{"id":4,"name":"Milepost","value":"1.9548"},{"id":17,"name":"Train ID","value":"902-07"},{"id":16,"name":"Locomotive ID","value":"4023"},{"id":130,"name":"Impact","value":""},{"id":150,"name":"Time of Event (Mountain Time)","value":"05:49:44"},{"id":151,"name":"Denver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3"/>
      <c r="AK219" s="231"/>
      <c r="AL219" s="231"/>
      <c r="AM219" s="240" t="str">
        <f t="shared" si="119"/>
        <v>start /low /b %USERPROFILE%\Documents\GitHub\eaglep3\Utilities\DownloadLogsFromS3.py --loco 4023 --day 2017-12-07</v>
      </c>
      <c r="AN219" s="241" t="str">
        <f t="shared" si="120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12:49:44"},{"id":29,"name":"Sharepoint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121"/>
        <v>https://d0f6bd738d7f1b3e5a7ca70fe4ff75f0.us-east-1.aws.found.io/app/kibana#/discover/Steve-Slow-Train-Analysis-(2080s-and-2083s)?_g=(refreshInterval:(display:Off,pause:!f,section:0,value:0),time:(from:'2017-12-07T04:36:52-0700',mode:absolute,to:'2017-12-07T06:49:44-0700'))&amp;_a=(columns:!('Message%20ID',Summary),filters:!(),index:'emp_*',interval:auto,query:(query_string:(analyze_wildcard:!t,query:'%22rtdc.l.rtdc.4023%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29" t="s">
        <v>770</v>
      </c>
      <c r="B220" s="225">
        <v>4044</v>
      </c>
      <c r="C220" s="227" t="s">
        <v>192</v>
      </c>
      <c r="D220" s="227" t="s">
        <v>1061</v>
      </c>
      <c r="E220" s="226">
        <v>43076.352233796293</v>
      </c>
      <c r="F220" s="226">
        <v>43076.353692129633</v>
      </c>
      <c r="G220" s="225">
        <v>59</v>
      </c>
      <c r="H220" s="227" t="s">
        <v>1086</v>
      </c>
      <c r="I220" s="226">
        <v>43076.360393518517</v>
      </c>
      <c r="J220" s="225">
        <v>1</v>
      </c>
      <c r="K220" s="237" t="str">
        <f t="shared" si="106"/>
        <v>4043/4044</v>
      </c>
      <c r="L220" s="245" t="str">
        <f>VLOOKUP(A220,'Trips&amp;Operators'!$C$1:$G$99911,5,FALSE)</f>
        <v>LOPES KIMBERLY</v>
      </c>
      <c r="M220" s="224">
        <f t="shared" si="107"/>
        <v>6.7013888838118874E-3</v>
      </c>
      <c r="N220" s="225">
        <f t="shared" si="86"/>
        <v>9.6499999926891178</v>
      </c>
      <c r="O220" s="225"/>
      <c r="P220" s="225"/>
      <c r="Q220" s="228"/>
      <c r="R220" s="242"/>
      <c r="S220" s="249">
        <f t="shared" si="87"/>
        <v>1</v>
      </c>
      <c r="T220" s="242" t="str">
        <f t="shared" si="108"/>
        <v>NorthBound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 t="shared" si="109"/>
        <v>https://d0f6bd738d7f1b3e5a7ca70fe4ff75f0.us-east-1.aws.found.io/app/kibana#/discover/Steve-Slow-Train-Analysis-(2080s-and-2083s)?_g=(refreshInterval:(display:Off,pause:!f,section:0,value:0),time:(from:'2017-12-07T07:27:13-0700',mode:absolute,to:'2017-12-07T09:38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0" s="247" t="str">
        <f>IF(AA220&lt;VLOOKUP(AG220,Variables!$AC$3:$AD$8,2,FALSE),"Y","N")</f>
        <v>Y</v>
      </c>
      <c r="X220" s="247">
        <f t="shared" si="95"/>
        <v>1</v>
      </c>
      <c r="Y220" s="247">
        <f t="shared" si="110"/>
        <v>4.3900000000000002E-2</v>
      </c>
      <c r="Z220" s="247">
        <f t="shared" si="111"/>
        <v>2.4262999999999999</v>
      </c>
      <c r="AA220" s="247">
        <f t="shared" si="112"/>
        <v>2.3824000000000001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 t="shared" si="113"/>
        <v>903</v>
      </c>
      <c r="AE220" s="235" t="str">
        <f t="shared" si="114"/>
        <v>aws s3 cp s3://rtdc.mdm.uploadarchive.raw/RTDC4044/ "%USERPROFILE%\AppData\Local\Temp\OnboardLogs"\RTDC4044\2017-12-07 --exclude "*" --recursive --include "*20171207*" &amp; "%USERPROFILE%\Documents\GitHub\mrs-test-scripts\Headless Mode &amp; Sideloading\WalkAndUnGZ.bat" "%USERPROFILE%\AppData\Local\Temp\OnboardLogs"\RTDC4044\2017-12-07 &amp; aws s3 cp s3://rtdc.mdm.uploadarchive.raw/RTDC4044/ "%USERPROFILE%\AppData\Local\Temp\OnboardLogs"\RTDC4044\2017-12-08 --exclude "*" --recursive --include "*20171208*" &amp; "%USERPROFILE%\Documents\GitHub\mrs-test-scripts\Headless Mode &amp; Sideloading\WalkAndUnGZ.bat" "%USERPROFILE%\AppData\Local\Temp\OnboardLogs"\RTDC4044\2017-12-08</v>
      </c>
      <c r="AF220" s="234" t="str">
        <f t="shared" si="115"/>
        <v>"C:\Program Files (x86)\AstroGrep\AstroGrep.exe" /e /r /s /spath="%USERPROFILE%\AppData\Local\Temp\OnboardLogs" /stypes="app*4044*20171207*" /stext=" 15:.+((SYSTEM_STATE.+slice.+state.+changed )|(ment ac)|(multiple cpu faults)|(system.+state.+changed )|(\[timeout)|(PRM\|1\|D)|(kpr)|(kdp)|(train st.+moving)|(\|lc)|(penalty))"</v>
      </c>
      <c r="AG220" s="244" t="str">
        <f t="shared" si="116"/>
        <v>Other</v>
      </c>
      <c r="AH220" s="236" t="str">
        <f t="shared" si="117"/>
        <v>"%USERPROFILE%\Documents\GitHub\eaglep3\Utilities\RefineRTDCRunTimes.py" --tripid 903-07 --locoid 4044 --swversion DE.1.0.9.0 --startMP 204:439 --initTime 2017-12-07T08:27:13 --startdatetime 2017-12-07T08:29:19 --delay 59 --endMP 300:24263 --enddatetime 2017-12-07T08:38:58 --enforcementcount 1 &gt;&gt;%USERPROFILE%\Documents\GitHub\eaglep3-reporting\EC\2017-12-07-refined-times.txt</v>
      </c>
      <c r="AI220" s="238" t="str">
        <f t="shared" si="118"/>
        <v>echo {"issue":{"subject":"","project_id":79,"tracker_id":40,"status_id":1,"priority_id":2,"assigned_to_id":338,"start_date":"2017-12-07","description":"","custom_fields":[{"id":1,"name":"Subdivision","value":"Other"},{"id":4,"name":"Milepost","value":"2.4263"},{"id":17,"name":"Train ID","value":"903-07"},{"id":16,"name":"Locomotive ID","value":"4044"},{"id":130,"name":"Impact","value":""},{"id":150,"name":"Time of Event (Mountain Time)","value":"08:38:58"},{"id":151,"name":"Denver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119"/>
        <v>start /low /b %USERPROFILE%\Documents\GitHub\eaglep3\Utilities\DownloadLogsFromS3.py --loco 4044 --day 2017-12-07</v>
      </c>
      <c r="AN220" s="241" t="str">
        <f t="shared" si="120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15:38:58"},{"id":29,"name":"Sharepoint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121"/>
        <v>https://d0f6bd738d7f1b3e5a7ca70fe4ff75f0.us-east-1.aws.found.io/app/kibana#/discover/Steve-Slow-Train-Analysis-(2080s-and-2083s)?_g=(refreshInterval:(display:Off,pause:!f,section:0,value:0),time:(from:'2017-12-07T07:27:13-0700',mode:absolute,to:'2017-12-07T09:38:58-0700'))&amp;_a=(columns:!('Message%20ID',Summary),filters:!(),index:'emp_*',interval:auto,query:(query_string:(analyze_wildcard:!t,query:'%22rtdc.l.rtdc.4044%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29" t="s">
        <v>836</v>
      </c>
      <c r="B221" s="225">
        <v>4043</v>
      </c>
      <c r="C221" s="227" t="s">
        <v>192</v>
      </c>
      <c r="D221" s="227" t="s">
        <v>1087</v>
      </c>
      <c r="E221" s="226">
        <v>43076.628750000003</v>
      </c>
      <c r="F221" s="226">
        <v>43076.639722222222</v>
      </c>
      <c r="G221" s="225">
        <v>100</v>
      </c>
      <c r="H221" s="227" t="s">
        <v>1088</v>
      </c>
      <c r="I221" s="226">
        <v>43076.645104166666</v>
      </c>
      <c r="J221" s="225">
        <v>1</v>
      </c>
      <c r="K221" s="237" t="str">
        <f t="shared" si="106"/>
        <v>4043/4044</v>
      </c>
      <c r="L221" s="245" t="str">
        <f>VLOOKUP(A221,'Trips&amp;Operators'!$C$1:$G$99911,5,FALSE)</f>
        <v>ANDREA WILLIAMS</v>
      </c>
      <c r="M221" s="224">
        <f t="shared" si="107"/>
        <v>5.3819444437976927E-3</v>
      </c>
      <c r="N221" s="225">
        <f t="shared" si="86"/>
        <v>7.7499999990686774</v>
      </c>
      <c r="O221" s="225"/>
      <c r="P221" s="225"/>
      <c r="Q221" s="228"/>
      <c r="R221" s="242"/>
      <c r="S221" s="249">
        <f t="shared" si="87"/>
        <v>1</v>
      </c>
      <c r="T221" s="242" t="str">
        <f t="shared" si="108"/>
        <v>Southbound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 t="shared" si="109"/>
        <v>https://d0f6bd738d7f1b3e5a7ca70fe4ff75f0.us-east-1.aws.found.io/app/kibana#/discover/Steve-Slow-Train-Analysis-(2080s-and-2083s)?_g=(refreshInterval:(display:Off,pause:!f,section:0,value:0),time:(from:'2017-12-07T14:05:24-0700',mode:absolute,to:'2017-12-07T16:28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1" s="247" t="str">
        <f>IF(AA221&lt;VLOOKUP(AG221,Variables!$AC$3:$AD$8,2,FALSE),"Y","N")</f>
        <v>Y</v>
      </c>
      <c r="X221" s="247">
        <f t="shared" si="95"/>
        <v>1</v>
      </c>
      <c r="Y221" s="247">
        <f t="shared" si="110"/>
        <v>2.3472</v>
      </c>
      <c r="Z221" s="247">
        <f t="shared" si="111"/>
        <v>1.95E-2</v>
      </c>
      <c r="AA221" s="247">
        <f t="shared" si="112"/>
        <v>2.3277000000000001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 t="shared" si="113"/>
        <v>904</v>
      </c>
      <c r="AE221" s="235" t="str">
        <f t="shared" si="114"/>
        <v>aws s3 cp s3://rtdc.mdm.uploadarchive.raw/RTDC4043/ "%USERPROFILE%\AppData\Local\Temp\OnboardLogs"\RTDC4043\2017-12-07 --exclude "*" --recursive --include "*20171207*" &amp; "%USERPROFILE%\Documents\GitHub\mrs-test-scripts\Headless Mode &amp; Sideloading\WalkAndUnGZ.bat" "%USERPROFILE%\AppData\Local\Temp\OnboardLogs"\RTDC4043\2017-12-07 &amp; aws s3 cp s3://rtdc.mdm.uploadarchive.raw/RTDC4043/ "%USERPROFILE%\AppData\Local\Temp\OnboardLogs"\RTDC4043\2017-12-08 --exclude "*" --recursive --include "*20171208*" &amp; "%USERPROFILE%\Documents\GitHub\mrs-test-scripts\Headless Mode &amp; Sideloading\WalkAndUnGZ.bat" "%USERPROFILE%\AppData\Local\Temp\OnboardLogs"\RTDC4043\2017-12-08</v>
      </c>
      <c r="AF221" s="234" t="str">
        <f t="shared" si="115"/>
        <v>"C:\Program Files (x86)\AstroGrep\AstroGrep.exe" /e /r /s /spath="%USERPROFILE%\AppData\Local\Temp\OnboardLogs" /stypes="app*4043*20171207*" /stext=" 22:.+((SYSTEM_STATE.+slice.+state.+changed )|(ment ac)|(multiple cpu faults)|(system.+state.+changed )|(\[timeout)|(PRM\|1\|D)|(kpr)|(kdp)|(train st.+moving)|(\|lc)|(penalty))"</v>
      </c>
      <c r="AG221" s="244" t="str">
        <f t="shared" si="116"/>
        <v>Other</v>
      </c>
      <c r="AH221" s="236" t="str">
        <f t="shared" si="117"/>
        <v>"%USERPROFILE%\Documents\GitHub\eaglep3\Utilities\RefineRTDCRunTimes.py" --tripid 904-07 --locoid 4043 --swversion DE.1.0.9.0 --startMP 300:23472 --initTime 2017-12-07T15:05:24 --startdatetime 2017-12-07T15:21:12 --delay 100 --endMP 204:195 --enddatetime 2017-12-07T15:28:57 --enforcementcount 1 &gt;&gt;%USERPROFILE%\Documents\GitHub\eaglep3-reporting\EC\2017-12-07-refined-times.txt</v>
      </c>
      <c r="AI221" s="238" t="str">
        <f t="shared" si="118"/>
        <v>echo {"issue":{"subject":"","project_id":79,"tracker_id":40,"status_id":1,"priority_id":2,"assigned_to_id":338,"start_date":"2017-12-07","description":"","custom_fields":[{"id":1,"name":"Subdivision","value":"Other"},{"id":4,"name":"Milepost","value":"0.0195"},{"id":17,"name":"Train ID","value":"904-07"},{"id":16,"name":"Locomotive ID","value":"4043"},{"id":130,"name":"Impact","value":""},{"id":150,"name":"Time of Event (Mountain Time)","value":"15:28:57"},{"id":151,"name":"Denver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3"/>
      <c r="AK221" s="231"/>
      <c r="AL221" s="231"/>
      <c r="AM221" s="240" t="str">
        <f t="shared" si="119"/>
        <v>start /low /b %USERPROFILE%\Documents\GitHub\eaglep3\Utilities\DownloadLogsFromS3.py --loco 4043 --day 2017-12-07</v>
      </c>
      <c r="AN221" s="241" t="str">
        <f t="shared" si="120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22:28:57"},{"id":29,"name":"Sharepoint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121"/>
        <v>https://d0f6bd738d7f1b3e5a7ca70fe4ff75f0.us-east-1.aws.found.io/app/kibana#/discover/Steve-Slow-Train-Analysis-(2080s-and-2083s)?_g=(refreshInterval:(display:Off,pause:!f,section:0,value:0),time:(from:'2017-12-07T14:05:24-0700',mode:absolute,to:'2017-12-07T16:28:57-0700'))&amp;_a=(columns:!('Message%20ID',Summary),filters:!(),index:'emp_*',interval:auto,query:(query_string:(analyze_wildcard:!t,query:'%22rtdc.l.rtdc.4043%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229" t="s">
        <v>878</v>
      </c>
      <c r="B222" s="225">
        <v>4043</v>
      </c>
      <c r="C222" s="227" t="s">
        <v>192</v>
      </c>
      <c r="D222" s="227" t="s">
        <v>1089</v>
      </c>
      <c r="E222" s="226">
        <v>43076.790150462963</v>
      </c>
      <c r="F222" s="226">
        <v>43076.791631944441</v>
      </c>
      <c r="G222" s="225">
        <v>49</v>
      </c>
      <c r="H222" s="227" t="s">
        <v>676</v>
      </c>
      <c r="I222" s="226">
        <v>43076.798310185186</v>
      </c>
      <c r="J222" s="225">
        <v>1</v>
      </c>
      <c r="K222" s="237" t="str">
        <f t="shared" si="106"/>
        <v>4043/4044</v>
      </c>
      <c r="L222" s="245" t="str">
        <f>VLOOKUP(A222,'Trips&amp;Operators'!$C$1:$G$99911,5,FALSE)</f>
        <v>ANDREA WILLIAMS</v>
      </c>
      <c r="M222" s="224">
        <f t="shared" si="107"/>
        <v>6.6782407448044978E-3</v>
      </c>
      <c r="N222" s="225">
        <f t="shared" ref="N222:N230" si="122">24*60*SUM($M222:$M222)</f>
        <v>9.6166666725184768</v>
      </c>
      <c r="O222" s="225"/>
      <c r="P222" s="225"/>
      <c r="Q222" s="228"/>
      <c r="R222" s="242"/>
      <c r="S222" s="249">
        <f t="shared" ref="S222:S230" si="123">1/IF(AG222="EC",12,1)*SUM(U222:U222)</f>
        <v>0</v>
      </c>
      <c r="T222" s="242" t="str">
        <f t="shared" si="108"/>
        <v>Southbound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48" t="str">
        <f t="shared" si="109"/>
        <v>https://d0f6bd738d7f1b3e5a7ca70fe4ff75f0.us-east-1.aws.found.io/app/kibana#/discover/Steve-Slow-Train-Analysis-(2080s-and-2083s)?_g=(refreshInterval:(display:Off,pause:!f,section:0,value:0),time:(from:'2017-12-07T17:57:49-0700',mode:absolute,to:'2017-12-07T20:09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2" s="247" t="str">
        <f>IF(AA222&lt;VLOOKUP(AG222,Variables!$AC$3:$AD$8,2,FALSE),"Y","N")</f>
        <v>Y</v>
      </c>
      <c r="X222" s="247">
        <f t="shared" si="95"/>
        <v>2</v>
      </c>
      <c r="Y222" s="247">
        <f t="shared" si="110"/>
        <v>5.8605999999999998</v>
      </c>
      <c r="Z222" s="247">
        <f t="shared" si="111"/>
        <v>2.8786</v>
      </c>
      <c r="AA222" s="247">
        <f t="shared" si="112"/>
        <v>2.9819999999999998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 t="shared" si="113"/>
        <v>906</v>
      </c>
      <c r="AE222" s="235" t="str">
        <f t="shared" si="114"/>
        <v>aws s3 cp s3://rtdc.mdm.uploadarchive.raw/RTDC4043/ "%USERPROFILE%\AppData\Local\Temp\OnboardLogs"\RTDC4043\2017-12-07 --exclude "*" --recursive --include "*20171207*" &amp; "%USERPROFILE%\Documents\GitHub\mrs-test-scripts\Headless Mode &amp; Sideloading\WalkAndUnGZ.bat" "%USERPROFILE%\AppData\Local\Temp\OnboardLogs"\RTDC4043\2017-12-07 &amp; aws s3 cp s3://rtdc.mdm.uploadarchive.raw/RTDC4043/ "%USERPROFILE%\AppData\Local\Temp\OnboardLogs"\RTDC4043\2017-12-08 --exclude "*" --recursive --include "*20171208*" &amp; "%USERPROFILE%\Documents\GitHub\mrs-test-scripts\Headless Mode &amp; Sideloading\WalkAndUnGZ.bat" "%USERPROFILE%\AppData\Local\Temp\OnboardLogs"\RTDC4043\2017-12-08</v>
      </c>
      <c r="AF222" s="234" t="str">
        <f t="shared" si="115"/>
        <v>"C:\Program Files (x86)\AstroGrep\AstroGrep.exe" /e /r /s /spath="%USERPROFILE%\AppData\Local\Temp\OnboardLogs" /stypes="app*4043*20171208*" /stext=" 02:.+((SYSTEM_STATE.+slice.+state.+changed )|(ment ac)|(multiple cpu faults)|(system.+state.+changed )|(\[timeout)|(PRM\|1\|D)|(kpr)|(kdp)|(train st.+moving)|(\|lc)|(penalty))"</v>
      </c>
      <c r="AG222" s="244" t="str">
        <f t="shared" si="116"/>
        <v>Other</v>
      </c>
      <c r="AH222" s="236" t="str">
        <f t="shared" si="117"/>
        <v>"%USERPROFILE%\Documents\GitHub\eaglep3\Utilities\RefineRTDCRunTimes.py" --tripid 906-07 --locoid 4043 --swversion DE.1.0.9.0 --startMP 300:58606 --initTime 2017-12-07T18:57:49 --startdatetime 2017-12-07T18:59:57 --delay 49 --endMP 300:28786 --enddatetime 2017-12-07T19:09:34 --enforcementcount 1 &gt;&gt;%USERPROFILE%\Documents\GitHub\eaglep3-reporting\EC\2017-12-07-refined-times.txt</v>
      </c>
      <c r="AI222" s="238" t="str">
        <f t="shared" si="118"/>
        <v>echo {"issue":{"subject":"","project_id":79,"tracker_id":40,"status_id":1,"priority_id":2,"assigned_to_id":338,"start_date":"2017-12-07","description":"","custom_fields":[{"id":1,"name":"Subdivision","value":"Other"},{"id":4,"name":"Milepost","value":"2.8786"},{"id":17,"name":"Train ID","value":"906-07"},{"id":16,"name":"Locomotive ID","value":"4043"},{"id":130,"name":"Impact","value":""},{"id":150,"name":"Time of Event (Mountain Time)","value":"19:09:34"},{"id":151,"name":"Denver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3"/>
      <c r="AK222" s="231"/>
      <c r="AL222" s="231"/>
      <c r="AM222" s="240" t="str">
        <f t="shared" si="119"/>
        <v>start /low /b %USERPROFILE%\Documents\GitHub\eaglep3\Utilities\DownloadLogsFromS3.py --loco 4043 --day 2017-12-07</v>
      </c>
      <c r="AN222" s="241" t="str">
        <f t="shared" si="12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02:09:34"},{"id":29,"name":"Sharepoint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121"/>
        <v>https://d0f6bd738d7f1b3e5a7ca70fe4ff75f0.us-east-1.aws.found.io/app/kibana#/discover/Steve-Slow-Train-Analysis-(2080s-and-2083s)?_g=(refreshInterval:(display:Off,pause:!f,section:0,value:0),time:(from:'2017-12-07T17:57:49-0700',mode:absolute,to:'2017-12-07T20:09:34-0700'))&amp;_a=(columns:!('Message%20ID',Summary),filters:!(),index:'emp_*',interval:auto,query:(query_string:(analyze_wildcard:!t,query:'%22rtdc.l.rtdc.4043%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3" customFormat="1" x14ac:dyDescent="0.25">
      <c r="A223" s="229" t="s">
        <v>905</v>
      </c>
      <c r="B223" s="225">
        <v>4023</v>
      </c>
      <c r="C223" s="227" t="s">
        <v>192</v>
      </c>
      <c r="D223" s="227" t="s">
        <v>677</v>
      </c>
      <c r="E223" s="226">
        <v>43076.975694444445</v>
      </c>
      <c r="F223" s="226">
        <v>43076.977592592593</v>
      </c>
      <c r="G223" s="225">
        <v>63</v>
      </c>
      <c r="H223" s="227" t="s">
        <v>1090</v>
      </c>
      <c r="I223" s="226">
        <v>43076.988518518519</v>
      </c>
      <c r="J223" s="225">
        <v>1</v>
      </c>
      <c r="K223" s="237" t="str">
        <f t="shared" si="106"/>
        <v>4023/4024</v>
      </c>
      <c r="L223" s="245" t="str">
        <f>VLOOKUP(A223,'Trips&amp;Operators'!$C$1:$G$99911,5,FALSE)</f>
        <v>ANDREA WILLIAMS</v>
      </c>
      <c r="M223" s="224">
        <f t="shared" si="107"/>
        <v>1.0925925926130731E-2</v>
      </c>
      <c r="N223" s="225">
        <f t="shared" si="122"/>
        <v>15.733333333628252</v>
      </c>
      <c r="O223" s="225"/>
      <c r="P223" s="225"/>
      <c r="Q223" s="228"/>
      <c r="R223" s="242"/>
      <c r="S223" s="249">
        <f t="shared" si="123"/>
        <v>0</v>
      </c>
      <c r="T223" s="242" t="str">
        <f t="shared" si="108"/>
        <v>Southbound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48" t="str">
        <f t="shared" si="109"/>
        <v>https://d0f6bd738d7f1b3e5a7ca70fe4ff75f0.us-east-1.aws.found.io/app/kibana#/discover/Steve-Slow-Train-Analysis-(2080s-and-2083s)?_g=(refreshInterval:(display:Off,pause:!f,section:0,value:0),time:(from:'2017-12-07T22:25:00-0700',mode:absolute,to:'2017-12-08T00:43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3" s="247" t="str">
        <f>IF(AA223&lt;VLOOKUP(AG223,Variables!$AC$3:$AD$8,2,FALSE),"Y","N")</f>
        <v>Y</v>
      </c>
      <c r="X223" s="247">
        <f t="shared" si="95"/>
        <v>2</v>
      </c>
      <c r="Y223" s="247">
        <f t="shared" si="110"/>
        <v>5.86</v>
      </c>
      <c r="Z223" s="247">
        <f t="shared" si="111"/>
        <v>2.8782000000000001</v>
      </c>
      <c r="AA223" s="247">
        <f t="shared" si="112"/>
        <v>2.9818000000000002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 t="shared" si="113"/>
        <v>908</v>
      </c>
      <c r="AE223" s="235" t="str">
        <f t="shared" si="114"/>
        <v>aws s3 cp s3://rtdc.mdm.uploadarchive.raw/RTDC4023/ "%USERPROFILE%\AppData\Local\Temp\OnboardLogs"\RTDC4023\2017-12-07 --exclude "*" --recursive --include "*20171207*" &amp; "%USERPROFILE%\Documents\GitHub\mrs-test-scripts\Headless Mode &amp; Sideloading\WalkAndUnGZ.bat" "%USERPROFILE%\AppData\Local\Temp\OnboardLogs"\RTDC4023\2017-12-07 &amp; 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</v>
      </c>
      <c r="AF223" s="234" t="str">
        <f t="shared" si="115"/>
        <v>"C:\Program Files (x86)\AstroGrep\AstroGrep.exe" /e /r /s /spath="%USERPROFILE%\AppData\Local\Temp\OnboardLogs" /stypes="app*4023*20171208*" /stext=" 06:.+((SYSTEM_STATE.+slice.+state.+changed )|(ment ac)|(multiple cpu faults)|(system.+state.+changed )|(\[timeout)|(PRM\|1\|D)|(kpr)|(kdp)|(train st.+moving)|(\|lc)|(penalty))"</v>
      </c>
      <c r="AG223" s="244" t="str">
        <f t="shared" si="116"/>
        <v>Other</v>
      </c>
      <c r="AH223" s="236" t="str">
        <f t="shared" si="117"/>
        <v>"%USERPROFILE%\Documents\GitHub\eaglep3\Utilities\RefineRTDCRunTimes.py" --tripid 908-07 --locoid 4023 --swversion DE.1.0.9.0 --startMP 300:58600 --initTime 2017-12-07T23:25:00 --startdatetime 2017-12-07T23:27:44 --delay 63 --endMP 300:28782 --enddatetime 2017-12-07T23:43:28 --enforcementcount 1 &gt;&gt;%USERPROFILE%\Documents\GitHub\eaglep3-reporting\EC\2017-12-07-refined-times.txt</v>
      </c>
      <c r="AI223" s="238" t="str">
        <f t="shared" si="118"/>
        <v>echo {"issue":{"subject":"","project_id":79,"tracker_id":40,"status_id":1,"priority_id":2,"assigned_to_id":338,"start_date":"2017-12-07","description":"","custom_fields":[{"id":1,"name":"Subdivision","value":"Other"},{"id":4,"name":"Milepost","value":"2.8782"},{"id":17,"name":"Train ID","value":"908-07"},{"id":16,"name":"Locomotive ID","value":"4023"},{"id":130,"name":"Impact","value":""},{"id":150,"name":"Time of Event (Mountain Time)","value":"23:43:28"},{"id":151,"name":"Denver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231"/>
      <c r="AL223" s="231"/>
      <c r="AM223" s="240" t="str">
        <f t="shared" si="119"/>
        <v>start /low /b %USERPROFILE%\Documents\GitHub\eaglep3\Utilities\DownloadLogsFromS3.py --loco 4023 --day 2017-12-07</v>
      </c>
      <c r="AN223" s="241" t="str">
        <f t="shared" si="12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06:43:28"},{"id":29,"name":"Sharepoint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121"/>
        <v>https://d0f6bd738d7f1b3e5a7ca70fe4ff75f0.us-east-1.aws.found.io/app/kibana#/discover/Steve-Slow-Train-Analysis-(2080s-and-2083s)?_g=(refreshInterval:(display:Off,pause:!f,section:0,value:0),time:(from:'2017-12-07T22:25:00-0700',mode:absolute,to:'2017-12-08T00:43:28-0700'))&amp;_a=(columns:!('Message%20ID',Summary),filters:!(),index:'emp_*',interval:auto,query:(query_string:(analyze_wildcard:!t,query:'%22rtdc.l.rtdc.4023%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29" t="s">
        <v>867</v>
      </c>
      <c r="B224" s="225">
        <v>4033</v>
      </c>
      <c r="C224" s="227" t="s">
        <v>192</v>
      </c>
      <c r="D224" s="227" t="s">
        <v>1040</v>
      </c>
      <c r="E224" s="226">
        <v>43076.741759259261</v>
      </c>
      <c r="F224" s="226">
        <v>43076.743761574071</v>
      </c>
      <c r="G224" s="225">
        <v>59</v>
      </c>
      <c r="H224" s="227" t="s">
        <v>1041</v>
      </c>
      <c r="I224" s="226">
        <v>43076.749247685184</v>
      </c>
      <c r="J224" s="225">
        <v>1</v>
      </c>
      <c r="K224" s="237" t="str">
        <f t="shared" si="106"/>
        <v>4033/4034</v>
      </c>
      <c r="L224" s="245" t="str">
        <f>VLOOKUP(A224,'Trips&amp;Operators'!$C$1:$G$99911,5,FALSE)</f>
        <v>MCREYNOLDS KYLE</v>
      </c>
      <c r="M224" s="224">
        <f t="shared" si="107"/>
        <v>5.4861111129866913E-3</v>
      </c>
      <c r="N224" s="225">
        <f t="shared" si="122"/>
        <v>7.9000000027008355</v>
      </c>
      <c r="O224" s="225"/>
      <c r="P224" s="225"/>
      <c r="Q224" s="228"/>
      <c r="R224" s="242"/>
      <c r="S224" s="249">
        <f t="shared" si="123"/>
        <v>0</v>
      </c>
      <c r="T224" s="242" t="str">
        <f t="shared" si="108"/>
        <v>NorthBound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48" t="str">
        <f t="shared" si="109"/>
        <v>https://d0f6bd738d7f1b3e5a7ca70fe4ff75f0.us-east-1.aws.found.io/app/kibana#/discover/Steve-Slow-Train-Analysis-(2080s-and-2083s)?_g=(refreshInterval:(display:Off,pause:!f,section:0,value:0),time:(from:'2017-12-07T16:48:08-0700',mode:absolute,to:'2017-12-07T18:58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4" s="247" t="str">
        <f>IF(AA224&lt;VLOOKUP(AG224,Variables!$AC$3:$AD$8,2,FALSE),"Y","N")</f>
        <v>Y</v>
      </c>
      <c r="X224" s="247">
        <f t="shared" si="95"/>
        <v>-851</v>
      </c>
      <c r="Y224" s="247">
        <f t="shared" si="110"/>
        <v>2.3504</v>
      </c>
      <c r="Z224" s="247">
        <f t="shared" si="111"/>
        <v>9.5000000000000001E-2</v>
      </c>
      <c r="AA224" s="247">
        <f t="shared" si="112"/>
        <v>2.2553999999999998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 t="shared" si="113"/>
        <v>57</v>
      </c>
      <c r="AE224" s="235" t="str">
        <f t="shared" si="114"/>
        <v>aws s3 cp s3://rtdc.mdm.uploadarchive.raw/RTDC4033/ "%USERPROFILE%\AppData\Local\Temp\OnboardLogs"\RTDC4033\2017-12-07 --exclude "*" --recursive --include "*20171207*" &amp; "%USERPROFILE%\Documents\GitHub\mrs-test-scripts\Headless Mode &amp; Sideloading\WalkAndUnGZ.bat" "%USERPROFILE%\AppData\Local\Temp\OnboardLogs"\RTDC4033\2017-12-07 &amp; aws s3 cp s3://rtdc.mdm.uploadarchive.raw/RTDC4033/ "%USERPROFILE%\AppData\Local\Temp\OnboardLogs"\RTDC4033\2017-12-08 --exclude "*" --recursive --include "*20171208*" &amp; "%USERPROFILE%\Documents\GitHub\mrs-test-scripts\Headless Mode &amp; Sideloading\WalkAndUnGZ.bat" "%USERPROFILE%\AppData\Local\Temp\OnboardLogs"\RTDC4033\2017-12-08</v>
      </c>
      <c r="AF224" s="234" t="str">
        <f t="shared" si="115"/>
        <v>"C:\Program Files (x86)\AstroGrep\AstroGrep.exe" /e /r /s /spath="%USERPROFILE%\AppData\Local\Temp\OnboardLogs" /stypes="app*4033*20171208*" /stext=" 00:.+((SYSTEM_STATE.+slice.+state.+changed )|(ment ac)|(multiple cpu faults)|(system.+state.+changed )|(\[timeout)|(PRM\|1\|D)|(kpr)|(kdp)|(train st.+moving)|(\|lc)|(penalty))"</v>
      </c>
      <c r="AG224" s="244" t="str">
        <f t="shared" si="116"/>
        <v>Shuttle/Test</v>
      </c>
      <c r="AH224" s="236" t="str">
        <f t="shared" si="117"/>
        <v>"%USERPROFILE%\Documents\GitHub\eaglep3\Utilities\RefineRTDCRunTimes.py" --tripid 57-07 --locoid 4033 --swversion DE.1.0.9.0 --startMP 300:23504 --initTime 2017-12-07T17:48:08 --startdatetime 2017-12-07T17:51:01 --delay 59 --endMP 204:950 --enddatetime 2017-12-07T17:58:55 --enforcementcount 1 &gt;&gt;%USERPROFILE%\Documents\GitHub\eaglep3-reporting\EC\2017-12-07-refined-times.txt</v>
      </c>
      <c r="AI224" s="238" t="str">
        <f t="shared" si="118"/>
        <v>echo {"issue":{"subject":"","project_id":79,"tracker_id":40,"status_id":1,"priority_id":2,"assigned_to_id":338,"start_date":"2017-12-07","description":"","custom_fields":[{"id":1,"name":"Subdivision","value":"Shuttle/Test"},{"id":4,"name":"Milepost","value":"0.095"},{"id":17,"name":"Train ID","value":"57-07"},{"id":16,"name":"Locomotive ID","value":"4033"},{"id":130,"name":"Impact","value":""},{"id":150,"name":"Time of Event (Mountain Time)","value":"17:58:55"},{"id":151,"name":"Denver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3"/>
      <c r="AK224" s="231"/>
      <c r="AL224" s="231"/>
      <c r="AM224" s="240" t="str">
        <f t="shared" si="119"/>
        <v>start /low /b %USERPROFILE%\Documents\GitHub\eaglep3\Utilities\DownloadLogsFromS3.py --loco 4033 --day 2017-12-07</v>
      </c>
      <c r="AN224" s="241" t="str">
        <f t="shared" si="12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00:58:55"},{"id":29,"name":"Sharepoint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121"/>
        <v>https://d0f6bd738d7f1b3e5a7ca70fe4ff75f0.us-east-1.aws.found.io/app/kibana#/discover/Steve-Slow-Train-Analysis-(2080s-and-2083s)?_g=(refreshInterval:(display:Off,pause:!f,section:0,value:0),time:(from:'2017-12-07T16:48:08-0700',mode:absolute,to:'2017-12-07T18:58:55-0700'))&amp;_a=(columns:!('Message%20ID',Summary),filters:!(),index:'emp_*',interval:auto,query:(query_string:(analyze_wildcard:!t,query:'%22rtdc.l.rtdc.4033%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29" t="s">
        <v>822</v>
      </c>
      <c r="B225" s="225">
        <v>4022</v>
      </c>
      <c r="C225" s="227" t="s">
        <v>192</v>
      </c>
      <c r="D225" s="227" t="s">
        <v>462</v>
      </c>
      <c r="E225" s="226">
        <v>43076.574687499997</v>
      </c>
      <c r="F225" s="226">
        <v>43076.579456018517</v>
      </c>
      <c r="G225" s="225">
        <v>57</v>
      </c>
      <c r="H225" s="227" t="s">
        <v>661</v>
      </c>
      <c r="I225" s="226">
        <v>43076.580682870372</v>
      </c>
      <c r="J225" s="225">
        <v>1</v>
      </c>
      <c r="K225" s="237" t="str">
        <f t="shared" si="106"/>
        <v>4021/4022</v>
      </c>
      <c r="L225" s="245" t="str">
        <f>VLOOKUP(A225,'Trips&amp;Operators'!$C$1:$G$99911,5,FALSE)</f>
        <v>DE LA ROSA ALEX</v>
      </c>
      <c r="M225" s="224">
        <f t="shared" si="107"/>
        <v>1.2268518548808061E-3</v>
      </c>
      <c r="N225" s="225">
        <f t="shared" si="122"/>
        <v>1.7666666710283607</v>
      </c>
      <c r="O225" s="225"/>
      <c r="P225" s="225"/>
      <c r="Q225" s="228"/>
      <c r="R225" s="242"/>
      <c r="S225" s="249">
        <f t="shared" si="123"/>
        <v>0</v>
      </c>
      <c r="T225" s="242" t="str">
        <f t="shared" si="108"/>
        <v>NorthBound</v>
      </c>
      <c r="U225" s="24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8" t="str">
        <f t="shared" si="109"/>
        <v>https://d0f6bd738d7f1b3e5a7ca70fe4ff75f0.us-east-1.aws.found.io/app/kibana#/discover/Steve-Slow-Train-Analysis-(2080s-and-2083s)?_g=(refreshInterval:(display:Off,pause:!f,section:0,value:0),time:(from:'2017-12-07T12:47:33-0700',mode:absolute,to:'2017-12-07T14:56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5" s="247" t="str">
        <f>IF(AA225&lt;VLOOKUP(AG225,Variables!$AC$3:$AD$8,2,FALSE),"Y","N")</f>
        <v>Y</v>
      </c>
      <c r="X225" s="247">
        <f t="shared" si="95"/>
        <v>2</v>
      </c>
      <c r="Y225" s="247">
        <f t="shared" si="110"/>
        <v>5.1900000000000002E-2</v>
      </c>
      <c r="Z225" s="247">
        <f t="shared" si="111"/>
        <v>0.35420000000000001</v>
      </c>
      <c r="AA225" s="247">
        <f t="shared" si="112"/>
        <v>0.30230000000000001</v>
      </c>
      <c r="AB225" s="233" t="e">
        <f>VLOOKUP(A225,Enforcements!$C$7:$K$9,8,0)</f>
        <v>#N/A</v>
      </c>
      <c r="AC225" s="232" t="e">
        <f>VLOOKUP(A225,Enforcements!$C$7:$E$9,3,0)</f>
        <v>#N/A</v>
      </c>
      <c r="AD225" s="243">
        <f t="shared" si="113"/>
        <v>59</v>
      </c>
      <c r="AE225" s="235" t="str">
        <f t="shared" si="114"/>
        <v>aws s3 cp s3://rtdc.mdm.uploadarchive.raw/RTDC4022/ "%USERPROFILE%\AppData\Local\Temp\OnboardLogs"\RTDC4022\2017-12-07 --exclude "*" --recursive --include "*20171207*" &amp; "%USERPROFILE%\Documents\GitHub\mrs-test-scripts\Headless Mode &amp; Sideloading\WalkAndUnGZ.bat" "%USERPROFILE%\AppData\Local\Temp\OnboardLogs"\RTDC4022\2017-12-07 &amp; aws s3 cp s3://rtdc.mdm.uploadarchive.raw/RTDC4022/ "%USERPROFILE%\AppData\Local\Temp\OnboardLogs"\RTDC4022\2017-12-08 --exclude "*" --recursive --include "*20171208*" &amp; "%USERPROFILE%\Documents\GitHub\mrs-test-scripts\Headless Mode &amp; Sideloading\WalkAndUnGZ.bat" "%USERPROFILE%\AppData\Local\Temp\OnboardLogs"\RTDC4022\2017-12-08</v>
      </c>
      <c r="AF225" s="234" t="str">
        <f t="shared" si="115"/>
        <v>"C:\Program Files (x86)\AstroGrep\AstroGrep.exe" /e /r /s /spath="%USERPROFILE%\AppData\Local\Temp\OnboardLogs" /stypes="app*4022*20171207*" /stext=" 20:.+((SYSTEM_STATE.+slice.+state.+changed )|(ment ac)|(multiple cpu faults)|(system.+state.+changed )|(\[timeout)|(PRM\|1\|D)|(kpr)|(kdp)|(train st.+moving)|(\|lc)|(penalty))"</v>
      </c>
      <c r="AG225" s="244" t="str">
        <f t="shared" si="116"/>
        <v>Shuttle/Test</v>
      </c>
      <c r="AH225" s="236" t="str">
        <f t="shared" si="117"/>
        <v>"%USERPROFILE%\Documents\GitHub\eaglep3\Utilities\RefineRTDCRunTimes.py" --tripid 59-07 --locoid 4022 --swversion DE.1.0.9.0 --startMP 204:519 --initTime 2017-12-07T13:47:33 --startdatetime 2017-12-07T13:54:25 --delay 57 --endMP 204:3542 --enddatetime 2017-12-07T13:56:11 --enforcementcount 1 &gt;&gt;%USERPROFILE%\Documents\GitHub\eaglep3-reporting\EC\2017-12-07-refined-times.txt</v>
      </c>
      <c r="AI225" s="238" t="str">
        <f t="shared" si="118"/>
        <v>echo {"issue":{"subject":"","project_id":79,"tracker_id":40,"status_id":1,"priority_id":2,"assigned_to_id":338,"start_date":"2017-12-07","description":"","custom_fields":[{"id":1,"name":"Subdivision","value":"Shuttle/Test"},{"id":4,"name":"Milepost","value":"0.3542"},{"id":17,"name":"Train ID","value":"59-07"},{"id":16,"name":"Locomotive ID","value":"4022"},{"id":130,"name":"Impact","value":""},{"id":150,"name":"Time of Event (Mountain Time)","value":"13:56:11"},{"id":151,"name":"Denver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3"/>
      <c r="AK225" s="231"/>
      <c r="AL225" s="231"/>
      <c r="AM225" s="240" t="str">
        <f t="shared" si="119"/>
        <v>start /low /b %USERPROFILE%\Documents\GitHub\eaglep3\Utilities\DownloadLogsFromS3.py --loco 4022 --day 2017-12-07</v>
      </c>
      <c r="AN225" s="241" t="str">
        <f t="shared" si="120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20:56:11"},{"id":29,"name":"Sharepoint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0" t="str">
        <f t="shared" si="121"/>
        <v>https://d0f6bd738d7f1b3e5a7ca70fe4ff75f0.us-east-1.aws.found.io/app/kibana#/discover/Steve-Slow-Train-Analysis-(2080s-and-2083s)?_g=(refreshInterval:(display:Off,pause:!f,section:0,value:0),time:(from:'2017-12-07T12:47:33-0700',mode:absolute,to:'2017-12-07T14:56:11-0700'))&amp;_a=(columns:!('Message%20ID',Summary),filters:!(),index:'emp_*',interval:auto,query:(query_string:(analyze_wildcard:!t,query:'%22rtdc.l.rtdc.4022%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229" t="s">
        <v>822</v>
      </c>
      <c r="B226" s="225">
        <v>4021</v>
      </c>
      <c r="C226" s="227" t="s">
        <v>192</v>
      </c>
      <c r="D226" s="227" t="s">
        <v>1042</v>
      </c>
      <c r="E226" s="226">
        <v>43076.577893518515</v>
      </c>
      <c r="F226" s="226">
        <v>43076.579456018517</v>
      </c>
      <c r="G226" s="225">
        <v>60</v>
      </c>
      <c r="H226" s="227" t="s">
        <v>1043</v>
      </c>
      <c r="I226" s="226">
        <v>43076.580682870372</v>
      </c>
      <c r="J226" s="225">
        <v>1</v>
      </c>
      <c r="K226" s="237" t="str">
        <f t="shared" si="106"/>
        <v>4021/4022</v>
      </c>
      <c r="L226" s="245" t="str">
        <f>VLOOKUP(A226,'Trips&amp;Operators'!$C$1:$G$99911,5,FALSE)</f>
        <v>DE LA ROSA ALEX</v>
      </c>
      <c r="M226" s="224">
        <f t="shared" si="107"/>
        <v>1.2268518548808061E-3</v>
      </c>
      <c r="N226" s="225">
        <f t="shared" si="122"/>
        <v>1.7666666710283607</v>
      </c>
      <c r="O226" s="225"/>
      <c r="P226" s="225"/>
      <c r="Q226" s="228"/>
      <c r="R226" s="242"/>
      <c r="S226" s="249">
        <f t="shared" si="123"/>
        <v>0</v>
      </c>
      <c r="T226" s="242" t="str">
        <f t="shared" si="108"/>
        <v>NorthBound</v>
      </c>
      <c r="U226" s="24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8" t="str">
        <f t="shared" si="109"/>
        <v>https://d0f6bd738d7f1b3e5a7ca70fe4ff75f0.us-east-1.aws.found.io/app/kibana#/discover/Steve-Slow-Train-Analysis-(2080s-and-2083s)?_g=(refreshInterval:(display:Off,pause:!f,section:0,value:0),time:(from:'2017-12-07T12:52:10-0700',mode:absolute,to:'2017-12-07T14:56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6" s="247" t="str">
        <f>IF(AA226&lt;VLOOKUP(AG226,Variables!$AC$3:$AD$8,2,FALSE),"Y","N")</f>
        <v>Y</v>
      </c>
      <c r="X226" s="247">
        <f t="shared" si="95"/>
        <v>0</v>
      </c>
      <c r="Y226" s="247">
        <f t="shared" si="110"/>
        <v>0.32129999999999997</v>
      </c>
      <c r="Z226" s="247">
        <f t="shared" si="111"/>
        <v>0.1171</v>
      </c>
      <c r="AA226" s="247">
        <f t="shared" si="112"/>
        <v>0.20419999999999999</v>
      </c>
      <c r="AB226" s="233" t="e">
        <f>VLOOKUP(A226,Enforcements!$C$7:$K$9,8,0)</f>
        <v>#N/A</v>
      </c>
      <c r="AC226" s="232" t="e">
        <f>VLOOKUP(A226,Enforcements!$C$7:$E$9,3,0)</f>
        <v>#N/A</v>
      </c>
      <c r="AD226" s="243">
        <f t="shared" si="113"/>
        <v>59</v>
      </c>
      <c r="AE226" s="235" t="str">
        <f t="shared" si="114"/>
        <v>aws s3 cp s3://rtdc.mdm.uploadarchive.raw/RTDC4021/ "%USERPROFILE%\AppData\Local\Temp\OnboardLogs"\RTDC4021\2017-12-07 --exclude "*" --recursive --include "*20171207*" &amp; "%USERPROFILE%\Documents\GitHub\mrs-test-scripts\Headless Mode &amp; Sideloading\WalkAndUnGZ.bat" "%USERPROFILE%\AppData\Local\Temp\OnboardLogs"\RTDC4021\2017-12-07 &amp; aws s3 cp s3://rtdc.mdm.uploadarchive.raw/RTDC4021/ "%USERPROFILE%\AppData\Local\Temp\OnboardLogs"\RTDC4021\2017-12-08 --exclude "*" --recursive --include "*20171208*" &amp; "%USERPROFILE%\Documents\GitHub\mrs-test-scripts\Headless Mode &amp; Sideloading\WalkAndUnGZ.bat" "%USERPROFILE%\AppData\Local\Temp\OnboardLogs"\RTDC4021\2017-12-08</v>
      </c>
      <c r="AF226" s="234" t="str">
        <f t="shared" si="115"/>
        <v>"C:\Program Files (x86)\AstroGrep\AstroGrep.exe" /e /r /s /spath="%USERPROFILE%\AppData\Local\Temp\OnboardLogs" /stypes="app*4021*20171207*" /stext=" 20:.+((SYSTEM_STATE.+slice.+state.+changed )|(ment ac)|(multiple cpu faults)|(system.+state.+changed )|(\[timeout)|(PRM\|1\|D)|(kpr)|(kdp)|(train st.+moving)|(\|lc)|(penalty))"</v>
      </c>
      <c r="AG226" s="244" t="str">
        <f t="shared" si="116"/>
        <v>Shuttle/Test</v>
      </c>
      <c r="AH226" s="236" t="str">
        <f t="shared" si="117"/>
        <v>"%USERPROFILE%\Documents\GitHub\eaglep3\Utilities\RefineRTDCRunTimes.py" --tripid 59-07 --locoid 4021 --swversion DE.1.0.9.0 --startMP 204:3213 --initTime 2017-12-07T13:52:10 --startdatetime 2017-12-07T13:54:25 --delay 60 --endMP 204:1171 --enddatetime 2017-12-07T13:56:11 --enforcementcount 1 &gt;&gt;%USERPROFILE%\Documents\GitHub\eaglep3-reporting\EC\2017-12-07-refined-times.txt</v>
      </c>
      <c r="AI226" s="238" t="str">
        <f t="shared" si="118"/>
        <v>echo {"issue":{"subject":"","project_id":79,"tracker_id":40,"status_id":1,"priority_id":2,"assigned_to_id":338,"start_date":"2017-12-07","description":"","custom_fields":[{"id":1,"name":"Subdivision","value":"Shuttle/Test"},{"id":4,"name":"Milepost","value":"0.1171"},{"id":17,"name":"Train ID","value":"59-07"},{"id":16,"name":"Locomotive ID","value":"4021"},{"id":130,"name":"Impact","value":""},{"id":150,"name":"Time of Event (Mountain Time)","value":"13:56:11"},{"id":151,"name":"Denver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3"/>
      <c r="AK226" s="231"/>
      <c r="AL226" s="231"/>
      <c r="AM226" s="240" t="str">
        <f t="shared" si="119"/>
        <v>start /low /b %USERPROFILE%\Documents\GitHub\eaglep3\Utilities\DownloadLogsFromS3.py --loco 4021 --day 2017-12-07</v>
      </c>
      <c r="AN226" s="241" t="str">
        <f t="shared" si="120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20:56:11"},{"id":29,"name":"Sharepoint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0" t="str">
        <f t="shared" si="121"/>
        <v>https://d0f6bd738d7f1b3e5a7ca70fe4ff75f0.us-east-1.aws.found.io/app/kibana#/discover/Steve-Slow-Train-Analysis-(2080s-and-2083s)?_g=(refreshInterval:(display:Off,pause:!f,section:0,value:0),time:(from:'2017-12-07T12:52:10-0700',mode:absolute,to:'2017-12-07T14:56:11-0700'))&amp;_a=(columns:!('Message%20ID',Summary),filters:!(),index:'emp_*',interval:auto,query:(query_string:(analyze_wildcard:!t,query:'%22rtdc.l.rtdc.4021%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229" t="s">
        <v>707</v>
      </c>
      <c r="B227" s="225">
        <v>4058</v>
      </c>
      <c r="C227" s="227" t="s">
        <v>192</v>
      </c>
      <c r="D227" s="227" t="s">
        <v>1044</v>
      </c>
      <c r="E227" s="226">
        <v>43076.123900462961</v>
      </c>
      <c r="F227" s="226">
        <v>43076.136712962965</v>
      </c>
      <c r="G227" s="225">
        <v>200</v>
      </c>
      <c r="H227" s="227" t="s">
        <v>675</v>
      </c>
      <c r="I227" s="226">
        <v>43076.137858796297</v>
      </c>
      <c r="J227" s="225">
        <v>1</v>
      </c>
      <c r="K227" s="237" t="str">
        <f t="shared" si="106"/>
        <v>4057/4058</v>
      </c>
      <c r="L227" s="245" t="str">
        <f>VLOOKUP(A227,'Trips&amp;Operators'!$C$1:$G$99911,5,FALSE)</f>
        <v>SPECTOR MICHAEL</v>
      </c>
      <c r="M227" s="224">
        <f t="shared" si="107"/>
        <v>1.1458333319751546E-3</v>
      </c>
      <c r="N227" s="225">
        <f t="shared" si="122"/>
        <v>1.6499999980442226</v>
      </c>
      <c r="O227" s="225"/>
      <c r="P227" s="225"/>
      <c r="Q227" s="228"/>
      <c r="R227" s="242"/>
      <c r="S227" s="249">
        <f t="shared" si="123"/>
        <v>0</v>
      </c>
      <c r="T227" s="242" t="str">
        <f t="shared" si="108"/>
        <v>NorthBound</v>
      </c>
      <c r="U227" s="24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8" t="str">
        <f t="shared" si="109"/>
        <v>https://d0f6bd738d7f1b3e5a7ca70fe4ff75f0.us-east-1.aws.found.io/app/kibana#/discover/Steve-Slow-Train-Analysis-(2080s-and-2083s)?_g=(refreshInterval:(display:Off,pause:!f,section:0,value:0),time:(from:'2017-12-07T01:58:25-0700',mode:absolute,to:'2017-12-07T04:18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7" s="247" t="str">
        <f>IF(AA227&lt;VLOOKUP(AG227,Variables!$AC$3:$AD$8,2,FALSE),"Y","N")</f>
        <v>Y</v>
      </c>
      <c r="X227" s="247">
        <f t="shared" si="95"/>
        <v>14</v>
      </c>
      <c r="Y227" s="247">
        <f t="shared" si="110"/>
        <v>4.3799999999999999E-2</v>
      </c>
      <c r="Z227" s="247">
        <f t="shared" si="111"/>
        <v>0.35580000000000001</v>
      </c>
      <c r="AA227" s="247">
        <f t="shared" si="112"/>
        <v>0.312</v>
      </c>
      <c r="AB227" s="233" t="e">
        <f>VLOOKUP(A227,Enforcements!$C$7:$K$9,8,0)</f>
        <v>#N/A</v>
      </c>
      <c r="AC227" s="232" t="e">
        <f>VLOOKUP(A227,Enforcements!$C$7:$E$9,3,0)</f>
        <v>#N/A</v>
      </c>
      <c r="AD227" s="243">
        <f t="shared" si="113"/>
        <v>73</v>
      </c>
      <c r="AE227" s="235" t="str">
        <f t="shared" si="114"/>
        <v>aws s3 cp s3://rtdc.mdm.uploadarchive.raw/RTDC4058/ "%USERPROFILE%\AppData\Local\Temp\OnboardLogs"\RTDC4058\2017-12-07 --exclude "*" --recursive --include "*20171207*" &amp; "%USERPROFILE%\Documents\GitHub\mrs-test-scripts\Headless Mode &amp; Sideloading\WalkAndUnGZ.bat" "%USERPROFILE%\AppData\Local\Temp\OnboardLogs"\RTDC4058\2017-12-07 &amp; aws s3 cp s3://rtdc.mdm.uploadarchive.raw/RTDC4058/ "%USERPROFILE%\AppData\Local\Temp\OnboardLogs"\RTDC4058\2017-12-08 --exclude "*" --recursive --include "*20171208*" &amp; "%USERPROFILE%\Documents\GitHub\mrs-test-scripts\Headless Mode &amp; Sideloading\WalkAndUnGZ.bat" "%USERPROFILE%\AppData\Local\Temp\OnboardLogs"\RTDC4058\2017-12-08</v>
      </c>
      <c r="AF227" s="234" t="str">
        <f t="shared" si="115"/>
        <v>"C:\Program Files (x86)\AstroGrep\AstroGrep.exe" /e /r /s /spath="%USERPROFILE%\AppData\Local\Temp\OnboardLogs" /stypes="app*4058*20171207*" /stext=" 10:.+((SYSTEM_STATE.+slice.+state.+changed )|(ment ac)|(multiple cpu faults)|(system.+state.+changed )|(\[timeout)|(PRM\|1\|D)|(kpr)|(kdp)|(train st.+moving)|(\|lc)|(penalty))"</v>
      </c>
      <c r="AG227" s="244" t="str">
        <f t="shared" si="116"/>
        <v>Shuttle/Test</v>
      </c>
      <c r="AH227" s="236" t="str">
        <f t="shared" si="117"/>
        <v>"%USERPROFILE%\Documents\GitHub\eaglep3\Utilities\RefineRTDCRunTimes.py" --tripid 73-07 --locoid 4058 --swversion DE.1.0.9.0 --startMP 204:438 --initTime 2017-12-07T02:58:25 --startdatetime 2017-12-07T03:16:52 --delay 200 --endMP 204:3558 --enddatetime 2017-12-07T03:18:31 --enforcementcount 1 &gt;&gt;%USERPROFILE%\Documents\GitHub\eaglep3-reporting\EC\2017-12-07-refined-times.txt</v>
      </c>
      <c r="AI227" s="238" t="str">
        <f t="shared" si="118"/>
        <v>echo {"issue":{"subject":"","project_id":79,"tracker_id":40,"status_id":1,"priority_id":2,"assigned_to_id":338,"start_date":"2017-12-07","description":"","custom_fields":[{"id":1,"name":"Subdivision","value":"Shuttle/Test"},{"id":4,"name":"Milepost","value":"0.3558"},{"id":17,"name":"Train ID","value":"73-07"},{"id":16,"name":"Locomotive ID","value":"4058"},{"id":130,"name":"Impact","value":""},{"id":150,"name":"Time of Event (Mountain Time)","value":"03:18:31"},{"id":151,"name":"Denver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3"/>
      <c r="AK227" s="231"/>
      <c r="AL227" s="231"/>
      <c r="AM227" s="240" t="str">
        <f t="shared" si="119"/>
        <v>start /low /b %USERPROFILE%\Documents\GitHub\eaglep3\Utilities\DownloadLogsFromS3.py --loco 4058 --day 2017-12-07</v>
      </c>
      <c r="AN227" s="241" t="str">
        <f t="shared" si="120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10:18:31"},{"id":29,"name":"Sharepoint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0" t="str">
        <f t="shared" si="121"/>
        <v>https://d0f6bd738d7f1b3e5a7ca70fe4ff75f0.us-east-1.aws.found.io/app/kibana#/discover/Steve-Slow-Train-Analysis-(2080s-and-2083s)?_g=(refreshInterval:(display:Off,pause:!f,section:0,value:0),time:(from:'2017-12-07T01:58:25-0700',mode:absolute,to:'2017-12-07T04:18:31-0700'))&amp;_a=(columns:!('Message%20ID',Summary),filters:!(),index:'emp_*',interval:auto,query:(query_string:(analyze_wildcard:!t,query:'%22rtdc.l.rtdc.4058%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229" t="s">
        <v>711</v>
      </c>
      <c r="B228" s="225">
        <v>4057</v>
      </c>
      <c r="C228" s="227" t="s">
        <v>192</v>
      </c>
      <c r="D228" s="227" t="s">
        <v>1045</v>
      </c>
      <c r="E228" s="226">
        <v>43076.138854166667</v>
      </c>
      <c r="F228" s="226">
        <v>43076.140324074076</v>
      </c>
      <c r="G228" s="225">
        <v>67</v>
      </c>
      <c r="H228" s="227" t="s">
        <v>1046</v>
      </c>
      <c r="I228" s="226">
        <v>43076.141469907408</v>
      </c>
      <c r="J228" s="225">
        <v>1</v>
      </c>
      <c r="K228" s="237" t="str">
        <f t="shared" si="106"/>
        <v>4057/4058</v>
      </c>
      <c r="L228" s="245" t="str">
        <f>VLOOKUP(A228,'Trips&amp;Operators'!$C$1:$G$99911,5,FALSE)</f>
        <v>SPECTOR MICHAEL</v>
      </c>
      <c r="M228" s="224">
        <f t="shared" si="107"/>
        <v>1.1458333319751546E-3</v>
      </c>
      <c r="N228" s="225">
        <f t="shared" si="122"/>
        <v>1.6499999980442226</v>
      </c>
      <c r="O228" s="225"/>
      <c r="P228" s="225"/>
      <c r="Q228" s="228"/>
      <c r="R228" s="242"/>
      <c r="S228" s="249">
        <f t="shared" si="123"/>
        <v>0</v>
      </c>
      <c r="T228" s="242" t="str">
        <f t="shared" si="108"/>
        <v>Southbound</v>
      </c>
      <c r="U228" s="24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8" t="str">
        <f t="shared" si="109"/>
        <v>https://d0f6bd738d7f1b3e5a7ca70fe4ff75f0.us-east-1.aws.found.io/app/kibana#/discover/Steve-Slow-Train-Analysis-(2080s-and-2083s)?_g=(refreshInterval:(display:Off,pause:!f,section:0,value:0),time:(from:'2017-12-07T02:19:57-0700',mode:absolute,to:'2017-12-07T04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8" s="247" t="str">
        <f>IF(AA228&lt;VLOOKUP(AG228,Variables!$AC$3:$AD$8,2,FALSE),"Y","N")</f>
        <v>Y</v>
      </c>
      <c r="X228" s="247">
        <f t="shared" si="95"/>
        <v>1</v>
      </c>
      <c r="Y228" s="247">
        <f t="shared" si="110"/>
        <v>0.32629999999999998</v>
      </c>
      <c r="Z228" s="247">
        <f t="shared" si="111"/>
        <v>0.11899999999999999</v>
      </c>
      <c r="AA228" s="247">
        <f t="shared" si="112"/>
        <v>0.20729999999999998</v>
      </c>
      <c r="AB228" s="233" t="e">
        <f>VLOOKUP(A228,Enforcements!$C$7:$K$9,8,0)</f>
        <v>#N/A</v>
      </c>
      <c r="AC228" s="232" t="e">
        <f>VLOOKUP(A228,Enforcements!$C$7:$E$9,3,0)</f>
        <v>#N/A</v>
      </c>
      <c r="AD228" s="243">
        <f t="shared" si="113"/>
        <v>74</v>
      </c>
      <c r="AE228" s="235" t="str">
        <f t="shared" si="114"/>
        <v>aws s3 cp s3://rtdc.mdm.uploadarchive.raw/RTDC4057/ "%USERPROFILE%\AppData\Local\Temp\OnboardLogs"\RTDC4057\2017-12-07 --exclude "*" --recursive --include "*20171207*" &amp; "%USERPROFILE%\Documents\GitHub\mrs-test-scripts\Headless Mode &amp; Sideloading\WalkAndUnGZ.bat" "%USERPROFILE%\AppData\Local\Temp\OnboardLogs"\RTDC4057\2017-12-07 &amp; aws s3 cp s3://rtdc.mdm.uploadarchive.raw/RTDC4057/ "%USERPROFILE%\AppData\Local\Temp\OnboardLogs"\RTDC4057\2017-12-08 --exclude "*" --recursive --include "*20171208*" &amp; "%USERPROFILE%\Documents\GitHub\mrs-test-scripts\Headless Mode &amp; Sideloading\WalkAndUnGZ.bat" "%USERPROFILE%\AppData\Local\Temp\OnboardLogs"\RTDC4057\2017-12-08</v>
      </c>
      <c r="AF228" s="234" t="str">
        <f t="shared" si="115"/>
        <v>"C:\Program Files (x86)\AstroGrep\AstroGrep.exe" /e /r /s /spath="%USERPROFILE%\AppData\Local\Temp\OnboardLogs" /stypes="app*4057*20171207*" /stext=" 10:.+((SYSTEM_STATE.+slice.+state.+changed )|(ment ac)|(multiple cpu faults)|(system.+state.+changed )|(\[timeout)|(PRM\|1\|D)|(kpr)|(kdp)|(train st.+moving)|(\|lc)|(penalty))"</v>
      </c>
      <c r="AG228" s="244" t="str">
        <f t="shared" si="116"/>
        <v>Shuttle/Test</v>
      </c>
      <c r="AH228" s="236" t="str">
        <f t="shared" si="117"/>
        <v>"%USERPROFILE%\Documents\GitHub\eaglep3\Utilities\RefineRTDCRunTimes.py" --tripid 74-07 --locoid 4057 --swversion DE.1.0.9.0 --startMP 204:3263 --initTime 2017-12-07T03:19:57 --startdatetime 2017-12-07T03:22:04 --delay 67 --endMP 204:1190 --enddatetime 2017-12-07T03:23:43 --enforcementcount 1 &gt;&gt;%USERPROFILE%\Documents\GitHub\eaglep3-reporting\EC\2017-12-07-refined-times.txt</v>
      </c>
      <c r="AI228" s="238" t="str">
        <f t="shared" si="118"/>
        <v>echo {"issue":{"subject":"","project_id":79,"tracker_id":40,"status_id":1,"priority_id":2,"assigned_to_id":338,"start_date":"2017-12-07","description":"","custom_fields":[{"id":1,"name":"Subdivision","value":"Shuttle/Test"},{"id":4,"name":"Milepost","value":"0.119"},{"id":17,"name":"Train ID","value":"74-07"},{"id":16,"name":"Locomotive ID","value":"4057"},{"id":130,"name":"Impact","value":""},{"id":150,"name":"Time of Event (Mountain Time)","value":"03:23:43"},{"id":151,"name":"Denver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3"/>
      <c r="AK228" s="231"/>
      <c r="AL228" s="231"/>
      <c r="AM228" s="240" t="str">
        <f t="shared" si="119"/>
        <v>start /low /b %USERPROFILE%\Documents\GitHub\eaglep3\Utilities\DownloadLogsFromS3.py --loco 4057 --day 2017-12-07</v>
      </c>
      <c r="AN228" s="241" t="str">
        <f t="shared" si="120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10:23:43"},{"id":29,"name":"Sharepoint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0" t="str">
        <f t="shared" si="121"/>
        <v>https://d0f6bd738d7f1b3e5a7ca70fe4ff75f0.us-east-1.aws.found.io/app/kibana#/discover/Steve-Slow-Train-Analysis-(2080s-and-2083s)?_g=(refreshInterval:(display:Off,pause:!f,section:0,value:0),time:(from:'2017-12-07T02:19:57-0700',mode:absolute,to:'2017-12-07T04:23:43-0700'))&amp;_a=(columns:!('Message%20ID',Summary),filters:!(),index:'emp_*',interval:auto,query:(query_string:(analyze_wildcard:!t,query:'%22rtdc.l.rtdc.4057%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229" t="s">
        <v>849</v>
      </c>
      <c r="B229" s="225">
        <v>4022</v>
      </c>
      <c r="C229" s="227" t="s">
        <v>192</v>
      </c>
      <c r="D229" s="227" t="s">
        <v>1047</v>
      </c>
      <c r="E229" s="226">
        <v>43076.686782407407</v>
      </c>
      <c r="F229" s="226">
        <v>43076.689976851849</v>
      </c>
      <c r="G229" s="225">
        <v>139</v>
      </c>
      <c r="H229" s="227" t="s">
        <v>663</v>
      </c>
      <c r="I229" s="226">
        <v>43076.696562500001</v>
      </c>
      <c r="J229" s="225">
        <v>1</v>
      </c>
      <c r="K229" s="237" t="str">
        <f t="shared" si="106"/>
        <v>4021/4022</v>
      </c>
      <c r="L229" s="245" t="str">
        <f>VLOOKUP(A229,'Trips&amp;Operators'!$C$1:$G$99911,5,FALSE)</f>
        <v>DE LA ROSA ALEX</v>
      </c>
      <c r="M229" s="224">
        <f t="shared" si="107"/>
        <v>6.5856481523951516E-3</v>
      </c>
      <c r="N229" s="225">
        <f t="shared" si="122"/>
        <v>9.4833333394490182</v>
      </c>
      <c r="O229" s="225"/>
      <c r="P229" s="225"/>
      <c r="Q229" s="228"/>
      <c r="R229" s="242"/>
      <c r="S229" s="249">
        <f t="shared" si="123"/>
        <v>1</v>
      </c>
      <c r="T229" s="242" t="str">
        <f t="shared" si="108"/>
        <v>NorthBound</v>
      </c>
      <c r="U229" s="24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48" t="str">
        <f t="shared" si="109"/>
        <v>https://d0f6bd738d7f1b3e5a7ca70fe4ff75f0.us-east-1.aws.found.io/app/kibana#/discover/Steve-Slow-Train-Analysis-(2080s-and-2083s)?_g=(refreshInterval:(display:Off,pause:!f,section:0,value:0),time:(from:'2017-12-07T15:28:58-0700',mode:absolute,to:'2017-12-07T17:43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9" s="247" t="str">
        <f>IF(AA229&lt;VLOOKUP(AG229,Variables!$AC$3:$AD$8,2,FALSE),"Y","N")</f>
        <v>Y</v>
      </c>
      <c r="X229" s="247">
        <f t="shared" si="95"/>
        <v>1</v>
      </c>
      <c r="Y229" s="247">
        <f t="shared" si="110"/>
        <v>0.14829999999999999</v>
      </c>
      <c r="Z229" s="247">
        <f t="shared" si="111"/>
        <v>2.3296999999999999</v>
      </c>
      <c r="AA229" s="247">
        <f t="shared" si="112"/>
        <v>2.1814</v>
      </c>
      <c r="AB229" s="233" t="e">
        <f>VLOOKUP(A229,Enforcements!$C$7:$K$9,8,0)</f>
        <v>#N/A</v>
      </c>
      <c r="AC229" s="232" t="e">
        <f>VLOOKUP(A229,Enforcements!$C$7:$E$9,3,0)</f>
        <v>#N/A</v>
      </c>
      <c r="AD229" s="243">
        <f t="shared" si="113"/>
        <v>75</v>
      </c>
      <c r="AE229" s="235" t="str">
        <f t="shared" si="114"/>
        <v>aws s3 cp s3://rtdc.mdm.uploadarchive.raw/RTDC4022/ "%USERPROFILE%\AppData\Local\Temp\OnboardLogs"\RTDC4022\2017-12-07 --exclude "*" --recursive --include "*20171207*" &amp; "%USERPROFILE%\Documents\GitHub\mrs-test-scripts\Headless Mode &amp; Sideloading\WalkAndUnGZ.bat" "%USERPROFILE%\AppData\Local\Temp\OnboardLogs"\RTDC4022\2017-12-07 &amp; aws s3 cp s3://rtdc.mdm.uploadarchive.raw/RTDC4022/ "%USERPROFILE%\AppData\Local\Temp\OnboardLogs"\RTDC4022\2017-12-08 --exclude "*" --recursive --include "*20171208*" &amp; "%USERPROFILE%\Documents\GitHub\mrs-test-scripts\Headless Mode &amp; Sideloading\WalkAndUnGZ.bat" "%USERPROFILE%\AppData\Local\Temp\OnboardLogs"\RTDC4022\2017-12-08</v>
      </c>
      <c r="AF229" s="234" t="str">
        <f t="shared" si="115"/>
        <v>"C:\Program Files (x86)\AstroGrep\AstroGrep.exe" /e /r /s /spath="%USERPROFILE%\AppData\Local\Temp\OnboardLogs" /stypes="app*4022*20171207*" /stext=" 23:.+((SYSTEM_STATE.+slice.+state.+changed )|(ment ac)|(multiple cpu faults)|(system.+state.+changed )|(\[timeout)|(PRM\|1\|D)|(kpr)|(kdp)|(train st.+moving)|(\|lc)|(penalty))"</v>
      </c>
      <c r="AG229" s="244" t="str">
        <f t="shared" si="116"/>
        <v>Shuttle/Test</v>
      </c>
      <c r="AH229" s="236" t="str">
        <f t="shared" si="117"/>
        <v>"%USERPROFILE%\Documents\GitHub\eaglep3\Utilities\RefineRTDCRunTimes.py" --tripid 75-07 --locoid 4022 --swversion DE.1.0.9.0 --startMP 204:1483 --initTime 2017-12-07T16:28:58 --startdatetime 2017-12-07T16:33:34 --delay 139 --endMP 300:23297 --enddatetime 2017-12-07T16:43:03 --enforcementcount 1 &gt;&gt;%USERPROFILE%\Documents\GitHub\eaglep3-reporting\EC\2017-12-07-refined-times.txt</v>
      </c>
      <c r="AI229" s="238" t="str">
        <f t="shared" si="118"/>
        <v>echo {"issue":{"subject":"","project_id":79,"tracker_id":40,"status_id":1,"priority_id":2,"assigned_to_id":338,"start_date":"2017-12-07","description":"","custom_fields":[{"id":1,"name":"Subdivision","value":"Shuttle/Test"},{"id":4,"name":"Milepost","value":"2.3297"},{"id":17,"name":"Train ID","value":"75-07"},{"id":16,"name":"Locomotive ID","value":"4022"},{"id":130,"name":"Impact","value":""},{"id":150,"name":"Time of Event (Mountain Time)","value":"16:43:03"},{"id":151,"name":"Denver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3"/>
      <c r="AK229" s="231"/>
      <c r="AL229" s="231"/>
      <c r="AM229" s="240" t="str">
        <f t="shared" si="119"/>
        <v>start /low /b %USERPROFILE%\Documents\GitHub\eaglep3\Utilities\DownloadLogsFromS3.py --loco 4022 --day 2017-12-07</v>
      </c>
      <c r="AN229" s="241" t="str">
        <f t="shared" si="120"/>
        <v>echo {"issue":{"subject":"","project_id":30,"tracker_id":4,"status_id":1,"priority_id":1,"assigned_to_id":10,"start_date":"2017-12-07","description":"","custom_fields":[{"id":30,"name":"Category","value":"Issue"},{"id":3,"name":"Functional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UTC","value":"2017-12-07 23:43:03"},{"id":29,"name":"Sharepoint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0" t="str">
        <f t="shared" si="121"/>
        <v>https://d0f6bd738d7f1b3e5a7ca70fe4ff75f0.us-east-1.aws.found.io/app/kibana#/discover/Steve-Slow-Train-Analysis-(2080s-and-2083s)?_g=(refreshInterval:(display:Off,pause:!f,section:0,value:0),time:(from:'2017-12-07T15:28:58-0700',mode:absolute,to:'2017-12-07T17:43:03-0700'))&amp;_a=(columns:!('Message%20ID',Summary),filters:!(),index:'emp_*',interval:auto,query:(query_string:(analyze_wildcard:!t,query:'%22rtdc.l.rtdc.4022%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229" t="s">
        <v>698</v>
      </c>
      <c r="B230" s="225">
        <v>4006</v>
      </c>
      <c r="C230" s="227" t="s">
        <v>192</v>
      </c>
      <c r="D230" s="227" t="s">
        <v>662</v>
      </c>
      <c r="E230" s="226">
        <v>43076.705833333333</v>
      </c>
      <c r="F230" s="226">
        <v>43076.725983796299</v>
      </c>
      <c r="G230" s="225">
        <v>68</v>
      </c>
      <c r="H230" s="227" t="s">
        <v>1048</v>
      </c>
      <c r="I230" s="226">
        <v>43076.736493055556</v>
      </c>
      <c r="J230" s="225">
        <v>1</v>
      </c>
      <c r="K230" s="237" t="str">
        <f t="shared" si="106"/>
        <v>4005/4006</v>
      </c>
      <c r="L230" s="245" t="str">
        <f>VLOOKUP(A230,'Trips&amp;Operators'!$C$1:$G$99911,5,FALSE)</f>
        <v>NEWELL JAMES</v>
      </c>
      <c r="M230" s="224">
        <f t="shared" si="107"/>
        <v>1.0509259256650694E-2</v>
      </c>
      <c r="N230" s="225">
        <f t="shared" si="122"/>
        <v>15.133333329576999</v>
      </c>
      <c r="O230" s="225"/>
      <c r="P230" s="225"/>
      <c r="Q230" s="228"/>
      <c r="R230" s="242"/>
      <c r="S230" s="249">
        <f t="shared" si="123"/>
        <v>1</v>
      </c>
      <c r="T230" s="242" t="str">
        <f t="shared" si="108"/>
        <v>NorthBound</v>
      </c>
      <c r="U230" s="24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48" t="str">
        <f t="shared" si="109"/>
        <v>https://d0f6bd738d7f1b3e5a7ca70fe4ff75f0.us-east-1.aws.found.io/app/kibana#/discover/Steve-Slow-Train-Analysis-(2080s-and-2083s)?_g=(refreshInterval:(display:Off,pause:!f,section:0,value:0),time:(from:'2017-12-07T15:56:24-0700',mode:absolute,to:'2017-12-07T18:40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0" s="247" t="str">
        <f>IF(AA230&lt;VLOOKUP(AG230,Variables!$AC$3:$AD$8,2,FALSE),"Y","N")</f>
        <v>Y</v>
      </c>
      <c r="X230" s="247">
        <f t="shared" si="95"/>
        <v>2</v>
      </c>
      <c r="Y230" s="247">
        <f t="shared" si="110"/>
        <v>0.1154</v>
      </c>
      <c r="Z230" s="247">
        <f t="shared" si="111"/>
        <v>2.3304</v>
      </c>
      <c r="AA230" s="247">
        <f t="shared" si="112"/>
        <v>2.2149999999999999</v>
      </c>
      <c r="AB230" s="233" t="e">
        <f>VLOOKUP(A230,Enforcements!$C$7:$K$9,8,0)</f>
        <v>#N/A</v>
      </c>
      <c r="AC230" s="232" t="e">
        <f>VLOOKUP(A230,Enforcements!$C$7:$E$9,3,0)</f>
        <v>#N/A</v>
      </c>
      <c r="AD230" s="243">
        <f t="shared" si="113"/>
        <v>77</v>
      </c>
      <c r="AE230" s="235" t="str">
        <f t="shared" si="114"/>
        <v>aws s3 cp s3://rtdc.mdm.uploadarchive.raw/RTDC4006/ "%USERPROFILE%\AppData\Local\Temp\OnboardLogs"\RTDC4006\2017-12-07 --exclude "*" --recursive --include "*20171207*" &amp; "%USERPROFILE%\Documents\GitHub\mrs-test-scripts\Headless Mode &amp; Sideloading\WalkAndUnGZ.bat" "%USERPROFILE%\AppData\Local\Temp\OnboardLogs"\RTDC4006\2017-12-07 &amp; aws s3 cp s3://rtdc.mdm.uploadarchive.raw/RTDC4006/ "%USERPROFILE%\AppData\Local\Temp\OnboardLogs"\RTDC4006\2017-12-08 --exclude "*" --recursive --include "*20171208*" &amp; "%USERPROFILE%\Documents\GitHub\mrs-test-scripts\Headless Mode &amp; Sideloading\WalkAndUnGZ.bat" "%USERPROFILE%\AppData\Local\Temp\OnboardLogs"\RTDC4006\2017-12-08</v>
      </c>
      <c r="AF230" s="234" t="str">
        <f t="shared" si="115"/>
        <v>"C:\Program Files (x86)\AstroGrep\AstroGrep.exe" /e /r /s /spath="%USERPROFILE%\AppData\Local\Temp\OnboardLogs" /stypes="app*4006*20171208*" /stext=" 00:.+((SYSTEM_STATE.+slice.+state.+changed )|(ment ac)|(multiple cpu faults)|(system.+state.+changed )|(\[timeout)|(PRM\|1\|D)|(kpr)|(kdp)|(train st.+moving)|(\|lc)|(penalty))"</v>
      </c>
      <c r="AG230" s="244" t="str">
        <f t="shared" si="116"/>
        <v>Shuttle/Test</v>
      </c>
      <c r="AH230" s="236" t="str">
        <f t="shared" si="117"/>
        <v>"%USERPROFILE%\Documents\GitHub\eaglep3\Utilities\RefineRTDCRunTimes.py" --tripid 77-07 --locoid 4006 --swversion DE.1.0.9.0 --startMP 204:1154 --initTime 2017-12-07T16:56:24 --startdatetime 2017-12-07T17:25:25 --delay 68 --endMP 300:23304 --enddatetime 2017-12-07T17:40:33 --enforcementcount 1 &gt;&gt;%USERPROFILE%\Documents\GitHub\eaglep3-reporting\EC\2017-12-07-refined-times.txt</v>
      </c>
      <c r="AI230" s="238" t="str">
        <f t="shared" si="118"/>
        <v>echo {"issue":{"subject":"","project_id":79,"tracker_id":40,"status_id":1,"priority_id":2,"assigned_to_id":338,"start_date":"2017-12-07","description":"","custom_fields":[{"id":1,"name":"Subdivision","value":"Shuttle/Test"},{"id":4,"name":"Milepost","value":"2.3304"},{"id":17,"name":"Train ID","value":"77-07"},{"id":16,"name":"Locomotive ID","value":"4006"},{"id":130,"name":"Impact","value":""},{"id":150,"name":"Time of Event (Mountain Time)","value":"17:40:33"},{"id":151,"name":"Denver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3"/>
      <c r="AK230" s="231"/>
      <c r="AL230" s="231"/>
      <c r="AM230" s="240" t="str">
        <f t="shared" si="119"/>
        <v>start /low /b %USERPROFILE%\Documents\GitHub\eaglep3\Utilities\DownloadLogsFromS3.py --loco 4006 --day 2017-12-07</v>
      </c>
      <c r="AN230" s="241" t="str">
        <f t="shared" si="12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00:40:33"},{"id":29,"name":"Sharepoint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0" t="str">
        <f t="shared" si="121"/>
        <v>https://d0f6bd738d7f1b3e5a7ca70fe4ff75f0.us-east-1.aws.found.io/app/kibana#/discover/Steve-Slow-Train-Analysis-(2080s-and-2083s)?_g=(refreshInterval:(display:Off,pause:!f,section:0,value:0),time:(from:'2017-12-07T15:56:24-0700',mode:absolute,to:'2017-12-07T18:40:33-0700'))&amp;_a=(columns:!('Message%20ID',Summary),filters:!(),index:'emp_*',interval:auto,query:(query_string:(analyze_wildcard:!t,query:'%22rtdc.l.rtdc.4006%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23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3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23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23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23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s="2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s="20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s="20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s="2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s="2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s="2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s="20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s="20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s="20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s="20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s="20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4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4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4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4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4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4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4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</sheetData>
  <autoFilter ref="A12:AG530">
    <sortState ref="A13:AG530">
      <sortCondition ref="AG13:AG230"/>
      <sortCondition ref="AD13:AD230"/>
    </sortState>
  </autoFilter>
  <sortState ref="A13:AN435">
    <sortCondition ref="AG13:AG435"/>
    <sortCondition ref="AD13:AD435"/>
  </sortState>
  <mergeCells count="1">
    <mergeCell ref="A11:P11"/>
  </mergeCells>
  <conditionalFormatting sqref="W11:W12 W536:X1048576 W13:X230">
    <cfRule type="cellIs" dxfId="10" priority="465" operator="equal">
      <formula>"Y"</formula>
    </cfRule>
  </conditionalFormatting>
  <conditionalFormatting sqref="X536:X1048576 X13:X230">
    <cfRule type="cellIs" dxfId="9" priority="448" operator="greaterThan">
      <formula>1</formula>
    </cfRule>
  </conditionalFormatting>
  <conditionalFormatting sqref="X536:X1048576 X12:X230">
    <cfRule type="cellIs" dxfId="8" priority="445" operator="equal">
      <formula>0</formula>
    </cfRule>
  </conditionalFormatting>
  <conditionalFormatting sqref="A13:S230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AK13:AK230</xm:sqref>
        </x14:dataValidation>
        <x14:dataValidation type="list" allowBlank="1" showInputMessage="1" showErrorMessage="1">
          <x14:formula1>
            <xm:f>'Redmine List Values'!$C$2:$C$15</xm:f>
          </x14:formula1>
          <xm:sqref>AL13:AL230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6"/>
  <sheetViews>
    <sheetView topLeftCell="A2" zoomScaleNormal="100" workbookViewId="0">
      <selection activeCell="F16" sqref="F1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5.5703125" style="112" customWidth="1"/>
    <col min="15" max="15" width="4.42578125" style="166" customWidth="1"/>
    <col min="16" max="16" width="24.710937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6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19">
        <f>COUNTIF($O$7:$O$121,"=Y")</f>
        <v>8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0">
        <f>COUNTA($O$7:$O$121)-O2</f>
        <v>15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4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0" t="str">
        <f>"Eagle P3 Braking Events - "&amp;TEXT(Variables!$A$2,"YYYY-mm-dd")</f>
        <v>Eagle P3 Braking Events - 2017-12-07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8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3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79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43076.874305555553</v>
      </c>
      <c r="B7" s="30" t="s">
        <v>351</v>
      </c>
      <c r="C7" s="30" t="s">
        <v>705</v>
      </c>
      <c r="D7" s="30" t="s">
        <v>95</v>
      </c>
      <c r="E7" s="30" t="s">
        <v>183</v>
      </c>
      <c r="F7" s="42">
        <v>190</v>
      </c>
      <c r="G7" s="42">
        <v>247</v>
      </c>
      <c r="H7" s="42">
        <v>27025</v>
      </c>
      <c r="I7" s="42">
        <v>23371</v>
      </c>
      <c r="J7" s="30" t="s">
        <v>184</v>
      </c>
      <c r="K7" s="42">
        <v>27350</v>
      </c>
      <c r="L7" s="131" t="s">
        <v>51</v>
      </c>
      <c r="M7" s="132">
        <f t="shared" ref="M7:M29" si="0">CONVERT((I7-K7)/10000,"mi","ft")*IF(L7="Increasing Mileposts (1)",-1,1)</f>
        <v>-2100.9119999999998</v>
      </c>
      <c r="N7" s="133" t="str">
        <f>VLOOKUP(C7,'Trips&amp;Operators'!$C$1:$G$99911,5,FALSE)</f>
        <v>LORI SANTOS</v>
      </c>
      <c r="O7" s="174" t="s">
        <v>178</v>
      </c>
      <c r="P7" s="239" t="s">
        <v>520</v>
      </c>
      <c r="Q7" s="30"/>
      <c r="R7" s="81" t="str">
        <f>VLOOKUP(C7,'Train Runs'!$A$13:$AE$10189,31,0)</f>
        <v>aws s3 cp s3://rtdc.mdm.uploadarchive.raw/RTDC4055/ "%USERPROFILE%\AppData\Local\Temp\OnboardLogs"\RTDC4055\2017-12-07 --exclude "*" --recursive --include "*20171207*" &amp; "%USERPROFILE%\Documents\GitHub\mrs-test-scripts\Headless Mode &amp; Sideloading\WalkAndUnGZ.bat" "%USERPROFILE%\AppData\Local\Temp\OnboardLogs"\RTDC4055\2017-12-07 &amp; aws s3 cp s3://rtdc.mdm.uploadarchive.raw/RTDC4055/ "%USERPROFILE%\AppData\Local\Temp\OnboardLogs"\RTDC4055\2017-12-08 --exclude "*" --recursive --include "*20171208*" &amp; "%USERPROFILE%\Documents\GitHub\mrs-test-scripts\Headless Mode &amp; Sideloading\WalkAndUnGZ.bat" "%USERPROFILE%\AppData\Local\Temp\OnboardLogs"\RTDC4055\2017-12-08</v>
      </c>
      <c r="S7" s="84" t="str">
        <f>VLOOKUP(C7,'Train Runs'!$A$13:$AE$10189,22,0)</f>
        <v>https://d0f6bd738d7f1b3e5a7ca70fe4ff75f0.us-east-1.aws.found.io/app/kibana#/discover/Steve-Slow-Train-Analysis-(2080s-and-2083s)?_g=(refreshInterval:(display:Off,pause:!f,section:0,value:0),time:(from:'2017-12-07T19:18:29-0700',mode:absolute,to:'2017-12-07T22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7" s="86" t="str">
        <f t="shared" ref="T7:T2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/stypes="*4055*201712080*" /stext=" 03:.+((SYSTEM_STATE.+slice.+state.+changed )|(ment ac)|(multiple cpu faults)|(system.+state.+changed )|(\[timeout)|(PRM\|1\|D)|(kpr)|(kdp)|(train st.+moving)|(\|lc)|(penalty))"</v>
      </c>
      <c r="U7" s="9" t="str">
        <f t="shared" ref="U7:U29" si="2">MID(B7,13,4)</f>
        <v>4055</v>
      </c>
      <c r="V7" s="31">
        <f t="shared" ref="V7:V29" si="3">A7-utc_offset/24</f>
        <v>43077.165972222218</v>
      </c>
      <c r="W7" s="45" t="str">
        <f t="shared" ref="W7:W29" si="4">DetSubdiv(C7)</f>
        <v>EC</v>
      </c>
      <c r="X7" s="22">
        <f t="shared" ref="X7:X29" si="5">VALUE(LEFT(C7,LEN(C7)-3))</f>
        <v>224</v>
      </c>
      <c r="Y7" s="96" t="str">
        <f t="shared" ref="Y7:Y2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Arrival","project_id":79,"tracker_id":40,"status_id":1,"priority_id":2,"assigned_to_id":338,"start_date":"2017-12-07","description":"","custom_fields":[{"id":1,"name":"Subdivision","value":"EC"},{"id":4,"name":"Milepost","value":"2.735"},{"id":17,"name":"Train ID","value":"224-07"},{"id":16,"name":"Locomotive ID","value":"4055"},{"id":130,"name":"Impact","value":""},{"id":150,"name":"Time of Event (Mountain Time)","value":"20:59:00"},{"id":151,"name":"Denver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29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/c/Users/stu/AppData/Local/Temp/OnboardLogs/RTDC4055 --include="*4055*201712080*"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"%USERPROFILE%\AppData\Local\Temp\OnboardLogs"\RTDC4055\*4055*201712080* &gt;&gt; 2017-12-07-SliceDisagreementCheck.txt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4055 --day 2017-12-08</v>
      </c>
    </row>
    <row r="8" spans="1:32" s="1" customFormat="1" x14ac:dyDescent="0.25">
      <c r="A8" s="31">
        <v>43076.684872685182</v>
      </c>
      <c r="B8" s="30" t="s">
        <v>498</v>
      </c>
      <c r="C8" s="30" t="s">
        <v>695</v>
      </c>
      <c r="D8" s="30" t="s">
        <v>49</v>
      </c>
      <c r="E8" s="30" t="s">
        <v>183</v>
      </c>
      <c r="F8" s="42">
        <v>0</v>
      </c>
      <c r="G8" s="42">
        <v>223</v>
      </c>
      <c r="H8" s="42">
        <v>33315</v>
      </c>
      <c r="I8" s="42">
        <v>32958</v>
      </c>
      <c r="J8" s="30" t="s">
        <v>184</v>
      </c>
      <c r="K8" s="42">
        <v>33257</v>
      </c>
      <c r="L8" s="131" t="s">
        <v>51</v>
      </c>
      <c r="M8" s="132">
        <f t="shared" si="0"/>
        <v>-157.87200000000001</v>
      </c>
      <c r="N8" s="133" t="str">
        <f>VLOOKUP(C8,'Trips&amp;Operators'!$C$1:$G$99911,5,FALSE)</f>
        <v>STEWART MICHAEL</v>
      </c>
      <c r="O8" s="174" t="s">
        <v>178</v>
      </c>
      <c r="P8" s="239" t="s">
        <v>520</v>
      </c>
      <c r="Q8" s="30"/>
      <c r="R8" s="81" t="str">
        <f>VLOOKUP(C8,'Train Runs'!$A$13:$AE$10189,31,0)</f>
        <v>aws s3 cp s3://rtdc.mdm.uploadarchive.raw/RTDC4057/ "%USERPROFILE%\AppData\Local\Temp\OnboardLogs"\RTDC4057\2017-12-07 --exclude "*" --recursive --include "*20171207*" &amp; "%USERPROFILE%\Documents\GitHub\mrs-test-scripts\Headless Mode &amp; Sideloading\WalkAndUnGZ.bat" "%USERPROFILE%\AppData\Local\Temp\OnboardLogs"\RTDC4057\2017-12-07 &amp; aws s3 cp s3://rtdc.mdm.uploadarchive.raw/RTDC4057/ "%USERPROFILE%\AppData\Local\Temp\OnboardLogs"\RTDC4057\2017-12-08 --exclude "*" --recursive --include "*20171208*" &amp; "%USERPROFILE%\Documents\GitHub\mrs-test-scripts\Headless Mode &amp; Sideloading\WalkAndUnGZ.bat" "%USERPROFILE%\AppData\Local\Temp\OnboardLogs"\RTDC4057\2017-12-08</v>
      </c>
      <c r="S8" s="84" t="str">
        <f>VLOOKUP(C8,'Train Runs'!$A$13:$AE$10189,22,0)</f>
        <v>https://d0f6bd738d7f1b3e5a7ca70fe4ff75f0.us-east-1.aws.found.io/app/kibana#/discover/Steve-Slow-Train-Analysis-(2080s-and-2083s)?_g=(refreshInterval:(display:Off,pause:!f,section:0,value:0),time:(from:'2017-12-07T14:52:27-0700',mode:absolute,to:'2017-12-07T17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8" s="86" t="str">
        <f t="shared" si="1"/>
        <v>"C:\Program Files (x86)\AstroGrep\AstroGrep.exe" /e /r /s /spath="%USERPROFILE%\AppData\Local\Temp\OnboardLogs" /stypes="*4057*201712072*" /stext=" 23:.+((SYSTEM_STATE.+slice.+state.+changed )|(ment ac)|(multiple cpu faults)|(system.+state.+changed )|(\[timeout)|(PRM\|1\|D)|(kpr)|(kdp)|(train st.+moving)|(\|lc)|(penalty))"</v>
      </c>
      <c r="U8" s="9" t="str">
        <f t="shared" si="2"/>
        <v>4057</v>
      </c>
      <c r="V8" s="31">
        <f t="shared" si="3"/>
        <v>43076.976539351846</v>
      </c>
      <c r="W8" s="45" t="str">
        <f t="shared" si="4"/>
        <v>EC</v>
      </c>
      <c r="X8" s="228">
        <f t="shared" si="5"/>
        <v>192</v>
      </c>
      <c r="Y8" s="238" t="str">
        <f t="shared" si="6"/>
        <v>echo {"issue":{"subject":"Early Arrival","project_id":79,"tracker_id":40,"status_id":1,"priority_id":2,"assigned_to_id":338,"start_date":"2017-12-07","description":"","custom_fields":[{"id":1,"name":"Subdivision","value":"EC"},{"id":4,"name":"Milepost","value":"3.3257"},{"id":17,"name":"Train ID","value":"192-07"},{"id":16,"name":"Locomotive ID","value":"4057"},{"id":130,"name":"Impact","value":""},{"id":150,"name":"Time of Event (Mountain Time)","value":"16:26:13"},{"id":151,"name":"Denver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/c/Users/stu/AppData/Local/Temp/OnboardLogs/RTDC4057 --include="*4057*201712072*"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"%USERPROFILE%\AppData\Local\Temp\OnboardLogs"\RTDC4057\*4057*201712072* &gt;&gt; 2017-12-07-SliceDisagreementCheck.txt</v>
      </c>
      <c r="AE8" s="144" t="str">
        <f t="shared" ref="AE8:AE29" si="9">"start /low /b "&amp;dls3logs&amp;" --loco "&amp;U8&amp;" --day "&amp;TEXT(V8,"YYYY-MM-DD")</f>
        <v>start /low /b %USERPROFILE%\Documents\GitHub\eaglep3\Utilities\DownloadLogsFromS3.py --loco 4057 --day 2017-12-07</v>
      </c>
    </row>
    <row r="9" spans="1:32" s="1" customFormat="1" x14ac:dyDescent="0.25">
      <c r="A9" s="31">
        <v>43076.808680555558</v>
      </c>
      <c r="B9" s="30" t="s">
        <v>683</v>
      </c>
      <c r="C9" s="30" t="s">
        <v>703</v>
      </c>
      <c r="D9" s="30" t="s">
        <v>49</v>
      </c>
      <c r="E9" s="30" t="s">
        <v>183</v>
      </c>
      <c r="F9" s="42">
        <v>250</v>
      </c>
      <c r="G9" s="42">
        <v>339</v>
      </c>
      <c r="H9" s="42">
        <v>35911</v>
      </c>
      <c r="I9" s="42">
        <v>35105</v>
      </c>
      <c r="J9" s="30" t="s">
        <v>184</v>
      </c>
      <c r="K9" s="42">
        <v>33257</v>
      </c>
      <c r="L9" s="131" t="s">
        <v>51</v>
      </c>
      <c r="M9" s="132">
        <f t="shared" si="0"/>
        <v>975.74400000000003</v>
      </c>
      <c r="N9" s="133" t="str">
        <f>VLOOKUP(C9,'Trips&amp;Operators'!$C$1:$G$99911,5,FALSE)</f>
        <v>LONG FULLER</v>
      </c>
      <c r="O9" s="174" t="s">
        <v>178</v>
      </c>
      <c r="P9" s="239" t="s">
        <v>520</v>
      </c>
      <c r="Q9" s="30"/>
      <c r="R9" s="81" t="str">
        <f>VLOOKUP(C9,'Train Runs'!$A$13:$AE$10189,31,0)</f>
        <v>aws s3 cp s3://rtdc.mdm.uploadarchive.raw/RTDC4027/ "%USERPROFILE%\AppData\Local\Temp\OnboardLogs"\RTDC4027\2017-12-07 --exclude "*" --recursive --include "*20171207*" &amp; "%USERPROFILE%\Documents\GitHub\mrs-test-scripts\Headless Mode &amp; Sideloading\WalkAndUnGZ.bat" "%USERPROFILE%\AppData\Local\Temp\OnboardLogs"\RTDC4027\2017-12-07 &amp; aws s3 cp s3://rtdc.mdm.uploadarchive.raw/RTDC4027/ "%USERPROFILE%\AppData\Local\Temp\OnboardLogs"\RTDC4027\2017-12-08 --exclude "*" --recursive --include "*20171208*" &amp; "%USERPROFILE%\Documents\GitHub\mrs-test-scripts\Headless Mode &amp; Sideloading\WalkAndUnGZ.bat" "%USERPROFILE%\AppData\Local\Temp\OnboardLogs"\RTDC4027\2017-12-08</v>
      </c>
      <c r="S9" s="84" t="str">
        <f>VLOOKUP(C9,'Train Runs'!$A$13:$AE$10189,22,0)</f>
        <v>https://d0f6bd738d7f1b3e5a7ca70fe4ff75f0.us-east-1.aws.found.io/app/kibana#/discover/Steve-Slow-Train-Analysis-(2080s-and-2083s)?_g=(refreshInterval:(display:Off,pause:!f,section:0,value:0),time:(from:'2017-12-07T17:51:16-0700',mode:absolute,to:'2017-12-07T20:33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9" s="86" t="str">
        <f t="shared" si="1"/>
        <v>"C:\Program Files (x86)\AstroGrep\AstroGrep.exe" /e /r /s /spath="%USERPROFILE%\AppData\Local\Temp\OnboardLogs" /stypes="*4027*201712080*" /stext=" 02:.+((SYSTEM_STATE.+slice.+state.+changed )|(ment ac)|(multiple cpu faults)|(system.+state.+changed )|(\[timeout)|(PRM\|1\|D)|(kpr)|(kdp)|(train st.+moving)|(\|lc)|(penalty))"</v>
      </c>
      <c r="U9" s="9" t="str">
        <f t="shared" si="2"/>
        <v>4027</v>
      </c>
      <c r="V9" s="31">
        <f t="shared" si="3"/>
        <v>43077.100347222222</v>
      </c>
      <c r="W9" s="45" t="str">
        <f t="shared" si="4"/>
        <v>EC</v>
      </c>
      <c r="X9" s="228">
        <f t="shared" si="5"/>
        <v>216</v>
      </c>
      <c r="Y9" s="238" t="str">
        <f t="shared" si="6"/>
        <v>echo {"issue":{"subject":"Early Arrival","project_id":79,"tracker_id":40,"status_id":1,"priority_id":2,"assigned_to_id":338,"start_date":"2017-12-07","description":"","custom_fields":[{"id":1,"name":"Subdivision","value":"EC"},{"id":4,"name":"Milepost","value":"3.3257"},{"id":17,"name":"Train ID","value":"216-07"},{"id":16,"name":"Locomotive ID","value":"4027"},{"id":130,"name":"Impact","value":""},{"id":150,"name":"Time of Event (Mountain Time)","value":"19:24:30"},{"id":151,"name":"Denver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/c/Users/stu/AppData/Local/Temp/OnboardLogs/RTDC4027 --include="*4027*201712080*"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"%USERPROFILE%\AppData\Local\Temp\OnboardLogs"\RTDC4027\*4027*201712080* &gt;&gt; 2017-12-07-SliceDisagreementCheck.txt</v>
      </c>
      <c r="AE9" s="144" t="str">
        <f t="shared" si="9"/>
        <v>start /low /b %USERPROFILE%\Documents\GitHub\eaglep3\Utilities\DownloadLogsFromS3.py --loco 4027 --day 2017-12-08</v>
      </c>
    </row>
    <row r="10" spans="1:32" x14ac:dyDescent="0.25">
      <c r="A10" s="31">
        <v>43076.578611111108</v>
      </c>
      <c r="B10" s="30" t="s">
        <v>351</v>
      </c>
      <c r="C10" s="30" t="s">
        <v>690</v>
      </c>
      <c r="D10" s="30" t="s">
        <v>95</v>
      </c>
      <c r="E10" s="30" t="s">
        <v>183</v>
      </c>
      <c r="F10" s="42">
        <v>180</v>
      </c>
      <c r="G10" s="42">
        <v>231</v>
      </c>
      <c r="H10" s="42">
        <v>63072</v>
      </c>
      <c r="I10" s="42">
        <v>62454</v>
      </c>
      <c r="J10" s="30" t="s">
        <v>184</v>
      </c>
      <c r="K10" s="42">
        <v>63309</v>
      </c>
      <c r="L10" s="131" t="s">
        <v>51</v>
      </c>
      <c r="M10" s="132">
        <f t="shared" si="0"/>
        <v>-451.44</v>
      </c>
      <c r="N10" s="133" t="str">
        <f>VLOOKUP(C10,'Trips&amp;Operators'!$C$1:$G$99911,5,FALSE)</f>
        <v>BADERTSCHER DIANE</v>
      </c>
      <c r="O10" s="174" t="s">
        <v>178</v>
      </c>
      <c r="P10" s="239" t="s">
        <v>520</v>
      </c>
      <c r="Q10" s="30"/>
      <c r="R10" s="81" t="str">
        <f>VLOOKUP(C10,'Train Runs'!$A$13:$AE$10189,31,0)</f>
        <v>aws s3 cp s3://rtdc.mdm.uploadarchive.raw/RTDC4055/ "%USERPROFILE%\AppData\Local\Temp\OnboardLogs"\RTDC4055\2017-12-07 --exclude "*" --recursive --include "*20171207*" &amp; "%USERPROFILE%\Documents\GitHub\mrs-test-scripts\Headless Mode &amp; Sideloading\WalkAndUnGZ.bat" "%USERPROFILE%\AppData\Local\Temp\OnboardLogs"\RTDC4055\2017-12-07 &amp; aws s3 cp s3://rtdc.mdm.uploadarchive.raw/RTDC4055/ "%USERPROFILE%\AppData\Local\Temp\OnboardLogs"\RTDC4055\2017-12-08 --exclude "*" --recursive --include "*20171208*" &amp; "%USERPROFILE%\Documents\GitHub\mrs-test-scripts\Headless Mode &amp; Sideloading\WalkAndUnGZ.bat" "%USERPROFILE%\AppData\Local\Temp\OnboardLogs"\RTDC4055\2017-12-08</v>
      </c>
      <c r="S10" s="84" t="str">
        <f>VLOOKUP(C10,'Train Runs'!$A$13:$AE$10189,22,0)</f>
        <v>https://d0f6bd738d7f1b3e5a7ca70fe4ff75f0.us-east-1.aws.found.io/app/kibana#/discover/Steve-Slow-Train-Analysis-(2080s-and-2083s)?_g=(refreshInterval:(display:Off,pause:!f,section:0,value:0),time:(from:'2017-12-07T12:20:01-0700',mode:absolute,to:'2017-12-07T15:08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0" s="86" t="str">
        <f t="shared" si="1"/>
        <v>"C:\Program Files (x86)\AstroGrep\AstroGrep.exe" /e /r /s /spath="%USERPROFILE%\AppData\Local\Temp\OnboardLogs" /stypes="*4055*201712072*" /stext=" 20:.+((SYSTEM_STATE.+slice.+state.+changed )|(ment ac)|(multiple cpu faults)|(system.+state.+changed )|(\[timeout)|(PRM\|1\|D)|(kpr)|(kdp)|(train st.+moving)|(\|lc)|(penalty))"</v>
      </c>
      <c r="U10" s="9" t="str">
        <f t="shared" si="2"/>
        <v>4055</v>
      </c>
      <c r="V10" s="31">
        <f t="shared" si="3"/>
        <v>43076.870277777773</v>
      </c>
      <c r="W10" s="45" t="str">
        <f t="shared" si="4"/>
        <v>EC</v>
      </c>
      <c r="X10" s="228">
        <f t="shared" si="5"/>
        <v>172</v>
      </c>
      <c r="Y10" s="238" t="str">
        <f t="shared" si="6"/>
        <v>echo {"issue":{"subject":"Early Arrival","project_id":79,"tracker_id":40,"status_id":1,"priority_id":2,"assigned_to_id":338,"start_date":"2017-12-07","description":"","custom_fields":[{"id":1,"name":"Subdivision","value":"EC"},{"id":4,"name":"Milepost","value":"6.3309"},{"id":17,"name":"Train ID","value":"172-07"},{"id":16,"name":"Locomotive ID","value":"4055"},{"id":130,"name":"Impact","value":""},{"id":150,"name":"Time of Event (Mountain Time)","value":"13:53:12"},{"id":151,"name":"Denver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/c/Users/stu/AppData/Local/Temp/OnboardLogs/RTDC4055 --include="*4055*201712072*"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"%USERPROFILE%\AppData\Local\Temp\OnboardLogs"\RTDC4055\*4055*201712072* &gt;&gt; 2017-12-07-SliceDisagreementCheck.txt</v>
      </c>
      <c r="AE10" s="144" t="str">
        <f t="shared" si="9"/>
        <v>start /low /b %USERPROFILE%\Documents\GitHub\eaglep3\Utilities\DownloadLogsFromS3.py --loco 4055 --day 2017-12-07</v>
      </c>
      <c r="AF10" s="1"/>
    </row>
    <row r="11" spans="1:32" x14ac:dyDescent="0.25">
      <c r="A11" s="31">
        <v>43076.63821759259</v>
      </c>
      <c r="B11" s="30" t="s">
        <v>465</v>
      </c>
      <c r="C11" s="30" t="s">
        <v>693</v>
      </c>
      <c r="D11" s="30" t="s">
        <v>49</v>
      </c>
      <c r="E11" s="30" t="s">
        <v>190</v>
      </c>
      <c r="F11" s="42">
        <v>400</v>
      </c>
      <c r="G11" s="42">
        <v>491</v>
      </c>
      <c r="H11" s="42">
        <v>17181</v>
      </c>
      <c r="I11" s="42">
        <v>17906</v>
      </c>
      <c r="J11" s="30" t="s">
        <v>191</v>
      </c>
      <c r="K11" s="42">
        <v>17867</v>
      </c>
      <c r="L11" s="131" t="s">
        <v>50</v>
      </c>
      <c r="M11" s="132">
        <f t="shared" si="0"/>
        <v>-20.591999999999999</v>
      </c>
      <c r="N11" s="133" t="str">
        <f>VLOOKUP(C11,'Trips&amp;Operators'!$C$1:$G$99911,5,FALSE)</f>
        <v>LEVIN SCOTT</v>
      </c>
      <c r="O11" s="174" t="s">
        <v>178</v>
      </c>
      <c r="P11" s="239"/>
      <c r="Q11" s="30"/>
      <c r="R11" s="81" t="str">
        <f>VLOOKUP(C11,'Train Runs'!$A$13:$AE$10189,31,0)</f>
        <v>aws s3 cp s3://rtdc.mdm.uploadarchive.raw/RTDC4054/ "%USERPROFILE%\AppData\Local\Temp\OnboardLogs"\RTDC4054\2017-12-07 --exclude "*" --recursive --include "*20171207*" &amp; "%USERPROFILE%\Documents\GitHub\mrs-test-scripts\Headless Mode &amp; Sideloading\WalkAndUnGZ.bat" "%USERPROFILE%\AppData\Local\Temp\OnboardLogs"\RTDC4054\2017-12-07 &amp; aws s3 cp s3://rtdc.mdm.uploadarchive.raw/RTDC4054/ "%USERPROFILE%\AppData\Local\Temp\OnboardLogs"\RTDC4054\2017-12-08 --exclude "*" --recursive --include "*20171208*" &amp; "%USERPROFILE%\Documents\GitHub\mrs-test-scripts\Headless Mode &amp; Sideloading\WalkAndUnGZ.bat" "%USERPROFILE%\AppData\Local\Temp\OnboardLogs"\RTDC4054\2017-12-08</v>
      </c>
      <c r="S11" s="84" t="str">
        <f>VLOOKUP(C11,'Train Runs'!$A$13:$AE$10189,22,0)</f>
        <v>https://d0f6bd738d7f1b3e5a7ca70fe4ff75f0.us-east-1.aws.found.io/app/kibana#/discover/Steve-Slow-Train-Analysis-(2080s-and-2083s)?_g=(refreshInterval:(display:Off,pause:!f,section:0,value:0),time:(from:'2017-12-07T14:10:37-0700',mode:absolute,to:'2017-12-07T16:51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1" s="86" t="str">
        <f t="shared" si="1"/>
        <v>"C:\Program Files (x86)\AstroGrep\AstroGrep.exe" /e /r /s /spath="%USERPROFILE%\AppData\Local\Temp\OnboardLogs" /stypes="*4054*201712072*" /stext=" 22:.+((SYSTEM_STATE.+slice.+state.+changed )|(ment ac)|(multiple cpu faults)|(system.+state.+changed )|(\[timeout)|(PRM\|1\|D)|(kpr)|(kdp)|(train st.+moving)|(\|lc)|(penalty))"</v>
      </c>
      <c r="U11" s="9" t="str">
        <f t="shared" si="2"/>
        <v>4054</v>
      </c>
      <c r="V11" s="31">
        <f t="shared" si="3"/>
        <v>43076.929884259254</v>
      </c>
      <c r="W11" s="45" t="str">
        <f t="shared" si="4"/>
        <v>EC</v>
      </c>
      <c r="X11" s="228">
        <f t="shared" si="5"/>
        <v>193</v>
      </c>
      <c r="Y11" s="238" t="str">
        <f t="shared" si="6"/>
        <v>echo {"issue":{"subject":"","project_id":79,"tracker_id":40,"status_id":1,"priority_id":2,"assigned_to_id":338,"start_date":"2017-12-07","description":"","custom_fields":[{"id":1,"name":"Subdivision","value":"EC"},{"id":4,"name":"Milepost","value":"1.7867"},{"id":17,"name":"Train ID","value":"193-07"},{"id":16,"name":"Locomotive ID","value":"4054"},{"id":130,"name":"Impact","value":""},{"id":150,"name":"Time of Event (Mountain Time)","value":"15:19:02"},{"id":151,"name":"Denver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/c/Users/stu/AppData/Local/Temp/OnboardLogs/RTDC4054 --include="*4054*201712072*"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"%USERPROFILE%\AppData\Local\Temp\OnboardLogs"\RTDC4054\*4054*201712072* &gt;&gt; 2017-12-07-SliceDisagreementCheck.txt</v>
      </c>
      <c r="AE11" s="144" t="str">
        <f t="shared" si="9"/>
        <v>start /low /b %USERPROFILE%\Documents\GitHub\eaglep3\Utilities\DownloadLogsFromS3.py --loco 4054 --day 2017-12-07</v>
      </c>
      <c r="AF11" s="1"/>
    </row>
    <row r="12" spans="1:32" x14ac:dyDescent="0.25">
      <c r="A12" s="31">
        <v>43076.795937499999</v>
      </c>
      <c r="B12" s="30" t="s">
        <v>523</v>
      </c>
      <c r="C12" s="30" t="s">
        <v>702</v>
      </c>
      <c r="D12" s="30" t="s">
        <v>95</v>
      </c>
      <c r="E12" s="30" t="s">
        <v>190</v>
      </c>
      <c r="F12" s="42">
        <v>300</v>
      </c>
      <c r="G12" s="42">
        <v>351</v>
      </c>
      <c r="H12" s="42">
        <v>20452</v>
      </c>
      <c r="I12" s="42">
        <v>21211</v>
      </c>
      <c r="J12" s="30" t="s">
        <v>191</v>
      </c>
      <c r="K12" s="42">
        <v>20338</v>
      </c>
      <c r="L12" s="131" t="s">
        <v>50</v>
      </c>
      <c r="M12" s="132">
        <f t="shared" si="0"/>
        <v>-460.94400000000002</v>
      </c>
      <c r="N12" s="133" t="str">
        <f>VLOOKUP(C12,'Trips&amp;Operators'!$C$1:$G$99911,5,FALSE)</f>
        <v>ANDERS STEVEN</v>
      </c>
      <c r="O12" s="174" t="s">
        <v>178</v>
      </c>
      <c r="P12" s="239"/>
      <c r="Q12" s="30"/>
      <c r="R12" s="81" t="str">
        <f>VLOOKUP(C12,'Train Runs'!$A$13:$AE$10189,31,0)</f>
        <v>aws s3 cp s3://rtdc.mdm.uploadarchive.raw/RTDC4060/ "%USERPROFILE%\AppData\Local\Temp\OnboardLogs"\RTDC4060\2017-12-07 --exclude "*" --recursive --include "*20171207*" &amp; "%USERPROFILE%\Documents\GitHub\mrs-test-scripts\Headless Mode &amp; Sideloading\WalkAndUnGZ.bat" "%USERPROFILE%\AppData\Local\Temp\OnboardLogs"\RTDC4060\2017-12-07 &amp; aws s3 cp s3://rtdc.mdm.uploadarchive.raw/RTDC4060/ "%USERPROFILE%\AppData\Local\Temp\OnboardLogs"\RTDC4060\2017-12-08 --exclude "*" --recursive --include "*20171208*" &amp; "%USERPROFILE%\Documents\GitHub\mrs-test-scripts\Headless Mode &amp; Sideloading\WalkAndUnGZ.bat" "%USERPROFILE%\AppData\Local\Temp\OnboardLogs"\RTDC4060\2017-12-08</v>
      </c>
      <c r="S12" s="84" t="str">
        <f>VLOOKUP(C12,'Train Runs'!$A$13:$AE$10189,22,0)</f>
        <v>https://d0f6bd738d7f1b3e5a7ca70fe4ff75f0.us-east-1.aws.found.io/app/kibana#/discover/Steve-Slow-Train-Analysis-(2080s-and-2083s)?_g=(refreshInterval:(display:Off,pause:!f,section:0,value:0),time:(from:'2017-12-07T17:54:02-0700',mode:absolute,to:'2017-12-07T20:25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2" s="86" t="str">
        <f t="shared" si="1"/>
        <v>"C:\Program Files (x86)\AstroGrep\AstroGrep.exe" /e /r /s /spath="%USERPROFILE%\AppData\Local\Temp\OnboardLogs" /stypes="*4060*201712080*" /stext=" 02:.+((SYSTEM_STATE.+slice.+state.+changed )|(ment ac)|(multiple cpu faults)|(system.+state.+changed )|(\[timeout)|(PRM\|1\|D)|(kpr)|(kdp)|(train st.+moving)|(\|lc)|(penalty))"</v>
      </c>
      <c r="U12" s="9" t="str">
        <f t="shared" si="2"/>
        <v>4060</v>
      </c>
      <c r="V12" s="31">
        <f t="shared" si="3"/>
        <v>43077.087604166663</v>
      </c>
      <c r="W12" s="45" t="str">
        <f t="shared" si="4"/>
        <v>EC</v>
      </c>
      <c r="X12" s="228">
        <f t="shared" si="5"/>
        <v>221</v>
      </c>
      <c r="Y12" s="238" t="str">
        <f t="shared" si="6"/>
        <v>echo {"issue":{"subject":"","project_id":79,"tracker_id":40,"status_id":1,"priority_id":2,"assigned_to_id":338,"start_date":"2017-12-07","description":"","custom_fields":[{"id":1,"name":"Subdivision","value":"EC"},{"id":4,"name":"Milepost","value":"2.0338"},{"id":17,"name":"Train ID","value":"221-07"},{"id":16,"name":"Locomotive ID","value":"4060"},{"id":130,"name":"Impact","value":""},{"id":150,"name":"Time of Event (Mountain Time)","value":"19:06:09"},{"id":151,"name":"Denver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/c/Users/stu/AppData/Local/Temp/OnboardLogs/RTDC4060 --include="*4060*201712080*"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"%USERPROFILE%\AppData\Local\Temp\OnboardLogs"\RTDC4060\*4060*201712080* &gt;&gt; 2017-12-07-SliceDisagreementCheck.txt</v>
      </c>
      <c r="AE12" s="144" t="str">
        <f t="shared" si="9"/>
        <v>start /low /b %USERPROFILE%\Documents\GitHub\eaglep3\Utilities\DownloadLogsFromS3.py --loco 4060 --day 2017-12-08</v>
      </c>
      <c r="AF12" s="1"/>
    </row>
    <row r="13" spans="1:32" x14ac:dyDescent="0.25">
      <c r="A13" s="31">
        <v>43076.150277777779</v>
      </c>
      <c r="B13" s="30" t="s">
        <v>523</v>
      </c>
      <c r="C13" s="30" t="s">
        <v>678</v>
      </c>
      <c r="D13" s="30" t="s">
        <v>95</v>
      </c>
      <c r="E13" s="30" t="s">
        <v>190</v>
      </c>
      <c r="F13" s="42">
        <v>600</v>
      </c>
      <c r="G13" s="42">
        <v>650</v>
      </c>
      <c r="H13" s="42">
        <v>124052</v>
      </c>
      <c r="I13" s="42">
        <v>127525</v>
      </c>
      <c r="J13" s="30" t="s">
        <v>191</v>
      </c>
      <c r="K13" s="42">
        <v>119716</v>
      </c>
      <c r="L13" s="131" t="s">
        <v>50</v>
      </c>
      <c r="M13" s="132">
        <f t="shared" si="0"/>
        <v>-4123.152</v>
      </c>
      <c r="N13" s="133" t="str">
        <f>VLOOKUP(C13,'Trips&amp;Operators'!$C$1:$G$99911,5,FALSE)</f>
        <v>YORK EDGAR</v>
      </c>
      <c r="O13" s="174" t="s">
        <v>178</v>
      </c>
      <c r="P13" s="239"/>
      <c r="Q13" s="30"/>
      <c r="R13" s="81" t="str">
        <f>VLOOKUP(C13,'Train Runs'!$A$13:$AE$10189,31,0)</f>
        <v>aws s3 cp s3://rtdc.mdm.uploadarchive.raw/RTDC4060/ "%USERPROFILE%\AppData\Local\Temp\OnboardLogs"\RTDC4060\2017-12-07 --exclude "*" --recursive --include "*20171207*" &amp; "%USERPROFILE%\Documents\GitHub\mrs-test-scripts\Headless Mode &amp; Sideloading\WalkAndUnGZ.bat" "%USERPROFILE%\AppData\Local\Temp\OnboardLogs"\RTDC4060\2017-12-07 &amp; aws s3 cp s3://rtdc.mdm.uploadarchive.raw/RTDC4060/ "%USERPROFILE%\AppData\Local\Temp\OnboardLogs"\RTDC4060\2017-12-08 --exclude "*" --recursive --include "*20171208*" &amp; "%USERPROFILE%\Documents\GitHub\mrs-test-scripts\Headless Mode &amp; Sideloading\WalkAndUnGZ.bat" "%USERPROFILE%\AppData\Local\Temp\OnboardLogs"\RTDC4060\2017-12-08</v>
      </c>
      <c r="S13" s="84" t="str">
        <f>VLOOKUP(C13,'Train Runs'!$A$13:$AE$10189,22,0)</f>
        <v>https://d0f6bd738d7f1b3e5a7ca70fe4ff75f0.us-east-1.aws.found.io/app/kibana#/discover/Steve-Slow-Train-Analysis-(2080s-and-2083s)?_g=(refreshInterval:(display:Off,pause:!f,section:0,value:0),time:(from:'2017-12-07T01:59:39-0700',mode:absolute,to:'2017-12-07T04:50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3" s="86" t="str">
        <f t="shared" si="1"/>
        <v>"C:\Program Files (x86)\AstroGrep\AstroGrep.exe" /e /r /s /spath="%USERPROFILE%\AppData\Local\Temp\OnboardLogs" /stypes="*4060*201712071*" /stext=" 10:.+((SYSTEM_STATE.+slice.+state.+changed )|(ment ac)|(multiple cpu faults)|(system.+state.+changed )|(\[timeout)|(PRM\|1\|D)|(kpr)|(kdp)|(train st.+moving)|(\|lc)|(penalty))"</v>
      </c>
      <c r="U13" s="9" t="str">
        <f t="shared" si="2"/>
        <v>4060</v>
      </c>
      <c r="V13" s="31">
        <f t="shared" si="3"/>
        <v>43076.441944444443</v>
      </c>
      <c r="W13" s="45" t="str">
        <f t="shared" si="4"/>
        <v>EC</v>
      </c>
      <c r="X13" s="228">
        <f t="shared" si="5"/>
        <v>101</v>
      </c>
      <c r="Y13" s="238" t="str">
        <f t="shared" si="6"/>
        <v>echo {"issue":{"subject":"","project_id":79,"tracker_id":40,"status_id":1,"priority_id":2,"assigned_to_id":338,"start_date":"2017-12-07","description":"","custom_fields":[{"id":1,"name":"Subdivision","value":"EC"},{"id":4,"name":"Milepost","value":"11.9716"},{"id":17,"name":"Train ID","value":"101-07"},{"id":16,"name":"Locomotive ID","value":"4060"},{"id":130,"name":"Impact","value":""},{"id":150,"name":"Time of Event (Mountain Time)","value":"03:36:24"},{"id":151,"name":"Denver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/c/Users/stu/AppData/Local/Temp/OnboardLogs/RTDC4060 --include="*4060*201712071*"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"%USERPROFILE%\AppData\Local\Temp\OnboardLogs"\RTDC4060\*4060*201712071* &gt;&gt; 2017-12-07-SliceDisagreementCheck.txt</v>
      </c>
      <c r="AE13" s="144" t="str">
        <f t="shared" si="9"/>
        <v>start /low /b %USERPROFILE%\Documents\GitHub\eaglep3\Utilities\DownloadLogsFromS3.py --loco 4060 --day 2017-12-07</v>
      </c>
      <c r="AF13" s="1"/>
    </row>
    <row r="14" spans="1:32" x14ac:dyDescent="0.25">
      <c r="A14" s="31">
        <v>43076.493067129632</v>
      </c>
      <c r="B14" s="30" t="s">
        <v>351</v>
      </c>
      <c r="C14" s="30" t="s">
        <v>685</v>
      </c>
      <c r="D14" s="30" t="s">
        <v>95</v>
      </c>
      <c r="E14" s="30" t="s">
        <v>190</v>
      </c>
      <c r="F14" s="42">
        <v>600</v>
      </c>
      <c r="G14" s="42">
        <v>650</v>
      </c>
      <c r="H14" s="42">
        <v>184406</v>
      </c>
      <c r="I14" s="42">
        <v>181463</v>
      </c>
      <c r="J14" s="30" t="s">
        <v>191</v>
      </c>
      <c r="K14" s="42">
        <v>190834</v>
      </c>
      <c r="L14" s="131" t="s">
        <v>51</v>
      </c>
      <c r="M14" s="132">
        <f t="shared" si="0"/>
        <v>-4947.8879999999999</v>
      </c>
      <c r="N14" s="133" t="str">
        <f>VLOOKUP(C14,'Trips&amp;Operators'!$C$1:$G$99911,5,FALSE)</f>
        <v>BADERTSCHER DIANE</v>
      </c>
      <c r="O14" s="174" t="s">
        <v>178</v>
      </c>
      <c r="P14" s="239"/>
      <c r="Q14" s="30"/>
      <c r="R14" s="81" t="str">
        <f>VLOOKUP(C14,'Train Runs'!$A$13:$AE$10189,31,0)</f>
        <v>aws s3 cp s3://rtdc.mdm.uploadarchive.raw/RTDC4055/ "%USERPROFILE%\AppData\Local\Temp\OnboardLogs"\RTDC4055\2017-12-07 --exclude "*" --recursive --include "*20171207*" &amp; "%USERPROFILE%\Documents\GitHub\mrs-test-scripts\Headless Mode &amp; Sideloading\WalkAndUnGZ.bat" "%USERPROFILE%\AppData\Local\Temp\OnboardLogs"\RTDC4055\2017-12-07 &amp; aws s3 cp s3://rtdc.mdm.uploadarchive.raw/RTDC4055/ "%USERPROFILE%\AppData\Local\Temp\OnboardLogs"\RTDC4055\2017-12-08 --exclude "*" --recursive --include "*20171208*" &amp; "%USERPROFILE%\Documents\GitHub\mrs-test-scripts\Headless Mode &amp; Sideloading\WalkAndUnGZ.bat" "%USERPROFILE%\AppData\Local\Temp\OnboardLogs"\RTDC4055\2017-12-08</v>
      </c>
      <c r="S14" s="84" t="str">
        <f>VLOOKUP(C14,'Train Runs'!$A$13:$AE$10189,22,0)</f>
        <v>https://d0f6bd738d7f1b3e5a7ca70fe4ff75f0.us-east-1.aws.found.io/app/kibana#/discover/Steve-Slow-Train-Analysis-(2080s-and-2083s)?_g=(refreshInterval:(display:Off,pause:!f,section:0,value:0),time:(from:'2017-12-07T10:36:47-0700',mode:absolute,to:'2017-12-07T13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4" s="86" t="str">
        <f t="shared" si="1"/>
        <v>"C:\Program Files (x86)\AstroGrep\AstroGrep.exe" /e /r /s /spath="%USERPROFILE%\AppData\Local\Temp\OnboardLogs" /stypes="*4055*201712071*" /stext=" 18:.+((SYSTEM_STATE.+slice.+state.+changed )|(ment ac)|(multiple cpu faults)|(system.+state.+changed )|(\[timeout)|(PRM\|1\|D)|(kpr)|(kdp)|(train st.+moving)|(\|lc)|(penalty))"</v>
      </c>
      <c r="U14" s="9" t="str">
        <f t="shared" si="2"/>
        <v>4055</v>
      </c>
      <c r="V14" s="31">
        <f t="shared" si="3"/>
        <v>43076.784733796296</v>
      </c>
      <c r="W14" s="45" t="str">
        <f t="shared" si="4"/>
        <v>EC</v>
      </c>
      <c r="X14" s="228">
        <f t="shared" si="5"/>
        <v>158</v>
      </c>
      <c r="Y14" s="238" t="str">
        <f t="shared" si="6"/>
        <v>echo {"issue":{"subject":"","project_id":79,"tracker_id":40,"status_id":1,"priority_id":2,"assigned_to_id":338,"start_date":"2017-12-07","description":"","custom_fields":[{"id":1,"name":"Subdivision","value":"EC"},{"id":4,"name":"Milepost","value":"19.0834"},{"id":17,"name":"Train ID","value":"158-07"},{"id":16,"name":"Locomotive ID","value":"4055"},{"id":130,"name":"Impact","value":""},{"id":150,"name":"Time of Event (Mountain Time)","value":"11:50:01"},{"id":151,"name":"Denver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/c/Users/stu/AppData/Local/Temp/OnboardLogs/RTDC4055 --include="*4055*201712071*"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"%USERPROFILE%\AppData\Local\Temp\OnboardLogs"\RTDC4055\*4055*201712071* &gt;&gt; 2017-12-07-SliceDisagreementCheck.txt</v>
      </c>
      <c r="AE14" s="144" t="str">
        <f t="shared" si="9"/>
        <v>start /low /b %USERPROFILE%\Documents\GitHub\eaglep3\Utilities\DownloadLogsFromS3.py --loco 4055 --day 2017-12-07</v>
      </c>
      <c r="AF14" s="1"/>
    </row>
    <row r="15" spans="1:32" x14ac:dyDescent="0.25">
      <c r="A15" s="31">
        <v>43076.856307870374</v>
      </c>
      <c r="B15" s="30" t="s">
        <v>363</v>
      </c>
      <c r="C15" s="30" t="s">
        <v>704</v>
      </c>
      <c r="D15" s="30" t="s">
        <v>49</v>
      </c>
      <c r="E15" s="30" t="s">
        <v>190</v>
      </c>
      <c r="F15" s="42">
        <v>550</v>
      </c>
      <c r="G15" s="42">
        <v>767</v>
      </c>
      <c r="H15" s="42">
        <v>218100</v>
      </c>
      <c r="I15" s="42">
        <v>221663</v>
      </c>
      <c r="J15" s="30" t="s">
        <v>191</v>
      </c>
      <c r="K15" s="42">
        <v>222091</v>
      </c>
      <c r="L15" s="131" t="s">
        <v>50</v>
      </c>
      <c r="M15" s="132">
        <f t="shared" si="0"/>
        <v>225.98400000000001</v>
      </c>
      <c r="N15" s="133" t="str">
        <f>VLOOKUP(C15,'Trips&amp;Operators'!$C$1:$G$99911,5,FALSE)</f>
        <v>ZEWDU DEREJE</v>
      </c>
      <c r="O15" s="174" t="s">
        <v>178</v>
      </c>
      <c r="P15" s="239"/>
      <c r="Q15" s="30"/>
      <c r="R15" s="81" t="str">
        <f>VLOOKUP(C15,'Train Runs'!$A$13:$AE$10189,31,0)</f>
        <v>aws s3 cp s3://rtdc.mdm.uploadarchive.raw/RTDC4036/ "%USERPROFILE%\AppData\Local\Temp\OnboardLogs"\RTDC4036\2017-12-07 --exclude "*" --recursive --include "*20171207*" &amp; "%USERPROFILE%\Documents\GitHub\mrs-test-scripts\Headless Mode &amp; Sideloading\WalkAndUnGZ.bat" "%USERPROFILE%\AppData\Local\Temp\OnboardLogs"\RTDC4036\2017-12-07 &amp; aws s3 cp s3://rtdc.mdm.uploadarchive.raw/RTDC4036/ "%USERPROFILE%\AppData\Local\Temp\OnboardLogs"\RTDC4036\2017-12-08 --exclude "*" --recursive --include "*20171208*" &amp; "%USERPROFILE%\Documents\GitHub\mrs-test-scripts\Headless Mode &amp; Sideloading\WalkAndUnGZ.bat" "%USERPROFILE%\AppData\Local\Temp\OnboardLogs"\RTDC4036\2017-12-08</v>
      </c>
      <c r="S15" s="84" t="str">
        <f>VLOOKUP(C15,'Train Runs'!$A$13:$AE$10189,22,0)</f>
        <v>https://d0f6bd738d7f1b3e5a7ca70fe4ff75f0.us-east-1.aws.found.io/app/kibana#/discover/Steve-Slow-Train-Analysis-(2080s-and-2083s)?_g=(refreshInterval:(display:Off,pause:!f,section:0,value:0),time:(from:'2017-12-07T18:55:28-0700',mode:absolute,to:'2017-12-07T21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15" s="86" t="str">
        <f t="shared" si="1"/>
        <v>"C:\Program Files (x86)\AstroGrep\AstroGrep.exe" /e /r /s /spath="%USERPROFILE%\AppData\Local\Temp\OnboardLogs" /stypes="*4036*201712080*" /stext=" 03:.+((SYSTEM_STATE.+slice.+state.+changed )|(ment ac)|(multiple cpu faults)|(system.+state.+changed )|(\[timeout)|(PRM\|1\|D)|(kpr)|(kdp)|(train st.+moving)|(\|lc)|(penalty))"</v>
      </c>
      <c r="U15" s="9" t="str">
        <f t="shared" si="2"/>
        <v>4036</v>
      </c>
      <c r="V15" s="31">
        <f t="shared" si="3"/>
        <v>43077.147974537038</v>
      </c>
      <c r="W15" s="45" t="str">
        <f t="shared" si="4"/>
        <v>EC</v>
      </c>
      <c r="X15" s="228">
        <f t="shared" si="5"/>
        <v>225</v>
      </c>
      <c r="Y15" s="238" t="str">
        <f t="shared" si="6"/>
        <v>echo {"issue":{"subject":"","project_id":79,"tracker_id":40,"status_id":1,"priority_id":2,"assigned_to_id":338,"start_date":"2017-12-07","description":"","custom_fields":[{"id":1,"name":"Subdivision","value":"EC"},{"id":4,"name":"Milepost","value":"22.2091"},{"id":17,"name":"Train ID","value":"225-07"},{"id":16,"name":"Locomotive ID","value":"4036"},{"id":130,"name":"Impact","value":""},{"id":150,"name":"Time of Event (Mountain Time)","value":"20:33:05"},{"id":151,"name":"Denver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/c/Users/stu/AppData/Local/Temp/OnboardLogs/RTDC4036 --include="*4036*201712080*"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"%USERPROFILE%\AppData\Local\Temp\OnboardLogs"\RTDC4036\*4036*201712080* &gt;&gt; 2017-12-07-SliceDisagreementCheck.txt</v>
      </c>
      <c r="AE15" s="144" t="str">
        <f t="shared" si="9"/>
        <v>start /low /b %USERPROFILE%\Documents\GitHub\eaglep3\Utilities\DownloadLogsFromS3.py --loco 4036 --day 2017-12-08</v>
      </c>
      <c r="AF15" s="1"/>
    </row>
    <row r="16" spans="1:32" x14ac:dyDescent="0.25">
      <c r="A16" s="31">
        <v>43076.596226851849</v>
      </c>
      <c r="B16" s="30" t="s">
        <v>523</v>
      </c>
      <c r="C16" s="30" t="s">
        <v>691</v>
      </c>
      <c r="D16" s="30" t="s">
        <v>49</v>
      </c>
      <c r="E16" s="30" t="s">
        <v>190</v>
      </c>
      <c r="F16" s="42">
        <v>150</v>
      </c>
      <c r="G16" s="42">
        <v>388</v>
      </c>
      <c r="H16" s="42">
        <v>229233</v>
      </c>
      <c r="I16" s="42">
        <v>230449</v>
      </c>
      <c r="J16" s="30" t="s">
        <v>191</v>
      </c>
      <c r="K16" s="42">
        <v>232080</v>
      </c>
      <c r="L16" s="131" t="s">
        <v>50</v>
      </c>
      <c r="M16" s="132">
        <f t="shared" si="0"/>
        <v>861.16800000000001</v>
      </c>
      <c r="N16" s="133" t="str">
        <f>VLOOKUP(C16,'Trips&amp;Operators'!$C$1:$G$99911,5,FALSE)</f>
        <v>ROBINSON KADDIBA</v>
      </c>
      <c r="O16" s="174" t="s">
        <v>178</v>
      </c>
      <c r="P16" s="239" t="s">
        <v>1117</v>
      </c>
      <c r="Q16" s="30"/>
      <c r="R16" s="81" t="str">
        <f>VLOOKUP(C16,'Train Runs'!$A$13:$AE$10189,31,0)</f>
        <v>aws s3 cp s3://rtdc.mdm.uploadarchive.raw/RTDC4060/ "%USERPROFILE%\AppData\Local\Temp\OnboardLogs"\RTDC4060\2017-12-07 --exclude "*" --recursive --include "*20171207*" &amp; "%USERPROFILE%\Documents\GitHub\mrs-test-scripts\Headless Mode &amp; Sideloading\WalkAndUnGZ.bat" "%USERPROFILE%\AppData\Local\Temp\OnboardLogs"\RTDC4060\2017-12-07 &amp; aws s3 cp s3://rtdc.mdm.uploadarchive.raw/RTDC4060/ "%USERPROFILE%\AppData\Local\Temp\OnboardLogs"\RTDC4060\2017-12-08 --exclude "*" --recursive --include "*20171208*" &amp; "%USERPROFILE%\Documents\GitHub\mrs-test-scripts\Headless Mode &amp; Sideloading\WalkAndUnGZ.bat" "%USERPROFILE%\AppData\Local\Temp\OnboardLogs"\RTDC4060\2017-12-08</v>
      </c>
      <c r="S16" s="84" t="str">
        <f>VLOOKUP(C16,'Train Runs'!$A$13:$AE$10189,22,0)</f>
        <v>https://d0f6bd738d7f1b3e5a7ca70fe4ff75f0.us-east-1.aws.found.io/app/kibana#/discover/Steve-Slow-Train-Analysis-(2080s-and-2083s)?_g=(refreshInterval:(display:Off,pause:!f,section:0,value:0),time:(from:'2017-12-07T12:38:56-0700',mode:absolute,to:'2017-12-07T15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6" s="86" t="str">
        <f t="shared" si="1"/>
        <v>"C:\Program Files (x86)\AstroGrep\AstroGrep.exe" /e /r /s /spath="%USERPROFILE%\AppData\Local\Temp\OnboardLogs" /stypes="*4060*201712072*" /stext=" 21:.+((SYSTEM_STATE.+slice.+state.+changed )|(ment ac)|(multiple cpu faults)|(system.+state.+changed )|(\[timeout)|(PRM\|1\|D)|(kpr)|(kdp)|(train st.+moving)|(\|lc)|(penalty))"</v>
      </c>
      <c r="U16" s="9" t="str">
        <f t="shared" si="2"/>
        <v>4060</v>
      </c>
      <c r="V16" s="31">
        <f t="shared" si="3"/>
        <v>43076.887893518513</v>
      </c>
      <c r="W16" s="45" t="str">
        <f t="shared" si="4"/>
        <v>EC</v>
      </c>
      <c r="X16" s="228">
        <f t="shared" si="5"/>
        <v>181</v>
      </c>
      <c r="Y16" s="238" t="str">
        <f t="shared" si="6"/>
        <v>echo {"issue":{"subject":"Enforced for overspeed (58220)","project_id":79,"tracker_id":40,"status_id":1,"priority_id":2,"assigned_to_id":338,"start_date":"2017-12-07","description":"","custom_fields":[{"id":1,"name":"Subdivision","value":"EC"},{"id":4,"name":"Milepost","value":"23.208"},{"id":17,"name":"Train ID","value":"181-07"},{"id":16,"name":"Locomotive ID","value":"4060"},{"id":130,"name":"Impact","value":""},{"id":150,"name":"Time of Event (Mountain Time)","value":"14:18:34"},{"id":151,"name":"Denver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/c/Users/stu/AppData/Local/Temp/OnboardLogs/RTDC4060 --include="*4060*201712072*"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"%USERPROFILE%\AppData\Local\Temp\OnboardLogs"\RTDC4060\*4060*201712072* &gt;&gt; 2017-12-07-SliceDisagreementCheck.txt</v>
      </c>
      <c r="AE16" s="144" t="str">
        <f t="shared" si="9"/>
        <v>start /low /b %USERPROFILE%\Documents\GitHub\eaglep3\Utilities\DownloadLogsFromS3.py --loco 4060 --day 2017-12-07</v>
      </c>
      <c r="AF16" s="1"/>
    </row>
    <row r="17" spans="1:32" x14ac:dyDescent="0.25">
      <c r="A17" s="31">
        <v>43076.439687500002</v>
      </c>
      <c r="B17" s="30" t="s">
        <v>683</v>
      </c>
      <c r="C17" s="30" t="s">
        <v>684</v>
      </c>
      <c r="D17" s="30" t="s">
        <v>49</v>
      </c>
      <c r="E17" s="30" t="s">
        <v>354</v>
      </c>
      <c r="F17" s="42">
        <v>0</v>
      </c>
      <c r="G17" s="42">
        <v>453</v>
      </c>
      <c r="H17" s="42">
        <v>84008</v>
      </c>
      <c r="I17" s="42">
        <v>82253</v>
      </c>
      <c r="J17" s="30" t="s">
        <v>355</v>
      </c>
      <c r="K17" s="42">
        <v>81751</v>
      </c>
      <c r="L17" s="131" t="s">
        <v>51</v>
      </c>
      <c r="M17" s="132">
        <f t="shared" si="0"/>
        <v>265.05599999999998</v>
      </c>
      <c r="N17" s="133" t="str">
        <f>VLOOKUP(C17,'Trips&amp;Operators'!$C$1:$G$99911,5,FALSE)</f>
        <v>DAVIDSON DAVID</v>
      </c>
      <c r="O17" s="174" t="s">
        <v>348</v>
      </c>
      <c r="P17" s="239" t="s">
        <v>446</v>
      </c>
      <c r="Q17" s="30"/>
      <c r="R17" s="81" t="str">
        <f>VLOOKUP(C17,'Train Runs'!$A$13:$AE$10189,31,0)</f>
        <v>aws s3 cp s3://rtdc.mdm.uploadarchive.raw/RTDC4027/ "%USERPROFILE%\AppData\Local\Temp\OnboardLogs"\RTDC4027\2017-12-07 --exclude "*" --recursive --include "*20171207*" &amp; "%USERPROFILE%\Documents\GitHub\mrs-test-scripts\Headless Mode &amp; Sideloading\WalkAndUnGZ.bat" "%USERPROFILE%\AppData\Local\Temp\OnboardLogs"\RTDC4027\2017-12-07 &amp; aws s3 cp s3://rtdc.mdm.uploadarchive.raw/RTDC4027/ "%USERPROFILE%\AppData\Local\Temp\OnboardLogs"\RTDC4027\2017-12-08 --exclude "*" --recursive --include "*20171208*" &amp; "%USERPROFILE%\Documents\GitHub\mrs-test-scripts\Headless Mode &amp; Sideloading\WalkAndUnGZ.bat" "%USERPROFILE%\AppData\Local\Temp\OnboardLogs"\RTDC4027\2017-12-08</v>
      </c>
      <c r="S17" s="84" t="str">
        <f>VLOOKUP(C17,'Train Runs'!$A$13:$AE$10189,22,0)</f>
        <v>https://d0f6bd738d7f1b3e5a7ca70fe4ff75f0.us-east-1.aws.found.io/app/kibana#/discover/Steve-Slow-Train-Analysis-(2080s-and-2083s)?_g=(refreshInterval:(display:Off,pause:!f,section:0,value:0),time:(from:'2017-12-07T08:53:08-0700',mode:absolute,to:'2017-12-07T11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7" s="86" t="str">
        <f t="shared" si="1"/>
        <v>"C:\Program Files (x86)\AstroGrep\AstroGrep.exe" /e /r /s /spath="%USERPROFILE%\AppData\Local\Temp\OnboardLogs" /stypes="*4027*201712071*" /stext=" 17:.+((SYSTEM_STATE.+slice.+state.+changed )|(ment ac)|(multiple cpu faults)|(system.+state.+changed )|(\[timeout)|(PRM\|1\|D)|(kpr)|(kdp)|(train st.+moving)|(\|lc)|(penalty))"</v>
      </c>
      <c r="U17" s="9" t="str">
        <f t="shared" si="2"/>
        <v>4027</v>
      </c>
      <c r="V17" s="31">
        <f t="shared" si="3"/>
        <v>43076.731354166666</v>
      </c>
      <c r="W17" s="45" t="str">
        <f t="shared" si="4"/>
        <v>EC</v>
      </c>
      <c r="X17" s="228">
        <f t="shared" si="5"/>
        <v>146</v>
      </c>
      <c r="Y17" s="238" t="str">
        <f t="shared" si="6"/>
        <v>echo {"issue":{"subject":"Wi-MAX data drop","project_id":79,"tracker_id":40,"status_id":1,"priority_id":2,"assigned_to_id":338,"start_date":"2017-12-07","description":"","custom_fields":[{"id":1,"name":"Subdivision","value":"EC"},{"id":4,"name":"Milepost","value":"8.1751"},{"id":17,"name":"Train ID","value":"146-07"},{"id":16,"name":"Locomotive ID","value":"4027"},{"id":130,"name":"Impact","value":""},{"id":150,"name":"Time of Event (Mountain Time)","value":"10:33:09"},{"id":151,"name":"Denver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/c/Users/stu/AppData/Local/Temp/OnboardLogs/RTDC4027 --include="*4027*201712071*"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"%USERPROFILE%\AppData\Local\Temp\OnboardLogs"\RTDC4027\*4027*201712071* &gt;&gt; 2017-12-07-SliceDisagreementCheck.txt</v>
      </c>
      <c r="AE17" s="144" t="str">
        <f t="shared" si="9"/>
        <v>start /low /b %USERPROFILE%\Documents\GitHub\eaglep3\Utilities\DownloadLogsFromS3.py --loco 4027 --day 2017-12-07</v>
      </c>
      <c r="AF17" s="1"/>
    </row>
    <row r="18" spans="1:32" x14ac:dyDescent="0.25">
      <c r="A18" s="31">
        <v>43076.656053240738</v>
      </c>
      <c r="B18" s="30" t="s">
        <v>683</v>
      </c>
      <c r="C18" s="30" t="s">
        <v>694</v>
      </c>
      <c r="D18" s="30" t="s">
        <v>49</v>
      </c>
      <c r="E18" s="30" t="s">
        <v>354</v>
      </c>
      <c r="F18" s="42">
        <v>0</v>
      </c>
      <c r="G18" s="42">
        <v>442</v>
      </c>
      <c r="H18" s="42">
        <v>107879</v>
      </c>
      <c r="I18" s="42">
        <v>106558</v>
      </c>
      <c r="J18" s="30" t="s">
        <v>355</v>
      </c>
      <c r="K18" s="42">
        <v>104776</v>
      </c>
      <c r="L18" s="131" t="s">
        <v>51</v>
      </c>
      <c r="M18" s="132">
        <f t="shared" si="0"/>
        <v>940.89599999999996</v>
      </c>
      <c r="N18" s="133" t="str">
        <f>VLOOKUP(C18,'Trips&amp;Operators'!$C$1:$G$99911,5,FALSE)</f>
        <v>LONG FULLER</v>
      </c>
      <c r="O18" s="174" t="s">
        <v>348</v>
      </c>
      <c r="P18" s="239" t="s">
        <v>446</v>
      </c>
      <c r="Q18" s="30"/>
      <c r="R18" s="81" t="str">
        <f>VLOOKUP(C18,'Train Runs'!$A$13:$AE$10189,31,0)</f>
        <v>aws s3 cp s3://rtdc.mdm.uploadarchive.raw/RTDC4027/ "%USERPROFILE%\AppData\Local\Temp\OnboardLogs"\RTDC4027\2017-12-07 --exclude "*" --recursive --include "*20171207*" &amp; "%USERPROFILE%\Documents\GitHub\mrs-test-scripts\Headless Mode &amp; Sideloading\WalkAndUnGZ.bat" "%USERPROFILE%\AppData\Local\Temp\OnboardLogs"\RTDC4027\2017-12-07 &amp; aws s3 cp s3://rtdc.mdm.uploadarchive.raw/RTDC4027/ "%USERPROFILE%\AppData\Local\Temp\OnboardLogs"\RTDC4027\2017-12-08 --exclude "*" --recursive --include "*20171208*" &amp; "%USERPROFILE%\Documents\GitHub\mrs-test-scripts\Headless Mode &amp; Sideloading\WalkAndUnGZ.bat" "%USERPROFILE%\AppData\Local\Temp\OnboardLogs"\RTDC4027\2017-12-08</v>
      </c>
      <c r="S18" s="84" t="str">
        <f>VLOOKUP(C18,'Train Runs'!$A$13:$AE$10189,22,0)</f>
        <v>https://d0f6bd738d7f1b3e5a7ca70fe4ff75f0.us-east-1.aws.found.io/app/kibana#/discover/Steve-Slow-Train-Analysis-(2080s-and-2083s)?_g=(refreshInterval:(display:Off,pause:!f,section:0,value:0),time:(from:'2017-12-07T14:18:16-0700',mode:absolute,to:'2017-12-07T17:11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8" s="86" t="str">
        <f t="shared" si="1"/>
        <v>"C:\Program Files (x86)\AstroGrep\AstroGrep.exe" /e /r /s /spath="%USERPROFILE%\AppData\Local\Temp\OnboardLogs" /stypes="*4027*201712072*" /stext=" 22:.+((SYSTEM_STATE.+slice.+state.+changed )|(ment ac)|(multiple cpu faults)|(system.+state.+changed )|(\[timeout)|(PRM\|1\|D)|(kpr)|(kdp)|(train st.+moving)|(\|lc)|(penalty))"</v>
      </c>
      <c r="U18" s="9" t="str">
        <f t="shared" si="2"/>
        <v>4027</v>
      </c>
      <c r="V18" s="31">
        <f t="shared" si="3"/>
        <v>43076.947719907403</v>
      </c>
      <c r="W18" s="45" t="str">
        <f t="shared" si="4"/>
        <v>EC</v>
      </c>
      <c r="X18" s="228">
        <f t="shared" si="5"/>
        <v>188</v>
      </c>
      <c r="Y18" s="238" t="str">
        <f t="shared" si="6"/>
        <v>echo {"issue":{"subject":"Wi-MAX data drop","project_id":79,"tracker_id":40,"status_id":1,"priority_id":2,"assigned_to_id":338,"start_date":"2017-12-07","description":"","custom_fields":[{"id":1,"name":"Subdivision","value":"EC"},{"id":4,"name":"Milepost","value":"10.4776"},{"id":17,"name":"Train ID","value":"188-07"},{"id":16,"name":"Locomotive ID","value":"4027"},{"id":130,"name":"Impact","value":""},{"id":150,"name":"Time of Event (Mountain Time)","value":"15:44:43"},{"id":151,"name":"Denver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 t="shared" si="7"/>
        <v>grep -hrE -A400 "Enforcement Action" /c/Users/stu/AppData/Local/Temp/OnboardLogs/RTDC4027 --include="*4027*201712072*"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"%USERPROFILE%\AppData\Local\Temp\OnboardLogs"\RTDC4027\*4027*201712072* &gt;&gt; 2017-12-07-SliceDisagreementCheck.txt</v>
      </c>
      <c r="AE18" s="144" t="str">
        <f t="shared" si="9"/>
        <v>start /low /b %USERPROFILE%\Documents\GitHub\eaglep3\Utilities\DownloadLogsFromS3.py --loco 4027 --day 2017-12-07</v>
      </c>
      <c r="AF18" s="1"/>
    </row>
    <row r="19" spans="1:32" x14ac:dyDescent="0.25">
      <c r="A19" s="31">
        <v>43076.808159722219</v>
      </c>
      <c r="B19" s="30" t="s">
        <v>523</v>
      </c>
      <c r="C19" s="30" t="s">
        <v>702</v>
      </c>
      <c r="D19" s="30" t="s">
        <v>49</v>
      </c>
      <c r="E19" s="30" t="s">
        <v>354</v>
      </c>
      <c r="F19" s="42">
        <v>0</v>
      </c>
      <c r="G19" s="42">
        <v>387</v>
      </c>
      <c r="H19" s="42">
        <v>117832</v>
      </c>
      <c r="I19" s="42">
        <v>118867</v>
      </c>
      <c r="J19" s="30" t="s">
        <v>355</v>
      </c>
      <c r="K19" s="42">
        <v>118739</v>
      </c>
      <c r="L19" s="131" t="s">
        <v>50</v>
      </c>
      <c r="M19" s="132">
        <f t="shared" si="0"/>
        <v>-67.584000000000003</v>
      </c>
      <c r="N19" s="133" t="str">
        <f>VLOOKUP(C19,'Trips&amp;Operators'!$C$1:$G$99911,5,FALSE)</f>
        <v>ANDERS STEVEN</v>
      </c>
      <c r="O19" s="174" t="s">
        <v>348</v>
      </c>
      <c r="P19" s="239" t="s">
        <v>446</v>
      </c>
      <c r="Q19" s="30"/>
      <c r="R19" s="81" t="str">
        <f>VLOOKUP(C19,'Train Runs'!$A$13:$AE$10189,31,0)</f>
        <v>aws s3 cp s3://rtdc.mdm.uploadarchive.raw/RTDC4060/ "%USERPROFILE%\AppData\Local\Temp\OnboardLogs"\RTDC4060\2017-12-07 --exclude "*" --recursive --include "*20171207*" &amp; "%USERPROFILE%\Documents\GitHub\mrs-test-scripts\Headless Mode &amp; Sideloading\WalkAndUnGZ.bat" "%USERPROFILE%\AppData\Local\Temp\OnboardLogs"\RTDC4060\2017-12-07 &amp; aws s3 cp s3://rtdc.mdm.uploadarchive.raw/RTDC4060/ "%USERPROFILE%\AppData\Local\Temp\OnboardLogs"\RTDC4060\2017-12-08 --exclude "*" --recursive --include "*20171208*" &amp; "%USERPROFILE%\Documents\GitHub\mrs-test-scripts\Headless Mode &amp; Sideloading\WalkAndUnGZ.bat" "%USERPROFILE%\AppData\Local\Temp\OnboardLogs"\RTDC4060\2017-12-08</v>
      </c>
      <c r="S19" s="84" t="str">
        <f>VLOOKUP(C19,'Train Runs'!$A$13:$AE$10189,22,0)</f>
        <v>https://d0f6bd738d7f1b3e5a7ca70fe4ff75f0.us-east-1.aws.found.io/app/kibana#/discover/Steve-Slow-Train-Analysis-(2080s-and-2083s)?_g=(refreshInterval:(display:Off,pause:!f,section:0,value:0),time:(from:'2017-12-07T17:54:02-0700',mode:absolute,to:'2017-12-07T20:25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9" s="86" t="str">
        <f t="shared" si="1"/>
        <v>"C:\Program Files (x86)\AstroGrep\AstroGrep.exe" /e /r /s /spath="%USERPROFILE%\AppData\Local\Temp\OnboardLogs" /stypes="*4060*201712080*" /stext=" 02:.+((SYSTEM_STATE.+slice.+state.+changed )|(ment ac)|(multiple cpu faults)|(system.+state.+changed )|(\[timeout)|(PRM\|1\|D)|(kpr)|(kdp)|(train st.+moving)|(\|lc)|(penalty))"</v>
      </c>
      <c r="U19" s="9" t="str">
        <f t="shared" si="2"/>
        <v>4060</v>
      </c>
      <c r="V19" s="31">
        <f t="shared" si="3"/>
        <v>43077.099826388883</v>
      </c>
      <c r="W19" s="45" t="str">
        <f t="shared" si="4"/>
        <v>EC</v>
      </c>
      <c r="X19" s="228">
        <f t="shared" si="5"/>
        <v>221</v>
      </c>
      <c r="Y19" s="238" t="str">
        <f t="shared" si="6"/>
        <v>echo {"issue":{"subject":"Wi-MAX data drop","project_id":79,"tracker_id":40,"status_id":1,"priority_id":2,"assigned_to_id":338,"start_date":"2017-12-07","description":"","custom_fields":[{"id":1,"name":"Subdivision","value":"EC"},{"id":4,"name":"Milepost","value":"11.8739"},{"id":17,"name":"Train ID","value":"221-07"},{"id":16,"name":"Locomotive ID","value":"4060"},{"id":130,"name":"Impact","value":""},{"id":150,"name":"Time of Event (Mountain Time)","value":"19:23:45"},{"id":151,"name":"Denver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 t="shared" si="7"/>
        <v>grep -hrE -A400 "Enforcement Action" /c/Users/stu/AppData/Local/Temp/OnboardLogs/RTDC4060 --include="*4060*201712080*"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"%USERPROFILE%\AppData\Local\Temp\OnboardLogs"\RTDC4060\*4060*201712080* &gt;&gt; 2017-12-07-SliceDisagreementCheck.txt</v>
      </c>
      <c r="AE19" s="144" t="str">
        <f t="shared" si="9"/>
        <v>start /low /b %USERPROFILE%\Documents\GitHub\eaglep3\Utilities\DownloadLogsFromS3.py --loco 4060 --day 2017-12-08</v>
      </c>
      <c r="AF19" s="1"/>
    </row>
    <row r="20" spans="1:32" x14ac:dyDescent="0.25">
      <c r="A20" s="31">
        <v>43076.809166666666</v>
      </c>
      <c r="B20" s="30" t="s">
        <v>523</v>
      </c>
      <c r="C20" s="30" t="s">
        <v>702</v>
      </c>
      <c r="D20" s="30" t="s">
        <v>95</v>
      </c>
      <c r="E20" s="30" t="s">
        <v>354</v>
      </c>
      <c r="F20" s="42">
        <v>200</v>
      </c>
      <c r="G20" s="42">
        <v>254</v>
      </c>
      <c r="H20" s="42">
        <v>119550</v>
      </c>
      <c r="I20" s="42">
        <v>120153</v>
      </c>
      <c r="J20" s="30" t="s">
        <v>355</v>
      </c>
      <c r="K20" s="42">
        <v>118739</v>
      </c>
      <c r="L20" s="131" t="s">
        <v>50</v>
      </c>
      <c r="M20" s="132">
        <f t="shared" si="0"/>
        <v>-746.59199999999998</v>
      </c>
      <c r="N20" s="133" t="str">
        <f>VLOOKUP(C20,'Trips&amp;Operators'!$C$1:$G$99911,5,FALSE)</f>
        <v>ANDERS STEVEN</v>
      </c>
      <c r="O20" s="174" t="s">
        <v>178</v>
      </c>
      <c r="P20" s="239" t="s">
        <v>1113</v>
      </c>
      <c r="Q20" s="30"/>
      <c r="R20" s="81" t="str">
        <f>VLOOKUP(C20,'Train Runs'!$A$13:$AE$10189,31,0)</f>
        <v>aws s3 cp s3://rtdc.mdm.uploadarchive.raw/RTDC4060/ "%USERPROFILE%\AppData\Local\Temp\OnboardLogs"\RTDC4060\2017-12-07 --exclude "*" --recursive --include "*20171207*" &amp; "%USERPROFILE%\Documents\GitHub\mrs-test-scripts\Headless Mode &amp; Sideloading\WalkAndUnGZ.bat" "%USERPROFILE%\AppData\Local\Temp\OnboardLogs"\RTDC4060\2017-12-07 &amp; aws s3 cp s3://rtdc.mdm.uploadarchive.raw/RTDC4060/ "%USERPROFILE%\AppData\Local\Temp\OnboardLogs"\RTDC4060\2017-12-08 --exclude "*" --recursive --include "*20171208*" &amp; "%USERPROFILE%\Documents\GitHub\mrs-test-scripts\Headless Mode &amp; Sideloading\WalkAndUnGZ.bat" "%USERPROFILE%\AppData\Local\Temp\OnboardLogs"\RTDC4060\2017-12-08</v>
      </c>
      <c r="S20" s="84" t="str">
        <f>VLOOKUP(C20,'Train Runs'!$A$13:$AE$10189,22,0)</f>
        <v>https://d0f6bd738d7f1b3e5a7ca70fe4ff75f0.us-east-1.aws.found.io/app/kibana#/discover/Steve-Slow-Train-Analysis-(2080s-and-2083s)?_g=(refreshInterval:(display:Off,pause:!f,section:0,value:0),time:(from:'2017-12-07T17:54:02-0700',mode:absolute,to:'2017-12-07T20:25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0" s="86" t="str">
        <f t="shared" si="1"/>
        <v>"C:\Program Files (x86)\AstroGrep\AstroGrep.exe" /e /r /s /spath="%USERPROFILE%\AppData\Local\Temp\OnboardLogs" /stypes="*4060*201712080*" /stext=" 02:.+((SYSTEM_STATE.+slice.+state.+changed )|(ment ac)|(multiple cpu faults)|(system.+state.+changed )|(\[timeout)|(PRM\|1\|D)|(kpr)|(kdp)|(train st.+moving)|(\|lc)|(penalty))"</v>
      </c>
      <c r="U20" s="9" t="str">
        <f t="shared" si="2"/>
        <v>4060</v>
      </c>
      <c r="V20" s="31">
        <f t="shared" si="3"/>
        <v>43077.10083333333</v>
      </c>
      <c r="W20" s="45" t="str">
        <f t="shared" si="4"/>
        <v>EC</v>
      </c>
      <c r="X20" s="228">
        <f t="shared" si="5"/>
        <v>221</v>
      </c>
      <c r="Y20" s="238" t="str">
        <f t="shared" si="6"/>
        <v>echo {"issue":{"subject":"Overspeed","project_id":79,"tracker_id":40,"status_id":1,"priority_id":2,"assigned_to_id":338,"start_date":"2017-12-07","description":"","custom_fields":[{"id":1,"name":"Subdivision","value":"EC"},{"id":4,"name":"Milepost","value":"11.8739"},{"id":17,"name":"Train ID","value":"221-07"},{"id":16,"name":"Locomotive ID","value":"4060"},{"id":130,"name":"Impact","value":""},{"id":150,"name":"Time of Event (Mountain Time)","value":"19:25:12"},{"id":151,"name":"Denver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 t="shared" si="7"/>
        <v>grep -hrE -A400 "Enforcement Action" /c/Users/stu/AppData/Local/Temp/OnboardLogs/RTDC4060 --include="*4060*201712080*"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"%USERPROFILE%\AppData\Local\Temp\OnboardLogs"\RTDC4060\*4060*201712080* &gt;&gt; 2017-12-07-SliceDisagreementCheck.txt</v>
      </c>
      <c r="AE20" s="144" t="str">
        <f t="shared" si="9"/>
        <v>start /low /b %USERPROFILE%\Documents\GitHub\eaglep3\Utilities\DownloadLogsFromS3.py --loco 4060 --day 2017-12-08</v>
      </c>
      <c r="AF20" s="1"/>
    </row>
    <row r="21" spans="1:32" x14ac:dyDescent="0.25">
      <c r="A21" s="31">
        <v>43076.295740740738</v>
      </c>
      <c r="B21" s="30" t="s">
        <v>364</v>
      </c>
      <c r="C21" s="30" t="s">
        <v>680</v>
      </c>
      <c r="D21" s="30" t="s">
        <v>49</v>
      </c>
      <c r="E21" s="30" t="s">
        <v>354</v>
      </c>
      <c r="F21" s="42">
        <v>0</v>
      </c>
      <c r="G21" s="42">
        <v>600</v>
      </c>
      <c r="H21" s="42">
        <v>163173</v>
      </c>
      <c r="I21" s="42">
        <v>160613</v>
      </c>
      <c r="J21" s="30" t="s">
        <v>355</v>
      </c>
      <c r="K21" s="42">
        <v>162262</v>
      </c>
      <c r="L21" s="131" t="s">
        <v>51</v>
      </c>
      <c r="M21" s="132">
        <f t="shared" si="0"/>
        <v>-870.67200000000003</v>
      </c>
      <c r="N21" s="133" t="str">
        <f>VLOOKUP(C21,'Trips&amp;Operators'!$C$1:$G$99911,5,FALSE)</f>
        <v>HAMMOND JUSTYNN</v>
      </c>
      <c r="O21" s="174" t="s">
        <v>348</v>
      </c>
      <c r="P21" s="239" t="s">
        <v>446</v>
      </c>
      <c r="Q21" s="30"/>
      <c r="R21" s="81" t="str">
        <f>VLOOKUP(C21,'Train Runs'!$A$13:$AE$10189,31,0)</f>
        <v>aws s3 cp s3://rtdc.mdm.uploadarchive.raw/RTDC4035/ "%USERPROFILE%\AppData\Local\Temp\OnboardLogs"\RTDC4035\2017-12-07 --exclude "*" --recursive --include "*20171207*" &amp; "%USERPROFILE%\Documents\GitHub\mrs-test-scripts\Headless Mode &amp; Sideloading\WalkAndUnGZ.bat" "%USERPROFILE%\AppData\Local\Temp\OnboardLogs"\RTDC4035\2017-12-07 &amp; aws s3 cp s3://rtdc.mdm.uploadarchive.raw/RTDC4035/ "%USERPROFILE%\AppData\Local\Temp\OnboardLogs"\RTDC4035\2017-12-08 --exclude "*" --recursive --include "*20171208*" &amp; "%USERPROFILE%\Documents\GitHub\mrs-test-scripts\Headless Mode &amp; Sideloading\WalkAndUnGZ.bat" "%USERPROFILE%\AppData\Local\Temp\OnboardLogs"\RTDC4035\2017-12-08</v>
      </c>
      <c r="S21" s="84" t="str">
        <f>VLOOKUP(C21,'Train Runs'!$A$13:$AE$10189,22,0)</f>
        <v>https://d0f6bd738d7f1b3e5a7ca70fe4ff75f0.us-east-1.aws.found.io/app/kibana#/discover/Steve-Slow-Train-Analysis-(2080s-and-2083s)?_g=(refreshInterval:(display:Off,pause:!f,section:0,value:0),time:(from:'2017-12-07T05:52:03-0700',mode:absolute,to:'2017-12-07T08:38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21" s="86" t="str">
        <f t="shared" si="1"/>
        <v>"C:\Program Files (x86)\AstroGrep\AstroGrep.exe" /e /r /s /spath="%USERPROFILE%\AppData\Local\Temp\OnboardLogs" /stypes="*4035*201712071*" /stext=" 14:.+((SYSTEM_STATE.+slice.+state.+changed )|(ment ac)|(multiple cpu faults)|(system.+state.+changed )|(\[timeout)|(PRM\|1\|D)|(kpr)|(kdp)|(train st.+moving)|(\|lc)|(penalty))"</v>
      </c>
      <c r="U21" s="9" t="str">
        <f t="shared" si="2"/>
        <v>4035</v>
      </c>
      <c r="V21" s="31">
        <f t="shared" si="3"/>
        <v>43076.587407407402</v>
      </c>
      <c r="W21" s="45" t="str">
        <f t="shared" si="4"/>
        <v>EC</v>
      </c>
      <c r="X21" s="228">
        <f t="shared" si="5"/>
        <v>120</v>
      </c>
      <c r="Y21" s="238" t="str">
        <f t="shared" si="6"/>
        <v>echo {"issue":{"subject":"Wi-MAX data drop","project_id":79,"tracker_id":40,"status_id":1,"priority_id":2,"assigned_to_id":338,"start_date":"2017-12-07","description":"","custom_fields":[{"id":1,"name":"Subdivision","value":"EC"},{"id":4,"name":"Milepost","value":"16.2262"},{"id":17,"name":"Train ID","value":"120-07"},{"id":16,"name":"Locomotive ID","value":"4035"},{"id":130,"name":"Impact","value":""},{"id":150,"name":"Time of Event (Mountain Time)","value":"07:05:52"},{"id":151,"name":"Denver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 t="shared" si="7"/>
        <v>grep -hrE -A400 "Enforcement Action" /c/Users/stu/AppData/Local/Temp/OnboardLogs/RTDC4035 --include="*4035*201712071*"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"%USERPROFILE%\AppData\Local\Temp\OnboardLogs"\RTDC4035\*4035*201712071* &gt;&gt; 2017-12-07-SliceDisagreementCheck.txt</v>
      </c>
      <c r="AE21" s="144" t="str">
        <f t="shared" si="9"/>
        <v>start /low /b %USERPROFILE%\Documents\GitHub\eaglep3\Utilities\DownloadLogsFromS3.py --loco 4035 --day 2017-12-07</v>
      </c>
      <c r="AF21" s="1"/>
    </row>
    <row r="22" spans="1:32" x14ac:dyDescent="0.25">
      <c r="A22" s="31">
        <v>43076.733194444445</v>
      </c>
      <c r="B22" s="30" t="s">
        <v>364</v>
      </c>
      <c r="C22" s="30" t="s">
        <v>699</v>
      </c>
      <c r="D22" s="30" t="s">
        <v>49</v>
      </c>
      <c r="E22" s="30" t="s">
        <v>354</v>
      </c>
      <c r="F22" s="42">
        <v>0</v>
      </c>
      <c r="G22" s="42">
        <v>602</v>
      </c>
      <c r="H22" s="42">
        <v>162734</v>
      </c>
      <c r="I22" s="42">
        <v>159823</v>
      </c>
      <c r="J22" s="30" t="s">
        <v>355</v>
      </c>
      <c r="K22" s="42">
        <v>162262</v>
      </c>
      <c r="L22" s="131" t="s">
        <v>51</v>
      </c>
      <c r="M22" s="132">
        <f t="shared" si="0"/>
        <v>-1287.7919999999999</v>
      </c>
      <c r="N22" s="133" t="str">
        <f>VLOOKUP(C22,'Trips&amp;Operators'!$C$1:$G$99911,5,FALSE)</f>
        <v>BRUDER RICHARD</v>
      </c>
      <c r="O22" s="174" t="s">
        <v>348</v>
      </c>
      <c r="P22" s="239" t="s">
        <v>446</v>
      </c>
      <c r="Q22" s="30"/>
      <c r="R22" s="81" t="str">
        <f>VLOOKUP(C22,'Train Runs'!$A$13:$AE$10189,31,0)</f>
        <v>aws s3 cp s3://rtdc.mdm.uploadarchive.raw/RTDC4035/ "%USERPROFILE%\AppData\Local\Temp\OnboardLogs"\RTDC4035\2017-12-07 --exclude "*" --recursive --include "*20171207*" &amp; "%USERPROFILE%\Documents\GitHub\mrs-test-scripts\Headless Mode &amp; Sideloading\WalkAndUnGZ.bat" "%USERPROFILE%\AppData\Local\Temp\OnboardLogs"\RTDC4035\2017-12-07 &amp; aws s3 cp s3://rtdc.mdm.uploadarchive.raw/RTDC4035/ "%USERPROFILE%\AppData\Local\Temp\OnboardLogs"\RTDC4035\2017-12-08 --exclude "*" --recursive --include "*20171208*" &amp; "%USERPROFILE%\Documents\GitHub\mrs-test-scripts\Headless Mode &amp; Sideloading\WalkAndUnGZ.bat" "%USERPROFILE%\AppData\Local\Temp\OnboardLogs"\RTDC4035\2017-12-08</v>
      </c>
      <c r="S22" s="84" t="str">
        <f>VLOOKUP(C22,'Train Runs'!$A$13:$AE$10189,22,0)</f>
        <v>https://d0f6bd738d7f1b3e5a7ca70fe4ff75f0.us-east-1.aws.found.io/app/kibana#/discover/Steve-Slow-Train-Analysis-(2080s-and-2083s)?_g=(refreshInterval:(display:Off,pause:!f,section:0,value:0),time:(from:'2017-12-07T16:22:13-0700',mode:absolute,to:'2017-12-07T19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22" s="86" t="str">
        <f t="shared" si="1"/>
        <v>"C:\Program Files (x86)\AstroGrep\AstroGrep.exe" /e /r /s /spath="%USERPROFILE%\AppData\Local\Temp\OnboardLogs" /stypes="*4035*201712080*" /stext=" 00:.+((SYSTEM_STATE.+slice.+state.+changed )|(ment ac)|(multiple cpu faults)|(system.+state.+changed )|(\[timeout)|(PRM\|1\|D)|(kpr)|(kdp)|(train st.+moving)|(\|lc)|(penalty))"</v>
      </c>
      <c r="U22" s="9" t="str">
        <f t="shared" si="2"/>
        <v>4035</v>
      </c>
      <c r="V22" s="31">
        <f t="shared" si="3"/>
        <v>43077.024861111109</v>
      </c>
      <c r="W22" s="45" t="str">
        <f t="shared" si="4"/>
        <v>EC</v>
      </c>
      <c r="X22" s="228">
        <f t="shared" si="5"/>
        <v>204</v>
      </c>
      <c r="Y22" s="238" t="str">
        <f t="shared" si="6"/>
        <v>echo {"issue":{"subject":"Wi-MAX data drop","project_id":79,"tracker_id":40,"status_id":1,"priority_id":2,"assigned_to_id":338,"start_date":"2017-12-07","description":"","custom_fields":[{"id":1,"name":"Subdivision","value":"EC"},{"id":4,"name":"Milepost","value":"16.2262"},{"id":17,"name":"Train ID","value":"204-07"},{"id":16,"name":"Locomotive ID","value":"4035"},{"id":130,"name":"Impact","value":""},{"id":150,"name":"Time of Event (Mountain Time)","value":"17:35:48"},{"id":151,"name":"Denver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 t="shared" si="7"/>
        <v>grep -hrE -A400 "Enforcement Action" /c/Users/stu/AppData/Local/Temp/OnboardLogs/RTDC4035 --include="*4035*201712080*"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"%USERPROFILE%\AppData\Local\Temp\OnboardLogs"\RTDC4035\*4035*201712080* &gt;&gt; 2017-12-07-SliceDisagreementCheck.txt</v>
      </c>
      <c r="AE22" s="144" t="str">
        <f t="shared" si="9"/>
        <v>start /low /b %USERPROFILE%\Documents\GitHub\eaglep3\Utilities\DownloadLogsFromS3.py --loco 4035 --day 2017-12-08</v>
      </c>
      <c r="AF22" s="1"/>
    </row>
    <row r="23" spans="1:32" x14ac:dyDescent="0.25">
      <c r="A23" s="31">
        <v>43076.702650462961</v>
      </c>
      <c r="B23" s="30" t="s">
        <v>696</v>
      </c>
      <c r="C23" s="30" t="s">
        <v>697</v>
      </c>
      <c r="D23" s="30" t="s">
        <v>49</v>
      </c>
      <c r="E23" s="30" t="s">
        <v>354</v>
      </c>
      <c r="F23" s="42">
        <v>0</v>
      </c>
      <c r="G23" s="42">
        <v>449</v>
      </c>
      <c r="H23" s="42">
        <v>222483</v>
      </c>
      <c r="I23" s="42">
        <v>223687</v>
      </c>
      <c r="J23" s="30" t="s">
        <v>355</v>
      </c>
      <c r="K23" s="42">
        <v>224231</v>
      </c>
      <c r="L23" s="131" t="s">
        <v>50</v>
      </c>
      <c r="M23" s="132">
        <f t="shared" si="0"/>
        <v>287.23200000000003</v>
      </c>
      <c r="N23" s="133" t="str">
        <f>VLOOKUP(C23,'Trips&amp;Operators'!$C$1:$G$99911,5,FALSE)</f>
        <v>LONG FULLER</v>
      </c>
      <c r="O23" s="174" t="s">
        <v>348</v>
      </c>
      <c r="P23" s="239" t="s">
        <v>446</v>
      </c>
      <c r="Q23" s="30"/>
      <c r="R23" s="81" t="str">
        <f>VLOOKUP(C23,'Train Runs'!$A$13:$AE$10189,31,0)</f>
        <v>aws s3 cp s3://rtdc.mdm.uploadarchive.raw/RTDC4028/ "%USERPROFILE%\AppData\Local\Temp\OnboardLogs"\RTDC4028\2017-12-07 --exclude "*" --recursive --include "*20171207*" &amp; "%USERPROFILE%\Documents\GitHub\mrs-test-scripts\Headless Mode &amp; Sideloading\WalkAndUnGZ.bat" "%USERPROFILE%\AppData\Local\Temp\OnboardLogs"\RTDC4028\2017-12-07 &amp; aws s3 cp s3://rtdc.mdm.uploadarchive.raw/RTDC4028/ "%USERPROFILE%\AppData\Local\Temp\OnboardLogs"\RTDC4028\2017-12-08 --exclude "*" --recursive --include "*20171208*" &amp; "%USERPROFILE%\Documents\GitHub\mrs-test-scripts\Headless Mode &amp; Sideloading\WalkAndUnGZ.bat" "%USERPROFILE%\AppData\Local\Temp\OnboardLogs"\RTDC4028\2017-12-08</v>
      </c>
      <c r="S23" s="84" t="str">
        <f>VLOOKUP(C23,'Train Runs'!$A$13:$AE$10189,22,0)</f>
        <v>https://d0f6bd738d7f1b3e5a7ca70fe4ff75f0.us-east-1.aws.found.io/app/kibana#/discover/Steve-Slow-Train-Analysis-(2080s-and-2083s)?_g=(refreshInterval:(display:Off,pause:!f,section:0,value:0),time:(from:'2017-12-07T15:13:07-0700',mode:absolute,to:'2017-12-07T17:56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3" s="86" t="str">
        <f t="shared" si="1"/>
        <v>"C:\Program Files (x86)\AstroGrep\AstroGrep.exe" /e /r /s /spath="%USERPROFILE%\AppData\Local\Temp\OnboardLogs" /stypes="*4028*201712072*"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4028</v>
      </c>
      <c r="V23" s="31">
        <f t="shared" si="3"/>
        <v>43076.994317129625</v>
      </c>
      <c r="W23" s="45" t="str">
        <f t="shared" si="4"/>
        <v>EC</v>
      </c>
      <c r="X23" s="228">
        <f t="shared" si="5"/>
        <v>201</v>
      </c>
      <c r="Y23" s="238" t="str">
        <f t="shared" si="6"/>
        <v>echo {"issue":{"subject":"Wi-MAX data drop","project_id":79,"tracker_id":40,"status_id":1,"priority_id":2,"assigned_to_id":338,"start_date":"2017-12-07","description":"","custom_fields":[{"id":1,"name":"Subdivision","value":"EC"},{"id":4,"name":"Milepost","value":"22.4231"},{"id":17,"name":"Train ID","value":"201-07"},{"id":16,"name":"Locomotive ID","value":"4028"},{"id":130,"name":"Impact","value":""},{"id":150,"name":"Time of Event (Mountain Time)","value":"16:51:49"},{"id":151,"name":"Denver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 t="shared" si="7"/>
        <v>grep -hrE -A400 "Enforcement Action" /c/Users/stu/AppData/Local/Temp/OnboardLogs/RTDC4028 --include="*4028*201712072*"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"%USERPROFILE%\AppData\Local\Temp\OnboardLogs"\RTDC4028\*4028*201712072* &gt;&gt; 2017-12-07-SliceDisagreementCheck.txt</v>
      </c>
      <c r="AE23" s="144" t="str">
        <f t="shared" si="9"/>
        <v>start /low /b %USERPROFILE%\Documents\GitHub\eaglep3\Utilities\DownloadLogsFromS3.py --loco 4028 --day 2017-12-07</v>
      </c>
      <c r="AF23" s="1"/>
    </row>
    <row r="24" spans="1:32" x14ac:dyDescent="0.25">
      <c r="A24" s="31">
        <v>43076.609259259261</v>
      </c>
      <c r="B24" s="30" t="s">
        <v>413</v>
      </c>
      <c r="C24" s="30" t="s">
        <v>692</v>
      </c>
      <c r="D24" s="30" t="s">
        <v>49</v>
      </c>
      <c r="E24" s="30" t="s">
        <v>493</v>
      </c>
      <c r="F24" s="42">
        <v>0</v>
      </c>
      <c r="G24" s="42">
        <v>441</v>
      </c>
      <c r="H24" s="42">
        <v>126599</v>
      </c>
      <c r="I24" s="42">
        <v>127618</v>
      </c>
      <c r="J24" s="30" t="s">
        <v>494</v>
      </c>
      <c r="K24" s="42">
        <v>126678</v>
      </c>
      <c r="L24" s="131" t="s">
        <v>50</v>
      </c>
      <c r="M24" s="132">
        <f t="shared" si="0"/>
        <v>-496.32</v>
      </c>
      <c r="N24" s="133" t="str">
        <f>VLOOKUP(C24,'Trips&amp;Operators'!$C$1:$G$99911,5,FALSE)</f>
        <v>BADERTSCHER DIANE</v>
      </c>
      <c r="O24" s="174" t="s">
        <v>348</v>
      </c>
      <c r="P24" s="239" t="s">
        <v>446</v>
      </c>
      <c r="Q24" s="30"/>
      <c r="R24" s="81" t="str">
        <f>VLOOKUP(C24,'Train Runs'!$A$13:$AE$10189,31,0)</f>
        <v>aws s3 cp s3://rtdc.mdm.uploadarchive.raw/RTDC4056/ "%USERPROFILE%\AppData\Local\Temp\OnboardLogs"\RTDC4056\2017-12-07 --exclude "*" --recursive --include "*20171207*" &amp; "%USERPROFILE%\Documents\GitHub\mrs-test-scripts\Headless Mode &amp; Sideloading\WalkAndUnGZ.bat" "%USERPROFILE%\AppData\Local\Temp\OnboardLogs"\RTDC4056\2017-12-07 &amp; aws s3 cp s3://rtdc.mdm.uploadarchive.raw/RTDC4056/ "%USERPROFILE%\AppData\Local\Temp\OnboardLogs"\RTDC4056\2017-12-08 --exclude "*" --recursive --include "*20171208*" &amp; "%USERPROFILE%\Documents\GitHub\mrs-test-scripts\Headless Mode &amp; Sideloading\WalkAndUnGZ.bat" "%USERPROFILE%\AppData\Local\Temp\OnboardLogs"\RTDC4056\2017-12-08</v>
      </c>
      <c r="S24" s="84" t="str">
        <f>VLOOKUP(C24,'Train Runs'!$A$13:$AE$10189,22,0)</f>
        <v>https://d0f6bd738d7f1b3e5a7ca70fe4ff75f0.us-east-1.aws.found.io/app/kibana#/discover/Steve-Slow-Train-Analysis-(2080s-and-2083s)?_g=(refreshInterval:(display:Off,pause:!f,section:0,value:0),time:(from:'2017-12-07T13:10:43-0700',mode:absolute,to:'2017-12-07T15:52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4" s="86" t="str">
        <f t="shared" si="1"/>
        <v>"C:\Program Files (x86)\AstroGrep\AstroGrep.exe" /e /r /s /spath="%USERPROFILE%\AppData\Local\Temp\OnboardLogs" /stypes="*4056*201712072*" /stext=" 21:.+((SYSTEM_STATE.+slice.+state.+changed )|(ment ac)|(multiple cpu faults)|(system.+state.+changed )|(\[timeout)|(PRM\|1\|D)|(kpr)|(kdp)|(train st.+moving)|(\|lc)|(penalty))"</v>
      </c>
      <c r="U24" s="9" t="str">
        <f t="shared" si="2"/>
        <v>4056</v>
      </c>
      <c r="V24" s="31">
        <f t="shared" si="3"/>
        <v>43076.900925925926</v>
      </c>
      <c r="W24" s="45" t="str">
        <f t="shared" si="4"/>
        <v>EC</v>
      </c>
      <c r="X24" s="228">
        <f t="shared" si="5"/>
        <v>185</v>
      </c>
      <c r="Y24" s="238" t="str">
        <f t="shared" si="6"/>
        <v>echo {"issue":{"subject":"Wi-MAX data drop","project_id":79,"tracker_id":40,"status_id":1,"priority_id":2,"assigned_to_id":338,"start_date":"2017-12-07","description":"","custom_fields":[{"id":1,"name":"Subdivision","value":"EC"},{"id":4,"name":"Milepost","value":"12.6678"},{"id":17,"name":"Train ID","value":"185-07"},{"id":16,"name":"Locomotive ID","value":"4056"},{"id":130,"name":"Impact","value":""},{"id":150,"name":"Time of Event (Mountain Time)","value":"14:37:20"},{"id":151,"name":"Denver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 t="shared" si="7"/>
        <v>grep -hrE -A400 "Enforcement Action" /c/Users/stu/AppData/Local/Temp/OnboardLogs/RTDC4056 --include="*4056*201712072*"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"%USERPROFILE%\AppData\Local\Temp\OnboardLogs"\RTDC4056\*4056*201712072* &gt;&gt; 2017-12-07-SliceDisagreementCheck.txt</v>
      </c>
      <c r="AE24" s="144" t="str">
        <f t="shared" si="9"/>
        <v>start /low /b %USERPROFILE%\Documents\GitHub\eaglep3\Utilities\DownloadLogsFromS3.py --loco 4056 --day 2017-12-07</v>
      </c>
      <c r="AF24" s="1"/>
    </row>
    <row r="25" spans="1:32" x14ac:dyDescent="0.25">
      <c r="A25" s="31">
        <v>43076.224560185183</v>
      </c>
      <c r="B25" s="30" t="s">
        <v>424</v>
      </c>
      <c r="C25" s="30" t="s">
        <v>679</v>
      </c>
      <c r="D25" s="30" t="s">
        <v>49</v>
      </c>
      <c r="E25" s="30" t="s">
        <v>354</v>
      </c>
      <c r="F25" s="42">
        <v>0</v>
      </c>
      <c r="G25" s="42">
        <v>85</v>
      </c>
      <c r="H25" s="42">
        <v>4806</v>
      </c>
      <c r="I25" s="42">
        <v>4675</v>
      </c>
      <c r="J25" s="30" t="s">
        <v>355</v>
      </c>
      <c r="K25" s="42">
        <v>4798</v>
      </c>
      <c r="L25" s="131" t="s">
        <v>51</v>
      </c>
      <c r="M25" s="132">
        <f t="shared" si="0"/>
        <v>-64.944000000000003</v>
      </c>
      <c r="N25" s="133" t="str">
        <f>VLOOKUP(C25,'Trips&amp;Operators'!$C$1:$G$99911,5,FALSE)</f>
        <v>LOPES KIMBERLY</v>
      </c>
      <c r="O25" s="174" t="s">
        <v>348</v>
      </c>
      <c r="P25" s="239" t="s">
        <v>1114</v>
      </c>
      <c r="Q25" s="30"/>
      <c r="R25" s="81" t="str">
        <f>VLOOKUP(C25,'Train Runs'!$A$13:$AE$10189,31,0)</f>
        <v>aws s3 cp s3://rtdc.mdm.uploadarchive.raw/RTDC4043/ "%USERPROFILE%\AppData\Local\Temp\OnboardLogs"\RTDC4043\2017-12-07 --exclude "*" --recursive --include "*20171207*" &amp; "%USERPROFILE%\Documents\GitHub\mrs-test-scripts\Headless Mode &amp; Sideloading\WalkAndUnGZ.bat" "%USERPROFILE%\AppData\Local\Temp\OnboardLogs"\RTDC4043\2017-12-07 &amp; aws s3 cp s3://rtdc.mdm.uploadarchive.raw/RTDC4043/ "%USERPROFILE%\AppData\Local\Temp\OnboardLogs"\RTDC4043\2017-12-08 --exclude "*" --recursive --include "*20171208*" &amp; "%USERPROFILE%\Documents\GitHub\mrs-test-scripts\Headless Mode &amp; Sideloading\WalkAndUnGZ.bat" "%USERPROFILE%\AppData\Local\Temp\OnboardLogs"\RTDC4043\2017-12-08</v>
      </c>
      <c r="S25" s="84" t="str">
        <f>VLOOKUP(C25,'Train Runs'!$A$13:$AE$10189,22,0)</f>
        <v>https://d0f6bd738d7f1b3e5a7ca70fe4ff75f0.us-east-1.aws.found.io/app/kibana#/discover/Steve-Slow-Train-Analysis-(2080s-and-2083s)?_g=(refreshInterval:(display:Off,pause:!f,section:0,value:0),time:(from:'2017-12-07T04:03:14-0700',mode:absolute,to:'2017-12-07T06:23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5" s="86" t="str">
        <f t="shared" si="1"/>
        <v>"C:\Program Files (x86)\AstroGrep\AstroGrep.exe" /e /r /s /spath="%USERPROFILE%\AppData\Local\Temp\OnboardLogs" /stypes="*4043*201712071*" /stext=" 12:.+((SYSTEM_STATE.+slice.+state.+changed )|(ment ac)|(multiple cpu faults)|(system.+state.+changed )|(\[timeout)|(PRM\|1\|D)|(kpr)|(kdp)|(train st.+moving)|(\|lc)|(penalty))"</v>
      </c>
      <c r="U25" s="9" t="str">
        <f t="shared" si="2"/>
        <v>4043</v>
      </c>
      <c r="V25" s="31">
        <f t="shared" si="3"/>
        <v>43076.516226851847</v>
      </c>
      <c r="W25" s="45" t="str">
        <f t="shared" si="4"/>
        <v>NW</v>
      </c>
      <c r="X25" s="228">
        <f t="shared" si="5"/>
        <v>800</v>
      </c>
      <c r="Y25" s="238" t="str">
        <f t="shared" si="6"/>
        <v>echo {"issue":{"subject":"Poor  GPS @ Wewatta","project_id":79,"tracker_id":40,"status_id":1,"priority_id":2,"assigned_to_id":338,"start_date":"2017-12-07","description":"","custom_fields":[{"id":1,"name":"Subdivision","value":"NW"},{"id":4,"name":"Milepost","value":"0.4798"},{"id":17,"name":"Train ID","value":"800-07"},{"id":16,"name":"Locomotive ID","value":"4043"},{"id":130,"name":"Impact","value":""},{"id":150,"name":"Time of Event (Mountain Time)","value":"05:23:22"},{"id":151,"name":"Denver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 t="shared" si="7"/>
        <v>grep -hrE -A400 "Enforcement Action" /c/Users/stu/AppData/Local/Temp/OnboardLogs/RTDC4043 --include="*4043*201712071*"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"%USERPROFILE%\AppData\Local\Temp\OnboardLogs"\RTDC4043\*4043*201712071* &gt;&gt; 2017-12-07-SliceDisagreementCheck.txt</v>
      </c>
      <c r="AE25" s="144" t="str">
        <f t="shared" si="9"/>
        <v>start /low /b %USERPROFILE%\Documents\GitHub\eaglep3\Utilities\DownloadLogsFromS3.py --loco 4043 --day 2017-12-07</v>
      </c>
      <c r="AF25" s="1"/>
    </row>
    <row r="26" spans="1:32" x14ac:dyDescent="0.25">
      <c r="A26" s="31">
        <v>43076.304236111115</v>
      </c>
      <c r="B26" s="30" t="s">
        <v>681</v>
      </c>
      <c r="C26" s="30" t="s">
        <v>682</v>
      </c>
      <c r="D26" s="30" t="s">
        <v>95</v>
      </c>
      <c r="E26" s="30" t="s">
        <v>354</v>
      </c>
      <c r="F26" s="42">
        <v>200</v>
      </c>
      <c r="G26" s="42">
        <v>250</v>
      </c>
      <c r="H26" s="42">
        <v>35648</v>
      </c>
      <c r="I26" s="42">
        <v>36454</v>
      </c>
      <c r="J26" s="30" t="s">
        <v>355</v>
      </c>
      <c r="K26" s="42">
        <v>34583</v>
      </c>
      <c r="L26" s="131" t="s">
        <v>50</v>
      </c>
      <c r="M26" s="132">
        <f t="shared" si="0"/>
        <v>-987.88800000000003</v>
      </c>
      <c r="N26" s="133" t="str">
        <f>VLOOKUP(C26,'Trips&amp;Operators'!$C$1:$G$99911,5,FALSE)</f>
        <v>FORTUNATO FRANK</v>
      </c>
      <c r="O26" s="174" t="s">
        <v>178</v>
      </c>
      <c r="P26" s="239" t="s">
        <v>1113</v>
      </c>
      <c r="Q26" s="30"/>
      <c r="R26" s="81" t="str">
        <f>VLOOKUP(C26,'Train Runs'!$A$13:$AE$10189,31,0)</f>
        <v>aws s3 cp s3://rtdc.mdm.uploadarchive.raw/RTDC4024/ "%USERPROFILE%\AppData\Local\Temp\OnboardLogs"\RTDC4024\2017-12-07 --exclude "*" --recursive --include "*20171207*" &amp; "%USERPROFILE%\Documents\GitHub\mrs-test-scripts\Headless Mode &amp; Sideloading\WalkAndUnGZ.bat" "%USERPROFILE%\AppData\Local\Temp\OnboardLogs"\RTDC4024\2017-12-07 &amp; 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</v>
      </c>
      <c r="S26" s="84" t="str">
        <f>VLOOKUP(C26,'Train Runs'!$A$13:$AE$10189,22,0)</f>
        <v>https://d0f6bd738d7f1b3e5a7ca70fe4ff75f0.us-east-1.aws.found.io/app/kibana#/discover/Steve-Slow-Train-Analysis-(2080s-and-2083s)?_g=(refreshInterval:(display:Off,pause:!f,section:0,value:0),time:(from:'2017-12-07T05:57:36-0700',mode:absolute,to:'2017-12-07T08:25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6" s="86" t="str">
        <f t="shared" si="1"/>
        <v>"C:\Program Files (x86)\AstroGrep\AstroGrep.exe" /e /r /s /spath="%USERPROFILE%\AppData\Local\Temp\OnboardLogs" /stypes="*4024*201712071*" /stext=" 14:.+((SYSTEM_STATE.+slice.+state.+changed )|(ment ac)|(multiple cpu faults)|(system.+state.+changed )|(\[timeout)|(PRM\|1\|D)|(kpr)|(kdp)|(train st.+moving)|(\|lc)|(penalty))"</v>
      </c>
      <c r="U26" s="9" t="str">
        <f t="shared" si="2"/>
        <v>4024</v>
      </c>
      <c r="V26" s="31">
        <f t="shared" si="3"/>
        <v>43076.595902777779</v>
      </c>
      <c r="W26" s="45" t="str">
        <f t="shared" si="4"/>
        <v>NW</v>
      </c>
      <c r="X26" s="228">
        <f t="shared" si="5"/>
        <v>807</v>
      </c>
      <c r="Y26" s="238" t="str">
        <f t="shared" si="6"/>
        <v>echo {"issue":{"subject":"Overspeed","project_id":79,"tracker_id":40,"status_id":1,"priority_id":2,"assigned_to_id":338,"start_date":"2017-12-07","description":"","custom_fields":[{"id":1,"name":"Subdivision","value":"NW"},{"id":4,"name":"Milepost","value":"3.4583"},{"id":17,"name":"Train ID","value":"807-07"},{"id":16,"name":"Locomotive ID","value":"4024"},{"id":130,"name":"Impact","value":""},{"id":150,"name":"Time of Event (Mountain Time)","value":"07:18:06"},{"id":151,"name":"Denver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 t="shared" si="7"/>
        <v>grep -hrE -A400 "Enforcement Action" /c/Users/stu/AppData/Local/Temp/OnboardLogs/RTDC4024 --include="*4024*201712071*"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"%USERPROFILE%\AppData\Local\Temp\OnboardLogs"\RTDC4024\*4024*201712071* &gt;&gt; 2017-12-07-SliceDisagreementCheck.txt</v>
      </c>
      <c r="AE26" s="144" t="str">
        <f t="shared" si="9"/>
        <v>start /low /b %USERPROFILE%\Documents\GitHub\eaglep3\Utilities\DownloadLogsFromS3.py --loco 4024 --day 2017-12-07</v>
      </c>
      <c r="AF26" s="1"/>
    </row>
    <row r="27" spans="1:32" x14ac:dyDescent="0.25">
      <c r="A27" s="31">
        <v>43076.788368055553</v>
      </c>
      <c r="B27" s="30" t="s">
        <v>423</v>
      </c>
      <c r="C27" s="30" t="s">
        <v>701</v>
      </c>
      <c r="D27" s="30" t="s">
        <v>49</v>
      </c>
      <c r="E27" s="30" t="s">
        <v>688</v>
      </c>
      <c r="F27" s="42">
        <v>0</v>
      </c>
      <c r="G27" s="42">
        <v>144</v>
      </c>
      <c r="H27" s="42">
        <v>58256</v>
      </c>
      <c r="I27" s="42">
        <v>58415</v>
      </c>
      <c r="J27" s="30" t="s">
        <v>689</v>
      </c>
      <c r="K27" s="42">
        <v>59048</v>
      </c>
      <c r="L27" s="131" t="s">
        <v>50</v>
      </c>
      <c r="M27" s="132">
        <f t="shared" si="0"/>
        <v>334.22399999999993</v>
      </c>
      <c r="N27" s="133" t="str">
        <f>VLOOKUP(C27,'Trips&amp;Operators'!$C$1:$G$99911,5,FALSE)</f>
        <v>ANDREA WILLIAMS</v>
      </c>
      <c r="O27" s="174" t="s">
        <v>178</v>
      </c>
      <c r="P27" s="239"/>
      <c r="Q27" s="30"/>
      <c r="R27" s="81" t="str">
        <f>VLOOKUP(C27,'Train Runs'!$A$13:$AE$10189,31,0)</f>
        <v>aws s3 cp s3://rtdc.mdm.uploadarchive.raw/RTDC4044/ "%USERPROFILE%\AppData\Local\Temp\OnboardLogs"\RTDC4044\2017-12-07 --exclude "*" --recursive --include "*20171207*" &amp; "%USERPROFILE%\Documents\GitHub\mrs-test-scripts\Headless Mode &amp; Sideloading\WalkAndUnGZ.bat" "%USERPROFILE%\AppData\Local\Temp\OnboardLogs"\RTDC4044\2017-12-07 &amp; aws s3 cp s3://rtdc.mdm.uploadarchive.raw/RTDC4044/ "%USERPROFILE%\AppData\Local\Temp\OnboardLogs"\RTDC4044\2017-12-08 --exclude "*" --recursive --include "*20171208*" &amp; "%USERPROFILE%\Documents\GitHub\mrs-test-scripts\Headless Mode &amp; Sideloading\WalkAndUnGZ.bat" "%USERPROFILE%\AppData\Local\Temp\OnboardLogs"\RTDC4044\2017-12-08</v>
      </c>
      <c r="S27" s="84" t="str">
        <f>VLOOKUP(C27,'Train Runs'!$A$13:$AE$10189,22,0)</f>
        <v>https://d0f6bd738d7f1b3e5a7ca70fe4ff75f0.us-east-1.aws.found.io/app/kibana#/discover/Steve-Slow-Train-Analysis-(2080s-and-2083s)?_g=(refreshInterval:(display:Off,pause:!f,section:0,value:0),time:(from:'2017-12-07T17:29:41-0700',mode:absolute,to:'2017-12-07T19:56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7" s="86" t="str">
        <f t="shared" si="1"/>
        <v>"C:\Program Files (x86)\AstroGrep\AstroGrep.exe" /e /r /s /spath="%USERPROFILE%\AppData\Local\Temp\OnboardLogs" /stypes="*4044*201712080*" /stext=" 01:.+((SYSTEM_STATE.+slice.+state.+changed )|(ment ac)|(multiple cpu faults)|(system.+state.+changed )|(\[timeout)|(PRM\|1\|D)|(kpr)|(kdp)|(train st.+moving)|(\|lc)|(penalty))"</v>
      </c>
      <c r="U27" s="9" t="str">
        <f t="shared" si="2"/>
        <v>4044</v>
      </c>
      <c r="V27" s="31">
        <f t="shared" si="3"/>
        <v>43077.080034722218</v>
      </c>
      <c r="W27" s="45" t="str">
        <f t="shared" si="4"/>
        <v>NW</v>
      </c>
      <c r="X27" s="228">
        <f t="shared" si="5"/>
        <v>839</v>
      </c>
      <c r="Y27" s="238" t="str">
        <f t="shared" si="6"/>
        <v>echo {"issue":{"subject":"","project_id":79,"tracker_id":40,"status_id":1,"priority_id":2,"assigned_to_id":338,"start_date":"2017-12-07","description":"","custom_fields":[{"id":1,"name":"Subdivision","value":"NW"},{"id":4,"name":"Milepost","value":"5.9048"},{"id":17,"name":"Train ID","value":"839-07"},{"id":16,"name":"Locomotive ID","value":"4044"},{"id":130,"name":"Impact","value":""},{"id":150,"name":"Time of Event (Mountain Time)","value":"18:55:15"},{"id":151,"name":"Denver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 t="shared" si="7"/>
        <v>grep -hrE -A400 "Enforcement Action" /c/Users/stu/AppData/Local/Temp/OnboardLogs/RTDC4044 --include="*4044*201712080*"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"%USERPROFILE%\AppData\Local\Temp\OnboardLogs"\RTDC4044\*4044*201712080* &gt;&gt; 2017-12-07-SliceDisagreementCheck.txt</v>
      </c>
      <c r="AE27" s="144" t="str">
        <f t="shared" si="9"/>
        <v>start /low /b %USERPROFILE%\Documents\GitHub\eaglep3\Utilities\DownloadLogsFromS3.py --loco 4044 --day 2017-12-08</v>
      </c>
      <c r="AF27" s="1"/>
    </row>
    <row r="28" spans="1:32" x14ac:dyDescent="0.25">
      <c r="A28" s="31">
        <v>43076.783576388887</v>
      </c>
      <c r="B28" s="30" t="s">
        <v>465</v>
      </c>
      <c r="C28" s="30" t="s">
        <v>700</v>
      </c>
      <c r="D28" s="30" t="s">
        <v>95</v>
      </c>
      <c r="E28" s="30" t="s">
        <v>493</v>
      </c>
      <c r="F28" s="42">
        <v>0</v>
      </c>
      <c r="G28" s="42">
        <v>146</v>
      </c>
      <c r="H28" s="42">
        <v>22480</v>
      </c>
      <c r="I28" s="42">
        <v>22717</v>
      </c>
      <c r="J28" s="30" t="s">
        <v>494</v>
      </c>
      <c r="K28" s="42">
        <v>22408</v>
      </c>
      <c r="L28" s="131" t="s">
        <v>50</v>
      </c>
      <c r="M28" s="132">
        <f t="shared" si="0"/>
        <v>-163.15199999999999</v>
      </c>
      <c r="N28" s="133" t="str">
        <f>VLOOKUP(C28,'Trips&amp;Operators'!$C$1:$G$99911,5,FALSE)</f>
        <v>LEVIN SCOTT</v>
      </c>
      <c r="O28" s="174" t="s">
        <v>178</v>
      </c>
      <c r="P28" s="239"/>
      <c r="Q28" s="30"/>
      <c r="R28" s="81" t="str">
        <f>VLOOKUP(C28,'Train Runs'!$A$13:$AE$10189,31,0)</f>
        <v>aws s3 cp s3://rtdc.mdm.uploadarchive.raw/RTDC4054/ "%USERPROFILE%\AppData\Local\Temp\OnboardLogs"\RTDC4054\2017-12-07 --exclude "*" --recursive --include "*20171207*" &amp; "%USERPROFILE%\Documents\GitHub\mrs-test-scripts\Headless Mode &amp; Sideloading\WalkAndUnGZ.bat" "%USERPROFILE%\AppData\Local\Temp\OnboardLogs"\RTDC4054\2017-12-07 &amp; aws s3 cp s3://rtdc.mdm.uploadarchive.raw/RTDC4054/ "%USERPROFILE%\AppData\Local\Temp\OnboardLogs"\RTDC4054\2017-12-08 --exclude "*" --recursive --include "*20171208*" &amp; "%USERPROFILE%\Documents\GitHub\mrs-test-scripts\Headless Mode &amp; Sideloading\WalkAndUnGZ.bat" "%USERPROFILE%\AppData\Local\Temp\OnboardLogs"\RTDC4054\2017-12-08</v>
      </c>
      <c r="S28" s="84" t="str">
        <f>VLOOKUP(C28,'Train Runs'!$A$13:$AE$10189,22,0)</f>
        <v>https://d0f6bd738d7f1b3e5a7ca70fe4ff75f0.us-east-1.aws.found.io/app/kibana#/discover/Steve-Slow-Train-Analysis-(2080s-and-2083s)?_g=(refreshInterval:(display:Off,pause:!f,section:0,value:0),time:(from:'2017-12-07T17:38:25-0700',mode:absolute,to:'2017-12-07T19:49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8" s="86" t="str">
        <f t="shared" si="1"/>
        <v>"C:\Program Files (x86)\AstroGrep\AstroGrep.exe" /e /r /s /spath="%USERPROFILE%\AppData\Local\Temp\OnboardLogs" /stypes="*4054*201712080*" /stext=" 01:.+((SYSTEM_STATE.+slice.+state.+changed )|(ment ac)|(multiple cpu faults)|(system.+state.+changed )|(\[timeout)|(PRM\|1\|D)|(kpr)|(kdp)|(train st.+moving)|(\|lc)|(penalty))"</v>
      </c>
      <c r="U28" s="9" t="str">
        <f t="shared" si="2"/>
        <v>4054</v>
      </c>
      <c r="V28" s="31">
        <f t="shared" si="3"/>
        <v>43077.075243055551</v>
      </c>
      <c r="W28" s="45" t="str">
        <f t="shared" si="4"/>
        <v>Other</v>
      </c>
      <c r="X28" s="228">
        <f t="shared" si="5"/>
        <v>301</v>
      </c>
      <c r="Y28" s="238" t="str">
        <f t="shared" si="6"/>
        <v>echo {"issue":{"subject":"","project_id":79,"tracker_id":40,"status_id":1,"priority_id":2,"assigned_to_id":338,"start_date":"2017-12-07","description":"","custom_fields":[{"id":1,"name":"Subdivision","value":"Other"},{"id":4,"name":"Milepost","value":"2.2408"},{"id":17,"name":"Train ID","value":"301-07"},{"id":16,"name":"Locomotive ID","value":"4054"},{"id":130,"name":"Impact","value":""},{"id":150,"name":"Time of Event (Mountain Time)","value":"18:48:21"},{"id":151,"name":"Denver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 t="shared" si="7"/>
        <v>grep -hrE -A400 "Enforcement Action" /c/Users/stu/AppData/Local/Temp/OnboardLogs/RTDC4054 --include="*4054*201712080*"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"%USERPROFILE%\AppData\Local\Temp\OnboardLogs"\RTDC4054\*4054*201712080* &gt;&gt; 2017-12-07-SliceDisagreementCheck.txt</v>
      </c>
      <c r="AE28" s="144" t="str">
        <f t="shared" si="9"/>
        <v>start /low /b %USERPROFILE%\Documents\GitHub\eaglep3\Utilities\DownloadLogsFromS3.py --loco 4054 --day 2017-12-08</v>
      </c>
      <c r="AF28" s="1"/>
    </row>
    <row r="29" spans="1:32" x14ac:dyDescent="0.25">
      <c r="A29" s="31">
        <v>43076.728530092594</v>
      </c>
      <c r="B29" s="30" t="s">
        <v>456</v>
      </c>
      <c r="C29" s="30" t="s">
        <v>698</v>
      </c>
      <c r="D29" s="30" t="s">
        <v>49</v>
      </c>
      <c r="E29" s="30" t="s">
        <v>183</v>
      </c>
      <c r="F29" s="42">
        <v>190</v>
      </c>
      <c r="G29" s="42">
        <v>259</v>
      </c>
      <c r="H29" s="42">
        <v>9741</v>
      </c>
      <c r="I29" s="42">
        <v>10268</v>
      </c>
      <c r="J29" s="30" t="s">
        <v>184</v>
      </c>
      <c r="K29" s="42">
        <v>10716</v>
      </c>
      <c r="L29" s="131" t="s">
        <v>50</v>
      </c>
      <c r="M29" s="132">
        <f t="shared" si="0"/>
        <v>236.54400000000001</v>
      </c>
      <c r="N29" s="133" t="str">
        <f>VLOOKUP(C29,'Trips&amp;Operators'!$C$1:$G$99911,5,FALSE)</f>
        <v>NEWELL JAMES</v>
      </c>
      <c r="O29" s="174" t="s">
        <v>178</v>
      </c>
      <c r="P29" s="239"/>
      <c r="Q29" s="30"/>
      <c r="R29" s="81" t="str">
        <f>VLOOKUP(C29,'Train Runs'!$A$13:$AE$10189,31,0)</f>
        <v>aws s3 cp s3://rtdc.mdm.uploadarchive.raw/RTDC4006/ "%USERPROFILE%\AppData\Local\Temp\OnboardLogs"\RTDC4006\2017-12-07 --exclude "*" --recursive --include "*20171207*" &amp; "%USERPROFILE%\Documents\GitHub\mrs-test-scripts\Headless Mode &amp; Sideloading\WalkAndUnGZ.bat" "%USERPROFILE%\AppData\Local\Temp\OnboardLogs"\RTDC4006\2017-12-07 &amp; aws s3 cp s3://rtdc.mdm.uploadarchive.raw/RTDC4006/ "%USERPROFILE%\AppData\Local\Temp\OnboardLogs"\RTDC4006\2017-12-08 --exclude "*" --recursive --include "*20171208*" &amp; "%USERPROFILE%\Documents\GitHub\mrs-test-scripts\Headless Mode &amp; Sideloading\WalkAndUnGZ.bat" "%USERPROFILE%\AppData\Local\Temp\OnboardLogs"\RTDC4006\2017-12-08</v>
      </c>
      <c r="S29" s="84" t="str">
        <f>VLOOKUP(C29,'Train Runs'!$A$13:$AE$10189,22,0)</f>
        <v>https://d0f6bd738d7f1b3e5a7ca70fe4ff75f0.us-east-1.aws.found.io/app/kibana#/discover/Steve-Slow-Train-Analysis-(2080s-and-2083s)?_g=(refreshInterval:(display:Off,pause:!f,section:0,value:0),time:(from:'2017-12-07T15:56:24-0700',mode:absolute,to:'2017-12-07T18:40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9" s="86" t="str">
        <f t="shared" si="1"/>
        <v>"C:\Program Files (x86)\AstroGrep\AstroGrep.exe" /e /r /s /spath="%USERPROFILE%\AppData\Local\Temp\OnboardLogs" /stypes="*4006*201712080*" /stext=" 00:.+((SYSTEM_STATE.+slice.+state.+changed )|(ment ac)|(multiple cpu faults)|(system.+state.+changed )|(\[timeout)|(PRM\|1\|D)|(kpr)|(kdp)|(train st.+moving)|(\|lc)|(penalty))"</v>
      </c>
      <c r="U29" s="9" t="str">
        <f t="shared" si="2"/>
        <v>4006</v>
      </c>
      <c r="V29" s="31">
        <f t="shared" si="3"/>
        <v>43077.020196759258</v>
      </c>
      <c r="W29" s="45" t="str">
        <f t="shared" si="4"/>
        <v>Shuttle/Test</v>
      </c>
      <c r="X29" s="228">
        <f t="shared" si="5"/>
        <v>77</v>
      </c>
      <c r="Y29" s="238" t="str">
        <f t="shared" si="6"/>
        <v>echo {"issue":{"subject":"","project_id":79,"tracker_id":40,"status_id":1,"priority_id":2,"assigned_to_id":338,"start_date":"2017-12-07","description":"","custom_fields":[{"id":1,"name":"Subdivision","value":"Shuttle/Test"},{"id":4,"name":"Milepost","value":"1.0716"},{"id":17,"name":"Train ID","value":"77-07"},{"id":16,"name":"Locomotive ID","value":"4006"},{"id":130,"name":"Impact","value":""},{"id":150,"name":"Time of Event (Mountain Time)","value":"17:29:05"},{"id":151,"name":"Denver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 t="shared" si="7"/>
        <v>grep -hrE -A400 "Enforcement Action" /c/Users/stu/AppData/Local/Temp/OnboardLogs/RTDC4006 --include="*4006*201712080*"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"%USERPROFILE%\AppData\Local\Temp\OnboardLogs"\RTDC4006\*4006*201712080* &gt;&gt; 2017-12-07-SliceDisagreementCheck.txt</v>
      </c>
      <c r="AE29" s="144" t="str">
        <f t="shared" si="9"/>
        <v>start /low /b %USERPROFILE%\Documents\GitHub\eaglep3\Utilities\DownloadLogsFromS3.py --loco 4006 --day 2017-12-08</v>
      </c>
      <c r="AF29" s="1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</sheetData>
  <autoFilter ref="A6:AC15">
    <sortState ref="A7:AC29">
      <sortCondition ref="W7:W29"/>
      <sortCondition ref="E7:E29"/>
      <sortCondition ref="K7:K29"/>
      <sortCondition ref="F7:F29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37:O1048576 O7:O29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9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AA7:AA29</xm:sqref>
        </x14:dataValidation>
        <x14:dataValidation type="list" allowBlank="1" showInputMessage="1" showErrorMessage="1">
          <x14:formula1>
            <xm:f>'Redmine List Values'!$C$2:$C$15</xm:f>
          </x14:formula1>
          <xm:sqref>AB7:AB29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4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7" customWidth="1"/>
    <col min="10" max="10" width="9.140625" customWidth="1"/>
  </cols>
  <sheetData>
    <row r="1" spans="1:10" s="20" customFormat="1" x14ac:dyDescent="0.25">
      <c r="A1" s="194"/>
      <c r="B1" s="251" t="str">
        <f>"Trips that did not appear in PTC Data "&amp;TEXT(Variables!$A$2,"YYYY-mm-dd")</f>
        <v>Trips that did not appear in PTC Data 2017-12-07</v>
      </c>
      <c r="C1" s="251"/>
      <c r="D1" s="251"/>
      <c r="E1" s="251"/>
      <c r="F1" s="251"/>
      <c r="I1" s="187"/>
    </row>
    <row r="2" spans="1:10" s="23" customFormat="1" ht="45" x14ac:dyDescent="0.25">
      <c r="A2" s="221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8" t="s">
        <v>101</v>
      </c>
      <c r="J2" s="28" t="s">
        <v>60</v>
      </c>
    </row>
    <row r="3" spans="1:10" x14ac:dyDescent="0.25">
      <c r="A3" s="196">
        <v>846</v>
      </c>
      <c r="B3" s="42" t="str">
        <f>A3&amp;"-"&amp;IF(DAY(Variables!$A$2)&lt;10,0,"")&amp;DAY(Variables!$A$2)</f>
        <v>846-07</v>
      </c>
      <c r="C3" s="134"/>
      <c r="D3" s="222" t="str">
        <f>VLOOKUP(B3,'Trips&amp;Operators'!$C$1:$H$1072,6,FALSE)</f>
        <v>4023</v>
      </c>
      <c r="E3" s="30"/>
      <c r="F3" s="21" t="str">
        <f>VLOOKUP(B3,'Trips&amp;Operators'!$C$2:$E$9912,3,FALSE)</f>
        <v>ANDREA</v>
      </c>
      <c r="G3" s="21" t="str">
        <f>VLOOKUP(B3,'Trips&amp;Operators'!$C$1:$F$9912,4,FALSE)</f>
        <v>WILLIAMS</v>
      </c>
      <c r="H3" s="29" t="str">
        <f>VLOOKUP(B3,'Trips&amp;Operators'!$C$1:$H$9912,5,FALSE)</f>
        <v>ANDREA WILLIAMS</v>
      </c>
      <c r="I3" s="189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22846-07%22)),sort:!(Time.ISO8601,asc))</v>
      </c>
      <c r="J3" s="30" t="str">
        <f>VLOOKUP(B3,'Train Runs'!$A$13:$A$100186,1,FALSE)</f>
        <v>846-07</v>
      </c>
    </row>
    <row r="4" spans="1:10" x14ac:dyDescent="0.25">
      <c r="A4" s="196"/>
      <c r="B4" s="42" t="str">
        <f>A4&amp;"-"&amp;IF(DAY(Variables!$A$2)&lt;10,0,"")&amp;DAY(Variables!$A$2)</f>
        <v>-07</v>
      </c>
      <c r="C4" s="134"/>
      <c r="D4" s="15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" s="30" t="e">
        <f>VLOOKUP(B4,'Train Runs'!$A$13:$A$100186,1,FALSE)</f>
        <v>#N/A</v>
      </c>
    </row>
    <row r="5" spans="1:10" x14ac:dyDescent="0.25">
      <c r="A5" s="196"/>
      <c r="B5" s="42" t="str">
        <f>A5&amp;"-"&amp;IF(DAY(Variables!$A$2)&lt;10,0,"")&amp;DAY(Variables!$A$2)</f>
        <v>-07</v>
      </c>
      <c r="C5" s="134"/>
      <c r="D5" s="15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" s="30" t="e">
        <f>VLOOKUP(B5,'Train Runs'!$A$13:$A$100186,1,FALSE)</f>
        <v>#N/A</v>
      </c>
    </row>
    <row r="6" spans="1:10" x14ac:dyDescent="0.25">
      <c r="A6" s="196"/>
      <c r="B6" s="42" t="str">
        <f>A6&amp;"-"&amp;IF(DAY(Variables!$A$2)&lt;10,0,"")&amp;DAY(Variables!$A$2)</f>
        <v>-07</v>
      </c>
      <c r="C6" s="134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" s="30" t="e">
        <f>VLOOKUP(B6,'Train Runs'!$A$13:$A$100186,1,FALSE)</f>
        <v>#N/A</v>
      </c>
    </row>
    <row r="7" spans="1:10" x14ac:dyDescent="0.25">
      <c r="A7" s="196"/>
      <c r="B7" s="42" t="str">
        <f>A7&amp;"-"&amp;IF(DAY(Variables!$A$2)&lt;10,0,"")&amp;DAY(Variables!$A$2)</f>
        <v>-07</v>
      </c>
      <c r="C7" s="134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" s="30" t="e">
        <f>VLOOKUP(B7,'Train Runs'!$A$13:$A$100186,1,FALSE)</f>
        <v>#N/A</v>
      </c>
    </row>
    <row r="8" spans="1:10" x14ac:dyDescent="0.25">
      <c r="A8" s="196"/>
      <c r="B8" s="42" t="str">
        <f>A8&amp;"-"&amp;IF(DAY(Variables!$A$2)&lt;10,0,"")&amp;DAY(Variables!$A$2)</f>
        <v>-07</v>
      </c>
      <c r="C8" s="134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" s="30" t="e">
        <f>VLOOKUP(B8,'Train Runs'!$A$13:$A$100186,1,FALSE)</f>
        <v>#N/A</v>
      </c>
    </row>
    <row r="9" spans="1:10" x14ac:dyDescent="0.25">
      <c r="A9" s="196"/>
      <c r="B9" s="42" t="str">
        <f>A9&amp;"-"&amp;IF(DAY(Variables!$A$2)&lt;10,0,"")&amp;DAY(Variables!$A$2)</f>
        <v>-07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" s="30" t="e">
        <f>VLOOKUP(B9,'Train Runs'!$A$13:$A$100186,1,FALSE)</f>
        <v>#N/A</v>
      </c>
    </row>
    <row r="10" spans="1:10" x14ac:dyDescent="0.25">
      <c r="A10" s="196"/>
      <c r="B10" s="42" t="str">
        <f>A10&amp;"-"&amp;IF(DAY(Variables!$A$2)&lt;10,0,"")&amp;DAY(Variables!$A$2)</f>
        <v>-07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" s="30" t="e">
        <f>VLOOKUP(B10,'Train Runs'!$A$13:$A$100186,1,FALSE)</f>
        <v>#N/A</v>
      </c>
    </row>
    <row r="11" spans="1:10" x14ac:dyDescent="0.25">
      <c r="A11" s="196"/>
      <c r="B11" s="42" t="str">
        <f>A11&amp;"-"&amp;IF(DAY(Variables!$A$2)&lt;10,0,"")&amp;DAY(Variables!$A$2)</f>
        <v>-07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" s="30" t="e">
        <f>VLOOKUP(B11,'Train Runs'!$A$13:$A$100186,1,FALSE)</f>
        <v>#N/A</v>
      </c>
    </row>
    <row r="12" spans="1:10" x14ac:dyDescent="0.25">
      <c r="A12" s="196"/>
      <c r="B12" s="42" t="str">
        <f>A12&amp;"-"&amp;IF(DAY(Variables!$A$2)&lt;10,0,"")&amp;DAY(Variables!$A$2)</f>
        <v>-07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2" s="30" t="e">
        <f>VLOOKUP(B12,'Train Runs'!$A$13:$A$100186,1,FALSE)</f>
        <v>#N/A</v>
      </c>
    </row>
    <row r="13" spans="1:10" x14ac:dyDescent="0.25">
      <c r="A13" s="196"/>
      <c r="B13" s="42" t="str">
        <f>A13&amp;"-"&amp;IF(DAY(Variables!$A$2)&lt;10,0,"")&amp;DAY(Variables!$A$2)</f>
        <v>-07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3" s="30" t="e">
        <f>VLOOKUP(B13,'Train Runs'!$A$13:$A$100186,1,FALSE)</f>
        <v>#N/A</v>
      </c>
    </row>
    <row r="14" spans="1:10" x14ac:dyDescent="0.25">
      <c r="A14" s="196"/>
      <c r="B14" s="42" t="str">
        <f>A14&amp;"-"&amp;IF(DAY(Variables!$A$2)&lt;10,0,"")&amp;DAY(Variables!$A$2)</f>
        <v>-07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4" s="30" t="e">
        <f>VLOOKUP(B14,'Train Runs'!$A$13:$A$100186,1,FALSE)</f>
        <v>#N/A</v>
      </c>
    </row>
    <row r="15" spans="1:10" x14ac:dyDescent="0.25">
      <c r="A15" s="196"/>
      <c r="B15" s="42" t="str">
        <f>A15&amp;"-"&amp;IF(DAY(Variables!$A$2)&lt;10,0,"")&amp;DAY(Variables!$A$2)</f>
        <v>-07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5" s="30" t="e">
        <f>VLOOKUP(B15,'Train Runs'!$A$13:$A$100186,1,FALSE)</f>
        <v>#N/A</v>
      </c>
    </row>
    <row r="16" spans="1:10" x14ac:dyDescent="0.25">
      <c r="A16" s="196"/>
      <c r="B16" s="42" t="str">
        <f>A16&amp;"-"&amp;IF(DAY(Variables!$A$2)&lt;10,0,"")&amp;DAY(Variables!$A$2)</f>
        <v>-07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6" s="30" t="e">
        <f>VLOOKUP(B16,'Train Runs'!$A$13:$A$100186,1,FALSE)</f>
        <v>#N/A</v>
      </c>
    </row>
    <row r="17" spans="1:10" x14ac:dyDescent="0.25">
      <c r="A17" s="196"/>
      <c r="B17" s="42" t="str">
        <f>A17&amp;"-"&amp;IF(DAY(Variables!$A$2)&lt;10,0,"")&amp;DAY(Variables!$A$2)</f>
        <v>-07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7" s="30" t="e">
        <f>VLOOKUP(B17,'Train Runs'!$A$13:$A$100186,1,FALSE)</f>
        <v>#N/A</v>
      </c>
    </row>
    <row r="18" spans="1:10" x14ac:dyDescent="0.25">
      <c r="A18" s="196"/>
      <c r="B18" s="42" t="str">
        <f>A18&amp;"-"&amp;IF(DAY(Variables!$A$2)&lt;10,0,"")&amp;DAY(Variables!$A$2)</f>
        <v>-07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8" s="30" t="e">
        <f>VLOOKUP(B18,'Train Runs'!$A$13:$A$100186,1,FALSE)</f>
        <v>#N/A</v>
      </c>
    </row>
    <row r="19" spans="1:10" x14ac:dyDescent="0.25">
      <c r="A19" s="196"/>
      <c r="B19" s="42"/>
      <c r="C19" s="134"/>
      <c r="D19" s="152"/>
      <c r="E19" s="30"/>
      <c r="F19" s="21"/>
      <c r="G19" s="21"/>
      <c r="H19" s="29"/>
      <c r="I19" s="189"/>
      <c r="J19" s="30"/>
    </row>
    <row r="20" spans="1:10" x14ac:dyDescent="0.25">
      <c r="A20" s="196"/>
      <c r="B20" s="42"/>
      <c r="C20" s="134"/>
      <c r="D20" s="152"/>
      <c r="E20" s="30"/>
      <c r="F20" s="21"/>
      <c r="G20" s="21"/>
      <c r="H20" s="29"/>
      <c r="I20" s="189"/>
      <c r="J20" s="30"/>
    </row>
    <row r="21" spans="1:10" x14ac:dyDescent="0.25">
      <c r="A21" s="196"/>
      <c r="B21" s="42"/>
      <c r="C21" s="134"/>
      <c r="D21" s="152"/>
      <c r="E21" s="30"/>
      <c r="F21" s="21"/>
      <c r="G21" s="21"/>
      <c r="H21" s="29"/>
      <c r="I21" s="189"/>
      <c r="J21" s="30"/>
    </row>
    <row r="22" spans="1:10" x14ac:dyDescent="0.25">
      <c r="A22" s="196"/>
      <c r="B22" s="42"/>
      <c r="C22" s="134"/>
      <c r="D22" s="152"/>
      <c r="E22" s="30"/>
      <c r="F22" s="21"/>
      <c r="G22" s="21"/>
      <c r="H22" s="29"/>
      <c r="I22" s="189"/>
      <c r="J22" s="30"/>
    </row>
    <row r="23" spans="1:10" x14ac:dyDescent="0.25">
      <c r="A23" s="196"/>
      <c r="B23" s="42"/>
      <c r="C23" s="134"/>
      <c r="D23" s="152"/>
      <c r="E23" s="30"/>
      <c r="F23" s="21"/>
      <c r="G23" s="21"/>
      <c r="H23" s="29"/>
      <c r="I23" s="189"/>
      <c r="J23" s="30"/>
    </row>
    <row r="24" spans="1:10" x14ac:dyDescent="0.25">
      <c r="A24" s="196"/>
      <c r="B24" s="42"/>
      <c r="C24" s="134"/>
      <c r="D24" s="152"/>
      <c r="E24" s="30"/>
      <c r="F24" s="21"/>
      <c r="G24" s="21"/>
      <c r="H24" s="29"/>
      <c r="I24" s="189"/>
      <c r="J24" s="30"/>
    </row>
    <row r="25" spans="1:10" x14ac:dyDescent="0.25">
      <c r="A25" s="196"/>
      <c r="B25" s="42"/>
      <c r="C25" s="134"/>
      <c r="D25" s="152"/>
      <c r="E25" s="30"/>
      <c r="F25" s="21"/>
      <c r="G25" s="21"/>
      <c r="H25" s="29"/>
      <c r="I25" s="189"/>
      <c r="J25" s="30"/>
    </row>
    <row r="26" spans="1:10" x14ac:dyDescent="0.25">
      <c r="A26" s="196"/>
      <c r="B26" s="42"/>
      <c r="C26" s="134"/>
      <c r="D26" s="152"/>
      <c r="E26" s="30"/>
      <c r="F26" s="21"/>
      <c r="G26" s="21"/>
      <c r="H26" s="29"/>
      <c r="I26" s="189"/>
      <c r="J26" s="30"/>
    </row>
    <row r="27" spans="1:10" x14ac:dyDescent="0.25">
      <c r="A27" s="196"/>
      <c r="B27" s="42"/>
      <c r="C27" s="134"/>
      <c r="D27" s="152"/>
      <c r="E27" s="30"/>
      <c r="F27" s="21"/>
      <c r="G27" s="21"/>
      <c r="H27" s="29"/>
      <c r="I27" s="189"/>
      <c r="J27" s="30"/>
    </row>
    <row r="28" spans="1:10" x14ac:dyDescent="0.25">
      <c r="A28" s="196"/>
      <c r="B28" s="42"/>
      <c r="C28" s="134"/>
      <c r="D28" s="152"/>
      <c r="E28" s="30"/>
      <c r="F28" s="21"/>
      <c r="G28" s="21"/>
      <c r="H28" s="29"/>
      <c r="I28" s="189"/>
      <c r="J28" s="30"/>
    </row>
    <row r="29" spans="1:10" x14ac:dyDescent="0.25">
      <c r="A29" s="196"/>
      <c r="B29" s="42"/>
      <c r="C29" s="134"/>
      <c r="D29" s="152"/>
      <c r="E29" s="30"/>
      <c r="F29" s="21"/>
      <c r="G29" s="21"/>
      <c r="H29" s="29"/>
      <c r="I29" s="189"/>
      <c r="J29" s="30"/>
    </row>
    <row r="30" spans="1:10" x14ac:dyDescent="0.25">
      <c r="A30" s="196"/>
      <c r="B30" s="42"/>
      <c r="C30" s="134"/>
      <c r="D30" s="152"/>
      <c r="E30" s="30"/>
      <c r="F30" s="21"/>
      <c r="G30" s="21"/>
      <c r="H30" s="29"/>
      <c r="I30" s="189"/>
      <c r="J30" s="30"/>
    </row>
    <row r="31" spans="1:10" x14ac:dyDescent="0.25">
      <c r="A31" s="196"/>
      <c r="B31" s="42"/>
      <c r="C31" s="134"/>
      <c r="D31" s="152"/>
      <c r="E31" s="30"/>
      <c r="F31" s="21"/>
      <c r="G31" s="21"/>
      <c r="H31" s="29"/>
      <c r="I31" s="189"/>
      <c r="J31" s="30"/>
    </row>
    <row r="32" spans="1:10" x14ac:dyDescent="0.25">
      <c r="A32" s="196"/>
      <c r="B32" s="42"/>
      <c r="C32" s="134"/>
      <c r="D32" s="152"/>
      <c r="E32" s="30"/>
      <c r="F32" s="21"/>
      <c r="G32" s="21"/>
      <c r="H32" s="29"/>
      <c r="I32" s="189"/>
      <c r="J32" s="30"/>
    </row>
    <row r="33" spans="1:10" x14ac:dyDescent="0.25">
      <c r="A33" s="196"/>
      <c r="B33" s="42"/>
      <c r="C33" s="134"/>
      <c r="D33" s="152"/>
      <c r="E33" s="30"/>
      <c r="F33" s="21"/>
      <c r="G33" s="21"/>
      <c r="H33" s="29"/>
      <c r="I33" s="189"/>
      <c r="J33" s="30"/>
    </row>
    <row r="34" spans="1:10" x14ac:dyDescent="0.25">
      <c r="A34" s="196"/>
      <c r="B34" s="42"/>
      <c r="C34" s="134"/>
      <c r="D34" s="152"/>
      <c r="E34" s="30"/>
      <c r="F34" s="21"/>
      <c r="G34" s="21"/>
      <c r="H34" s="29"/>
      <c r="I34" s="189"/>
      <c r="J34" s="30"/>
    </row>
    <row r="35" spans="1:10" x14ac:dyDescent="0.25">
      <c r="A35" s="196"/>
      <c r="B35" s="42"/>
      <c r="C35" s="134"/>
      <c r="D35" s="152"/>
      <c r="E35" s="30"/>
      <c r="F35" s="21"/>
      <c r="G35" s="21"/>
      <c r="H35" s="29"/>
      <c r="I35" s="189"/>
      <c r="J35" s="30"/>
    </row>
    <row r="36" spans="1:10" x14ac:dyDescent="0.25">
      <c r="A36" s="196"/>
      <c r="B36" s="42"/>
      <c r="C36" s="134"/>
      <c r="D36" s="152"/>
      <c r="E36" s="30"/>
      <c r="F36" s="21"/>
      <c r="G36" s="21"/>
      <c r="H36" s="29"/>
      <c r="I36" s="189"/>
      <c r="J36" s="30"/>
    </row>
    <row r="37" spans="1:10" x14ac:dyDescent="0.25">
      <c r="A37" s="196"/>
      <c r="B37" s="42"/>
      <c r="C37" s="134"/>
      <c r="D37" s="152"/>
      <c r="E37" s="30"/>
      <c r="F37" s="21"/>
      <c r="G37" s="21"/>
      <c r="H37" s="29"/>
      <c r="I37" s="189"/>
      <c r="J37" s="30"/>
    </row>
    <row r="38" spans="1:10" x14ac:dyDescent="0.25">
      <c r="A38" s="196"/>
      <c r="B38" s="42"/>
      <c r="C38" s="134"/>
      <c r="D38" s="152"/>
      <c r="E38" s="30"/>
      <c r="F38" s="21"/>
      <c r="G38" s="21"/>
      <c r="H38" s="29"/>
      <c r="I38" s="189"/>
      <c r="J38" s="30"/>
    </row>
    <row r="39" spans="1:10" x14ac:dyDescent="0.25">
      <c r="A39" s="196"/>
      <c r="B39" s="42"/>
      <c r="C39" s="134"/>
      <c r="D39" s="152"/>
      <c r="E39" s="30"/>
      <c r="F39" s="21"/>
      <c r="G39" s="21"/>
      <c r="H39" s="29"/>
      <c r="I39" s="189"/>
      <c r="J39" s="30"/>
    </row>
    <row r="40" spans="1:10" x14ac:dyDescent="0.25">
      <c r="A40" s="196"/>
      <c r="B40" s="42"/>
      <c r="C40" s="134"/>
      <c r="D40" s="152"/>
      <c r="E40" s="30"/>
      <c r="F40" s="21"/>
      <c r="G40" s="21"/>
      <c r="H40" s="29"/>
      <c r="I40" s="189"/>
      <c r="J40" s="30"/>
    </row>
    <row r="41" spans="1:10" x14ac:dyDescent="0.25">
      <c r="A41" s="196"/>
      <c r="B41" s="42"/>
      <c r="C41" s="134"/>
      <c r="D41" s="152"/>
      <c r="E41" s="30"/>
      <c r="F41" s="21"/>
      <c r="G41" s="21"/>
      <c r="H41" s="29"/>
      <c r="I41" s="189"/>
      <c r="J41" s="30"/>
    </row>
    <row r="42" spans="1:10" x14ac:dyDescent="0.25">
      <c r="A42" s="196"/>
      <c r="B42" s="42"/>
      <c r="C42" s="134"/>
      <c r="D42" s="152"/>
      <c r="E42" s="30"/>
      <c r="F42" s="21"/>
      <c r="G42" s="21"/>
      <c r="H42" s="29"/>
      <c r="I42" s="189"/>
      <c r="J42" s="30"/>
    </row>
    <row r="43" spans="1:10" x14ac:dyDescent="0.25">
      <c r="A43" s="196"/>
      <c r="B43" s="42"/>
      <c r="C43" s="134"/>
      <c r="D43" s="152"/>
      <c r="E43" s="30"/>
      <c r="F43" s="21"/>
      <c r="G43" s="21"/>
      <c r="H43" s="29"/>
      <c r="I43" s="189"/>
      <c r="J43" s="30"/>
    </row>
    <row r="44" spans="1:10" x14ac:dyDescent="0.25">
      <c r="A44" s="196"/>
      <c r="B44" s="42"/>
      <c r="C44" s="134"/>
      <c r="D44" s="152"/>
      <c r="E44" s="30"/>
      <c r="F44" s="21"/>
      <c r="G44" s="21"/>
      <c r="H44" s="29"/>
      <c r="I44" s="189"/>
      <c r="J44" s="30"/>
    </row>
    <row r="45" spans="1:10" x14ac:dyDescent="0.25">
      <c r="A45" s="196"/>
      <c r="B45" s="42"/>
      <c r="C45" s="134"/>
      <c r="D45" s="152"/>
      <c r="E45" s="30"/>
      <c r="F45" s="21"/>
      <c r="G45" s="21"/>
      <c r="H45" s="29"/>
      <c r="I45" s="189"/>
      <c r="J45" s="30"/>
    </row>
    <row r="46" spans="1:10" x14ac:dyDescent="0.25">
      <c r="A46" s="196"/>
      <c r="B46" s="42"/>
      <c r="C46" s="134"/>
      <c r="D46" s="152"/>
      <c r="E46" s="30"/>
      <c r="F46" s="21"/>
      <c r="G46" s="21"/>
      <c r="H46" s="29"/>
      <c r="I46" s="189"/>
      <c r="J46" s="30"/>
    </row>
    <row r="47" spans="1:10" x14ac:dyDescent="0.25">
      <c r="A47" s="196"/>
      <c r="B47" s="42"/>
      <c r="C47" s="134"/>
      <c r="D47" s="152"/>
      <c r="E47" s="30"/>
      <c r="F47" s="21"/>
      <c r="G47" s="21"/>
      <c r="H47" s="29"/>
      <c r="I47" s="189"/>
      <c r="J47" s="30"/>
    </row>
    <row r="48" spans="1:10" x14ac:dyDescent="0.25">
      <c r="A48" s="196"/>
      <c r="B48" s="42"/>
      <c r="C48" s="134"/>
      <c r="D48" s="152"/>
      <c r="E48" s="30"/>
      <c r="F48" s="21"/>
      <c r="G48" s="21"/>
      <c r="H48" s="29"/>
      <c r="I48" s="189"/>
      <c r="J48" s="30"/>
    </row>
    <row r="49" spans="1:10" x14ac:dyDescent="0.25">
      <c r="A49" s="196"/>
      <c r="B49" s="42"/>
      <c r="C49" s="134"/>
      <c r="D49" s="152"/>
      <c r="E49" s="30"/>
      <c r="F49" s="21"/>
      <c r="G49" s="21"/>
      <c r="H49" s="29"/>
      <c r="I49" s="189"/>
      <c r="J49" s="30"/>
    </row>
    <row r="50" spans="1:10" x14ac:dyDescent="0.25">
      <c r="A50" s="196"/>
      <c r="B50" s="42"/>
      <c r="C50" s="134"/>
      <c r="D50" s="152"/>
      <c r="E50" s="30"/>
      <c r="F50" s="21"/>
      <c r="G50" s="21"/>
      <c r="H50" s="29"/>
      <c r="I50" s="189"/>
      <c r="J50" s="30"/>
    </row>
    <row r="51" spans="1:10" x14ac:dyDescent="0.25">
      <c r="A51" s="196"/>
      <c r="B51" s="42"/>
      <c r="C51" s="134"/>
      <c r="D51" s="152"/>
      <c r="E51" s="30"/>
      <c r="F51" s="21"/>
      <c r="G51" s="21"/>
      <c r="H51" s="29"/>
      <c r="I51" s="189"/>
      <c r="J51" s="30"/>
    </row>
    <row r="52" spans="1:10" x14ac:dyDescent="0.25">
      <c r="A52" s="196"/>
      <c r="B52" s="42"/>
      <c r="C52" s="134"/>
      <c r="D52" s="152"/>
      <c r="E52" s="30"/>
      <c r="F52" s="21"/>
      <c r="G52" s="21"/>
      <c r="H52" s="29"/>
      <c r="I52" s="189"/>
      <c r="J52" s="30"/>
    </row>
    <row r="53" spans="1:10" x14ac:dyDescent="0.25">
      <c r="A53" s="196"/>
      <c r="B53" s="42"/>
      <c r="C53" s="134"/>
      <c r="D53" s="152"/>
      <c r="E53" s="30"/>
      <c r="F53" s="21"/>
      <c r="G53" s="21"/>
      <c r="H53" s="29"/>
      <c r="I53" s="189"/>
      <c r="J53" s="30"/>
    </row>
    <row r="54" spans="1:10" x14ac:dyDescent="0.25">
      <c r="A54" s="196"/>
      <c r="B54" s="42"/>
      <c r="C54" s="134"/>
      <c r="D54" s="152"/>
      <c r="E54" s="30"/>
      <c r="F54" s="21"/>
      <c r="G54" s="21"/>
      <c r="H54" s="29"/>
      <c r="I54" s="189"/>
      <c r="J54" s="30"/>
    </row>
    <row r="55" spans="1:10" x14ac:dyDescent="0.25">
      <c r="A55" s="196"/>
      <c r="B55" s="42"/>
      <c r="C55" s="134"/>
      <c r="D55" s="152"/>
      <c r="E55" s="30"/>
      <c r="F55" s="21"/>
      <c r="G55" s="21"/>
      <c r="H55" s="29"/>
      <c r="I55" s="189"/>
      <c r="J55" s="30"/>
    </row>
    <row r="56" spans="1:10" x14ac:dyDescent="0.25">
      <c r="A56" s="196"/>
      <c r="B56" s="42"/>
      <c r="C56" s="134"/>
      <c r="D56" s="152"/>
      <c r="E56" s="30"/>
      <c r="F56" s="21"/>
      <c r="G56" s="21"/>
      <c r="H56" s="29"/>
      <c r="I56" s="189"/>
      <c r="J56" s="30"/>
    </row>
    <row r="57" spans="1:10" x14ac:dyDescent="0.25">
      <c r="A57" s="196"/>
      <c r="B57" s="42"/>
      <c r="C57" s="134"/>
      <c r="D57" s="152"/>
      <c r="E57" s="30"/>
      <c r="F57" s="21"/>
      <c r="G57" s="21"/>
      <c r="H57" s="29"/>
      <c r="I57" s="189"/>
      <c r="J57" s="30"/>
    </row>
    <row r="58" spans="1:10" x14ac:dyDescent="0.25">
      <c r="A58" s="196"/>
      <c r="B58" s="42"/>
      <c r="C58" s="134"/>
      <c r="D58" s="152"/>
      <c r="E58" s="30"/>
      <c r="F58" s="21"/>
      <c r="G58" s="21"/>
      <c r="H58" s="29"/>
      <c r="I58" s="189"/>
      <c r="J58" s="30"/>
    </row>
    <row r="59" spans="1:10" x14ac:dyDescent="0.25">
      <c r="A59" s="196"/>
      <c r="B59" s="42"/>
      <c r="C59" s="134"/>
      <c r="D59" s="152"/>
      <c r="E59" s="30"/>
      <c r="F59" s="21"/>
      <c r="G59" s="21"/>
      <c r="H59" s="29"/>
      <c r="I59" s="189"/>
      <c r="J59" s="30"/>
    </row>
    <row r="60" spans="1:10" x14ac:dyDescent="0.25">
      <c r="A60" s="196"/>
      <c r="B60" s="42"/>
      <c r="C60" s="134"/>
      <c r="D60" s="152"/>
      <c r="E60" s="30"/>
      <c r="F60" s="21"/>
      <c r="G60" s="21"/>
      <c r="H60" s="29"/>
      <c r="I60" s="189"/>
      <c r="J60" s="30"/>
    </row>
    <row r="61" spans="1:10" x14ac:dyDescent="0.25">
      <c r="A61" s="196"/>
      <c r="B61" s="42"/>
      <c r="C61" s="134"/>
      <c r="D61" s="152"/>
      <c r="E61" s="30"/>
      <c r="F61" s="21"/>
      <c r="G61" s="21"/>
      <c r="H61" s="29"/>
      <c r="I61" s="189"/>
      <c r="J61" s="30"/>
    </row>
    <row r="62" spans="1:10" x14ac:dyDescent="0.25">
      <c r="A62" s="196"/>
      <c r="B62" s="42"/>
      <c r="C62" s="134"/>
      <c r="D62" s="152"/>
      <c r="E62" s="30"/>
      <c r="F62" s="21"/>
      <c r="G62" s="21"/>
      <c r="H62" s="29"/>
      <c r="I62" s="189"/>
      <c r="J62" s="30"/>
    </row>
    <row r="63" spans="1:10" x14ac:dyDescent="0.25">
      <c r="A63" s="196"/>
      <c r="B63" s="42"/>
      <c r="C63" s="134"/>
      <c r="D63" s="152"/>
      <c r="E63" s="30"/>
      <c r="F63" s="21"/>
      <c r="G63" s="21"/>
      <c r="H63" s="29"/>
      <c r="I63" s="189"/>
      <c r="J63" s="30"/>
    </row>
    <row r="64" spans="1:10" x14ac:dyDescent="0.25">
      <c r="A64" s="196"/>
      <c r="B64" s="42"/>
      <c r="C64" s="134"/>
      <c r="D64" s="152"/>
      <c r="E64" s="30"/>
      <c r="F64" s="21"/>
      <c r="G64" s="21"/>
      <c r="H64" s="29"/>
      <c r="I64" s="189"/>
      <c r="J64" s="30"/>
    </row>
    <row r="65" spans="1:10" x14ac:dyDescent="0.25">
      <c r="A65" s="196"/>
      <c r="B65" s="42"/>
      <c r="C65" s="134"/>
      <c r="D65" s="152"/>
      <c r="E65" s="30"/>
      <c r="F65" s="21"/>
      <c r="G65" s="21"/>
      <c r="H65" s="29"/>
      <c r="I65" s="189"/>
      <c r="J65" s="30"/>
    </row>
    <row r="66" spans="1:10" x14ac:dyDescent="0.25">
      <c r="A66" s="196"/>
      <c r="B66" s="42"/>
      <c r="C66" s="134"/>
      <c r="D66" s="152"/>
      <c r="E66" s="30"/>
      <c r="F66" s="21"/>
      <c r="G66" s="21"/>
      <c r="H66" s="29"/>
      <c r="I66" s="189"/>
      <c r="J66" s="30"/>
    </row>
    <row r="67" spans="1:10" x14ac:dyDescent="0.25">
      <c r="A67" s="196"/>
      <c r="B67" s="42"/>
      <c r="C67" s="134"/>
      <c r="D67" s="152"/>
      <c r="E67" s="30"/>
      <c r="F67" s="21"/>
      <c r="G67" s="21"/>
      <c r="H67" s="29"/>
      <c r="I67" s="189"/>
      <c r="J67" s="30"/>
    </row>
    <row r="68" spans="1:10" x14ac:dyDescent="0.25">
      <c r="A68" s="196"/>
      <c r="B68" s="42"/>
      <c r="C68" s="134"/>
      <c r="D68" s="152"/>
      <c r="E68" s="30"/>
      <c r="F68" s="21"/>
      <c r="G68" s="21"/>
      <c r="H68" s="29"/>
      <c r="I68" s="189"/>
      <c r="J68" s="30"/>
    </row>
    <row r="69" spans="1:10" x14ac:dyDescent="0.25">
      <c r="A69" s="196"/>
      <c r="B69" s="42"/>
      <c r="C69" s="134"/>
      <c r="D69" s="152"/>
      <c r="E69" s="30"/>
      <c r="F69" s="21"/>
      <c r="G69" s="21"/>
      <c r="H69" s="29"/>
      <c r="I69" s="189"/>
      <c r="J69" s="30"/>
    </row>
    <row r="70" spans="1:10" x14ac:dyDescent="0.25">
      <c r="A70" s="196"/>
      <c r="B70" s="42"/>
      <c r="C70" s="134"/>
      <c r="D70" s="152"/>
      <c r="E70" s="30"/>
      <c r="F70" s="21"/>
      <c r="G70" s="21"/>
      <c r="H70" s="29"/>
      <c r="I70" s="189"/>
      <c r="J70" s="30"/>
    </row>
    <row r="71" spans="1:10" x14ac:dyDescent="0.25">
      <c r="A71" s="196"/>
      <c r="B71" s="42"/>
      <c r="C71" s="134"/>
      <c r="D71" s="152"/>
      <c r="E71" s="30"/>
      <c r="F71" s="21"/>
      <c r="G71" s="21"/>
      <c r="H71" s="29"/>
      <c r="I71" s="189"/>
      <c r="J71" s="30"/>
    </row>
    <row r="72" spans="1:10" x14ac:dyDescent="0.25">
      <c r="A72" s="196"/>
      <c r="B72" s="42"/>
      <c r="C72" s="134"/>
      <c r="D72" s="152"/>
      <c r="E72" s="30"/>
      <c r="F72" s="21"/>
      <c r="G72" s="21"/>
      <c r="H72" s="29"/>
      <c r="I72" s="189"/>
      <c r="J72" s="30"/>
    </row>
    <row r="73" spans="1:10" x14ac:dyDescent="0.25">
      <c r="A73" s="196"/>
      <c r="B73" s="42"/>
      <c r="C73" s="134"/>
      <c r="D73" s="152"/>
      <c r="E73" s="30"/>
      <c r="F73" s="21"/>
      <c r="G73" s="21"/>
      <c r="H73" s="29"/>
      <c r="I73" s="189"/>
      <c r="J73" s="30"/>
    </row>
    <row r="74" spans="1:10" x14ac:dyDescent="0.25">
      <c r="A74" s="196"/>
      <c r="B74" s="42"/>
      <c r="C74" s="134"/>
      <c r="D74" s="152"/>
      <c r="E74" s="30"/>
      <c r="F74" s="21"/>
      <c r="G74" s="21"/>
      <c r="H74" s="29"/>
      <c r="I74" s="189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3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43076.03392361111</v>
      </c>
      <c r="B2" s="20" t="s">
        <v>454</v>
      </c>
      <c r="C2" s="20" t="s">
        <v>605</v>
      </c>
      <c r="D2" s="137">
        <v>3840000</v>
      </c>
      <c r="E2" s="20" t="s">
        <v>503</v>
      </c>
      <c r="F2" s="20" t="s">
        <v>504</v>
      </c>
      <c r="G2" s="8" t="str">
        <f>E2&amp;" "&amp;F2</f>
        <v>LONG FULLER</v>
      </c>
      <c r="H2" t="str">
        <f>MID(B2,13,4)</f>
        <v>4031</v>
      </c>
    </row>
    <row r="3" spans="1:8" x14ac:dyDescent="0.25">
      <c r="A3" s="8">
        <v>43076.04546296296</v>
      </c>
      <c r="B3" s="20" t="s">
        <v>473</v>
      </c>
      <c r="C3" s="20" t="s">
        <v>606</v>
      </c>
      <c r="D3" s="137">
        <v>3220000</v>
      </c>
      <c r="E3" s="20" t="s">
        <v>370</v>
      </c>
      <c r="F3" s="20" t="s">
        <v>371</v>
      </c>
      <c r="G3" s="8" t="str">
        <f t="shared" ref="G3:G66" si="0">E3&amp;" "&amp;F3</f>
        <v>RESPASS AARON</v>
      </c>
      <c r="H3" s="20" t="str">
        <f t="shared" ref="H3:H66" si="1">MID(B3,13,4)</f>
        <v>4010</v>
      </c>
    </row>
    <row r="4" spans="1:8" x14ac:dyDescent="0.25">
      <c r="A4" s="8">
        <v>43076.051261574074</v>
      </c>
      <c r="B4" s="20" t="s">
        <v>474</v>
      </c>
      <c r="C4" s="20" t="s">
        <v>607</v>
      </c>
      <c r="D4" s="137">
        <v>3310000</v>
      </c>
      <c r="E4" s="20" t="s">
        <v>448</v>
      </c>
      <c r="F4" s="20" t="s">
        <v>449</v>
      </c>
      <c r="G4" s="8" t="str">
        <f t="shared" si="0"/>
        <v>ANDERS STEVEN</v>
      </c>
      <c r="H4" s="20" t="str">
        <f t="shared" si="1"/>
        <v>4063</v>
      </c>
    </row>
    <row r="5" spans="1:8" x14ac:dyDescent="0.25">
      <c r="A5" s="8">
        <v>43076.070243055554</v>
      </c>
      <c r="B5" s="20" t="s">
        <v>455</v>
      </c>
      <c r="C5" s="20" t="s">
        <v>608</v>
      </c>
      <c r="D5" s="137">
        <v>3840000</v>
      </c>
      <c r="E5" s="20" t="s">
        <v>503</v>
      </c>
      <c r="F5" s="20" t="s">
        <v>504</v>
      </c>
      <c r="G5" s="8" t="str">
        <f t="shared" si="0"/>
        <v>LONG FULLER</v>
      </c>
      <c r="H5" s="20" t="str">
        <f t="shared" si="1"/>
        <v>4032</v>
      </c>
    </row>
    <row r="6" spans="1:8" x14ac:dyDescent="0.25">
      <c r="A6" s="8">
        <v>43076.08935185185</v>
      </c>
      <c r="B6" s="20" t="s">
        <v>502</v>
      </c>
      <c r="C6" s="20" t="s">
        <v>609</v>
      </c>
      <c r="D6" s="137">
        <v>3310000</v>
      </c>
      <c r="E6" s="20" t="s">
        <v>448</v>
      </c>
      <c r="F6" s="20" t="s">
        <v>449</v>
      </c>
      <c r="G6" s="8" t="str">
        <f t="shared" si="0"/>
        <v>ANDERS STEVEN</v>
      </c>
      <c r="H6" s="20" t="str">
        <f t="shared" si="1"/>
        <v>4064</v>
      </c>
    </row>
    <row r="7" spans="1:8" x14ac:dyDescent="0.25">
      <c r="A7" s="8">
        <v>43076.115601851852</v>
      </c>
      <c r="B7" s="20" t="s">
        <v>498</v>
      </c>
      <c r="C7" s="20" t="s">
        <v>706</v>
      </c>
      <c r="D7" s="137">
        <v>1830000</v>
      </c>
      <c r="E7" s="20" t="s">
        <v>346</v>
      </c>
      <c r="F7" s="20" t="s">
        <v>347</v>
      </c>
      <c r="G7" s="8" t="str">
        <f t="shared" si="0"/>
        <v>YORK EDGAR</v>
      </c>
      <c r="H7" s="20" t="str">
        <f t="shared" si="1"/>
        <v>4057</v>
      </c>
    </row>
    <row r="8" spans="1:8" x14ac:dyDescent="0.25">
      <c r="A8" s="8">
        <v>43076.125243055554</v>
      </c>
      <c r="B8" s="20" t="s">
        <v>523</v>
      </c>
      <c r="C8" s="20" t="s">
        <v>678</v>
      </c>
      <c r="D8" s="137">
        <v>1830000</v>
      </c>
      <c r="E8" s="20" t="s">
        <v>346</v>
      </c>
      <c r="F8" s="20" t="s">
        <v>347</v>
      </c>
      <c r="G8" s="8" t="str">
        <f t="shared" si="0"/>
        <v>YORK EDGAR</v>
      </c>
      <c r="H8" s="20" t="str">
        <f t="shared" si="1"/>
        <v>4060</v>
      </c>
    </row>
    <row r="9" spans="1:8" ht="15.75" thickBot="1" x14ac:dyDescent="0.3">
      <c r="A9" s="24">
        <v>43076.125543981485</v>
      </c>
      <c r="B9" s="20" t="s">
        <v>447</v>
      </c>
      <c r="C9" s="20" t="s">
        <v>707</v>
      </c>
      <c r="D9" s="137">
        <v>1090000</v>
      </c>
      <c r="E9" s="20" t="s">
        <v>495</v>
      </c>
      <c r="F9" s="20" t="s">
        <v>352</v>
      </c>
      <c r="G9" s="8" t="str">
        <f t="shared" si="0"/>
        <v>SPECTOR MICHAEL</v>
      </c>
      <c r="H9" s="20" t="str">
        <f t="shared" si="1"/>
        <v>4058</v>
      </c>
    </row>
    <row r="10" spans="1:8" x14ac:dyDescent="0.25">
      <c r="A10" s="8">
        <v>43076.139236111114</v>
      </c>
      <c r="B10" s="20" t="s">
        <v>351</v>
      </c>
      <c r="C10" s="20" t="s">
        <v>708</v>
      </c>
      <c r="D10" s="137">
        <v>2010000</v>
      </c>
      <c r="E10" s="20" t="s">
        <v>709</v>
      </c>
      <c r="F10" s="20" t="s">
        <v>710</v>
      </c>
      <c r="G10" s="8" t="str">
        <f t="shared" si="0"/>
        <v>MAELZER KURT</v>
      </c>
      <c r="H10" s="20" t="str">
        <f t="shared" si="1"/>
        <v>4055</v>
      </c>
    </row>
    <row r="11" spans="1:8" x14ac:dyDescent="0.25">
      <c r="A11" s="8">
        <v>43076.139305555553</v>
      </c>
      <c r="B11" s="20" t="s">
        <v>498</v>
      </c>
      <c r="C11" s="20" t="s">
        <v>711</v>
      </c>
      <c r="D11" s="137">
        <v>1090000</v>
      </c>
      <c r="E11" s="20" t="s">
        <v>495</v>
      </c>
      <c r="F11" s="20" t="s">
        <v>352</v>
      </c>
      <c r="G11" s="8" t="str">
        <f t="shared" si="0"/>
        <v>SPECTOR MICHAEL</v>
      </c>
      <c r="H11" s="20" t="str">
        <f t="shared" si="1"/>
        <v>4057</v>
      </c>
    </row>
    <row r="12" spans="1:8" x14ac:dyDescent="0.25">
      <c r="A12" s="8">
        <v>43076.152106481481</v>
      </c>
      <c r="B12" s="20" t="s">
        <v>413</v>
      </c>
      <c r="C12" s="20" t="s">
        <v>712</v>
      </c>
      <c r="D12" s="137">
        <v>2010000</v>
      </c>
      <c r="E12" s="20" t="s">
        <v>709</v>
      </c>
      <c r="F12" s="20" t="s">
        <v>710</v>
      </c>
      <c r="G12" s="8" t="str">
        <f t="shared" si="0"/>
        <v>MAELZER KURT</v>
      </c>
      <c r="H12" s="20" t="str">
        <f t="shared" si="1"/>
        <v>4056</v>
      </c>
    </row>
    <row r="13" spans="1:8" x14ac:dyDescent="0.25">
      <c r="A13" s="8">
        <v>43076.16034722222</v>
      </c>
      <c r="B13" s="20" t="s">
        <v>364</v>
      </c>
      <c r="C13" s="20" t="s">
        <v>713</v>
      </c>
      <c r="D13" s="137">
        <v>3680000</v>
      </c>
      <c r="E13" s="20" t="s">
        <v>496</v>
      </c>
      <c r="F13" s="20" t="s">
        <v>497</v>
      </c>
      <c r="G13" s="8" t="str">
        <f t="shared" si="0"/>
        <v>HAMMOND JUSTYNN</v>
      </c>
      <c r="H13" s="20" t="str">
        <f t="shared" si="1"/>
        <v>4035</v>
      </c>
    </row>
    <row r="14" spans="1:8" x14ac:dyDescent="0.25">
      <c r="A14" s="8">
        <v>43076.161122685182</v>
      </c>
      <c r="B14" s="20" t="s">
        <v>714</v>
      </c>
      <c r="C14" s="20" t="s">
        <v>715</v>
      </c>
      <c r="D14" s="137">
        <v>1830000</v>
      </c>
      <c r="E14" s="20" t="s">
        <v>346</v>
      </c>
      <c r="F14" s="20" t="s">
        <v>347</v>
      </c>
      <c r="G14" s="8" t="str">
        <f t="shared" si="0"/>
        <v>YORK EDGAR</v>
      </c>
      <c r="H14" s="20" t="str">
        <f t="shared" si="1"/>
        <v>4059</v>
      </c>
    </row>
    <row r="15" spans="1:8" x14ac:dyDescent="0.25">
      <c r="A15" s="8">
        <v>43076.16615740741</v>
      </c>
      <c r="B15" s="20" t="s">
        <v>426</v>
      </c>
      <c r="C15" s="20" t="s">
        <v>716</v>
      </c>
      <c r="D15" s="137">
        <v>3260000</v>
      </c>
      <c r="E15" s="20" t="s">
        <v>717</v>
      </c>
      <c r="F15" s="20" t="s">
        <v>718</v>
      </c>
      <c r="G15" s="8" t="str">
        <f t="shared" si="0"/>
        <v>PAGE MARCUS</v>
      </c>
      <c r="H15" s="20" t="str">
        <f t="shared" si="1"/>
        <v>4021</v>
      </c>
    </row>
    <row r="16" spans="1:8" x14ac:dyDescent="0.25">
      <c r="A16" s="8">
        <v>43076.172951388886</v>
      </c>
      <c r="B16" s="20" t="s">
        <v>363</v>
      </c>
      <c r="C16" s="20" t="s">
        <v>719</v>
      </c>
      <c r="D16" s="137">
        <v>3680000</v>
      </c>
      <c r="E16" s="20" t="s">
        <v>496</v>
      </c>
      <c r="F16" s="20" t="s">
        <v>497</v>
      </c>
      <c r="G16" s="8" t="str">
        <f t="shared" si="0"/>
        <v>HAMMOND JUSTYNN</v>
      </c>
      <c r="H16" s="20" t="str">
        <f t="shared" si="1"/>
        <v>4036</v>
      </c>
    </row>
    <row r="17" spans="1:8" x14ac:dyDescent="0.25">
      <c r="A17" s="8">
        <v>43076.175497685188</v>
      </c>
      <c r="B17" s="20" t="s">
        <v>720</v>
      </c>
      <c r="C17" s="20" t="s">
        <v>721</v>
      </c>
      <c r="D17" s="137">
        <v>3040000</v>
      </c>
      <c r="E17" s="20" t="s">
        <v>365</v>
      </c>
      <c r="F17" s="20" t="s">
        <v>420</v>
      </c>
      <c r="G17" s="8" t="str">
        <f t="shared" si="0"/>
        <v>WILLIAMS DONTE</v>
      </c>
      <c r="H17" s="20" t="str">
        <f t="shared" si="1"/>
        <v>4053</v>
      </c>
    </row>
    <row r="18" spans="1:8" x14ac:dyDescent="0.25">
      <c r="A18" s="8">
        <v>43076.180798611109</v>
      </c>
      <c r="B18" s="20" t="s">
        <v>374</v>
      </c>
      <c r="C18" s="20" t="s">
        <v>722</v>
      </c>
      <c r="D18" s="137">
        <v>3260000</v>
      </c>
      <c r="E18" s="20" t="s">
        <v>717</v>
      </c>
      <c r="F18" s="20" t="s">
        <v>718</v>
      </c>
      <c r="G18" s="8" t="str">
        <f t="shared" si="0"/>
        <v>PAGE MARCUS</v>
      </c>
      <c r="H18" s="20" t="str">
        <f t="shared" si="1"/>
        <v>4022</v>
      </c>
    </row>
    <row r="19" spans="1:8" x14ac:dyDescent="0.25">
      <c r="A19" s="8">
        <v>43076.185983796298</v>
      </c>
      <c r="B19" s="20" t="s">
        <v>351</v>
      </c>
      <c r="C19" s="20" t="s">
        <v>723</v>
      </c>
      <c r="D19" s="137">
        <v>2010000</v>
      </c>
      <c r="E19" s="20" t="s">
        <v>709</v>
      </c>
      <c r="F19" s="20" t="s">
        <v>710</v>
      </c>
      <c r="G19" s="8" t="str">
        <f t="shared" si="0"/>
        <v>MAELZER KURT</v>
      </c>
      <c r="H19" s="20" t="str">
        <f t="shared" si="1"/>
        <v>4055</v>
      </c>
    </row>
    <row r="20" spans="1:8" x14ac:dyDescent="0.25">
      <c r="A20" s="8">
        <v>43076.193981481483</v>
      </c>
      <c r="B20" s="20" t="s">
        <v>724</v>
      </c>
      <c r="C20" s="20" t="s">
        <v>725</v>
      </c>
      <c r="D20" s="137">
        <v>1230000</v>
      </c>
      <c r="E20" s="20" t="s">
        <v>500</v>
      </c>
      <c r="F20" s="20" t="s">
        <v>501</v>
      </c>
      <c r="G20" s="8" t="str">
        <f t="shared" si="0"/>
        <v>YANAI IAN</v>
      </c>
      <c r="H20" s="20" t="str">
        <f t="shared" si="1"/>
        <v>4013</v>
      </c>
    </row>
    <row r="21" spans="1:8" x14ac:dyDescent="0.25">
      <c r="A21" s="8">
        <v>43076.194409722222</v>
      </c>
      <c r="B21" s="20" t="s">
        <v>465</v>
      </c>
      <c r="C21" s="20" t="s">
        <v>726</v>
      </c>
      <c r="D21" s="137">
        <v>3040000</v>
      </c>
      <c r="E21" s="20" t="s">
        <v>365</v>
      </c>
      <c r="F21" s="20" t="s">
        <v>420</v>
      </c>
      <c r="G21" s="8" t="str">
        <f t="shared" si="0"/>
        <v>WILLIAMS DONTE</v>
      </c>
      <c r="H21" s="20" t="str">
        <f t="shared" si="1"/>
        <v>4054</v>
      </c>
    </row>
    <row r="22" spans="1:8" x14ac:dyDescent="0.25">
      <c r="A22" s="26">
        <v>43076.19902777778</v>
      </c>
      <c r="B22" s="20" t="s">
        <v>423</v>
      </c>
      <c r="C22" s="20" t="s">
        <v>727</v>
      </c>
      <c r="D22" s="137">
        <v>2440000</v>
      </c>
      <c r="E22" s="20" t="s">
        <v>569</v>
      </c>
      <c r="F22" s="20" t="s">
        <v>570</v>
      </c>
      <c r="G22" s="8" t="str">
        <f t="shared" si="0"/>
        <v>LOPES KIMBERLY</v>
      </c>
      <c r="H22" s="20" t="str">
        <f t="shared" si="1"/>
        <v>4044</v>
      </c>
    </row>
    <row r="23" spans="1:8" x14ac:dyDescent="0.25">
      <c r="A23" s="8">
        <v>43076.202719907407</v>
      </c>
      <c r="B23" s="20" t="s">
        <v>523</v>
      </c>
      <c r="C23" s="20" t="s">
        <v>728</v>
      </c>
      <c r="D23" s="137">
        <v>1830000</v>
      </c>
      <c r="E23" s="20" t="s">
        <v>346</v>
      </c>
      <c r="F23" s="20" t="s">
        <v>347</v>
      </c>
      <c r="G23" s="8" t="str">
        <f t="shared" si="0"/>
        <v>YORK EDGAR</v>
      </c>
      <c r="H23" s="20" t="str">
        <f t="shared" si="1"/>
        <v>4060</v>
      </c>
    </row>
    <row r="24" spans="1:8" x14ac:dyDescent="0.25">
      <c r="A24" s="8">
        <v>43076.204074074078</v>
      </c>
      <c r="B24" s="20" t="s">
        <v>729</v>
      </c>
      <c r="C24" s="20" t="s">
        <v>730</v>
      </c>
      <c r="D24" s="137">
        <v>1230000</v>
      </c>
      <c r="E24" s="20" t="s">
        <v>500</v>
      </c>
      <c r="F24" s="20" t="s">
        <v>501</v>
      </c>
      <c r="G24" s="8" t="str">
        <f t="shared" si="0"/>
        <v>YANAI IAN</v>
      </c>
      <c r="H24" s="20" t="str">
        <f t="shared" si="1"/>
        <v>4014</v>
      </c>
    </row>
    <row r="25" spans="1:8" x14ac:dyDescent="0.25">
      <c r="A25" s="8">
        <v>43076.209016203706</v>
      </c>
      <c r="B25" s="20" t="s">
        <v>364</v>
      </c>
      <c r="C25" s="20" t="s">
        <v>731</v>
      </c>
      <c r="D25" s="137">
        <v>3680000</v>
      </c>
      <c r="E25" s="20" t="s">
        <v>496</v>
      </c>
      <c r="F25" s="20" t="s">
        <v>497</v>
      </c>
      <c r="G25" s="8" t="str">
        <f t="shared" si="0"/>
        <v>HAMMOND JUSTYNN</v>
      </c>
      <c r="H25" s="20" t="str">
        <f t="shared" si="1"/>
        <v>4035</v>
      </c>
    </row>
    <row r="26" spans="1:8" x14ac:dyDescent="0.25">
      <c r="A26" s="8">
        <v>43076.211284722223</v>
      </c>
      <c r="B26" s="20" t="s">
        <v>424</v>
      </c>
      <c r="C26" s="20" t="s">
        <v>679</v>
      </c>
      <c r="D26" s="137">
        <v>2440000</v>
      </c>
      <c r="E26" s="20" t="s">
        <v>569</v>
      </c>
      <c r="F26" s="20" t="s">
        <v>570</v>
      </c>
      <c r="G26" s="8" t="str">
        <f t="shared" si="0"/>
        <v>LOPES KIMBERLY</v>
      </c>
      <c r="H26" s="20" t="str">
        <f t="shared" si="1"/>
        <v>4043</v>
      </c>
    </row>
    <row r="27" spans="1:8" x14ac:dyDescent="0.25">
      <c r="A27" s="8">
        <v>43076.214780092596</v>
      </c>
      <c r="B27" s="20" t="s">
        <v>426</v>
      </c>
      <c r="C27" s="20" t="s">
        <v>732</v>
      </c>
      <c r="D27" s="137">
        <v>3260000</v>
      </c>
      <c r="E27" s="20" t="s">
        <v>717</v>
      </c>
      <c r="F27" s="20" t="s">
        <v>718</v>
      </c>
      <c r="G27" s="8" t="str">
        <f t="shared" si="0"/>
        <v>PAGE MARCUS</v>
      </c>
      <c r="H27" s="20" t="str">
        <f t="shared" si="1"/>
        <v>4021</v>
      </c>
    </row>
    <row r="28" spans="1:8" x14ac:dyDescent="0.25">
      <c r="A28" s="8">
        <v>43076.223668981482</v>
      </c>
      <c r="B28" s="20" t="s">
        <v>683</v>
      </c>
      <c r="C28" s="20" t="s">
        <v>733</v>
      </c>
      <c r="D28" s="137">
        <v>2600000</v>
      </c>
      <c r="E28" s="20" t="s">
        <v>499</v>
      </c>
      <c r="F28" s="20" t="s">
        <v>411</v>
      </c>
      <c r="G28" s="8" t="str">
        <f t="shared" si="0"/>
        <v>DAVIDSON DAVID</v>
      </c>
      <c r="H28" s="20" t="str">
        <f t="shared" si="1"/>
        <v>4027</v>
      </c>
    </row>
    <row r="29" spans="1:8" x14ac:dyDescent="0.25">
      <c r="A29" s="8">
        <v>43076.225011574075</v>
      </c>
      <c r="B29" s="20" t="s">
        <v>413</v>
      </c>
      <c r="C29" s="20" t="s">
        <v>734</v>
      </c>
      <c r="D29" s="137">
        <v>2010000</v>
      </c>
      <c r="E29" s="20" t="s">
        <v>709</v>
      </c>
      <c r="F29" s="20" t="s">
        <v>710</v>
      </c>
      <c r="G29" s="8" t="str">
        <f t="shared" si="0"/>
        <v>MAELZER KURT</v>
      </c>
      <c r="H29" s="20" t="str">
        <f t="shared" si="1"/>
        <v>4056</v>
      </c>
    </row>
    <row r="30" spans="1:8" x14ac:dyDescent="0.25">
      <c r="A30" s="8">
        <v>43076.228541666664</v>
      </c>
      <c r="B30" s="20" t="s">
        <v>423</v>
      </c>
      <c r="C30" s="20" t="s">
        <v>735</v>
      </c>
      <c r="D30" s="137">
        <v>2440000</v>
      </c>
      <c r="E30" s="20" t="s">
        <v>569</v>
      </c>
      <c r="F30" s="20" t="s">
        <v>570</v>
      </c>
      <c r="G30" s="8" t="str">
        <f t="shared" si="0"/>
        <v>LOPES KIMBERLY</v>
      </c>
      <c r="H30" s="20" t="str">
        <f t="shared" si="1"/>
        <v>4044</v>
      </c>
    </row>
    <row r="31" spans="1:8" x14ac:dyDescent="0.25">
      <c r="A31" s="8">
        <v>43076.234444444446</v>
      </c>
      <c r="B31" s="20" t="s">
        <v>686</v>
      </c>
      <c r="C31" s="20" t="s">
        <v>736</v>
      </c>
      <c r="D31" s="137">
        <v>3000000</v>
      </c>
      <c r="E31" s="20" t="s">
        <v>524</v>
      </c>
      <c r="F31" s="20" t="s">
        <v>525</v>
      </c>
      <c r="G31" s="8" t="str">
        <f t="shared" si="0"/>
        <v>FORTUNATO FRANK</v>
      </c>
      <c r="H31" s="20" t="str">
        <f t="shared" si="1"/>
        <v>4023</v>
      </c>
    </row>
    <row r="32" spans="1:8" x14ac:dyDescent="0.25">
      <c r="A32" s="8">
        <v>43076.23474537037</v>
      </c>
      <c r="B32" s="20" t="s">
        <v>720</v>
      </c>
      <c r="C32" s="20" t="s">
        <v>737</v>
      </c>
      <c r="D32" s="137">
        <v>3040000</v>
      </c>
      <c r="E32" s="20" t="s">
        <v>365</v>
      </c>
      <c r="F32" s="20" t="s">
        <v>420</v>
      </c>
      <c r="G32" s="8" t="str">
        <f t="shared" si="0"/>
        <v>WILLIAMS DONTE</v>
      </c>
      <c r="H32" s="20" t="str">
        <f t="shared" si="1"/>
        <v>4053</v>
      </c>
    </row>
    <row r="33" spans="1:8" x14ac:dyDescent="0.25">
      <c r="A33" s="8">
        <v>43076.234826388885</v>
      </c>
      <c r="B33" s="20" t="s">
        <v>696</v>
      </c>
      <c r="C33" s="20" t="s">
        <v>738</v>
      </c>
      <c r="D33" s="137">
        <v>2600000</v>
      </c>
      <c r="E33" s="20" t="s">
        <v>499</v>
      </c>
      <c r="F33" s="20" t="s">
        <v>411</v>
      </c>
      <c r="G33" s="8" t="str">
        <f t="shared" si="0"/>
        <v>DAVIDSON DAVID</v>
      </c>
      <c r="H33" s="20" t="str">
        <f t="shared" si="1"/>
        <v>4028</v>
      </c>
    </row>
    <row r="34" spans="1:8" x14ac:dyDescent="0.25">
      <c r="A34" s="8">
        <v>43076.244976851849</v>
      </c>
      <c r="B34" s="20" t="s">
        <v>714</v>
      </c>
      <c r="C34" s="20" t="s">
        <v>739</v>
      </c>
      <c r="D34" s="137">
        <v>1830000</v>
      </c>
      <c r="E34" s="20" t="s">
        <v>346</v>
      </c>
      <c r="F34" s="20" t="s">
        <v>347</v>
      </c>
      <c r="G34" s="8" t="str">
        <f t="shared" si="0"/>
        <v>YORK EDGAR</v>
      </c>
      <c r="H34" s="20" t="str">
        <f t="shared" si="1"/>
        <v>4059</v>
      </c>
    </row>
    <row r="35" spans="1:8" x14ac:dyDescent="0.25">
      <c r="A35" s="8">
        <v>43076.245046296295</v>
      </c>
      <c r="B35" s="20" t="s">
        <v>724</v>
      </c>
      <c r="C35" s="20" t="s">
        <v>740</v>
      </c>
      <c r="D35" s="137">
        <v>1230000</v>
      </c>
      <c r="E35" s="20" t="s">
        <v>500</v>
      </c>
      <c r="F35" s="20" t="s">
        <v>501</v>
      </c>
      <c r="G35" s="8" t="str">
        <f t="shared" si="0"/>
        <v>YANAI IAN</v>
      </c>
      <c r="H35" s="20" t="str">
        <f t="shared" si="1"/>
        <v>4013</v>
      </c>
    </row>
    <row r="36" spans="1:8" x14ac:dyDescent="0.25">
      <c r="A36" s="8">
        <v>43076.246631944443</v>
      </c>
      <c r="B36" s="20" t="s">
        <v>424</v>
      </c>
      <c r="C36" s="20" t="s">
        <v>741</v>
      </c>
      <c r="D36" s="137">
        <v>2440000</v>
      </c>
      <c r="E36" s="20" t="s">
        <v>569</v>
      </c>
      <c r="F36" s="20" t="s">
        <v>570</v>
      </c>
      <c r="G36" s="8" t="str">
        <f t="shared" si="0"/>
        <v>LOPES KIMBERLY</v>
      </c>
      <c r="H36" s="20" t="str">
        <f t="shared" si="1"/>
        <v>4043</v>
      </c>
    </row>
    <row r="37" spans="1:8" x14ac:dyDescent="0.25">
      <c r="A37" s="8">
        <v>43076.246793981481</v>
      </c>
      <c r="B37" s="20" t="s">
        <v>363</v>
      </c>
      <c r="C37" s="20" t="s">
        <v>742</v>
      </c>
      <c r="D37" s="137">
        <v>3680000</v>
      </c>
      <c r="E37" s="20" t="s">
        <v>496</v>
      </c>
      <c r="F37" s="20" t="s">
        <v>497</v>
      </c>
      <c r="G37" s="8" t="str">
        <f t="shared" si="0"/>
        <v>HAMMOND JUSTYNN</v>
      </c>
      <c r="H37" s="20" t="str">
        <f t="shared" si="1"/>
        <v>4036</v>
      </c>
    </row>
    <row r="38" spans="1:8" x14ac:dyDescent="0.25">
      <c r="A38" s="8">
        <v>43076.250601851854</v>
      </c>
      <c r="B38" s="20" t="s">
        <v>681</v>
      </c>
      <c r="C38" s="20" t="s">
        <v>743</v>
      </c>
      <c r="D38" s="137">
        <v>3000000</v>
      </c>
      <c r="E38" s="20" t="s">
        <v>524</v>
      </c>
      <c r="F38" s="20" t="s">
        <v>525</v>
      </c>
      <c r="G38" s="8" t="str">
        <f t="shared" si="0"/>
        <v>FORTUNATO FRANK</v>
      </c>
      <c r="H38" s="20" t="str">
        <f t="shared" si="1"/>
        <v>4024</v>
      </c>
    </row>
    <row r="39" spans="1:8" x14ac:dyDescent="0.25">
      <c r="A39" s="8">
        <v>43076.255902777775</v>
      </c>
      <c r="B39" s="20" t="s">
        <v>374</v>
      </c>
      <c r="C39" s="20" t="s">
        <v>744</v>
      </c>
      <c r="D39" s="137">
        <v>3260000</v>
      </c>
      <c r="E39" s="20" t="s">
        <v>717</v>
      </c>
      <c r="F39" s="20" t="s">
        <v>718</v>
      </c>
      <c r="G39" s="8" t="str">
        <f t="shared" si="0"/>
        <v>PAGE MARCUS</v>
      </c>
      <c r="H39" s="20" t="str">
        <f t="shared" si="1"/>
        <v>4022</v>
      </c>
    </row>
    <row r="40" spans="1:8" x14ac:dyDescent="0.25">
      <c r="A40" s="8">
        <v>43076.264351851853</v>
      </c>
      <c r="B40" s="25" t="s">
        <v>351</v>
      </c>
      <c r="C40" s="20" t="s">
        <v>745</v>
      </c>
      <c r="D40" s="137">
        <v>2010000</v>
      </c>
      <c r="E40" s="20" t="s">
        <v>709</v>
      </c>
      <c r="F40" s="20" t="s">
        <v>710</v>
      </c>
      <c r="G40" s="8" t="str">
        <f t="shared" si="0"/>
        <v>MAELZER KURT</v>
      </c>
      <c r="H40" s="20" t="str">
        <f t="shared" si="1"/>
        <v>4055</v>
      </c>
    </row>
    <row r="41" spans="1:8" x14ac:dyDescent="0.25">
      <c r="A41" s="8">
        <v>43076.266469907408</v>
      </c>
      <c r="B41" s="20" t="s">
        <v>465</v>
      </c>
      <c r="C41" s="20" t="s">
        <v>746</v>
      </c>
      <c r="D41" s="137">
        <v>3040000</v>
      </c>
      <c r="E41" s="20" t="s">
        <v>365</v>
      </c>
      <c r="F41" s="20" t="s">
        <v>420</v>
      </c>
      <c r="G41" s="8" t="str">
        <f t="shared" si="0"/>
        <v>WILLIAMS DONTE</v>
      </c>
      <c r="H41" s="20" t="str">
        <f t="shared" si="1"/>
        <v>4054</v>
      </c>
    </row>
    <row r="42" spans="1:8" x14ac:dyDescent="0.25">
      <c r="A42" s="8">
        <v>43076.267465277779</v>
      </c>
      <c r="B42" s="20" t="s">
        <v>683</v>
      </c>
      <c r="C42" s="20" t="s">
        <v>747</v>
      </c>
      <c r="D42" s="137">
        <v>2600000</v>
      </c>
      <c r="E42" s="20" t="s">
        <v>499</v>
      </c>
      <c r="F42" s="20" t="s">
        <v>411</v>
      </c>
      <c r="G42" s="8" t="str">
        <f t="shared" si="0"/>
        <v>DAVIDSON DAVID</v>
      </c>
      <c r="H42" s="20" t="str">
        <f t="shared" si="1"/>
        <v>4027</v>
      </c>
    </row>
    <row r="43" spans="1:8" x14ac:dyDescent="0.25">
      <c r="A43" s="8">
        <v>43076.268530092595</v>
      </c>
      <c r="B43" s="20" t="s">
        <v>686</v>
      </c>
      <c r="C43" s="20" t="s">
        <v>748</v>
      </c>
      <c r="D43" s="137">
        <v>3000000</v>
      </c>
      <c r="E43" s="20" t="s">
        <v>524</v>
      </c>
      <c r="F43" s="20" t="s">
        <v>525</v>
      </c>
      <c r="G43" s="8" t="str">
        <f t="shared" si="0"/>
        <v>FORTUNATO FRANK</v>
      </c>
      <c r="H43" s="20" t="str">
        <f t="shared" si="1"/>
        <v>4023</v>
      </c>
    </row>
    <row r="44" spans="1:8" x14ac:dyDescent="0.25">
      <c r="A44" s="8">
        <v>43076.269432870373</v>
      </c>
      <c r="B44" s="20" t="s">
        <v>423</v>
      </c>
      <c r="C44" s="20" t="s">
        <v>749</v>
      </c>
      <c r="D44" s="137">
        <v>2440000</v>
      </c>
      <c r="E44" s="20" t="s">
        <v>569</v>
      </c>
      <c r="F44" s="20" t="s">
        <v>570</v>
      </c>
      <c r="G44" s="8" t="str">
        <f t="shared" si="0"/>
        <v>LOPES KIMBERLY</v>
      </c>
      <c r="H44" s="20" t="str">
        <f t="shared" si="1"/>
        <v>4044</v>
      </c>
    </row>
    <row r="45" spans="1:8" x14ac:dyDescent="0.25">
      <c r="A45" s="8">
        <v>43076.27516203704</v>
      </c>
      <c r="B45" s="20" t="s">
        <v>523</v>
      </c>
      <c r="C45" s="20" t="s">
        <v>750</v>
      </c>
      <c r="D45" s="137">
        <v>1830000</v>
      </c>
      <c r="E45" s="20" t="s">
        <v>346</v>
      </c>
      <c r="F45" s="20" t="s">
        <v>347</v>
      </c>
      <c r="G45" s="8" t="str">
        <f t="shared" si="0"/>
        <v>YORK EDGAR</v>
      </c>
      <c r="H45" s="20" t="str">
        <f t="shared" si="1"/>
        <v>4060</v>
      </c>
    </row>
    <row r="46" spans="1:8" x14ac:dyDescent="0.25">
      <c r="A46" s="8">
        <v>43076.286527777775</v>
      </c>
      <c r="B46" s="20" t="s">
        <v>364</v>
      </c>
      <c r="C46" s="20" t="s">
        <v>680</v>
      </c>
      <c r="D46" s="137">
        <v>3680000</v>
      </c>
      <c r="E46" s="20" t="s">
        <v>496</v>
      </c>
      <c r="F46" s="20" t="s">
        <v>497</v>
      </c>
      <c r="G46" s="8" t="str">
        <f t="shared" si="0"/>
        <v>HAMMOND JUSTYNN</v>
      </c>
      <c r="H46" s="20" t="str">
        <f t="shared" si="1"/>
        <v>4035</v>
      </c>
    </row>
    <row r="47" spans="1:8" x14ac:dyDescent="0.25">
      <c r="A47" s="8">
        <v>43076.286805555559</v>
      </c>
      <c r="B47" s="20" t="s">
        <v>426</v>
      </c>
      <c r="C47" s="20" t="s">
        <v>751</v>
      </c>
      <c r="D47" s="137">
        <v>3260000</v>
      </c>
      <c r="E47" s="20" t="s">
        <v>717</v>
      </c>
      <c r="F47" s="20" t="s">
        <v>718</v>
      </c>
      <c r="G47" s="8" t="str">
        <f t="shared" si="0"/>
        <v>PAGE MARCUS</v>
      </c>
      <c r="H47" s="20" t="str">
        <f t="shared" si="1"/>
        <v>4021</v>
      </c>
    </row>
    <row r="48" spans="1:8" x14ac:dyDescent="0.25">
      <c r="A48" s="8">
        <v>43076.287511574075</v>
      </c>
      <c r="B48" s="20" t="s">
        <v>729</v>
      </c>
      <c r="C48" s="20" t="s">
        <v>752</v>
      </c>
      <c r="D48" s="137">
        <v>1230000</v>
      </c>
      <c r="E48" s="20" t="s">
        <v>500</v>
      </c>
      <c r="F48" s="20" t="s">
        <v>501</v>
      </c>
      <c r="G48" s="8" t="str">
        <f t="shared" si="0"/>
        <v>YANAI IAN</v>
      </c>
      <c r="H48" s="20" t="str">
        <f t="shared" si="1"/>
        <v>4014</v>
      </c>
    </row>
    <row r="49" spans="1:8" x14ac:dyDescent="0.25">
      <c r="A49" s="8">
        <v>43076.288784722223</v>
      </c>
      <c r="B49" s="20" t="s">
        <v>424</v>
      </c>
      <c r="C49" s="20" t="s">
        <v>753</v>
      </c>
      <c r="D49" s="137">
        <v>2440000</v>
      </c>
      <c r="E49" s="20" t="s">
        <v>569</v>
      </c>
      <c r="F49" s="20" t="s">
        <v>570</v>
      </c>
      <c r="G49" s="8" t="str">
        <f t="shared" si="0"/>
        <v>LOPES KIMBERLY</v>
      </c>
      <c r="H49" s="20" t="str">
        <f t="shared" si="1"/>
        <v>4043</v>
      </c>
    </row>
    <row r="50" spans="1:8" x14ac:dyDescent="0.25">
      <c r="A50" s="8">
        <v>43076.290509259263</v>
      </c>
      <c r="B50" s="20" t="s">
        <v>681</v>
      </c>
      <c r="C50" s="20" t="s">
        <v>682</v>
      </c>
      <c r="D50" s="137">
        <v>3000000</v>
      </c>
      <c r="E50" s="20" t="s">
        <v>524</v>
      </c>
      <c r="F50" s="20" t="s">
        <v>525</v>
      </c>
      <c r="G50" s="8" t="str">
        <f t="shared" si="0"/>
        <v>FORTUNATO FRANK</v>
      </c>
      <c r="H50" s="20" t="str">
        <f t="shared" si="1"/>
        <v>4024</v>
      </c>
    </row>
    <row r="51" spans="1:8" x14ac:dyDescent="0.25">
      <c r="A51" s="8">
        <v>43076.298136574071</v>
      </c>
      <c r="B51" s="20" t="s">
        <v>413</v>
      </c>
      <c r="C51" s="20" t="s">
        <v>754</v>
      </c>
      <c r="D51" s="137">
        <v>2010000</v>
      </c>
      <c r="E51" s="20" t="s">
        <v>709</v>
      </c>
      <c r="F51" s="20" t="s">
        <v>710</v>
      </c>
      <c r="G51" s="8" t="str">
        <f t="shared" si="0"/>
        <v>MAELZER KURT</v>
      </c>
      <c r="H51" s="20" t="str">
        <f t="shared" si="1"/>
        <v>4056</v>
      </c>
    </row>
    <row r="52" spans="1:8" x14ac:dyDescent="0.25">
      <c r="A52" s="8">
        <v>43076.305810185186</v>
      </c>
      <c r="B52" s="20" t="s">
        <v>720</v>
      </c>
      <c r="C52" s="20" t="s">
        <v>755</v>
      </c>
      <c r="D52" s="137">
        <v>3040000</v>
      </c>
      <c r="E52" s="20" t="s">
        <v>365</v>
      </c>
      <c r="F52" s="20" t="s">
        <v>420</v>
      </c>
      <c r="G52" s="8" t="str">
        <f t="shared" si="0"/>
        <v>WILLIAMS DONTE</v>
      </c>
      <c r="H52" s="20" t="str">
        <f t="shared" si="1"/>
        <v>4053</v>
      </c>
    </row>
    <row r="53" spans="1:8" x14ac:dyDescent="0.25">
      <c r="A53" s="8">
        <v>43076.30877314815</v>
      </c>
      <c r="B53" s="20" t="s">
        <v>696</v>
      </c>
      <c r="C53" s="20" t="s">
        <v>756</v>
      </c>
      <c r="D53" s="137">
        <v>2600000</v>
      </c>
      <c r="E53" s="20" t="s">
        <v>499</v>
      </c>
      <c r="F53" s="20" t="s">
        <v>411</v>
      </c>
      <c r="G53" s="8" t="str">
        <f t="shared" si="0"/>
        <v>DAVIDSON DAVID</v>
      </c>
      <c r="H53" s="20" t="str">
        <f t="shared" si="1"/>
        <v>4028</v>
      </c>
    </row>
    <row r="54" spans="1:8" x14ac:dyDescent="0.25">
      <c r="A54" s="8">
        <v>43076.311712962961</v>
      </c>
      <c r="B54" s="20" t="s">
        <v>686</v>
      </c>
      <c r="C54" s="20" t="s">
        <v>757</v>
      </c>
      <c r="D54" s="137">
        <v>3000000</v>
      </c>
      <c r="E54" s="20" t="s">
        <v>524</v>
      </c>
      <c r="F54" s="20" t="s">
        <v>525</v>
      </c>
      <c r="G54" s="8" t="str">
        <f t="shared" si="0"/>
        <v>FORTUNATO FRANK</v>
      </c>
      <c r="H54" s="20" t="str">
        <f t="shared" si="1"/>
        <v>4023</v>
      </c>
    </row>
    <row r="55" spans="1:8" x14ac:dyDescent="0.25">
      <c r="A55" s="8">
        <v>43076.311828703707</v>
      </c>
      <c r="B55" s="20" t="s">
        <v>423</v>
      </c>
      <c r="C55" s="20" t="s">
        <v>758</v>
      </c>
      <c r="D55" s="137">
        <v>2440000</v>
      </c>
      <c r="E55" s="20" t="s">
        <v>569</v>
      </c>
      <c r="F55" s="20" t="s">
        <v>570</v>
      </c>
      <c r="G55" s="8" t="str">
        <f t="shared" si="0"/>
        <v>LOPES KIMBERLY</v>
      </c>
      <c r="H55" s="20" t="str">
        <f t="shared" si="1"/>
        <v>4044</v>
      </c>
    </row>
    <row r="56" spans="1:8" x14ac:dyDescent="0.25">
      <c r="A56" s="8">
        <v>43076.318171296298</v>
      </c>
      <c r="B56" s="20" t="s">
        <v>714</v>
      </c>
      <c r="C56" s="20" t="s">
        <v>759</v>
      </c>
      <c r="D56" s="137">
        <v>1830000</v>
      </c>
      <c r="E56" s="20" t="s">
        <v>346</v>
      </c>
      <c r="F56" s="20" t="s">
        <v>347</v>
      </c>
      <c r="G56" s="8" t="str">
        <f t="shared" si="0"/>
        <v>YORK EDGAR</v>
      </c>
      <c r="H56" s="20" t="str">
        <f t="shared" si="1"/>
        <v>4059</v>
      </c>
    </row>
    <row r="57" spans="1:8" x14ac:dyDescent="0.25">
      <c r="A57" s="8">
        <v>43076.318854166668</v>
      </c>
      <c r="B57" s="20" t="s">
        <v>724</v>
      </c>
      <c r="C57" s="20" t="s">
        <v>760</v>
      </c>
      <c r="D57" s="137">
        <v>1230000</v>
      </c>
      <c r="E57" s="20" t="s">
        <v>500</v>
      </c>
      <c r="F57" s="20" t="s">
        <v>501</v>
      </c>
      <c r="G57" s="8" t="str">
        <f t="shared" si="0"/>
        <v>YANAI IAN</v>
      </c>
      <c r="H57" s="20" t="str">
        <f t="shared" si="1"/>
        <v>4013</v>
      </c>
    </row>
    <row r="58" spans="1:8" x14ac:dyDescent="0.25">
      <c r="A58" s="8">
        <v>43076.320208333331</v>
      </c>
      <c r="B58" s="20" t="s">
        <v>363</v>
      </c>
      <c r="C58" s="20" t="s">
        <v>761</v>
      </c>
      <c r="D58" s="137">
        <v>3680000</v>
      </c>
      <c r="E58" s="20" t="s">
        <v>496</v>
      </c>
      <c r="F58" s="20" t="s">
        <v>497</v>
      </c>
      <c r="G58" s="8" t="str">
        <f t="shared" si="0"/>
        <v>HAMMOND JUSTYNN</v>
      </c>
      <c r="H58" s="20" t="str">
        <f t="shared" si="1"/>
        <v>4036</v>
      </c>
    </row>
    <row r="59" spans="1:8" x14ac:dyDescent="0.25">
      <c r="A59" s="8">
        <v>43076.32916666667</v>
      </c>
      <c r="B59" s="20" t="s">
        <v>374</v>
      </c>
      <c r="C59" s="20" t="s">
        <v>762</v>
      </c>
      <c r="D59" s="137">
        <v>3260000</v>
      </c>
      <c r="E59" s="20" t="s">
        <v>717</v>
      </c>
      <c r="F59" s="20" t="s">
        <v>718</v>
      </c>
      <c r="G59" s="8" t="str">
        <f t="shared" si="0"/>
        <v>PAGE MARCUS</v>
      </c>
      <c r="H59" s="20" t="str">
        <f t="shared" si="1"/>
        <v>4022</v>
      </c>
    </row>
    <row r="60" spans="1:8" x14ac:dyDescent="0.25">
      <c r="A60" s="8">
        <v>43076.330462962964</v>
      </c>
      <c r="B60" s="20" t="s">
        <v>424</v>
      </c>
      <c r="C60" s="20" t="s">
        <v>763</v>
      </c>
      <c r="D60" s="137">
        <v>2440000</v>
      </c>
      <c r="E60" s="20" t="s">
        <v>569</v>
      </c>
      <c r="F60" s="20" t="s">
        <v>570</v>
      </c>
      <c r="G60" s="8" t="str">
        <f t="shared" si="0"/>
        <v>LOPES KIMBERLY</v>
      </c>
      <c r="H60" s="20" t="str">
        <f t="shared" si="1"/>
        <v>4043</v>
      </c>
    </row>
    <row r="61" spans="1:8" x14ac:dyDescent="0.25">
      <c r="A61" s="8">
        <v>43076.331284722219</v>
      </c>
      <c r="B61" s="20" t="s">
        <v>351</v>
      </c>
      <c r="C61" s="20" t="s">
        <v>764</v>
      </c>
      <c r="D61" s="137">
        <v>2010000</v>
      </c>
      <c r="E61" s="20" t="s">
        <v>709</v>
      </c>
      <c r="F61" s="20" t="s">
        <v>710</v>
      </c>
      <c r="G61" s="8" t="str">
        <f t="shared" si="0"/>
        <v>MAELZER KURT</v>
      </c>
      <c r="H61" s="20" t="str">
        <f t="shared" si="1"/>
        <v>4055</v>
      </c>
    </row>
    <row r="62" spans="1:8" x14ac:dyDescent="0.25">
      <c r="A62" s="8">
        <v>43076.33326388889</v>
      </c>
      <c r="B62" s="20" t="s">
        <v>681</v>
      </c>
      <c r="C62" s="20" t="s">
        <v>765</v>
      </c>
      <c r="D62" s="137">
        <v>3000000</v>
      </c>
      <c r="E62" s="20" t="s">
        <v>524</v>
      </c>
      <c r="F62" s="20" t="s">
        <v>525</v>
      </c>
      <c r="G62" s="8" t="str">
        <f t="shared" si="0"/>
        <v>FORTUNATO FRANK</v>
      </c>
      <c r="H62" s="20" t="str">
        <f t="shared" si="1"/>
        <v>4024</v>
      </c>
    </row>
    <row r="63" spans="1:8" x14ac:dyDescent="0.25">
      <c r="A63" s="8">
        <v>43076.339537037034</v>
      </c>
      <c r="B63" s="20" t="s">
        <v>683</v>
      </c>
      <c r="C63" s="20" t="s">
        <v>766</v>
      </c>
      <c r="D63" s="137">
        <v>2600000</v>
      </c>
      <c r="E63" s="20" t="s">
        <v>499</v>
      </c>
      <c r="F63" s="20" t="s">
        <v>411</v>
      </c>
      <c r="G63" s="8" t="str">
        <f t="shared" si="0"/>
        <v>DAVIDSON DAVID</v>
      </c>
      <c r="H63" s="20" t="str">
        <f t="shared" si="1"/>
        <v>4027</v>
      </c>
    </row>
    <row r="64" spans="1:8" x14ac:dyDescent="0.25">
      <c r="A64" s="26">
        <v>43076.34034722222</v>
      </c>
      <c r="B64" s="20" t="s">
        <v>465</v>
      </c>
      <c r="C64" s="20" t="s">
        <v>767</v>
      </c>
      <c r="D64" s="137">
        <v>3040000</v>
      </c>
      <c r="E64" s="20" t="s">
        <v>365</v>
      </c>
      <c r="F64" s="20" t="s">
        <v>420</v>
      </c>
      <c r="G64" s="8" t="str">
        <f t="shared" si="0"/>
        <v>WILLIAMS DONTE</v>
      </c>
      <c r="H64" s="20" t="str">
        <f t="shared" si="1"/>
        <v>4054</v>
      </c>
    </row>
    <row r="65" spans="1:8" x14ac:dyDescent="0.25">
      <c r="A65" s="8">
        <v>43076.3515162037</v>
      </c>
      <c r="B65" s="20" t="s">
        <v>523</v>
      </c>
      <c r="C65" s="20" t="s">
        <v>768</v>
      </c>
      <c r="D65" s="137">
        <v>1830000</v>
      </c>
      <c r="E65" s="20" t="s">
        <v>346</v>
      </c>
      <c r="F65" s="20" t="s">
        <v>347</v>
      </c>
      <c r="G65" s="8" t="str">
        <f t="shared" si="0"/>
        <v>YORK EDGAR</v>
      </c>
      <c r="H65" s="20" t="str">
        <f t="shared" si="1"/>
        <v>4060</v>
      </c>
    </row>
    <row r="66" spans="1:8" x14ac:dyDescent="0.25">
      <c r="A66" s="8">
        <v>43076.3516087963</v>
      </c>
      <c r="B66" s="20" t="s">
        <v>686</v>
      </c>
      <c r="C66" s="20" t="s">
        <v>769</v>
      </c>
      <c r="D66" s="137">
        <v>3000000</v>
      </c>
      <c r="E66" s="20" t="s">
        <v>524</v>
      </c>
      <c r="F66" s="20" t="s">
        <v>525</v>
      </c>
      <c r="G66" s="8" t="str">
        <f t="shared" si="0"/>
        <v>FORTUNATO FRANK</v>
      </c>
      <c r="H66" s="20" t="str">
        <f t="shared" si="1"/>
        <v>4023</v>
      </c>
    </row>
    <row r="67" spans="1:8" x14ac:dyDescent="0.25">
      <c r="A67" s="8">
        <v>43076.352685185186</v>
      </c>
      <c r="B67" s="20" t="s">
        <v>423</v>
      </c>
      <c r="C67" s="20" t="s">
        <v>770</v>
      </c>
      <c r="D67" s="137">
        <v>2440000</v>
      </c>
      <c r="E67" s="20" t="s">
        <v>569</v>
      </c>
      <c r="F67" s="20" t="s">
        <v>570</v>
      </c>
      <c r="G67" s="8" t="str">
        <f t="shared" ref="G67:G130" si="2">E67&amp;" "&amp;F67</f>
        <v>LOPES KIMBERLY</v>
      </c>
      <c r="H67" s="20" t="str">
        <f t="shared" ref="H67:H130" si="3">MID(B67,13,4)</f>
        <v>4044</v>
      </c>
    </row>
    <row r="68" spans="1:8" x14ac:dyDescent="0.25">
      <c r="A68" s="8">
        <v>43076.357291666667</v>
      </c>
      <c r="B68" s="20" t="s">
        <v>364</v>
      </c>
      <c r="C68" s="20" t="s">
        <v>771</v>
      </c>
      <c r="D68" s="137">
        <v>3680000</v>
      </c>
      <c r="E68" s="20" t="s">
        <v>496</v>
      </c>
      <c r="F68" s="20" t="s">
        <v>497</v>
      </c>
      <c r="G68" s="8" t="str">
        <f t="shared" si="2"/>
        <v>HAMMOND JUSTYNN</v>
      </c>
      <c r="H68" s="20" t="str">
        <f t="shared" si="3"/>
        <v>4035</v>
      </c>
    </row>
    <row r="69" spans="1:8" x14ac:dyDescent="0.25">
      <c r="A69" s="8">
        <v>43076.358530092592</v>
      </c>
      <c r="B69" s="20" t="s">
        <v>729</v>
      </c>
      <c r="C69" s="20" t="s">
        <v>772</v>
      </c>
      <c r="D69" s="137">
        <v>1230000</v>
      </c>
      <c r="E69" s="20" t="s">
        <v>500</v>
      </c>
      <c r="F69" s="20" t="s">
        <v>501</v>
      </c>
      <c r="G69" s="8" t="str">
        <f t="shared" si="2"/>
        <v>YANAI IAN</v>
      </c>
      <c r="H69" s="20" t="str">
        <f t="shared" si="3"/>
        <v>4014</v>
      </c>
    </row>
    <row r="70" spans="1:8" x14ac:dyDescent="0.25">
      <c r="A70" s="8">
        <v>43076.360011574077</v>
      </c>
      <c r="B70" s="20" t="s">
        <v>426</v>
      </c>
      <c r="C70" s="20" t="s">
        <v>773</v>
      </c>
      <c r="D70" s="137">
        <v>3260000</v>
      </c>
      <c r="E70" s="20" t="s">
        <v>717</v>
      </c>
      <c r="F70" s="20" t="s">
        <v>718</v>
      </c>
      <c r="G70" s="8" t="str">
        <f t="shared" si="2"/>
        <v>PAGE MARCUS</v>
      </c>
      <c r="H70" s="20" t="str">
        <f t="shared" si="3"/>
        <v>4021</v>
      </c>
    </row>
    <row r="71" spans="1:8" x14ac:dyDescent="0.25">
      <c r="A71" s="8">
        <v>43076.371238425927</v>
      </c>
      <c r="B71" s="20" t="s">
        <v>413</v>
      </c>
      <c r="C71" s="20" t="s">
        <v>774</v>
      </c>
      <c r="D71" s="137">
        <v>2010000</v>
      </c>
      <c r="E71" s="20" t="s">
        <v>709</v>
      </c>
      <c r="F71" s="20" t="s">
        <v>710</v>
      </c>
      <c r="G71" s="8" t="str">
        <f t="shared" si="2"/>
        <v>MAELZER KURT</v>
      </c>
      <c r="H71" s="20" t="str">
        <f t="shared" si="3"/>
        <v>4056</v>
      </c>
    </row>
    <row r="72" spans="1:8" x14ac:dyDescent="0.25">
      <c r="A72" s="8">
        <v>43076.373136574075</v>
      </c>
      <c r="B72" s="20" t="s">
        <v>681</v>
      </c>
      <c r="C72" s="20" t="s">
        <v>775</v>
      </c>
      <c r="D72" s="137">
        <v>3000000</v>
      </c>
      <c r="E72" s="20" t="s">
        <v>524</v>
      </c>
      <c r="F72" s="20" t="s">
        <v>525</v>
      </c>
      <c r="G72" s="8" t="str">
        <f t="shared" si="2"/>
        <v>FORTUNATO FRANK</v>
      </c>
      <c r="H72" s="20" t="str">
        <f t="shared" si="3"/>
        <v>4024</v>
      </c>
    </row>
    <row r="73" spans="1:8" x14ac:dyDescent="0.25">
      <c r="A73" s="8">
        <v>43076.37599537037</v>
      </c>
      <c r="B73" s="20" t="s">
        <v>720</v>
      </c>
      <c r="C73" s="20" t="s">
        <v>776</v>
      </c>
      <c r="D73" s="137">
        <v>3040000</v>
      </c>
      <c r="E73" s="20" t="s">
        <v>365</v>
      </c>
      <c r="F73" s="20" t="s">
        <v>420</v>
      </c>
      <c r="G73" s="8" t="str">
        <f t="shared" si="2"/>
        <v>WILLIAMS DONTE</v>
      </c>
      <c r="H73" s="20" t="str">
        <f t="shared" si="3"/>
        <v>4053</v>
      </c>
    </row>
    <row r="74" spans="1:8" x14ac:dyDescent="0.25">
      <c r="A74" s="8">
        <v>43076.380729166667</v>
      </c>
      <c r="B74" s="20" t="s">
        <v>696</v>
      </c>
      <c r="C74" s="20" t="s">
        <v>777</v>
      </c>
      <c r="D74" s="137">
        <v>2600000</v>
      </c>
      <c r="E74" s="20" t="s">
        <v>499</v>
      </c>
      <c r="F74" s="20" t="s">
        <v>411</v>
      </c>
      <c r="G74" s="8" t="str">
        <f t="shared" si="2"/>
        <v>DAVIDSON DAVID</v>
      </c>
      <c r="H74" s="20" t="str">
        <f t="shared" si="3"/>
        <v>4028</v>
      </c>
    </row>
    <row r="75" spans="1:8" x14ac:dyDescent="0.25">
      <c r="A75" s="8">
        <v>43076.388368055559</v>
      </c>
      <c r="B75" s="20" t="s">
        <v>714</v>
      </c>
      <c r="C75" s="20" t="s">
        <v>778</v>
      </c>
      <c r="D75" s="137">
        <v>1830000</v>
      </c>
      <c r="E75" s="20" t="s">
        <v>346</v>
      </c>
      <c r="F75" s="20" t="s">
        <v>347</v>
      </c>
      <c r="G75" s="8" t="str">
        <f t="shared" si="2"/>
        <v>YORK EDGAR</v>
      </c>
      <c r="H75" s="20" t="str">
        <f t="shared" si="3"/>
        <v>4059</v>
      </c>
    </row>
    <row r="76" spans="1:8" x14ac:dyDescent="0.25">
      <c r="A76" s="8">
        <v>43076.390243055554</v>
      </c>
      <c r="B76" s="20" t="s">
        <v>724</v>
      </c>
      <c r="C76" s="20" t="s">
        <v>779</v>
      </c>
      <c r="D76" s="137">
        <v>1230000</v>
      </c>
      <c r="E76" s="20" t="s">
        <v>500</v>
      </c>
      <c r="F76" s="20" t="s">
        <v>501</v>
      </c>
      <c r="G76" s="8" t="str">
        <f t="shared" si="2"/>
        <v>YANAI IAN</v>
      </c>
      <c r="H76" s="20" t="str">
        <f t="shared" si="3"/>
        <v>4013</v>
      </c>
    </row>
    <row r="77" spans="1:8" x14ac:dyDescent="0.25">
      <c r="A77" s="8">
        <v>43076.392557870371</v>
      </c>
      <c r="B77" s="20" t="s">
        <v>363</v>
      </c>
      <c r="C77" s="20" t="s">
        <v>780</v>
      </c>
      <c r="D77" s="137">
        <v>3680000</v>
      </c>
      <c r="E77" s="20" t="s">
        <v>496</v>
      </c>
      <c r="F77" s="20" t="s">
        <v>497</v>
      </c>
      <c r="G77" s="8" t="str">
        <f t="shared" si="2"/>
        <v>HAMMOND JUSTYNN</v>
      </c>
      <c r="H77" s="20" t="str">
        <f t="shared" si="3"/>
        <v>4036</v>
      </c>
    </row>
    <row r="78" spans="1:8" x14ac:dyDescent="0.25">
      <c r="A78" s="8">
        <v>43076.394467592596</v>
      </c>
      <c r="B78" s="20" t="s">
        <v>686</v>
      </c>
      <c r="C78" s="20" t="s">
        <v>781</v>
      </c>
      <c r="D78" s="137">
        <v>3000000</v>
      </c>
      <c r="E78" s="20" t="s">
        <v>524</v>
      </c>
      <c r="F78" s="20" t="s">
        <v>525</v>
      </c>
      <c r="G78" s="8" t="str">
        <f t="shared" si="2"/>
        <v>FORTUNATO FRANK</v>
      </c>
      <c r="H78" s="20" t="str">
        <f t="shared" si="3"/>
        <v>4023</v>
      </c>
    </row>
    <row r="79" spans="1:8" x14ac:dyDescent="0.25">
      <c r="A79" s="8">
        <v>43076.401064814818</v>
      </c>
      <c r="B79" s="20" t="s">
        <v>374</v>
      </c>
      <c r="C79" s="20" t="s">
        <v>782</v>
      </c>
      <c r="D79" s="137">
        <v>3260000</v>
      </c>
      <c r="E79" s="20" t="s">
        <v>717</v>
      </c>
      <c r="F79" s="20" t="s">
        <v>718</v>
      </c>
      <c r="G79" s="8" t="str">
        <f t="shared" si="2"/>
        <v>PAGE MARCUS</v>
      </c>
      <c r="H79" s="20" t="str">
        <f t="shared" si="3"/>
        <v>4022</v>
      </c>
    </row>
    <row r="80" spans="1:8" x14ac:dyDescent="0.25">
      <c r="A80" s="8">
        <v>43076.40587962963</v>
      </c>
      <c r="B80" s="20" t="s">
        <v>351</v>
      </c>
      <c r="C80" s="20" t="s">
        <v>783</v>
      </c>
      <c r="D80" s="137">
        <v>2010000</v>
      </c>
      <c r="E80" s="20" t="s">
        <v>709</v>
      </c>
      <c r="F80" s="20" t="s">
        <v>710</v>
      </c>
      <c r="G80" s="8" t="str">
        <f t="shared" si="2"/>
        <v>MAELZER KURT</v>
      </c>
      <c r="H80" s="20" t="str">
        <f t="shared" si="3"/>
        <v>4055</v>
      </c>
    </row>
    <row r="81" spans="1:8" x14ac:dyDescent="0.25">
      <c r="A81" s="8">
        <v>43076.412326388891</v>
      </c>
      <c r="B81" s="20" t="s">
        <v>683</v>
      </c>
      <c r="C81" s="20" t="s">
        <v>684</v>
      </c>
      <c r="D81" s="137">
        <v>2600000</v>
      </c>
      <c r="E81" s="20" t="s">
        <v>499</v>
      </c>
      <c r="F81" s="20" t="s">
        <v>411</v>
      </c>
      <c r="G81" s="8" t="str">
        <f t="shared" si="2"/>
        <v>DAVIDSON DAVID</v>
      </c>
      <c r="H81" s="20" t="str">
        <f t="shared" si="3"/>
        <v>4027</v>
      </c>
    </row>
    <row r="82" spans="1:8" x14ac:dyDescent="0.25">
      <c r="A82" s="8">
        <v>43076.413449074076</v>
      </c>
      <c r="B82" s="20" t="s">
        <v>465</v>
      </c>
      <c r="C82" s="20" t="s">
        <v>784</v>
      </c>
      <c r="D82" s="137">
        <v>3040000</v>
      </c>
      <c r="E82" s="20" t="s">
        <v>365</v>
      </c>
      <c r="F82" s="20" t="s">
        <v>420</v>
      </c>
      <c r="G82" s="8" t="str">
        <f t="shared" si="2"/>
        <v>WILLIAMS DONTE</v>
      </c>
      <c r="H82" s="20" t="str">
        <f t="shared" si="3"/>
        <v>4054</v>
      </c>
    </row>
    <row r="83" spans="1:8" x14ac:dyDescent="0.25">
      <c r="A83" s="8">
        <v>43076.416354166664</v>
      </c>
      <c r="B83" s="20" t="s">
        <v>681</v>
      </c>
      <c r="C83" s="20" t="s">
        <v>785</v>
      </c>
      <c r="D83" s="137">
        <v>3000000</v>
      </c>
      <c r="E83" s="20" t="s">
        <v>524</v>
      </c>
      <c r="F83" s="20" t="s">
        <v>525</v>
      </c>
      <c r="G83" s="8" t="str">
        <f t="shared" si="2"/>
        <v>FORTUNATO FRANK</v>
      </c>
      <c r="H83" s="20" t="str">
        <f t="shared" si="3"/>
        <v>4024</v>
      </c>
    </row>
    <row r="84" spans="1:8" x14ac:dyDescent="0.25">
      <c r="A84" s="8">
        <v>43076.421840277777</v>
      </c>
      <c r="B84" s="20" t="s">
        <v>523</v>
      </c>
      <c r="C84" s="20" t="s">
        <v>786</v>
      </c>
      <c r="D84" s="137">
        <v>2440000</v>
      </c>
      <c r="E84" s="20" t="s">
        <v>569</v>
      </c>
      <c r="F84" s="20" t="s">
        <v>570</v>
      </c>
      <c r="G84" s="8" t="str">
        <f t="shared" si="2"/>
        <v>LOPES KIMBERLY</v>
      </c>
      <c r="H84" s="20" t="str">
        <f t="shared" si="3"/>
        <v>4060</v>
      </c>
    </row>
    <row r="85" spans="1:8" x14ac:dyDescent="0.25">
      <c r="A85" s="8">
        <v>43076.432025462964</v>
      </c>
      <c r="B85" s="20" t="s">
        <v>426</v>
      </c>
      <c r="C85" s="20" t="s">
        <v>787</v>
      </c>
      <c r="D85" s="137">
        <v>3260000</v>
      </c>
      <c r="E85" s="20" t="s">
        <v>717</v>
      </c>
      <c r="F85" s="20" t="s">
        <v>718</v>
      </c>
      <c r="G85" s="8" t="str">
        <f t="shared" si="2"/>
        <v>PAGE MARCUS</v>
      </c>
      <c r="H85" s="20" t="str">
        <f t="shared" si="3"/>
        <v>4021</v>
      </c>
    </row>
    <row r="86" spans="1:8" x14ac:dyDescent="0.25">
      <c r="A86" s="8">
        <v>43076.433796296296</v>
      </c>
      <c r="B86" s="20" t="s">
        <v>364</v>
      </c>
      <c r="C86" s="20" t="s">
        <v>788</v>
      </c>
      <c r="D86" s="137">
        <v>3680000</v>
      </c>
      <c r="E86" s="20" t="s">
        <v>496</v>
      </c>
      <c r="F86" s="20" t="s">
        <v>497</v>
      </c>
      <c r="G86" s="8" t="str">
        <f t="shared" si="2"/>
        <v>HAMMOND JUSTYNN</v>
      </c>
      <c r="H86" s="20" t="str">
        <f t="shared" si="3"/>
        <v>4035</v>
      </c>
    </row>
    <row r="87" spans="1:8" x14ac:dyDescent="0.25">
      <c r="A87" s="8">
        <v>43076.434918981482</v>
      </c>
      <c r="B87" s="20" t="s">
        <v>686</v>
      </c>
      <c r="C87" s="20" t="s">
        <v>789</v>
      </c>
      <c r="D87" s="137">
        <v>3000000</v>
      </c>
      <c r="E87" s="20" t="s">
        <v>524</v>
      </c>
      <c r="F87" s="20" t="s">
        <v>525</v>
      </c>
      <c r="G87" s="8" t="str">
        <f t="shared" si="2"/>
        <v>FORTUNATO FRANK</v>
      </c>
      <c r="H87" s="20" t="str">
        <f t="shared" si="3"/>
        <v>4023</v>
      </c>
    </row>
    <row r="88" spans="1:8" x14ac:dyDescent="0.25">
      <c r="A88" s="8">
        <v>43076.436481481483</v>
      </c>
      <c r="B88" s="20" t="s">
        <v>729</v>
      </c>
      <c r="C88" s="20" t="s">
        <v>790</v>
      </c>
      <c r="D88" s="137">
        <v>1230000</v>
      </c>
      <c r="E88" s="20" t="s">
        <v>500</v>
      </c>
      <c r="F88" s="20" t="s">
        <v>501</v>
      </c>
      <c r="G88" s="8" t="str">
        <f t="shared" si="2"/>
        <v>YANAI IAN</v>
      </c>
      <c r="H88" s="20" t="str">
        <f t="shared" si="3"/>
        <v>4014</v>
      </c>
    </row>
    <row r="89" spans="1:8" x14ac:dyDescent="0.25">
      <c r="A89" s="8">
        <v>43076.4450462963</v>
      </c>
      <c r="B89" s="20" t="s">
        <v>413</v>
      </c>
      <c r="C89" s="20" t="s">
        <v>791</v>
      </c>
      <c r="D89" s="137">
        <v>2550000</v>
      </c>
      <c r="E89" s="20" t="s">
        <v>792</v>
      </c>
      <c r="F89" s="20" t="s">
        <v>793</v>
      </c>
      <c r="G89" s="8" t="str">
        <f t="shared" si="2"/>
        <v>BADERTSCHER DIANE</v>
      </c>
      <c r="H89" s="20" t="str">
        <f t="shared" si="3"/>
        <v>4056</v>
      </c>
    </row>
    <row r="90" spans="1:8" x14ac:dyDescent="0.25">
      <c r="A90" s="8">
        <v>43076.45207175926</v>
      </c>
      <c r="B90" s="20" t="s">
        <v>720</v>
      </c>
      <c r="C90" s="20" t="s">
        <v>794</v>
      </c>
      <c r="D90" s="137">
        <v>3040000</v>
      </c>
      <c r="E90" s="20" t="s">
        <v>365</v>
      </c>
      <c r="F90" s="20" t="s">
        <v>420</v>
      </c>
      <c r="G90" s="8" t="str">
        <f t="shared" si="2"/>
        <v>WILLIAMS DONTE</v>
      </c>
      <c r="H90" s="20" t="str">
        <f t="shared" si="3"/>
        <v>4053</v>
      </c>
    </row>
    <row r="91" spans="1:8" x14ac:dyDescent="0.25">
      <c r="A91" s="8">
        <v>43076.454328703701</v>
      </c>
      <c r="B91" s="20" t="s">
        <v>696</v>
      </c>
      <c r="C91" s="20" t="s">
        <v>795</v>
      </c>
      <c r="D91" s="137">
        <v>2600000</v>
      </c>
      <c r="E91" s="20" t="s">
        <v>499</v>
      </c>
      <c r="F91" s="20" t="s">
        <v>411</v>
      </c>
      <c r="G91" s="8" t="str">
        <f t="shared" si="2"/>
        <v>DAVIDSON DAVID</v>
      </c>
      <c r="H91" s="20" t="str">
        <f t="shared" si="3"/>
        <v>4028</v>
      </c>
    </row>
    <row r="92" spans="1:8" x14ac:dyDescent="0.25">
      <c r="A92" s="8">
        <v>43076.456990740742</v>
      </c>
      <c r="B92" s="20" t="s">
        <v>681</v>
      </c>
      <c r="C92" s="20" t="s">
        <v>796</v>
      </c>
      <c r="D92" s="137">
        <v>3000000</v>
      </c>
      <c r="E92" s="20" t="s">
        <v>524</v>
      </c>
      <c r="F92" s="20" t="s">
        <v>525</v>
      </c>
      <c r="G92" s="8" t="str">
        <f t="shared" si="2"/>
        <v>FORTUNATO FRANK</v>
      </c>
      <c r="H92" s="20" t="str">
        <f t="shared" si="3"/>
        <v>4024</v>
      </c>
    </row>
    <row r="93" spans="1:8" x14ac:dyDescent="0.25">
      <c r="A93" s="8">
        <v>43076.463923611111</v>
      </c>
      <c r="B93" s="20" t="s">
        <v>714</v>
      </c>
      <c r="C93" s="20" t="s">
        <v>797</v>
      </c>
      <c r="D93" s="137">
        <v>2440000</v>
      </c>
      <c r="E93" s="20" t="s">
        <v>569</v>
      </c>
      <c r="F93" s="20" t="s">
        <v>570</v>
      </c>
      <c r="G93" s="8" t="str">
        <f t="shared" si="2"/>
        <v>LOPES KIMBERLY</v>
      </c>
      <c r="H93" s="20" t="str">
        <f t="shared" si="3"/>
        <v>4059</v>
      </c>
    </row>
    <row r="94" spans="1:8" x14ac:dyDescent="0.25">
      <c r="A94" s="8">
        <v>43076.465798611112</v>
      </c>
      <c r="B94" s="20" t="s">
        <v>724</v>
      </c>
      <c r="C94" s="20" t="s">
        <v>798</v>
      </c>
      <c r="D94" s="137">
        <v>1230000</v>
      </c>
      <c r="E94" s="20" t="s">
        <v>500</v>
      </c>
      <c r="F94" s="20" t="s">
        <v>501</v>
      </c>
      <c r="G94" s="8" t="str">
        <f t="shared" si="2"/>
        <v>YANAI IAN</v>
      </c>
      <c r="H94" s="20" t="str">
        <f t="shared" si="3"/>
        <v>4013</v>
      </c>
    </row>
    <row r="95" spans="1:8" x14ac:dyDescent="0.25">
      <c r="A95" s="8">
        <v>43076.46670138889</v>
      </c>
      <c r="B95" s="20" t="s">
        <v>363</v>
      </c>
      <c r="C95" s="20" t="s">
        <v>799</v>
      </c>
      <c r="D95" s="137">
        <v>1770000</v>
      </c>
      <c r="E95" s="20" t="s">
        <v>526</v>
      </c>
      <c r="F95" s="20" t="s">
        <v>527</v>
      </c>
      <c r="G95" s="8" t="str">
        <f t="shared" si="2"/>
        <v>BRUDER RICHARD</v>
      </c>
      <c r="H95" s="20" t="str">
        <f t="shared" si="3"/>
        <v>4036</v>
      </c>
    </row>
    <row r="96" spans="1:8" x14ac:dyDescent="0.25">
      <c r="A96" s="8">
        <v>43076.475787037038</v>
      </c>
      <c r="B96" s="20" t="s">
        <v>374</v>
      </c>
      <c r="C96" s="20" t="s">
        <v>800</v>
      </c>
      <c r="D96" s="137">
        <v>880000</v>
      </c>
      <c r="E96" s="20" t="s">
        <v>414</v>
      </c>
      <c r="F96" s="20" t="s">
        <v>352</v>
      </c>
      <c r="G96" s="8" t="str">
        <f t="shared" si="2"/>
        <v>STEWART MICHAEL</v>
      </c>
      <c r="H96" s="20" t="str">
        <f t="shared" si="3"/>
        <v>4022</v>
      </c>
    </row>
    <row r="97" spans="1:8" x14ac:dyDescent="0.25">
      <c r="A97" s="8">
        <v>43076.476493055554</v>
      </c>
      <c r="B97" s="20" t="s">
        <v>686</v>
      </c>
      <c r="C97" s="20" t="s">
        <v>801</v>
      </c>
      <c r="D97" s="137">
        <v>3000000</v>
      </c>
      <c r="E97" s="20" t="s">
        <v>524</v>
      </c>
      <c r="F97" s="20" t="s">
        <v>525</v>
      </c>
      <c r="G97" s="8" t="str">
        <f t="shared" si="2"/>
        <v>FORTUNATO FRANK</v>
      </c>
      <c r="H97" s="20" t="str">
        <f t="shared" si="3"/>
        <v>4023</v>
      </c>
    </row>
    <row r="98" spans="1:8" x14ac:dyDescent="0.25">
      <c r="A98" s="8">
        <v>43076.484525462962</v>
      </c>
      <c r="B98" s="20" t="s">
        <v>351</v>
      </c>
      <c r="C98" s="20" t="s">
        <v>685</v>
      </c>
      <c r="D98" s="137">
        <v>2550000</v>
      </c>
      <c r="E98" s="20" t="s">
        <v>792</v>
      </c>
      <c r="F98" s="20" t="s">
        <v>793</v>
      </c>
      <c r="G98" s="8" t="str">
        <f t="shared" si="2"/>
        <v>BADERTSCHER DIANE</v>
      </c>
      <c r="H98" s="20" t="str">
        <f t="shared" si="3"/>
        <v>4055</v>
      </c>
    </row>
    <row r="99" spans="1:8" x14ac:dyDescent="0.25">
      <c r="A99" s="8">
        <v>43076.485821759263</v>
      </c>
      <c r="B99" s="20" t="s">
        <v>465</v>
      </c>
      <c r="C99" s="20" t="s">
        <v>802</v>
      </c>
      <c r="D99" s="137">
        <v>1300000</v>
      </c>
      <c r="E99" s="20" t="s">
        <v>505</v>
      </c>
      <c r="F99" s="20" t="s">
        <v>506</v>
      </c>
      <c r="G99" s="8" t="str">
        <f t="shared" si="2"/>
        <v>LEVIN SCOTT</v>
      </c>
      <c r="H99" s="20" t="str">
        <f t="shared" si="3"/>
        <v>4054</v>
      </c>
    </row>
    <row r="100" spans="1:8" x14ac:dyDescent="0.25">
      <c r="A100" s="8">
        <v>43076.485844907409</v>
      </c>
      <c r="B100" s="20" t="s">
        <v>683</v>
      </c>
      <c r="C100" s="20" t="s">
        <v>803</v>
      </c>
      <c r="D100" s="137">
        <v>2600000</v>
      </c>
      <c r="E100" s="20" t="s">
        <v>499</v>
      </c>
      <c r="F100" s="20" t="s">
        <v>411</v>
      </c>
      <c r="G100" s="8" t="str">
        <f t="shared" si="2"/>
        <v>DAVIDSON DAVID</v>
      </c>
      <c r="H100" s="20" t="str">
        <f t="shared" si="3"/>
        <v>4027</v>
      </c>
    </row>
    <row r="101" spans="1:8" x14ac:dyDescent="0.25">
      <c r="A101" s="8">
        <v>43076.496817129628</v>
      </c>
      <c r="B101" s="20" t="s">
        <v>523</v>
      </c>
      <c r="C101" s="20" t="s">
        <v>804</v>
      </c>
      <c r="D101" s="137">
        <v>2140000</v>
      </c>
      <c r="E101" s="20" t="s">
        <v>805</v>
      </c>
      <c r="F101" s="20" t="s">
        <v>806</v>
      </c>
      <c r="G101" s="8" t="str">
        <f t="shared" si="2"/>
        <v>ROBINSON KADDIBA</v>
      </c>
      <c r="H101" s="20" t="str">
        <f t="shared" si="3"/>
        <v>4060</v>
      </c>
    </row>
    <row r="102" spans="1:8" x14ac:dyDescent="0.25">
      <c r="A102" s="8">
        <v>43076.498090277775</v>
      </c>
      <c r="B102" s="20" t="s">
        <v>681</v>
      </c>
      <c r="C102" s="20" t="s">
        <v>807</v>
      </c>
      <c r="D102" s="137">
        <v>3000000</v>
      </c>
      <c r="E102" s="20" t="s">
        <v>524</v>
      </c>
      <c r="F102" s="20" t="s">
        <v>525</v>
      </c>
      <c r="G102" s="8" t="str">
        <f t="shared" si="2"/>
        <v>FORTUNATO FRANK</v>
      </c>
      <c r="H102" s="20" t="str">
        <f t="shared" si="3"/>
        <v>4024</v>
      </c>
    </row>
    <row r="103" spans="1:8" x14ac:dyDescent="0.25">
      <c r="A103" s="8">
        <v>43076.506284722222</v>
      </c>
      <c r="B103" s="20" t="s">
        <v>364</v>
      </c>
      <c r="C103" s="20" t="s">
        <v>808</v>
      </c>
      <c r="D103" s="137">
        <v>1770000</v>
      </c>
      <c r="E103" s="20" t="s">
        <v>526</v>
      </c>
      <c r="F103" s="20" t="s">
        <v>527</v>
      </c>
      <c r="G103" s="8" t="str">
        <f t="shared" si="2"/>
        <v>BRUDER RICHARD</v>
      </c>
      <c r="H103" s="20" t="str">
        <f t="shared" si="3"/>
        <v>4035</v>
      </c>
    </row>
    <row r="104" spans="1:8" x14ac:dyDescent="0.25">
      <c r="A104" s="8">
        <v>43076.506874999999</v>
      </c>
      <c r="B104" s="20" t="s">
        <v>729</v>
      </c>
      <c r="C104" s="20" t="s">
        <v>809</v>
      </c>
      <c r="D104" s="137">
        <v>1180000</v>
      </c>
      <c r="E104" s="20" t="s">
        <v>573</v>
      </c>
      <c r="F104" s="20" t="s">
        <v>574</v>
      </c>
      <c r="G104" s="8" t="str">
        <f t="shared" si="2"/>
        <v>LEVERE CRAIG</v>
      </c>
      <c r="H104" s="20" t="str">
        <f t="shared" si="3"/>
        <v>4014</v>
      </c>
    </row>
    <row r="105" spans="1:8" x14ac:dyDescent="0.25">
      <c r="A105" s="8">
        <v>43076.5158912037</v>
      </c>
      <c r="B105" s="20" t="s">
        <v>426</v>
      </c>
      <c r="C105" s="20" t="s">
        <v>810</v>
      </c>
      <c r="D105" s="137">
        <v>880000</v>
      </c>
      <c r="E105" s="20" t="s">
        <v>414</v>
      </c>
      <c r="F105" s="20" t="s">
        <v>352</v>
      </c>
      <c r="G105" s="8" t="str">
        <f t="shared" si="2"/>
        <v>STEWART MICHAEL</v>
      </c>
      <c r="H105" s="20" t="str">
        <f t="shared" si="3"/>
        <v>4021</v>
      </c>
    </row>
    <row r="106" spans="1:8" x14ac:dyDescent="0.25">
      <c r="A106" s="8">
        <v>43076.517812500002</v>
      </c>
      <c r="B106" s="20" t="s">
        <v>413</v>
      </c>
      <c r="C106" s="20" t="s">
        <v>811</v>
      </c>
      <c r="D106" s="137">
        <v>2550000</v>
      </c>
      <c r="E106" s="20" t="s">
        <v>792</v>
      </c>
      <c r="F106" s="20" t="s">
        <v>793</v>
      </c>
      <c r="G106" s="8" t="str">
        <f t="shared" si="2"/>
        <v>BADERTSCHER DIANE</v>
      </c>
      <c r="H106" s="20" t="str">
        <f t="shared" si="3"/>
        <v>4056</v>
      </c>
    </row>
    <row r="107" spans="1:8" x14ac:dyDescent="0.25">
      <c r="A107" s="8">
        <v>43076.518229166664</v>
      </c>
      <c r="B107" s="20" t="s">
        <v>686</v>
      </c>
      <c r="C107" s="20" t="s">
        <v>687</v>
      </c>
      <c r="D107" s="137">
        <v>3000000</v>
      </c>
      <c r="E107" s="20" t="s">
        <v>524</v>
      </c>
      <c r="F107" s="20" t="s">
        <v>525</v>
      </c>
      <c r="G107" s="8" t="str">
        <f t="shared" si="2"/>
        <v>FORTUNATO FRANK</v>
      </c>
      <c r="H107" s="20" t="str">
        <f t="shared" si="3"/>
        <v>4023</v>
      </c>
    </row>
    <row r="108" spans="1:8" x14ac:dyDescent="0.25">
      <c r="A108" s="8">
        <v>43076.525196759256</v>
      </c>
      <c r="B108" s="20" t="s">
        <v>720</v>
      </c>
      <c r="C108" s="20" t="s">
        <v>812</v>
      </c>
      <c r="D108" s="137">
        <v>1300000</v>
      </c>
      <c r="E108" s="20" t="s">
        <v>505</v>
      </c>
      <c r="F108" s="20" t="s">
        <v>506</v>
      </c>
      <c r="G108" s="8" t="str">
        <f t="shared" si="2"/>
        <v>LEVIN SCOTT</v>
      </c>
      <c r="H108" s="20" t="str">
        <f t="shared" si="3"/>
        <v>4053</v>
      </c>
    </row>
    <row r="109" spans="1:8" x14ac:dyDescent="0.25">
      <c r="A109" s="8">
        <v>43076.530057870368</v>
      </c>
      <c r="B109" s="20" t="s">
        <v>696</v>
      </c>
      <c r="C109" s="20" t="s">
        <v>813</v>
      </c>
      <c r="D109" s="137">
        <v>3840000</v>
      </c>
      <c r="E109" s="20" t="s">
        <v>503</v>
      </c>
      <c r="F109" s="20" t="s">
        <v>504</v>
      </c>
      <c r="G109" s="8" t="str">
        <f t="shared" si="2"/>
        <v>LONG FULLER</v>
      </c>
      <c r="H109" s="20" t="str">
        <f t="shared" si="3"/>
        <v>4028</v>
      </c>
    </row>
    <row r="110" spans="1:8" x14ac:dyDescent="0.25">
      <c r="A110" s="8">
        <v>43076.530949074076</v>
      </c>
      <c r="B110" s="20" t="s">
        <v>714</v>
      </c>
      <c r="C110" s="20" t="s">
        <v>814</v>
      </c>
      <c r="D110" s="137">
        <v>2140000</v>
      </c>
      <c r="E110" s="20" t="s">
        <v>805</v>
      </c>
      <c r="F110" s="20" t="s">
        <v>806</v>
      </c>
      <c r="G110" s="8" t="str">
        <f t="shared" si="2"/>
        <v>ROBINSON KADDIBA</v>
      </c>
      <c r="H110" s="20" t="str">
        <f t="shared" si="3"/>
        <v>4059</v>
      </c>
    </row>
    <row r="111" spans="1:8" x14ac:dyDescent="0.25">
      <c r="A111" s="8">
        <v>43076.539120370369</v>
      </c>
      <c r="B111" s="20" t="s">
        <v>363</v>
      </c>
      <c r="C111" s="20" t="s">
        <v>815</v>
      </c>
      <c r="D111" s="137">
        <v>1770000</v>
      </c>
      <c r="E111" s="20" t="s">
        <v>526</v>
      </c>
      <c r="F111" s="20" t="s">
        <v>527</v>
      </c>
      <c r="G111" s="8" t="str">
        <f t="shared" si="2"/>
        <v>BRUDER RICHARD</v>
      </c>
      <c r="H111" s="20" t="str">
        <f t="shared" si="3"/>
        <v>4036</v>
      </c>
    </row>
    <row r="112" spans="1:8" x14ac:dyDescent="0.25">
      <c r="A112" s="8">
        <v>43076.542083333334</v>
      </c>
      <c r="B112" s="20" t="s">
        <v>681</v>
      </c>
      <c r="C112" s="20" t="s">
        <v>816</v>
      </c>
      <c r="D112" s="137">
        <v>2000000</v>
      </c>
      <c r="E112" s="20" t="s">
        <v>380</v>
      </c>
      <c r="F112" s="20" t="s">
        <v>381</v>
      </c>
      <c r="G112" s="8" t="str">
        <f t="shared" si="2"/>
        <v>STAMBAUGH JAMES</v>
      </c>
      <c r="H112" s="20" t="str">
        <f t="shared" si="3"/>
        <v>4024</v>
      </c>
    </row>
    <row r="113" spans="1:8" x14ac:dyDescent="0.25">
      <c r="A113" s="8">
        <v>43076.543703703705</v>
      </c>
      <c r="B113" s="20" t="s">
        <v>724</v>
      </c>
      <c r="C113" s="20" t="s">
        <v>817</v>
      </c>
      <c r="D113" s="137">
        <v>1180000</v>
      </c>
      <c r="E113" s="20" t="s">
        <v>573</v>
      </c>
      <c r="F113" s="20" t="s">
        <v>574</v>
      </c>
      <c r="G113" s="8" t="str">
        <f t="shared" si="2"/>
        <v>LEVERE CRAIG</v>
      </c>
      <c r="H113" s="20" t="str">
        <f t="shared" si="3"/>
        <v>4013</v>
      </c>
    </row>
    <row r="114" spans="1:8" x14ac:dyDescent="0.25">
      <c r="A114" s="8">
        <v>43076.547696759262</v>
      </c>
      <c r="B114" s="20" t="s">
        <v>374</v>
      </c>
      <c r="C114" s="20" t="s">
        <v>818</v>
      </c>
      <c r="D114" s="137">
        <v>880000</v>
      </c>
      <c r="E114" s="20" t="s">
        <v>414</v>
      </c>
      <c r="F114" s="20" t="s">
        <v>352</v>
      </c>
      <c r="G114" s="8" t="str">
        <f t="shared" si="2"/>
        <v>STEWART MICHAEL</v>
      </c>
      <c r="H114" s="20" t="str">
        <f t="shared" si="3"/>
        <v>4022</v>
      </c>
    </row>
    <row r="115" spans="1:8" x14ac:dyDescent="0.25">
      <c r="A115" s="8">
        <v>43076.553796296299</v>
      </c>
      <c r="B115" s="20" t="s">
        <v>447</v>
      </c>
      <c r="C115" s="20" t="s">
        <v>818</v>
      </c>
      <c r="D115" s="137">
        <v>1810000</v>
      </c>
      <c r="E115" s="20" t="s">
        <v>530</v>
      </c>
      <c r="F115" s="20" t="s">
        <v>381</v>
      </c>
      <c r="G115" s="8" t="str">
        <f t="shared" si="2"/>
        <v>NEWELL JAMES</v>
      </c>
      <c r="H115" s="20" t="str">
        <f t="shared" si="3"/>
        <v>4058</v>
      </c>
    </row>
    <row r="116" spans="1:8" x14ac:dyDescent="0.25">
      <c r="A116" s="8">
        <v>43076.556018518517</v>
      </c>
      <c r="B116" s="20" t="s">
        <v>351</v>
      </c>
      <c r="C116" s="20" t="s">
        <v>690</v>
      </c>
      <c r="D116" s="137">
        <v>2550000</v>
      </c>
      <c r="E116" s="20" t="s">
        <v>792</v>
      </c>
      <c r="F116" s="20" t="s">
        <v>793</v>
      </c>
      <c r="G116" s="8" t="str">
        <f t="shared" si="2"/>
        <v>BADERTSCHER DIANE</v>
      </c>
      <c r="H116" s="20" t="str">
        <f t="shared" si="3"/>
        <v>4055</v>
      </c>
    </row>
    <row r="117" spans="1:8" x14ac:dyDescent="0.25">
      <c r="A117" s="8">
        <v>43076.560520833336</v>
      </c>
      <c r="B117" s="20" t="s">
        <v>465</v>
      </c>
      <c r="C117" s="20" t="s">
        <v>819</v>
      </c>
      <c r="D117" s="137">
        <v>1300000</v>
      </c>
      <c r="E117" s="20" t="s">
        <v>505</v>
      </c>
      <c r="F117" s="20" t="s">
        <v>506</v>
      </c>
      <c r="G117" s="8" t="str">
        <f t="shared" si="2"/>
        <v>LEVIN SCOTT</v>
      </c>
      <c r="H117" s="20" t="str">
        <f t="shared" si="3"/>
        <v>4054</v>
      </c>
    </row>
    <row r="118" spans="1:8" x14ac:dyDescent="0.25">
      <c r="A118" s="8">
        <v>43076.561215277776</v>
      </c>
      <c r="B118" s="20" t="s">
        <v>686</v>
      </c>
      <c r="C118" s="20" t="s">
        <v>820</v>
      </c>
      <c r="D118" s="137">
        <v>2000000</v>
      </c>
      <c r="E118" s="20" t="s">
        <v>380</v>
      </c>
      <c r="F118" s="20" t="s">
        <v>381</v>
      </c>
      <c r="G118" s="8" t="str">
        <f t="shared" si="2"/>
        <v>STAMBAUGH JAMES</v>
      </c>
      <c r="H118" s="20" t="str">
        <f t="shared" si="3"/>
        <v>4023</v>
      </c>
    </row>
    <row r="119" spans="1:8" x14ac:dyDescent="0.25">
      <c r="A119" s="8">
        <v>43076.561851851853</v>
      </c>
      <c r="B119" s="20" t="s">
        <v>683</v>
      </c>
      <c r="C119" s="20" t="s">
        <v>821</v>
      </c>
      <c r="D119" s="137">
        <v>3840000</v>
      </c>
      <c r="E119" s="20" t="s">
        <v>503</v>
      </c>
      <c r="F119" s="20" t="s">
        <v>504</v>
      </c>
      <c r="G119" s="8" t="str">
        <f t="shared" si="2"/>
        <v>LONG FULLER</v>
      </c>
      <c r="H119" s="20" t="str">
        <f t="shared" si="3"/>
        <v>4027</v>
      </c>
    </row>
    <row r="120" spans="1:8" x14ac:dyDescent="0.25">
      <c r="A120" s="8">
        <v>43076.569085648145</v>
      </c>
      <c r="B120" s="20" t="s">
        <v>523</v>
      </c>
      <c r="C120" s="20" t="s">
        <v>691</v>
      </c>
      <c r="D120" s="137">
        <v>2140000</v>
      </c>
      <c r="E120" s="20" t="s">
        <v>805</v>
      </c>
      <c r="F120" s="20" t="s">
        <v>806</v>
      </c>
      <c r="G120" s="8" t="str">
        <f t="shared" si="2"/>
        <v>ROBINSON KADDIBA</v>
      </c>
      <c r="H120" s="20" t="str">
        <f t="shared" si="3"/>
        <v>4060</v>
      </c>
    </row>
    <row r="121" spans="1:8" x14ac:dyDescent="0.25">
      <c r="A121" s="8">
        <v>43076.575127314813</v>
      </c>
      <c r="B121" s="20" t="s">
        <v>374</v>
      </c>
      <c r="C121" s="20" t="s">
        <v>822</v>
      </c>
      <c r="D121" s="137">
        <v>1780000</v>
      </c>
      <c r="E121" s="20" t="s">
        <v>528</v>
      </c>
      <c r="F121" s="20" t="s">
        <v>529</v>
      </c>
      <c r="G121" s="8" t="str">
        <f t="shared" si="2"/>
        <v>DE LA ROSA ALEX</v>
      </c>
      <c r="H121" s="20" t="str">
        <f t="shared" si="3"/>
        <v>4022</v>
      </c>
    </row>
    <row r="122" spans="1:8" x14ac:dyDescent="0.25">
      <c r="A122" s="8">
        <v>43076.578379629631</v>
      </c>
      <c r="B122" s="25" t="s">
        <v>426</v>
      </c>
      <c r="C122" s="20" t="s">
        <v>822</v>
      </c>
      <c r="D122" s="137">
        <v>1780000</v>
      </c>
      <c r="E122" s="20" t="s">
        <v>528</v>
      </c>
      <c r="F122" s="20" t="s">
        <v>529</v>
      </c>
      <c r="G122" s="8" t="str">
        <f t="shared" si="2"/>
        <v>DE LA ROSA ALEX</v>
      </c>
      <c r="H122" s="20" t="str">
        <f t="shared" si="3"/>
        <v>4021</v>
      </c>
    </row>
    <row r="123" spans="1:8" x14ac:dyDescent="0.25">
      <c r="A123" s="8">
        <v>43076.578784722224</v>
      </c>
      <c r="B123" s="20" t="s">
        <v>364</v>
      </c>
      <c r="C123" s="20" t="s">
        <v>823</v>
      </c>
      <c r="D123" s="137">
        <v>1770000</v>
      </c>
      <c r="E123" s="20" t="s">
        <v>526</v>
      </c>
      <c r="F123" s="20" t="s">
        <v>527</v>
      </c>
      <c r="G123" s="8" t="str">
        <f t="shared" si="2"/>
        <v>BRUDER RICHARD</v>
      </c>
      <c r="H123" s="20" t="str">
        <f t="shared" si="3"/>
        <v>4035</v>
      </c>
    </row>
    <row r="124" spans="1:8" x14ac:dyDescent="0.25">
      <c r="A124" s="8">
        <v>43076.580543981479</v>
      </c>
      <c r="B124" s="20" t="s">
        <v>729</v>
      </c>
      <c r="C124" s="20" t="s">
        <v>824</v>
      </c>
      <c r="D124" s="137">
        <v>1180000</v>
      </c>
      <c r="E124" s="20" t="s">
        <v>573</v>
      </c>
      <c r="F124" s="20" t="s">
        <v>574</v>
      </c>
      <c r="G124" s="8" t="str">
        <f t="shared" si="2"/>
        <v>LEVERE CRAIG</v>
      </c>
      <c r="H124" s="20" t="str">
        <f t="shared" si="3"/>
        <v>4014</v>
      </c>
    </row>
    <row r="125" spans="1:8" x14ac:dyDescent="0.25">
      <c r="A125" s="8">
        <v>43076.58730324074</v>
      </c>
      <c r="B125" s="20" t="s">
        <v>681</v>
      </c>
      <c r="C125" s="20" t="s">
        <v>825</v>
      </c>
      <c r="D125" s="137">
        <v>2000000</v>
      </c>
      <c r="E125" s="20" t="s">
        <v>380</v>
      </c>
      <c r="F125" s="20" t="s">
        <v>381</v>
      </c>
      <c r="G125" s="8" t="str">
        <f t="shared" si="2"/>
        <v>STAMBAUGH JAMES</v>
      </c>
      <c r="H125" s="20" t="str">
        <f t="shared" si="3"/>
        <v>4024</v>
      </c>
    </row>
    <row r="126" spans="1:8" x14ac:dyDescent="0.25">
      <c r="A126" s="8">
        <v>43076.58866898148</v>
      </c>
      <c r="B126" s="20" t="s">
        <v>498</v>
      </c>
      <c r="C126" s="20" t="s">
        <v>826</v>
      </c>
      <c r="D126" s="137">
        <v>1810000</v>
      </c>
      <c r="E126" s="20" t="s">
        <v>530</v>
      </c>
      <c r="F126" s="20" t="s">
        <v>381</v>
      </c>
      <c r="G126" s="8" t="str">
        <f t="shared" si="2"/>
        <v>NEWELL JAMES</v>
      </c>
      <c r="H126" s="20" t="str">
        <f t="shared" si="3"/>
        <v>4057</v>
      </c>
    </row>
    <row r="127" spans="1:8" x14ac:dyDescent="0.25">
      <c r="A127" s="8">
        <v>43076.591226851851</v>
      </c>
      <c r="B127" s="20" t="s">
        <v>413</v>
      </c>
      <c r="C127" s="20" t="s">
        <v>692</v>
      </c>
      <c r="D127" s="137">
        <v>2550000</v>
      </c>
      <c r="E127" s="20" t="s">
        <v>792</v>
      </c>
      <c r="F127" s="20" t="s">
        <v>793</v>
      </c>
      <c r="G127" s="8" t="str">
        <f t="shared" si="2"/>
        <v>BADERTSCHER DIANE</v>
      </c>
      <c r="H127" s="20" t="str">
        <f t="shared" si="3"/>
        <v>4056</v>
      </c>
    </row>
    <row r="128" spans="1:8" x14ac:dyDescent="0.25">
      <c r="A128" s="8">
        <v>43076.592638888891</v>
      </c>
      <c r="B128" s="20" t="s">
        <v>720</v>
      </c>
      <c r="C128" s="20" t="s">
        <v>827</v>
      </c>
      <c r="D128" s="137">
        <v>1300000</v>
      </c>
      <c r="E128" s="20" t="s">
        <v>505</v>
      </c>
      <c r="F128" s="20" t="s">
        <v>506</v>
      </c>
      <c r="G128" s="8" t="str">
        <f t="shared" si="2"/>
        <v>LEVIN SCOTT</v>
      </c>
      <c r="H128" s="20" t="str">
        <f t="shared" si="3"/>
        <v>4053</v>
      </c>
    </row>
    <row r="129" spans="1:8" x14ac:dyDescent="0.25">
      <c r="A129" s="8">
        <v>43076.600462962961</v>
      </c>
      <c r="B129" s="20" t="s">
        <v>686</v>
      </c>
      <c r="C129" s="20" t="s">
        <v>828</v>
      </c>
      <c r="D129" s="137">
        <v>2000000</v>
      </c>
      <c r="E129" s="20" t="s">
        <v>380</v>
      </c>
      <c r="F129" s="20" t="s">
        <v>381</v>
      </c>
      <c r="G129" s="8" t="str">
        <f t="shared" si="2"/>
        <v>STAMBAUGH JAMES</v>
      </c>
      <c r="H129" s="20" t="str">
        <f t="shared" si="3"/>
        <v>4023</v>
      </c>
    </row>
    <row r="130" spans="1:8" x14ac:dyDescent="0.25">
      <c r="A130" s="8">
        <v>43076.600648148145</v>
      </c>
      <c r="B130" s="20" t="s">
        <v>696</v>
      </c>
      <c r="C130" s="20" t="s">
        <v>829</v>
      </c>
      <c r="D130" s="137">
        <v>3840000</v>
      </c>
      <c r="E130" s="20" t="s">
        <v>503</v>
      </c>
      <c r="F130" s="20" t="s">
        <v>504</v>
      </c>
      <c r="G130" s="8" t="str">
        <f t="shared" si="2"/>
        <v>LONG FULLER</v>
      </c>
      <c r="H130" s="20" t="str">
        <f t="shared" si="3"/>
        <v>4028</v>
      </c>
    </row>
    <row r="131" spans="1:8" x14ac:dyDescent="0.25">
      <c r="A131" s="8">
        <v>43076.606122685182</v>
      </c>
      <c r="B131" s="20" t="s">
        <v>714</v>
      </c>
      <c r="C131" s="20" t="s">
        <v>830</v>
      </c>
      <c r="D131" s="137">
        <v>2140000</v>
      </c>
      <c r="E131" s="20" t="s">
        <v>805</v>
      </c>
      <c r="F131" s="20" t="s">
        <v>806</v>
      </c>
      <c r="G131" s="8" t="str">
        <f t="shared" ref="G131:G194" si="4">E131&amp;" "&amp;F131</f>
        <v>ROBINSON KADDIBA</v>
      </c>
      <c r="H131" s="20" t="str">
        <f t="shared" ref="H131:H194" si="5">MID(B131,13,4)</f>
        <v>4059</v>
      </c>
    </row>
    <row r="132" spans="1:8" x14ac:dyDescent="0.25">
      <c r="A132" s="8">
        <v>43076.611793981479</v>
      </c>
      <c r="B132" s="20" t="s">
        <v>363</v>
      </c>
      <c r="C132" s="20" t="s">
        <v>831</v>
      </c>
      <c r="D132" s="137">
        <v>1770000</v>
      </c>
      <c r="E132" s="20" t="s">
        <v>526</v>
      </c>
      <c r="F132" s="20" t="s">
        <v>527</v>
      </c>
      <c r="G132" s="8" t="str">
        <f t="shared" si="4"/>
        <v>BRUDER RICHARD</v>
      </c>
      <c r="H132" s="20" t="str">
        <f t="shared" si="5"/>
        <v>4036</v>
      </c>
    </row>
    <row r="133" spans="1:8" x14ac:dyDescent="0.25">
      <c r="A133" s="8">
        <v>43076.616932870369</v>
      </c>
      <c r="B133" s="20" t="s">
        <v>724</v>
      </c>
      <c r="C133" s="20" t="s">
        <v>832</v>
      </c>
      <c r="D133" s="137">
        <v>1180000</v>
      </c>
      <c r="E133" s="20" t="s">
        <v>573</v>
      </c>
      <c r="F133" s="20" t="s">
        <v>574</v>
      </c>
      <c r="G133" s="8" t="str">
        <f t="shared" si="4"/>
        <v>LEVERE CRAIG</v>
      </c>
      <c r="H133" s="20" t="str">
        <f t="shared" si="5"/>
        <v>4013</v>
      </c>
    </row>
    <row r="134" spans="1:8" x14ac:dyDescent="0.25">
      <c r="A134" s="8">
        <v>43076.620173611111</v>
      </c>
      <c r="B134" s="20" t="s">
        <v>447</v>
      </c>
      <c r="C134" s="20" t="s">
        <v>833</v>
      </c>
      <c r="D134" s="137">
        <v>880000</v>
      </c>
      <c r="E134" s="20" t="s">
        <v>414</v>
      </c>
      <c r="F134" s="20" t="s">
        <v>352</v>
      </c>
      <c r="G134" s="8" t="str">
        <f t="shared" si="4"/>
        <v>STEWART MICHAEL</v>
      </c>
      <c r="H134" s="20" t="str">
        <f t="shared" si="5"/>
        <v>4058</v>
      </c>
    </row>
    <row r="135" spans="1:8" x14ac:dyDescent="0.25">
      <c r="A135" s="8">
        <v>43076.627997685187</v>
      </c>
      <c r="B135" s="20" t="s">
        <v>681</v>
      </c>
      <c r="C135" s="20" t="s">
        <v>834</v>
      </c>
      <c r="D135" s="137">
        <v>2000000</v>
      </c>
      <c r="E135" s="20" t="s">
        <v>380</v>
      </c>
      <c r="F135" s="20" t="s">
        <v>381</v>
      </c>
      <c r="G135" s="8" t="str">
        <f t="shared" si="4"/>
        <v>STAMBAUGH JAMES</v>
      </c>
      <c r="H135" s="20" t="str">
        <f t="shared" si="5"/>
        <v>4024</v>
      </c>
    </row>
    <row r="136" spans="1:8" x14ac:dyDescent="0.25">
      <c r="A136" s="8">
        <v>43076.628009259257</v>
      </c>
      <c r="B136" s="20" t="s">
        <v>351</v>
      </c>
      <c r="C136" s="20" t="s">
        <v>835</v>
      </c>
      <c r="D136" s="137">
        <v>2550000</v>
      </c>
      <c r="E136" s="20" t="s">
        <v>792</v>
      </c>
      <c r="F136" s="20" t="s">
        <v>793</v>
      </c>
      <c r="G136" s="8" t="str">
        <f t="shared" si="4"/>
        <v>BADERTSCHER DIANE</v>
      </c>
      <c r="H136" s="20" t="str">
        <f t="shared" si="5"/>
        <v>4055</v>
      </c>
    </row>
    <row r="137" spans="1:8" x14ac:dyDescent="0.25">
      <c r="A137" s="8">
        <v>43076.629664351851</v>
      </c>
      <c r="B137" s="20" t="s">
        <v>424</v>
      </c>
      <c r="C137" s="20" t="s">
        <v>836</v>
      </c>
      <c r="D137" s="137">
        <v>3670000</v>
      </c>
      <c r="E137" s="20" t="s">
        <v>372</v>
      </c>
      <c r="F137" s="20" t="s">
        <v>365</v>
      </c>
      <c r="G137" s="8" t="str">
        <f t="shared" si="4"/>
        <v>ANDREA WILLIAMS</v>
      </c>
      <c r="H137" s="20" t="str">
        <f t="shared" si="5"/>
        <v>4043</v>
      </c>
    </row>
    <row r="138" spans="1:8" x14ac:dyDescent="0.25">
      <c r="A138" s="8">
        <v>43076.633148148147</v>
      </c>
      <c r="B138" s="20" t="s">
        <v>465</v>
      </c>
      <c r="C138" s="20" t="s">
        <v>693</v>
      </c>
      <c r="D138" s="137">
        <v>1300000</v>
      </c>
      <c r="E138" s="20" t="s">
        <v>505</v>
      </c>
      <c r="F138" s="20" t="s">
        <v>506</v>
      </c>
      <c r="G138" s="8" t="str">
        <f t="shared" si="4"/>
        <v>LEVIN SCOTT</v>
      </c>
      <c r="H138" s="20" t="str">
        <f t="shared" si="5"/>
        <v>4054</v>
      </c>
    </row>
    <row r="139" spans="1:8" x14ac:dyDescent="0.25">
      <c r="A139" s="8">
        <v>43076.638252314813</v>
      </c>
      <c r="B139" s="20" t="s">
        <v>683</v>
      </c>
      <c r="C139" s="20" t="s">
        <v>694</v>
      </c>
      <c r="D139" s="137">
        <v>3840000</v>
      </c>
      <c r="E139" s="20" t="s">
        <v>503</v>
      </c>
      <c r="F139" s="20" t="s">
        <v>504</v>
      </c>
      <c r="G139" s="8" t="str">
        <f t="shared" si="4"/>
        <v>LONG FULLER</v>
      </c>
      <c r="H139" s="20" t="str">
        <f t="shared" si="5"/>
        <v>4027</v>
      </c>
    </row>
    <row r="140" spans="1:8" x14ac:dyDescent="0.25">
      <c r="A140" s="8">
        <v>43076.64230324074</v>
      </c>
      <c r="B140" s="20" t="s">
        <v>523</v>
      </c>
      <c r="C140" s="20" t="s">
        <v>837</v>
      </c>
      <c r="D140" s="137">
        <v>2140000</v>
      </c>
      <c r="E140" s="20" t="s">
        <v>805</v>
      </c>
      <c r="F140" s="20" t="s">
        <v>806</v>
      </c>
      <c r="G140" s="8" t="str">
        <f t="shared" si="4"/>
        <v>ROBINSON KADDIBA</v>
      </c>
      <c r="H140" s="20" t="str">
        <f t="shared" si="5"/>
        <v>4060</v>
      </c>
    </row>
    <row r="141" spans="1:8" x14ac:dyDescent="0.25">
      <c r="A141" s="8">
        <v>43076.645729166667</v>
      </c>
      <c r="B141" s="20" t="s">
        <v>686</v>
      </c>
      <c r="C141" s="20" t="s">
        <v>838</v>
      </c>
      <c r="D141" s="137">
        <v>2000000</v>
      </c>
      <c r="E141" s="20" t="s">
        <v>380</v>
      </c>
      <c r="F141" s="20" t="s">
        <v>381</v>
      </c>
      <c r="G141" s="8" t="str">
        <f t="shared" si="4"/>
        <v>STAMBAUGH JAMES</v>
      </c>
      <c r="H141" s="20" t="str">
        <f t="shared" si="5"/>
        <v>4023</v>
      </c>
    </row>
    <row r="142" spans="1:8" x14ac:dyDescent="0.25">
      <c r="A142" s="8">
        <v>43076.648298611108</v>
      </c>
      <c r="B142" s="20" t="s">
        <v>423</v>
      </c>
      <c r="C142" s="20" t="s">
        <v>839</v>
      </c>
      <c r="D142" s="137">
        <v>3670000</v>
      </c>
      <c r="E142" s="20" t="s">
        <v>372</v>
      </c>
      <c r="F142" s="20" t="s">
        <v>365</v>
      </c>
      <c r="G142" s="8" t="str">
        <f t="shared" si="4"/>
        <v>ANDREA WILLIAMS</v>
      </c>
      <c r="H142" s="20" t="str">
        <f t="shared" si="5"/>
        <v>4044</v>
      </c>
    </row>
    <row r="143" spans="1:8" x14ac:dyDescent="0.25">
      <c r="A143" s="8">
        <v>43076.648414351854</v>
      </c>
      <c r="B143" s="20" t="s">
        <v>686</v>
      </c>
      <c r="C143" s="20" t="s">
        <v>838</v>
      </c>
      <c r="D143" s="137">
        <v>2000000</v>
      </c>
      <c r="E143" s="20" t="s">
        <v>380</v>
      </c>
      <c r="F143" s="20" t="s">
        <v>381</v>
      </c>
      <c r="G143" s="8" t="str">
        <f t="shared" si="4"/>
        <v>STAMBAUGH JAMES</v>
      </c>
      <c r="H143" s="20" t="str">
        <f t="shared" si="5"/>
        <v>4023</v>
      </c>
    </row>
    <row r="144" spans="1:8" x14ac:dyDescent="0.25">
      <c r="A144" s="8">
        <v>43076.652106481481</v>
      </c>
      <c r="B144" s="20" t="s">
        <v>364</v>
      </c>
      <c r="C144" s="20" t="s">
        <v>840</v>
      </c>
      <c r="D144" s="137">
        <v>1770000</v>
      </c>
      <c r="E144" s="20" t="s">
        <v>526</v>
      </c>
      <c r="F144" s="20" t="s">
        <v>527</v>
      </c>
      <c r="G144" s="8" t="str">
        <f t="shared" si="4"/>
        <v>BRUDER RICHARD</v>
      </c>
      <c r="H144" s="20" t="str">
        <f t="shared" si="5"/>
        <v>4035</v>
      </c>
    </row>
    <row r="145" spans="1:8" x14ac:dyDescent="0.25">
      <c r="A145" s="8">
        <v>43076.652361111112</v>
      </c>
      <c r="B145" s="20" t="s">
        <v>729</v>
      </c>
      <c r="C145" s="20" t="s">
        <v>841</v>
      </c>
      <c r="D145" s="137">
        <v>1180000</v>
      </c>
      <c r="E145" s="20" t="s">
        <v>573</v>
      </c>
      <c r="F145" s="20" t="s">
        <v>574</v>
      </c>
      <c r="G145" s="8" t="str">
        <f t="shared" si="4"/>
        <v>LEVERE CRAIG</v>
      </c>
      <c r="H145" s="20" t="str">
        <f t="shared" si="5"/>
        <v>4014</v>
      </c>
    </row>
    <row r="146" spans="1:8" x14ac:dyDescent="0.25">
      <c r="A146" s="8">
        <v>43076.656608796293</v>
      </c>
      <c r="B146" s="20" t="s">
        <v>686</v>
      </c>
      <c r="C146" s="20" t="s">
        <v>838</v>
      </c>
      <c r="D146" s="137">
        <v>2000000</v>
      </c>
      <c r="E146" s="20" t="s">
        <v>380</v>
      </c>
      <c r="F146" s="20" t="s">
        <v>381</v>
      </c>
      <c r="G146" s="8" t="str">
        <f t="shared" si="4"/>
        <v>STAMBAUGH JAMES</v>
      </c>
      <c r="H146" s="20" t="str">
        <f t="shared" si="5"/>
        <v>4023</v>
      </c>
    </row>
    <row r="147" spans="1:8" x14ac:dyDescent="0.25">
      <c r="A147" s="8">
        <v>43076.662037037036</v>
      </c>
      <c r="B147" s="20" t="s">
        <v>498</v>
      </c>
      <c r="C147" s="20" t="s">
        <v>695</v>
      </c>
      <c r="D147" s="137">
        <v>880000</v>
      </c>
      <c r="E147" s="20" t="s">
        <v>414</v>
      </c>
      <c r="F147" s="20" t="s">
        <v>352</v>
      </c>
      <c r="G147" s="8" t="str">
        <f t="shared" si="4"/>
        <v>STEWART MICHAEL</v>
      </c>
      <c r="H147" s="20" t="str">
        <f t="shared" si="5"/>
        <v>4057</v>
      </c>
    </row>
    <row r="148" spans="1:8" x14ac:dyDescent="0.25">
      <c r="A148" s="8">
        <v>43076.663784722223</v>
      </c>
      <c r="B148" s="20" t="s">
        <v>413</v>
      </c>
      <c r="C148" s="20" t="s">
        <v>842</v>
      </c>
      <c r="D148" s="137">
        <v>2550000</v>
      </c>
      <c r="E148" s="20" t="s">
        <v>792</v>
      </c>
      <c r="F148" s="20" t="s">
        <v>793</v>
      </c>
      <c r="G148" s="8" t="str">
        <f t="shared" si="4"/>
        <v>BADERTSCHER DIANE</v>
      </c>
      <c r="H148" s="20" t="str">
        <f t="shared" si="5"/>
        <v>4056</v>
      </c>
    </row>
    <row r="149" spans="1:8" x14ac:dyDescent="0.25">
      <c r="A149" s="8">
        <v>43076.667523148149</v>
      </c>
      <c r="B149" s="20" t="s">
        <v>424</v>
      </c>
      <c r="C149" s="20" t="s">
        <v>843</v>
      </c>
      <c r="D149" s="137">
        <v>3670000</v>
      </c>
      <c r="E149" s="20" t="s">
        <v>372</v>
      </c>
      <c r="F149" s="20" t="s">
        <v>365</v>
      </c>
      <c r="G149" s="8" t="str">
        <f t="shared" si="4"/>
        <v>ANDREA WILLIAMS</v>
      </c>
      <c r="H149" s="20" t="str">
        <f t="shared" si="5"/>
        <v>4043</v>
      </c>
    </row>
    <row r="150" spans="1:8" x14ac:dyDescent="0.25">
      <c r="A150" s="8">
        <v>43076.66878472222</v>
      </c>
      <c r="B150" s="20" t="s">
        <v>681</v>
      </c>
      <c r="C150" s="20" t="s">
        <v>844</v>
      </c>
      <c r="D150" s="137">
        <v>2000000</v>
      </c>
      <c r="E150" s="20" t="s">
        <v>380</v>
      </c>
      <c r="F150" s="20" t="s">
        <v>381</v>
      </c>
      <c r="G150" s="8" t="str">
        <f t="shared" si="4"/>
        <v>STAMBAUGH JAMES</v>
      </c>
      <c r="H150" s="20" t="str">
        <f t="shared" si="5"/>
        <v>4024</v>
      </c>
    </row>
    <row r="151" spans="1:8" x14ac:dyDescent="0.25">
      <c r="A151" s="8">
        <v>43076.672627314816</v>
      </c>
      <c r="B151" s="20" t="s">
        <v>720</v>
      </c>
      <c r="C151" s="20" t="s">
        <v>845</v>
      </c>
      <c r="D151" s="137">
        <v>1300000</v>
      </c>
      <c r="E151" s="20" t="s">
        <v>505</v>
      </c>
      <c r="F151" s="20" t="s">
        <v>506</v>
      </c>
      <c r="G151" s="8" t="str">
        <f t="shared" si="4"/>
        <v>LEVIN SCOTT</v>
      </c>
      <c r="H151" s="20" t="str">
        <f t="shared" si="5"/>
        <v>4053</v>
      </c>
    </row>
    <row r="152" spans="1:8" x14ac:dyDescent="0.25">
      <c r="A152" s="8">
        <v>43076.676400462966</v>
      </c>
      <c r="B152" s="20" t="s">
        <v>696</v>
      </c>
      <c r="C152" s="20" t="s">
        <v>697</v>
      </c>
      <c r="D152" s="137">
        <v>3840000</v>
      </c>
      <c r="E152" s="20" t="s">
        <v>503</v>
      </c>
      <c r="F152" s="20" t="s">
        <v>504</v>
      </c>
      <c r="G152" s="8" t="str">
        <f t="shared" si="4"/>
        <v>LONG FULLER</v>
      </c>
      <c r="H152" s="20" t="str">
        <f t="shared" si="5"/>
        <v>4028</v>
      </c>
    </row>
    <row r="153" spans="1:8" x14ac:dyDescent="0.25">
      <c r="A153" s="8">
        <v>43076.677928240744</v>
      </c>
      <c r="B153" s="20" t="s">
        <v>714</v>
      </c>
      <c r="C153" s="20" t="s">
        <v>846</v>
      </c>
      <c r="D153" s="137">
        <v>2140000</v>
      </c>
      <c r="E153" s="20" t="s">
        <v>805</v>
      </c>
      <c r="F153" s="20" t="s">
        <v>806</v>
      </c>
      <c r="G153" s="8" t="str">
        <f t="shared" si="4"/>
        <v>ROBINSON KADDIBA</v>
      </c>
      <c r="H153" s="20" t="str">
        <f t="shared" si="5"/>
        <v>4059</v>
      </c>
    </row>
    <row r="154" spans="1:8" x14ac:dyDescent="0.25">
      <c r="A154" s="8">
        <v>43076.684814814813</v>
      </c>
      <c r="B154" s="20" t="s">
        <v>363</v>
      </c>
      <c r="C154" s="20" t="s">
        <v>847</v>
      </c>
      <c r="D154" s="137">
        <v>1770000</v>
      </c>
      <c r="E154" s="20" t="s">
        <v>526</v>
      </c>
      <c r="F154" s="20" t="s">
        <v>527</v>
      </c>
      <c r="G154" s="8" t="str">
        <f t="shared" si="4"/>
        <v>BRUDER RICHARD</v>
      </c>
      <c r="H154" s="20" t="str">
        <f t="shared" si="5"/>
        <v>4036</v>
      </c>
    </row>
    <row r="155" spans="1:8" x14ac:dyDescent="0.25">
      <c r="A155" s="8">
        <v>43076.684999999998</v>
      </c>
      <c r="B155" s="20" t="s">
        <v>686</v>
      </c>
      <c r="C155" s="20" t="s">
        <v>848</v>
      </c>
      <c r="D155" s="137">
        <v>2000000</v>
      </c>
      <c r="E155" s="20" t="s">
        <v>380</v>
      </c>
      <c r="F155" s="20" t="s">
        <v>381</v>
      </c>
      <c r="G155" s="8" t="str">
        <f t="shared" si="4"/>
        <v>STAMBAUGH JAMES</v>
      </c>
      <c r="H155" s="20" t="str">
        <f t="shared" si="5"/>
        <v>4023</v>
      </c>
    </row>
    <row r="156" spans="1:8" x14ac:dyDescent="0.25">
      <c r="A156" s="8">
        <v>43076.688171296293</v>
      </c>
      <c r="B156" s="20" t="s">
        <v>374</v>
      </c>
      <c r="C156" s="20" t="s">
        <v>849</v>
      </c>
      <c r="D156" s="137">
        <v>1780000</v>
      </c>
      <c r="E156" s="20" t="s">
        <v>528</v>
      </c>
      <c r="F156" s="20" t="s">
        <v>529</v>
      </c>
      <c r="G156" s="8" t="str">
        <f t="shared" si="4"/>
        <v>DE LA ROSA ALEX</v>
      </c>
      <c r="H156" s="20" t="str">
        <f t="shared" si="5"/>
        <v>4022</v>
      </c>
    </row>
    <row r="157" spans="1:8" x14ac:dyDescent="0.25">
      <c r="A157" s="8">
        <v>43076.690138888887</v>
      </c>
      <c r="B157" s="20" t="s">
        <v>724</v>
      </c>
      <c r="C157" s="20" t="s">
        <v>850</v>
      </c>
      <c r="D157" s="137">
        <v>1180000</v>
      </c>
      <c r="E157" s="20" t="s">
        <v>573</v>
      </c>
      <c r="F157" s="20" t="s">
        <v>574</v>
      </c>
      <c r="G157" s="8" t="str">
        <f t="shared" si="4"/>
        <v>LEVERE CRAIG</v>
      </c>
      <c r="H157" s="20" t="str">
        <f t="shared" si="5"/>
        <v>4013</v>
      </c>
    </row>
    <row r="158" spans="1:8" x14ac:dyDescent="0.25">
      <c r="A158" s="8">
        <v>43076.692083333335</v>
      </c>
      <c r="B158" s="20" t="s">
        <v>423</v>
      </c>
      <c r="C158" s="20" t="s">
        <v>851</v>
      </c>
      <c r="D158" s="137">
        <v>3670000</v>
      </c>
      <c r="E158" s="20" t="s">
        <v>372</v>
      </c>
      <c r="F158" s="20" t="s">
        <v>365</v>
      </c>
      <c r="G158" s="8" t="str">
        <f t="shared" si="4"/>
        <v>ANDREA WILLIAMS</v>
      </c>
      <c r="H158" s="20" t="str">
        <f t="shared" si="5"/>
        <v>4044</v>
      </c>
    </row>
    <row r="159" spans="1:8" x14ac:dyDescent="0.25">
      <c r="A159" s="8">
        <v>43076.694513888891</v>
      </c>
      <c r="B159" s="20" t="s">
        <v>447</v>
      </c>
      <c r="C159" s="20" t="s">
        <v>852</v>
      </c>
      <c r="D159" s="137">
        <v>880000</v>
      </c>
      <c r="E159" s="20" t="s">
        <v>414</v>
      </c>
      <c r="F159" s="20" t="s">
        <v>352</v>
      </c>
      <c r="G159" s="8" t="str">
        <f t="shared" si="4"/>
        <v>STEWART MICHAEL</v>
      </c>
      <c r="H159" s="20" t="str">
        <f t="shared" si="5"/>
        <v>4058</v>
      </c>
    </row>
    <row r="160" spans="1:8" x14ac:dyDescent="0.25">
      <c r="A160" s="8">
        <v>43076.700821759259</v>
      </c>
      <c r="B160" s="20" t="s">
        <v>351</v>
      </c>
      <c r="C160" s="20" t="s">
        <v>853</v>
      </c>
      <c r="D160" s="137">
        <v>2550000</v>
      </c>
      <c r="E160" s="20" t="s">
        <v>792</v>
      </c>
      <c r="F160" s="20" t="s">
        <v>793</v>
      </c>
      <c r="G160" s="8" t="str">
        <f t="shared" si="4"/>
        <v>BADERTSCHER DIANE</v>
      </c>
      <c r="H160" s="20" t="str">
        <f t="shared" si="5"/>
        <v>4055</v>
      </c>
    </row>
    <row r="161" spans="1:8" x14ac:dyDescent="0.25">
      <c r="A161" s="8">
        <v>43076.703796296293</v>
      </c>
      <c r="B161" s="20" t="s">
        <v>465</v>
      </c>
      <c r="C161" s="20" t="s">
        <v>854</v>
      </c>
      <c r="D161" s="137">
        <v>1360000</v>
      </c>
      <c r="E161" s="20" t="s">
        <v>855</v>
      </c>
      <c r="F161" s="20" t="s">
        <v>856</v>
      </c>
      <c r="G161" s="8" t="str">
        <f t="shared" si="4"/>
        <v>SANTIZO D. EDY</v>
      </c>
      <c r="H161" s="20" t="str">
        <f t="shared" si="5"/>
        <v>4054</v>
      </c>
    </row>
    <row r="162" spans="1:8" x14ac:dyDescent="0.25">
      <c r="A162" s="8">
        <v>43076.706307870372</v>
      </c>
      <c r="B162" s="20" t="s">
        <v>456</v>
      </c>
      <c r="C162" s="20" t="s">
        <v>698</v>
      </c>
      <c r="D162" s="137">
        <v>1810000</v>
      </c>
      <c r="E162" s="20" t="s">
        <v>530</v>
      </c>
      <c r="F162" s="20" t="s">
        <v>381</v>
      </c>
      <c r="G162" s="8" t="str">
        <f t="shared" si="4"/>
        <v>NEWELL JAMES</v>
      </c>
      <c r="H162" s="20" t="str">
        <f t="shared" si="5"/>
        <v>4006</v>
      </c>
    </row>
    <row r="163" spans="1:8" x14ac:dyDescent="0.25">
      <c r="A163" s="8">
        <v>43076.70689814815</v>
      </c>
      <c r="B163" s="20" t="s">
        <v>424</v>
      </c>
      <c r="C163" s="20" t="s">
        <v>857</v>
      </c>
      <c r="D163" s="137">
        <v>3670000</v>
      </c>
      <c r="E163" s="20" t="s">
        <v>372</v>
      </c>
      <c r="F163" s="20" t="s">
        <v>365</v>
      </c>
      <c r="G163" s="8" t="str">
        <f t="shared" si="4"/>
        <v>ANDREA WILLIAMS</v>
      </c>
      <c r="H163" s="20" t="str">
        <f t="shared" si="5"/>
        <v>4043</v>
      </c>
    </row>
    <row r="164" spans="1:8" x14ac:dyDescent="0.25">
      <c r="A164" s="8">
        <v>43076.712905092594</v>
      </c>
      <c r="B164" s="20" t="s">
        <v>681</v>
      </c>
      <c r="C164" s="20" t="s">
        <v>858</v>
      </c>
      <c r="D164" s="137">
        <v>2000000</v>
      </c>
      <c r="E164" s="20" t="s">
        <v>380</v>
      </c>
      <c r="F164" s="20" t="s">
        <v>381</v>
      </c>
      <c r="G164" s="8" t="str">
        <f t="shared" si="4"/>
        <v>STAMBAUGH JAMES</v>
      </c>
      <c r="H164" s="20" t="str">
        <f t="shared" si="5"/>
        <v>4024</v>
      </c>
    </row>
    <row r="165" spans="1:8" x14ac:dyDescent="0.25">
      <c r="A165" s="8">
        <v>43076.714375000003</v>
      </c>
      <c r="B165" s="20" t="s">
        <v>683</v>
      </c>
      <c r="C165" s="20" t="s">
        <v>859</v>
      </c>
      <c r="D165" s="137">
        <v>3840000</v>
      </c>
      <c r="E165" s="20" t="s">
        <v>503</v>
      </c>
      <c r="F165" s="20" t="s">
        <v>504</v>
      </c>
      <c r="G165" s="8" t="str">
        <f t="shared" si="4"/>
        <v>LONG FULLER</v>
      </c>
      <c r="H165" s="20" t="str">
        <f t="shared" si="5"/>
        <v>4027</v>
      </c>
    </row>
    <row r="166" spans="1:8" x14ac:dyDescent="0.25">
      <c r="A166" s="8">
        <v>43076.714780092596</v>
      </c>
      <c r="B166" s="20" t="s">
        <v>523</v>
      </c>
      <c r="C166" s="20" t="s">
        <v>860</v>
      </c>
      <c r="D166" s="137">
        <v>2140000</v>
      </c>
      <c r="E166" s="20" t="s">
        <v>805</v>
      </c>
      <c r="F166" s="20" t="s">
        <v>806</v>
      </c>
      <c r="G166" s="8" t="str">
        <f t="shared" si="4"/>
        <v>ROBINSON KADDIBA</v>
      </c>
      <c r="H166" s="20" t="str">
        <f t="shared" si="5"/>
        <v>4060</v>
      </c>
    </row>
    <row r="167" spans="1:8" x14ac:dyDescent="0.25">
      <c r="A167" s="8">
        <v>43076.724282407406</v>
      </c>
      <c r="B167" s="20" t="s">
        <v>364</v>
      </c>
      <c r="C167" s="20" t="s">
        <v>699</v>
      </c>
      <c r="D167" s="137">
        <v>1770000</v>
      </c>
      <c r="E167" s="20" t="s">
        <v>526</v>
      </c>
      <c r="F167" s="20" t="s">
        <v>527</v>
      </c>
      <c r="G167" s="8" t="str">
        <f t="shared" si="4"/>
        <v>BRUDER RICHARD</v>
      </c>
      <c r="H167" s="20" t="str">
        <f t="shared" si="5"/>
        <v>4035</v>
      </c>
    </row>
    <row r="168" spans="1:8" x14ac:dyDescent="0.25">
      <c r="A168" s="8">
        <v>43076.726354166669</v>
      </c>
      <c r="B168" s="20" t="s">
        <v>729</v>
      </c>
      <c r="C168" s="20" t="s">
        <v>861</v>
      </c>
      <c r="D168" s="137">
        <v>1180000</v>
      </c>
      <c r="E168" s="20" t="s">
        <v>573</v>
      </c>
      <c r="F168" s="20" t="s">
        <v>574</v>
      </c>
      <c r="G168" s="8" t="str">
        <f t="shared" si="4"/>
        <v>LEVERE CRAIG</v>
      </c>
      <c r="H168" s="20" t="str">
        <f t="shared" si="5"/>
        <v>4014</v>
      </c>
    </row>
    <row r="169" spans="1:8" x14ac:dyDescent="0.25">
      <c r="A169" s="8">
        <v>43076.728368055556</v>
      </c>
      <c r="B169" s="20" t="s">
        <v>686</v>
      </c>
      <c r="C169" s="20" t="s">
        <v>862</v>
      </c>
      <c r="D169" s="137">
        <v>2000000</v>
      </c>
      <c r="E169" s="20" t="s">
        <v>380</v>
      </c>
      <c r="F169" s="20" t="s">
        <v>381</v>
      </c>
      <c r="G169" s="8" t="str">
        <f t="shared" si="4"/>
        <v>STAMBAUGH JAMES</v>
      </c>
      <c r="H169" s="20" t="str">
        <f t="shared" si="5"/>
        <v>4023</v>
      </c>
    </row>
    <row r="170" spans="1:8" x14ac:dyDescent="0.25">
      <c r="A170" s="8">
        <v>43076.728379629632</v>
      </c>
      <c r="B170" s="20" t="s">
        <v>423</v>
      </c>
      <c r="C170" s="20" t="s">
        <v>863</v>
      </c>
      <c r="D170" s="137">
        <v>3670000</v>
      </c>
      <c r="E170" s="20" t="s">
        <v>372</v>
      </c>
      <c r="F170" s="20" t="s">
        <v>365</v>
      </c>
      <c r="G170" s="8" t="str">
        <f t="shared" si="4"/>
        <v>ANDREA WILLIAMS</v>
      </c>
      <c r="H170" s="20" t="str">
        <f t="shared" si="5"/>
        <v>4044</v>
      </c>
    </row>
    <row r="171" spans="1:8" x14ac:dyDescent="0.25">
      <c r="A171" s="8">
        <v>43076.733483796299</v>
      </c>
      <c r="B171" s="20" t="s">
        <v>498</v>
      </c>
      <c r="C171" s="20" t="s">
        <v>864</v>
      </c>
      <c r="D171" s="137">
        <v>880000</v>
      </c>
      <c r="E171" s="20" t="s">
        <v>414</v>
      </c>
      <c r="F171" s="20" t="s">
        <v>352</v>
      </c>
      <c r="G171" s="8" t="str">
        <f t="shared" si="4"/>
        <v>STEWART MICHAEL</v>
      </c>
      <c r="H171" s="20" t="str">
        <f t="shared" si="5"/>
        <v>4057</v>
      </c>
    </row>
    <row r="172" spans="1:8" x14ac:dyDescent="0.25">
      <c r="A172" s="8">
        <v>43076.735162037039</v>
      </c>
      <c r="B172" s="20" t="s">
        <v>720</v>
      </c>
      <c r="C172" s="20" t="s">
        <v>865</v>
      </c>
      <c r="D172" s="137">
        <v>1360000</v>
      </c>
      <c r="E172" s="20" t="s">
        <v>855</v>
      </c>
      <c r="F172" s="20" t="s">
        <v>856</v>
      </c>
      <c r="G172" s="8" t="str">
        <f t="shared" si="4"/>
        <v>SANTIZO D. EDY</v>
      </c>
      <c r="H172" s="20" t="str">
        <f t="shared" si="5"/>
        <v>4053</v>
      </c>
    </row>
    <row r="173" spans="1:8" x14ac:dyDescent="0.25">
      <c r="A173" s="8">
        <v>43076.739039351851</v>
      </c>
      <c r="B173" s="20" t="s">
        <v>413</v>
      </c>
      <c r="C173" s="20" t="s">
        <v>866</v>
      </c>
      <c r="D173" s="137">
        <v>890000</v>
      </c>
      <c r="E173" s="20" t="s">
        <v>344</v>
      </c>
      <c r="F173" s="20" t="s">
        <v>345</v>
      </c>
      <c r="G173" s="8" t="str">
        <f t="shared" si="4"/>
        <v>LOZA FIDEL</v>
      </c>
      <c r="H173" s="20" t="str">
        <f t="shared" si="5"/>
        <v>4056</v>
      </c>
    </row>
    <row r="174" spans="1:8" x14ac:dyDescent="0.25">
      <c r="A174" s="8">
        <v>43076.742222222223</v>
      </c>
      <c r="B174" s="20" t="s">
        <v>563</v>
      </c>
      <c r="C174" s="20" t="s">
        <v>867</v>
      </c>
      <c r="D174" s="137">
        <v>2540000</v>
      </c>
      <c r="E174" s="20" t="s">
        <v>578</v>
      </c>
      <c r="F174" s="20" t="s">
        <v>579</v>
      </c>
      <c r="G174" s="8" t="str">
        <f t="shared" si="4"/>
        <v>MCREYNOLDS KYLE</v>
      </c>
      <c r="H174" s="20" t="str">
        <f t="shared" si="5"/>
        <v>4033</v>
      </c>
    </row>
    <row r="175" spans="1:8" x14ac:dyDescent="0.25">
      <c r="A175" s="8">
        <v>43076.745358796295</v>
      </c>
      <c r="B175" s="20" t="s">
        <v>696</v>
      </c>
      <c r="C175" s="20" t="s">
        <v>868</v>
      </c>
      <c r="D175" s="137">
        <v>3840000</v>
      </c>
      <c r="E175" s="20" t="s">
        <v>503</v>
      </c>
      <c r="F175" s="20" t="s">
        <v>504</v>
      </c>
      <c r="G175" s="8" t="str">
        <f t="shared" si="4"/>
        <v>LONG FULLER</v>
      </c>
      <c r="H175" s="20" t="str">
        <f t="shared" si="5"/>
        <v>4028</v>
      </c>
    </row>
    <row r="176" spans="1:8" x14ac:dyDescent="0.25">
      <c r="A176" s="8">
        <v>43076.746747685182</v>
      </c>
      <c r="B176" s="20" t="s">
        <v>696</v>
      </c>
      <c r="C176" s="20" t="s">
        <v>868</v>
      </c>
      <c r="D176" s="137">
        <v>3840000</v>
      </c>
      <c r="E176" s="20" t="s">
        <v>503</v>
      </c>
      <c r="F176" s="20" t="s">
        <v>504</v>
      </c>
      <c r="G176" s="8" t="str">
        <f t="shared" si="4"/>
        <v>LONG FULLER</v>
      </c>
      <c r="H176" s="20" t="str">
        <f t="shared" si="5"/>
        <v>4028</v>
      </c>
    </row>
    <row r="177" spans="1:8" x14ac:dyDescent="0.25">
      <c r="A177" s="8">
        <v>43076.749837962961</v>
      </c>
      <c r="B177" s="20" t="s">
        <v>424</v>
      </c>
      <c r="C177" s="20" t="s">
        <v>869</v>
      </c>
      <c r="D177" s="137">
        <v>3670000</v>
      </c>
      <c r="E177" s="20" t="s">
        <v>372</v>
      </c>
      <c r="F177" s="20" t="s">
        <v>365</v>
      </c>
      <c r="G177" s="8" t="str">
        <f t="shared" si="4"/>
        <v>ANDREA WILLIAMS</v>
      </c>
      <c r="H177" s="20" t="str">
        <f t="shared" si="5"/>
        <v>4043</v>
      </c>
    </row>
    <row r="178" spans="1:8" x14ac:dyDescent="0.25">
      <c r="A178" s="8">
        <v>43076.752395833333</v>
      </c>
      <c r="B178" s="20" t="s">
        <v>714</v>
      </c>
      <c r="C178" s="20" t="s">
        <v>870</v>
      </c>
      <c r="D178" s="137">
        <v>2140000</v>
      </c>
      <c r="E178" s="20" t="s">
        <v>805</v>
      </c>
      <c r="F178" s="20" t="s">
        <v>806</v>
      </c>
      <c r="G178" s="8" t="str">
        <f t="shared" si="4"/>
        <v>ROBINSON KADDIBA</v>
      </c>
      <c r="H178" s="20" t="str">
        <f t="shared" si="5"/>
        <v>4059</v>
      </c>
    </row>
    <row r="179" spans="1:8" x14ac:dyDescent="0.25">
      <c r="A179" s="8">
        <v>43076.75335648148</v>
      </c>
      <c r="B179" s="20" t="s">
        <v>681</v>
      </c>
      <c r="C179" s="20" t="s">
        <v>871</v>
      </c>
      <c r="D179" s="137">
        <v>2000000</v>
      </c>
      <c r="E179" s="20" t="s">
        <v>380</v>
      </c>
      <c r="F179" s="20" t="s">
        <v>381</v>
      </c>
      <c r="G179" s="8" t="str">
        <f t="shared" si="4"/>
        <v>STAMBAUGH JAMES</v>
      </c>
      <c r="H179" s="20" t="str">
        <f t="shared" si="5"/>
        <v>4024</v>
      </c>
    </row>
    <row r="180" spans="1:8" x14ac:dyDescent="0.25">
      <c r="A180" s="8">
        <v>43076.756064814814</v>
      </c>
      <c r="B180" s="20" t="s">
        <v>363</v>
      </c>
      <c r="C180" s="20" t="s">
        <v>872</v>
      </c>
      <c r="D180" s="137">
        <v>3340000</v>
      </c>
      <c r="E180" s="20" t="s">
        <v>409</v>
      </c>
      <c r="F180" s="20" t="s">
        <v>410</v>
      </c>
      <c r="G180" s="8" t="str">
        <f t="shared" si="4"/>
        <v>ELBAUM MIKE</v>
      </c>
      <c r="H180" s="20" t="str">
        <f t="shared" si="5"/>
        <v>4036</v>
      </c>
    </row>
    <row r="181" spans="1:8" x14ac:dyDescent="0.25">
      <c r="A181" s="8">
        <v>43076.76152777778</v>
      </c>
      <c r="B181" s="20" t="s">
        <v>724</v>
      </c>
      <c r="C181" s="20" t="s">
        <v>873</v>
      </c>
      <c r="D181" s="137">
        <v>1180000</v>
      </c>
      <c r="E181" s="20" t="s">
        <v>573</v>
      </c>
      <c r="F181" s="20" t="s">
        <v>574</v>
      </c>
      <c r="G181" s="8" t="str">
        <f t="shared" si="4"/>
        <v>LEVERE CRAIG</v>
      </c>
      <c r="H181" s="20" t="str">
        <f t="shared" si="5"/>
        <v>4013</v>
      </c>
    </row>
    <row r="182" spans="1:8" x14ac:dyDescent="0.25">
      <c r="A182" s="8">
        <v>43076.76798611111</v>
      </c>
      <c r="B182" s="20" t="s">
        <v>686</v>
      </c>
      <c r="C182" s="20" t="s">
        <v>874</v>
      </c>
      <c r="D182" s="137">
        <v>2000000</v>
      </c>
      <c r="E182" s="20" t="s">
        <v>380</v>
      </c>
      <c r="F182" s="20" t="s">
        <v>381</v>
      </c>
      <c r="G182" s="8" t="str">
        <f t="shared" si="4"/>
        <v>STAMBAUGH JAMES</v>
      </c>
      <c r="H182" s="20" t="str">
        <f t="shared" si="5"/>
        <v>4023</v>
      </c>
    </row>
    <row r="183" spans="1:8" x14ac:dyDescent="0.25">
      <c r="A183" s="8">
        <v>43076.768101851849</v>
      </c>
      <c r="B183" s="20" t="s">
        <v>447</v>
      </c>
      <c r="C183" s="20" t="s">
        <v>875</v>
      </c>
      <c r="D183" s="137">
        <v>2040000</v>
      </c>
      <c r="E183" s="20" t="s">
        <v>382</v>
      </c>
      <c r="F183" s="20" t="s">
        <v>383</v>
      </c>
      <c r="G183" s="8" t="str">
        <f t="shared" si="4"/>
        <v>MOSES BRADLEY</v>
      </c>
      <c r="H183" s="20" t="str">
        <f t="shared" si="5"/>
        <v>4058</v>
      </c>
    </row>
    <row r="184" spans="1:8" x14ac:dyDescent="0.25">
      <c r="A184" s="8">
        <v>43076.771354166667</v>
      </c>
      <c r="B184" s="20" t="s">
        <v>423</v>
      </c>
      <c r="C184" s="20" t="s">
        <v>701</v>
      </c>
      <c r="D184" s="137">
        <v>3670000</v>
      </c>
      <c r="E184" s="20" t="s">
        <v>372</v>
      </c>
      <c r="F184" s="20" t="s">
        <v>365</v>
      </c>
      <c r="G184" s="8" t="str">
        <f t="shared" si="4"/>
        <v>ANDREA WILLIAMS</v>
      </c>
      <c r="H184" s="20" t="str">
        <f t="shared" si="5"/>
        <v>4044</v>
      </c>
    </row>
    <row r="185" spans="1:8" x14ac:dyDescent="0.25">
      <c r="A185" s="8">
        <v>43076.777418981481</v>
      </c>
      <c r="B185" s="20" t="s">
        <v>465</v>
      </c>
      <c r="C185" s="20" t="s">
        <v>700</v>
      </c>
      <c r="D185" s="137">
        <v>1300000</v>
      </c>
      <c r="E185" s="20" t="s">
        <v>505</v>
      </c>
      <c r="F185" s="20" t="s">
        <v>506</v>
      </c>
      <c r="G185" s="8" t="str">
        <f t="shared" si="4"/>
        <v>LEVIN SCOTT</v>
      </c>
      <c r="H185" s="20" t="str">
        <f t="shared" si="5"/>
        <v>4054</v>
      </c>
    </row>
    <row r="186" spans="1:8" x14ac:dyDescent="0.25">
      <c r="A186" s="8">
        <v>43076.778032407405</v>
      </c>
      <c r="B186" s="20" t="s">
        <v>351</v>
      </c>
      <c r="C186" s="20" t="s">
        <v>876</v>
      </c>
      <c r="D186" s="137">
        <v>890000</v>
      </c>
      <c r="E186" s="20" t="s">
        <v>344</v>
      </c>
      <c r="F186" s="20" t="s">
        <v>345</v>
      </c>
      <c r="G186" s="8" t="str">
        <f t="shared" si="4"/>
        <v>LOZA FIDEL</v>
      </c>
      <c r="H186" s="20" t="str">
        <f t="shared" si="5"/>
        <v>4055</v>
      </c>
    </row>
    <row r="187" spans="1:8" x14ac:dyDescent="0.25">
      <c r="A187" s="8">
        <v>43076.78597222222</v>
      </c>
      <c r="B187" s="20" t="s">
        <v>683</v>
      </c>
      <c r="C187" s="20" t="s">
        <v>703</v>
      </c>
      <c r="D187" s="137">
        <v>3840000</v>
      </c>
      <c r="E187" s="20" t="s">
        <v>503</v>
      </c>
      <c r="F187" s="20" t="s">
        <v>504</v>
      </c>
      <c r="G187" s="8" t="str">
        <f t="shared" si="4"/>
        <v>LONG FULLER</v>
      </c>
      <c r="H187" s="20" t="str">
        <f t="shared" si="5"/>
        <v>4027</v>
      </c>
    </row>
    <row r="188" spans="1:8" x14ac:dyDescent="0.25">
      <c r="A188" s="8">
        <v>43076.787418981483</v>
      </c>
      <c r="B188" s="20" t="s">
        <v>364</v>
      </c>
      <c r="C188" s="20" t="s">
        <v>877</v>
      </c>
      <c r="D188" s="137">
        <v>3340000</v>
      </c>
      <c r="E188" s="20" t="s">
        <v>409</v>
      </c>
      <c r="F188" s="20" t="s">
        <v>410</v>
      </c>
      <c r="G188" s="8" t="str">
        <f t="shared" si="4"/>
        <v>ELBAUM MIKE</v>
      </c>
      <c r="H188" s="20" t="str">
        <f t="shared" si="5"/>
        <v>4035</v>
      </c>
    </row>
    <row r="189" spans="1:8" x14ac:dyDescent="0.25">
      <c r="A189" s="8">
        <v>43076.788113425922</v>
      </c>
      <c r="B189" s="20" t="s">
        <v>523</v>
      </c>
      <c r="C189" s="20" t="s">
        <v>702</v>
      </c>
      <c r="D189" s="137">
        <v>3310000</v>
      </c>
      <c r="E189" s="20" t="s">
        <v>448</v>
      </c>
      <c r="F189" s="20" t="s">
        <v>449</v>
      </c>
      <c r="G189" s="8" t="str">
        <f t="shared" si="4"/>
        <v>ANDERS STEVEN</v>
      </c>
      <c r="H189" s="20" t="str">
        <f t="shared" si="5"/>
        <v>4060</v>
      </c>
    </row>
    <row r="190" spans="1:8" x14ac:dyDescent="0.25">
      <c r="A190" s="8">
        <v>43076.790497685186</v>
      </c>
      <c r="B190" s="20" t="s">
        <v>424</v>
      </c>
      <c r="C190" s="20" t="s">
        <v>878</v>
      </c>
      <c r="D190" s="137">
        <v>3670000</v>
      </c>
      <c r="E190" s="20" t="s">
        <v>372</v>
      </c>
      <c r="F190" s="20" t="s">
        <v>365</v>
      </c>
      <c r="G190" s="8" t="str">
        <f t="shared" si="4"/>
        <v>ANDREA WILLIAMS</v>
      </c>
      <c r="H190" s="20" t="str">
        <f t="shared" si="5"/>
        <v>4043</v>
      </c>
    </row>
    <row r="191" spans="1:8" x14ac:dyDescent="0.25">
      <c r="A191" s="8">
        <v>43076.795057870368</v>
      </c>
      <c r="B191" s="20" t="s">
        <v>681</v>
      </c>
      <c r="C191" s="20" t="s">
        <v>879</v>
      </c>
      <c r="D191" s="137">
        <v>2000000</v>
      </c>
      <c r="E191" s="20" t="s">
        <v>380</v>
      </c>
      <c r="F191" s="20" t="s">
        <v>381</v>
      </c>
      <c r="G191" s="8" t="str">
        <f t="shared" si="4"/>
        <v>STAMBAUGH JAMES</v>
      </c>
      <c r="H191" s="20" t="str">
        <f t="shared" si="5"/>
        <v>4024</v>
      </c>
    </row>
    <row r="192" spans="1:8" x14ac:dyDescent="0.25">
      <c r="A192" s="8">
        <v>43076.797997685186</v>
      </c>
      <c r="B192" s="20" t="s">
        <v>729</v>
      </c>
      <c r="C192" s="20" t="s">
        <v>880</v>
      </c>
      <c r="D192" s="137">
        <v>1180000</v>
      </c>
      <c r="E192" s="20" t="s">
        <v>573</v>
      </c>
      <c r="F192" s="20" t="s">
        <v>574</v>
      </c>
      <c r="G192" s="8" t="str">
        <f t="shared" si="4"/>
        <v>LEVERE CRAIG</v>
      </c>
      <c r="H192" s="20" t="str">
        <f t="shared" si="5"/>
        <v>4014</v>
      </c>
    </row>
    <row r="193" spans="1:8" x14ac:dyDescent="0.25">
      <c r="A193" s="8">
        <v>43076.798530092594</v>
      </c>
      <c r="B193" s="20" t="s">
        <v>498</v>
      </c>
      <c r="C193" s="20" t="s">
        <v>881</v>
      </c>
      <c r="D193" s="137">
        <v>2040000</v>
      </c>
      <c r="E193" s="20" t="s">
        <v>382</v>
      </c>
      <c r="F193" s="20" t="s">
        <v>383</v>
      </c>
      <c r="G193" s="8" t="str">
        <f t="shared" si="4"/>
        <v>MOSES BRADLEY</v>
      </c>
      <c r="H193" s="20" t="str">
        <f t="shared" si="5"/>
        <v>4057</v>
      </c>
    </row>
    <row r="194" spans="1:8" x14ac:dyDescent="0.25">
      <c r="A194" s="8">
        <v>43076.808935185189</v>
      </c>
      <c r="B194" s="20" t="s">
        <v>686</v>
      </c>
      <c r="C194" s="20" t="s">
        <v>882</v>
      </c>
      <c r="D194" s="137">
        <v>2000000</v>
      </c>
      <c r="E194" s="20" t="s">
        <v>380</v>
      </c>
      <c r="F194" s="20" t="s">
        <v>381</v>
      </c>
      <c r="G194" s="8" t="str">
        <f t="shared" si="4"/>
        <v>STAMBAUGH JAMES</v>
      </c>
      <c r="H194" s="20" t="str">
        <f t="shared" si="5"/>
        <v>4023</v>
      </c>
    </row>
    <row r="195" spans="1:8" x14ac:dyDescent="0.25">
      <c r="A195" s="8">
        <v>43076.811354166668</v>
      </c>
      <c r="B195" s="20" t="s">
        <v>413</v>
      </c>
      <c r="C195" s="20" t="s">
        <v>883</v>
      </c>
      <c r="D195" s="137">
        <v>3810000</v>
      </c>
      <c r="E195" s="20" t="s">
        <v>427</v>
      </c>
      <c r="F195" s="20" t="s">
        <v>428</v>
      </c>
      <c r="G195" s="8" t="str">
        <f t="shared" ref="G195:G258" si="6">E195&amp;" "&amp;F195</f>
        <v>LORI SANTOS</v>
      </c>
      <c r="H195" s="20" t="str">
        <f t="shared" ref="H195:H258" si="7">MID(B195,13,4)</f>
        <v>4056</v>
      </c>
    </row>
    <row r="196" spans="1:8" x14ac:dyDescent="0.25">
      <c r="A196" s="8">
        <v>43076.81931712963</v>
      </c>
      <c r="B196" s="20" t="s">
        <v>696</v>
      </c>
      <c r="C196" s="20" t="s">
        <v>884</v>
      </c>
      <c r="D196" s="137">
        <v>3840000</v>
      </c>
      <c r="E196" s="20" t="s">
        <v>503</v>
      </c>
      <c r="F196" s="20" t="s">
        <v>504</v>
      </c>
      <c r="G196" s="8" t="str">
        <f t="shared" si="6"/>
        <v>LONG FULLER</v>
      </c>
      <c r="H196" s="20" t="str">
        <f t="shared" si="7"/>
        <v>4028</v>
      </c>
    </row>
    <row r="197" spans="1:8" x14ac:dyDescent="0.25">
      <c r="A197" s="8">
        <v>43076.829930555556</v>
      </c>
      <c r="B197" s="20" t="s">
        <v>714</v>
      </c>
      <c r="C197" s="20" t="s">
        <v>885</v>
      </c>
      <c r="D197" s="137">
        <v>3310000</v>
      </c>
      <c r="E197" s="20" t="s">
        <v>448</v>
      </c>
      <c r="F197" s="20" t="s">
        <v>449</v>
      </c>
      <c r="G197" s="8" t="str">
        <f t="shared" si="6"/>
        <v>ANDERS STEVEN</v>
      </c>
      <c r="H197" s="20" t="str">
        <f t="shared" si="7"/>
        <v>4059</v>
      </c>
    </row>
    <row r="198" spans="1:8" x14ac:dyDescent="0.25">
      <c r="A198" s="8">
        <v>43076.830972222226</v>
      </c>
      <c r="B198" s="20" t="s">
        <v>363</v>
      </c>
      <c r="C198" s="20" t="s">
        <v>704</v>
      </c>
      <c r="D198" s="137">
        <v>3130000</v>
      </c>
      <c r="E198" s="20" t="s">
        <v>533</v>
      </c>
      <c r="F198" s="20" t="s">
        <v>534</v>
      </c>
      <c r="G198" s="8" t="str">
        <f t="shared" si="6"/>
        <v>ZEWDU DEREJE</v>
      </c>
      <c r="H198" s="20" t="str">
        <f t="shared" si="7"/>
        <v>4036</v>
      </c>
    </row>
    <row r="199" spans="1:8" x14ac:dyDescent="0.25">
      <c r="A199" s="8">
        <v>43076.838252314818</v>
      </c>
      <c r="B199" s="20" t="s">
        <v>681</v>
      </c>
      <c r="C199" s="20" t="s">
        <v>886</v>
      </c>
      <c r="D199" s="137">
        <v>2000000</v>
      </c>
      <c r="E199" s="20" t="s">
        <v>380</v>
      </c>
      <c r="F199" s="20" t="s">
        <v>381</v>
      </c>
      <c r="G199" s="8" t="str">
        <f t="shared" si="6"/>
        <v>STAMBAUGH JAMES</v>
      </c>
      <c r="H199" s="20" t="str">
        <f t="shared" si="7"/>
        <v>4024</v>
      </c>
    </row>
    <row r="200" spans="1:8" x14ac:dyDescent="0.25">
      <c r="A200" s="8">
        <v>43076.843518518515</v>
      </c>
      <c r="B200" s="20" t="s">
        <v>447</v>
      </c>
      <c r="C200" s="20" t="s">
        <v>887</v>
      </c>
      <c r="D200" s="137">
        <v>3490000</v>
      </c>
      <c r="E200" s="20" t="s">
        <v>531</v>
      </c>
      <c r="F200" s="20" t="s">
        <v>532</v>
      </c>
      <c r="G200" s="8" t="str">
        <f t="shared" si="6"/>
        <v>WEST BRYAN</v>
      </c>
      <c r="H200" s="20" t="str">
        <f t="shared" si="7"/>
        <v>4058</v>
      </c>
    </row>
    <row r="201" spans="1:8" x14ac:dyDescent="0.25">
      <c r="A201" s="8">
        <v>43076.847002314818</v>
      </c>
      <c r="B201" s="20" t="s">
        <v>351</v>
      </c>
      <c r="C201" s="20" t="s">
        <v>705</v>
      </c>
      <c r="D201" s="137">
        <v>3810000</v>
      </c>
      <c r="E201" s="20" t="s">
        <v>427</v>
      </c>
      <c r="F201" s="20" t="s">
        <v>428</v>
      </c>
      <c r="G201" s="8" t="str">
        <f t="shared" si="6"/>
        <v>LORI SANTOS</v>
      </c>
      <c r="H201" s="20" t="str">
        <f t="shared" si="7"/>
        <v>4055</v>
      </c>
    </row>
    <row r="202" spans="1:8" x14ac:dyDescent="0.25">
      <c r="A202" s="26">
        <v>43076.851643518516</v>
      </c>
      <c r="B202" s="20" t="s">
        <v>686</v>
      </c>
      <c r="C202" s="20" t="s">
        <v>888</v>
      </c>
      <c r="D202" s="137">
        <v>2000000</v>
      </c>
      <c r="E202" s="20" t="s">
        <v>380</v>
      </c>
      <c r="F202" s="20" t="s">
        <v>381</v>
      </c>
      <c r="G202" s="8" t="str">
        <f t="shared" si="6"/>
        <v>STAMBAUGH JAMES</v>
      </c>
      <c r="H202" s="20" t="str">
        <f t="shared" si="7"/>
        <v>4023</v>
      </c>
    </row>
    <row r="203" spans="1:8" x14ac:dyDescent="0.25">
      <c r="A203" s="8">
        <v>43076.859675925924</v>
      </c>
      <c r="B203" s="20" t="s">
        <v>523</v>
      </c>
      <c r="C203" s="20" t="s">
        <v>889</v>
      </c>
      <c r="D203" s="137">
        <v>3310000</v>
      </c>
      <c r="E203" s="20" t="s">
        <v>448</v>
      </c>
      <c r="F203" s="20" t="s">
        <v>449</v>
      </c>
      <c r="G203" s="8" t="str">
        <f t="shared" si="6"/>
        <v>ANDERS STEVEN</v>
      </c>
      <c r="H203" s="20" t="str">
        <f t="shared" si="7"/>
        <v>4060</v>
      </c>
    </row>
    <row r="204" spans="1:8" x14ac:dyDescent="0.25">
      <c r="A204" s="8">
        <v>43076.869467592594</v>
      </c>
      <c r="B204" s="20" t="s">
        <v>364</v>
      </c>
      <c r="C204" s="20" t="s">
        <v>890</v>
      </c>
      <c r="D204" s="137">
        <v>3130000</v>
      </c>
      <c r="E204" s="20" t="s">
        <v>533</v>
      </c>
      <c r="F204" s="20" t="s">
        <v>534</v>
      </c>
      <c r="G204" s="8" t="str">
        <f t="shared" si="6"/>
        <v>ZEWDU DEREJE</v>
      </c>
      <c r="H204" s="20" t="str">
        <f t="shared" si="7"/>
        <v>4035</v>
      </c>
    </row>
    <row r="205" spans="1:8" x14ac:dyDescent="0.25">
      <c r="A205" s="8">
        <v>43076.877638888887</v>
      </c>
      <c r="B205" s="20" t="s">
        <v>681</v>
      </c>
      <c r="C205" s="20" t="s">
        <v>891</v>
      </c>
      <c r="D205" s="137">
        <v>3670000</v>
      </c>
      <c r="E205" s="20" t="s">
        <v>372</v>
      </c>
      <c r="F205" s="20" t="s">
        <v>365</v>
      </c>
      <c r="G205" s="8" t="str">
        <f t="shared" si="6"/>
        <v>ANDREA WILLIAMS</v>
      </c>
      <c r="H205" s="20" t="str">
        <f t="shared" si="7"/>
        <v>4024</v>
      </c>
    </row>
    <row r="206" spans="1:8" x14ac:dyDescent="0.25">
      <c r="A206" s="8">
        <v>43076.881990740738</v>
      </c>
      <c r="B206" s="20" t="s">
        <v>498</v>
      </c>
      <c r="C206" s="20" t="s">
        <v>892</v>
      </c>
      <c r="D206" s="137">
        <v>3490000</v>
      </c>
      <c r="E206" s="20" t="s">
        <v>531</v>
      </c>
      <c r="F206" s="20" t="s">
        <v>532</v>
      </c>
      <c r="G206" s="8" t="str">
        <f t="shared" si="6"/>
        <v>WEST BRYAN</v>
      </c>
      <c r="H206" s="20" t="str">
        <f t="shared" si="7"/>
        <v>4057</v>
      </c>
    </row>
    <row r="207" spans="1:8" x14ac:dyDescent="0.25">
      <c r="A207" s="8">
        <v>43076.882916666669</v>
      </c>
      <c r="B207" s="20" t="s">
        <v>413</v>
      </c>
      <c r="C207" s="20" t="s">
        <v>893</v>
      </c>
      <c r="D207" s="137">
        <v>890000</v>
      </c>
      <c r="E207" s="20" t="s">
        <v>344</v>
      </c>
      <c r="F207" s="20" t="s">
        <v>345</v>
      </c>
      <c r="G207" s="8" t="str">
        <f t="shared" si="6"/>
        <v>LOZA FIDEL</v>
      </c>
      <c r="H207" s="20" t="str">
        <f t="shared" si="7"/>
        <v>4056</v>
      </c>
    </row>
    <row r="208" spans="1:8" x14ac:dyDescent="0.25">
      <c r="A208" s="8">
        <v>43076.893553240741</v>
      </c>
      <c r="B208" s="20" t="s">
        <v>686</v>
      </c>
      <c r="C208" s="20" t="s">
        <v>894</v>
      </c>
      <c r="D208" s="137">
        <v>3670000</v>
      </c>
      <c r="E208" s="20" t="s">
        <v>372</v>
      </c>
      <c r="F208" s="20" t="s">
        <v>365</v>
      </c>
      <c r="G208" s="8" t="str">
        <f t="shared" si="6"/>
        <v>ANDREA WILLIAMS</v>
      </c>
      <c r="H208" s="20" t="str">
        <f t="shared" si="7"/>
        <v>4023</v>
      </c>
    </row>
    <row r="209" spans="1:8" x14ac:dyDescent="0.25">
      <c r="A209" s="8">
        <v>43076.901284722226</v>
      </c>
      <c r="B209" s="20" t="s">
        <v>363</v>
      </c>
      <c r="C209" s="20" t="s">
        <v>895</v>
      </c>
      <c r="D209" s="137">
        <v>3340000</v>
      </c>
      <c r="E209" s="20" t="s">
        <v>409</v>
      </c>
      <c r="F209" s="20" t="s">
        <v>410</v>
      </c>
      <c r="G209" s="8" t="str">
        <f t="shared" si="6"/>
        <v>ELBAUM MIKE</v>
      </c>
      <c r="H209" s="20" t="str">
        <f t="shared" si="7"/>
        <v>4036</v>
      </c>
    </row>
    <row r="210" spans="1:8" x14ac:dyDescent="0.25">
      <c r="A210" s="8">
        <v>43076.902928240743</v>
      </c>
      <c r="B210" s="20" t="s">
        <v>714</v>
      </c>
      <c r="C210" s="20" t="s">
        <v>896</v>
      </c>
      <c r="D210" s="137">
        <v>3310000</v>
      </c>
      <c r="E210" s="20" t="s">
        <v>448</v>
      </c>
      <c r="F210" s="20" t="s">
        <v>449</v>
      </c>
      <c r="G210" s="8" t="str">
        <f t="shared" si="6"/>
        <v>ANDERS STEVEN</v>
      </c>
      <c r="H210" s="20" t="str">
        <f t="shared" si="7"/>
        <v>4059</v>
      </c>
    </row>
    <row r="211" spans="1:8" x14ac:dyDescent="0.25">
      <c r="A211" s="8">
        <v>43076.917766203704</v>
      </c>
      <c r="B211" s="20" t="s">
        <v>681</v>
      </c>
      <c r="C211" s="20" t="s">
        <v>897</v>
      </c>
      <c r="D211" s="137">
        <v>3670000</v>
      </c>
      <c r="E211" s="20" t="s">
        <v>372</v>
      </c>
      <c r="F211" s="20" t="s">
        <v>365</v>
      </c>
      <c r="G211" s="8" t="str">
        <f t="shared" si="6"/>
        <v>ANDREA WILLIAMS</v>
      </c>
      <c r="H211" s="20" t="str">
        <f t="shared" si="7"/>
        <v>4024</v>
      </c>
    </row>
    <row r="212" spans="1:8" x14ac:dyDescent="0.25">
      <c r="A212" s="8">
        <v>43076.931990740741</v>
      </c>
      <c r="B212" s="20" t="s">
        <v>447</v>
      </c>
      <c r="C212" s="20" t="s">
        <v>898</v>
      </c>
      <c r="D212" s="137">
        <v>2040000</v>
      </c>
      <c r="E212" s="20" t="s">
        <v>382</v>
      </c>
      <c r="F212" s="20" t="s">
        <v>383</v>
      </c>
      <c r="G212" s="8" t="str">
        <f t="shared" si="6"/>
        <v>MOSES BRADLEY</v>
      </c>
      <c r="H212" s="20" t="str">
        <f t="shared" si="7"/>
        <v>4058</v>
      </c>
    </row>
    <row r="213" spans="1:8" x14ac:dyDescent="0.25">
      <c r="A213" s="8">
        <v>43076.93372685185</v>
      </c>
      <c r="B213" s="20" t="s">
        <v>351</v>
      </c>
      <c r="C213" s="20" t="s">
        <v>899</v>
      </c>
      <c r="D213" s="137">
        <v>890000</v>
      </c>
      <c r="E213" s="20" t="s">
        <v>344</v>
      </c>
      <c r="F213" s="20" t="s">
        <v>345</v>
      </c>
      <c r="G213" s="8" t="str">
        <f t="shared" si="6"/>
        <v>LOZA FIDEL</v>
      </c>
      <c r="H213" s="20" t="str">
        <f t="shared" si="7"/>
        <v>4055</v>
      </c>
    </row>
    <row r="214" spans="1:8" x14ac:dyDescent="0.25">
      <c r="A214" s="8">
        <v>43076.93644675926</v>
      </c>
      <c r="B214" s="20" t="s">
        <v>686</v>
      </c>
      <c r="C214" s="20" t="s">
        <v>900</v>
      </c>
      <c r="D214" s="137">
        <v>3670000</v>
      </c>
      <c r="E214" s="20" t="s">
        <v>372</v>
      </c>
      <c r="F214" s="20" t="s">
        <v>365</v>
      </c>
      <c r="G214" s="8" t="str">
        <f t="shared" si="6"/>
        <v>ANDREA WILLIAMS</v>
      </c>
      <c r="H214" s="20" t="str">
        <f t="shared" si="7"/>
        <v>4023</v>
      </c>
    </row>
    <row r="215" spans="1:8" x14ac:dyDescent="0.25">
      <c r="A215" s="8">
        <v>43076.945231481484</v>
      </c>
      <c r="B215" s="20" t="s">
        <v>364</v>
      </c>
      <c r="C215" s="20" t="s">
        <v>901</v>
      </c>
      <c r="D215" s="137">
        <v>3340000</v>
      </c>
      <c r="E215" s="20" t="s">
        <v>409</v>
      </c>
      <c r="F215" s="20" t="s">
        <v>410</v>
      </c>
      <c r="G215" s="8" t="str">
        <f t="shared" si="6"/>
        <v>ELBAUM MIKE</v>
      </c>
      <c r="H215" s="20" t="str">
        <f t="shared" si="7"/>
        <v>4035</v>
      </c>
    </row>
    <row r="216" spans="1:8" x14ac:dyDescent="0.25">
      <c r="A216" s="8">
        <v>43076.95721064815</v>
      </c>
      <c r="B216" s="20" t="s">
        <v>523</v>
      </c>
      <c r="C216" s="20" t="s">
        <v>902</v>
      </c>
      <c r="D216" s="137">
        <v>3310000</v>
      </c>
      <c r="E216" s="20" t="s">
        <v>448</v>
      </c>
      <c r="F216" s="20" t="s">
        <v>449</v>
      </c>
      <c r="G216" s="8" t="str">
        <f t="shared" si="6"/>
        <v>ANDERS STEVEN</v>
      </c>
      <c r="H216" s="20" t="str">
        <f t="shared" si="7"/>
        <v>4060</v>
      </c>
    </row>
    <row r="217" spans="1:8" x14ac:dyDescent="0.25">
      <c r="A217" s="8">
        <v>43076.957557870373</v>
      </c>
      <c r="B217" s="20" t="s">
        <v>681</v>
      </c>
      <c r="C217" s="20" t="s">
        <v>903</v>
      </c>
      <c r="D217" s="137">
        <v>3670000</v>
      </c>
      <c r="E217" s="20" t="s">
        <v>372</v>
      </c>
      <c r="F217" s="20" t="s">
        <v>365</v>
      </c>
      <c r="G217" s="8" t="str">
        <f t="shared" si="6"/>
        <v>ANDREA WILLIAMS</v>
      </c>
      <c r="H217" s="20" t="str">
        <f t="shared" si="7"/>
        <v>4024</v>
      </c>
    </row>
    <row r="218" spans="1:8" x14ac:dyDescent="0.25">
      <c r="A218" s="8">
        <v>43076.975162037037</v>
      </c>
      <c r="B218" s="20" t="s">
        <v>498</v>
      </c>
      <c r="C218" s="20" t="s">
        <v>904</v>
      </c>
      <c r="D218" s="137">
        <v>2040000</v>
      </c>
      <c r="E218" s="20" t="s">
        <v>382</v>
      </c>
      <c r="F218" s="20" t="s">
        <v>383</v>
      </c>
      <c r="G218" s="8" t="str">
        <f t="shared" si="6"/>
        <v>MOSES BRADLEY</v>
      </c>
      <c r="H218" s="20" t="str">
        <f t="shared" si="7"/>
        <v>4057</v>
      </c>
    </row>
    <row r="219" spans="1:8" x14ac:dyDescent="0.25">
      <c r="A219" s="8">
        <v>43076.976226851853</v>
      </c>
      <c r="B219" s="20" t="s">
        <v>686</v>
      </c>
      <c r="C219" s="20" t="s">
        <v>905</v>
      </c>
      <c r="D219" s="137">
        <v>3670000</v>
      </c>
      <c r="E219" s="20" t="s">
        <v>372</v>
      </c>
      <c r="F219" s="20" t="s">
        <v>365</v>
      </c>
      <c r="G219" s="8" t="str">
        <f t="shared" si="6"/>
        <v>ANDREA WILLIAMS</v>
      </c>
      <c r="H219" s="20" t="str">
        <f t="shared" si="7"/>
        <v>4023</v>
      </c>
    </row>
    <row r="220" spans="1:8" x14ac:dyDescent="0.25">
      <c r="A220" s="8">
        <v>43076.976446759261</v>
      </c>
      <c r="B220" s="20" t="s">
        <v>413</v>
      </c>
      <c r="C220" s="20" t="s">
        <v>906</v>
      </c>
      <c r="D220" s="137">
        <v>3810000</v>
      </c>
      <c r="E220" s="20" t="s">
        <v>427</v>
      </c>
      <c r="F220" s="20" t="s">
        <v>428</v>
      </c>
      <c r="G220" s="8" t="str">
        <f t="shared" si="6"/>
        <v>LORI SANTOS</v>
      </c>
      <c r="H220" s="20" t="str">
        <f t="shared" si="7"/>
        <v>4056</v>
      </c>
    </row>
    <row r="221" spans="1:8" x14ac:dyDescent="0.25">
      <c r="A221" s="8">
        <v>43076.988506944443</v>
      </c>
      <c r="B221" s="20" t="s">
        <v>714</v>
      </c>
      <c r="C221" s="20" t="s">
        <v>907</v>
      </c>
      <c r="D221" s="137">
        <v>3310000</v>
      </c>
      <c r="E221" s="20" t="s">
        <v>448</v>
      </c>
      <c r="F221" s="20" t="s">
        <v>449</v>
      </c>
      <c r="G221" s="8" t="str">
        <f t="shared" si="6"/>
        <v>ANDERS STEVEN</v>
      </c>
      <c r="H221" s="20" t="str">
        <f t="shared" si="7"/>
        <v>4059</v>
      </c>
    </row>
    <row r="222" spans="1:8" x14ac:dyDescent="0.25">
      <c r="A222" s="8">
        <v>43076.993298611109</v>
      </c>
      <c r="B222" s="20" t="s">
        <v>363</v>
      </c>
      <c r="C222" s="20" t="s">
        <v>908</v>
      </c>
      <c r="D222" s="137">
        <v>3340000</v>
      </c>
      <c r="E222" s="20" t="s">
        <v>409</v>
      </c>
      <c r="F222" s="20" t="s">
        <v>410</v>
      </c>
      <c r="G222" s="8" t="str">
        <f t="shared" si="6"/>
        <v>ELBAUM MIKE</v>
      </c>
      <c r="H222" s="20" t="str">
        <f t="shared" si="7"/>
        <v>4036</v>
      </c>
    </row>
    <row r="223" spans="1:8" x14ac:dyDescent="0.25">
      <c r="A223" s="8">
        <v>43077.012048611112</v>
      </c>
      <c r="B223" s="20" t="s">
        <v>351</v>
      </c>
      <c r="C223" s="20" t="s">
        <v>909</v>
      </c>
      <c r="D223" s="137">
        <v>3810000</v>
      </c>
      <c r="E223" s="20" t="s">
        <v>427</v>
      </c>
      <c r="F223" s="20" t="s">
        <v>428</v>
      </c>
      <c r="G223" s="8" t="str">
        <f t="shared" si="6"/>
        <v>LORI SANTOS</v>
      </c>
      <c r="H223" s="20" t="str">
        <f t="shared" si="7"/>
        <v>4055</v>
      </c>
    </row>
    <row r="224" spans="1:8" x14ac:dyDescent="0.25">
      <c r="A224" s="8">
        <v>43077.019375000003</v>
      </c>
      <c r="B224" t="s">
        <v>447</v>
      </c>
      <c r="C224" t="s">
        <v>910</v>
      </c>
      <c r="D224" s="137">
        <v>2040000</v>
      </c>
      <c r="E224" t="s">
        <v>382</v>
      </c>
      <c r="F224" s="20" t="s">
        <v>383</v>
      </c>
      <c r="G224" s="8" t="str">
        <f t="shared" si="6"/>
        <v>MOSES BRADLEY</v>
      </c>
      <c r="H224" s="20" t="str">
        <f t="shared" si="7"/>
        <v>4058</v>
      </c>
    </row>
    <row r="225" spans="1:8" x14ac:dyDescent="0.25">
      <c r="A225" s="8">
        <v>43077.026053240741</v>
      </c>
      <c r="B225" t="s">
        <v>364</v>
      </c>
      <c r="C225" t="s">
        <v>911</v>
      </c>
      <c r="D225" s="137">
        <v>3340000</v>
      </c>
      <c r="E225" t="s">
        <v>409</v>
      </c>
      <c r="F225" s="20" t="s">
        <v>410</v>
      </c>
      <c r="G225" s="8" t="str">
        <f t="shared" si="6"/>
        <v>ELBAUM MIKE</v>
      </c>
      <c r="H225" s="20" t="str">
        <f t="shared" si="7"/>
        <v>4035</v>
      </c>
    </row>
    <row r="226" spans="1:8" x14ac:dyDescent="0.25">
      <c r="A226" s="8">
        <v>43077.029664351852</v>
      </c>
      <c r="B226" t="s">
        <v>523</v>
      </c>
      <c r="C226" t="s">
        <v>912</v>
      </c>
      <c r="D226" s="137">
        <v>3310000</v>
      </c>
      <c r="E226" t="s">
        <v>448</v>
      </c>
      <c r="F226" s="20" t="s">
        <v>449</v>
      </c>
      <c r="G226" s="8" t="str">
        <f t="shared" si="6"/>
        <v>ANDERS STEVEN</v>
      </c>
      <c r="H226" s="20" t="str">
        <f t="shared" si="7"/>
        <v>4060</v>
      </c>
    </row>
    <row r="227" spans="1:8" x14ac:dyDescent="0.25">
      <c r="A227" s="8">
        <v>43077.04886574074</v>
      </c>
      <c r="B227" t="s">
        <v>413</v>
      </c>
      <c r="C227" t="s">
        <v>913</v>
      </c>
      <c r="D227" s="137">
        <v>890000</v>
      </c>
      <c r="E227" t="s">
        <v>344</v>
      </c>
      <c r="F227" s="20" t="s">
        <v>345</v>
      </c>
      <c r="G227" s="8" t="str">
        <f t="shared" si="6"/>
        <v>LOZA FIDEL</v>
      </c>
      <c r="H227" s="20" t="str">
        <f t="shared" si="7"/>
        <v>4056</v>
      </c>
    </row>
    <row r="228" spans="1:8" x14ac:dyDescent="0.25">
      <c r="A228" s="8">
        <v>43077.058067129627</v>
      </c>
      <c r="B228" t="s">
        <v>498</v>
      </c>
      <c r="C228" t="s">
        <v>914</v>
      </c>
      <c r="D228" s="137">
        <v>2040000</v>
      </c>
      <c r="E228" t="s">
        <v>382</v>
      </c>
      <c r="F228" s="20" t="s">
        <v>383</v>
      </c>
      <c r="G228" s="8" t="str">
        <f t="shared" si="6"/>
        <v>MOSES BRADLEY</v>
      </c>
      <c r="H228" s="20" t="str">
        <f t="shared" si="7"/>
        <v>4057</v>
      </c>
    </row>
    <row r="229" spans="1:8" x14ac:dyDescent="0.25">
      <c r="A229" s="8">
        <v>43077.083622685182</v>
      </c>
      <c r="B229" t="s">
        <v>498</v>
      </c>
      <c r="C229" t="s">
        <v>914</v>
      </c>
      <c r="D229" s="137">
        <v>2040000</v>
      </c>
      <c r="E229" t="s">
        <v>382</v>
      </c>
      <c r="F229" s="20" t="s">
        <v>383</v>
      </c>
      <c r="G229" s="8" t="str">
        <f t="shared" si="6"/>
        <v>MOSES BRADLEY</v>
      </c>
      <c r="H229" s="20" t="str">
        <f t="shared" si="7"/>
        <v>4057</v>
      </c>
    </row>
    <row r="230" spans="1:8" x14ac:dyDescent="0.25">
      <c r="A230" s="8">
        <v>43077.110266203701</v>
      </c>
      <c r="B230" t="s">
        <v>562</v>
      </c>
      <c r="C230" t="s">
        <v>915</v>
      </c>
      <c r="D230" s="137">
        <v>1090000</v>
      </c>
      <c r="E230" t="s">
        <v>495</v>
      </c>
      <c r="F230" s="20" t="s">
        <v>352</v>
      </c>
      <c r="G230" s="8" t="str">
        <f t="shared" si="6"/>
        <v>SPECTOR MICHAEL</v>
      </c>
      <c r="H230" s="20" t="str">
        <f t="shared" si="7"/>
        <v>4041</v>
      </c>
    </row>
    <row r="231" spans="1:8" x14ac:dyDescent="0.25">
      <c r="A231" s="8">
        <v>43075.829236111109</v>
      </c>
      <c r="B231" t="s">
        <v>358</v>
      </c>
      <c r="C231" t="s">
        <v>580</v>
      </c>
      <c r="D231" s="137">
        <v>2040000</v>
      </c>
      <c r="E231" t="s">
        <v>382</v>
      </c>
      <c r="F231" s="20" t="s">
        <v>383</v>
      </c>
      <c r="G231" s="8" t="str">
        <f t="shared" si="6"/>
        <v>MOSES BRADLEY</v>
      </c>
      <c r="H231" s="20" t="str">
        <f t="shared" si="7"/>
        <v>4007</v>
      </c>
    </row>
    <row r="232" spans="1:8" x14ac:dyDescent="0.25">
      <c r="A232" s="8">
        <v>43075.83085648148</v>
      </c>
      <c r="B232" t="s">
        <v>455</v>
      </c>
      <c r="C232" t="s">
        <v>581</v>
      </c>
      <c r="D232" s="137">
        <v>3840000</v>
      </c>
      <c r="E232" t="s">
        <v>503</v>
      </c>
      <c r="F232" s="20" t="s">
        <v>504</v>
      </c>
      <c r="G232" s="8" t="str">
        <f t="shared" si="6"/>
        <v>LONG FULLER</v>
      </c>
      <c r="H232" s="20" t="str">
        <f t="shared" si="7"/>
        <v>4032</v>
      </c>
    </row>
    <row r="233" spans="1:8" x14ac:dyDescent="0.25">
      <c r="A233" s="8">
        <v>43075.834108796298</v>
      </c>
      <c r="B233" t="s">
        <v>564</v>
      </c>
      <c r="C233" t="s">
        <v>582</v>
      </c>
      <c r="D233" s="137">
        <v>1180000</v>
      </c>
      <c r="E233" t="s">
        <v>573</v>
      </c>
      <c r="F233" s="20" t="s">
        <v>574</v>
      </c>
      <c r="G233" s="8" t="str">
        <f t="shared" si="6"/>
        <v>LEVERE CRAIG</v>
      </c>
      <c r="H233" s="20" t="str">
        <f t="shared" si="7"/>
        <v>4050</v>
      </c>
    </row>
    <row r="234" spans="1:8" x14ac:dyDescent="0.25">
      <c r="A234" s="8">
        <v>43075.840150462966</v>
      </c>
      <c r="B234" t="s">
        <v>521</v>
      </c>
      <c r="C234" t="s">
        <v>575</v>
      </c>
      <c r="D234" s="137">
        <v>1200000</v>
      </c>
      <c r="E234" t="s">
        <v>576</v>
      </c>
      <c r="F234" s="20" t="s">
        <v>577</v>
      </c>
      <c r="G234" s="8" t="str">
        <f t="shared" si="6"/>
        <v>CUSHING HARRY</v>
      </c>
      <c r="H234" s="20" t="str">
        <f t="shared" si="7"/>
        <v>4015</v>
      </c>
    </row>
    <row r="235" spans="1:8" x14ac:dyDescent="0.25">
      <c r="A235" s="8">
        <v>43075.840509259258</v>
      </c>
      <c r="B235" t="s">
        <v>502</v>
      </c>
      <c r="C235" t="s">
        <v>583</v>
      </c>
      <c r="D235" s="137">
        <v>3310000</v>
      </c>
      <c r="E235" t="s">
        <v>448</v>
      </c>
      <c r="F235" s="20" t="s">
        <v>449</v>
      </c>
      <c r="G235" s="8" t="str">
        <f t="shared" si="6"/>
        <v>ANDERS STEVEN</v>
      </c>
      <c r="H235" s="20" t="str">
        <f t="shared" si="7"/>
        <v>4064</v>
      </c>
    </row>
    <row r="236" spans="1:8" x14ac:dyDescent="0.25">
      <c r="A236" s="8">
        <v>43075.846250000002</v>
      </c>
      <c r="B236" t="s">
        <v>472</v>
      </c>
      <c r="C236" t="s">
        <v>584</v>
      </c>
      <c r="D236" s="137">
        <v>3220000</v>
      </c>
      <c r="E236" t="s">
        <v>370</v>
      </c>
      <c r="F236" s="20" t="s">
        <v>371</v>
      </c>
      <c r="G236" s="8" t="str">
        <f t="shared" si="6"/>
        <v>RESPASS AARON</v>
      </c>
      <c r="H236" s="20" t="str">
        <f t="shared" si="7"/>
        <v>4009</v>
      </c>
    </row>
    <row r="237" spans="1:8" x14ac:dyDescent="0.25">
      <c r="A237" s="8">
        <v>43075.850219907406</v>
      </c>
      <c r="B237" t="s">
        <v>522</v>
      </c>
      <c r="C237" t="s">
        <v>572</v>
      </c>
      <c r="D237" s="137">
        <v>1200000</v>
      </c>
      <c r="E237" t="s">
        <v>576</v>
      </c>
      <c r="F237" s="20" t="s">
        <v>577</v>
      </c>
      <c r="G237" s="8" t="str">
        <f t="shared" si="6"/>
        <v>CUSHING HARRY</v>
      </c>
      <c r="H237" s="20" t="str">
        <f t="shared" si="7"/>
        <v>4016</v>
      </c>
    </row>
    <row r="238" spans="1:8" x14ac:dyDescent="0.25">
      <c r="A238" s="8">
        <v>43075.85260416667</v>
      </c>
      <c r="B238" t="s">
        <v>571</v>
      </c>
      <c r="C238" t="s">
        <v>585</v>
      </c>
      <c r="D238" s="137">
        <v>1180000</v>
      </c>
      <c r="E238" t="s">
        <v>573</v>
      </c>
      <c r="F238" s="20" t="s">
        <v>574</v>
      </c>
      <c r="G238" s="8" t="str">
        <f t="shared" si="6"/>
        <v>LEVERE CRAIG</v>
      </c>
      <c r="H238" s="20" t="str">
        <f t="shared" si="7"/>
        <v>4049</v>
      </c>
    </row>
    <row r="239" spans="1:8" x14ac:dyDescent="0.25">
      <c r="A239" s="8">
        <v>43075.86409722222</v>
      </c>
      <c r="B239" t="s">
        <v>521</v>
      </c>
      <c r="C239" t="s">
        <v>575</v>
      </c>
      <c r="D239" s="137">
        <v>1200000</v>
      </c>
      <c r="E239" t="s">
        <v>576</v>
      </c>
      <c r="F239" s="20" t="s">
        <v>577</v>
      </c>
      <c r="G239" s="8" t="str">
        <f t="shared" si="6"/>
        <v>CUSHING HARRY</v>
      </c>
      <c r="H239" s="20" t="str">
        <f t="shared" si="7"/>
        <v>4015</v>
      </c>
    </row>
    <row r="240" spans="1:8" x14ac:dyDescent="0.25">
      <c r="A240" s="8">
        <v>43075.867800925924</v>
      </c>
      <c r="B240" t="s">
        <v>356</v>
      </c>
      <c r="C240" t="s">
        <v>586</v>
      </c>
      <c r="D240" s="137">
        <v>2040000</v>
      </c>
      <c r="E240" t="s">
        <v>382</v>
      </c>
      <c r="F240" s="20" t="s">
        <v>383</v>
      </c>
      <c r="G240" s="8" t="str">
        <f t="shared" si="6"/>
        <v>MOSES BRADLEY</v>
      </c>
      <c r="H240" s="20" t="str">
        <f t="shared" si="7"/>
        <v>4008</v>
      </c>
    </row>
    <row r="241" spans="1:8" x14ac:dyDescent="0.25">
      <c r="A241" s="8">
        <v>43075.869490740741</v>
      </c>
      <c r="B241" t="s">
        <v>454</v>
      </c>
      <c r="C241" t="s">
        <v>566</v>
      </c>
      <c r="D241" s="137">
        <v>3840000</v>
      </c>
      <c r="E241" t="s">
        <v>503</v>
      </c>
      <c r="F241" s="20" t="s">
        <v>504</v>
      </c>
      <c r="G241" s="8" t="str">
        <f t="shared" si="6"/>
        <v>LONG FULLER</v>
      </c>
      <c r="H241" s="20" t="str">
        <f t="shared" si="7"/>
        <v>4031</v>
      </c>
    </row>
    <row r="242" spans="1:8" x14ac:dyDescent="0.25">
      <c r="A242" s="8">
        <v>43075.875775462962</v>
      </c>
      <c r="B242" t="s">
        <v>564</v>
      </c>
      <c r="C242" t="s">
        <v>565</v>
      </c>
      <c r="D242" s="137">
        <v>2000000</v>
      </c>
      <c r="E242" t="s">
        <v>380</v>
      </c>
      <c r="F242" s="20" t="s">
        <v>381</v>
      </c>
      <c r="G242" s="8" t="str">
        <f t="shared" si="6"/>
        <v>STAMBAUGH JAMES</v>
      </c>
      <c r="H242" s="20" t="str">
        <f t="shared" si="7"/>
        <v>4050</v>
      </c>
    </row>
    <row r="243" spans="1:8" x14ac:dyDescent="0.25">
      <c r="A243" s="8">
        <v>43075.881805555553</v>
      </c>
      <c r="B243" t="s">
        <v>473</v>
      </c>
      <c r="C243" t="s">
        <v>587</v>
      </c>
      <c r="D243" s="137">
        <v>3220000</v>
      </c>
      <c r="E243" t="s">
        <v>370</v>
      </c>
      <c r="F243" s="20" t="s">
        <v>371</v>
      </c>
      <c r="G243" s="8" t="str">
        <f t="shared" si="6"/>
        <v>RESPASS AARON</v>
      </c>
      <c r="H243" s="20" t="str">
        <f t="shared" si="7"/>
        <v>4010</v>
      </c>
    </row>
    <row r="244" spans="1:8" x14ac:dyDescent="0.25">
      <c r="A244" s="8">
        <v>43075.892326388886</v>
      </c>
      <c r="B244" t="s">
        <v>474</v>
      </c>
      <c r="C244" t="s">
        <v>567</v>
      </c>
      <c r="D244" s="137">
        <v>3310000</v>
      </c>
      <c r="E244" t="s">
        <v>448</v>
      </c>
      <c r="F244" s="20" t="s">
        <v>449</v>
      </c>
      <c r="G244" s="8" t="str">
        <f t="shared" si="6"/>
        <v>ANDERS STEVEN</v>
      </c>
      <c r="H244" s="20" t="str">
        <f t="shared" si="7"/>
        <v>4063</v>
      </c>
    </row>
    <row r="245" spans="1:8" x14ac:dyDescent="0.25">
      <c r="A245" s="8">
        <v>43075.892372685186</v>
      </c>
      <c r="B245" t="s">
        <v>522</v>
      </c>
      <c r="C245" t="s">
        <v>572</v>
      </c>
      <c r="D245" s="137">
        <v>1200000</v>
      </c>
      <c r="E245" t="s">
        <v>576</v>
      </c>
      <c r="F245" s="20" t="s">
        <v>577</v>
      </c>
      <c r="G245" s="8" t="str">
        <f t="shared" si="6"/>
        <v>CUSHING HARRY</v>
      </c>
      <c r="H245" s="20" t="str">
        <f t="shared" si="7"/>
        <v>4016</v>
      </c>
    </row>
    <row r="246" spans="1:8" x14ac:dyDescent="0.25">
      <c r="A246" s="8">
        <v>43075.892743055556</v>
      </c>
      <c r="B246" t="s">
        <v>571</v>
      </c>
      <c r="C246" t="s">
        <v>565</v>
      </c>
      <c r="D246" s="137">
        <v>2000000</v>
      </c>
      <c r="E246" t="s">
        <v>380</v>
      </c>
      <c r="F246" s="20" t="s">
        <v>381</v>
      </c>
      <c r="G246" s="8" t="str">
        <f t="shared" si="6"/>
        <v>STAMBAUGH JAMES</v>
      </c>
      <c r="H246" s="20" t="str">
        <f t="shared" si="7"/>
        <v>4049</v>
      </c>
    </row>
    <row r="247" spans="1:8" x14ac:dyDescent="0.25">
      <c r="A247" s="8">
        <v>43075.893865740742</v>
      </c>
      <c r="B247" t="s">
        <v>571</v>
      </c>
      <c r="C247" t="s">
        <v>588</v>
      </c>
      <c r="D247" s="137">
        <v>2000000</v>
      </c>
      <c r="E247" t="s">
        <v>380</v>
      </c>
      <c r="F247" s="20" t="s">
        <v>381</v>
      </c>
      <c r="G247" s="8" t="str">
        <f t="shared" si="6"/>
        <v>STAMBAUGH JAMES</v>
      </c>
      <c r="H247" s="20" t="str">
        <f t="shared" si="7"/>
        <v>4049</v>
      </c>
    </row>
    <row r="248" spans="1:8" x14ac:dyDescent="0.25">
      <c r="A248" s="8">
        <v>43075.912824074076</v>
      </c>
      <c r="B248" t="s">
        <v>358</v>
      </c>
      <c r="C248" t="s">
        <v>589</v>
      </c>
      <c r="D248" s="137">
        <v>2040000</v>
      </c>
      <c r="E248" t="s">
        <v>382</v>
      </c>
      <c r="F248" s="20" t="s">
        <v>383</v>
      </c>
      <c r="G248" s="8" t="str">
        <f t="shared" si="6"/>
        <v>MOSES BRADLEY</v>
      </c>
      <c r="H248" s="20" t="str">
        <f t="shared" si="7"/>
        <v>4007</v>
      </c>
    </row>
    <row r="249" spans="1:8" x14ac:dyDescent="0.25">
      <c r="A249" s="8">
        <v>43075.915231481478</v>
      </c>
      <c r="B249" t="s">
        <v>455</v>
      </c>
      <c r="C249" t="s">
        <v>590</v>
      </c>
      <c r="D249" s="137">
        <v>890000</v>
      </c>
      <c r="E249" t="s">
        <v>344</v>
      </c>
      <c r="F249" s="20" t="s">
        <v>345</v>
      </c>
      <c r="G249" s="8" t="str">
        <f t="shared" si="6"/>
        <v>LOZA FIDEL</v>
      </c>
      <c r="H249" s="20" t="str">
        <f t="shared" si="7"/>
        <v>4032</v>
      </c>
    </row>
    <row r="250" spans="1:8" x14ac:dyDescent="0.25">
      <c r="A250" s="8">
        <v>43075.920555555553</v>
      </c>
      <c r="B250" t="s">
        <v>564</v>
      </c>
      <c r="C250" t="s">
        <v>591</v>
      </c>
      <c r="D250" s="137">
        <v>2000000</v>
      </c>
      <c r="E250" t="s">
        <v>380</v>
      </c>
      <c r="F250" s="20" t="s">
        <v>381</v>
      </c>
      <c r="G250" s="8" t="str">
        <f t="shared" si="6"/>
        <v>STAMBAUGH JAMES</v>
      </c>
      <c r="H250" s="20" t="str">
        <f t="shared" si="7"/>
        <v>4050</v>
      </c>
    </row>
    <row r="251" spans="1:8" x14ac:dyDescent="0.25">
      <c r="A251" s="8">
        <v>43075.923715277779</v>
      </c>
      <c r="B251" t="s">
        <v>502</v>
      </c>
      <c r="C251" t="s">
        <v>592</v>
      </c>
      <c r="D251" s="137">
        <v>3310000</v>
      </c>
      <c r="E251" t="s">
        <v>448</v>
      </c>
      <c r="F251" s="20" t="s">
        <v>449</v>
      </c>
      <c r="G251" s="8" t="str">
        <f t="shared" si="6"/>
        <v>ANDERS STEVEN</v>
      </c>
      <c r="H251" s="20" t="str">
        <f t="shared" si="7"/>
        <v>4064</v>
      </c>
    </row>
    <row r="252" spans="1:8" x14ac:dyDescent="0.25">
      <c r="A252" s="8">
        <v>43075.929502314815</v>
      </c>
      <c r="B252" t="s">
        <v>472</v>
      </c>
      <c r="C252" t="s">
        <v>593</v>
      </c>
      <c r="D252" s="137">
        <v>3220000</v>
      </c>
      <c r="E252" t="s">
        <v>370</v>
      </c>
      <c r="F252" s="20" t="s">
        <v>371</v>
      </c>
      <c r="G252" s="8" t="str">
        <f t="shared" si="6"/>
        <v>RESPASS AARON</v>
      </c>
      <c r="H252" s="20" t="str">
        <f t="shared" si="7"/>
        <v>4009</v>
      </c>
    </row>
    <row r="253" spans="1:8" x14ac:dyDescent="0.25">
      <c r="A253" s="8">
        <v>43075.93340277778</v>
      </c>
      <c r="B253" t="s">
        <v>571</v>
      </c>
      <c r="C253" t="s">
        <v>594</v>
      </c>
      <c r="D253" s="137">
        <v>2000000</v>
      </c>
      <c r="E253" t="s">
        <v>380</v>
      </c>
      <c r="F253" s="20" t="s">
        <v>381</v>
      </c>
      <c r="G253" s="8" t="str">
        <f t="shared" si="6"/>
        <v>STAMBAUGH JAMES</v>
      </c>
      <c r="H253" s="20" t="str">
        <f t="shared" si="7"/>
        <v>4049</v>
      </c>
    </row>
    <row r="254" spans="1:8" x14ac:dyDescent="0.25">
      <c r="A254" s="8">
        <v>43075.952314814815</v>
      </c>
      <c r="B254" t="s">
        <v>454</v>
      </c>
      <c r="C254" t="s">
        <v>595</v>
      </c>
      <c r="D254" s="137">
        <v>3840000</v>
      </c>
      <c r="E254" t="s">
        <v>503</v>
      </c>
      <c r="F254" s="20" t="s">
        <v>504</v>
      </c>
      <c r="G254" s="8" t="str">
        <f t="shared" si="6"/>
        <v>LONG FULLER</v>
      </c>
      <c r="H254" s="20" t="str">
        <f t="shared" si="7"/>
        <v>4031</v>
      </c>
    </row>
    <row r="255" spans="1:8" x14ac:dyDescent="0.25">
      <c r="A255" s="8">
        <v>43075.956990740742</v>
      </c>
      <c r="B255" t="s">
        <v>356</v>
      </c>
      <c r="C255" t="s">
        <v>596</v>
      </c>
      <c r="D255" s="137">
        <v>2040000</v>
      </c>
      <c r="E255" t="s">
        <v>382</v>
      </c>
      <c r="F255" s="20" t="s">
        <v>383</v>
      </c>
      <c r="G255" s="8" t="str">
        <f t="shared" si="6"/>
        <v>MOSES BRADLEY</v>
      </c>
      <c r="H255" s="20" t="str">
        <f t="shared" si="7"/>
        <v>4008</v>
      </c>
    </row>
    <row r="256" spans="1:8" x14ac:dyDescent="0.25">
      <c r="A256" s="8">
        <v>43075.959849537037</v>
      </c>
      <c r="B256" t="s">
        <v>564</v>
      </c>
      <c r="C256" t="s">
        <v>597</v>
      </c>
      <c r="D256" s="137">
        <v>2000000</v>
      </c>
      <c r="E256" t="s">
        <v>380</v>
      </c>
      <c r="F256" s="20" t="s">
        <v>381</v>
      </c>
      <c r="G256" s="8" t="str">
        <f t="shared" si="6"/>
        <v>STAMBAUGH JAMES</v>
      </c>
      <c r="H256" s="20" t="str">
        <f t="shared" si="7"/>
        <v>4050</v>
      </c>
    </row>
    <row r="257" spans="1:8" x14ac:dyDescent="0.25">
      <c r="A257" s="8">
        <v>43075.966597222221</v>
      </c>
      <c r="B257" t="s">
        <v>474</v>
      </c>
      <c r="C257" t="s">
        <v>568</v>
      </c>
      <c r="D257" s="137">
        <v>3310000</v>
      </c>
      <c r="E257" t="s">
        <v>448</v>
      </c>
      <c r="F257" s="20" t="s">
        <v>449</v>
      </c>
      <c r="G257" s="8" t="str">
        <f t="shared" si="6"/>
        <v>ANDERS STEVEN</v>
      </c>
      <c r="H257" s="20" t="str">
        <f t="shared" si="7"/>
        <v>4063</v>
      </c>
    </row>
    <row r="258" spans="1:8" x14ac:dyDescent="0.25">
      <c r="A258" s="8">
        <v>43075.97451388889</v>
      </c>
      <c r="B258" t="s">
        <v>473</v>
      </c>
      <c r="C258" t="s">
        <v>598</v>
      </c>
      <c r="D258" s="137">
        <v>3220000</v>
      </c>
      <c r="E258" t="s">
        <v>370</v>
      </c>
      <c r="F258" s="20" t="s">
        <v>371</v>
      </c>
      <c r="G258" s="8" t="str">
        <f t="shared" si="6"/>
        <v>RESPASS AARON</v>
      </c>
      <c r="H258" s="20" t="str">
        <f t="shared" si="7"/>
        <v>4010</v>
      </c>
    </row>
    <row r="259" spans="1:8" x14ac:dyDescent="0.25">
      <c r="A259" s="8">
        <v>43075.97483796296</v>
      </c>
      <c r="B259" t="s">
        <v>571</v>
      </c>
      <c r="C259" t="s">
        <v>599</v>
      </c>
      <c r="D259" s="137">
        <v>2000000</v>
      </c>
      <c r="E259" t="s">
        <v>380</v>
      </c>
      <c r="F259" s="20" t="s">
        <v>381</v>
      </c>
      <c r="G259" s="8" t="str">
        <f t="shared" ref="G259:G313" si="8">E259&amp;" "&amp;F259</f>
        <v>STAMBAUGH JAMES</v>
      </c>
      <c r="H259" s="20" t="str">
        <f t="shared" ref="H259:H313" si="9">MID(B259,13,4)</f>
        <v>4049</v>
      </c>
    </row>
    <row r="260" spans="1:8" x14ac:dyDescent="0.25">
      <c r="A260" s="8">
        <v>43075.983958333331</v>
      </c>
      <c r="B260" t="s">
        <v>358</v>
      </c>
      <c r="C260" t="s">
        <v>600</v>
      </c>
      <c r="D260" s="137">
        <v>2040000</v>
      </c>
      <c r="E260" t="s">
        <v>382</v>
      </c>
      <c r="F260" s="20" t="s">
        <v>383</v>
      </c>
      <c r="G260" s="8" t="str">
        <f t="shared" si="8"/>
        <v>MOSES BRADLEY</v>
      </c>
      <c r="H260" s="20" t="str">
        <f t="shared" si="9"/>
        <v>4007</v>
      </c>
    </row>
    <row r="261" spans="1:8" x14ac:dyDescent="0.25">
      <c r="A261" s="8">
        <v>43075.98678240741</v>
      </c>
      <c r="B261" t="s">
        <v>455</v>
      </c>
      <c r="C261" t="s">
        <v>601</v>
      </c>
      <c r="D261" s="137">
        <v>890000</v>
      </c>
      <c r="E261" t="s">
        <v>344</v>
      </c>
      <c r="F261" s="20" t="s">
        <v>345</v>
      </c>
      <c r="G261" s="8" t="str">
        <f t="shared" si="8"/>
        <v>LOZA FIDEL</v>
      </c>
      <c r="H261" s="20" t="str">
        <f t="shared" si="9"/>
        <v>4032</v>
      </c>
    </row>
    <row r="262" spans="1:8" x14ac:dyDescent="0.25">
      <c r="A262" s="8">
        <v>43076.008206018516</v>
      </c>
      <c r="B262" t="s">
        <v>502</v>
      </c>
      <c r="C262" t="s">
        <v>602</v>
      </c>
      <c r="D262" s="137">
        <v>3310000</v>
      </c>
      <c r="E262" t="s">
        <v>448</v>
      </c>
      <c r="F262" s="20" t="s">
        <v>449</v>
      </c>
      <c r="G262" s="8" t="str">
        <f t="shared" si="8"/>
        <v>ANDERS STEVEN</v>
      </c>
      <c r="H262" s="20" t="str">
        <f t="shared" si="9"/>
        <v>4064</v>
      </c>
    </row>
    <row r="263" spans="1:8" x14ac:dyDescent="0.25">
      <c r="A263" s="8">
        <v>43076.015740740739</v>
      </c>
      <c r="B263" t="s">
        <v>472</v>
      </c>
      <c r="C263" t="s">
        <v>603</v>
      </c>
      <c r="D263" s="137">
        <v>3220000</v>
      </c>
      <c r="E263" t="s">
        <v>370</v>
      </c>
      <c r="F263" s="20" t="s">
        <v>371</v>
      </c>
      <c r="G263" s="8" t="str">
        <f t="shared" si="8"/>
        <v>RESPASS AARON</v>
      </c>
      <c r="H263" s="20" t="str">
        <f t="shared" si="9"/>
        <v>4009</v>
      </c>
    </row>
    <row r="264" spans="1:8" x14ac:dyDescent="0.25">
      <c r="A264" s="8">
        <v>43076.02616898148</v>
      </c>
      <c r="B264" t="s">
        <v>356</v>
      </c>
      <c r="C264" t="s">
        <v>604</v>
      </c>
      <c r="D264" s="137">
        <v>2040000</v>
      </c>
      <c r="E264" t="s">
        <v>382</v>
      </c>
      <c r="F264" s="20" t="s">
        <v>383</v>
      </c>
      <c r="G264" s="8" t="str">
        <f t="shared" si="8"/>
        <v>MOSES BRADLEY</v>
      </c>
      <c r="H264" s="20" t="str">
        <f t="shared" si="9"/>
        <v>4008</v>
      </c>
    </row>
    <row r="265" spans="1:8" x14ac:dyDescent="0.25">
      <c r="A265" s="8">
        <v>43076.03392361111</v>
      </c>
      <c r="B265" t="s">
        <v>454</v>
      </c>
      <c r="C265" t="s">
        <v>605</v>
      </c>
      <c r="D265" s="137">
        <v>3840000</v>
      </c>
      <c r="E265" t="s">
        <v>503</v>
      </c>
      <c r="F265" s="20" t="s">
        <v>504</v>
      </c>
      <c r="G265" s="8" t="str">
        <f t="shared" si="8"/>
        <v>LONG FULLER</v>
      </c>
      <c r="H265" s="20" t="str">
        <f t="shared" si="9"/>
        <v>4031</v>
      </c>
    </row>
    <row r="266" spans="1:8" x14ac:dyDescent="0.25">
      <c r="A266" s="8">
        <v>43076.04546296296</v>
      </c>
      <c r="B266" t="s">
        <v>473</v>
      </c>
      <c r="C266" t="s">
        <v>606</v>
      </c>
      <c r="D266" s="137">
        <v>3220000</v>
      </c>
      <c r="E266" t="s">
        <v>370</v>
      </c>
      <c r="F266" s="20" t="s">
        <v>371</v>
      </c>
      <c r="G266" s="8" t="str">
        <f t="shared" si="8"/>
        <v>RESPASS AARON</v>
      </c>
      <c r="H266" s="20" t="str">
        <f t="shared" si="9"/>
        <v>4010</v>
      </c>
    </row>
    <row r="267" spans="1:8" x14ac:dyDescent="0.25">
      <c r="A267" s="8">
        <v>43076.051261574074</v>
      </c>
      <c r="B267" t="s">
        <v>474</v>
      </c>
      <c r="C267" t="s">
        <v>607</v>
      </c>
      <c r="D267" s="137">
        <v>3310000</v>
      </c>
      <c r="E267" t="s">
        <v>448</v>
      </c>
      <c r="F267" s="20" t="s">
        <v>449</v>
      </c>
      <c r="G267" s="8" t="str">
        <f t="shared" si="8"/>
        <v>ANDERS STEVEN</v>
      </c>
      <c r="H267" s="20" t="str">
        <f t="shared" si="9"/>
        <v>4063</v>
      </c>
    </row>
    <row r="268" spans="1:8" x14ac:dyDescent="0.25">
      <c r="A268" s="8">
        <v>43076.070243055554</v>
      </c>
      <c r="B268" t="s">
        <v>455</v>
      </c>
      <c r="C268" t="s">
        <v>608</v>
      </c>
      <c r="D268" s="137">
        <v>3840000</v>
      </c>
      <c r="E268" t="s">
        <v>503</v>
      </c>
      <c r="F268" s="20" t="s">
        <v>504</v>
      </c>
      <c r="G268" s="8" t="str">
        <f t="shared" si="8"/>
        <v>LONG FULLER</v>
      </c>
      <c r="H268" s="20" t="str">
        <f t="shared" si="9"/>
        <v>4032</v>
      </c>
    </row>
    <row r="269" spans="1:8" x14ac:dyDescent="0.25">
      <c r="A269" s="8">
        <v>43076.08935185185</v>
      </c>
      <c r="B269" t="s">
        <v>502</v>
      </c>
      <c r="C269" t="s">
        <v>609</v>
      </c>
      <c r="D269" s="137">
        <v>3310000</v>
      </c>
      <c r="E269" t="s">
        <v>448</v>
      </c>
      <c r="F269" s="20" t="s">
        <v>449</v>
      </c>
      <c r="G269" s="8" t="str">
        <f t="shared" si="8"/>
        <v>ANDERS STEVEN</v>
      </c>
      <c r="H269" s="20" t="str">
        <f t="shared" si="9"/>
        <v>4064</v>
      </c>
    </row>
    <row r="270" spans="1:8" x14ac:dyDescent="0.25">
      <c r="A270" s="8">
        <v>43069.090451388889</v>
      </c>
      <c r="B270" t="s">
        <v>456</v>
      </c>
      <c r="C270" t="s">
        <v>457</v>
      </c>
      <c r="D270" s="137">
        <v>3310000</v>
      </c>
      <c r="E270" t="s">
        <v>448</v>
      </c>
      <c r="F270" s="20" t="s">
        <v>449</v>
      </c>
      <c r="G270" s="8" t="str">
        <f t="shared" si="8"/>
        <v>ANDERS STEVEN</v>
      </c>
      <c r="H270" s="20" t="str">
        <f t="shared" si="9"/>
        <v>4006</v>
      </c>
    </row>
    <row r="271" spans="1:8" x14ac:dyDescent="0.25">
      <c r="A271" s="8">
        <v>43069.091400462959</v>
      </c>
      <c r="B271" t="s">
        <v>456</v>
      </c>
      <c r="C271" t="s">
        <v>457</v>
      </c>
      <c r="D271" s="137">
        <v>3310000</v>
      </c>
      <c r="E271" t="s">
        <v>448</v>
      </c>
      <c r="F271" s="20" t="s">
        <v>449</v>
      </c>
      <c r="G271" s="8" t="str">
        <f t="shared" si="8"/>
        <v>ANDERS STEVEN</v>
      </c>
      <c r="H271" s="20" t="str">
        <f t="shared" si="9"/>
        <v>4006</v>
      </c>
    </row>
    <row r="272" spans="1:8" x14ac:dyDescent="0.25">
      <c r="A272" s="8">
        <v>43066.934120370373</v>
      </c>
      <c r="B272" t="s">
        <v>351</v>
      </c>
      <c r="C272" t="s">
        <v>429</v>
      </c>
      <c r="D272" s="137">
        <v>2000000</v>
      </c>
      <c r="E272" t="s">
        <v>380</v>
      </c>
      <c r="F272" s="20" t="s">
        <v>381</v>
      </c>
      <c r="G272" s="8" t="str">
        <f t="shared" si="8"/>
        <v>STAMBAUGH JAMES</v>
      </c>
      <c r="H272" s="20" t="str">
        <f t="shared" si="9"/>
        <v>4055</v>
      </c>
    </row>
    <row r="273" spans="1:8" x14ac:dyDescent="0.25">
      <c r="A273" s="8">
        <v>43066.945567129631</v>
      </c>
      <c r="B273" t="s">
        <v>357</v>
      </c>
      <c r="C273" t="s">
        <v>430</v>
      </c>
      <c r="D273" s="137">
        <v>3340000</v>
      </c>
      <c r="E273" t="s">
        <v>409</v>
      </c>
      <c r="F273" s="20" t="s">
        <v>410</v>
      </c>
      <c r="G273" s="8" t="str">
        <f t="shared" si="8"/>
        <v>ELBAUM MIKE</v>
      </c>
      <c r="H273" s="20" t="str">
        <f t="shared" si="9"/>
        <v>4018</v>
      </c>
    </row>
    <row r="274" spans="1:8" x14ac:dyDescent="0.25">
      <c r="A274" s="8">
        <v>43066.946863425925</v>
      </c>
      <c r="B274" t="s">
        <v>424</v>
      </c>
      <c r="C274" t="s">
        <v>431</v>
      </c>
      <c r="D274" s="137">
        <v>3500000</v>
      </c>
      <c r="E274" t="s">
        <v>368</v>
      </c>
      <c r="F274" s="20" t="s">
        <v>369</v>
      </c>
      <c r="G274" s="8" t="str">
        <f t="shared" si="8"/>
        <v>GUNTHIER ERIC</v>
      </c>
      <c r="H274" s="20" t="str">
        <f t="shared" si="9"/>
        <v>4043</v>
      </c>
    </row>
    <row r="275" spans="1:8" x14ac:dyDescent="0.25">
      <c r="A275" s="8">
        <v>43066.962430555555</v>
      </c>
      <c r="B275" t="s">
        <v>413</v>
      </c>
      <c r="C275" t="s">
        <v>432</v>
      </c>
      <c r="D275" s="137">
        <v>2000000</v>
      </c>
      <c r="E275" t="s">
        <v>380</v>
      </c>
      <c r="F275" s="20" t="s">
        <v>381</v>
      </c>
      <c r="G275" s="8" t="str">
        <f t="shared" si="8"/>
        <v>STAMBAUGH JAMES</v>
      </c>
      <c r="H275" s="20" t="str">
        <f t="shared" si="9"/>
        <v>4056</v>
      </c>
    </row>
    <row r="276" spans="1:8" x14ac:dyDescent="0.25">
      <c r="A276" s="8">
        <v>43066.969027777777</v>
      </c>
      <c r="B276" t="s">
        <v>374</v>
      </c>
      <c r="C276" t="s">
        <v>433</v>
      </c>
      <c r="D276" s="137">
        <v>890000</v>
      </c>
      <c r="E276" t="s">
        <v>344</v>
      </c>
      <c r="F276" s="20" t="s">
        <v>345</v>
      </c>
      <c r="G276" s="8" t="str">
        <f t="shared" si="8"/>
        <v>LOZA FIDEL</v>
      </c>
      <c r="H276" s="20" t="str">
        <f t="shared" si="9"/>
        <v>4022</v>
      </c>
    </row>
    <row r="277" spans="1:8" x14ac:dyDescent="0.25">
      <c r="A277" s="8">
        <v>43066.974097222221</v>
      </c>
      <c r="B277" t="s">
        <v>418</v>
      </c>
      <c r="C277" t="s">
        <v>434</v>
      </c>
      <c r="D277" s="137">
        <v>3040000</v>
      </c>
      <c r="E277" t="s">
        <v>365</v>
      </c>
      <c r="F277" s="20" t="s">
        <v>420</v>
      </c>
      <c r="G277" s="8" t="str">
        <f t="shared" si="8"/>
        <v>WILLIAMS DONTE</v>
      </c>
      <c r="H277" s="20" t="str">
        <f t="shared" si="9"/>
        <v>4025</v>
      </c>
    </row>
    <row r="278" spans="1:8" x14ac:dyDescent="0.25">
      <c r="A278" s="8">
        <v>43066.974907407406</v>
      </c>
      <c r="B278" t="s">
        <v>351</v>
      </c>
      <c r="C278" t="s">
        <v>435</v>
      </c>
      <c r="D278" s="137">
        <v>2000000</v>
      </c>
      <c r="E278" t="s">
        <v>380</v>
      </c>
      <c r="F278" s="20" t="s">
        <v>381</v>
      </c>
      <c r="G278" s="8" t="str">
        <f t="shared" si="8"/>
        <v>STAMBAUGH JAMES</v>
      </c>
      <c r="H278" s="20" t="str">
        <f t="shared" si="9"/>
        <v>4055</v>
      </c>
    </row>
    <row r="279" spans="1:8" x14ac:dyDescent="0.25">
      <c r="A279" s="8">
        <v>43066.986979166664</v>
      </c>
      <c r="B279" t="s">
        <v>359</v>
      </c>
      <c r="C279" t="s">
        <v>436</v>
      </c>
      <c r="D279" s="137">
        <v>3340000</v>
      </c>
      <c r="E279" t="s">
        <v>409</v>
      </c>
      <c r="F279" s="20" t="s">
        <v>410</v>
      </c>
      <c r="G279" s="8" t="str">
        <f t="shared" si="8"/>
        <v>ELBAUM MIKE</v>
      </c>
      <c r="H279" s="20" t="str">
        <f t="shared" si="9"/>
        <v>4017</v>
      </c>
    </row>
    <row r="280" spans="1:8" x14ac:dyDescent="0.25">
      <c r="A280" s="8">
        <v>43066.992754629631</v>
      </c>
      <c r="B280" t="s">
        <v>423</v>
      </c>
      <c r="C280" t="s">
        <v>437</v>
      </c>
      <c r="D280" s="137">
        <v>3220000</v>
      </c>
      <c r="E280" t="s">
        <v>370</v>
      </c>
      <c r="F280" s="20" t="s">
        <v>371</v>
      </c>
      <c r="G280" s="8" t="str">
        <f t="shared" si="8"/>
        <v>RESPASS AARON</v>
      </c>
      <c r="H280" s="20" t="str">
        <f t="shared" si="9"/>
        <v>4044</v>
      </c>
    </row>
    <row r="281" spans="1:8" x14ac:dyDescent="0.25">
      <c r="A281" s="8">
        <v>43067.015798611108</v>
      </c>
      <c r="B281" t="s">
        <v>426</v>
      </c>
      <c r="C281" t="s">
        <v>438</v>
      </c>
      <c r="D281" s="137">
        <v>890000</v>
      </c>
      <c r="E281" t="s">
        <v>344</v>
      </c>
      <c r="F281" s="20" t="s">
        <v>345</v>
      </c>
      <c r="G281" s="8" t="str">
        <f t="shared" si="8"/>
        <v>LOZA FIDEL</v>
      </c>
      <c r="H281" s="20" t="str">
        <f t="shared" si="9"/>
        <v>4021</v>
      </c>
    </row>
    <row r="282" spans="1:8" x14ac:dyDescent="0.25">
      <c r="A282" s="8">
        <v>43067.017256944448</v>
      </c>
      <c r="B282" t="s">
        <v>419</v>
      </c>
      <c r="C282" t="s">
        <v>439</v>
      </c>
      <c r="D282" s="137">
        <v>3040000</v>
      </c>
      <c r="E282" t="s">
        <v>365</v>
      </c>
      <c r="F282" s="20" t="s">
        <v>420</v>
      </c>
      <c r="G282" s="8" t="str">
        <f t="shared" si="8"/>
        <v>WILLIAMS DONTE</v>
      </c>
      <c r="H282" s="20" t="str">
        <f t="shared" si="9"/>
        <v>4026</v>
      </c>
    </row>
    <row r="283" spans="1:8" x14ac:dyDescent="0.25">
      <c r="A283" s="8">
        <v>43067.025405092594</v>
      </c>
      <c r="B283" t="s">
        <v>357</v>
      </c>
      <c r="C283" t="s">
        <v>440</v>
      </c>
      <c r="D283" s="137">
        <v>3340000</v>
      </c>
      <c r="E283" t="s">
        <v>409</v>
      </c>
      <c r="F283" s="20" t="s">
        <v>410</v>
      </c>
      <c r="G283" s="8" t="str">
        <f t="shared" si="8"/>
        <v>ELBAUM MIKE</v>
      </c>
      <c r="H283" s="20" t="str">
        <f t="shared" si="9"/>
        <v>4018</v>
      </c>
    </row>
    <row r="284" spans="1:8" x14ac:dyDescent="0.25">
      <c r="A284" s="8">
        <v>43067.035092592596</v>
      </c>
      <c r="B284" t="s">
        <v>424</v>
      </c>
      <c r="C284" t="s">
        <v>441</v>
      </c>
      <c r="D284" s="137">
        <v>3220000</v>
      </c>
      <c r="E284" t="s">
        <v>370</v>
      </c>
      <c r="F284" s="20" t="s">
        <v>371</v>
      </c>
      <c r="G284" s="8" t="str">
        <f t="shared" si="8"/>
        <v>RESPASS AARON</v>
      </c>
      <c r="H284" s="20" t="str">
        <f t="shared" si="9"/>
        <v>4043</v>
      </c>
    </row>
    <row r="285" spans="1:8" x14ac:dyDescent="0.25">
      <c r="A285" s="8">
        <v>43067.0469212963</v>
      </c>
      <c r="B285" t="s">
        <v>374</v>
      </c>
      <c r="C285" t="s">
        <v>425</v>
      </c>
      <c r="D285" s="137">
        <v>890000</v>
      </c>
      <c r="E285" t="s">
        <v>344</v>
      </c>
      <c r="F285" s="20" t="s">
        <v>345</v>
      </c>
      <c r="G285" s="8" t="str">
        <f t="shared" si="8"/>
        <v>LOZA FIDEL</v>
      </c>
      <c r="H285" s="20" t="str">
        <f t="shared" si="9"/>
        <v>4022</v>
      </c>
    </row>
    <row r="286" spans="1:8" x14ac:dyDescent="0.25">
      <c r="A286" s="8">
        <v>43067.056122685186</v>
      </c>
      <c r="B286" t="s">
        <v>418</v>
      </c>
      <c r="C286" t="s">
        <v>442</v>
      </c>
      <c r="D286" s="137">
        <v>3040000</v>
      </c>
      <c r="E286" t="s">
        <v>365</v>
      </c>
      <c r="F286" s="20" t="s">
        <v>420</v>
      </c>
      <c r="G286" s="8" t="str">
        <f t="shared" si="8"/>
        <v>WILLIAMS DONTE</v>
      </c>
      <c r="H286" s="20" t="str">
        <f t="shared" si="9"/>
        <v>4025</v>
      </c>
    </row>
    <row r="287" spans="1:8" x14ac:dyDescent="0.25">
      <c r="A287" s="8">
        <v>43067.066620370373</v>
      </c>
      <c r="B287" t="s">
        <v>423</v>
      </c>
      <c r="C287" t="s">
        <v>443</v>
      </c>
      <c r="D287" s="137">
        <v>3220000</v>
      </c>
      <c r="E287" t="s">
        <v>370</v>
      </c>
      <c r="F287" s="20" t="s">
        <v>371</v>
      </c>
      <c r="G287" s="8" t="str">
        <f t="shared" si="8"/>
        <v>RESPASS AARON</v>
      </c>
      <c r="H287" s="20" t="str">
        <f t="shared" si="9"/>
        <v>4044</v>
      </c>
    </row>
    <row r="288" spans="1:8" x14ac:dyDescent="0.25">
      <c r="A288" s="8">
        <v>43067.08871527778</v>
      </c>
      <c r="B288" t="s">
        <v>419</v>
      </c>
      <c r="C288" t="s">
        <v>444</v>
      </c>
      <c r="D288" s="137">
        <v>3040000</v>
      </c>
      <c r="E288" t="s">
        <v>365</v>
      </c>
      <c r="F288" s="20" t="s">
        <v>420</v>
      </c>
      <c r="G288" s="8" t="str">
        <f t="shared" si="8"/>
        <v>WILLIAMS DONTE</v>
      </c>
      <c r="H288" s="20" t="str">
        <f t="shared" si="9"/>
        <v>4026</v>
      </c>
    </row>
    <row r="289" spans="1:8" x14ac:dyDescent="0.25">
      <c r="A289" s="8">
        <v>43039.891932870371</v>
      </c>
      <c r="B289" t="s">
        <v>364</v>
      </c>
      <c r="C289" t="s">
        <v>384</v>
      </c>
      <c r="D289" s="137">
        <v>2040000</v>
      </c>
      <c r="E289" t="s">
        <v>382</v>
      </c>
      <c r="F289" s="20" t="s">
        <v>383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375</v>
      </c>
      <c r="C290" t="s">
        <v>385</v>
      </c>
      <c r="D290" s="137">
        <v>2000000</v>
      </c>
      <c r="E290" t="s">
        <v>380</v>
      </c>
      <c r="F290" s="20" t="s">
        <v>381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366</v>
      </c>
      <c r="C291" t="s">
        <v>386</v>
      </c>
      <c r="D291" s="137">
        <v>3320000</v>
      </c>
      <c r="E291" t="s">
        <v>360</v>
      </c>
      <c r="F291" s="20" t="s">
        <v>361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358</v>
      </c>
      <c r="C292" t="s">
        <v>387</v>
      </c>
      <c r="D292" s="137">
        <v>3500000</v>
      </c>
      <c r="E292" t="s">
        <v>368</v>
      </c>
      <c r="F292" s="20" t="s">
        <v>369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373</v>
      </c>
      <c r="C293" t="s">
        <v>388</v>
      </c>
      <c r="D293" s="137">
        <v>3220000</v>
      </c>
      <c r="E293" t="s">
        <v>370</v>
      </c>
      <c r="F293" s="20" t="s">
        <v>371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376</v>
      </c>
      <c r="C294" t="s">
        <v>377</v>
      </c>
      <c r="D294" s="137">
        <v>3670000</v>
      </c>
      <c r="E294" t="s">
        <v>372</v>
      </c>
      <c r="F294" s="20" t="s">
        <v>365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363</v>
      </c>
      <c r="C295" t="s">
        <v>389</v>
      </c>
      <c r="D295" s="137">
        <v>2040000</v>
      </c>
      <c r="E295" t="s">
        <v>382</v>
      </c>
      <c r="F295" s="20" t="s">
        <v>383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375</v>
      </c>
      <c r="C296" t="s">
        <v>390</v>
      </c>
      <c r="D296" s="137">
        <v>3220000</v>
      </c>
      <c r="E296" t="s">
        <v>370</v>
      </c>
      <c r="F296" s="20" t="s">
        <v>371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391</v>
      </c>
      <c r="D297" s="137">
        <v>3500000</v>
      </c>
      <c r="E297" t="s">
        <v>368</v>
      </c>
      <c r="F297" s="20" t="s">
        <v>369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367</v>
      </c>
      <c r="C298" t="s">
        <v>392</v>
      </c>
      <c r="D298" s="137">
        <v>3320000</v>
      </c>
      <c r="E298" t="s">
        <v>360</v>
      </c>
      <c r="F298" s="20" t="s">
        <v>361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373</v>
      </c>
      <c r="C299" t="s">
        <v>393</v>
      </c>
      <c r="D299" s="137">
        <v>2000000</v>
      </c>
      <c r="E299" t="s">
        <v>380</v>
      </c>
      <c r="F299" s="20" t="s">
        <v>381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379</v>
      </c>
      <c r="C300" t="s">
        <v>394</v>
      </c>
      <c r="D300" s="137">
        <v>3670000</v>
      </c>
      <c r="E300" t="s">
        <v>372</v>
      </c>
      <c r="F300" s="20" t="s">
        <v>365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364</v>
      </c>
      <c r="C301" t="s">
        <v>395</v>
      </c>
      <c r="D301" s="137">
        <v>2040000</v>
      </c>
      <c r="E301" t="s">
        <v>382</v>
      </c>
      <c r="F301" s="20" t="s">
        <v>383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375</v>
      </c>
      <c r="C302" t="s">
        <v>396</v>
      </c>
      <c r="D302" s="137">
        <v>2000000</v>
      </c>
      <c r="E302" t="s">
        <v>380</v>
      </c>
      <c r="F302" s="20" t="s">
        <v>381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358</v>
      </c>
      <c r="C303" t="s">
        <v>378</v>
      </c>
      <c r="D303" s="137">
        <v>3500000</v>
      </c>
      <c r="E303" t="s">
        <v>368</v>
      </c>
      <c r="F303" s="20" t="s">
        <v>369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366</v>
      </c>
      <c r="C304" t="s">
        <v>397</v>
      </c>
      <c r="D304" s="137">
        <v>3320000</v>
      </c>
      <c r="E304" t="s">
        <v>360</v>
      </c>
      <c r="F304" s="20" t="s">
        <v>361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376</v>
      </c>
      <c r="C305" t="s">
        <v>398</v>
      </c>
      <c r="D305" s="137">
        <v>3670000</v>
      </c>
      <c r="E305" t="s">
        <v>372</v>
      </c>
      <c r="F305" s="20" t="s">
        <v>365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363</v>
      </c>
      <c r="C306" t="s">
        <v>399</v>
      </c>
      <c r="D306" s="137">
        <v>2040000</v>
      </c>
      <c r="E306" t="s">
        <v>382</v>
      </c>
      <c r="F306" s="20" t="s">
        <v>383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400</v>
      </c>
      <c r="D307" s="137">
        <v>3500000</v>
      </c>
      <c r="E307" t="s">
        <v>368</v>
      </c>
      <c r="F307" s="20" t="s">
        <v>369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367</v>
      </c>
      <c r="C308" t="s">
        <v>401</v>
      </c>
      <c r="D308" s="137">
        <v>3320000</v>
      </c>
      <c r="E308" t="s">
        <v>360</v>
      </c>
      <c r="F308" s="20" t="s">
        <v>361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379</v>
      </c>
      <c r="C309" t="s">
        <v>402</v>
      </c>
      <c r="D309" s="137">
        <v>3670000</v>
      </c>
      <c r="E309" t="s">
        <v>372</v>
      </c>
      <c r="F309" s="20" t="s">
        <v>365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364</v>
      </c>
      <c r="C310" t="s">
        <v>403</v>
      </c>
      <c r="D310" s="137">
        <v>2040000</v>
      </c>
      <c r="E310" t="s">
        <v>382</v>
      </c>
      <c r="F310" s="20" t="s">
        <v>383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366</v>
      </c>
      <c r="C311" t="s">
        <v>404</v>
      </c>
      <c r="D311" s="137">
        <v>3320000</v>
      </c>
      <c r="E311" t="s">
        <v>360</v>
      </c>
      <c r="F311" s="20" t="s">
        <v>361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363</v>
      </c>
      <c r="C312" t="s">
        <v>405</v>
      </c>
      <c r="D312" s="137">
        <v>2040000</v>
      </c>
      <c r="E312" t="s">
        <v>382</v>
      </c>
      <c r="F312" s="20" t="s">
        <v>383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362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T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6" t="s">
        <v>156</v>
      </c>
      <c r="B1" s="216" t="s">
        <v>159</v>
      </c>
      <c r="C1" s="216" t="s">
        <v>152</v>
      </c>
      <c r="D1" s="135" t="s">
        <v>164</v>
      </c>
      <c r="E1" s="216" t="s">
        <v>153</v>
      </c>
      <c r="F1" s="216" t="s">
        <v>151</v>
      </c>
      <c r="G1" s="216" t="s">
        <v>149</v>
      </c>
      <c r="H1" s="216" t="s">
        <v>916</v>
      </c>
      <c r="I1" s="216" t="s">
        <v>162</v>
      </c>
      <c r="J1" s="216" t="s">
        <v>163</v>
      </c>
      <c r="K1" s="216" t="s">
        <v>917</v>
      </c>
      <c r="L1" s="216" t="s">
        <v>157</v>
      </c>
      <c r="M1" s="216" t="s">
        <v>155</v>
      </c>
      <c r="N1" s="216" t="s">
        <v>150</v>
      </c>
      <c r="O1" s="216" t="s">
        <v>160</v>
      </c>
      <c r="P1" s="216" t="s">
        <v>334</v>
      </c>
      <c r="Q1" s="216" t="s">
        <v>154</v>
      </c>
      <c r="R1" s="216" t="s">
        <v>161</v>
      </c>
      <c r="S1" s="216" t="s">
        <v>335</v>
      </c>
      <c r="T1" s="216" t="s">
        <v>158</v>
      </c>
    </row>
    <row r="2" spans="1:20" x14ac:dyDescent="0.25">
      <c r="A2" s="194">
        <v>21.32</v>
      </c>
      <c r="B2" s="194">
        <v>0.65</v>
      </c>
      <c r="C2" s="194">
        <v>12.74</v>
      </c>
      <c r="D2" s="8">
        <v>43076</v>
      </c>
      <c r="E2" s="194">
        <v>0.69</v>
      </c>
      <c r="F2" s="194" t="s">
        <v>610</v>
      </c>
      <c r="G2" s="194">
        <v>306.42</v>
      </c>
      <c r="H2" s="194"/>
      <c r="I2" s="194">
        <v>0</v>
      </c>
      <c r="J2" s="194">
        <v>0</v>
      </c>
      <c r="K2" s="194"/>
      <c r="L2" s="194">
        <v>1034.6500000000001</v>
      </c>
      <c r="M2" s="194" t="s">
        <v>612</v>
      </c>
      <c r="N2" s="194">
        <v>21.32</v>
      </c>
      <c r="O2" s="194">
        <v>1512630000</v>
      </c>
      <c r="P2" s="194">
        <v>0</v>
      </c>
      <c r="Q2" s="194">
        <v>3.83</v>
      </c>
      <c r="R2" s="194">
        <v>154</v>
      </c>
      <c r="S2" s="194">
        <v>4.46</v>
      </c>
      <c r="T2" s="194">
        <v>1.58</v>
      </c>
    </row>
    <row r="3" spans="1:20" x14ac:dyDescent="0.25">
      <c r="A3" s="194">
        <v>19.78</v>
      </c>
      <c r="B3" s="194">
        <v>0.39</v>
      </c>
      <c r="C3" s="194">
        <v>11.67</v>
      </c>
      <c r="D3" s="8">
        <v>43076.041666666664</v>
      </c>
      <c r="E3" s="194">
        <v>0.7</v>
      </c>
      <c r="F3" s="194" t="s">
        <v>610</v>
      </c>
      <c r="G3" s="194">
        <v>307.60000000000002</v>
      </c>
      <c r="H3" s="194"/>
      <c r="I3" s="194">
        <v>0</v>
      </c>
      <c r="J3" s="194">
        <v>0</v>
      </c>
      <c r="K3" s="194"/>
      <c r="L3" s="194">
        <v>1033.92</v>
      </c>
      <c r="M3" s="194" t="s">
        <v>611</v>
      </c>
      <c r="N3" s="194">
        <v>19.78</v>
      </c>
      <c r="O3" s="194">
        <v>1512633600</v>
      </c>
      <c r="P3" s="194">
        <v>0</v>
      </c>
      <c r="Q3" s="194">
        <v>4.04</v>
      </c>
      <c r="R3" s="194">
        <v>164</v>
      </c>
      <c r="S3" s="194">
        <v>3.5</v>
      </c>
      <c r="T3" s="194">
        <v>1.34</v>
      </c>
    </row>
    <row r="4" spans="1:20" x14ac:dyDescent="0.25">
      <c r="A4" s="194">
        <v>18.600000000000001</v>
      </c>
      <c r="B4" s="194">
        <v>0.16</v>
      </c>
      <c r="C4" s="194">
        <v>10.42</v>
      </c>
      <c r="D4" s="8">
        <v>43076.083333333336</v>
      </c>
      <c r="E4" s="194">
        <v>0.7</v>
      </c>
      <c r="F4" s="194" t="s">
        <v>408</v>
      </c>
      <c r="G4" s="194">
        <v>308.56</v>
      </c>
      <c r="H4" s="194"/>
      <c r="I4" s="194">
        <v>0</v>
      </c>
      <c r="J4" s="194">
        <v>0</v>
      </c>
      <c r="K4" s="194"/>
      <c r="L4" s="194">
        <v>1036.3699999999999</v>
      </c>
      <c r="M4" s="194" t="s">
        <v>407</v>
      </c>
      <c r="N4" s="194">
        <v>18.600000000000001</v>
      </c>
      <c r="O4" s="194">
        <v>1512637200</v>
      </c>
      <c r="P4" s="194">
        <v>0</v>
      </c>
      <c r="Q4" s="194">
        <v>3.59</v>
      </c>
      <c r="R4" s="194">
        <v>148</v>
      </c>
      <c r="S4" s="194">
        <v>2.3199999999999998</v>
      </c>
      <c r="T4" s="194">
        <v>1.1200000000000001</v>
      </c>
    </row>
    <row r="5" spans="1:20" x14ac:dyDescent="0.25">
      <c r="A5" s="194">
        <v>16.45</v>
      </c>
      <c r="B5" s="194">
        <v>0.11</v>
      </c>
      <c r="C5" s="194">
        <v>9.11</v>
      </c>
      <c r="D5" s="8">
        <v>43076.125</v>
      </c>
      <c r="E5" s="194">
        <v>0.72</v>
      </c>
      <c r="F5" s="194" t="s">
        <v>408</v>
      </c>
      <c r="G5" s="194">
        <v>309.41000000000003</v>
      </c>
      <c r="H5" s="194"/>
      <c r="I5" s="194">
        <v>0</v>
      </c>
      <c r="J5" s="194">
        <v>0</v>
      </c>
      <c r="K5" s="194"/>
      <c r="L5" s="194">
        <v>1038.56</v>
      </c>
      <c r="M5" s="194" t="s">
        <v>407</v>
      </c>
      <c r="N5" s="194">
        <v>16.45</v>
      </c>
      <c r="O5" s="194">
        <v>1512640800</v>
      </c>
      <c r="P5" s="194">
        <v>0</v>
      </c>
      <c r="Q5" s="194">
        <v>3.32</v>
      </c>
      <c r="R5" s="194">
        <v>140</v>
      </c>
      <c r="S5" s="194">
        <v>2.1</v>
      </c>
      <c r="T5" s="194">
        <v>0.42</v>
      </c>
    </row>
    <row r="6" spans="1:20" x14ac:dyDescent="0.25">
      <c r="A6" s="194">
        <v>15.3</v>
      </c>
      <c r="B6" s="194">
        <v>0.04</v>
      </c>
      <c r="C6" s="194">
        <v>8.48</v>
      </c>
      <c r="D6" s="8">
        <v>43076.166666666664</v>
      </c>
      <c r="E6" s="194">
        <v>0.74</v>
      </c>
      <c r="F6" s="194" t="s">
        <v>408</v>
      </c>
      <c r="G6" s="194">
        <v>310.16000000000003</v>
      </c>
      <c r="H6" s="194"/>
      <c r="I6" s="194">
        <v>0</v>
      </c>
      <c r="J6" s="194">
        <v>0</v>
      </c>
      <c r="K6" s="194"/>
      <c r="L6" s="194">
        <v>1035.3599999999999</v>
      </c>
      <c r="M6" s="194" t="s">
        <v>407</v>
      </c>
      <c r="N6" s="194">
        <v>15.3</v>
      </c>
      <c r="O6" s="194">
        <v>1512644400</v>
      </c>
      <c r="P6" s="194">
        <v>0</v>
      </c>
      <c r="Q6" s="194">
        <v>3.37</v>
      </c>
      <c r="R6" s="194">
        <v>183</v>
      </c>
      <c r="S6" s="194">
        <v>2.19</v>
      </c>
      <c r="T6" s="194">
        <v>0.71</v>
      </c>
    </row>
    <row r="7" spans="1:20" x14ac:dyDescent="0.25">
      <c r="A7" s="194">
        <v>15.02</v>
      </c>
      <c r="B7" s="194">
        <v>0.02</v>
      </c>
      <c r="C7" s="194">
        <v>7.87</v>
      </c>
      <c r="D7" s="8">
        <v>43076.208333333336</v>
      </c>
      <c r="E7" s="194">
        <v>0.73</v>
      </c>
      <c r="F7" s="194" t="s">
        <v>408</v>
      </c>
      <c r="G7" s="194">
        <v>310.16000000000003</v>
      </c>
      <c r="H7" s="194"/>
      <c r="I7" s="194">
        <v>0</v>
      </c>
      <c r="J7" s="194">
        <v>0</v>
      </c>
      <c r="K7" s="194"/>
      <c r="L7" s="194">
        <v>1035.25</v>
      </c>
      <c r="M7" s="194" t="s">
        <v>407</v>
      </c>
      <c r="N7" s="194">
        <v>15.02</v>
      </c>
      <c r="O7" s="194">
        <v>1512648000</v>
      </c>
      <c r="P7" s="194">
        <v>0</v>
      </c>
      <c r="Q7" s="194">
        <v>3.65</v>
      </c>
      <c r="R7" s="194">
        <v>181</v>
      </c>
      <c r="S7" s="194">
        <v>2.11</v>
      </c>
      <c r="T7" s="194">
        <v>0.87</v>
      </c>
    </row>
    <row r="8" spans="1:20" x14ac:dyDescent="0.25">
      <c r="A8" s="194">
        <v>14.4</v>
      </c>
      <c r="B8" s="194">
        <v>0.04</v>
      </c>
      <c r="C8" s="194">
        <v>7.06</v>
      </c>
      <c r="D8" s="8">
        <v>43076.25</v>
      </c>
      <c r="E8" s="194">
        <v>0.72</v>
      </c>
      <c r="F8" s="194" t="s">
        <v>408</v>
      </c>
      <c r="G8" s="194">
        <v>310.58999999999997</v>
      </c>
      <c r="H8" s="194"/>
      <c r="I8" s="194">
        <v>0</v>
      </c>
      <c r="J8" s="194">
        <v>0</v>
      </c>
      <c r="K8" s="194"/>
      <c r="L8" s="194">
        <v>1034.3499999999999</v>
      </c>
      <c r="M8" s="194" t="s">
        <v>407</v>
      </c>
      <c r="N8" s="194">
        <v>14.4</v>
      </c>
      <c r="O8" s="194">
        <v>1512651600</v>
      </c>
      <c r="P8" s="194">
        <v>0</v>
      </c>
      <c r="Q8" s="194">
        <v>4.82</v>
      </c>
      <c r="R8" s="194">
        <v>201</v>
      </c>
      <c r="S8" s="194">
        <v>2.8</v>
      </c>
      <c r="T8" s="194">
        <v>0.76</v>
      </c>
    </row>
    <row r="9" spans="1:20" x14ac:dyDescent="0.25">
      <c r="A9" s="194">
        <v>14.41</v>
      </c>
      <c r="B9" s="194">
        <v>0.05</v>
      </c>
      <c r="C9" s="194">
        <v>6.04</v>
      </c>
      <c r="D9" s="8">
        <v>43076.291666666664</v>
      </c>
      <c r="E9" s="194">
        <v>0.69</v>
      </c>
      <c r="F9" s="194" t="s">
        <v>408</v>
      </c>
      <c r="G9" s="194">
        <v>311.01</v>
      </c>
      <c r="H9" s="194"/>
      <c r="I9" s="194">
        <v>0</v>
      </c>
      <c r="J9" s="194">
        <v>0</v>
      </c>
      <c r="K9" s="194"/>
      <c r="L9" s="194">
        <v>1034.31</v>
      </c>
      <c r="M9" s="194" t="s">
        <v>407</v>
      </c>
      <c r="N9" s="194">
        <v>14.41</v>
      </c>
      <c r="O9" s="194">
        <v>1512655200</v>
      </c>
      <c r="P9" s="194">
        <v>0</v>
      </c>
      <c r="Q9" s="194">
        <v>3.88</v>
      </c>
      <c r="R9" s="194">
        <v>188</v>
      </c>
      <c r="S9" s="194">
        <v>3.09</v>
      </c>
      <c r="T9" s="194">
        <v>0.87</v>
      </c>
    </row>
    <row r="10" spans="1:20" x14ac:dyDescent="0.25">
      <c r="A10" s="194">
        <v>16.66</v>
      </c>
      <c r="B10" s="194">
        <v>0.05</v>
      </c>
      <c r="C10" s="194">
        <v>6.49</v>
      </c>
      <c r="D10" s="8">
        <v>43076.333333333336</v>
      </c>
      <c r="E10" s="194">
        <v>0.64</v>
      </c>
      <c r="F10" s="194" t="s">
        <v>421</v>
      </c>
      <c r="G10" s="194">
        <v>311.20999999999998</v>
      </c>
      <c r="H10" s="194"/>
      <c r="I10" s="194">
        <v>0</v>
      </c>
      <c r="J10" s="194">
        <v>0</v>
      </c>
      <c r="K10" s="194"/>
      <c r="L10" s="194">
        <v>1034.2</v>
      </c>
      <c r="M10" s="194" t="s">
        <v>407</v>
      </c>
      <c r="N10" s="194">
        <v>16.66</v>
      </c>
      <c r="O10" s="194">
        <v>1512658800</v>
      </c>
      <c r="P10" s="194">
        <v>1</v>
      </c>
      <c r="Q10" s="194">
        <v>3.74</v>
      </c>
      <c r="R10" s="194">
        <v>187</v>
      </c>
      <c r="S10" s="194">
        <v>3.72</v>
      </c>
      <c r="T10" s="194">
        <v>1.49</v>
      </c>
    </row>
    <row r="11" spans="1:20" x14ac:dyDescent="0.25">
      <c r="A11" s="194">
        <v>22.91</v>
      </c>
      <c r="B11" s="194">
        <v>7.0000000000000007E-2</v>
      </c>
      <c r="C11" s="194">
        <v>7.65</v>
      </c>
      <c r="D11" s="8">
        <v>43076.375</v>
      </c>
      <c r="E11" s="194">
        <v>0.51</v>
      </c>
      <c r="F11" s="194" t="s">
        <v>421</v>
      </c>
      <c r="G11" s="194">
        <v>311.32</v>
      </c>
      <c r="H11" s="194"/>
      <c r="I11" s="194">
        <v>0</v>
      </c>
      <c r="J11" s="194">
        <v>0</v>
      </c>
      <c r="K11" s="194"/>
      <c r="L11" s="194">
        <v>1033.4000000000001</v>
      </c>
      <c r="M11" s="194" t="s">
        <v>407</v>
      </c>
      <c r="N11" s="194">
        <v>22.91</v>
      </c>
      <c r="O11" s="194">
        <v>1512662400</v>
      </c>
      <c r="P11" s="194">
        <v>1</v>
      </c>
      <c r="Q11" s="194">
        <v>5.59</v>
      </c>
      <c r="R11" s="194">
        <v>183</v>
      </c>
      <c r="S11" s="194">
        <v>5.5</v>
      </c>
      <c r="T11" s="194">
        <v>2.2599999999999998</v>
      </c>
    </row>
    <row r="12" spans="1:20" x14ac:dyDescent="0.25">
      <c r="A12" s="194">
        <v>28.95</v>
      </c>
      <c r="B12" s="194">
        <v>0.16</v>
      </c>
      <c r="C12" s="194">
        <v>6.29</v>
      </c>
      <c r="D12" s="8">
        <v>43076.416666666664</v>
      </c>
      <c r="E12" s="194">
        <v>0.38</v>
      </c>
      <c r="F12" s="194" t="s">
        <v>421</v>
      </c>
      <c r="G12" s="194">
        <v>311.11</v>
      </c>
      <c r="H12" s="194"/>
      <c r="I12" s="194">
        <v>0</v>
      </c>
      <c r="J12" s="194">
        <v>0</v>
      </c>
      <c r="K12" s="194"/>
      <c r="L12" s="194">
        <v>1032.6199999999999</v>
      </c>
      <c r="M12" s="194" t="s">
        <v>407</v>
      </c>
      <c r="N12" s="194">
        <v>28.95</v>
      </c>
      <c r="O12" s="194">
        <v>1512666000</v>
      </c>
      <c r="P12" s="194">
        <v>1</v>
      </c>
      <c r="Q12" s="194">
        <v>5.59</v>
      </c>
      <c r="R12" s="194">
        <v>167</v>
      </c>
      <c r="S12" s="194">
        <v>6.92</v>
      </c>
      <c r="T12" s="194">
        <v>2.12</v>
      </c>
    </row>
    <row r="13" spans="1:20" x14ac:dyDescent="0.25">
      <c r="A13" s="194">
        <v>31.25</v>
      </c>
      <c r="B13" s="194">
        <v>0.56000000000000005</v>
      </c>
      <c r="C13" s="194">
        <v>4.33</v>
      </c>
      <c r="D13" s="8">
        <v>43076.458333333336</v>
      </c>
      <c r="E13" s="194">
        <v>0.31</v>
      </c>
      <c r="F13" s="194" t="s">
        <v>613</v>
      </c>
      <c r="G13" s="194">
        <v>314.27999999999997</v>
      </c>
      <c r="H13" s="194"/>
      <c r="I13" s="194">
        <v>0</v>
      </c>
      <c r="J13" s="194">
        <v>0</v>
      </c>
      <c r="K13" s="194"/>
      <c r="L13" s="194">
        <v>1031.6500000000001</v>
      </c>
      <c r="M13" s="194" t="s">
        <v>611</v>
      </c>
      <c r="N13" s="194">
        <v>31.25</v>
      </c>
      <c r="O13" s="194">
        <v>1512669600</v>
      </c>
      <c r="P13" s="194">
        <v>1</v>
      </c>
      <c r="Q13" s="194">
        <v>5.59</v>
      </c>
      <c r="R13" s="194">
        <v>173</v>
      </c>
      <c r="S13" s="194">
        <v>6.75</v>
      </c>
      <c r="T13" s="194">
        <v>0.92</v>
      </c>
    </row>
    <row r="14" spans="1:20" x14ac:dyDescent="0.25">
      <c r="A14" s="194">
        <v>32.28</v>
      </c>
      <c r="B14" s="194">
        <v>0.86</v>
      </c>
      <c r="C14" s="194">
        <v>4.16</v>
      </c>
      <c r="D14" s="8">
        <v>43076.5</v>
      </c>
      <c r="E14" s="194">
        <v>0.3</v>
      </c>
      <c r="F14" s="194" t="s">
        <v>613</v>
      </c>
      <c r="G14" s="194">
        <v>313.85000000000002</v>
      </c>
      <c r="H14" s="194"/>
      <c r="I14" s="194">
        <v>0</v>
      </c>
      <c r="J14" s="194">
        <v>0</v>
      </c>
      <c r="K14" s="194"/>
      <c r="L14" s="194">
        <v>1030.51</v>
      </c>
      <c r="M14" s="194" t="s">
        <v>612</v>
      </c>
      <c r="N14" s="194">
        <v>32.28</v>
      </c>
      <c r="O14" s="194">
        <v>1512673200</v>
      </c>
      <c r="P14" s="194">
        <v>1</v>
      </c>
      <c r="Q14" s="194">
        <v>4.82</v>
      </c>
      <c r="R14" s="194">
        <v>270</v>
      </c>
      <c r="S14" s="194">
        <v>5.47</v>
      </c>
      <c r="T14" s="194">
        <v>0.6</v>
      </c>
    </row>
    <row r="15" spans="1:20" x14ac:dyDescent="0.25">
      <c r="A15" s="194">
        <v>32.76</v>
      </c>
      <c r="B15" s="194">
        <v>0.61</v>
      </c>
      <c r="C15" s="194">
        <v>3.93</v>
      </c>
      <c r="D15" s="8">
        <v>43076.541666666664</v>
      </c>
      <c r="E15" s="194">
        <v>0.28999999999999998</v>
      </c>
      <c r="F15" s="194" t="s">
        <v>613</v>
      </c>
      <c r="G15" s="194">
        <v>312.89999999999998</v>
      </c>
      <c r="H15" s="194"/>
      <c r="I15" s="194">
        <v>0</v>
      </c>
      <c r="J15" s="194">
        <v>0</v>
      </c>
      <c r="K15" s="194"/>
      <c r="L15" s="194">
        <v>1029.43</v>
      </c>
      <c r="M15" s="194" t="s">
        <v>612</v>
      </c>
      <c r="N15" s="194">
        <v>32.76</v>
      </c>
      <c r="O15" s="194">
        <v>1512676800</v>
      </c>
      <c r="P15" s="194">
        <v>1</v>
      </c>
      <c r="Q15" s="194">
        <v>4.82</v>
      </c>
      <c r="R15" s="194">
        <v>259</v>
      </c>
      <c r="S15" s="194">
        <v>7.2</v>
      </c>
      <c r="T15" s="194">
        <v>2.17</v>
      </c>
    </row>
    <row r="16" spans="1:20" x14ac:dyDescent="0.25">
      <c r="A16" s="194">
        <v>33.270000000000003</v>
      </c>
      <c r="B16" s="194">
        <v>0.59</v>
      </c>
      <c r="C16" s="194">
        <v>5.64</v>
      </c>
      <c r="D16" s="8">
        <v>43076.583333333336</v>
      </c>
      <c r="E16" s="194">
        <v>0.31</v>
      </c>
      <c r="F16" s="194" t="s">
        <v>613</v>
      </c>
      <c r="G16" s="194">
        <v>311.73</v>
      </c>
      <c r="H16" s="194"/>
      <c r="I16" s="194">
        <v>0</v>
      </c>
      <c r="J16" s="194">
        <v>0</v>
      </c>
      <c r="K16" s="194"/>
      <c r="L16" s="194">
        <v>1029.02</v>
      </c>
      <c r="M16" s="194" t="s">
        <v>611</v>
      </c>
      <c r="N16" s="194">
        <v>33.270000000000003</v>
      </c>
      <c r="O16" s="194">
        <v>1512680400</v>
      </c>
      <c r="P16" s="194">
        <v>1</v>
      </c>
      <c r="Q16" s="194">
        <v>4.82</v>
      </c>
      <c r="R16" s="194">
        <v>229</v>
      </c>
      <c r="S16" s="194">
        <v>6.63</v>
      </c>
      <c r="T16" s="194">
        <v>2.0699999999999998</v>
      </c>
    </row>
    <row r="17" spans="1:20" x14ac:dyDescent="0.25">
      <c r="A17" s="194">
        <v>34.24</v>
      </c>
      <c r="B17" s="194">
        <v>0.64</v>
      </c>
      <c r="C17" s="194">
        <v>8.5500000000000007</v>
      </c>
      <c r="D17" s="8">
        <v>43076.625</v>
      </c>
      <c r="E17" s="194">
        <v>0.34</v>
      </c>
      <c r="F17" s="194" t="s">
        <v>613</v>
      </c>
      <c r="G17" s="194">
        <v>310.35000000000002</v>
      </c>
      <c r="H17" s="194"/>
      <c r="I17" s="194">
        <v>0</v>
      </c>
      <c r="J17" s="194">
        <v>0</v>
      </c>
      <c r="K17" s="194"/>
      <c r="L17" s="194">
        <v>1029.29</v>
      </c>
      <c r="M17" s="194" t="s">
        <v>612</v>
      </c>
      <c r="N17" s="194">
        <v>34.24</v>
      </c>
      <c r="O17" s="194">
        <v>1512684000</v>
      </c>
      <c r="P17" s="194">
        <v>1</v>
      </c>
      <c r="Q17" s="194">
        <v>4.79</v>
      </c>
      <c r="R17" s="194">
        <v>205</v>
      </c>
      <c r="S17" s="194">
        <v>6.12</v>
      </c>
      <c r="T17" s="194">
        <v>1.83</v>
      </c>
    </row>
    <row r="18" spans="1:20" x14ac:dyDescent="0.25">
      <c r="A18" s="194">
        <v>34.380000000000003</v>
      </c>
      <c r="B18" s="194">
        <v>0.71</v>
      </c>
      <c r="C18" s="194">
        <v>13.69</v>
      </c>
      <c r="D18" s="8">
        <v>43076.666666666664</v>
      </c>
      <c r="E18" s="194">
        <v>0.42</v>
      </c>
      <c r="F18" s="194" t="s">
        <v>613</v>
      </c>
      <c r="G18" s="194">
        <v>308.85000000000002</v>
      </c>
      <c r="H18" s="194"/>
      <c r="I18" s="194">
        <v>0</v>
      </c>
      <c r="J18" s="194">
        <v>0</v>
      </c>
      <c r="K18" s="194"/>
      <c r="L18" s="194">
        <v>1029.46</v>
      </c>
      <c r="M18" s="194" t="s">
        <v>612</v>
      </c>
      <c r="N18" s="194">
        <v>34.380000000000003</v>
      </c>
      <c r="O18" s="194">
        <v>1512687600</v>
      </c>
      <c r="P18" s="194">
        <v>0</v>
      </c>
      <c r="Q18" s="194">
        <v>4.79</v>
      </c>
      <c r="R18" s="194">
        <v>240</v>
      </c>
      <c r="S18" s="194">
        <v>7.78</v>
      </c>
      <c r="T18" s="194">
        <v>2.4</v>
      </c>
    </row>
    <row r="19" spans="1:20" x14ac:dyDescent="0.25">
      <c r="A19" s="194">
        <v>34.119999999999997</v>
      </c>
      <c r="B19" s="194">
        <v>0.85</v>
      </c>
      <c r="C19" s="194">
        <v>15.68</v>
      </c>
      <c r="D19" s="8">
        <v>43076.708333333336</v>
      </c>
      <c r="E19" s="194">
        <v>0.46</v>
      </c>
      <c r="F19" s="194" t="s">
        <v>610</v>
      </c>
      <c r="G19" s="194">
        <v>304.24</v>
      </c>
      <c r="H19" s="194"/>
      <c r="I19" s="194">
        <v>0</v>
      </c>
      <c r="J19" s="194">
        <v>0</v>
      </c>
      <c r="K19" s="194"/>
      <c r="L19" s="194">
        <v>1028.93</v>
      </c>
      <c r="M19" s="194" t="s">
        <v>612</v>
      </c>
      <c r="N19" s="194">
        <v>34.119999999999997</v>
      </c>
      <c r="O19" s="194">
        <v>1512691200</v>
      </c>
      <c r="P19" s="194">
        <v>0</v>
      </c>
      <c r="Q19" s="194">
        <v>4.82</v>
      </c>
      <c r="R19" s="194">
        <v>244</v>
      </c>
      <c r="S19" s="194">
        <v>4.41</v>
      </c>
      <c r="T19" s="194">
        <v>1.57</v>
      </c>
    </row>
    <row r="20" spans="1:20" x14ac:dyDescent="0.25">
      <c r="A20" s="194">
        <v>34.630000000000003</v>
      </c>
      <c r="B20" s="194">
        <v>0.55000000000000004</v>
      </c>
      <c r="C20" s="194">
        <v>16.57</v>
      </c>
      <c r="D20" s="8">
        <v>43076.75</v>
      </c>
      <c r="E20" s="194">
        <v>0.47</v>
      </c>
      <c r="F20" s="194" t="s">
        <v>610</v>
      </c>
      <c r="G20" s="194">
        <v>303.16000000000003</v>
      </c>
      <c r="H20" s="194"/>
      <c r="I20" s="194">
        <v>0</v>
      </c>
      <c r="J20" s="194">
        <v>0</v>
      </c>
      <c r="K20" s="194"/>
      <c r="L20" s="194">
        <v>1028.44</v>
      </c>
      <c r="M20" s="194" t="s">
        <v>611</v>
      </c>
      <c r="N20" s="194">
        <v>34.630000000000003</v>
      </c>
      <c r="O20" s="194">
        <v>1512694800</v>
      </c>
      <c r="P20" s="194">
        <v>0</v>
      </c>
      <c r="Q20" s="194">
        <v>4.82</v>
      </c>
      <c r="R20" s="194">
        <v>271</v>
      </c>
      <c r="S20" s="194">
        <v>8.5500000000000007</v>
      </c>
      <c r="T20" s="194">
        <v>2.7</v>
      </c>
    </row>
    <row r="21" spans="1:20" x14ac:dyDescent="0.25">
      <c r="A21" s="194">
        <v>28.89</v>
      </c>
      <c r="B21" s="194">
        <v>0.65</v>
      </c>
      <c r="C21" s="194">
        <v>22.08</v>
      </c>
      <c r="D21" s="8">
        <v>43076.791666666664</v>
      </c>
      <c r="E21" s="194">
        <v>0.65</v>
      </c>
      <c r="F21" s="194" t="s">
        <v>610</v>
      </c>
      <c r="G21" s="194">
        <v>302.95</v>
      </c>
      <c r="H21" s="194"/>
      <c r="I21" s="194">
        <v>0</v>
      </c>
      <c r="J21" s="194">
        <v>0</v>
      </c>
      <c r="K21" s="194"/>
      <c r="L21" s="194">
        <v>1028.1600000000001</v>
      </c>
      <c r="M21" s="194" t="s">
        <v>612</v>
      </c>
      <c r="N21" s="194">
        <v>32.549999999999997</v>
      </c>
      <c r="O21" s="194">
        <v>1512698400</v>
      </c>
      <c r="P21" s="194">
        <v>0</v>
      </c>
      <c r="Q21" s="194">
        <v>4.59</v>
      </c>
      <c r="R21" s="194">
        <v>253</v>
      </c>
      <c r="S21" s="194">
        <v>10.54</v>
      </c>
      <c r="T21" s="194">
        <v>3.84</v>
      </c>
    </row>
    <row r="22" spans="1:20" x14ac:dyDescent="0.25">
      <c r="A22" s="194">
        <v>32.130000000000003</v>
      </c>
      <c r="B22" s="194">
        <v>0.67</v>
      </c>
      <c r="C22" s="194">
        <v>22.67</v>
      </c>
      <c r="D22" s="8">
        <v>43076.833333333336</v>
      </c>
      <c r="E22" s="194">
        <v>0.68</v>
      </c>
      <c r="F22" s="194" t="s">
        <v>610</v>
      </c>
      <c r="G22" s="194">
        <v>302.95</v>
      </c>
      <c r="H22" s="194">
        <v>0</v>
      </c>
      <c r="I22" s="194">
        <v>1E-4</v>
      </c>
      <c r="J22" s="194">
        <v>0.01</v>
      </c>
      <c r="K22" s="194" t="s">
        <v>918</v>
      </c>
      <c r="L22" s="194">
        <v>1028.05</v>
      </c>
      <c r="M22" s="194" t="s">
        <v>612</v>
      </c>
      <c r="N22" s="194">
        <v>32.130000000000003</v>
      </c>
      <c r="O22" s="194">
        <v>1512702000</v>
      </c>
      <c r="P22" s="194">
        <v>0</v>
      </c>
      <c r="Q22" s="194">
        <v>4.82</v>
      </c>
      <c r="R22" s="194">
        <v>233</v>
      </c>
      <c r="S22" s="194">
        <v>5.45</v>
      </c>
      <c r="T22" s="194">
        <v>2.37</v>
      </c>
    </row>
    <row r="23" spans="1:20" x14ac:dyDescent="0.25">
      <c r="A23" s="194">
        <v>32.380000000000003</v>
      </c>
      <c r="B23" s="194">
        <v>0.52</v>
      </c>
      <c r="C23" s="194">
        <v>22.13</v>
      </c>
      <c r="D23" s="8">
        <v>43076.875</v>
      </c>
      <c r="E23" s="194">
        <v>0.65</v>
      </c>
      <c r="F23" s="194" t="s">
        <v>610</v>
      </c>
      <c r="G23" s="194">
        <v>303.39</v>
      </c>
      <c r="H23" s="194"/>
      <c r="I23" s="194">
        <v>0</v>
      </c>
      <c r="J23" s="194">
        <v>0</v>
      </c>
      <c r="K23" s="194"/>
      <c r="L23" s="194">
        <v>1027.1600000000001</v>
      </c>
      <c r="M23" s="194" t="s">
        <v>611</v>
      </c>
      <c r="N23" s="194">
        <v>32.380000000000003</v>
      </c>
      <c r="O23" s="194">
        <v>1512705600</v>
      </c>
      <c r="P23" s="194">
        <v>0</v>
      </c>
      <c r="Q23" s="194">
        <v>4.82</v>
      </c>
      <c r="R23" s="194">
        <v>206</v>
      </c>
      <c r="S23" s="194">
        <v>4.3600000000000003</v>
      </c>
      <c r="T23" s="194">
        <v>1.76</v>
      </c>
    </row>
    <row r="24" spans="1:20" x14ac:dyDescent="0.25">
      <c r="A24" s="194">
        <v>32.979999999999997</v>
      </c>
      <c r="B24" s="194">
        <v>0.88</v>
      </c>
      <c r="C24" s="194">
        <v>21.48</v>
      </c>
      <c r="D24" s="8">
        <v>43076.916666666664</v>
      </c>
      <c r="E24" s="194">
        <v>0.62</v>
      </c>
      <c r="F24" s="194" t="s">
        <v>610</v>
      </c>
      <c r="G24" s="194">
        <v>304.37</v>
      </c>
      <c r="H24" s="194"/>
      <c r="I24" s="194">
        <v>0</v>
      </c>
      <c r="J24" s="194">
        <v>0</v>
      </c>
      <c r="K24" s="194"/>
      <c r="L24" s="194">
        <v>1025.97</v>
      </c>
      <c r="M24" s="194" t="s">
        <v>612</v>
      </c>
      <c r="N24" s="194">
        <v>32.979999999999997</v>
      </c>
      <c r="O24" s="194">
        <v>1512709200</v>
      </c>
      <c r="P24" s="194">
        <v>0</v>
      </c>
      <c r="Q24" s="194">
        <v>4.82</v>
      </c>
      <c r="R24" s="194">
        <v>206</v>
      </c>
      <c r="S24" s="194">
        <v>3.55</v>
      </c>
      <c r="T24" s="194">
        <v>1.35</v>
      </c>
    </row>
    <row r="25" spans="1:20" x14ac:dyDescent="0.25">
      <c r="A25" s="194">
        <v>33.729999999999997</v>
      </c>
      <c r="B25" s="194">
        <v>1</v>
      </c>
      <c r="C25" s="194">
        <v>20.68</v>
      </c>
      <c r="D25" s="8">
        <v>43076.958333333336</v>
      </c>
      <c r="E25" s="194">
        <v>0.57999999999999996</v>
      </c>
      <c r="F25" s="194" t="s">
        <v>919</v>
      </c>
      <c r="G25" s="194">
        <v>305.45</v>
      </c>
      <c r="H25" s="194"/>
      <c r="I25" s="194">
        <v>0</v>
      </c>
      <c r="J25" s="194">
        <v>0</v>
      </c>
      <c r="K25" s="194"/>
      <c r="L25" s="194">
        <v>1025.68</v>
      </c>
      <c r="M25" s="194" t="s">
        <v>920</v>
      </c>
      <c r="N25" s="194">
        <v>33.729999999999997</v>
      </c>
      <c r="O25" s="194">
        <v>1512712800</v>
      </c>
      <c r="P25" s="194">
        <v>0</v>
      </c>
      <c r="Q25" s="194">
        <v>4.04</v>
      </c>
      <c r="R25" s="194">
        <v>213</v>
      </c>
      <c r="S25" s="194">
        <v>3.14</v>
      </c>
      <c r="T25" s="194">
        <v>1.1200000000000001</v>
      </c>
    </row>
    <row r="26" spans="1:20" x14ac:dyDescent="0.25">
      <c r="A26" s="194">
        <v>34.520000000000003</v>
      </c>
      <c r="B26" s="194">
        <v>0.97</v>
      </c>
      <c r="C26" s="194">
        <v>19.670000000000002</v>
      </c>
      <c r="D26" s="8">
        <v>43077</v>
      </c>
      <c r="E26" s="194">
        <v>0.54</v>
      </c>
      <c r="F26" s="194" t="s">
        <v>919</v>
      </c>
      <c r="G26" s="194">
        <v>306.42</v>
      </c>
      <c r="H26" s="194"/>
      <c r="I26" s="194">
        <v>0</v>
      </c>
      <c r="J26" s="194">
        <v>0</v>
      </c>
      <c r="K26" s="194"/>
      <c r="L26" s="194">
        <v>1025.3900000000001</v>
      </c>
      <c r="M26" s="194" t="s">
        <v>920</v>
      </c>
      <c r="N26" s="194">
        <v>34.520000000000003</v>
      </c>
      <c r="O26" s="194">
        <v>1512716400</v>
      </c>
      <c r="P26" s="194">
        <v>0</v>
      </c>
      <c r="Q26" s="194">
        <v>4.04</v>
      </c>
      <c r="R26" s="194">
        <v>234</v>
      </c>
      <c r="S26" s="194">
        <v>3.45</v>
      </c>
      <c r="T26" s="194">
        <v>1.07</v>
      </c>
    </row>
    <row r="27" spans="1:20" x14ac:dyDescent="0.25">
      <c r="A27" s="194">
        <v>35.4</v>
      </c>
      <c r="B27" s="194">
        <v>1</v>
      </c>
      <c r="C27" s="194">
        <v>19.29</v>
      </c>
      <c r="D27" s="8">
        <v>43077.041666666664</v>
      </c>
      <c r="E27" s="194">
        <v>0.51</v>
      </c>
      <c r="F27" s="194" t="s">
        <v>919</v>
      </c>
      <c r="G27" s="194">
        <v>307.38</v>
      </c>
      <c r="H27" s="194"/>
      <c r="I27" s="194">
        <v>0</v>
      </c>
      <c r="J27" s="194">
        <v>0</v>
      </c>
      <c r="K27" s="194"/>
      <c r="L27" s="194">
        <v>1024.6300000000001</v>
      </c>
      <c r="M27" s="194" t="s">
        <v>920</v>
      </c>
      <c r="N27" s="194">
        <v>35.4</v>
      </c>
      <c r="O27" s="194">
        <v>1512720000</v>
      </c>
      <c r="P27" s="194">
        <v>0</v>
      </c>
      <c r="Q27" s="194">
        <v>4.04</v>
      </c>
      <c r="R27" s="194">
        <v>256</v>
      </c>
      <c r="S27" s="194">
        <v>2.93</v>
      </c>
      <c r="T27" s="194">
        <v>0.57999999999999996</v>
      </c>
    </row>
    <row r="28" spans="1:20" x14ac:dyDescent="0.25">
      <c r="A28" s="194">
        <v>35.770000000000003</v>
      </c>
      <c r="B28" s="194">
        <v>1</v>
      </c>
      <c r="C28" s="194">
        <v>19.420000000000002</v>
      </c>
      <c r="D28" s="8">
        <v>43077.083333333336</v>
      </c>
      <c r="E28" s="194">
        <v>0.51</v>
      </c>
      <c r="F28" s="194" t="s">
        <v>919</v>
      </c>
      <c r="G28" s="194">
        <v>308.02</v>
      </c>
      <c r="H28" s="194"/>
      <c r="I28" s="194">
        <v>0</v>
      </c>
      <c r="J28" s="194">
        <v>0</v>
      </c>
      <c r="K28" s="194"/>
      <c r="L28" s="194">
        <v>1024.55</v>
      </c>
      <c r="M28" s="194" t="s">
        <v>920</v>
      </c>
      <c r="N28" s="194">
        <v>35.770000000000003</v>
      </c>
      <c r="O28" s="194">
        <v>1512723600</v>
      </c>
      <c r="P28" s="194">
        <v>0</v>
      </c>
      <c r="Q28" s="194">
        <v>3.62</v>
      </c>
      <c r="R28" s="194">
        <v>230</v>
      </c>
      <c r="S28" s="194">
        <v>3.26</v>
      </c>
      <c r="T28" s="194">
        <v>0.97</v>
      </c>
    </row>
    <row r="29" spans="1:20" x14ac:dyDescent="0.25">
      <c r="A29" s="194">
        <v>34.64</v>
      </c>
      <c r="B29" s="194">
        <v>0.98</v>
      </c>
      <c r="C29" s="194">
        <v>18.82</v>
      </c>
      <c r="D29" s="8">
        <v>43077.125</v>
      </c>
      <c r="E29" s="194">
        <v>0.47</v>
      </c>
      <c r="F29" s="194" t="s">
        <v>919</v>
      </c>
      <c r="G29" s="194">
        <v>308.23</v>
      </c>
      <c r="H29" s="194"/>
      <c r="I29" s="194">
        <v>0</v>
      </c>
      <c r="J29" s="194">
        <v>0</v>
      </c>
      <c r="K29" s="194"/>
      <c r="L29" s="194">
        <v>1024.96</v>
      </c>
      <c r="M29" s="194" t="s">
        <v>920</v>
      </c>
      <c r="N29" s="194">
        <v>37.06</v>
      </c>
      <c r="O29" s="194">
        <v>1512727200</v>
      </c>
      <c r="P29" s="194">
        <v>0</v>
      </c>
      <c r="Q29" s="194">
        <v>5.42</v>
      </c>
      <c r="R29" s="194">
        <v>255</v>
      </c>
      <c r="S29" s="194">
        <v>8.2100000000000009</v>
      </c>
      <c r="T29" s="194">
        <v>3.34</v>
      </c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7"/>
  <sheetViews>
    <sheetView workbookViewId="0">
      <selection activeCell="D15" sqref="D15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6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43076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1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2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1091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1092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1093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1094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1095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1096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1097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1098</v>
      </c>
      <c r="J25" s="139" t="s">
        <v>144</v>
      </c>
      <c r="M25" s="153" t="b">
        <v>1</v>
      </c>
    </row>
    <row r="26" spans="3:24" x14ac:dyDescent="0.25">
      <c r="C26" t="s">
        <v>1099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%USERPROFILE%\Documents\GitHub\eaglep3-reporting\EC\2017-12-07-refined-times.txt</v>
      </c>
    </row>
    <row r="27" spans="3:24" x14ac:dyDescent="0.25">
      <c r="C27" t="s">
        <v>1100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%USERPROFILE%\Documents\GitHub\eaglep3-reporting\EC\2017-12-07-Enforcements.txt</v>
      </c>
    </row>
    <row r="28" spans="3:24" x14ac:dyDescent="0.25">
      <c r="C28" t="s">
        <v>1101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%USERPROFILE%\Documents\GitHub\eaglep3-reporting\EC\2017-12-07-Runs-refined.txt</v>
      </c>
    </row>
    <row r="29" spans="3:24" x14ac:dyDescent="0.25">
      <c r="C29" t="s">
        <v>1102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%USERPROFILE%\Documents\GitHub\eaglep3-reporting\EC\2017-12-07-Trips.txt</v>
      </c>
    </row>
    <row r="30" spans="3:24" x14ac:dyDescent="0.25">
      <c r="C30" t="s">
        <v>1103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%USERPROFILE%\Documents\GitHub\eaglep3-reporting\EC\2017-12-07-Weather.txt</v>
      </c>
    </row>
    <row r="31" spans="3:24" x14ac:dyDescent="0.25">
      <c r="C31" t="s">
        <v>1104</v>
      </c>
      <c r="J31" s="139" t="s">
        <v>188</v>
      </c>
      <c r="M31" s="153" t="s">
        <v>189</v>
      </c>
    </row>
    <row r="32" spans="3:24" x14ac:dyDescent="0.25">
      <c r="C32" t="s">
        <v>1105</v>
      </c>
    </row>
    <row r="33" spans="3:3" x14ac:dyDescent="0.25">
      <c r="C33" t="s">
        <v>1106</v>
      </c>
    </row>
    <row r="34" spans="3:3" x14ac:dyDescent="0.25">
      <c r="C34" t="s">
        <v>1107</v>
      </c>
    </row>
    <row r="35" spans="3:3" x14ac:dyDescent="0.25">
      <c r="C35" t="s">
        <v>1108</v>
      </c>
    </row>
    <row r="36" spans="3:3" x14ac:dyDescent="0.25">
      <c r="C36" t="s">
        <v>1109</v>
      </c>
    </row>
    <row r="37" spans="3:3" x14ac:dyDescent="0.25">
      <c r="C37" t="s">
        <v>1110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6" bestFit="1" customWidth="1"/>
    <col min="9" max="10" width="9.140625" style="186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6" t="s">
        <v>112</v>
      </c>
      <c r="I1" s="184" t="s">
        <v>353</v>
      </c>
      <c r="J1" s="166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6" t="s">
        <v>113</v>
      </c>
      <c r="I2" s="166" t="s">
        <v>114</v>
      </c>
      <c r="J2" s="166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6" t="s">
        <v>137</v>
      </c>
      <c r="I3" s="166">
        <v>1</v>
      </c>
      <c r="J3" s="166">
        <v>1</v>
      </c>
      <c r="K3" s="55"/>
    </row>
    <row r="4" spans="1:11" x14ac:dyDescent="0.25">
      <c r="A4" s="93" t="s">
        <v>124</v>
      </c>
      <c r="C4" s="93" t="s">
        <v>125</v>
      </c>
      <c r="H4" s="166" t="s">
        <v>138</v>
      </c>
      <c r="I4" s="166">
        <v>2</v>
      </c>
      <c r="J4" s="166">
        <v>1</v>
      </c>
      <c r="K4" s="55"/>
    </row>
    <row r="5" spans="1:11" x14ac:dyDescent="0.25">
      <c r="A5" s="93" t="s">
        <v>126</v>
      </c>
      <c r="C5" s="93" t="s">
        <v>127</v>
      </c>
      <c r="H5" s="166" t="s">
        <v>139</v>
      </c>
      <c r="I5" s="166">
        <v>338</v>
      </c>
      <c r="J5" s="166">
        <v>10</v>
      </c>
      <c r="K5" s="55"/>
    </row>
    <row r="6" spans="1:11" x14ac:dyDescent="0.25">
      <c r="A6" s="93" t="s">
        <v>128</v>
      </c>
      <c r="C6" s="93" t="s">
        <v>129</v>
      </c>
      <c r="H6" s="185" t="s">
        <v>140</v>
      </c>
      <c r="I6" s="185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2017-12-08T17:20:20Z</dcterms:modified>
</cp:coreProperties>
</file>